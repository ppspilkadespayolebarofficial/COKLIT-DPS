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FIL CALON KADES" sheetId="1" r:id="rId5"/>
    <sheet state="visible" name="DPT AWAL KPU" sheetId="2" r:id="rId6"/>
    <sheet state="visible" name="DPS (SEMENTARA)" sheetId="3" r:id="rId7"/>
    <sheet state="visible" name="DPTAM (TAMBAHAN)" sheetId="4" r:id="rId8"/>
    <sheet state="visible" name="DPT (TETAP)" sheetId="5" r:id="rId9"/>
    <sheet state="visible" name="PPS (PANITIA DESA)" sheetId="6" r:id="rId10"/>
    <sheet state="visible" name="PENGAWAS BPD" sheetId="7" r:id="rId11"/>
    <sheet state="visible" name="KPPS TPS 01" sheetId="8" r:id="rId12"/>
    <sheet state="visible" name="KPPS TPS 02" sheetId="9" r:id="rId13"/>
    <sheet state="visible" name="INPUT SUARA" sheetId="10" r:id="rId14"/>
  </sheets>
  <definedNames/>
  <calcPr/>
</workbook>
</file>

<file path=xl/sharedStrings.xml><?xml version="1.0" encoding="utf-8"?>
<sst xmlns="http://schemas.openxmlformats.org/spreadsheetml/2006/main" count="69487" uniqueCount="14439">
  <si>
    <t>NO URUT</t>
  </si>
  <si>
    <t>DP-ID</t>
  </si>
  <si>
    <t>NKK</t>
  </si>
  <si>
    <t>NIK</t>
  </si>
  <si>
    <t>NAMA</t>
  </si>
  <si>
    <t>TEMPAT LAHIR</t>
  </si>
  <si>
    <t>TANGGAL LAHIR</t>
  </si>
  <si>
    <t>USIA</t>
  </si>
  <si>
    <t>STS KAWIN</t>
  </si>
  <si>
    <t>L/P</t>
  </si>
  <si>
    <t>DUSUN/ALAMAT</t>
  </si>
  <si>
    <t>RT 
 DOMISILI</t>
  </si>
  <si>
    <t>KODE COKLIT</t>
  </si>
  <si>
    <t>KETERANGAN COKLIT</t>
  </si>
  <si>
    <t>TPS</t>
  </si>
  <si>
    <t>VISI DAN MISI</t>
  </si>
  <si>
    <t>SUARA</t>
  </si>
  <si>
    <t>PERSEN</t>
  </si>
  <si>
    <t>DP-0002</t>
  </si>
  <si>
    <t>Belum diteteapkan</t>
  </si>
  <si>
    <t>1203063101170001</t>
  </si>
  <si>
    <t>-</t>
  </si>
  <si>
    <t>1471046704830042</t>
  </si>
  <si>
    <t>CAHAYA PANGARIBUAN</t>
  </si>
  <si>
    <t>RT KTP</t>
  </si>
  <si>
    <t>PADANG SIDEMPUAN</t>
  </si>
  <si>
    <t>S</t>
  </si>
  <si>
    <t>P</t>
  </si>
  <si>
    <t>PAYO LEBAR SINGKUT DUSUN DUA</t>
  </si>
  <si>
    <t>DP-0003</t>
  </si>
  <si>
    <t>1471040506750001</t>
  </si>
  <si>
    <t>JHONNY PURBA</t>
  </si>
  <si>
    <t>SIDIKALANG</t>
  </si>
  <si>
    <t>L</t>
  </si>
  <si>
    <t>DP-0004</t>
  </si>
  <si>
    <t>1209082503151005</t>
  </si>
  <si>
    <t>1209080911871001</t>
  </si>
  <si>
    <t>FUDANI LUBIS</t>
  </si>
  <si>
    <t>DESA GAJAH</t>
  </si>
  <si>
    <t>SUKA JADI</t>
  </si>
  <si>
    <t>DP-0005</t>
  </si>
  <si>
    <t>1209084107941001</t>
  </si>
  <si>
    <t>IDA MARIA BR. HUTAHAEAN</t>
  </si>
  <si>
    <t>SELAT PANJANG</t>
  </si>
  <si>
    <t>DP-0006</t>
  </si>
  <si>
    <t>1302110307200002</t>
  </si>
  <si>
    <t>1302113112920001</t>
  </si>
  <si>
    <t>DONI ARIANTO</t>
  </si>
  <si>
    <t>BEKASI</t>
  </si>
  <si>
    <t>DUSUN VI REMBEJAYA</t>
  </si>
  <si>
    <t>DP-0007</t>
  </si>
  <si>
    <t>1503096512920001</t>
  </si>
  <si>
    <t>EMI DEVITA</t>
  </si>
  <si>
    <t>PAYO LEBAR</t>
  </si>
  <si>
    <t>DP-0008</t>
  </si>
  <si>
    <t>1502102205180002</t>
  </si>
  <si>
    <t>1503096212940002</t>
  </si>
  <si>
    <t>LUSIA SINTIA LARASATI</t>
  </si>
  <si>
    <t>DUSUN I KARYA MAKMUR</t>
  </si>
  <si>
    <t>DP-0009</t>
  </si>
  <si>
    <t>1502102112910001</t>
  </si>
  <si>
    <t>S. HENDRI HARDIYANTO</t>
  </si>
  <si>
    <t>BUKIT BERINGIN</t>
  </si>
  <si>
    <t>DP-0010</t>
  </si>
  <si>
    <t>1503011711150004</t>
  </si>
  <si>
    <t>1502031012760001</t>
  </si>
  <si>
    <t>MARKUM. BT</t>
  </si>
  <si>
    <t>NGAWI</t>
  </si>
  <si>
    <t>DUSUN IV RAMBE JAYA</t>
  </si>
  <si>
    <t>DP-0011</t>
  </si>
  <si>
    <t>1502034505930001</t>
  </si>
  <si>
    <t>TITI LESTARI</t>
  </si>
  <si>
    <t>BADAK TEKURUNG</t>
  </si>
  <si>
    <t>DP-0012</t>
  </si>
  <si>
    <t>1503022804220003</t>
  </si>
  <si>
    <t>1503020112900003</t>
  </si>
  <si>
    <t>ABDULLAH ROZI</t>
  </si>
  <si>
    <t>SUNGAI BEDURI</t>
  </si>
  <si>
    <t>DP-0013</t>
  </si>
  <si>
    <t>1503094412970001</t>
  </si>
  <si>
    <t>KASTINI</t>
  </si>
  <si>
    <t>DP-0014</t>
  </si>
  <si>
    <t>1503030401190001</t>
  </si>
  <si>
    <t>1708061509970001</t>
  </si>
  <si>
    <t>MUAMMAR MA' RUF</t>
  </si>
  <si>
    <t>KEPAHIANG</t>
  </si>
  <si>
    <t>DP-0015</t>
  </si>
  <si>
    <t>1503036703950002</t>
  </si>
  <si>
    <t>NURIL TANIA</t>
  </si>
  <si>
    <t>LADANG PANJANG</t>
  </si>
  <si>
    <t>DP-0016</t>
  </si>
  <si>
    <t>1503031110100018</t>
  </si>
  <si>
    <t>1503030709700001</t>
  </si>
  <si>
    <t>PAIMAN</t>
  </si>
  <si>
    <t>LIMBUR MERANGIN</t>
  </si>
  <si>
    <t>DUSUN II SUKAJADI</t>
  </si>
  <si>
    <t>DP-0017</t>
  </si>
  <si>
    <t>1503032007070001</t>
  </si>
  <si>
    <t>PRAYOGA</t>
  </si>
  <si>
    <t>SUKASARI</t>
  </si>
  <si>
    <t>B</t>
  </si>
  <si>
    <t>DP-0018</t>
  </si>
  <si>
    <t>1503095309810002</t>
  </si>
  <si>
    <t>SITI FATIMAH</t>
  </si>
  <si>
    <t>SINGKUT</t>
  </si>
  <si>
    <t>DP-0019</t>
  </si>
  <si>
    <t>1503094211030001</t>
  </si>
  <si>
    <t>SITI ZIROTUR ROHMAH</t>
  </si>
  <si>
    <t>DP-0020</t>
  </si>
  <si>
    <t>1503031206230002</t>
  </si>
  <si>
    <t>1503032312990002</t>
  </si>
  <si>
    <t>IMAM MASHUD</t>
  </si>
  <si>
    <t>DEMAK</t>
  </si>
  <si>
    <t>DUSUN III SUKA JAYA</t>
  </si>
  <si>
    <t>DP-0021</t>
  </si>
  <si>
    <t>1503034101700009</t>
  </si>
  <si>
    <t>SABITUN</t>
  </si>
  <si>
    <t>DP-0022</t>
  </si>
  <si>
    <t>1503031511110002</t>
  </si>
  <si>
    <t>1503092103770001</t>
  </si>
  <si>
    <t>ASROFI</t>
  </si>
  <si>
    <t>DP-0023</t>
  </si>
  <si>
    <t>1505035507800068</t>
  </si>
  <si>
    <t>YUHARNI</t>
  </si>
  <si>
    <t>PULAU MENTARO</t>
  </si>
  <si>
    <t>DP-0024</t>
  </si>
  <si>
    <t>1503032305180010</t>
  </si>
  <si>
    <t>1571111308720001</t>
  </si>
  <si>
    <t>JONAR GULTOM</t>
  </si>
  <si>
    <t>PEMATANG PANJANG SUMUT</t>
  </si>
  <si>
    <t>DP-0025</t>
  </si>
  <si>
    <t>1571114303810002</t>
  </si>
  <si>
    <t>SANTI PERAWATI</t>
  </si>
  <si>
    <t>PADANG BULAN</t>
  </si>
  <si>
    <t>DP-0026</t>
  </si>
  <si>
    <t>1503032308110007</t>
  </si>
  <si>
    <t>1503032510820010</t>
  </si>
  <si>
    <t>HENDRA</t>
  </si>
  <si>
    <t>SAROLANGUN</t>
  </si>
  <si>
    <t>DP-0027</t>
  </si>
  <si>
    <t>1503037007840005</t>
  </si>
  <si>
    <t>YAYUK DWI NINGSIH</t>
  </si>
  <si>
    <t>DP-0028</t>
  </si>
  <si>
    <t>1503032312190010</t>
  </si>
  <si>
    <t>1503032501950004</t>
  </si>
  <si>
    <t>HENDRIYANSA PUTRA</t>
  </si>
  <si>
    <t>DUSUN I KARYA AGUNG</t>
  </si>
  <si>
    <t>DP-0029</t>
  </si>
  <si>
    <t>1503056007960002</t>
  </si>
  <si>
    <t>NUURUSSA'ADAH AL MUSTAQIMA</t>
  </si>
  <si>
    <t>PEMATANG KOLIM</t>
  </si>
  <si>
    <t>DP-0030</t>
  </si>
  <si>
    <t>1503032511190002</t>
  </si>
  <si>
    <t>1503031409930004</t>
  </si>
  <si>
    <t>DIDIK SAPUTRA</t>
  </si>
  <si>
    <t>BERNAI</t>
  </si>
  <si>
    <t>DUSUN RAMBE JAYA</t>
  </si>
  <si>
    <t>Lokasi Belum Jelas</t>
  </si>
  <si>
    <t>DP-0031</t>
  </si>
  <si>
    <t>1503090809070002</t>
  </si>
  <si>
    <t>SEPTIAN DWI CAHYO</t>
  </si>
  <si>
    <t>DP-0032</t>
  </si>
  <si>
    <t>1503095007790001</t>
  </si>
  <si>
    <t>TITIK SUWANTI</t>
  </si>
  <si>
    <t>DP-0033</t>
  </si>
  <si>
    <t>1503032703140001</t>
  </si>
  <si>
    <t>1503036405890004</t>
  </si>
  <si>
    <t>ASNI</t>
  </si>
  <si>
    <t>DUSUN II</t>
  </si>
  <si>
    <t>DP-0034</t>
  </si>
  <si>
    <t>1503091208890001</t>
  </si>
  <si>
    <t>YUDIANTO</t>
  </si>
  <si>
    <t>DP-0035</t>
  </si>
  <si>
    <t>1503033108180001</t>
  </si>
  <si>
    <t>1503035511750001</t>
  </si>
  <si>
    <t>ALIA MUSNI</t>
  </si>
  <si>
    <t>PADANG</t>
  </si>
  <si>
    <t>JABATAN</t>
  </si>
  <si>
    <t>BADRUN, S.E., M.Pd</t>
  </si>
  <si>
    <t>KETUA</t>
  </si>
  <si>
    <t>Ir. SAIKUN SUGONDO</t>
  </si>
  <si>
    <t>WAKIL KETUA</t>
  </si>
  <si>
    <t>DP-0036</t>
  </si>
  <si>
    <t>ADI SETIAWAN, S.Pd</t>
  </si>
  <si>
    <t>1503032703780001</t>
  </si>
  <si>
    <t>SEKRETARIS</t>
  </si>
  <si>
    <t>DEDE CANIAGO</t>
  </si>
  <si>
    <t>CURUP</t>
  </si>
  <si>
    <t>KRIS SUDARTO</t>
  </si>
  <si>
    <t>ANGGOTA</t>
  </si>
  <si>
    <t>EKO PURNA IRAWAN</t>
  </si>
  <si>
    <t>SEKRETARIAT</t>
  </si>
  <si>
    <t>DP-0037</t>
  </si>
  <si>
    <t>1503032705810001</t>
  </si>
  <si>
    <t>FIRMAN</t>
  </si>
  <si>
    <t>JAMBI</t>
  </si>
  <si>
    <t>DP-0038</t>
  </si>
  <si>
    <t>1503035703010001</t>
  </si>
  <si>
    <t>MIFTA NULJANNAH</t>
  </si>
  <si>
    <t>DP-0039</t>
  </si>
  <si>
    <t>1503031208040001</t>
  </si>
  <si>
    <t>SYIFA NAWAL HANAN</t>
  </si>
  <si>
    <t>DP-0040</t>
  </si>
  <si>
    <t>1503033108200014</t>
  </si>
  <si>
    <t>1503032102930001</t>
  </si>
  <si>
    <t>FERY APRIYANTO</t>
  </si>
  <si>
    <t>DUSUN KARYA AGUNG</t>
  </si>
  <si>
    <t>DP-0041</t>
  </si>
  <si>
    <t>1503095505950003</t>
  </si>
  <si>
    <t>PUTRI AZIZAH</t>
  </si>
  <si>
    <t>LAMPUNG</t>
  </si>
  <si>
    <t>DP-0042</t>
  </si>
  <si>
    <t>1503050102120022</t>
  </si>
  <si>
    <t>1503054807070001</t>
  </si>
  <si>
    <t>MARISA HERLINDA</t>
  </si>
  <si>
    <t>REJO MULYO</t>
  </si>
  <si>
    <t>DP-0043</t>
  </si>
  <si>
    <t>1503055007850003</t>
  </si>
  <si>
    <t>RINA RISWANA</t>
  </si>
  <si>
    <t>MEDAN</t>
  </si>
  <si>
    <t>DP-0044</t>
  </si>
  <si>
    <t>1503051509850004</t>
  </si>
  <si>
    <t>SARNEN</t>
  </si>
  <si>
    <t>DP-0045</t>
  </si>
  <si>
    <t>1503050110150001</t>
  </si>
  <si>
    <t>1671144301880003</t>
  </si>
  <si>
    <t>CORRY NICKY LOVA</t>
  </si>
  <si>
    <t>SANGGARAN AGUNG</t>
  </si>
  <si>
    <t>DP-0046</t>
  </si>
  <si>
    <t>1671142911820007</t>
  </si>
  <si>
    <t>WAHYU HIDAYAT</t>
  </si>
  <si>
    <t>PALEMBANG</t>
  </si>
  <si>
    <t>DP-0047</t>
  </si>
  <si>
    <t>1503050201200002</t>
  </si>
  <si>
    <t>1503096408990001</t>
  </si>
  <si>
    <t>SITI NURJANAH</t>
  </si>
  <si>
    <t>DP-0048</t>
  </si>
  <si>
    <t>1503050202180001</t>
  </si>
  <si>
    <t>1503092508860001</t>
  </si>
  <si>
    <t>WAWAN EKO GUSWORO</t>
  </si>
  <si>
    <t>BATU PUTIH</t>
  </si>
  <si>
    <t>DUSUN IV</t>
  </si>
  <si>
    <t>DP-0049</t>
  </si>
  <si>
    <t>1503050309180003</t>
  </si>
  <si>
    <t>1503095706970001</t>
  </si>
  <si>
    <t>AMELIA RAHMAWATI</t>
  </si>
  <si>
    <t>DP-0050</t>
  </si>
  <si>
    <t>1503052101920001</t>
  </si>
  <si>
    <t>DIDI PURWANTO</t>
  </si>
  <si>
    <t>HALIMUN SIRI, S.Pd.I</t>
  </si>
  <si>
    <t>SUKARDI</t>
  </si>
  <si>
    <t>DP-0051</t>
  </si>
  <si>
    <t>1503050401130008</t>
  </si>
  <si>
    <t>TEDDY KARTIWAN</t>
  </si>
  <si>
    <t>1503050904790003</t>
  </si>
  <si>
    <t>MARKONI</t>
  </si>
  <si>
    <t>PENEGAH</t>
  </si>
  <si>
    <t>DESA PAYO LEBAR</t>
  </si>
  <si>
    <t>DP-0052</t>
  </si>
  <si>
    <t>1604125503880001</t>
  </si>
  <si>
    <t>YESY ANGGRIANI</t>
  </si>
  <si>
    <t>TANJUNG RAYA</t>
  </si>
  <si>
    <t>DP-0053</t>
  </si>
  <si>
    <t>1503050502200003</t>
  </si>
  <si>
    <t>1503095907930001</t>
  </si>
  <si>
    <t>AJI SARINDAH</t>
  </si>
  <si>
    <t>u</t>
  </si>
  <si>
    <t>DP-0054</t>
  </si>
  <si>
    <t>1503050803900006</t>
  </si>
  <si>
    <t>HERI SETIAWAN</t>
  </si>
  <si>
    <t>DP-0055</t>
  </si>
  <si>
    <t>1503050702220004</t>
  </si>
  <si>
    <t>1503094511910004</t>
  </si>
  <si>
    <t>RISA NOVI YANA YANTI</t>
  </si>
  <si>
    <t>SARKO</t>
  </si>
  <si>
    <t>JLN. MANGKU BUMI</t>
  </si>
  <si>
    <t>1503092812230005</t>
  </si>
  <si>
    <t>DP-0056</t>
  </si>
  <si>
    <t>1503050703230001</t>
  </si>
  <si>
    <t>1503056211070001</t>
  </si>
  <si>
    <t>ANANDA SELVIA</t>
  </si>
  <si>
    <t>TSM PEMATANG KOLIM</t>
  </si>
  <si>
    <t>DUSUN II SUKA JADI</t>
  </si>
  <si>
    <t>LINMAS</t>
  </si>
  <si>
    <t>DP-0057</t>
  </si>
  <si>
    <t>1503056611790004</t>
  </si>
  <si>
    <t>IDA SUSANTI</t>
  </si>
  <si>
    <t>DP-0058</t>
  </si>
  <si>
    <t>1503051103730003</t>
  </si>
  <si>
    <t>SANTO</t>
  </si>
  <si>
    <t>MADIUN</t>
  </si>
  <si>
    <t>DP-0059</t>
  </si>
  <si>
    <t>1503050707150001</t>
  </si>
  <si>
    <t>1503052308920005</t>
  </si>
  <si>
    <t>DENA MASRIADI</t>
  </si>
  <si>
    <t>PEMATANG KULIM</t>
  </si>
  <si>
    <t>DP-0060</t>
  </si>
  <si>
    <t>1503096008960003</t>
  </si>
  <si>
    <t>NOVIANA MAYA SARI</t>
  </si>
  <si>
    <t>DP-0061</t>
  </si>
  <si>
    <t>1503050812150002</t>
  </si>
  <si>
    <t>1503051108700001</t>
  </si>
  <si>
    <t>MUHAMMAD ALPAN</t>
  </si>
  <si>
    <t>LUMAJANG</t>
  </si>
  <si>
    <t>KK Pematang Kolim</t>
  </si>
  <si>
    <t>DP-0062</t>
  </si>
  <si>
    <t>1503056201770002</t>
  </si>
  <si>
    <t>SUPARIDAH</t>
  </si>
  <si>
    <t>DP-0063</t>
  </si>
  <si>
    <t>1503050909200005</t>
  </si>
  <si>
    <t>1503052708940001</t>
  </si>
  <si>
    <t>MUJIANTO</t>
  </si>
  <si>
    <t>DP-0064</t>
  </si>
  <si>
    <t>1503095505940002</t>
  </si>
  <si>
    <t>NOFITA WIDIA ASTUTI</t>
  </si>
  <si>
    <t>DP-0065</t>
  </si>
  <si>
    <t>1503051105210001</t>
  </si>
  <si>
    <t>1503051008860005</t>
  </si>
  <si>
    <t>ABDUL RAHMAN</t>
  </si>
  <si>
    <t>PELAWAN</t>
  </si>
  <si>
    <t>DESA PAYOLEBAR</t>
  </si>
  <si>
    <t>DP-0066</t>
  </si>
  <si>
    <t>1503096611930001</t>
  </si>
  <si>
    <t>NOVALIA</t>
  </si>
  <si>
    <t>DP-0067</t>
  </si>
  <si>
    <t>1503051204190003</t>
  </si>
  <si>
    <t>1503095406000001</t>
  </si>
  <si>
    <t>DAHLIYA WATI</t>
  </si>
  <si>
    <t>DUSUN III SUKA MULYA</t>
  </si>
  <si>
    <t>DP-0068</t>
  </si>
  <si>
    <t>1503051703900004</t>
  </si>
  <si>
    <t>MISDI YANTO</t>
  </si>
  <si>
    <t>MA. BULIAN</t>
  </si>
  <si>
    <t>DP-0069</t>
  </si>
  <si>
    <t>1503051403240004</t>
  </si>
  <si>
    <t>1503090309990001</t>
  </si>
  <si>
    <t>MUHAMMAD ABDURROHIM</t>
  </si>
  <si>
    <t>PAYOLEBAR</t>
  </si>
  <si>
    <t>DP-0070</t>
  </si>
  <si>
    <t>1503054910000003</t>
  </si>
  <si>
    <t>NURUL ANJUMI</t>
  </si>
  <si>
    <t>DP-0071</t>
  </si>
  <si>
    <t>1503051412070067</t>
  </si>
  <si>
    <t>1503050904830001</t>
  </si>
  <si>
    <t>MUSTOFA</t>
  </si>
  <si>
    <t>NOMOR URUT 01</t>
  </si>
  <si>
    <t>NOMOR URUT 02</t>
  </si>
  <si>
    <t>NOMOR URUT 03</t>
  </si>
  <si>
    <t>NOMOR URUT 04</t>
  </si>
  <si>
    <t>NOMOR URUT 05</t>
  </si>
  <si>
    <t>SUARA SAH</t>
  </si>
  <si>
    <t>SUARA TIDAK SAH</t>
  </si>
  <si>
    <t>TOTAL SUARA MASUK</t>
  </si>
  <si>
    <t>STATUS</t>
  </si>
  <si>
    <t>DP-0072</t>
  </si>
  <si>
    <t>1503051501240001</t>
  </si>
  <si>
    <t>1503050912050001</t>
  </si>
  <si>
    <t>ALDO SETIAWAN</t>
  </si>
  <si>
    <t>01</t>
  </si>
  <si>
    <t>DP-0073</t>
  </si>
  <si>
    <t>1503054512800004</t>
  </si>
  <si>
    <t>SRI MULYANI</t>
  </si>
  <si>
    <t>DUSUN SUKA MULYA</t>
  </si>
  <si>
    <t>02</t>
  </si>
  <si>
    <t>DP-0074</t>
  </si>
  <si>
    <t>1503051503210002</t>
  </si>
  <si>
    <t>1503094604010003</t>
  </si>
  <si>
    <t>MITA APRIYANTI</t>
  </si>
  <si>
    <t>OK</t>
  </si>
  <si>
    <t>DP-0075</t>
  </si>
  <si>
    <t>1503050511980001</t>
  </si>
  <si>
    <t>MUHAMAD NUR SIDIQ</t>
  </si>
  <si>
    <t>PATI</t>
  </si>
  <si>
    <t>DP-0076</t>
  </si>
  <si>
    <t>1503051511180003</t>
  </si>
  <si>
    <t>1506054404840005</t>
  </si>
  <si>
    <t>ANIK EKA WATI</t>
  </si>
  <si>
    <t>DP-0077</t>
  </si>
  <si>
    <t>1506056302030001</t>
  </si>
  <si>
    <t>RARA FEBRIA NOSA</t>
  </si>
  <si>
    <t>DP-0078</t>
  </si>
  <si>
    <t>1503050404800001</t>
  </si>
  <si>
    <t>YUDIONO</t>
  </si>
  <si>
    <t>DP-0079</t>
  </si>
  <si>
    <t>1503051611070045</t>
  </si>
  <si>
    <t>1503056112690001</t>
  </si>
  <si>
    <t>SUMINI</t>
  </si>
  <si>
    <t>DP-0080</t>
  </si>
  <si>
    <t>1503051801100011</t>
  </si>
  <si>
    <t>1503050202040003</t>
  </si>
  <si>
    <t>AGUNG SAPUTRA</t>
  </si>
  <si>
    <t>SUNGAI MERAH</t>
  </si>
  <si>
    <t>DP-0081</t>
  </si>
  <si>
    <t>1503054107800316</t>
  </si>
  <si>
    <t>IZATUL AZIZAH</t>
  </si>
  <si>
    <t>DP-0082</t>
  </si>
  <si>
    <t>1503052210710002</t>
  </si>
  <si>
    <t>PARYANTO</t>
  </si>
  <si>
    <t>Jambi</t>
  </si>
  <si>
    <t>DP-0083</t>
  </si>
  <si>
    <t>1503051902130009</t>
  </si>
  <si>
    <t>1503051207800013</t>
  </si>
  <si>
    <t>ATIM</t>
  </si>
  <si>
    <t>SUBANG</t>
  </si>
  <si>
    <t>DP-0084</t>
  </si>
  <si>
    <t>1503054312850004</t>
  </si>
  <si>
    <t>SUPRIYATUN</t>
  </si>
  <si>
    <t>DP-0085</t>
  </si>
  <si>
    <t>1503051205070002</t>
  </si>
  <si>
    <t>WENDI</t>
  </si>
  <si>
    <t>DP-0086</t>
  </si>
  <si>
    <t>1503051904170001</t>
  </si>
  <si>
    <t>1503095108030003</t>
  </si>
  <si>
    <t>SHERLY SAVITRI</t>
  </si>
  <si>
    <t>DP-0087</t>
  </si>
  <si>
    <t>1605051209940003</t>
  </si>
  <si>
    <t>SUYADI</t>
  </si>
  <si>
    <t>DP-0088</t>
  </si>
  <si>
    <t>1503051912180004</t>
  </si>
  <si>
    <t>1605166704980002</t>
  </si>
  <si>
    <t>AFTY SRI PUJI ASTUTI</t>
  </si>
  <si>
    <t>BUMI MAKMUR</t>
  </si>
  <si>
    <t>DP-0089</t>
  </si>
  <si>
    <t>1605162610930001</t>
  </si>
  <si>
    <t>CATUR HENDRI PUTRA</t>
  </si>
  <si>
    <t>DP-0090</t>
  </si>
  <si>
    <t>1503052112100025</t>
  </si>
  <si>
    <t>1503051706700001</t>
  </si>
  <si>
    <t>MUHAMMAD RIDUAN</t>
  </si>
  <si>
    <t>PURWODADI</t>
  </si>
  <si>
    <t>RIDUAN</t>
  </si>
  <si>
    <t>DP-0091</t>
  </si>
  <si>
    <t>1272054404640004</t>
  </si>
  <si>
    <t>SURATIEM</t>
  </si>
  <si>
    <t>CILACAP</t>
  </si>
  <si>
    <t>DP-0092</t>
  </si>
  <si>
    <t>1503052303180001</t>
  </si>
  <si>
    <t>1503052811910002</t>
  </si>
  <si>
    <t>HENDRO TRISANTO</t>
  </si>
  <si>
    <t>DP-0093</t>
  </si>
  <si>
    <t>1503095904910003</t>
  </si>
  <si>
    <t>RIANI</t>
  </si>
  <si>
    <t>DP-0094</t>
  </si>
  <si>
    <t>1503052304140001</t>
  </si>
  <si>
    <t>1503092611900002</t>
  </si>
  <si>
    <t>HERI WAHYUDI</t>
  </si>
  <si>
    <t>DUSUN IV RAMBEJAYA</t>
  </si>
  <si>
    <t>DP-0095</t>
  </si>
  <si>
    <t>1503055201960004</t>
  </si>
  <si>
    <t>LINDRAWATI NINGSIH</t>
  </si>
  <si>
    <t>DP-0096</t>
  </si>
  <si>
    <t>1503052403200001</t>
  </si>
  <si>
    <t>1503052103930005</t>
  </si>
  <si>
    <t>DADANG HERMAWAN</t>
  </si>
  <si>
    <t>DP-0097</t>
  </si>
  <si>
    <t>1503095410900004</t>
  </si>
  <si>
    <t>IRNA WATI</t>
  </si>
  <si>
    <t>DP-0098</t>
  </si>
  <si>
    <t>1503052606120004</t>
  </si>
  <si>
    <t>1503051706920002</t>
  </si>
  <si>
    <t>ARIFIN</t>
  </si>
  <si>
    <t>SINGKUT 4</t>
  </si>
  <si>
    <t>DP-0099</t>
  </si>
  <si>
    <t>1503095007820001</t>
  </si>
  <si>
    <t>DIAHMA RINI</t>
  </si>
  <si>
    <t>DP-0100</t>
  </si>
  <si>
    <t>1503096202050002</t>
  </si>
  <si>
    <t>FEBY AMALIA PUTRI</t>
  </si>
  <si>
    <t>DP-0101</t>
  </si>
  <si>
    <t>1503052612100007</t>
  </si>
  <si>
    <t>1503051209910001</t>
  </si>
  <si>
    <t>EKO BUDIANTO</t>
  </si>
  <si>
    <t>DUSUN III SUKAMULYA</t>
  </si>
  <si>
    <t>DP-0102</t>
  </si>
  <si>
    <t>1503054107900250</t>
  </si>
  <si>
    <t>SARINA WATI</t>
  </si>
  <si>
    <t>DP-0103</t>
  </si>
  <si>
    <t>1503052803090020</t>
  </si>
  <si>
    <t>1503052408850001</t>
  </si>
  <si>
    <t>FATHUR ROHIM</t>
  </si>
  <si>
    <t>SUKA JAYA</t>
  </si>
  <si>
    <t>DP-0104</t>
  </si>
  <si>
    <t>1503054104860001</t>
  </si>
  <si>
    <t>RIRIN EFRIANI</t>
  </si>
  <si>
    <t>DP-0105</t>
  </si>
  <si>
    <t>1503055001580002</t>
  </si>
  <si>
    <t>BANYUWANGI</t>
  </si>
  <si>
    <t>DP-0106</t>
  </si>
  <si>
    <t>1503052909200002</t>
  </si>
  <si>
    <t>1503052004910001</t>
  </si>
  <si>
    <t>M. WIDODO FARIZ</t>
  </si>
  <si>
    <t>BANGUN JAYO</t>
  </si>
  <si>
    <t>DP-0107</t>
  </si>
  <si>
    <t>1503096505940002</t>
  </si>
  <si>
    <t>ZAKIYATUL MUTI'AH</t>
  </si>
  <si>
    <t>DP-0108</t>
  </si>
  <si>
    <t>1503053112150002</t>
  </si>
  <si>
    <t>1503095504920003</t>
  </si>
  <si>
    <t>FITRIANTI</t>
  </si>
  <si>
    <t>DP-0109</t>
  </si>
  <si>
    <t>1503052511910001</t>
  </si>
  <si>
    <t>SUSILO</t>
  </si>
  <si>
    <t>BENGKULU</t>
  </si>
  <si>
    <t>DP-0110</t>
  </si>
  <si>
    <t>1503090102100004</t>
  </si>
  <si>
    <t>1503097003060002</t>
  </si>
  <si>
    <t>LIDYA KUMALA SARI</t>
  </si>
  <si>
    <t>DP-0111</t>
  </si>
  <si>
    <t>1503090906850007</t>
  </si>
  <si>
    <t>MUHAMMAD HARUN</t>
  </si>
  <si>
    <t>DP-0112</t>
  </si>
  <si>
    <t>1503095309850003</t>
  </si>
  <si>
    <t>TUMINAH</t>
  </si>
  <si>
    <t>DP-0113</t>
  </si>
  <si>
    <t>1503090102230003</t>
  </si>
  <si>
    <t>1503051805910003</t>
  </si>
  <si>
    <t>AHMAD SANTOSO</t>
  </si>
  <si>
    <t>DUSUN KARYA MAKMUR</t>
  </si>
  <si>
    <t>DP-0114</t>
  </si>
  <si>
    <t>1503096102950001</t>
  </si>
  <si>
    <t>NURJANAH</t>
  </si>
  <si>
    <t>DP-0115</t>
  </si>
  <si>
    <t>1503090102240004</t>
  </si>
  <si>
    <t>1503051104940003</t>
  </si>
  <si>
    <t>ARDIYANTO</t>
  </si>
  <si>
    <t>LUBUK SEPUH</t>
  </si>
  <si>
    <t>DP-0116</t>
  </si>
  <si>
    <t>1503095111990002</t>
  </si>
  <si>
    <t>ASIH TRI TANTRI</t>
  </si>
  <si>
    <t>DP-0117</t>
  </si>
  <si>
    <t>1503090103100004</t>
  </si>
  <si>
    <t>1503095903820001</t>
  </si>
  <si>
    <t>RITA NUR INDAH SARI</t>
  </si>
  <si>
    <t>DP-0118</t>
  </si>
  <si>
    <t>1503091604880002</t>
  </si>
  <si>
    <t>WAHIDIN</t>
  </si>
  <si>
    <t>PERDAMAIAN</t>
  </si>
  <si>
    <t>DP-0119</t>
  </si>
  <si>
    <t>1503090103100010</t>
  </si>
  <si>
    <t>1503090401740003</t>
  </si>
  <si>
    <t>PAINO</t>
  </si>
  <si>
    <t>DP-0120</t>
  </si>
  <si>
    <t>1503094106750004</t>
  </si>
  <si>
    <t>SITI BA'DIYAH</t>
  </si>
  <si>
    <t>MAGETAN</t>
  </si>
  <si>
    <t>DP-0121</t>
  </si>
  <si>
    <t>1503090103100011</t>
  </si>
  <si>
    <t>1503095009070001</t>
  </si>
  <si>
    <t>AYU RAMAHDANI BR SIMANUNG KALIT</t>
  </si>
  <si>
    <t>DP-0122</t>
  </si>
  <si>
    <t>1503091110620001</t>
  </si>
  <si>
    <t>ERWIN SIMANUNG KALIT</t>
  </si>
  <si>
    <t>DP-0123</t>
  </si>
  <si>
    <t>1503095110720001</t>
  </si>
  <si>
    <t>SUPARTI</t>
  </si>
  <si>
    <t>DP-0124</t>
  </si>
  <si>
    <t>1503090103100012</t>
  </si>
  <si>
    <t>1503097003060003</t>
  </si>
  <si>
    <t>EVA KURNIATI</t>
  </si>
  <si>
    <t>DP-0125</t>
  </si>
  <si>
    <t>1503090407780001</t>
  </si>
  <si>
    <t>IRWAN</t>
  </si>
  <si>
    <t>DP-0126</t>
  </si>
  <si>
    <t>1503096107800003</t>
  </si>
  <si>
    <t>SULIMAH</t>
  </si>
  <si>
    <t>DP-0127</t>
  </si>
  <si>
    <t>1503090103100013</t>
  </si>
  <si>
    <t>1503096812050004</t>
  </si>
  <si>
    <t>ILMI NURAZIZAH</t>
  </si>
  <si>
    <t>DS. I PAYOLEBAR</t>
  </si>
  <si>
    <t>DP-0128</t>
  </si>
  <si>
    <t>1503091808790006</t>
  </si>
  <si>
    <t>KATIMUN</t>
  </si>
  <si>
    <t>DP-0129</t>
  </si>
  <si>
    <t>1503095410850005</t>
  </si>
  <si>
    <t>LILIK INDRI SURYANI</t>
  </si>
  <si>
    <t>DP-0130</t>
  </si>
  <si>
    <t>1503090103100016</t>
  </si>
  <si>
    <t>1503095905070001</t>
  </si>
  <si>
    <t>ANDHINI RIZKA AULIA</t>
  </si>
  <si>
    <t>DP-0131</t>
  </si>
  <si>
    <t>1503093010970002</t>
  </si>
  <si>
    <t>DAVIT ARIS FAUZAN</t>
  </si>
  <si>
    <t>DP-0132</t>
  </si>
  <si>
    <t>1503090606000003</t>
  </si>
  <si>
    <t>IKHWAN LUCKY ANDRIYAN</t>
  </si>
  <si>
    <t>DP-0133</t>
  </si>
  <si>
    <t>1503095101700002</t>
  </si>
  <si>
    <t>PARSIH</t>
  </si>
  <si>
    <t>DP-0134</t>
  </si>
  <si>
    <t>1503092309670001</t>
  </si>
  <si>
    <t>SUPARMAN</t>
  </si>
  <si>
    <t>PLAJU</t>
  </si>
  <si>
    <t>DP-0135</t>
  </si>
  <si>
    <t>1503090103130008</t>
  </si>
  <si>
    <t>1503096606950006</t>
  </si>
  <si>
    <t>SUTRI SUSARIANI</t>
  </si>
  <si>
    <t>DSNIII SUKA MULYA PAYOLEBAR</t>
  </si>
  <si>
    <t>DP-0136</t>
  </si>
  <si>
    <t>1503094303880001</t>
  </si>
  <si>
    <t>WAGIMIN</t>
  </si>
  <si>
    <t>DP-0137</t>
  </si>
  <si>
    <t>1503090103210004</t>
  </si>
  <si>
    <t>1503096508550001</t>
  </si>
  <si>
    <t>SUMARTI</t>
  </si>
  <si>
    <t>SEMARANG</t>
  </si>
  <si>
    <t>DP-0138</t>
  </si>
  <si>
    <t>1503090103210009</t>
  </si>
  <si>
    <t>1503092005950004</t>
  </si>
  <si>
    <t>KHOIRUL AMIN</t>
  </si>
  <si>
    <t>DP-0139</t>
  </si>
  <si>
    <t>1503096305980001</t>
  </si>
  <si>
    <t>TUTIK SUBEKTI</t>
  </si>
  <si>
    <t>SEI BENTENG SINGKUT</t>
  </si>
  <si>
    <t>DP-0140</t>
  </si>
  <si>
    <t>1503090103220002</t>
  </si>
  <si>
    <t>1503090610950001</t>
  </si>
  <si>
    <t>EFIN WIJAYA</t>
  </si>
  <si>
    <t>DP-0141</t>
  </si>
  <si>
    <t>1503090205070001</t>
  </si>
  <si>
    <t>JAE SAPUTRA</t>
  </si>
  <si>
    <t>DP-0142</t>
  </si>
  <si>
    <t>1503094505600002</t>
  </si>
  <si>
    <t>KAMINAH</t>
  </si>
  <si>
    <t>JATENG</t>
  </si>
  <si>
    <t>DP-0143</t>
  </si>
  <si>
    <t>1503091205030001</t>
  </si>
  <si>
    <t>SENIMAN</t>
  </si>
  <si>
    <t>DP-0144</t>
  </si>
  <si>
    <t>1503090104090003</t>
  </si>
  <si>
    <t>1503091103650003</t>
  </si>
  <si>
    <t>SUMARJI</t>
  </si>
  <si>
    <t>TULUNG AGUNG</t>
  </si>
  <si>
    <t>DP-0145</t>
  </si>
  <si>
    <t>1503090104090005</t>
  </si>
  <si>
    <t>1503090107820018</t>
  </si>
  <si>
    <t>PURNOMO</t>
  </si>
  <si>
    <t>DP-0146</t>
  </si>
  <si>
    <t>1503095302070004</t>
  </si>
  <si>
    <t>RAHMA AYU FEBRIANTI</t>
  </si>
  <si>
    <t>DP-0147</t>
  </si>
  <si>
    <t>1503095305860001</t>
  </si>
  <si>
    <t>SITI AYU MIYATI</t>
  </si>
  <si>
    <t>DP-0148</t>
  </si>
  <si>
    <t>1503090104090006</t>
  </si>
  <si>
    <t>1503092404040003</t>
  </si>
  <si>
    <t>ALEX CANDRA</t>
  </si>
  <si>
    <t>DP-0149</t>
  </si>
  <si>
    <t>1503092802690001</t>
  </si>
  <si>
    <t>DAMIRI</t>
  </si>
  <si>
    <t>JAWA TIMUR</t>
  </si>
  <si>
    <t>DP-0150</t>
  </si>
  <si>
    <t>1503095805720001</t>
  </si>
  <si>
    <t>NUR HIKMAH</t>
  </si>
  <si>
    <t>JAWA TENGAH</t>
  </si>
  <si>
    <t>DP-0151</t>
  </si>
  <si>
    <t>1503090104090008</t>
  </si>
  <si>
    <t>1503095804990001</t>
  </si>
  <si>
    <t>DENDA AFRIAN</t>
  </si>
  <si>
    <t>DP-0152</t>
  </si>
  <si>
    <t>1503094907770001</t>
  </si>
  <si>
    <t>MARYATI</t>
  </si>
  <si>
    <t>1503091007240002</t>
  </si>
  <si>
    <t>DP-0153</t>
  </si>
  <si>
    <t>1503091405720001</t>
  </si>
  <si>
    <t>MUALIMIN</t>
  </si>
  <si>
    <t>KEDIRI</t>
  </si>
  <si>
    <t>DP-0154</t>
  </si>
  <si>
    <t>1503090104090009</t>
  </si>
  <si>
    <t>1503094404770002</t>
  </si>
  <si>
    <t>ANJARWATI</t>
  </si>
  <si>
    <t>JEMBER</t>
  </si>
  <si>
    <t>DP-0155</t>
  </si>
  <si>
    <t>1503091009700002</t>
  </si>
  <si>
    <t>KASI</t>
  </si>
  <si>
    <t>DP-0156</t>
  </si>
  <si>
    <t>1503091010030007</t>
  </si>
  <si>
    <t>RENDI SAPUTRA</t>
  </si>
  <si>
    <t>DP-0157</t>
  </si>
  <si>
    <t>1503090104090010</t>
  </si>
  <si>
    <t>1503091204060003</t>
  </si>
  <si>
    <t>M. RIZKY AULIA</t>
  </si>
  <si>
    <t>DP-0158</t>
  </si>
  <si>
    <t>1503090309790003</t>
  </si>
  <si>
    <t>MUJIONO</t>
  </si>
  <si>
    <t>DP-0159</t>
  </si>
  <si>
    <t>1503095106800002</t>
  </si>
  <si>
    <t>NURHIDAYATI</t>
  </si>
  <si>
    <t>DP-0160</t>
  </si>
  <si>
    <t>1503090104090011</t>
  </si>
  <si>
    <t>1503094607600003</t>
  </si>
  <si>
    <t>SARIYEM</t>
  </si>
  <si>
    <t>DP-0161</t>
  </si>
  <si>
    <t>1503090104090013</t>
  </si>
  <si>
    <t>1503095307070002</t>
  </si>
  <si>
    <t>LIVIA ADE CAROLINE</t>
  </si>
  <si>
    <t>DP-0162</t>
  </si>
  <si>
    <t>1503091807760001</t>
  </si>
  <si>
    <t>PAIRUN</t>
  </si>
  <si>
    <t>DP-0163</t>
  </si>
  <si>
    <t>1503095208780004</t>
  </si>
  <si>
    <t>YAYAT</t>
  </si>
  <si>
    <t>LAHAT</t>
  </si>
  <si>
    <t>DP-0164</t>
  </si>
  <si>
    <t>1503090104090015</t>
  </si>
  <si>
    <t>1503093006040002</t>
  </si>
  <si>
    <t>AGAM TARAJA BINTANG</t>
  </si>
  <si>
    <t>DP-0165</t>
  </si>
  <si>
    <t>1503095809750001</t>
  </si>
  <si>
    <t>KASMINI</t>
  </si>
  <si>
    <t>DP-0166</t>
  </si>
  <si>
    <t>1503091808720004</t>
  </si>
  <si>
    <t>LASIMIN</t>
  </si>
  <si>
    <t>DP-0167</t>
  </si>
  <si>
    <t>1503090104090016</t>
  </si>
  <si>
    <t>1503095605760002</t>
  </si>
  <si>
    <t>ROSITA</t>
  </si>
  <si>
    <t>TELUK PINANG</t>
  </si>
  <si>
    <t>DP-0168</t>
  </si>
  <si>
    <t>1503091508700001</t>
  </si>
  <si>
    <t>SUNARNO</t>
  </si>
  <si>
    <t>DEMAK- JATENG</t>
  </si>
  <si>
    <t>DP-0169</t>
  </si>
  <si>
    <t>1503090104090018</t>
  </si>
  <si>
    <t>1503095212060003</t>
  </si>
  <si>
    <t>MAYSUN ZAKIYATUN NABILAH</t>
  </si>
  <si>
    <t>DUSUN SUKA JADI</t>
  </si>
  <si>
    <t>DP-0170</t>
  </si>
  <si>
    <t>1503090206710001</t>
  </si>
  <si>
    <t>NUR MUHAMMAD DARSONO</t>
  </si>
  <si>
    <t>DP-0171</t>
  </si>
  <si>
    <t>1503094603750003</t>
  </si>
  <si>
    <t>SUMARDININGSIH</t>
  </si>
  <si>
    <t>DP-0172</t>
  </si>
  <si>
    <t>1503097001020002</t>
  </si>
  <si>
    <t>TANTRI NURIYAH</t>
  </si>
  <si>
    <t>BUKIT MURAU</t>
  </si>
  <si>
    <t>DP-0173</t>
  </si>
  <si>
    <t>1503090104090019</t>
  </si>
  <si>
    <t>1503095810710001</t>
  </si>
  <si>
    <t>RASILAH</t>
  </si>
  <si>
    <t>DEGELAN</t>
  </si>
  <si>
    <t>DP-0174</t>
  </si>
  <si>
    <t>1503092901660002</t>
  </si>
  <si>
    <t>SUTARTO</t>
  </si>
  <si>
    <t>DP-0175</t>
  </si>
  <si>
    <t>1503090104090020</t>
  </si>
  <si>
    <t>1503092406720001</t>
  </si>
  <si>
    <t>MUHABIB</t>
  </si>
  <si>
    <t>SALATIGA</t>
  </si>
  <si>
    <t>DP-0176</t>
  </si>
  <si>
    <t>1503095009770001</t>
  </si>
  <si>
    <t>RINIATI</t>
  </si>
  <si>
    <t>DP-0177</t>
  </si>
  <si>
    <t>1503090104100004</t>
  </si>
  <si>
    <t>1503094201050005</t>
  </si>
  <si>
    <t>IMELDA DWI LESTARI</t>
  </si>
  <si>
    <t>KARYA AGUNG</t>
  </si>
  <si>
    <t>DP-0178</t>
  </si>
  <si>
    <t>1503096606760003</t>
  </si>
  <si>
    <t>RUSMINI</t>
  </si>
  <si>
    <t>DP-0179</t>
  </si>
  <si>
    <t>1503090906730001</t>
  </si>
  <si>
    <t>SARJO</t>
  </si>
  <si>
    <t>WONOGIRI</t>
  </si>
  <si>
    <t>DP-0180</t>
  </si>
  <si>
    <t>1503090104100006</t>
  </si>
  <si>
    <t>1503096402030002</t>
  </si>
  <si>
    <t>AZZAHRA AYU PRADITHA</t>
  </si>
  <si>
    <t>JAKARTA</t>
  </si>
  <si>
    <t>DP-0181</t>
  </si>
  <si>
    <t>1503092104760001</t>
  </si>
  <si>
    <t>JOKO SISWANTO</t>
  </si>
  <si>
    <t>DP-0182</t>
  </si>
  <si>
    <t>1503096010060002</t>
  </si>
  <si>
    <t>NADINE ARSHINTA ZAHWA</t>
  </si>
  <si>
    <t>DP-0183</t>
  </si>
  <si>
    <t>1503095008800001</t>
  </si>
  <si>
    <t>WIDA HARTATIK</t>
  </si>
  <si>
    <t>DP-0184</t>
  </si>
  <si>
    <t>1503090104100007</t>
  </si>
  <si>
    <t>1503095109980003</t>
  </si>
  <si>
    <t>DEVI FITRIANA</t>
  </si>
  <si>
    <t>DUSUN III PAYO LEBAR</t>
  </si>
  <si>
    <t>DP-0185</t>
  </si>
  <si>
    <t>1503092502890002</t>
  </si>
  <si>
    <t>WAHYU DARMAWAN</t>
  </si>
  <si>
    <t>DP-0186</t>
  </si>
  <si>
    <t>1503090106110002</t>
  </si>
  <si>
    <t>1503092205800002</t>
  </si>
  <si>
    <t>DEDE SUPRIYADI</t>
  </si>
  <si>
    <t>DP-0187</t>
  </si>
  <si>
    <t>1503097009890004</t>
  </si>
  <si>
    <t>EKA RISNANI</t>
  </si>
  <si>
    <t>DP-0188</t>
  </si>
  <si>
    <t>1503090106150002</t>
  </si>
  <si>
    <t>1503090411590001</t>
  </si>
  <si>
    <t>FAOGONA ZEBUA</t>
  </si>
  <si>
    <t>NIAS</t>
  </si>
  <si>
    <t>DP-0189</t>
  </si>
  <si>
    <t>1503095012590002</t>
  </si>
  <si>
    <t>NURIANI SARAGIH</t>
  </si>
  <si>
    <t>SIMALUNGUN</t>
  </si>
  <si>
    <t>DP-0190</t>
  </si>
  <si>
    <t>1503090107190004</t>
  </si>
  <si>
    <t>1503095407900002</t>
  </si>
  <si>
    <t>ETIK KUSRINI</t>
  </si>
  <si>
    <t>DP-0191</t>
  </si>
  <si>
    <t>1503090504820001</t>
  </si>
  <si>
    <t>FARID ANDI WAHYU RIBOWO</t>
  </si>
  <si>
    <t>DP-0192</t>
  </si>
  <si>
    <t>1503090107200008</t>
  </si>
  <si>
    <t>1605167008960001</t>
  </si>
  <si>
    <t>ELPIKA SADA</t>
  </si>
  <si>
    <t>BIARO LAMA</t>
  </si>
  <si>
    <t>DP-0193</t>
  </si>
  <si>
    <t>1503091506970002</t>
  </si>
  <si>
    <t>MUCHAMMAD IRFANDI</t>
  </si>
  <si>
    <t>DP-0194</t>
  </si>
  <si>
    <t>1503090108180001</t>
  </si>
  <si>
    <t>1302111106730002</t>
  </si>
  <si>
    <t>ALWIZON</t>
  </si>
  <si>
    <t>TANJUNG ALAI</t>
  </si>
  <si>
    <t>DP-0195</t>
  </si>
  <si>
    <t>1771076712810002</t>
  </si>
  <si>
    <t>DARMAWATI</t>
  </si>
  <si>
    <t>DP-0196</t>
  </si>
  <si>
    <t>1771071703060002</t>
  </si>
  <si>
    <t>JOAN PUTRA HERIANSYAH</t>
  </si>
  <si>
    <t>DP-0197</t>
  </si>
  <si>
    <t>1503090108180002</t>
  </si>
  <si>
    <t>1503094805070003</t>
  </si>
  <si>
    <t>CINTA BERLIANA PUTRI</t>
  </si>
  <si>
    <t>DP-0198</t>
  </si>
  <si>
    <t>1503094206810003</t>
  </si>
  <si>
    <t>HARYANTI</t>
  </si>
  <si>
    <t>KLATEN</t>
  </si>
  <si>
    <t>DP-0199</t>
  </si>
  <si>
    <t>1503092404990003</t>
  </si>
  <si>
    <t>ILHAM CHOIRUL MABRUR</t>
  </si>
  <si>
    <t>DP-0200</t>
  </si>
  <si>
    <t>1503091708700001</t>
  </si>
  <si>
    <t>KASIBAN</t>
  </si>
  <si>
    <t>DP-0201</t>
  </si>
  <si>
    <t>1503090408020003</t>
  </si>
  <si>
    <t>LUTFI SATRIA SAKTI</t>
  </si>
  <si>
    <t>HITAM ULU JAYA</t>
  </si>
  <si>
    <t>DP-0202</t>
  </si>
  <si>
    <t>1503094211060002</t>
  </si>
  <si>
    <t>NUR SEFI ANJANI SABILLA</t>
  </si>
  <si>
    <t>DP-0203</t>
  </si>
  <si>
    <t>1503090108220003</t>
  </si>
  <si>
    <t>1503095109600002</t>
  </si>
  <si>
    <t>HARINI</t>
  </si>
  <si>
    <t>DP-0204</t>
  </si>
  <si>
    <t>1503090108220009</t>
  </si>
  <si>
    <t>1503091905060001</t>
  </si>
  <si>
    <t>ARDI WIBOWO PAMUNGKAS</t>
  </si>
  <si>
    <t>BANGKO</t>
  </si>
  <si>
    <t>DP-0205</t>
  </si>
  <si>
    <t>1503097101640001</t>
  </si>
  <si>
    <t>PUJI LESTARI</t>
  </si>
  <si>
    <t>DP-0206</t>
  </si>
  <si>
    <t>1503090109090004</t>
  </si>
  <si>
    <t>1503090907680004</t>
  </si>
  <si>
    <t>HENDRO</t>
  </si>
  <si>
    <t>DP-0207</t>
  </si>
  <si>
    <t>1503091407020003</t>
  </si>
  <si>
    <t>IKHWAN KHOIRUL KHOLIS</t>
  </si>
  <si>
    <t>DP-0208</t>
  </si>
  <si>
    <t>1503095809700002</t>
  </si>
  <si>
    <t>SRI NINGSIH</t>
  </si>
  <si>
    <t>DP-0209</t>
  </si>
  <si>
    <t>1503090109090005</t>
  </si>
  <si>
    <t>1503096009050001</t>
  </si>
  <si>
    <t>LILI EVA FAHRUNNISA</t>
  </si>
  <si>
    <t>DS I PAYOLEBAR</t>
  </si>
  <si>
    <t>DP-0210</t>
  </si>
  <si>
    <t>1503090112640002</t>
  </si>
  <si>
    <t>PURWANTO</t>
  </si>
  <si>
    <t>TRENGGALEK</t>
  </si>
  <si>
    <t>DP-0211</t>
  </si>
  <si>
    <t>1503095408680002</t>
  </si>
  <si>
    <t>TUMINEM</t>
  </si>
  <si>
    <t>DP-0212</t>
  </si>
  <si>
    <t>1503090109100002</t>
  </si>
  <si>
    <t>1503091105590001</t>
  </si>
  <si>
    <t>GUNANTO</t>
  </si>
  <si>
    <t>DP-0213</t>
  </si>
  <si>
    <t>1503094201680001</t>
  </si>
  <si>
    <t>BLITAR</t>
  </si>
  <si>
    <t>DP-0214</t>
  </si>
  <si>
    <t>1503090109100004</t>
  </si>
  <si>
    <t>1503095211060001</t>
  </si>
  <si>
    <t>DIAN</t>
  </si>
  <si>
    <t>DUSUN SUKA MULYA PAYO LEBAR</t>
  </si>
  <si>
    <t>DP-0215</t>
  </si>
  <si>
    <t>1503094107600071</t>
  </si>
  <si>
    <t>SIBAH</t>
  </si>
  <si>
    <t>DP-0216</t>
  </si>
  <si>
    <t>1503090107550053</t>
  </si>
  <si>
    <t>SURIPTO</t>
  </si>
  <si>
    <t>DP-0217</t>
  </si>
  <si>
    <t>1503090109100005</t>
  </si>
  <si>
    <t>1503092004530002</t>
  </si>
  <si>
    <t>KASNARI</t>
  </si>
  <si>
    <t>DP-0218</t>
  </si>
  <si>
    <t>1503094705610001</t>
  </si>
  <si>
    <t>WAKIJAH</t>
  </si>
  <si>
    <t>DP-0219</t>
  </si>
  <si>
    <t>1503090109160004</t>
  </si>
  <si>
    <t>1503056110900001</t>
  </si>
  <si>
    <t>SRIYANTI</t>
  </si>
  <si>
    <t>DP-0220</t>
  </si>
  <si>
    <t>1503090208890001</t>
  </si>
  <si>
    <t>TUTUT SUJOKO</t>
  </si>
  <si>
    <t>DP-0221</t>
  </si>
  <si>
    <t>1503090109220002</t>
  </si>
  <si>
    <t>1702242412940001</t>
  </si>
  <si>
    <t>ADE WIKA SAPUTRA</t>
  </si>
  <si>
    <t>DP-0222</t>
  </si>
  <si>
    <t>1503055104970005</t>
  </si>
  <si>
    <t>SRI REZKI</t>
  </si>
  <si>
    <t>PELAYANG</t>
  </si>
  <si>
    <t>DP-0223</t>
  </si>
  <si>
    <t>1503090109230001</t>
  </si>
  <si>
    <t>1503091510980002</t>
  </si>
  <si>
    <t>IRVAN KHOIRUDIN</t>
  </si>
  <si>
    <t>DP-0224</t>
  </si>
  <si>
    <t>1503090110070004</t>
  </si>
  <si>
    <t>1503091707660001</t>
  </si>
  <si>
    <t>SARGINEN</t>
  </si>
  <si>
    <t>DP-0225</t>
  </si>
  <si>
    <t>1503095707800001</t>
  </si>
  <si>
    <t>SUTI MARTINI</t>
  </si>
  <si>
    <t>DP-0226</t>
  </si>
  <si>
    <t>1503090110070005</t>
  </si>
  <si>
    <t>1503091707650001</t>
  </si>
  <si>
    <t>JAIS</t>
  </si>
  <si>
    <t>DSPAYO LEBAR</t>
  </si>
  <si>
    <t>DP-0227</t>
  </si>
  <si>
    <t>1503095707730001</t>
  </si>
  <si>
    <t>NITUN</t>
  </si>
  <si>
    <t>DP-0228</t>
  </si>
  <si>
    <t>1503090110070007</t>
  </si>
  <si>
    <t>1503091707460001</t>
  </si>
  <si>
    <t>SARKAM</t>
  </si>
  <si>
    <t>ok</t>
  </si>
  <si>
    <t>DP-0229</t>
  </si>
  <si>
    <t>1503095707530002</t>
  </si>
  <si>
    <t>TUKINEM</t>
  </si>
  <si>
    <t>DP-0230</t>
  </si>
  <si>
    <t>1503090110070013</t>
  </si>
  <si>
    <t>1503095802040001</t>
  </si>
  <si>
    <t>AMANDA DWI PRATIKA SARI</t>
  </si>
  <si>
    <t>DP-0231</t>
  </si>
  <si>
    <t>1503090505790003</t>
  </si>
  <si>
    <t>SURATNO</t>
  </si>
  <si>
    <t>DP-0232</t>
  </si>
  <si>
    <t>1503094207820002</t>
  </si>
  <si>
    <t>WIWIN CAHYANI</t>
  </si>
  <si>
    <t>DP-0233</t>
  </si>
  <si>
    <t>1503090110140001</t>
  </si>
  <si>
    <t>1503095508790008</t>
  </si>
  <si>
    <t>FITRAYATI</t>
  </si>
  <si>
    <t>MUARA INDUNG</t>
  </si>
  <si>
    <t>DUSUN A</t>
  </si>
  <si>
    <t>DP-0234</t>
  </si>
  <si>
    <t>1503095701060001</t>
  </si>
  <si>
    <t>SITI KHUSNUL KHOTIMAH</t>
  </si>
  <si>
    <t>DP-0235</t>
  </si>
  <si>
    <t>1503090110150004</t>
  </si>
  <si>
    <t>1503091010880001</t>
  </si>
  <si>
    <t>DP-0236</t>
  </si>
  <si>
    <t>1503095008930001</t>
  </si>
  <si>
    <t>SRI SURYANI</t>
  </si>
  <si>
    <t>DP-0237</t>
  </si>
  <si>
    <t>1503090112100002</t>
  </si>
  <si>
    <t>1503096812650001</t>
  </si>
  <si>
    <t>JUANAH</t>
  </si>
  <si>
    <t>DP-0238</t>
  </si>
  <si>
    <t>1503090112100003</t>
  </si>
  <si>
    <t>1503091210400001</t>
  </si>
  <si>
    <t>K.H.BAIJURI</t>
  </si>
  <si>
    <t>SOLO TIGO</t>
  </si>
  <si>
    <t>DP-0239</t>
  </si>
  <si>
    <t>1503090112150001</t>
  </si>
  <si>
    <t>1503096611860001</t>
  </si>
  <si>
    <t>EKA ANGGRAENI</t>
  </si>
  <si>
    <t>SINGKUT II PAYO LEBAR</t>
  </si>
  <si>
    <t>DP-0240</t>
  </si>
  <si>
    <t>1503091404820003</t>
  </si>
  <si>
    <t>HERY</t>
  </si>
  <si>
    <t>TUGUMULYO</t>
  </si>
  <si>
    <t>DP-0241</t>
  </si>
  <si>
    <t>1503094710060001</t>
  </si>
  <si>
    <t>NANDA FIORENTINA</t>
  </si>
  <si>
    <t>DP-0242</t>
  </si>
  <si>
    <t>1503094710060002</t>
  </si>
  <si>
    <t>NANDO FIORENTINO</t>
  </si>
  <si>
    <t>DP-0243</t>
  </si>
  <si>
    <t>1503090201130006</t>
  </si>
  <si>
    <t>1503091308880001</t>
  </si>
  <si>
    <t>AGUS SARWONO</t>
  </si>
  <si>
    <t>REMBAN JAYA</t>
  </si>
  <si>
    <t>DP-0244</t>
  </si>
  <si>
    <t>1503094106920002</t>
  </si>
  <si>
    <t>YUNI PURMITA SARI</t>
  </si>
  <si>
    <t>DP-0245</t>
  </si>
  <si>
    <t>1503090201130014</t>
  </si>
  <si>
    <t>1503096810040004</t>
  </si>
  <si>
    <t>RINA RAMADANI</t>
  </si>
  <si>
    <t>DP-0246</t>
  </si>
  <si>
    <t>1503091509820002</t>
  </si>
  <si>
    <t>SUHARDI</t>
  </si>
  <si>
    <t>DP-0247</t>
  </si>
  <si>
    <t>1503096705850002</t>
  </si>
  <si>
    <t>SUTINAH</t>
  </si>
  <si>
    <t>DP-0248</t>
  </si>
  <si>
    <t>1503090202090033</t>
  </si>
  <si>
    <t>1503090404830002</t>
  </si>
  <si>
    <t>DEDI WAHYUDI</t>
  </si>
  <si>
    <t>DP-0249</t>
  </si>
  <si>
    <t>1503096012870002</t>
  </si>
  <si>
    <t>TETDIAN RAHMI</t>
  </si>
  <si>
    <t>DP-0250</t>
  </si>
  <si>
    <t>1503090202100011</t>
  </si>
  <si>
    <t>1503092601000002</t>
  </si>
  <si>
    <t>HARSONO</t>
  </si>
  <si>
    <t>DP-0251</t>
  </si>
  <si>
    <t>1503092107010003</t>
  </si>
  <si>
    <t>PADLUN HARYANTO</t>
  </si>
  <si>
    <t>DP-0252</t>
  </si>
  <si>
    <t>1503092107600001</t>
  </si>
  <si>
    <t>SARJAN</t>
  </si>
  <si>
    <t>DP-0253</t>
  </si>
  <si>
    <t>1503094507670006</t>
  </si>
  <si>
    <t>SULATUN</t>
  </si>
  <si>
    <t>JATIM</t>
  </si>
  <si>
    <t>DP-0254</t>
  </si>
  <si>
    <t>1503090202110008</t>
  </si>
  <si>
    <t>1503091908690002</t>
  </si>
  <si>
    <t>EDY WALUYO</t>
  </si>
  <si>
    <t>DP-0255</t>
  </si>
  <si>
    <t>1503090110040005</t>
  </si>
  <si>
    <t>GADING WAREZA</t>
  </si>
  <si>
    <t>DP-0256</t>
  </si>
  <si>
    <t>1503095208700005</t>
  </si>
  <si>
    <t>SUNARTI</t>
  </si>
  <si>
    <t>SOLO</t>
  </si>
  <si>
    <t>DP-0257</t>
  </si>
  <si>
    <t>1503090202230001</t>
  </si>
  <si>
    <t>1503095010740004</t>
  </si>
  <si>
    <t>NURHAYATI</t>
  </si>
  <si>
    <t>SEI. MANAU</t>
  </si>
  <si>
    <t>DP-0258</t>
  </si>
  <si>
    <t>1503090709650002</t>
  </si>
  <si>
    <t>NURSUPI YANTO</t>
  </si>
  <si>
    <t>SRAGEN</t>
  </si>
  <si>
    <t>DP-0259</t>
  </si>
  <si>
    <t>1503094307040002</t>
  </si>
  <si>
    <t>SELMA INDRIYANI</t>
  </si>
  <si>
    <t>DP-0260</t>
  </si>
  <si>
    <t>1503091010940005</t>
  </si>
  <si>
    <t>TOMO</t>
  </si>
  <si>
    <t>DP-0261</t>
  </si>
  <si>
    <t>1503090202240001</t>
  </si>
  <si>
    <t>1503094608870003</t>
  </si>
  <si>
    <t>IMALIS CAHYA SARI</t>
  </si>
  <si>
    <t>JL. A. YANI</t>
  </si>
  <si>
    <t>DP-0262</t>
  </si>
  <si>
    <t>1503090707840002</t>
  </si>
  <si>
    <t>SONI SETIAWAN</t>
  </si>
  <si>
    <t>TANJUNG JABUNG TIMUR</t>
  </si>
  <si>
    <t>DP-0263</t>
  </si>
  <si>
    <t>1503090203100013</t>
  </si>
  <si>
    <t>1503092703790001</t>
  </si>
  <si>
    <t>BANDI</t>
  </si>
  <si>
    <t>DP-0264</t>
  </si>
  <si>
    <t>1503090106060003</t>
  </si>
  <si>
    <t>BARLIAN DANIEL SADEWO</t>
  </si>
  <si>
    <t>DP-0265</t>
  </si>
  <si>
    <t>1503095404880005</t>
  </si>
  <si>
    <t>DARTIYAH</t>
  </si>
  <si>
    <t>MIRASI</t>
  </si>
  <si>
    <t>DP-0266</t>
  </si>
  <si>
    <t>1503090203100017</t>
  </si>
  <si>
    <t>1503092811750004</t>
  </si>
  <si>
    <t>KUSDI</t>
  </si>
  <si>
    <t>DP-0267</t>
  </si>
  <si>
    <t>1503095902070004</t>
  </si>
  <si>
    <t>RUMI ATI NARWIN</t>
  </si>
  <si>
    <t>DP-0268</t>
  </si>
  <si>
    <t>1503095501820003</t>
  </si>
  <si>
    <t>WARLIAH</t>
  </si>
  <si>
    <t>LUBUK LINGGAU</t>
  </si>
  <si>
    <t>DP-0269</t>
  </si>
  <si>
    <t>1503090203100021</t>
  </si>
  <si>
    <t>1503095211800004</t>
  </si>
  <si>
    <t>LUSI IRAWAN</t>
  </si>
  <si>
    <t>DP-0270</t>
  </si>
  <si>
    <t>1503090911790004</t>
  </si>
  <si>
    <t>MAHMURI</t>
  </si>
  <si>
    <t>DP-0271</t>
  </si>
  <si>
    <t>1503096011020006</t>
  </si>
  <si>
    <t>PUTRI RAMADAYANTI</t>
  </si>
  <si>
    <t>DP-0272</t>
  </si>
  <si>
    <t>1503090203100023</t>
  </si>
  <si>
    <t>1503096803880001</t>
  </si>
  <si>
    <t>LINDA MARYANTI</t>
  </si>
  <si>
    <t>DP-0273</t>
  </si>
  <si>
    <t>1503090604850005</t>
  </si>
  <si>
    <t>MUGHNI</t>
  </si>
  <si>
    <t>DP-0274</t>
  </si>
  <si>
    <t>1503090203100024</t>
  </si>
  <si>
    <t>1503094504620004</t>
  </si>
  <si>
    <t>SAMINI</t>
  </si>
  <si>
    <t>DP-0275</t>
  </si>
  <si>
    <t>1503090203100025</t>
  </si>
  <si>
    <t>1503092408010004</t>
  </si>
  <si>
    <t>HARDIYAN EKA PRASETIO</t>
  </si>
  <si>
    <t>DP-0276</t>
  </si>
  <si>
    <t>1503091510740001</t>
  </si>
  <si>
    <t>M. RIADI</t>
  </si>
  <si>
    <t>GANDONG</t>
  </si>
  <si>
    <t>DP-0277</t>
  </si>
  <si>
    <t>1503095209770001</t>
  </si>
  <si>
    <t>SUHARTI</t>
  </si>
  <si>
    <t>KARANG MENDAPO</t>
  </si>
  <si>
    <t>1503090011020006</t>
  </si>
  <si>
    <t>DP-0278</t>
  </si>
  <si>
    <t>1503094302060001</t>
  </si>
  <si>
    <t>WAFIQ FATIKA SARI</t>
  </si>
  <si>
    <t>DS. II PAYO LEBAR</t>
  </si>
  <si>
    <t>DP-0279</t>
  </si>
  <si>
    <t>1503090203100031</t>
  </si>
  <si>
    <t>1503095610850002</t>
  </si>
  <si>
    <t>LILIK PURWATI</t>
  </si>
  <si>
    <t>DP-0280</t>
  </si>
  <si>
    <t>1503091204040004</t>
  </si>
  <si>
    <t>MUHAMMAD NASRUDIN</t>
  </si>
  <si>
    <t>DP-0281</t>
  </si>
  <si>
    <t>1503092206810003</t>
  </si>
  <si>
    <t>SUPRIYANTO</t>
  </si>
  <si>
    <t>DP-0282</t>
  </si>
  <si>
    <t>1503090203160001</t>
  </si>
  <si>
    <t>1812011606670003</t>
  </si>
  <si>
    <t>ALIP</t>
  </si>
  <si>
    <t>BANYUMAS</t>
  </si>
  <si>
    <t>DP-0283</t>
  </si>
  <si>
    <t>1812015505710003</t>
  </si>
  <si>
    <t>SIIN</t>
  </si>
  <si>
    <t>DP-0284</t>
  </si>
  <si>
    <t>1503090203180005</t>
  </si>
  <si>
    <t>1503094611850003</t>
  </si>
  <si>
    <t>WIWIK RAHAYU</t>
  </si>
  <si>
    <t>DUSUN II PAYO LEBAR</t>
  </si>
  <si>
    <t>DP-0285</t>
  </si>
  <si>
    <t>1503090203180011</t>
  </si>
  <si>
    <t>1503051706950005</t>
  </si>
  <si>
    <t>ANGGA SAPUTRA</t>
  </si>
  <si>
    <t>DP-0286</t>
  </si>
  <si>
    <t>1503095206940002</t>
  </si>
  <si>
    <t>EKA PUTRI WULANDARI</t>
  </si>
  <si>
    <t>DP-0287</t>
  </si>
  <si>
    <t>1503090203230002</t>
  </si>
  <si>
    <t>1503090805010001</t>
  </si>
  <si>
    <t>ARIS FERDIANSAH</t>
  </si>
  <si>
    <t>DP-0288</t>
  </si>
  <si>
    <t>1505085409020009</t>
  </si>
  <si>
    <t>SEPTI PAJRIANI</t>
  </si>
  <si>
    <t>PETALING JAYA</t>
  </si>
  <si>
    <t>DP-0289</t>
  </si>
  <si>
    <t>1503090203230003</t>
  </si>
  <si>
    <t>1503095707800003</t>
  </si>
  <si>
    <t>SULIKAH</t>
  </si>
  <si>
    <t>DP-0290</t>
  </si>
  <si>
    <t>1503090204090008</t>
  </si>
  <si>
    <t>1503095303070001</t>
  </si>
  <si>
    <t>ANGGUN GHEA FADILLA</t>
  </si>
  <si>
    <t>DP-0291</t>
  </si>
  <si>
    <t>1503091710770003</t>
  </si>
  <si>
    <t>M. RIYANTO</t>
  </si>
  <si>
    <t>DP-0292</t>
  </si>
  <si>
    <t>1503096010850002</t>
  </si>
  <si>
    <t>SITI MUYA SAROH</t>
  </si>
  <si>
    <t>DP-0293</t>
  </si>
  <si>
    <t>1503090204090010</t>
  </si>
  <si>
    <t>1503091204850003</t>
  </si>
  <si>
    <t>ANDIKA SUSENO</t>
  </si>
  <si>
    <t>DP-0294</t>
  </si>
  <si>
    <t>1503090205190003</t>
  </si>
  <si>
    <t>1503091407920002</t>
  </si>
  <si>
    <t>EDI SANTOSO</t>
  </si>
  <si>
    <t>DP-0295</t>
  </si>
  <si>
    <t>1503092203950001</t>
  </si>
  <si>
    <t>YENI YULIANA</t>
  </si>
  <si>
    <t>DP-0296</t>
  </si>
  <si>
    <t>1503090205230005</t>
  </si>
  <si>
    <t>1503091404970003</t>
  </si>
  <si>
    <t>HENDRI SAPUTRA</t>
  </si>
  <si>
    <t>DP-0297</t>
  </si>
  <si>
    <t>1502204310000001</t>
  </si>
  <si>
    <t>LISA ROYANI</t>
  </si>
  <si>
    <t>MERANGIN</t>
  </si>
  <si>
    <t>DP-0298</t>
  </si>
  <si>
    <t>1503090206130001</t>
  </si>
  <si>
    <t>1503091807850003</t>
  </si>
  <si>
    <t>ANIS WINARTO</t>
  </si>
  <si>
    <t>DP-0299</t>
  </si>
  <si>
    <t>3313075010910001</t>
  </si>
  <si>
    <t>KARANGANYAR</t>
  </si>
  <si>
    <t>DP-0300</t>
  </si>
  <si>
    <t>1503090206220001</t>
  </si>
  <si>
    <t>1603054502000003</t>
  </si>
  <si>
    <t>FERAWATI</t>
  </si>
  <si>
    <t>PENDOPO</t>
  </si>
  <si>
    <t>DP-0301</t>
  </si>
  <si>
    <t>1503091212010006</t>
  </si>
  <si>
    <t>WAHYU RIZKY ROMADHON</t>
  </si>
  <si>
    <t>DP-0302</t>
  </si>
  <si>
    <t>1503090206220010</t>
  </si>
  <si>
    <t>1503096707990002</t>
  </si>
  <si>
    <t>ETI YUNINGSIH</t>
  </si>
  <si>
    <t>DP-0303</t>
  </si>
  <si>
    <t>1503051008990001</t>
  </si>
  <si>
    <t>ROMADHAN SAPUTRA</t>
  </si>
  <si>
    <t>DP-0304</t>
  </si>
  <si>
    <t>1503090207090006</t>
  </si>
  <si>
    <t>1503090806700002</t>
  </si>
  <si>
    <t>GIYANTO</t>
  </si>
  <si>
    <t>DP-0305</t>
  </si>
  <si>
    <t>1503096702040002</t>
  </si>
  <si>
    <t>IRMA FEBRIANTI</t>
  </si>
  <si>
    <t>DP-0306</t>
  </si>
  <si>
    <t>1503094107740037</t>
  </si>
  <si>
    <t>PURWATI</t>
  </si>
  <si>
    <t>DP-0307</t>
  </si>
  <si>
    <t>1503090207190002</t>
  </si>
  <si>
    <t>1503092104990001</t>
  </si>
  <si>
    <t>ABDUL JALIL</t>
  </si>
  <si>
    <t>DP-0308</t>
  </si>
  <si>
    <t>1503025005970003</t>
  </si>
  <si>
    <t>AFDA WIYAH SARI</t>
  </si>
  <si>
    <t>PASIR INTAN</t>
  </si>
  <si>
    <t>DP-0309</t>
  </si>
  <si>
    <t>1503090207190004</t>
  </si>
  <si>
    <t>1503095508930002</t>
  </si>
  <si>
    <t>DWI AGUST SURYANI</t>
  </si>
  <si>
    <t>DP-0310</t>
  </si>
  <si>
    <t>1503090409930004</t>
  </si>
  <si>
    <t>SEPTIAN PRASETYA</t>
  </si>
  <si>
    <t>DP-0311</t>
  </si>
  <si>
    <t>1503090207190005</t>
  </si>
  <si>
    <t>1503095708970006</t>
  </si>
  <si>
    <t>INDAH MAYASARI</t>
  </si>
  <si>
    <t>DP-0312</t>
  </si>
  <si>
    <t>1503091102980002</t>
  </si>
  <si>
    <t>ULIL AMRI</t>
  </si>
  <si>
    <t>DP-0313</t>
  </si>
  <si>
    <t>1503090207190006</t>
  </si>
  <si>
    <t>1503091403990002</t>
  </si>
  <si>
    <t>FAUZAN AJIMA</t>
  </si>
  <si>
    <t>DP-0314</t>
  </si>
  <si>
    <t>1503094107820090</t>
  </si>
  <si>
    <t>DP-0315</t>
  </si>
  <si>
    <t>1503090207210003</t>
  </si>
  <si>
    <t>1503095811940001</t>
  </si>
  <si>
    <t>MEGAWATI</t>
  </si>
  <si>
    <t>KARANG JAYA</t>
  </si>
  <si>
    <t>DP-0316</t>
  </si>
  <si>
    <t>1503092202940004</t>
  </si>
  <si>
    <t>PENDI HERMANTO</t>
  </si>
  <si>
    <t>DP-0317</t>
  </si>
  <si>
    <t>1503090208100004</t>
  </si>
  <si>
    <t>1503096903030001</t>
  </si>
  <si>
    <t>ANISA FARHANI</t>
  </si>
  <si>
    <t>DP-0318</t>
  </si>
  <si>
    <t>1503094107850012</t>
  </si>
  <si>
    <t>ERNAWATI</t>
  </si>
  <si>
    <t>DP-0319</t>
  </si>
  <si>
    <t>1503090107790009</t>
  </si>
  <si>
    <t>SISWANTO</t>
  </si>
  <si>
    <t>DP-0320</t>
  </si>
  <si>
    <t>1503090208100005</t>
  </si>
  <si>
    <t>1503090107300013</t>
  </si>
  <si>
    <t>SANUDIN</t>
  </si>
  <si>
    <t>DP-0321</t>
  </si>
  <si>
    <t>1503090208100006</t>
  </si>
  <si>
    <t>1503094506670003</t>
  </si>
  <si>
    <t>WATRI</t>
  </si>
  <si>
    <t>BREBES</t>
  </si>
  <si>
    <t>DP-0322</t>
  </si>
  <si>
    <t>1503090208100010</t>
  </si>
  <si>
    <t>1503096607850003</t>
  </si>
  <si>
    <t>MAHENDRA SARI</t>
  </si>
  <si>
    <t>JL. BENTENG</t>
  </si>
  <si>
    <t>DP-0323</t>
  </si>
  <si>
    <t>1503093007810004</t>
  </si>
  <si>
    <t>WAHYUDI PURNOMO</t>
  </si>
  <si>
    <t>DP-0324</t>
  </si>
  <si>
    <t>1503090208100033</t>
  </si>
  <si>
    <t>1503094911010022</t>
  </si>
  <si>
    <t>ARI PRABAWATI</t>
  </si>
  <si>
    <t>DP-0325</t>
  </si>
  <si>
    <t>1503094505760004</t>
  </si>
  <si>
    <t>DP-0326</t>
  </si>
  <si>
    <t>1503090405700003</t>
  </si>
  <si>
    <t>SUPRAPTO</t>
  </si>
  <si>
    <t>DP-0327</t>
  </si>
  <si>
    <t>1503090209100008</t>
  </si>
  <si>
    <t>1503096101980001</t>
  </si>
  <si>
    <t>FINA INDIYANI</t>
  </si>
  <si>
    <t>DP-0328</t>
  </si>
  <si>
    <t>1503090309650001</t>
  </si>
  <si>
    <t>SANUSI</t>
  </si>
  <si>
    <t>DP-0329</t>
  </si>
  <si>
    <t>1503094507720007</t>
  </si>
  <si>
    <t>SURIAH</t>
  </si>
  <si>
    <t>KK Tunggal</t>
  </si>
  <si>
    <t>DP-0330</t>
  </si>
  <si>
    <t>1503090209100009</t>
  </si>
  <si>
    <t>1503095305990004</t>
  </si>
  <si>
    <t>EGA LARASATI</t>
  </si>
  <si>
    <t>DP-0331</t>
  </si>
  <si>
    <t>1503090504650002</t>
  </si>
  <si>
    <t>MURYAT</t>
  </si>
  <si>
    <t>DP-0332</t>
  </si>
  <si>
    <t>1503092806930001</t>
  </si>
  <si>
    <t>RIZKY KURNIAWAN</t>
  </si>
  <si>
    <t>Pasangan belum ditemukan</t>
  </si>
  <si>
    <t>DP-0333</t>
  </si>
  <si>
    <t>1503095806740001</t>
  </si>
  <si>
    <t>TOYIBAH</t>
  </si>
  <si>
    <t>DP-0334</t>
  </si>
  <si>
    <t>1503090210190004</t>
  </si>
  <si>
    <t>1503095101920002</t>
  </si>
  <si>
    <t>DWI REKA WIJAYANTI HUTAHAEAN</t>
  </si>
  <si>
    <t>DUSUN II DESA SUKA JADI</t>
  </si>
  <si>
    <t>DP-0335</t>
  </si>
  <si>
    <t>1605050610890006</t>
  </si>
  <si>
    <t>MUHAMAD DIANSYAH</t>
  </si>
  <si>
    <t>DP-0336</t>
  </si>
  <si>
    <t>1503090211150002</t>
  </si>
  <si>
    <t>1503097105920001</t>
  </si>
  <si>
    <t>INTAN ALI</t>
  </si>
  <si>
    <t>KASANG MELINTANG</t>
  </si>
  <si>
    <t>DP-0337</t>
  </si>
  <si>
    <t>1503091609900003</t>
  </si>
  <si>
    <t>WAWAN ALIP MUSTOFA</t>
  </si>
  <si>
    <t>DP-0338</t>
  </si>
  <si>
    <t>1503090211160001</t>
  </si>
  <si>
    <t>1503090404870002</t>
  </si>
  <si>
    <t>ALIMUN SIRI</t>
  </si>
  <si>
    <t>DP-0339</t>
  </si>
  <si>
    <t>1503096510950005</t>
  </si>
  <si>
    <t>SRI WAHYUNINGSIH</t>
  </si>
  <si>
    <t>TANJUNG BATU</t>
  </si>
  <si>
    <t>DP-0340</t>
  </si>
  <si>
    <t>1503090211170003</t>
  </si>
  <si>
    <t>1606072801970001</t>
  </si>
  <si>
    <t>MINAHAR</t>
  </si>
  <si>
    <t>MUSI BANYU ASIN</t>
  </si>
  <si>
    <t>DP-0341</t>
  </si>
  <si>
    <t>1503094107930014</t>
  </si>
  <si>
    <t>YUNI LESTARI</t>
  </si>
  <si>
    <t>DP-0342</t>
  </si>
  <si>
    <t>1503090211180001</t>
  </si>
  <si>
    <t>3315055307950001</t>
  </si>
  <si>
    <t>INA RESANTI</t>
  </si>
  <si>
    <t>GROBOGAN</t>
  </si>
  <si>
    <t>DP-0343</t>
  </si>
  <si>
    <t>1503091908950003</t>
  </si>
  <si>
    <t>SABAR PRIYANTO</t>
  </si>
  <si>
    <t>DP-0344</t>
  </si>
  <si>
    <t>1503090211200005</t>
  </si>
  <si>
    <t>1503091511950001</t>
  </si>
  <si>
    <t>FERI HARIAJI</t>
  </si>
  <si>
    <t>DP-0345</t>
  </si>
  <si>
    <t>1503095809990001</t>
  </si>
  <si>
    <t>SISKA WULANDARI</t>
  </si>
  <si>
    <t>SUNGKUT</t>
  </si>
  <si>
    <t>DP-0346</t>
  </si>
  <si>
    <t>1503090211230004</t>
  </si>
  <si>
    <t>3206185103800004</t>
  </si>
  <si>
    <t>ERIS WAHYUNI</t>
  </si>
  <si>
    <t>TASIKMALAYA</t>
  </si>
  <si>
    <t>DUSUN I</t>
  </si>
  <si>
    <t>DP-0347</t>
  </si>
  <si>
    <t>1503051002800004</t>
  </si>
  <si>
    <t>GIMAN</t>
  </si>
  <si>
    <t>DP-0348</t>
  </si>
  <si>
    <t>1503056307980004</t>
  </si>
  <si>
    <t>RENI ROMANTIANA</t>
  </si>
  <si>
    <t>DP-0349</t>
  </si>
  <si>
    <t>1503090301180003</t>
  </si>
  <si>
    <t>1503036002870004</t>
  </si>
  <si>
    <t>RATNAWATI</t>
  </si>
  <si>
    <t>DP-0350</t>
  </si>
  <si>
    <t>1503090302100003</t>
  </si>
  <si>
    <t>1503094907030002</t>
  </si>
  <si>
    <t>ONE WIJAYA</t>
  </si>
  <si>
    <t>DP-0351</t>
  </si>
  <si>
    <t>1503094708780001</t>
  </si>
  <si>
    <t>SITI ASMIAH</t>
  </si>
  <si>
    <t>DP-0352</t>
  </si>
  <si>
    <t>1503090212750001</t>
  </si>
  <si>
    <t>SUDARNOTO</t>
  </si>
  <si>
    <t>LIRIK</t>
  </si>
  <si>
    <t>DP-0353</t>
  </si>
  <si>
    <t>1503090302100004</t>
  </si>
  <si>
    <t>1503094501590001</t>
  </si>
  <si>
    <t>MUNIROH</t>
  </si>
  <si>
    <t>SALA TIGA</t>
  </si>
  <si>
    <t>DP-0354</t>
  </si>
  <si>
    <t>1503090303550002</t>
  </si>
  <si>
    <t>NASOKA</t>
  </si>
  <si>
    <t>DP-0355</t>
  </si>
  <si>
    <t>1503090302100005</t>
  </si>
  <si>
    <t>1503092712660001</t>
  </si>
  <si>
    <t>LAMIRAN</t>
  </si>
  <si>
    <t>1503091307090017</t>
  </si>
  <si>
    <t>DP-0356</t>
  </si>
  <si>
    <t>1503095003610002</t>
  </si>
  <si>
    <t>MUJIRAN</t>
  </si>
  <si>
    <t>Perlu ditelusuri</t>
  </si>
  <si>
    <t>DP-0357</t>
  </si>
  <si>
    <t>1503094506680002</t>
  </si>
  <si>
    <t>RAWI NARTI</t>
  </si>
  <si>
    <t>YOGYA</t>
  </si>
  <si>
    <t>DP-0358</t>
  </si>
  <si>
    <t>1503094307020002</t>
  </si>
  <si>
    <t>SRI LESTARI</t>
  </si>
  <si>
    <t>DP-0359</t>
  </si>
  <si>
    <t>1503090302120007</t>
  </si>
  <si>
    <t>1503091601830001</t>
  </si>
  <si>
    <t>JUPRIYANTO</t>
  </si>
  <si>
    <t>DUSUN V RAMBE JAYA</t>
  </si>
  <si>
    <t>DP-0360</t>
  </si>
  <si>
    <t>1503095704790002</t>
  </si>
  <si>
    <t>NGATMI</t>
  </si>
  <si>
    <t>DP-0361</t>
  </si>
  <si>
    <t>1503096703030001</t>
  </si>
  <si>
    <t>YENI PUJI ASTUTI</t>
  </si>
  <si>
    <t>DP-0362</t>
  </si>
  <si>
    <t>1503090302120011</t>
  </si>
  <si>
    <t>1503092309770001</t>
  </si>
  <si>
    <t>MANIT</t>
  </si>
  <si>
    <t>DP-0363</t>
  </si>
  <si>
    <t>1503096710750002</t>
  </si>
  <si>
    <t>SATINAH</t>
  </si>
  <si>
    <t>DP-0364</t>
  </si>
  <si>
    <t>1503090302120015</t>
  </si>
  <si>
    <t>1503090512000001</t>
  </si>
  <si>
    <t>IBNU HAJAR RIANSAH</t>
  </si>
  <si>
    <t>DP-0365</t>
  </si>
  <si>
    <t>1503095209750001</t>
  </si>
  <si>
    <t>SAYEM</t>
  </si>
  <si>
    <t>DP-0366</t>
  </si>
  <si>
    <t>1503091712640001</t>
  </si>
  <si>
    <t>TURMUDI</t>
  </si>
  <si>
    <t>DP-0367</t>
  </si>
  <si>
    <t>1503091603970001</t>
  </si>
  <si>
    <t>WAHYU RIA SAPUTRA</t>
  </si>
  <si>
    <t>DP-0368</t>
  </si>
  <si>
    <t>1503090302120018</t>
  </si>
  <si>
    <t>1503090209850005</t>
  </si>
  <si>
    <t>KURNIAWAN</t>
  </si>
  <si>
    <t>TUGU MULYO</t>
  </si>
  <si>
    <t>DP-0369</t>
  </si>
  <si>
    <t>1503094107820096</t>
  </si>
  <si>
    <t>SUMARNI</t>
  </si>
  <si>
    <t>DP-0370</t>
  </si>
  <si>
    <t>1503090302120019</t>
  </si>
  <si>
    <t>1503094405830008</t>
  </si>
  <si>
    <t>MUTMAINNAH</t>
  </si>
  <si>
    <t>DP-0371</t>
  </si>
  <si>
    <t>DP-0625</t>
  </si>
  <si>
    <t>1503092106820001</t>
  </si>
  <si>
    <t>1503090706960006</t>
  </si>
  <si>
    <t>TUMIN HARDIANSAH</t>
  </si>
  <si>
    <t>YUDHI ARIESUSANTO</t>
  </si>
  <si>
    <t>TANGERANG</t>
  </si>
  <si>
    <t>singkut 5</t>
  </si>
  <si>
    <t>DP-0372</t>
  </si>
  <si>
    <t>1503090303090008</t>
  </si>
  <si>
    <t>1503090107720013</t>
  </si>
  <si>
    <t>BONARI</t>
  </si>
  <si>
    <t>DP-0373</t>
  </si>
  <si>
    <t>1503095212870001</t>
  </si>
  <si>
    <t>INDAHWATI</t>
  </si>
  <si>
    <t>DP-0374</t>
  </si>
  <si>
    <t>1503090303090009</t>
  </si>
  <si>
    <t>1503095705650001</t>
  </si>
  <si>
    <t>KARTINI</t>
  </si>
  <si>
    <t>DP-0375</t>
  </si>
  <si>
    <t>1503092812570001</t>
  </si>
  <si>
    <t>MUNGIN</t>
  </si>
  <si>
    <t>DP-0376</t>
  </si>
  <si>
    <t>1503095203480001</t>
  </si>
  <si>
    <t>WALIYEM</t>
  </si>
  <si>
    <t>DP-0377</t>
  </si>
  <si>
    <t>1503090303100009</t>
  </si>
  <si>
    <t>1503091809630001</t>
  </si>
  <si>
    <t>KASTONY</t>
  </si>
  <si>
    <t>DP-0378</t>
  </si>
  <si>
    <t>1503090307960005</t>
  </si>
  <si>
    <t>PRAYOGI AJI PAMUNGKAS</t>
  </si>
  <si>
    <t>DP-0379</t>
  </si>
  <si>
    <t>1503095609680003</t>
  </si>
  <si>
    <t>SRI EKOWATI</t>
  </si>
  <si>
    <t>DP-0380</t>
  </si>
  <si>
    <t>1503090303150002</t>
  </si>
  <si>
    <t>1503092005850003</t>
  </si>
  <si>
    <t>HARIS</t>
  </si>
  <si>
    <t>MUARADUA</t>
  </si>
  <si>
    <t>DP-0381</t>
  </si>
  <si>
    <t>1503096005870005</t>
  </si>
  <si>
    <t>SRI MINARNI</t>
  </si>
  <si>
    <t>TANJUNG PERING</t>
  </si>
  <si>
    <t>DP-0382</t>
  </si>
  <si>
    <t>1503090304200004</t>
  </si>
  <si>
    <t>1503091003020003</t>
  </si>
  <si>
    <t>BAGAS YOVIANKA WIDODO</t>
  </si>
  <si>
    <t>DP-0383</t>
  </si>
  <si>
    <t>1503097107040002</t>
  </si>
  <si>
    <t>CINTA AMANDHA PUTRI</t>
  </si>
  <si>
    <t>DP-0384</t>
  </si>
  <si>
    <t>1503095309810003</t>
  </si>
  <si>
    <t>DWI SULISTIANA</t>
  </si>
  <si>
    <t>DP-0385</t>
  </si>
  <si>
    <t>1503090305100001</t>
  </si>
  <si>
    <t>1503096506070001</t>
  </si>
  <si>
    <t>RIFKA ERLIAYANA PUTRI</t>
  </si>
  <si>
    <t>DP-0386</t>
  </si>
  <si>
    <t>1503090101640005</t>
  </si>
  <si>
    <t>TUKIRNO</t>
  </si>
  <si>
    <t>DP-0387</t>
  </si>
  <si>
    <t>1503095204720004</t>
  </si>
  <si>
    <t>WARTINI</t>
  </si>
  <si>
    <t>DP-0388</t>
  </si>
  <si>
    <t>1503090305100009</t>
  </si>
  <si>
    <t>1503091407770001</t>
  </si>
  <si>
    <t>GUNADI</t>
  </si>
  <si>
    <t>DP-0389</t>
  </si>
  <si>
    <t>1503095009060003</t>
  </si>
  <si>
    <t>KHOIRUL NISA</t>
  </si>
  <si>
    <t>DP-0390</t>
  </si>
  <si>
    <t>1503096402780001</t>
  </si>
  <si>
    <t>SUWARTI</t>
  </si>
  <si>
    <t>PURWO DADI</t>
  </si>
  <si>
    <t>DP-0391</t>
  </si>
  <si>
    <t>1503091609990001</t>
  </si>
  <si>
    <t>WAWAN SUSILO</t>
  </si>
  <si>
    <t>DP-0392</t>
  </si>
  <si>
    <t>1503090305160003</t>
  </si>
  <si>
    <t>1503091407580002</t>
  </si>
  <si>
    <t>SUKARI</t>
  </si>
  <si>
    <t>DP-0393</t>
  </si>
  <si>
    <t>1503090305160005</t>
  </si>
  <si>
    <t>1503091109860004</t>
  </si>
  <si>
    <t>DAVID HIDAYAT</t>
  </si>
  <si>
    <t>DP-0394</t>
  </si>
  <si>
    <t>1503096912950005</t>
  </si>
  <si>
    <t>DESY ROSDIANINGSIH</t>
  </si>
  <si>
    <t>DP-0395</t>
  </si>
  <si>
    <t>1503090306090008</t>
  </si>
  <si>
    <t>1503090102770002</t>
  </si>
  <si>
    <t>DEDI CANDRA</t>
  </si>
  <si>
    <t>LEMPUR MUDIK</t>
  </si>
  <si>
    <t>DP-0396</t>
  </si>
  <si>
    <t>1503094910790001</t>
  </si>
  <si>
    <t>NURSUDARTI</t>
  </si>
  <si>
    <t>DP-0397</t>
  </si>
  <si>
    <t>1503092602020002</t>
  </si>
  <si>
    <t>THERIQ AHMAD NUGRAHA</t>
  </si>
  <si>
    <t>1803014902060001</t>
  </si>
  <si>
    <t>Alfina salsa Biela</t>
  </si>
  <si>
    <t>Suka Mananti</t>
  </si>
  <si>
    <t>Rambe Jaya</t>
  </si>
  <si>
    <t>DP-0398</t>
  </si>
  <si>
    <t>1503090306090009</t>
  </si>
  <si>
    <t>1503096108030001</t>
  </si>
  <si>
    <t>ALDA MURDIYANI AGUSTIN</t>
  </si>
  <si>
    <t>DP-0399</t>
  </si>
  <si>
    <t>1503096311000006</t>
  </si>
  <si>
    <t>ELINA PUTRI HUTAMI</t>
  </si>
  <si>
    <t>BARU LOMBAK</t>
  </si>
  <si>
    <t>DP-0400</t>
  </si>
  <si>
    <t>1503091806690002</t>
  </si>
  <si>
    <t>MURSITO</t>
  </si>
  <si>
    <t>DP-0401</t>
  </si>
  <si>
    <t>1503090306090010</t>
  </si>
  <si>
    <t>1503090802680004</t>
  </si>
  <si>
    <t>DAYAT</t>
  </si>
  <si>
    <t>DP-0402</t>
  </si>
  <si>
    <t>1503095011730004</t>
  </si>
  <si>
    <t>MARISAH</t>
  </si>
  <si>
    <t>DP-0403</t>
  </si>
  <si>
    <t>1503090306090012</t>
  </si>
  <si>
    <t>1503091005640002</t>
  </si>
  <si>
    <t>MUSIR</t>
  </si>
  <si>
    <t>DP-0404</t>
  </si>
  <si>
    <t>1503094107650082</t>
  </si>
  <si>
    <t>SARMINI</t>
  </si>
  <si>
    <t>DP-0405</t>
  </si>
  <si>
    <t>1503090306090015</t>
  </si>
  <si>
    <t>1503095708040002</t>
  </si>
  <si>
    <t>GUSNIA NUR SALSABILA</t>
  </si>
  <si>
    <t>DP-0406</t>
  </si>
  <si>
    <t>1503091204680001</t>
  </si>
  <si>
    <t>KASIYAN</t>
  </si>
  <si>
    <t>DP-0407</t>
  </si>
  <si>
    <t>1503095608710001</t>
  </si>
  <si>
    <t>SRI SUJARWATI</t>
  </si>
  <si>
    <t>DP-0408</t>
  </si>
  <si>
    <t>1503092211960002</t>
  </si>
  <si>
    <t>TAUFIQ HAMDAN PERMADI</t>
  </si>
  <si>
    <t>DP-0409</t>
  </si>
  <si>
    <t>1503090306150004</t>
  </si>
  <si>
    <t>1503090311900001</t>
  </si>
  <si>
    <t>DARWIN</t>
  </si>
  <si>
    <t>BUKIT TIGO</t>
  </si>
  <si>
    <t>DP-0410</t>
  </si>
  <si>
    <t>1503094104950002</t>
  </si>
  <si>
    <t>HEALTHY CORNELA</t>
  </si>
  <si>
    <t>SUMBER MAKMUR</t>
  </si>
  <si>
    <t>DP-0411</t>
  </si>
  <si>
    <t>1503090306200001</t>
  </si>
  <si>
    <t>1503094110970007</t>
  </si>
  <si>
    <t>EARLY LATIFAH FAJRI</t>
  </si>
  <si>
    <t>JLN.A. YANI .</t>
  </si>
  <si>
    <t>DP-0412</t>
  </si>
  <si>
    <t>1503032903000007</t>
  </si>
  <si>
    <t>IBNU SINA YARSI</t>
  </si>
  <si>
    <t>DP-0413</t>
  </si>
  <si>
    <t>1503090307120003</t>
  </si>
  <si>
    <t>1503094411830002</t>
  </si>
  <si>
    <t>JUANITA KRISTINAWATI</t>
  </si>
  <si>
    <t>RIAU</t>
  </si>
  <si>
    <t>DP-0414</t>
  </si>
  <si>
    <t>1503091908830002</t>
  </si>
  <si>
    <t>KUSWANTO</t>
  </si>
  <si>
    <t>KP.SAWIT 11</t>
  </si>
  <si>
    <t>DP-0415</t>
  </si>
  <si>
    <t>1503090307180005</t>
  </si>
  <si>
    <t>1503092010710001</t>
  </si>
  <si>
    <t>JAPASANG SINAGA</t>
  </si>
  <si>
    <t>SARIBU JANDI</t>
  </si>
  <si>
    <t>DP-0416</t>
  </si>
  <si>
    <t>1503096101760001</t>
  </si>
  <si>
    <t>MARNIATI BR GARINGGING</t>
  </si>
  <si>
    <t>RAYA TIMURAN</t>
  </si>
  <si>
    <t>DP-0417</t>
  </si>
  <si>
    <t>1503090308100002</t>
  </si>
  <si>
    <t>1503090107620055</t>
  </si>
  <si>
    <t>SUMARDI</t>
  </si>
  <si>
    <t>DP-0418</t>
  </si>
  <si>
    <t>1503090308100003</t>
  </si>
  <si>
    <t>1503096511990001</t>
  </si>
  <si>
    <t>RIZA NURUL AZZA</t>
  </si>
  <si>
    <t>DP-0419</t>
  </si>
  <si>
    <t>1503091406720002</t>
  </si>
  <si>
    <t>ROHWAN</t>
  </si>
  <si>
    <t>DP-0420</t>
  </si>
  <si>
    <t>1503095010790004</t>
  </si>
  <si>
    <t>SITI ROHMIYATI</t>
  </si>
  <si>
    <t>DP-0421</t>
  </si>
  <si>
    <t>1503090308100006</t>
  </si>
  <si>
    <t>1503091509030002</t>
  </si>
  <si>
    <t>HARI PRASETYO</t>
  </si>
  <si>
    <t>DP-0422</t>
  </si>
  <si>
    <t>1503092812750001</t>
  </si>
  <si>
    <t>NYAMIN</t>
  </si>
  <si>
    <t>DP-0423</t>
  </si>
  <si>
    <t>1503095911780001</t>
  </si>
  <si>
    <t>DP-0424</t>
  </si>
  <si>
    <t>1503090308150004</t>
  </si>
  <si>
    <t>1503095302970005</t>
  </si>
  <si>
    <t>FITRIA CAHYA KAMILA</t>
  </si>
  <si>
    <t>DP-0425</t>
  </si>
  <si>
    <t>1503095707740002</t>
  </si>
  <si>
    <t>SITI MUSAROPAH</t>
  </si>
  <si>
    <t>DP-0426</t>
  </si>
  <si>
    <t>1503090504700004</t>
  </si>
  <si>
    <t>ZAINI</t>
  </si>
  <si>
    <t>DP-0427</t>
  </si>
  <si>
    <t>1503090308200004</t>
  </si>
  <si>
    <t>1503052512000005</t>
  </si>
  <si>
    <t>DEDI</t>
  </si>
  <si>
    <t>Pelawan Jaya</t>
  </si>
  <si>
    <t>DP-0428</t>
  </si>
  <si>
    <t>1503095802030002</t>
  </si>
  <si>
    <t>SITI SHOLEHAH</t>
  </si>
  <si>
    <t>DP-0429</t>
  </si>
  <si>
    <t>1503090308220007</t>
  </si>
  <si>
    <t>1503094607840003</t>
  </si>
  <si>
    <t>PUJI ASTUTIK</t>
  </si>
  <si>
    <t>DP-0430</t>
  </si>
  <si>
    <t>1503092109020001</t>
  </si>
  <si>
    <t>THOMAS ALSANDI</t>
  </si>
  <si>
    <t>DP-0431</t>
  </si>
  <si>
    <t>1503090310070005</t>
  </si>
  <si>
    <t>1503090107610009</t>
  </si>
  <si>
    <t>KUMAIDI</t>
  </si>
  <si>
    <t>DP-0432</t>
  </si>
  <si>
    <t>1503094107720019</t>
  </si>
  <si>
    <t>ROHYATI</t>
  </si>
  <si>
    <t>DP-0433</t>
  </si>
  <si>
    <t>1503090310130004</t>
  </si>
  <si>
    <t>1503096703470001</t>
  </si>
  <si>
    <t>DP-0434</t>
  </si>
  <si>
    <t>1503091110510001</t>
  </si>
  <si>
    <t>TEGUH RIYANTO</t>
  </si>
  <si>
    <t>DP-0435</t>
  </si>
  <si>
    <t>1503090310130006</t>
  </si>
  <si>
    <t>1503095001760003</t>
  </si>
  <si>
    <t>SRI HARTINI</t>
  </si>
  <si>
    <t>DP-0436</t>
  </si>
  <si>
    <t>1503094907790002</t>
  </si>
  <si>
    <t>ST HUSNUL KHOTIMAH</t>
  </si>
  <si>
    <t>DP-0437</t>
  </si>
  <si>
    <t>1503090310160003</t>
  </si>
  <si>
    <t>1571086912810021</t>
  </si>
  <si>
    <t>NETTY ELSAWATI SITORUS</t>
  </si>
  <si>
    <t>SUKA SELAMAT</t>
  </si>
  <si>
    <t>DP-0438</t>
  </si>
  <si>
    <t>1571081808770081</t>
  </si>
  <si>
    <t>YOHANES</t>
  </si>
  <si>
    <t>DP-0439</t>
  </si>
  <si>
    <t>1503090310170002</t>
  </si>
  <si>
    <t>1503092710930001</t>
  </si>
  <si>
    <t>DODI ISKANDAR</t>
  </si>
  <si>
    <t>NIBUNG</t>
  </si>
  <si>
    <t>DP-0440</t>
  </si>
  <si>
    <t>1503094102970001</t>
  </si>
  <si>
    <t>FRANSISKA AMELIA</t>
  </si>
  <si>
    <t>DP-0441</t>
  </si>
  <si>
    <t>1503090310190001</t>
  </si>
  <si>
    <t>1503096209770002</t>
  </si>
  <si>
    <t>SRI MULYATI</t>
  </si>
  <si>
    <t>MUARA TEMBESI</t>
  </si>
  <si>
    <t>DP-0442</t>
  </si>
  <si>
    <t>1503090310190004</t>
  </si>
  <si>
    <t>3216132401790004</t>
  </si>
  <si>
    <t>BOBI YUNARIS EKO SAPUTRO</t>
  </si>
  <si>
    <t>DP-0443</t>
  </si>
  <si>
    <t>3202026503950002</t>
  </si>
  <si>
    <t>RESNIAWATI</t>
  </si>
  <si>
    <t>SUKABUMI</t>
  </si>
  <si>
    <t>DP-0444</t>
  </si>
  <si>
    <t>1503090310220007</t>
  </si>
  <si>
    <t>1503090812860001</t>
  </si>
  <si>
    <t>SUGIMIN</t>
  </si>
  <si>
    <t>DP-0445</t>
  </si>
  <si>
    <t>1503090310220009</t>
  </si>
  <si>
    <t>1503094511940001</t>
  </si>
  <si>
    <t>SURURUM MARPUAH</t>
  </si>
  <si>
    <t>DP-2667</t>
  </si>
  <si>
    <t>1503091408240015</t>
  </si>
  <si>
    <t>1503093010970003</t>
  </si>
  <si>
    <t>ASARI ACFIANDI</t>
  </si>
  <si>
    <t>DP-0446</t>
  </si>
  <si>
    <t>1503090311110001</t>
  </si>
  <si>
    <t>1503090501990001</t>
  </si>
  <si>
    <t>RAMDHAN ARIANSYAH PRAYUDHA</t>
  </si>
  <si>
    <t>SRI JAYA</t>
  </si>
  <si>
    <t>DP-0447</t>
  </si>
  <si>
    <t>1503094305720006</t>
  </si>
  <si>
    <t>SUYATUN</t>
  </si>
  <si>
    <t>DP-0448</t>
  </si>
  <si>
    <t>1503090101660002</t>
  </si>
  <si>
    <t>WAKIJO</t>
  </si>
  <si>
    <t>KLAJON WONOGIRI</t>
  </si>
  <si>
    <t>DP-0449</t>
  </si>
  <si>
    <t>1503090311110002</t>
  </si>
  <si>
    <t>1503094406040005</t>
  </si>
  <si>
    <t>DWIKA JUNIARTI</t>
  </si>
  <si>
    <t>PADANG CERMIN</t>
  </si>
  <si>
    <t>DP-0450</t>
  </si>
  <si>
    <t>1503096909750001</t>
  </si>
  <si>
    <t>NOVI YANTI</t>
  </si>
  <si>
    <t>BANJAR NEGARA</t>
  </si>
  <si>
    <t>DP-0451</t>
  </si>
  <si>
    <t>1503092502720001</t>
  </si>
  <si>
    <t>SLAMET SURAHMAN</t>
  </si>
  <si>
    <t>YOGYAKARTA</t>
  </si>
  <si>
    <t>DP-0452</t>
  </si>
  <si>
    <t>1503090311200003</t>
  </si>
  <si>
    <t>1503094410920007</t>
  </si>
  <si>
    <t>NURTYAS SHINTA</t>
  </si>
  <si>
    <t>SUNGAI BENTENG</t>
  </si>
  <si>
    <t>DP-0453</t>
  </si>
  <si>
    <t>1503090510950001</t>
  </si>
  <si>
    <t>SUNARTO</t>
  </si>
  <si>
    <t>DP-0454</t>
  </si>
  <si>
    <t>1503090311200004</t>
  </si>
  <si>
    <t>1503096403000003</t>
  </si>
  <si>
    <t>WINDA MAYA LESTARI</t>
  </si>
  <si>
    <t>DP-0455</t>
  </si>
  <si>
    <t>1503093003990001</t>
  </si>
  <si>
    <t>WINDU LAKSONO</t>
  </si>
  <si>
    <t>DP-0456</t>
  </si>
  <si>
    <t>1503090312090001</t>
  </si>
  <si>
    <t>1503091110790003</t>
  </si>
  <si>
    <t>ABDUL AZIS</t>
  </si>
  <si>
    <t>DP-0457</t>
  </si>
  <si>
    <t>1503090310050003</t>
  </si>
  <si>
    <t>MUHAMMAD ROMADHONI AZIZI</t>
  </si>
  <si>
    <t>DP-0458</t>
  </si>
  <si>
    <t>1503094403810001</t>
  </si>
  <si>
    <t>ROSDIANA</t>
  </si>
  <si>
    <t>DP-0459</t>
  </si>
  <si>
    <t>1503090312090013</t>
  </si>
  <si>
    <t>1503095503660001</t>
  </si>
  <si>
    <t>PARTI</t>
  </si>
  <si>
    <t>KARANG ANYAR</t>
  </si>
  <si>
    <t>DP-0460</t>
  </si>
  <si>
    <t>1503091606950001</t>
  </si>
  <si>
    <t>ROHMANTO</t>
  </si>
  <si>
    <t>DP-0461</t>
  </si>
  <si>
    <t>1503090107630022</t>
  </si>
  <si>
    <t>SADIMEN</t>
  </si>
  <si>
    <t>DP-0462</t>
  </si>
  <si>
    <t>1503090312090014</t>
  </si>
  <si>
    <t>1503092608850001</t>
  </si>
  <si>
    <t>SRI AGUNG</t>
  </si>
  <si>
    <t>DP-0463</t>
  </si>
  <si>
    <t>1503094107860050</t>
  </si>
  <si>
    <t>EMI PARAMITA</t>
  </si>
  <si>
    <t>SEKAYU</t>
  </si>
  <si>
    <t>Sukabumi</t>
  </si>
  <si>
    <t>DP-0464</t>
  </si>
  <si>
    <t>1503094403060003</t>
  </si>
  <si>
    <t>MARLINA WATI</t>
  </si>
  <si>
    <t>DP-0465</t>
  </si>
  <si>
    <t>1503090312190010</t>
  </si>
  <si>
    <t>1503094610990002</t>
  </si>
  <si>
    <t>CINDY FENICHIA CLARISSA</t>
  </si>
  <si>
    <t>DP-0466</t>
  </si>
  <si>
    <t>1503090802960003</t>
  </si>
  <si>
    <t>YUDIA YULIANTO</t>
  </si>
  <si>
    <t>DP-0467</t>
  </si>
  <si>
    <t>1503090312210006</t>
  </si>
  <si>
    <t>1812011011620005</t>
  </si>
  <si>
    <t>DOMO</t>
  </si>
  <si>
    <t>GARUT</t>
  </si>
  <si>
    <t>DP-0468</t>
  </si>
  <si>
    <t>1812015404740006</t>
  </si>
  <si>
    <t>SOBIYAH</t>
  </si>
  <si>
    <t>PRINGSEWU</t>
  </si>
  <si>
    <t>DP-0469</t>
  </si>
  <si>
    <t>1812010404060002</t>
  </si>
  <si>
    <t>SOVIAN NURGAHA</t>
  </si>
  <si>
    <t>MULYA KENCANA</t>
  </si>
  <si>
    <t>DP-0470</t>
  </si>
  <si>
    <t>1503090401110002</t>
  </si>
  <si>
    <t>1503091202820002</t>
  </si>
  <si>
    <t>MUSTAQIM L GAOL</t>
  </si>
  <si>
    <t>DP-0471</t>
  </si>
  <si>
    <t>1503094705840009</t>
  </si>
  <si>
    <t>SRI MARYATI</t>
  </si>
  <si>
    <t>DP-0472</t>
  </si>
  <si>
    <t>1503090401110004</t>
  </si>
  <si>
    <t>1503090202810004</t>
  </si>
  <si>
    <t>MAHFUDIN</t>
  </si>
  <si>
    <t>DS III SUKA MULYA</t>
  </si>
  <si>
    <t>DP-0473</t>
  </si>
  <si>
    <t>1503096207060001</t>
  </si>
  <si>
    <t>RISMA JULI EKA PUTRI</t>
  </si>
  <si>
    <t>DS I PAYO LEBAR</t>
  </si>
  <si>
    <t>DP-0474</t>
  </si>
  <si>
    <t>1503095807810005</t>
  </si>
  <si>
    <t>YULI MAWARNI</t>
  </si>
  <si>
    <t>DUSUN III DESA PAYO LEBAR</t>
  </si>
  <si>
    <t>DP-0475</t>
  </si>
  <si>
    <t>1503090401160002</t>
  </si>
  <si>
    <t>1503092303980001</t>
  </si>
  <si>
    <t>ADAM AULIYALLOH</t>
  </si>
  <si>
    <t>SUKA MULYA PAYO LEBAR</t>
  </si>
  <si>
    <t>DP-0476</t>
  </si>
  <si>
    <t>1503091512640001</t>
  </si>
  <si>
    <t>SUDITAM</t>
  </si>
  <si>
    <t>DP-0477</t>
  </si>
  <si>
    <t>1503095009730003</t>
  </si>
  <si>
    <t>YAYUK MUJI RAHAYU</t>
  </si>
  <si>
    <t>DP-0478</t>
  </si>
  <si>
    <t>1503090401210005</t>
  </si>
  <si>
    <t>1503093005960001</t>
  </si>
  <si>
    <t>ENBRIANI SAPUTRA</t>
  </si>
  <si>
    <t>DP-0479</t>
  </si>
  <si>
    <t>1503095705010002</t>
  </si>
  <si>
    <t>IKE NUR'AINI</t>
  </si>
  <si>
    <t>DP-0480</t>
  </si>
  <si>
    <t>1503090402080001</t>
  </si>
  <si>
    <t>1503095708720003</t>
  </si>
  <si>
    <t>ISMIATUN</t>
  </si>
  <si>
    <t>DP-0481</t>
  </si>
  <si>
    <t>1503090305940001</t>
  </si>
  <si>
    <t>NURHADI</t>
  </si>
  <si>
    <t>DP-0482</t>
  </si>
  <si>
    <t>1503091812650001</t>
  </si>
  <si>
    <t>PARJAN</t>
  </si>
  <si>
    <t>GROBONGAN</t>
  </si>
  <si>
    <t>DP-0483</t>
  </si>
  <si>
    <t>1503090402080003</t>
  </si>
  <si>
    <t>1503090407650003</t>
  </si>
  <si>
    <t>SUKRIYANTO</t>
  </si>
  <si>
    <t>TL. AGUNG</t>
  </si>
  <si>
    <t>DP-0484</t>
  </si>
  <si>
    <t>1503094407750002</t>
  </si>
  <si>
    <t>DP-0485</t>
  </si>
  <si>
    <t>1503090402080004</t>
  </si>
  <si>
    <t>1503095807650003</t>
  </si>
  <si>
    <t>SUHARTINI</t>
  </si>
  <si>
    <t>PAYO LEBAR SINGKUT II</t>
  </si>
  <si>
    <t>DP-0486</t>
  </si>
  <si>
    <t>1503090402080006</t>
  </si>
  <si>
    <t>1503090602050001</t>
  </si>
  <si>
    <t>ALFITO RIFKI KURNIAWAN</t>
  </si>
  <si>
    <t>DP-0487</t>
  </si>
  <si>
    <t>1503091109970001</t>
  </si>
  <si>
    <t>DIMAS ADI CANDRA</t>
  </si>
  <si>
    <t>DP-0488</t>
  </si>
  <si>
    <t>1503094611750001</t>
  </si>
  <si>
    <t>KAMSIAH</t>
  </si>
  <si>
    <t>DP-0489</t>
  </si>
  <si>
    <t>1503091106720001</t>
  </si>
  <si>
    <t>KASIRUN</t>
  </si>
  <si>
    <t>JAWA TIMUR MADIUN</t>
  </si>
  <si>
    <t>DP-0490</t>
  </si>
  <si>
    <t>1503090402080009</t>
  </si>
  <si>
    <t>1503091204670003</t>
  </si>
  <si>
    <t>SUMADI</t>
  </si>
  <si>
    <t>TL AGUNG</t>
  </si>
  <si>
    <t>DP-0491</t>
  </si>
  <si>
    <t>1503095606730001</t>
  </si>
  <si>
    <t>SUSTIAH</t>
  </si>
  <si>
    <t>DP-0492</t>
  </si>
  <si>
    <t>1503090402080010</t>
  </si>
  <si>
    <t>1503094411910001</t>
  </si>
  <si>
    <t>EVI FITRI ASTUTIK</t>
  </si>
  <si>
    <t>DP-0493</t>
  </si>
  <si>
    <t>1503095101740002</t>
  </si>
  <si>
    <t>PUJIATI</t>
  </si>
  <si>
    <t>DP-0494</t>
  </si>
  <si>
    <t>1503090102670003</t>
  </si>
  <si>
    <t>SUTARJO</t>
  </si>
  <si>
    <t>DP-0495</t>
  </si>
  <si>
    <t>1503090402080012</t>
  </si>
  <si>
    <t>1503095707640003</t>
  </si>
  <si>
    <t>SUMIATI</t>
  </si>
  <si>
    <t>DUSUN KARYA I MAKMUR</t>
  </si>
  <si>
    <t>DP-0496</t>
  </si>
  <si>
    <t>1503091804620001</t>
  </si>
  <si>
    <t>SUYANTO</t>
  </si>
  <si>
    <t>DP-0497</t>
  </si>
  <si>
    <t>1503090402080013</t>
  </si>
  <si>
    <t>1503091305440001</t>
  </si>
  <si>
    <t>JAYUS</t>
  </si>
  <si>
    <t>DUSUN</t>
  </si>
  <si>
    <t>DP-0498</t>
  </si>
  <si>
    <t>1503096810620002</t>
  </si>
  <si>
    <t>MARIEM</t>
  </si>
  <si>
    <t>DP-0499</t>
  </si>
  <si>
    <t>1503092704060001</t>
  </si>
  <si>
    <t>PRASETIYO</t>
  </si>
  <si>
    <t>DP-0500</t>
  </si>
  <si>
    <t>1503090402080014</t>
  </si>
  <si>
    <t>1503095302800001</t>
  </si>
  <si>
    <t>ENDANG SUTARTI</t>
  </si>
  <si>
    <t>DP-0501</t>
  </si>
  <si>
    <t>1503091601750001</t>
  </si>
  <si>
    <t>GIMO</t>
  </si>
  <si>
    <t>DP-0502</t>
  </si>
  <si>
    <t>1503092704040001</t>
  </si>
  <si>
    <t>IRFAN RIFA'I</t>
  </si>
  <si>
    <t>DP-0503</t>
  </si>
  <si>
    <t>1503091403060001</t>
  </si>
  <si>
    <t>SEBRI YANTO</t>
  </si>
  <si>
    <t>DP-0504</t>
  </si>
  <si>
    <t>1503090402090012</t>
  </si>
  <si>
    <t>1503096712850002</t>
  </si>
  <si>
    <t>EMI RISWANTI</t>
  </si>
  <si>
    <t>DP-0505</t>
  </si>
  <si>
    <t>1503092804830001</t>
  </si>
  <si>
    <t>RIYANTO</t>
  </si>
  <si>
    <t>DP-0506</t>
  </si>
  <si>
    <t>1503090402100010</t>
  </si>
  <si>
    <t>1503095310040003</t>
  </si>
  <si>
    <t>AZZAHRA SYAHRANI PUTRI</t>
  </si>
  <si>
    <t>DP-0507</t>
  </si>
  <si>
    <t>1503094606720006</t>
  </si>
  <si>
    <t>EKA SUPRIANI</t>
  </si>
  <si>
    <t>DP-0508</t>
  </si>
  <si>
    <t>1503093112960002</t>
  </si>
  <si>
    <t>GALLEH EKA PUTRA</t>
  </si>
  <si>
    <t>DP-0509</t>
  </si>
  <si>
    <t>1503092808690002</t>
  </si>
  <si>
    <t>RUDIANSYAH</t>
  </si>
  <si>
    <t>TANJUNG PINANG</t>
  </si>
  <si>
    <t>DP-0510</t>
  </si>
  <si>
    <t>1503090402100011</t>
  </si>
  <si>
    <t>1503094110690003</t>
  </si>
  <si>
    <t>DP-0511</t>
  </si>
  <si>
    <t>1503091512670001</t>
  </si>
  <si>
    <t>WAHYUDIN</t>
  </si>
  <si>
    <t>DP-0512</t>
  </si>
  <si>
    <t>1503090402160008</t>
  </si>
  <si>
    <t>1503090203780002</t>
  </si>
  <si>
    <t>BUDI HARIYONO</t>
  </si>
  <si>
    <t>DP-0513</t>
  </si>
  <si>
    <t>1503095509890003</t>
  </si>
  <si>
    <t>TRI PURWANTI</t>
  </si>
  <si>
    <t>KULON PROGO</t>
  </si>
  <si>
    <t>DP-0514</t>
  </si>
  <si>
    <t>1503090402210006</t>
  </si>
  <si>
    <t>1503090604980001</t>
  </si>
  <si>
    <t>DEDI KURNIAWAN</t>
  </si>
  <si>
    <t>DSDS PAYO LEBAR</t>
  </si>
  <si>
    <t>DP-0515</t>
  </si>
  <si>
    <t>1503096608010002</t>
  </si>
  <si>
    <t>GUSTIN ANGGRAINI</t>
  </si>
  <si>
    <t>SUNGAI GEDANG</t>
  </si>
  <si>
    <t>SUSTIYAH</t>
  </si>
  <si>
    <t>DP-0516</t>
  </si>
  <si>
    <t>1503090402220001</t>
  </si>
  <si>
    <t>1503031010840001</t>
  </si>
  <si>
    <t>AHMAD SIDDIK</t>
  </si>
  <si>
    <t>PANGKALAN</t>
  </si>
  <si>
    <t>DP-0517</t>
  </si>
  <si>
    <t>1503096602910004</t>
  </si>
  <si>
    <t>YESI PRONIKA</t>
  </si>
  <si>
    <t>DP-0518</t>
  </si>
  <si>
    <t>1503090402220002</t>
  </si>
  <si>
    <t>1503052910070001</t>
  </si>
  <si>
    <t>ARIQ FATHURRAHMAN</t>
  </si>
  <si>
    <t>BUKIT</t>
  </si>
  <si>
    <t>SINGKUT II</t>
  </si>
  <si>
    <t>DP-0519</t>
  </si>
  <si>
    <t>1671070505740016</t>
  </si>
  <si>
    <t>HERMAN SAWIRAN</t>
  </si>
  <si>
    <t>DP-0520</t>
  </si>
  <si>
    <t>1503055308750003</t>
  </si>
  <si>
    <t>SORAYA PUTRI S. PD</t>
  </si>
  <si>
    <t>DP-0521</t>
  </si>
  <si>
    <t>1503090402220003</t>
  </si>
  <si>
    <t>1503094107020005</t>
  </si>
  <si>
    <t>EKA MARLINA</t>
  </si>
  <si>
    <t>SIMPANG NIBUNG</t>
  </si>
  <si>
    <t>DP-0522</t>
  </si>
  <si>
    <t>1503095712990003</t>
  </si>
  <si>
    <t>TRI DIAN RISTANTO</t>
  </si>
  <si>
    <t>DP-0523</t>
  </si>
  <si>
    <t>1503090402220005</t>
  </si>
  <si>
    <t>1503095701050002</t>
  </si>
  <si>
    <t>FILA AZKA ARINA</t>
  </si>
  <si>
    <t>DS. II PAYOLEBAR</t>
  </si>
  <si>
    <t>DP-0524</t>
  </si>
  <si>
    <t>1503095607810003</t>
  </si>
  <si>
    <t>MUNAWANAH</t>
  </si>
  <si>
    <t>DP-0525</t>
  </si>
  <si>
    <t>1503091007790003</t>
  </si>
  <si>
    <t>DP-0526</t>
  </si>
  <si>
    <t>1503090403090012</t>
  </si>
  <si>
    <t>1503092504020002</t>
  </si>
  <si>
    <t>ANDRE MASSAID</t>
  </si>
  <si>
    <t>DP-0527</t>
  </si>
  <si>
    <t>1503091309980002</t>
  </si>
  <si>
    <t>CHANDRA SETIAWAN</t>
  </si>
  <si>
    <t>DP-0528</t>
  </si>
  <si>
    <t>1503091503720003</t>
  </si>
  <si>
    <t>DP-0529</t>
  </si>
  <si>
    <t>1503095108750002</t>
  </si>
  <si>
    <t>SRI WAHYUNI</t>
  </si>
  <si>
    <t>DP-0530</t>
  </si>
  <si>
    <t>1503090403090013</t>
  </si>
  <si>
    <t>1503094612870002</t>
  </si>
  <si>
    <t>LENNY OKTAVIA</t>
  </si>
  <si>
    <t>MANDIANGIN</t>
  </si>
  <si>
    <t>DP-0531</t>
  </si>
  <si>
    <t>1503091707770004</t>
  </si>
  <si>
    <t>SAMSU</t>
  </si>
  <si>
    <t>DP-0532</t>
  </si>
  <si>
    <t>1503090403090014</t>
  </si>
  <si>
    <t>1503090906660001</t>
  </si>
  <si>
    <t>AGUS MAULANA</t>
  </si>
  <si>
    <t>DP-0533</t>
  </si>
  <si>
    <t>1503090508020001</t>
  </si>
  <si>
    <t>ANDRI SUKAMTO</t>
  </si>
  <si>
    <t>DP-0534</t>
  </si>
  <si>
    <t>1503095610040005</t>
  </si>
  <si>
    <t>MITTA ASTUTI</t>
  </si>
  <si>
    <t>DP-0535</t>
  </si>
  <si>
    <t>1503096311720003</t>
  </si>
  <si>
    <t>SRI SUKATMI</t>
  </si>
  <si>
    <t>DP-0536</t>
  </si>
  <si>
    <t>1503090403090015</t>
  </si>
  <si>
    <t>1503090107430027</t>
  </si>
  <si>
    <t>MAJU</t>
  </si>
  <si>
    <t>DP-0537</t>
  </si>
  <si>
    <t>1503094803540001</t>
  </si>
  <si>
    <t>SUGINEM</t>
  </si>
  <si>
    <t>DP-0538</t>
  </si>
  <si>
    <t>1503090403100001</t>
  </si>
  <si>
    <t>1503094306990002</t>
  </si>
  <si>
    <t>AJIZAH IKHDA SULMI</t>
  </si>
  <si>
    <t>DP-0539</t>
  </si>
  <si>
    <t>1503095401730001</t>
  </si>
  <si>
    <t>JASMAWATI</t>
  </si>
  <si>
    <t>DP-0540</t>
  </si>
  <si>
    <t>1503090806710004</t>
  </si>
  <si>
    <t>MUCHAMMAD AMIR HADI</t>
  </si>
  <si>
    <t>PONOROGO</t>
  </si>
  <si>
    <t>DP-0541</t>
  </si>
  <si>
    <t>1503091803030003</t>
  </si>
  <si>
    <t>MUHAMMAD AJI ABULKHOIR</t>
  </si>
  <si>
    <t>DP-0542</t>
  </si>
  <si>
    <t>1503090403110002</t>
  </si>
  <si>
    <t>1503095204880002</t>
  </si>
  <si>
    <t>DEWI LESTARI</t>
  </si>
  <si>
    <t>DP-0543</t>
  </si>
  <si>
    <t>1503091103880002</t>
  </si>
  <si>
    <t>EKO SUSANTO</t>
  </si>
  <si>
    <t>DP-0544</t>
  </si>
  <si>
    <t>1503090403150001</t>
  </si>
  <si>
    <t>1503094607750001</t>
  </si>
  <si>
    <t>DEWI SUWARNI</t>
  </si>
  <si>
    <t>DP-0545</t>
  </si>
  <si>
    <t>1503094707000002</t>
  </si>
  <si>
    <t>ENI JULIYANI</t>
  </si>
  <si>
    <t>TUNGKAL</t>
  </si>
  <si>
    <t>DP-0546</t>
  </si>
  <si>
    <t>1503092212750001</t>
  </si>
  <si>
    <t>SARONO</t>
  </si>
  <si>
    <t>GENENG SOLO</t>
  </si>
  <si>
    <t>DP-0547</t>
  </si>
  <si>
    <t>1503090403200002</t>
  </si>
  <si>
    <t>1503096007500001</t>
  </si>
  <si>
    <t>TOYIMAH</t>
  </si>
  <si>
    <t>DP-0548</t>
  </si>
  <si>
    <t>1503090404180002</t>
  </si>
  <si>
    <t>1207025412740001</t>
  </si>
  <si>
    <t>WASISNI</t>
  </si>
  <si>
    <t>T RAGA</t>
  </si>
  <si>
    <t>DP-0549</t>
  </si>
  <si>
    <t>1207021108030002</t>
  </si>
  <si>
    <t>WILDAN RIZKY</t>
  </si>
  <si>
    <t>MEDAN SENEMBAH</t>
  </si>
  <si>
    <t>DP-0550</t>
  </si>
  <si>
    <t>1503090405110002</t>
  </si>
  <si>
    <t>1503091204840003</t>
  </si>
  <si>
    <t>AGUS RUKAMDI</t>
  </si>
  <si>
    <t>DP-0551</t>
  </si>
  <si>
    <t>1503095704890004</t>
  </si>
  <si>
    <t>DWI CAHYA NINGSIH</t>
  </si>
  <si>
    <t>1503090502260005</t>
  </si>
  <si>
    <t>DP-0552</t>
  </si>
  <si>
    <t>1503090405130001</t>
  </si>
  <si>
    <t>1503095311950004</t>
  </si>
  <si>
    <t>ITA YUNINGSIH</t>
  </si>
  <si>
    <t>DP-0553</t>
  </si>
  <si>
    <t>1503092712900002</t>
  </si>
  <si>
    <t>PUJIANTORO</t>
  </si>
  <si>
    <t>PIJUAN JAMBI</t>
  </si>
  <si>
    <t>DP-0554</t>
  </si>
  <si>
    <t>1503090405200001</t>
  </si>
  <si>
    <t>1503094507830001</t>
  </si>
  <si>
    <t>SRI WINARSIH</t>
  </si>
  <si>
    <t>DP-0555</t>
  </si>
  <si>
    <t>1503090405200006</t>
  </si>
  <si>
    <t>1805020403780001</t>
  </si>
  <si>
    <t>MUHAMMAD YUSUF</t>
  </si>
  <si>
    <t>BUKIT KEMUNING</t>
  </si>
  <si>
    <t>1503092904250001</t>
  </si>
  <si>
    <t>DP-0556</t>
  </si>
  <si>
    <t>1805025101840002</t>
  </si>
  <si>
    <t>NUR WANTI</t>
  </si>
  <si>
    <t>DP-0557</t>
  </si>
  <si>
    <t>1503090405230003</t>
  </si>
  <si>
    <t>1503094606960001</t>
  </si>
  <si>
    <t>DIAN LESTARI</t>
  </si>
  <si>
    <t>DP-0558</t>
  </si>
  <si>
    <t>1508052708940002</t>
  </si>
  <si>
    <t>ROBI SUGARA</t>
  </si>
  <si>
    <t>LEBUH</t>
  </si>
  <si>
    <t>DP-0559</t>
  </si>
  <si>
    <t>1503090406120001</t>
  </si>
  <si>
    <t>1503092602920001</t>
  </si>
  <si>
    <t>DHIMAS THAHA</t>
  </si>
  <si>
    <t>DP-0560</t>
  </si>
  <si>
    <t>1503095702940003</t>
  </si>
  <si>
    <t>RAHAYU NINGSIH</t>
  </si>
  <si>
    <t>DP-0561</t>
  </si>
  <si>
    <t>1503090406130005</t>
  </si>
  <si>
    <t>1503054510760006</t>
  </si>
  <si>
    <t>DUSUN SUKAJADI</t>
  </si>
  <si>
    <t>DP-0562</t>
  </si>
  <si>
    <t>1503051808730005</t>
  </si>
  <si>
    <t>SUPRIYADI</t>
  </si>
  <si>
    <t>SIDOHARJO</t>
  </si>
  <si>
    <t>DP-0563</t>
  </si>
  <si>
    <t>1503090407130011</t>
  </si>
  <si>
    <t>1503090101920010</t>
  </si>
  <si>
    <t>ADE SETIAWAN</t>
  </si>
  <si>
    <t>DP-0564</t>
  </si>
  <si>
    <t>1503095904060001</t>
  </si>
  <si>
    <t>NURAINI AZZAHRA</t>
  </si>
  <si>
    <t>DP-0565</t>
  </si>
  <si>
    <t>1503094101720005</t>
  </si>
  <si>
    <t>SOPIAH</t>
  </si>
  <si>
    <t>DP-0566</t>
  </si>
  <si>
    <t>1503091004680003</t>
  </si>
  <si>
    <t>SURANI</t>
  </si>
  <si>
    <t>DP-0567</t>
  </si>
  <si>
    <t>1503090407180002</t>
  </si>
  <si>
    <t>1503096412890002</t>
  </si>
  <si>
    <t>BETTI KHOIRIYAH</t>
  </si>
  <si>
    <t>DP-0568</t>
  </si>
  <si>
    <t>1503090903860002</t>
  </si>
  <si>
    <t>SRI YANTO</t>
  </si>
  <si>
    <t>DP-0569</t>
  </si>
  <si>
    <t>1503090407190003</t>
  </si>
  <si>
    <t>1503095111800002</t>
  </si>
  <si>
    <t>DEDEH KURNIASIH</t>
  </si>
  <si>
    <t>1503090901080019</t>
  </si>
  <si>
    <t>DP-0570</t>
  </si>
  <si>
    <t>1503094204010001</t>
  </si>
  <si>
    <t>ELIN NURLAILA MA'RUF</t>
  </si>
  <si>
    <t>DP-0571</t>
  </si>
  <si>
    <t>1503092805030002</t>
  </si>
  <si>
    <t>MUHAMMAD HABI</t>
  </si>
  <si>
    <t>DP-0572</t>
  </si>
  <si>
    <t>1503090107690003</t>
  </si>
  <si>
    <t>SUMAR</t>
  </si>
  <si>
    <t>DP-0573</t>
  </si>
  <si>
    <t>1503090407230002</t>
  </si>
  <si>
    <t>1503094905710001</t>
  </si>
  <si>
    <t>KARTIMAH</t>
  </si>
  <si>
    <t>DP-0574</t>
  </si>
  <si>
    <t>1503090407230003</t>
  </si>
  <si>
    <t>1503094112970003</t>
  </si>
  <si>
    <t>NUR HANDAYANI</t>
  </si>
  <si>
    <t>DP-0575</t>
  </si>
  <si>
    <t>1604081904930001</t>
  </si>
  <si>
    <t>RADI APRULAH</t>
  </si>
  <si>
    <t>KUBA</t>
  </si>
  <si>
    <t>DP-0576</t>
  </si>
  <si>
    <t>1503090407230004</t>
  </si>
  <si>
    <t>1503092505950005</t>
  </si>
  <si>
    <t>ANDRIK KURNIAWAN</t>
  </si>
  <si>
    <t>DP-0577</t>
  </si>
  <si>
    <t>1503094510800004</t>
  </si>
  <si>
    <t>ESMINI</t>
  </si>
  <si>
    <t>JAWA TENGAN</t>
  </si>
  <si>
    <t>DP-0578</t>
  </si>
  <si>
    <t>1503090107740019</t>
  </si>
  <si>
    <t>SUKIMAN</t>
  </si>
  <si>
    <t>DP-0579</t>
  </si>
  <si>
    <t>1503096703620001</t>
  </si>
  <si>
    <t>DP-0580</t>
  </si>
  <si>
    <t>1503090408090005</t>
  </si>
  <si>
    <t>1503091606820004</t>
  </si>
  <si>
    <t>DP-0581</t>
  </si>
  <si>
    <t>1503095005890003</t>
  </si>
  <si>
    <t>IDA ROHAYATI</t>
  </si>
  <si>
    <t>DP-0582</t>
  </si>
  <si>
    <t>1503090408090010</t>
  </si>
  <si>
    <t>1503090802830002</t>
  </si>
  <si>
    <t>SUDARMADI</t>
  </si>
  <si>
    <t>DP-0583</t>
  </si>
  <si>
    <t>1503095701890001</t>
  </si>
  <si>
    <t>SUMARIYATI</t>
  </si>
  <si>
    <t>DP-0584</t>
  </si>
  <si>
    <t>1503090408160003</t>
  </si>
  <si>
    <t>1503090212870002</t>
  </si>
  <si>
    <t>ARDI SUSATYA. ST</t>
  </si>
  <si>
    <t>DP-0585</t>
  </si>
  <si>
    <t>1503095108930003</t>
  </si>
  <si>
    <t>KURNIA ASWAN</t>
  </si>
  <si>
    <t>PS. SURULANGUN</t>
  </si>
  <si>
    <t>DP-0586</t>
  </si>
  <si>
    <t>1503090408200011</t>
  </si>
  <si>
    <t>1503092006970002</t>
  </si>
  <si>
    <t>DIKA LUSDIYANTO</t>
  </si>
  <si>
    <t>DP-0587</t>
  </si>
  <si>
    <t>1503094907970002</t>
  </si>
  <si>
    <t>IROS IRAWATI</t>
  </si>
  <si>
    <t>DP-0588</t>
  </si>
  <si>
    <t>1503090408200012</t>
  </si>
  <si>
    <t>1505060308940004</t>
  </si>
  <si>
    <t>RIDHO ILHAPPI</t>
  </si>
  <si>
    <t>DP-0589</t>
  </si>
  <si>
    <t>1505064704940006</t>
  </si>
  <si>
    <t>RITA WINARNI</t>
  </si>
  <si>
    <t>KOTA KARA</t>
  </si>
  <si>
    <t>DP-0590</t>
  </si>
  <si>
    <t>1503090409120001</t>
  </si>
  <si>
    <t>1503096008880008</t>
  </si>
  <si>
    <t>ELI WANTI ASTUTI</t>
  </si>
  <si>
    <t>DP-0591</t>
  </si>
  <si>
    <t>1503093005860001</t>
  </si>
  <si>
    <t>JUMADI</t>
  </si>
  <si>
    <t>BAJUBANG</t>
  </si>
  <si>
    <t>DP-0592</t>
  </si>
  <si>
    <t>1503090409190002</t>
  </si>
  <si>
    <t>1503094107620016</t>
  </si>
  <si>
    <t>TARIAH</t>
  </si>
  <si>
    <t>DP-0593</t>
  </si>
  <si>
    <t>1503090409200005</t>
  </si>
  <si>
    <t>3329060802720001</t>
  </si>
  <si>
    <t>ASRORI</t>
  </si>
  <si>
    <t>DP-0594</t>
  </si>
  <si>
    <t>3329065707740005</t>
  </si>
  <si>
    <t>SITI UMAROH</t>
  </si>
  <si>
    <t>DP-0595</t>
  </si>
  <si>
    <t>1503090410070003</t>
  </si>
  <si>
    <t>1503090107700022</t>
  </si>
  <si>
    <t>M. IHSANUDIN SANUSI</t>
  </si>
  <si>
    <t>DP-0596</t>
  </si>
  <si>
    <t>1503095211800001</t>
  </si>
  <si>
    <t>TASLIMAH</t>
  </si>
  <si>
    <t>DP-0597</t>
  </si>
  <si>
    <t>1503090411100025</t>
  </si>
  <si>
    <t>1503095910060003</t>
  </si>
  <si>
    <t>FAJAR FITRI RAMADANI</t>
  </si>
  <si>
    <t>DP-0598</t>
  </si>
  <si>
    <t>1503094904860001</t>
  </si>
  <si>
    <t>RIA WIDIASTUTI</t>
  </si>
  <si>
    <t>DP-0599</t>
  </si>
  <si>
    <t>1503090804790002</t>
  </si>
  <si>
    <t>TEGUH WIDODO</t>
  </si>
  <si>
    <t>TADUKAN RAGA</t>
  </si>
  <si>
    <t>DP-0600</t>
  </si>
  <si>
    <t>1503090411100026</t>
  </si>
  <si>
    <t>1503096010660003</t>
  </si>
  <si>
    <t>DSIII SUKA MULYA PAYOLEBAR</t>
  </si>
  <si>
    <t>DP-0601</t>
  </si>
  <si>
    <t>1503090107550014</t>
  </si>
  <si>
    <t>TAMSIR</t>
  </si>
  <si>
    <t>DP-0602</t>
  </si>
  <si>
    <t>1503090411130004</t>
  </si>
  <si>
    <t>1503095502460001</t>
  </si>
  <si>
    <t>BIBIT</t>
  </si>
  <si>
    <t>DSN I KARYA MAKMUR</t>
  </si>
  <si>
    <t>DP-0603</t>
  </si>
  <si>
    <t>1503090412180002</t>
  </si>
  <si>
    <t>1613021211970003</t>
  </si>
  <si>
    <t>ABDUL SALAM</t>
  </si>
  <si>
    <t>SURULANGUN</t>
  </si>
  <si>
    <t>DP-0604</t>
  </si>
  <si>
    <t>1503095111020002</t>
  </si>
  <si>
    <t>WULAN PERMATA INDAH</t>
  </si>
  <si>
    <t>PANDEGLANG</t>
  </si>
  <si>
    <t>DP-0605</t>
  </si>
  <si>
    <t>1503090501100006</t>
  </si>
  <si>
    <t>1503094503980002</t>
  </si>
  <si>
    <t>DEPI FATMAWATI</t>
  </si>
  <si>
    <t>DP-0606</t>
  </si>
  <si>
    <t>1503095508780002</t>
  </si>
  <si>
    <t>SATINEM</t>
  </si>
  <si>
    <t>DP-0607</t>
  </si>
  <si>
    <t>1503092506660001</t>
  </si>
  <si>
    <t>SUMIRAN</t>
  </si>
  <si>
    <t>DP-0608</t>
  </si>
  <si>
    <t>1503090501220004</t>
  </si>
  <si>
    <t>1503091104020001</t>
  </si>
  <si>
    <t>FIKI ARDIAN</t>
  </si>
  <si>
    <t>DP-0609</t>
  </si>
  <si>
    <t>1503091804710001</t>
  </si>
  <si>
    <t>MISKAT</t>
  </si>
  <si>
    <t>PORWADADI</t>
  </si>
  <si>
    <t>DP-0610</t>
  </si>
  <si>
    <t>1503095809710002</t>
  </si>
  <si>
    <t>SRI UTAMI</t>
  </si>
  <si>
    <t>DP-0611</t>
  </si>
  <si>
    <t>1503090502090010</t>
  </si>
  <si>
    <t>1503092607990002</t>
  </si>
  <si>
    <t>HENDRI LUKMAN</t>
  </si>
  <si>
    <t>DP-0612</t>
  </si>
  <si>
    <t>1503095006820003</t>
  </si>
  <si>
    <t>HERLINA</t>
  </si>
  <si>
    <t>DP-0613</t>
  </si>
  <si>
    <t>1503090711770001</t>
  </si>
  <si>
    <t>IMAM. SAFI'I</t>
  </si>
  <si>
    <t>DP-0614</t>
  </si>
  <si>
    <t>1503090502090011</t>
  </si>
  <si>
    <t>1503095602010004</t>
  </si>
  <si>
    <t>DANI AGUNG PRAMUDJA</t>
  </si>
  <si>
    <t>DUSUN KARYA AGGUNG</t>
  </si>
  <si>
    <t>DP-0615</t>
  </si>
  <si>
    <t>1503095608740001</t>
  </si>
  <si>
    <t>SITI AMINAH</t>
  </si>
  <si>
    <t>NGANJUK</t>
  </si>
  <si>
    <t>DP-0616</t>
  </si>
  <si>
    <t>1503091908690001</t>
  </si>
  <si>
    <t>TIMBUL SAPUTRA</t>
  </si>
  <si>
    <t>DP-0617</t>
  </si>
  <si>
    <t>1503090502200001</t>
  </si>
  <si>
    <t>1503091101060004</t>
  </si>
  <si>
    <t>AHMAD LATIF AZIKRI</t>
  </si>
  <si>
    <t>DP-0618</t>
  </si>
  <si>
    <t>1503094108830003</t>
  </si>
  <si>
    <t>ELLIA HASIM</t>
  </si>
  <si>
    <t>RT TENANG</t>
  </si>
  <si>
    <t>DP-0619</t>
  </si>
  <si>
    <t>1503090607810004</t>
  </si>
  <si>
    <t>RUDITO</t>
  </si>
  <si>
    <t>DP-0620</t>
  </si>
  <si>
    <t>1503090502200005</t>
  </si>
  <si>
    <t>1771025912900004</t>
  </si>
  <si>
    <t>PUDY ASTUTI</t>
  </si>
  <si>
    <t>DP-0621</t>
  </si>
  <si>
    <t>1503091110910005</t>
  </si>
  <si>
    <t>RULI HAMDANI</t>
  </si>
  <si>
    <t>DP-0622</t>
  </si>
  <si>
    <t>1503090502240002</t>
  </si>
  <si>
    <t>1503094701030001</t>
  </si>
  <si>
    <t>RISKA NURHAKIKI</t>
  </si>
  <si>
    <t>DP-0623</t>
  </si>
  <si>
    <t>1503090502240004</t>
  </si>
  <si>
    <t>1503091608940005</t>
  </si>
  <si>
    <t>M. JAROT MULYANTO</t>
  </si>
  <si>
    <t>DP-0624</t>
  </si>
  <si>
    <t>3321066006940006</t>
  </si>
  <si>
    <t>SITI SESYANTI</t>
  </si>
  <si>
    <t>DP-0626</t>
  </si>
  <si>
    <t>1503090504100009</t>
  </si>
  <si>
    <t>1503090401590002</t>
  </si>
  <si>
    <t>SUTARMIN</t>
  </si>
  <si>
    <t>CIKAWUNG</t>
  </si>
  <si>
    <t>DUSUN I PAYO LEBAR</t>
  </si>
  <si>
    <t>DP-0627</t>
  </si>
  <si>
    <t>1503090504130004</t>
  </si>
  <si>
    <t>1503091301060001</t>
  </si>
  <si>
    <t>HENDRI FATKUR ROHMAN</t>
  </si>
  <si>
    <t>DP-0628</t>
  </si>
  <si>
    <t>1503097003830003</t>
  </si>
  <si>
    <t>KOMARIYAH</t>
  </si>
  <si>
    <t>MOJOKERTO</t>
  </si>
  <si>
    <t>DP-0629</t>
  </si>
  <si>
    <t>1503090108800003</t>
  </si>
  <si>
    <t>SARIONO</t>
  </si>
  <si>
    <t>DP-0630</t>
  </si>
  <si>
    <t>1503090504220001</t>
  </si>
  <si>
    <t>1503090902040001</t>
  </si>
  <si>
    <t>ASEP EFENDI</t>
  </si>
  <si>
    <t>DP-0631</t>
  </si>
  <si>
    <t>1503091901710001</t>
  </si>
  <si>
    <t>JOKO HADIANTO</t>
  </si>
  <si>
    <t>DP-0632</t>
  </si>
  <si>
    <t>1503094505800004</t>
  </si>
  <si>
    <t>YESI PANDA YANTI</t>
  </si>
  <si>
    <t>DP-0633</t>
  </si>
  <si>
    <t>1503090505110001</t>
  </si>
  <si>
    <t>1503095403910003</t>
  </si>
  <si>
    <t>NURUL HIDAYAH</t>
  </si>
  <si>
    <t>DP-0634</t>
  </si>
  <si>
    <t>1503091906860001</t>
  </si>
  <si>
    <t>SLAMET RIYADI</t>
  </si>
  <si>
    <t>DP-0635</t>
  </si>
  <si>
    <t>1503090506180002</t>
  </si>
  <si>
    <t>1503096810830004</t>
  </si>
  <si>
    <t>SRI NING PURWATI</t>
  </si>
  <si>
    <t>DP-0636</t>
  </si>
  <si>
    <t>1503091802820005</t>
  </si>
  <si>
    <t>DP-0637</t>
  </si>
  <si>
    <t>1503090506230005</t>
  </si>
  <si>
    <t>1503096306980002</t>
  </si>
  <si>
    <t>JUMIATI EKA VERA FANDARI</t>
  </si>
  <si>
    <t>DP-0638</t>
  </si>
  <si>
    <t>1506130710920001</t>
  </si>
  <si>
    <t>SUYONO</t>
  </si>
  <si>
    <t>SUNGAI BERINGIN</t>
  </si>
  <si>
    <t>DP-0639</t>
  </si>
  <si>
    <t>1503090506240002</t>
  </si>
  <si>
    <t>1503094308920004</t>
  </si>
  <si>
    <t>NENNY TETTY REJEKI PASARIBU</t>
  </si>
  <si>
    <t>DP-0640</t>
  </si>
  <si>
    <t>1210141810900002</t>
  </si>
  <si>
    <t>RIKSON SIMANJUNTAK</t>
  </si>
  <si>
    <t>ALURAN NAGA</t>
  </si>
  <si>
    <t>DP-0641</t>
  </si>
  <si>
    <t>1503090507180004</t>
  </si>
  <si>
    <t>1503021404830002</t>
  </si>
  <si>
    <t>EDI SUPRIANTO</t>
  </si>
  <si>
    <t>MUARA KUTUR</t>
  </si>
  <si>
    <t>JL. MANGKUBUMI</t>
  </si>
  <si>
    <t>DP-0642</t>
  </si>
  <si>
    <t>1503024308900004</t>
  </si>
  <si>
    <t>ENI WAHYUNI</t>
  </si>
  <si>
    <t>BANGKO JAYA</t>
  </si>
  <si>
    <t>DP-0643</t>
  </si>
  <si>
    <t>1503090507190008</t>
  </si>
  <si>
    <t>1606055402060001</t>
  </si>
  <si>
    <t>AFIFAH ISKANDAR</t>
  </si>
  <si>
    <t>PEMALANG</t>
  </si>
  <si>
    <t>JL BENTENG DUSUN KARYA AGUNG</t>
  </si>
  <si>
    <t>DP-0644</t>
  </si>
  <si>
    <t>1606051902770001</t>
  </si>
  <si>
    <t>MUH ISKANDAR</t>
  </si>
  <si>
    <t>MAKARTI JAYA</t>
  </si>
  <si>
    <t>DP-0645</t>
  </si>
  <si>
    <t>1606050303030010</t>
  </si>
  <si>
    <t>MUHAMMAD HUMAM ISKANDAR</t>
  </si>
  <si>
    <t>BANTUL</t>
  </si>
  <si>
    <t>DP-0646</t>
  </si>
  <si>
    <t>1606055406780001</t>
  </si>
  <si>
    <t>SRI PUJI ASTUTI</t>
  </si>
  <si>
    <t>BOGOR</t>
  </si>
  <si>
    <t>DP-0647</t>
  </si>
  <si>
    <t>1503090507220001</t>
  </si>
  <si>
    <t>1503094311650001</t>
  </si>
  <si>
    <t>MARSIYEM</t>
  </si>
  <si>
    <t>MEDIUN</t>
  </si>
  <si>
    <t>DP-0648</t>
  </si>
  <si>
    <t>1503090508090002</t>
  </si>
  <si>
    <t>1503090703000001</t>
  </si>
  <si>
    <t>FAJAR ARDIANTO</t>
  </si>
  <si>
    <t>DP-0649</t>
  </si>
  <si>
    <t>1503092109050002</t>
  </si>
  <si>
    <t>FERY ANDIKA ARDI ANTO</t>
  </si>
  <si>
    <t>DP-0650</t>
  </si>
  <si>
    <t>1503091010780004</t>
  </si>
  <si>
    <t>SUTARMAN</t>
  </si>
  <si>
    <t>DP-0651</t>
  </si>
  <si>
    <t>1503096007810001</t>
  </si>
  <si>
    <t>WARSITI</t>
  </si>
  <si>
    <t>DP-0652</t>
  </si>
  <si>
    <t>1503090508160001</t>
  </si>
  <si>
    <t>1503092306900003</t>
  </si>
  <si>
    <t>IDRUS WULNADI</t>
  </si>
  <si>
    <t>DP-0653</t>
  </si>
  <si>
    <t>1503090508200002</t>
  </si>
  <si>
    <t>1503090208780005</t>
  </si>
  <si>
    <t>ELWIN PRIBADI</t>
  </si>
  <si>
    <t>LHOKSUKON</t>
  </si>
  <si>
    <t>DP-0654</t>
  </si>
  <si>
    <t>1503094107770045</t>
  </si>
  <si>
    <t>HAYANI</t>
  </si>
  <si>
    <t>SINGKUT/BUKIT TIGO</t>
  </si>
  <si>
    <t>DP-0655</t>
  </si>
  <si>
    <t>1271111409030001</t>
  </si>
  <si>
    <t>OKAN AULIANSYAH AFRIZA</t>
  </si>
  <si>
    <t>DP-0656</t>
  </si>
  <si>
    <t>1503090508220002</t>
  </si>
  <si>
    <t>1503094905630002</t>
  </si>
  <si>
    <t>MARTINI</t>
  </si>
  <si>
    <t>DP-0657</t>
  </si>
  <si>
    <t>1503095511990005</t>
  </si>
  <si>
    <t>NOVI PRATIWI</t>
  </si>
  <si>
    <t>PAYOLEBAR SINGKUT</t>
  </si>
  <si>
    <t>DP-0658</t>
  </si>
  <si>
    <t>1503090510980002</t>
  </si>
  <si>
    <t>RIAN HIDAYAT</t>
  </si>
  <si>
    <t>DP-0659</t>
  </si>
  <si>
    <t>1503090509180007</t>
  </si>
  <si>
    <t>1607016104930005</t>
  </si>
  <si>
    <t>EKA APRILIA WAHYUNI</t>
  </si>
  <si>
    <t>BANYUASIN</t>
  </si>
  <si>
    <t>DP-0660</t>
  </si>
  <si>
    <t>1503091707870002</t>
  </si>
  <si>
    <t>MANSUR</t>
  </si>
  <si>
    <t>DP-0661</t>
  </si>
  <si>
    <t>1503090509230001</t>
  </si>
  <si>
    <t>1503095210560001</t>
  </si>
  <si>
    <t>SITI MUTIAH WAKIDI</t>
  </si>
  <si>
    <t>DP-0662</t>
  </si>
  <si>
    <t>1503090510090001</t>
  </si>
  <si>
    <t>1503090212060002</t>
  </si>
  <si>
    <t>ANDIKA DWI PRASTYA</t>
  </si>
  <si>
    <t>DP-0663</t>
  </si>
  <si>
    <t>1503091102960004</t>
  </si>
  <si>
    <t>ASHARI RHOMADON</t>
  </si>
  <si>
    <t>DP-0664</t>
  </si>
  <si>
    <t>1503090707980001</t>
  </si>
  <si>
    <t>LUKFAN ARI PRAYOGA</t>
  </si>
  <si>
    <t>DP-0665</t>
  </si>
  <si>
    <t>1503095003030002</t>
  </si>
  <si>
    <t>SELVIANA FAJRIYANTI</t>
  </si>
  <si>
    <t>DP-0666</t>
  </si>
  <si>
    <t>1503091005690001</t>
  </si>
  <si>
    <t>SUMARDAYAN</t>
  </si>
  <si>
    <t>TANJUNG AGUNG</t>
  </si>
  <si>
    <t>DP-0667</t>
  </si>
  <si>
    <t>1503096111770001</t>
  </si>
  <si>
    <t>TUTIK SUPRIHATIN</t>
  </si>
  <si>
    <t>DP-0668</t>
  </si>
  <si>
    <t>1503090510100001</t>
  </si>
  <si>
    <t>1503096812050005</t>
  </si>
  <si>
    <t>DESWINDA NASYWA. AP</t>
  </si>
  <si>
    <t>DP-0669</t>
  </si>
  <si>
    <t>1503095010530001</t>
  </si>
  <si>
    <t>SITI PAWIT</t>
  </si>
  <si>
    <t>MA. TEMBESI</t>
  </si>
  <si>
    <t>DP-0670</t>
  </si>
  <si>
    <t>1503095304840004</t>
  </si>
  <si>
    <t>WIWIK SETYA NINGSIH</t>
  </si>
  <si>
    <t>DP-0671</t>
  </si>
  <si>
    <t>1503090510230001</t>
  </si>
  <si>
    <t>1503096501930003</t>
  </si>
  <si>
    <t>CHAVITA ARUM NINGTYAS</t>
  </si>
  <si>
    <t>DP-0672</t>
  </si>
  <si>
    <t>1503090510230004</t>
  </si>
  <si>
    <t>1503097112980002</t>
  </si>
  <si>
    <t>DWI DESTIKA WIJAYA</t>
  </si>
  <si>
    <t>DESA BALAI RAJO</t>
  </si>
  <si>
    <t>DP-0673</t>
  </si>
  <si>
    <t>1503090107940011</t>
  </si>
  <si>
    <t>RIFAI</t>
  </si>
  <si>
    <t>DP-0674</t>
  </si>
  <si>
    <t>1503090511080011</t>
  </si>
  <si>
    <t>1503091205570002</t>
  </si>
  <si>
    <t>DP-0675</t>
  </si>
  <si>
    <t>1503096810590001</t>
  </si>
  <si>
    <t>SUWARNI</t>
  </si>
  <si>
    <t>DP-0676</t>
  </si>
  <si>
    <t>1503090511190005</t>
  </si>
  <si>
    <t>1503095501580001</t>
  </si>
  <si>
    <t>MUSINAH</t>
  </si>
  <si>
    <t>DUSUN III</t>
  </si>
  <si>
    <t>DP-0677</t>
  </si>
  <si>
    <t>1503090512080001</t>
  </si>
  <si>
    <t>1503096307970001</t>
  </si>
  <si>
    <t>LAILATUL KHOLIFAH</t>
  </si>
  <si>
    <t>DP-0678</t>
  </si>
  <si>
    <t>1503095707590001</t>
  </si>
  <si>
    <t>DP-0679</t>
  </si>
  <si>
    <t>1503091707580004</t>
  </si>
  <si>
    <t>SUTARNO</t>
  </si>
  <si>
    <t>DP-0680</t>
  </si>
  <si>
    <t>1503090512080002</t>
  </si>
  <si>
    <t>1503096403570001</t>
  </si>
  <si>
    <t>MURSIATI</t>
  </si>
  <si>
    <t>DP-0681</t>
  </si>
  <si>
    <t>1503090101510028</t>
  </si>
  <si>
    <t>SUKADI</t>
  </si>
  <si>
    <t>DP-0682</t>
  </si>
  <si>
    <t>1503090512120001</t>
  </si>
  <si>
    <t>1503094508480001</t>
  </si>
  <si>
    <t>SURATI</t>
  </si>
  <si>
    <t>DP-0683</t>
  </si>
  <si>
    <t>1503090512120002</t>
  </si>
  <si>
    <t>1503095104930002</t>
  </si>
  <si>
    <t>SITI NURHASANAH</t>
  </si>
  <si>
    <t>DP-0684</t>
  </si>
  <si>
    <t>1503091602890001</t>
  </si>
  <si>
    <t>TAUFIK WASONO</t>
  </si>
  <si>
    <t>DP-0685</t>
  </si>
  <si>
    <t>1503090601090010</t>
  </si>
  <si>
    <t>1503091707020004</t>
  </si>
  <si>
    <t>DANI PRAYOGA</t>
  </si>
  <si>
    <t>DP-0686</t>
  </si>
  <si>
    <t>1503095102820001</t>
  </si>
  <si>
    <t>SITI KHOLIFAH</t>
  </si>
  <si>
    <t>DP-0687</t>
  </si>
  <si>
    <t>1503091104760001</t>
  </si>
  <si>
    <t>SUTRISNO</t>
  </si>
  <si>
    <t>DP-0688</t>
  </si>
  <si>
    <t>1503090601110002</t>
  </si>
  <si>
    <t>1503095208770004</t>
  </si>
  <si>
    <t>AGUSTINI</t>
  </si>
  <si>
    <t>DP-0689</t>
  </si>
  <si>
    <t>1503090510040004</t>
  </si>
  <si>
    <t>MEI DWI WIRATMO</t>
  </si>
  <si>
    <t>DP-0690</t>
  </si>
  <si>
    <t>1503091407700001</t>
  </si>
  <si>
    <t>SUPARDI</t>
  </si>
  <si>
    <t>DP-0691</t>
  </si>
  <si>
    <t>1503090601200007</t>
  </si>
  <si>
    <t>1605162805920001</t>
  </si>
  <si>
    <t>BUDI SANTOSO</t>
  </si>
  <si>
    <t>MUSI RAWAS</t>
  </si>
  <si>
    <t>DP-0692</t>
  </si>
  <si>
    <t>1503095803980003</t>
  </si>
  <si>
    <t>MEI LINGGASARI</t>
  </si>
  <si>
    <t>DP-0693</t>
  </si>
  <si>
    <t>1503090601200011</t>
  </si>
  <si>
    <t>1503097105920004</t>
  </si>
  <si>
    <t>SITI NURHALIMAH</t>
  </si>
  <si>
    <t>RIMBO BUJANG</t>
  </si>
  <si>
    <t>DP-0694</t>
  </si>
  <si>
    <t>1503090602090009</t>
  </si>
  <si>
    <t>1503094502650002</t>
  </si>
  <si>
    <t>SARINGAH</t>
  </si>
  <si>
    <t>DP-0695</t>
  </si>
  <si>
    <t>1503090602120003</t>
  </si>
  <si>
    <t>1503092708620002</t>
  </si>
  <si>
    <t>ARFAN</t>
  </si>
  <si>
    <t>MUARA ENIM</t>
  </si>
  <si>
    <t>DP-0696</t>
  </si>
  <si>
    <t>1503094405730001</t>
  </si>
  <si>
    <t>SAWIJAH</t>
  </si>
  <si>
    <t>DP-0697</t>
  </si>
  <si>
    <t>1503090602120004</t>
  </si>
  <si>
    <t>1503094404910001</t>
  </si>
  <si>
    <t>ATIK WIJAYANTI</t>
  </si>
  <si>
    <t>DP-0698</t>
  </si>
  <si>
    <t>1503091511820004</t>
  </si>
  <si>
    <t>SUNARWAN</t>
  </si>
  <si>
    <t>PRABUMULIH</t>
  </si>
  <si>
    <t>DP-0699</t>
  </si>
  <si>
    <t>1503090602130001</t>
  </si>
  <si>
    <t>1503096008860001</t>
  </si>
  <si>
    <t>AGUS DWI JAYANTI</t>
  </si>
  <si>
    <t>DP-0700</t>
  </si>
  <si>
    <t>1503096008860003</t>
  </si>
  <si>
    <t>ANGGUN VERONIKA SAPUTRI</t>
  </si>
  <si>
    <t>DP-0701</t>
  </si>
  <si>
    <t>1503090609640003</t>
  </si>
  <si>
    <t>HARYANTO</t>
  </si>
  <si>
    <t>DP-0702</t>
  </si>
  <si>
    <t>1503090602130004</t>
  </si>
  <si>
    <t>1503090110010004</t>
  </si>
  <si>
    <t>BIMO ABDUL AZIIZ</t>
  </si>
  <si>
    <t>DP-0703</t>
  </si>
  <si>
    <t>1503090808770004</t>
  </si>
  <si>
    <t>M.YANTO</t>
  </si>
  <si>
    <t>MULYO KENCANA</t>
  </si>
  <si>
    <t>DP-0704</t>
  </si>
  <si>
    <t>1503095012820003</t>
  </si>
  <si>
    <t>MAFUROH</t>
  </si>
  <si>
    <t>DP-0705</t>
  </si>
  <si>
    <t>1503090602130005</t>
  </si>
  <si>
    <t>1503095506550001</t>
  </si>
  <si>
    <t>SUPRAPTI</t>
  </si>
  <si>
    <t>DP-0706</t>
  </si>
  <si>
    <t>1503090602140003</t>
  </si>
  <si>
    <t>1503090411890004</t>
  </si>
  <si>
    <t>DARMI IRWANTO</t>
  </si>
  <si>
    <t>MARGA MAKMUR</t>
  </si>
  <si>
    <t>DP-0707</t>
  </si>
  <si>
    <t>1509046209900002</t>
  </si>
  <si>
    <t>WASILATUN</t>
  </si>
  <si>
    <t>PURWOHARJO</t>
  </si>
  <si>
    <t>DP-0708</t>
  </si>
  <si>
    <t>1503090602150001</t>
  </si>
  <si>
    <t>1503095202920002</t>
  </si>
  <si>
    <t>CICI TIANSARI</t>
  </si>
  <si>
    <t>DP-0709</t>
  </si>
  <si>
    <t>1503090505860006</t>
  </si>
  <si>
    <t>SUGENG RIADI</t>
  </si>
  <si>
    <t>1503094501060003</t>
  </si>
  <si>
    <t>DP-0710</t>
  </si>
  <si>
    <t>1503090602150002</t>
  </si>
  <si>
    <t>1503090607880001</t>
  </si>
  <si>
    <t>ADE HIDAYAT</t>
  </si>
  <si>
    <t>1503090509840003</t>
  </si>
  <si>
    <t>DP-0711</t>
  </si>
  <si>
    <t>1503094107920010</t>
  </si>
  <si>
    <t>RITA MARYANI</t>
  </si>
  <si>
    <t>DP-0712</t>
  </si>
  <si>
    <t>1503090602170006</t>
  </si>
  <si>
    <t>1503090402770002</t>
  </si>
  <si>
    <t>SAIFUL ANWAR</t>
  </si>
  <si>
    <t>DP-0713</t>
  </si>
  <si>
    <t>1503095502800003</t>
  </si>
  <si>
    <t>YATI</t>
  </si>
  <si>
    <t>DP-0714</t>
  </si>
  <si>
    <t>1503090602230006</t>
  </si>
  <si>
    <t>1503096207020001</t>
  </si>
  <si>
    <t>ELISA APRIANTI</t>
  </si>
  <si>
    <t>PAYO LEBAR SINGKUT</t>
  </si>
  <si>
    <t>DP-0715</t>
  </si>
  <si>
    <t>1503051906010002</t>
  </si>
  <si>
    <t>MUMAR</t>
  </si>
  <si>
    <t>DP-0716</t>
  </si>
  <si>
    <t>1503090602240013</t>
  </si>
  <si>
    <t>1503090903930002</t>
  </si>
  <si>
    <t>ARIF SETIAWAN</t>
  </si>
  <si>
    <t>DP-0717</t>
  </si>
  <si>
    <t>1505056707950001</t>
  </si>
  <si>
    <t>YULIANA</t>
  </si>
  <si>
    <t>SUKA DAMAI</t>
  </si>
  <si>
    <t>DP-0718</t>
  </si>
  <si>
    <t>1503090603130011</t>
  </si>
  <si>
    <t>1503096412060002</t>
  </si>
  <si>
    <t>ASTI UTAMI</t>
  </si>
  <si>
    <t>MA.RUPIT</t>
  </si>
  <si>
    <t>DP-0719</t>
  </si>
  <si>
    <t>1503090608840002</t>
  </si>
  <si>
    <t>ONO SUHARTONO</t>
  </si>
  <si>
    <t>DP-0720</t>
  </si>
  <si>
    <t>1503094104850005</t>
  </si>
  <si>
    <t>SIDARIAH</t>
  </si>
  <si>
    <t>DP-0721</t>
  </si>
  <si>
    <t>1503090604090002</t>
  </si>
  <si>
    <t>1503095812030001</t>
  </si>
  <si>
    <t>DIAN SAPUTRI</t>
  </si>
  <si>
    <t>DP-0722</t>
  </si>
  <si>
    <t>1503091911990001</t>
  </si>
  <si>
    <t>DWI GITA FEBRIANSYAH</t>
  </si>
  <si>
    <t>DP-0723</t>
  </si>
  <si>
    <t>1503092709740004</t>
  </si>
  <si>
    <t>RASITA</t>
  </si>
  <si>
    <t>CIREBON</t>
  </si>
  <si>
    <t>DP-0724</t>
  </si>
  <si>
    <t>1503094405750002</t>
  </si>
  <si>
    <t>SULIYEM</t>
  </si>
  <si>
    <t>DP-0725</t>
  </si>
  <si>
    <t>1503090604090004</t>
  </si>
  <si>
    <t>1503096909650001</t>
  </si>
  <si>
    <t>MUKINI</t>
  </si>
  <si>
    <t>DP-0726</t>
  </si>
  <si>
    <t>1503091404600001</t>
  </si>
  <si>
    <t>SARPAN</t>
  </si>
  <si>
    <t>DP-0727</t>
  </si>
  <si>
    <t>1503090604090007</t>
  </si>
  <si>
    <t>1503092706720001</t>
  </si>
  <si>
    <t>BUDIONO</t>
  </si>
  <si>
    <t>DP-0728</t>
  </si>
  <si>
    <t>1503094407790002</t>
  </si>
  <si>
    <t>DEWI ASMARA</t>
  </si>
  <si>
    <t>DP-0729</t>
  </si>
  <si>
    <t>1503091602030002</t>
  </si>
  <si>
    <t>RISKI ADI SAPUTRA</t>
  </si>
  <si>
    <t>DP-0730</t>
  </si>
  <si>
    <t>1503090604090008</t>
  </si>
  <si>
    <t>1503092811750002</t>
  </si>
  <si>
    <t>EDI PURWANTO</t>
  </si>
  <si>
    <t>DP-0731</t>
  </si>
  <si>
    <t>1503091312990004</t>
  </si>
  <si>
    <t>EKO SAPUTRA</t>
  </si>
  <si>
    <t>DP-0732</t>
  </si>
  <si>
    <t>1503094611810001</t>
  </si>
  <si>
    <t>SARMIATI</t>
  </si>
  <si>
    <t>DP-0733</t>
  </si>
  <si>
    <t>1503090604090009</t>
  </si>
  <si>
    <t>1503092809800003</t>
  </si>
  <si>
    <t>EKO PURWANTO</t>
  </si>
  <si>
    <t>DP-0734</t>
  </si>
  <si>
    <t>1503091109070001</t>
  </si>
  <si>
    <t>JAMAL SAPUTRA</t>
  </si>
  <si>
    <t>DP-0735</t>
  </si>
  <si>
    <t>1503096408850002</t>
  </si>
  <si>
    <t>PARTINI</t>
  </si>
  <si>
    <t>DP-0736</t>
  </si>
  <si>
    <t>1503090604090012</t>
  </si>
  <si>
    <t>1503090711780001</t>
  </si>
  <si>
    <t>ALY ZUHRI</t>
  </si>
  <si>
    <t>DP-0737</t>
  </si>
  <si>
    <t>1503096101050004</t>
  </si>
  <si>
    <t>AMELIA ADHATUNNISA</t>
  </si>
  <si>
    <t>DP-0738</t>
  </si>
  <si>
    <t>1503096006830004</t>
  </si>
  <si>
    <t>RIMBA YANTI</t>
  </si>
  <si>
    <t>DP-0739</t>
  </si>
  <si>
    <t>1503090604090013</t>
  </si>
  <si>
    <t>1503091406030002</t>
  </si>
  <si>
    <t>DAVID ANDESPA</t>
  </si>
  <si>
    <t>DP-0740</t>
  </si>
  <si>
    <t>1503095607810002</t>
  </si>
  <si>
    <t>DEWI SRIATI</t>
  </si>
  <si>
    <t>DP-0741</t>
  </si>
  <si>
    <t>1503090504760001</t>
  </si>
  <si>
    <t>DP-0742</t>
  </si>
  <si>
    <t>1503090604090015</t>
  </si>
  <si>
    <t>1503090909860005</t>
  </si>
  <si>
    <t>HERYANA</t>
  </si>
  <si>
    <t>DP-0743</t>
  </si>
  <si>
    <t>1503095306890003</t>
  </si>
  <si>
    <t>LIA ERLINA</t>
  </si>
  <si>
    <t>DP-0744</t>
  </si>
  <si>
    <t>1503090604090017</t>
  </si>
  <si>
    <t>1503092012710001</t>
  </si>
  <si>
    <t>BAMBANG</t>
  </si>
  <si>
    <t>DP-0745</t>
  </si>
  <si>
    <t>1503096811750001</t>
  </si>
  <si>
    <t>TATIK</t>
  </si>
  <si>
    <t>DP-0746</t>
  </si>
  <si>
    <t>1503090604090018</t>
  </si>
  <si>
    <t>1503090709490001</t>
  </si>
  <si>
    <t>DP-0747</t>
  </si>
  <si>
    <t>1503096004550001</t>
  </si>
  <si>
    <t>SUJIYEM</t>
  </si>
  <si>
    <t>DP-0748</t>
  </si>
  <si>
    <t>1503090604090023</t>
  </si>
  <si>
    <t>1503095003730002</t>
  </si>
  <si>
    <t>ERMAWATI</t>
  </si>
  <si>
    <t>KAYU RIMBUN</t>
  </si>
  <si>
    <t>DP-0749</t>
  </si>
  <si>
    <t>1503092106700001</t>
  </si>
  <si>
    <t>SUKASNO</t>
  </si>
  <si>
    <t>DP-0750</t>
  </si>
  <si>
    <t>1503090604110010</t>
  </si>
  <si>
    <t>1503092304710001</t>
  </si>
  <si>
    <t>JUMALI</t>
  </si>
  <si>
    <t>DP-0751</t>
  </si>
  <si>
    <t>1503094707800007</t>
  </si>
  <si>
    <t>LESTARI</t>
  </si>
  <si>
    <t>DP-0752</t>
  </si>
  <si>
    <t>1503090102030003</t>
  </si>
  <si>
    <t>VEBRIAN ERIK SANDIKA</t>
  </si>
  <si>
    <t>DP-0753</t>
  </si>
  <si>
    <t>1503092604980004</t>
  </si>
  <si>
    <t>YOGA ARISANDI</t>
  </si>
  <si>
    <t>DP-0754</t>
  </si>
  <si>
    <t>1503090604110012</t>
  </si>
  <si>
    <t>1503094704910002</t>
  </si>
  <si>
    <t>DP-0755</t>
  </si>
  <si>
    <t>1503090202820007</t>
  </si>
  <si>
    <t>MOHAMMAD MANSUR</t>
  </si>
  <si>
    <t>DP-0756</t>
  </si>
  <si>
    <t>1503090604110013</t>
  </si>
  <si>
    <t>1503095911060003</t>
  </si>
  <si>
    <t>MUTIARA HEKSA DEALOVA</t>
  </si>
  <si>
    <t>DP-0757</t>
  </si>
  <si>
    <t>1503090803750004</t>
  </si>
  <si>
    <t>PURWADI</t>
  </si>
  <si>
    <t>DP-0758</t>
  </si>
  <si>
    <t>1503094504760002</t>
  </si>
  <si>
    <t>SRI SUHARTINA</t>
  </si>
  <si>
    <t>DP-0759</t>
  </si>
  <si>
    <t>1503090604110014</t>
  </si>
  <si>
    <t>1503091212680007</t>
  </si>
  <si>
    <t>TAMTO</t>
  </si>
  <si>
    <t>DP-0760</t>
  </si>
  <si>
    <t>1503090604110015</t>
  </si>
  <si>
    <t>1503096407910001</t>
  </si>
  <si>
    <t>EVA SURYANTI</t>
  </si>
  <si>
    <t>DP-0761</t>
  </si>
  <si>
    <t>1503091012010002</t>
  </si>
  <si>
    <t>KEVIN PHILLIPS RAMADHAN</t>
  </si>
  <si>
    <t>DP-0762</t>
  </si>
  <si>
    <t>1503090802740002</t>
  </si>
  <si>
    <t>DP-0763</t>
  </si>
  <si>
    <t>1503090604110016</t>
  </si>
  <si>
    <t>1503095704630003</t>
  </si>
  <si>
    <t>KATIYEM</t>
  </si>
  <si>
    <t>DP-0764</t>
  </si>
  <si>
    <t>1503091507600002</t>
  </si>
  <si>
    <t>SAMIRAN</t>
  </si>
  <si>
    <t>DP-0765</t>
  </si>
  <si>
    <t>1503090604160001</t>
  </si>
  <si>
    <t>1503091704950001</t>
  </si>
  <si>
    <t>AHMAD PUTRA MIYANTO</t>
  </si>
  <si>
    <t>DUSUN IV RAMBAI JAYA</t>
  </si>
  <si>
    <t>DP-0766</t>
  </si>
  <si>
    <t>1503095503940001</t>
  </si>
  <si>
    <t>TARI YANTI</t>
  </si>
  <si>
    <t>DP-0767</t>
  </si>
  <si>
    <t>1503090604170001</t>
  </si>
  <si>
    <t>1503090404920002</t>
  </si>
  <si>
    <t>DEDE WAHIDIN SAPUTRA</t>
  </si>
  <si>
    <t>DP-0768</t>
  </si>
  <si>
    <t>1503096511930001</t>
  </si>
  <si>
    <t>ENI SUPRIHATIN</t>
  </si>
  <si>
    <t>DP-0769</t>
  </si>
  <si>
    <t>1503090605090001</t>
  </si>
  <si>
    <t>1503092006760002</t>
  </si>
  <si>
    <t>ABDUL MUHID</t>
  </si>
  <si>
    <t>DP-0770</t>
  </si>
  <si>
    <t>1503096705830001</t>
  </si>
  <si>
    <t>TETIK YULIANTI</t>
  </si>
  <si>
    <t>DP-0771</t>
  </si>
  <si>
    <t>1503090605090010</t>
  </si>
  <si>
    <t>1503094510060003</t>
  </si>
  <si>
    <t>DELLA AULIA</t>
  </si>
  <si>
    <t>DP-0772</t>
  </si>
  <si>
    <t>1503094909870003</t>
  </si>
  <si>
    <t>WIWIN SUPRIYATIN</t>
  </si>
  <si>
    <t>DP-0773</t>
  </si>
  <si>
    <t>1503092709820001</t>
  </si>
  <si>
    <t>YUSUF</t>
  </si>
  <si>
    <t>DP-0774</t>
  </si>
  <si>
    <t>1503090605090011</t>
  </si>
  <si>
    <t>1503091612950001</t>
  </si>
  <si>
    <t>DP-0775</t>
  </si>
  <si>
    <t>1503095110760002</t>
  </si>
  <si>
    <t>SITI MUNADZIROH</t>
  </si>
  <si>
    <t>DP-0776</t>
  </si>
  <si>
    <t>1503090812730001</t>
  </si>
  <si>
    <t>TUKIRAN</t>
  </si>
  <si>
    <t>DP-0777</t>
  </si>
  <si>
    <t>1503090606110006</t>
  </si>
  <si>
    <t>1503091807850002</t>
  </si>
  <si>
    <t>SUGENG RIYANTO</t>
  </si>
  <si>
    <t>DP-0778</t>
  </si>
  <si>
    <t>3305246611940002</t>
  </si>
  <si>
    <t>TRI HANANI</t>
  </si>
  <si>
    <t>KEBUMEN</t>
  </si>
  <si>
    <t>DP-0779</t>
  </si>
  <si>
    <t>1503090606140002</t>
  </si>
  <si>
    <t>1503095601970001</t>
  </si>
  <si>
    <t>IKA ANI SAFIRA H.N</t>
  </si>
  <si>
    <t>DP-0780</t>
  </si>
  <si>
    <t>1503091007920003</t>
  </si>
  <si>
    <t>JULY ARDHI</t>
  </si>
  <si>
    <t>DP-0781</t>
  </si>
  <si>
    <t>1503090606170001</t>
  </si>
  <si>
    <t>1503094107010018</t>
  </si>
  <si>
    <t>NUR ALFIYAH</t>
  </si>
  <si>
    <t>DP-0782</t>
  </si>
  <si>
    <t>1503091805940002</t>
  </si>
  <si>
    <t>WIDODO</t>
  </si>
  <si>
    <t>SINGKUT I</t>
  </si>
  <si>
    <t>DP-0783</t>
  </si>
  <si>
    <t>1503090606170002</t>
  </si>
  <si>
    <t>1503092201740001</t>
  </si>
  <si>
    <t>BAMBANG SETIYONO</t>
  </si>
  <si>
    <t>DP-0784</t>
  </si>
  <si>
    <t>1218166102060003</t>
  </si>
  <si>
    <t>DIANDRA PARAMITA</t>
  </si>
  <si>
    <t>TEBING TINGGI</t>
  </si>
  <si>
    <t>DP-0785</t>
  </si>
  <si>
    <t>1218166502740001</t>
  </si>
  <si>
    <t>SUPRIATI</t>
  </si>
  <si>
    <t>GALANG</t>
  </si>
  <si>
    <t>DP-0786</t>
  </si>
  <si>
    <t>1503090606220005</t>
  </si>
  <si>
    <t>1503092809990001</t>
  </si>
  <si>
    <t>ABDI TRI HANAFIANSYAH</t>
  </si>
  <si>
    <t>DP-0787</t>
  </si>
  <si>
    <t>1503094909990001</t>
  </si>
  <si>
    <t>LENI AMBARWATI</t>
  </si>
  <si>
    <t>DP-0788</t>
  </si>
  <si>
    <t>1503090607200004</t>
  </si>
  <si>
    <t>1503095912920003</t>
  </si>
  <si>
    <t>DESI TRIYANTI</t>
  </si>
  <si>
    <t>DP-0789</t>
  </si>
  <si>
    <t>1503090402950002</t>
  </si>
  <si>
    <t>WISNU MINAWAN</t>
  </si>
  <si>
    <t>DP-0790</t>
  </si>
  <si>
    <t>1503090607200007</t>
  </si>
  <si>
    <t>1606094402940006</t>
  </si>
  <si>
    <t>ITA ASTRIANI</t>
  </si>
  <si>
    <t>DP-0791</t>
  </si>
  <si>
    <t>1606122908920002</t>
  </si>
  <si>
    <t>MUHAMAD DUHRI</t>
  </si>
  <si>
    <t>PURWOREJO</t>
  </si>
  <si>
    <t>DP-0792</t>
  </si>
  <si>
    <t>1503090607210005</t>
  </si>
  <si>
    <t>1503095802780002</t>
  </si>
  <si>
    <t>SITI MUNAWAROH</t>
  </si>
  <si>
    <t>DP-0793</t>
  </si>
  <si>
    <t>1503090607230001</t>
  </si>
  <si>
    <t>1503031108950004</t>
  </si>
  <si>
    <t>AGUS DIAN SAPUTRA</t>
  </si>
  <si>
    <t>DP-0794</t>
  </si>
  <si>
    <t>1503094602940002</t>
  </si>
  <si>
    <t>NOFALIA PEBRIANI</t>
  </si>
  <si>
    <t>DP-0795</t>
  </si>
  <si>
    <t>1503090608090005</t>
  </si>
  <si>
    <t>1503095709970001</t>
  </si>
  <si>
    <t>MIFTAH KHURROHMAH</t>
  </si>
  <si>
    <t>DP-0796</t>
  </si>
  <si>
    <t>1503094709770002</t>
  </si>
  <si>
    <t>TRANGGALEK</t>
  </si>
  <si>
    <t>DP-0797</t>
  </si>
  <si>
    <t>1503091707710003</t>
  </si>
  <si>
    <t>DP-0798</t>
  </si>
  <si>
    <t>1503090608090007</t>
  </si>
  <si>
    <t>1503090907730001</t>
  </si>
  <si>
    <t>MARGONO</t>
  </si>
  <si>
    <t>DP-0799</t>
  </si>
  <si>
    <t>1503096805830001</t>
  </si>
  <si>
    <t>PUJI ASTUTI</t>
  </si>
  <si>
    <t>DP-0800</t>
  </si>
  <si>
    <t>1503090608120003</t>
  </si>
  <si>
    <t>1503096105930001</t>
  </si>
  <si>
    <t>LILIS SRI RAHAYU</t>
  </si>
  <si>
    <t>DP-0801</t>
  </si>
  <si>
    <t>1503090608150001</t>
  </si>
  <si>
    <t>1503093009700003</t>
  </si>
  <si>
    <t>EDI MANAN</t>
  </si>
  <si>
    <t>DP-0802</t>
  </si>
  <si>
    <t>1503095805970002</t>
  </si>
  <si>
    <t>singkut 4</t>
  </si>
  <si>
    <t>DP-0803</t>
  </si>
  <si>
    <t>1503095303690001</t>
  </si>
  <si>
    <t>RESNIDA</t>
  </si>
  <si>
    <t>PANINJAUAN</t>
  </si>
  <si>
    <t>DP-0804</t>
  </si>
  <si>
    <t>1503090609180003</t>
  </si>
  <si>
    <t>1503094202960002</t>
  </si>
  <si>
    <t>LENI SETIYANI</t>
  </si>
  <si>
    <t>DUSUN I KARYA</t>
  </si>
  <si>
    <t>DP-0805</t>
  </si>
  <si>
    <t>1503091704940002</t>
  </si>
  <si>
    <t>SUSILO WARDANI</t>
  </si>
  <si>
    <t>DP-0806</t>
  </si>
  <si>
    <t>1503090609210003</t>
  </si>
  <si>
    <t>1503095207410001</t>
  </si>
  <si>
    <t>NGASINEM</t>
  </si>
  <si>
    <t>BLORA</t>
  </si>
  <si>
    <t>DP-0807</t>
  </si>
  <si>
    <t>1503090311770007</t>
  </si>
  <si>
    <t>SUCIPTO</t>
  </si>
  <si>
    <t>DP-0808</t>
  </si>
  <si>
    <t>1503090609210005</t>
  </si>
  <si>
    <t>1503095510450001</t>
  </si>
  <si>
    <t>SARMI</t>
  </si>
  <si>
    <t>DP-0809</t>
  </si>
  <si>
    <t>1503090609210006</t>
  </si>
  <si>
    <t>1503094605920001</t>
  </si>
  <si>
    <t>PARIDOTUL AINI</t>
  </si>
  <si>
    <t>DP-0810</t>
  </si>
  <si>
    <t>1503096803900004</t>
  </si>
  <si>
    <t>SITI ALFIYAH</t>
  </si>
  <si>
    <t>DP-0811</t>
  </si>
  <si>
    <t>1503097112580007</t>
  </si>
  <si>
    <t>BANDUNG</t>
  </si>
  <si>
    <t>DP-0812</t>
  </si>
  <si>
    <t>1503090609210007</t>
  </si>
  <si>
    <t>1503094202590006</t>
  </si>
  <si>
    <t>UMI KULSUM</t>
  </si>
  <si>
    <t>T AGUNG</t>
  </si>
  <si>
    <t>DP-0813</t>
  </si>
  <si>
    <t>1503090609210008</t>
  </si>
  <si>
    <t>1503095405680001</t>
  </si>
  <si>
    <t>SITI KHODIJAH</t>
  </si>
  <si>
    <t>DP-0814</t>
  </si>
  <si>
    <t>1503090609210009</t>
  </si>
  <si>
    <t>1503094107790011</t>
  </si>
  <si>
    <t>SUKARTI</t>
  </si>
  <si>
    <t>DP-0815</t>
  </si>
  <si>
    <t>1503090609210010</t>
  </si>
  <si>
    <t>1503095107600001</t>
  </si>
  <si>
    <t>YAMIRAH</t>
  </si>
  <si>
    <t>DP-0816</t>
  </si>
  <si>
    <t>1503090609210013</t>
  </si>
  <si>
    <t>1503094107700053</t>
  </si>
  <si>
    <t>ALINTINAH</t>
  </si>
  <si>
    <t>DP-0817</t>
  </si>
  <si>
    <t>1503090609210015</t>
  </si>
  <si>
    <t>1503095205690003</t>
  </si>
  <si>
    <t>MUJIASIH</t>
  </si>
  <si>
    <t>GROBOKAN</t>
  </si>
  <si>
    <t>SINGKUT II PAYOLEBAR</t>
  </si>
  <si>
    <t>DP-0818</t>
  </si>
  <si>
    <t>1503090609210016</t>
  </si>
  <si>
    <t>1503091608000003</t>
  </si>
  <si>
    <t>DEDE KURNIAWAN</t>
  </si>
  <si>
    <t>DP-0819</t>
  </si>
  <si>
    <t>1503095207990001</t>
  </si>
  <si>
    <t>DWI ELFIA FITRI</t>
  </si>
  <si>
    <t>DP-0820</t>
  </si>
  <si>
    <t>1503090610210003</t>
  </si>
  <si>
    <t>1503091302550001</t>
  </si>
  <si>
    <t>NENI</t>
  </si>
  <si>
    <t>DP-0821</t>
  </si>
  <si>
    <t>1503090612160005</t>
  </si>
  <si>
    <t>1505040606890001</t>
  </si>
  <si>
    <t>EKO ZULARMAN</t>
  </si>
  <si>
    <t>MUDUNG DARAT</t>
  </si>
  <si>
    <t>DP-0822</t>
  </si>
  <si>
    <t>1503096711890005</t>
  </si>
  <si>
    <t>NURUL FAJERI MARATUSOLEAH</t>
  </si>
  <si>
    <t>DP-0823</t>
  </si>
  <si>
    <t>1503090612190001</t>
  </si>
  <si>
    <t>1503096305010003</t>
  </si>
  <si>
    <t>MIKA SAPUTRI</t>
  </si>
  <si>
    <t>DP-0824</t>
  </si>
  <si>
    <t>1503093005000002</t>
  </si>
  <si>
    <t>MUHAMMAD NOFRIZAL AZHAR</t>
  </si>
  <si>
    <t>DP-0825</t>
  </si>
  <si>
    <t>1503090612230001</t>
  </si>
  <si>
    <t>1812012808020007</t>
  </si>
  <si>
    <t>ADI PUTRA</t>
  </si>
  <si>
    <t>DP-0826</t>
  </si>
  <si>
    <t>1503055907080003</t>
  </si>
  <si>
    <t>LITA NINGSIH</t>
  </si>
  <si>
    <t>BRAWIJAYA</t>
  </si>
  <si>
    <t>DP-0827</t>
  </si>
  <si>
    <t>1503090701080002</t>
  </si>
  <si>
    <t>1503090802050001</t>
  </si>
  <si>
    <t>ALFIN FEBRIANSA</t>
  </si>
  <si>
    <t>DSN III SUKA MULYA PAYOLEBAR</t>
  </si>
  <si>
    <t>DP-0828</t>
  </si>
  <si>
    <t>1503095712990001</t>
  </si>
  <si>
    <t>AYU RAHMAWATI</t>
  </si>
  <si>
    <t>DP-0829</t>
  </si>
  <si>
    <t>1503091211750001</t>
  </si>
  <si>
    <t>SLAMET</t>
  </si>
  <si>
    <t>DP-0830</t>
  </si>
  <si>
    <t>1503094608810001</t>
  </si>
  <si>
    <t>YUNI EKOWATI</t>
  </si>
  <si>
    <t>DP-0831</t>
  </si>
  <si>
    <t>1503090701080004</t>
  </si>
  <si>
    <t>1503094107530004</t>
  </si>
  <si>
    <t>SUJI</t>
  </si>
  <si>
    <t>DP-0832</t>
  </si>
  <si>
    <t>1503090701140002</t>
  </si>
  <si>
    <t>1503094509950008</t>
  </si>
  <si>
    <t>EUNENG PIPIT SUPRIHATIN</t>
  </si>
  <si>
    <t>DP-0833</t>
  </si>
  <si>
    <t>1503091702890002</t>
  </si>
  <si>
    <t>YONI</t>
  </si>
  <si>
    <t>DP-0834</t>
  </si>
  <si>
    <t>1503090701160011</t>
  </si>
  <si>
    <t>1503096001050002</t>
  </si>
  <si>
    <t>SABRINA MILATA KAFAH</t>
  </si>
  <si>
    <t>DP-0835</t>
  </si>
  <si>
    <t>1503092110700001</t>
  </si>
  <si>
    <t>SUPARYANTO</t>
  </si>
  <si>
    <t>DP-0836</t>
  </si>
  <si>
    <t>3521117112790008</t>
  </si>
  <si>
    <t>SUTARTI</t>
  </si>
  <si>
    <t>DP-0837</t>
  </si>
  <si>
    <t>1503090701200010</t>
  </si>
  <si>
    <t>1503100711960001</t>
  </si>
  <si>
    <t>DENDI FRENDI</t>
  </si>
  <si>
    <t>BERAU</t>
  </si>
  <si>
    <t>DP-0838</t>
  </si>
  <si>
    <t>1503096605990001</t>
  </si>
  <si>
    <t>MAYA ROFIQOH</t>
  </si>
  <si>
    <t>DP-0839</t>
  </si>
  <si>
    <t>1503090702110006</t>
  </si>
  <si>
    <t>1503095302550001</t>
  </si>
  <si>
    <t>KATIJEM</t>
  </si>
  <si>
    <t>PACITAN</t>
  </si>
  <si>
    <t>SUKA MULYA</t>
  </si>
  <si>
    <t>DP-0840</t>
  </si>
  <si>
    <t>1503092002500003</t>
  </si>
  <si>
    <t>SUTIMAN</t>
  </si>
  <si>
    <t>WONO GIRI</t>
  </si>
  <si>
    <t>DP-0841</t>
  </si>
  <si>
    <t>1503090702200001</t>
  </si>
  <si>
    <t>1503094510550003</t>
  </si>
  <si>
    <t>DARSIH</t>
  </si>
  <si>
    <t>JABAR</t>
  </si>
  <si>
    <t>DP-0842</t>
  </si>
  <si>
    <t>1503090310060003</t>
  </si>
  <si>
    <t>M.REZA SYABANA</t>
  </si>
  <si>
    <t>SINGKUT DUSUN I</t>
  </si>
  <si>
    <t>DP-0843</t>
  </si>
  <si>
    <t>3318051006580004</t>
  </si>
  <si>
    <t>WAGE</t>
  </si>
  <si>
    <t>DP-0844</t>
  </si>
  <si>
    <t>1503090702230003</t>
  </si>
  <si>
    <t>1503090908950003</t>
  </si>
  <si>
    <t>AGUS DIKA RIANTO</t>
  </si>
  <si>
    <t>MUSI BANYUASIN</t>
  </si>
  <si>
    <t>DP-0845</t>
  </si>
  <si>
    <t>1503097006990004</t>
  </si>
  <si>
    <t>ROSHIDATUL 'AINI</t>
  </si>
  <si>
    <t>DESA BUKIT TIGO</t>
  </si>
  <si>
    <t>DP-0846</t>
  </si>
  <si>
    <t>1503090703160001</t>
  </si>
  <si>
    <t>1503090804690002</t>
  </si>
  <si>
    <t>DP-0847</t>
  </si>
  <si>
    <t>1503096609050002</t>
  </si>
  <si>
    <t>SEPTI RILIS MUNAWAROH</t>
  </si>
  <si>
    <t>DP-0848</t>
  </si>
  <si>
    <t>1503094107770070</t>
  </si>
  <si>
    <t>SULIS MIYATI</t>
  </si>
  <si>
    <t>DP-0849</t>
  </si>
  <si>
    <t>1503090704090003</t>
  </si>
  <si>
    <t>1503091201600001</t>
  </si>
  <si>
    <t>RUSDIANTO</t>
  </si>
  <si>
    <t>DP-0850</t>
  </si>
  <si>
    <t>1503095705650002</t>
  </si>
  <si>
    <t>SUMINAH</t>
  </si>
  <si>
    <t>DP-0851</t>
  </si>
  <si>
    <t>1503090704090004</t>
  </si>
  <si>
    <t>1503091306930003</t>
  </si>
  <si>
    <t>SYAPRIJAL</t>
  </si>
  <si>
    <t>DP-0852</t>
  </si>
  <si>
    <t>1503090107700012</t>
  </si>
  <si>
    <t>TASIR</t>
  </si>
  <si>
    <t>DP-0853</t>
  </si>
  <si>
    <t>1503094107750010</t>
  </si>
  <si>
    <t>TOIRAH</t>
  </si>
  <si>
    <t>TULUNGAGUNG</t>
  </si>
  <si>
    <t>DP-0854</t>
  </si>
  <si>
    <t>1503090704090005</t>
  </si>
  <si>
    <t>1503096811800003</t>
  </si>
  <si>
    <t>SITI NURYATI</t>
  </si>
  <si>
    <t>DP-0855</t>
  </si>
  <si>
    <t>1503092908810001</t>
  </si>
  <si>
    <t>SOMAD</t>
  </si>
  <si>
    <t>DP-0856</t>
  </si>
  <si>
    <t>1503090704090006</t>
  </si>
  <si>
    <t>1503094808590002</t>
  </si>
  <si>
    <t>RUMINI</t>
  </si>
  <si>
    <t>DP-0857</t>
  </si>
  <si>
    <t>1503091206500001</t>
  </si>
  <si>
    <t>SUPARJI</t>
  </si>
  <si>
    <t>DP-0858</t>
  </si>
  <si>
    <t>1503090704090007</t>
  </si>
  <si>
    <t>1503092306800001</t>
  </si>
  <si>
    <t>M. ZAINUR RAHMAN</t>
  </si>
  <si>
    <t>SUMENEP</t>
  </si>
  <si>
    <t>DP-0859</t>
  </si>
  <si>
    <t>1503095212820005</t>
  </si>
  <si>
    <t>SRI SUSNAWATI</t>
  </si>
  <si>
    <t>Jawa Timur</t>
  </si>
  <si>
    <t>DP-0860</t>
  </si>
  <si>
    <t>1503090704100008</t>
  </si>
  <si>
    <t>1503096803800002</t>
  </si>
  <si>
    <t>ETIK NURHAYATI</t>
  </si>
  <si>
    <t>DUSUN SUKA MULYO</t>
  </si>
  <si>
    <t>DP-0861</t>
  </si>
  <si>
    <t>1503091008040001</t>
  </si>
  <si>
    <t>MUHAMMAD FARIZ ANDIKA</t>
  </si>
  <si>
    <t>DS II PAYO LEBAR</t>
  </si>
  <si>
    <t>DP-0862</t>
  </si>
  <si>
    <t>1503090703690002</t>
  </si>
  <si>
    <t>SYAMSUN SUJITO</t>
  </si>
  <si>
    <t>DP-0863</t>
  </si>
  <si>
    <t>1503090704100009</t>
  </si>
  <si>
    <t>1503092601020003</t>
  </si>
  <si>
    <t>ADIKA FAIS FADILA</t>
  </si>
  <si>
    <t>SIMHKUT</t>
  </si>
  <si>
    <t>DP-0864</t>
  </si>
  <si>
    <t>1503090404700007</t>
  </si>
  <si>
    <t>HAMDAN MAHAYUDI</t>
  </si>
  <si>
    <t>DP-0865</t>
  </si>
  <si>
    <t>1503090704100010</t>
  </si>
  <si>
    <t>1503093101050001</t>
  </si>
  <si>
    <t>NENDA RISKA NURFADHILLAH</t>
  </si>
  <si>
    <t>DP-0866</t>
  </si>
  <si>
    <t>1503094507740002</t>
  </si>
  <si>
    <t>SARNI. S</t>
  </si>
  <si>
    <t>DP-0867</t>
  </si>
  <si>
    <t>1503090910690002</t>
  </si>
  <si>
    <t>DP-0868</t>
  </si>
  <si>
    <t>1503090704140002</t>
  </si>
  <si>
    <t>1503094511570003</t>
  </si>
  <si>
    <t>DP-0869</t>
  </si>
  <si>
    <t>1503091008560002</t>
  </si>
  <si>
    <t>SUWARDI</t>
  </si>
  <si>
    <t>DP-0870</t>
  </si>
  <si>
    <t>1503090704160005</t>
  </si>
  <si>
    <t>1503056205900002</t>
  </si>
  <si>
    <t>ERMI SUWARNI</t>
  </si>
  <si>
    <t>DP-0871</t>
  </si>
  <si>
    <t>1503090106880001</t>
  </si>
  <si>
    <t>SANUSI ALBAJURI</t>
  </si>
  <si>
    <t>DP-0872</t>
  </si>
  <si>
    <t>1503090706120002</t>
  </si>
  <si>
    <t>1503090906700001</t>
  </si>
  <si>
    <t>NANO RISWANTO</t>
  </si>
  <si>
    <t>DP-0873</t>
  </si>
  <si>
    <t>1503094901910001</t>
  </si>
  <si>
    <t>DP-0874</t>
  </si>
  <si>
    <t>1503090706120003</t>
  </si>
  <si>
    <t>1503095403800001</t>
  </si>
  <si>
    <t>GIATMI</t>
  </si>
  <si>
    <t>DP-0875</t>
  </si>
  <si>
    <t>1503091105790004</t>
  </si>
  <si>
    <t>DP-0876</t>
  </si>
  <si>
    <t>1503090706120008</t>
  </si>
  <si>
    <t>1503091302900004</t>
  </si>
  <si>
    <t>SAMSUL BAHRI</t>
  </si>
  <si>
    <t>MAUR BARU</t>
  </si>
  <si>
    <t>DP-0877</t>
  </si>
  <si>
    <t>1503090706120009</t>
  </si>
  <si>
    <t>1503091908020002</t>
  </si>
  <si>
    <t>AQNA RUSFANDI</t>
  </si>
  <si>
    <t>DP-0878</t>
  </si>
  <si>
    <t>1605214807830001</t>
  </si>
  <si>
    <t>HARTATIK</t>
  </si>
  <si>
    <t>CIPTODADI</t>
  </si>
  <si>
    <t>DP-0879</t>
  </si>
  <si>
    <t>1503091204770006</t>
  </si>
  <si>
    <t>MUALIM</t>
  </si>
  <si>
    <t>BANPRES</t>
  </si>
  <si>
    <t>DP-0880</t>
  </si>
  <si>
    <t>1503091509080001</t>
  </si>
  <si>
    <t>SAFTA RAMDANI</t>
  </si>
  <si>
    <t>DP-0881</t>
  </si>
  <si>
    <t>1503090706160004</t>
  </si>
  <si>
    <t>1503096906980001</t>
  </si>
  <si>
    <t>MELA MARISA</t>
  </si>
  <si>
    <t>DP-0882</t>
  </si>
  <si>
    <t>1503090806980002</t>
  </si>
  <si>
    <t>RONI BASKORO</t>
  </si>
  <si>
    <t>DP-0883</t>
  </si>
  <si>
    <t>1503090706170001</t>
  </si>
  <si>
    <t>1503095007770001</t>
  </si>
  <si>
    <t>WARNAH</t>
  </si>
  <si>
    <t>DP-0884</t>
  </si>
  <si>
    <t>1503090706220007</t>
  </si>
  <si>
    <t>1503094107550036</t>
  </si>
  <si>
    <t>NGADIYEM</t>
  </si>
  <si>
    <t>DP-0885</t>
  </si>
  <si>
    <t>1503090707170005</t>
  </si>
  <si>
    <t>1207085304950001</t>
  </si>
  <si>
    <t>RIKA SUHARI</t>
  </si>
  <si>
    <t>DP-0886</t>
  </si>
  <si>
    <t>1207081304920001</t>
  </si>
  <si>
    <t>SENDI APRIL SETIAWAN</t>
  </si>
  <si>
    <t>DP-0887</t>
  </si>
  <si>
    <t>1503090707200004</t>
  </si>
  <si>
    <t>3315055606460001</t>
  </si>
  <si>
    <t>SAINEM</t>
  </si>
  <si>
    <t>KARYA MAKMUR</t>
  </si>
  <si>
    <t>DP-0888</t>
  </si>
  <si>
    <t>1503090707210003</t>
  </si>
  <si>
    <t>1503092302940001</t>
  </si>
  <si>
    <t>ARFANDIANTO</t>
  </si>
  <si>
    <t>DP-0889</t>
  </si>
  <si>
    <t>1503095807970002</t>
  </si>
  <si>
    <t>IVARIA YULIANITA</t>
  </si>
  <si>
    <t>BRANTI</t>
  </si>
  <si>
    <t>DP-0890</t>
  </si>
  <si>
    <t>1503090708140001</t>
  </si>
  <si>
    <t>1503094107880058</t>
  </si>
  <si>
    <t>TRI RAHAYU</t>
  </si>
  <si>
    <t>DP-0891</t>
  </si>
  <si>
    <t>1503091201920002</t>
  </si>
  <si>
    <t>TRI YANTO</t>
  </si>
  <si>
    <t>DP-0892</t>
  </si>
  <si>
    <t>1503090708140003</t>
  </si>
  <si>
    <t>1503096407940002</t>
  </si>
  <si>
    <t>IMROATUS SOLIKHAH</t>
  </si>
  <si>
    <t>DSN.SUKAJADI</t>
  </si>
  <si>
    <t>DP-0893</t>
  </si>
  <si>
    <t>1503090601900006</t>
  </si>
  <si>
    <t>DP-0894</t>
  </si>
  <si>
    <t>1503090708230003</t>
  </si>
  <si>
    <t>1202097105990001</t>
  </si>
  <si>
    <t>NINDY SILVIA DEWI</t>
  </si>
  <si>
    <t>TANJUNG MORAWA</t>
  </si>
  <si>
    <t>DP-0895</t>
  </si>
  <si>
    <t>1207080802960001</t>
  </si>
  <si>
    <t>SYAHRIJAL</t>
  </si>
  <si>
    <t>DP-0896</t>
  </si>
  <si>
    <t>1503090708230004</t>
  </si>
  <si>
    <t>1502021203890002</t>
  </si>
  <si>
    <t>BOWO SULISTYO</t>
  </si>
  <si>
    <t>DP-0897</t>
  </si>
  <si>
    <t>1503095503930002</t>
  </si>
  <si>
    <t>LAILI FITRIANI</t>
  </si>
  <si>
    <t>DP-0898</t>
  </si>
  <si>
    <t>1503090709070017</t>
  </si>
  <si>
    <t>1503094210790001</t>
  </si>
  <si>
    <t>DIANA KARTINI</t>
  </si>
  <si>
    <t>DP-0899</t>
  </si>
  <si>
    <t>1503092806050001</t>
  </si>
  <si>
    <t>MUHAMMAD ABBIE ADITYA PUTRA</t>
  </si>
  <si>
    <t>DP-0900</t>
  </si>
  <si>
    <t>1503091005790001</t>
  </si>
  <si>
    <t>SUBANI</t>
  </si>
  <si>
    <t>DP-0901</t>
  </si>
  <si>
    <t>1503094708000001</t>
  </si>
  <si>
    <t>TIA REZHIA</t>
  </si>
  <si>
    <t>DESA PAYO LEBAR SINGKUT</t>
  </si>
  <si>
    <t>DP-0902</t>
  </si>
  <si>
    <t>1503090709070046</t>
  </si>
  <si>
    <t>1503094107720010</t>
  </si>
  <si>
    <t>DP-0903</t>
  </si>
  <si>
    <t>1503090709100007</t>
  </si>
  <si>
    <t>1503090908070001</t>
  </si>
  <si>
    <t>FIRZA ADI PRATAMA</t>
  </si>
  <si>
    <t>DP-0904</t>
  </si>
  <si>
    <t>1503095305900001</t>
  </si>
  <si>
    <t>TRI HARYANTI</t>
  </si>
  <si>
    <t>DP-0905</t>
  </si>
  <si>
    <t>1503091302840002</t>
  </si>
  <si>
    <t>WARSONO</t>
  </si>
  <si>
    <t>DP-0906</t>
  </si>
  <si>
    <t>1503090907260005</t>
  </si>
  <si>
    <t>1503095201970003</t>
  </si>
  <si>
    <t>LINDA EFIANI</t>
  </si>
  <si>
    <t>1509070804960004</t>
  </si>
  <si>
    <t>JAMALLUDIN</t>
  </si>
  <si>
    <t>DP-0907</t>
  </si>
  <si>
    <t>1503090709100011</t>
  </si>
  <si>
    <t>1503091309050003</t>
  </si>
  <si>
    <t>MUHAMAD RIFKY ABDILLAH</t>
  </si>
  <si>
    <t>DP-0908</t>
  </si>
  <si>
    <t>1503095409690002</t>
  </si>
  <si>
    <t>SUGIYEM</t>
  </si>
  <si>
    <t>DP-0909</t>
  </si>
  <si>
    <t>1503090101650003</t>
  </si>
  <si>
    <t>WARNA</t>
  </si>
  <si>
    <t>GERDU</t>
  </si>
  <si>
    <t>DP-0910</t>
  </si>
  <si>
    <t>1503090709100012</t>
  </si>
  <si>
    <t>1503090709540002</t>
  </si>
  <si>
    <t>JUMANGIN</t>
  </si>
  <si>
    <t>DP-0911</t>
  </si>
  <si>
    <t>1503090709100013</t>
  </si>
  <si>
    <t>1503091202870002</t>
  </si>
  <si>
    <t>AMMAR PRIYONO</t>
  </si>
  <si>
    <t>DP-0912</t>
  </si>
  <si>
    <t>1503092508050004</t>
  </si>
  <si>
    <t>ERIX GUSNANTO</t>
  </si>
  <si>
    <t>DP-0913</t>
  </si>
  <si>
    <t>1503091903990004</t>
  </si>
  <si>
    <t>JOKO MARTANTO</t>
  </si>
  <si>
    <t>DP-0914</t>
  </si>
  <si>
    <t>1503095707820005</t>
  </si>
  <si>
    <t>KARYATI</t>
  </si>
  <si>
    <t>DP-0915</t>
  </si>
  <si>
    <t>1503092208740002</t>
  </si>
  <si>
    <t>RUKAMTO</t>
  </si>
  <si>
    <t>DP-0916</t>
  </si>
  <si>
    <t>1503090709110004</t>
  </si>
  <si>
    <t>1503090604860003</t>
  </si>
  <si>
    <t>BAMBANG PURNOMO</t>
  </si>
  <si>
    <t>DSN I</t>
  </si>
  <si>
    <t>DP-0917</t>
  </si>
  <si>
    <t>1503095702890002</t>
  </si>
  <si>
    <t>JUMIATI</t>
  </si>
  <si>
    <t>DP-0918</t>
  </si>
  <si>
    <t>1503090709110005</t>
  </si>
  <si>
    <t>1503090505890004</t>
  </si>
  <si>
    <t>AGUS CANDRA</t>
  </si>
  <si>
    <t>DP-0919</t>
  </si>
  <si>
    <t>1503094304740003</t>
  </si>
  <si>
    <t>DP-0920</t>
  </si>
  <si>
    <t>1503090709160002</t>
  </si>
  <si>
    <t>1503091706890002</t>
  </si>
  <si>
    <t>KAMAS ALI</t>
  </si>
  <si>
    <t>DP-0921</t>
  </si>
  <si>
    <t>1503095709860002</t>
  </si>
  <si>
    <t>RODIYAH</t>
  </si>
  <si>
    <t>REJOSARI</t>
  </si>
  <si>
    <t>DP-0922</t>
  </si>
  <si>
    <t>1503090709160003</t>
  </si>
  <si>
    <t>1503095705640001</t>
  </si>
  <si>
    <t>DP-0923</t>
  </si>
  <si>
    <t>1503092103600001</t>
  </si>
  <si>
    <t>DP-0924</t>
  </si>
  <si>
    <t>1503090709200005</t>
  </si>
  <si>
    <t>1503090402990001</t>
  </si>
  <si>
    <t>BAYU SAPUTRA</t>
  </si>
  <si>
    <t>DP-0925</t>
  </si>
  <si>
    <t>1503094610990001</t>
  </si>
  <si>
    <t>FATMAWATI</t>
  </si>
  <si>
    <t>DP-0926</t>
  </si>
  <si>
    <t>1503090709200007</t>
  </si>
  <si>
    <t>1503091110940004</t>
  </si>
  <si>
    <t>IWAN SETIAWAN</t>
  </si>
  <si>
    <t>DP-0927</t>
  </si>
  <si>
    <t>1503094909950003</t>
  </si>
  <si>
    <t>YUSNI LESTARI HARAHAP</t>
  </si>
  <si>
    <t>DP-0928</t>
  </si>
  <si>
    <t>1503090709200010</t>
  </si>
  <si>
    <t>1606096106720004</t>
  </si>
  <si>
    <t>SAMUROH</t>
  </si>
  <si>
    <t>DP-0929</t>
  </si>
  <si>
    <t>1503090709220001</t>
  </si>
  <si>
    <t>1503090702020004</t>
  </si>
  <si>
    <t>INDRA SAPUTRA</t>
  </si>
  <si>
    <t>DSN III SUKA MULYA</t>
  </si>
  <si>
    <t>KK tunggal</t>
  </si>
  <si>
    <t>DP-0930</t>
  </si>
  <si>
    <t>1503090710150001</t>
  </si>
  <si>
    <t>1503096711900004</t>
  </si>
  <si>
    <t>NIA JUNIATI</t>
  </si>
  <si>
    <t>LEBAK BANTEN</t>
  </si>
  <si>
    <t>DP-0931</t>
  </si>
  <si>
    <t>1503090807750004</t>
  </si>
  <si>
    <t>SUMARLAN</t>
  </si>
  <si>
    <t>DP-0932</t>
  </si>
  <si>
    <t>1503090710160001</t>
  </si>
  <si>
    <t>1571015404940141</t>
  </si>
  <si>
    <t>EVA DELIA ADELINA</t>
  </si>
  <si>
    <t>JEPARA</t>
  </si>
  <si>
    <t>DP-0933</t>
  </si>
  <si>
    <t>1503090402870002</t>
  </si>
  <si>
    <t>RICHARDO KRISTIAN LASE</t>
  </si>
  <si>
    <t>DP-0934</t>
  </si>
  <si>
    <t>1503090710190002</t>
  </si>
  <si>
    <t>1503091703030002</t>
  </si>
  <si>
    <t>EKO PUJI SANTOSO</t>
  </si>
  <si>
    <t>DUSUN VI RAMBE JAYA</t>
  </si>
  <si>
    <t>DP-0935</t>
  </si>
  <si>
    <t>1807160704850008</t>
  </si>
  <si>
    <t>NURUL HUDA</t>
  </si>
  <si>
    <t>RAJA BASA BARU</t>
  </si>
  <si>
    <t>IV RAMBE JAYA</t>
  </si>
  <si>
    <t>DP-0936</t>
  </si>
  <si>
    <t>1503095003830006</t>
  </si>
  <si>
    <t>UMI MAHMUDAH</t>
  </si>
  <si>
    <t>DP-0937</t>
  </si>
  <si>
    <t>1503090710210001</t>
  </si>
  <si>
    <t>1503092802920002</t>
  </si>
  <si>
    <t>RIZA FAHLEVI</t>
  </si>
  <si>
    <t>DP-0938</t>
  </si>
  <si>
    <t>1504085104970001</t>
  </si>
  <si>
    <t>SITI NURANISAH</t>
  </si>
  <si>
    <t>KEHIDUPAN BARU</t>
  </si>
  <si>
    <t>DP-0939</t>
  </si>
  <si>
    <t>1503090711090008</t>
  </si>
  <si>
    <t>1503096808030006</t>
  </si>
  <si>
    <t>ANNISA AINURAHMAH</t>
  </si>
  <si>
    <t>DP-0940</t>
  </si>
  <si>
    <t>1503094111710003</t>
  </si>
  <si>
    <t>SITI JUWARIYAH</t>
  </si>
  <si>
    <t>DP-0941</t>
  </si>
  <si>
    <t>1503090212670001</t>
  </si>
  <si>
    <t>TRI KUSWANTA</t>
  </si>
  <si>
    <t>SLEMAN</t>
  </si>
  <si>
    <t>DP-0942</t>
  </si>
  <si>
    <t>1503090711130004</t>
  </si>
  <si>
    <t>1503091402860001</t>
  </si>
  <si>
    <t>HENDRO PARWIYONO</t>
  </si>
  <si>
    <t>DSN SUKA JADI</t>
  </si>
  <si>
    <t>DP-0943</t>
  </si>
  <si>
    <t>1503096007900001</t>
  </si>
  <si>
    <t>WIWIK WINARI</t>
  </si>
  <si>
    <t>DP-0944</t>
  </si>
  <si>
    <t>1503090711170003</t>
  </si>
  <si>
    <t>1503093006920002</t>
  </si>
  <si>
    <t>AHMAD JUNAIDI</t>
  </si>
  <si>
    <t>DSPAYOLEBAR DSNW</t>
  </si>
  <si>
    <t>DP-0945</t>
  </si>
  <si>
    <t>1210097112930014</t>
  </si>
  <si>
    <t>DEVI YUANA</t>
  </si>
  <si>
    <t>AEK KORSIK</t>
  </si>
  <si>
    <t>DP-0946</t>
  </si>
  <si>
    <t>1503090711220004</t>
  </si>
  <si>
    <t>1605145705910001</t>
  </si>
  <si>
    <t>IIS KUSTIYOWATI</t>
  </si>
  <si>
    <t>TRI MUKTI</t>
  </si>
  <si>
    <t>Medan</t>
  </si>
  <si>
    <t>DP-0947</t>
  </si>
  <si>
    <t>1401051109900003</t>
  </si>
  <si>
    <t>RUSDI ANDRI</t>
  </si>
  <si>
    <t>PULAU JAMBU</t>
  </si>
  <si>
    <t>DP-0948</t>
  </si>
  <si>
    <t>1503090712150004</t>
  </si>
  <si>
    <t>1503090101630004</t>
  </si>
  <si>
    <t>AHMAD SARMIJAN</t>
  </si>
  <si>
    <t>DP-0949</t>
  </si>
  <si>
    <t>1503094506680001</t>
  </si>
  <si>
    <t>SARTINI</t>
  </si>
  <si>
    <t>DP-0950</t>
  </si>
  <si>
    <t>1503090712210001</t>
  </si>
  <si>
    <t>1503095809970002</t>
  </si>
  <si>
    <t>LAILA FATIMAH</t>
  </si>
  <si>
    <t>DP-0951</t>
  </si>
  <si>
    <t>1503092004920005</t>
  </si>
  <si>
    <t>MUHAMAD MUNTOHIR</t>
  </si>
  <si>
    <t>DP-0952</t>
  </si>
  <si>
    <t>1503090712220004</t>
  </si>
  <si>
    <t>1503094611800001</t>
  </si>
  <si>
    <t>ENDANG PURWANI</t>
  </si>
  <si>
    <t>DP-0953</t>
  </si>
  <si>
    <t>1503091208910002</t>
  </si>
  <si>
    <t>IWAN NURCAHYONO</t>
  </si>
  <si>
    <t>DP-0954</t>
  </si>
  <si>
    <t>1503091803030005</t>
  </si>
  <si>
    <t>YUDHA PUTRA PRATAMA</t>
  </si>
  <si>
    <t>DP-0955</t>
  </si>
  <si>
    <t>1503090801080001</t>
  </si>
  <si>
    <t>1503090804770001</t>
  </si>
  <si>
    <t>JOKO PAWITAN</t>
  </si>
  <si>
    <t>DP-0956</t>
  </si>
  <si>
    <t>1503097103030001</t>
  </si>
  <si>
    <t>SAFAATUN NISAK</t>
  </si>
  <si>
    <t>DP-0957</t>
  </si>
  <si>
    <t>1503094801790001</t>
  </si>
  <si>
    <t>SUTINEM</t>
  </si>
  <si>
    <t>DP-0958</t>
  </si>
  <si>
    <t>1503090801080003</t>
  </si>
  <si>
    <t>1503091204070004</t>
  </si>
  <si>
    <t>EXCEL APRILIAN PRATAMA</t>
  </si>
  <si>
    <t>DP-0959</t>
  </si>
  <si>
    <t>1503093009800001</t>
  </si>
  <si>
    <t>JOKO SUSANTO</t>
  </si>
  <si>
    <t>DP-0960</t>
  </si>
  <si>
    <t>1503094107820022</t>
  </si>
  <si>
    <t>YUSNIDAWATI</t>
  </si>
  <si>
    <t>DP-0961</t>
  </si>
  <si>
    <t>1503090801080005</t>
  </si>
  <si>
    <t>1503090107530006</t>
  </si>
  <si>
    <t>KASIDIN</t>
  </si>
  <si>
    <t>DP-0962</t>
  </si>
  <si>
    <t>1503090801080012</t>
  </si>
  <si>
    <t>1503092808040001</t>
  </si>
  <si>
    <t>AHMAD ZAHIR ALI ALMUKTAFI</t>
  </si>
  <si>
    <t>DP-0963</t>
  </si>
  <si>
    <t>1503092104720001</t>
  </si>
  <si>
    <t>ALI MUNTOHA</t>
  </si>
  <si>
    <t>DP-0964</t>
  </si>
  <si>
    <t>1503094511790001</t>
  </si>
  <si>
    <t>FATIMAH</t>
  </si>
  <si>
    <t>DP-0965</t>
  </si>
  <si>
    <t>1503092402000001</t>
  </si>
  <si>
    <t>REZA AHMAD AULIA</t>
  </si>
  <si>
    <t>DP-0966</t>
  </si>
  <si>
    <t>1503090801080020</t>
  </si>
  <si>
    <t>1503095611070001</t>
  </si>
  <si>
    <t>ARDILA ZARA SAFIRA</t>
  </si>
  <si>
    <t>DSN IIIPAYOLEBARSUKA MULYA</t>
  </si>
  <si>
    <t>DP-0967</t>
  </si>
  <si>
    <t>1503090907060001</t>
  </si>
  <si>
    <t>M UMAR ARDIANSYAH</t>
  </si>
  <si>
    <t>DP-0968</t>
  </si>
  <si>
    <t>1503094107730017</t>
  </si>
  <si>
    <t>SAFRIDA</t>
  </si>
  <si>
    <t>DP-0969</t>
  </si>
  <si>
    <t>1503090107700026</t>
  </si>
  <si>
    <t>SUHADI</t>
  </si>
  <si>
    <t>DP-0970</t>
  </si>
  <si>
    <t>1503090801090005</t>
  </si>
  <si>
    <t>1503091506820002</t>
  </si>
  <si>
    <t>MUHAMAD SOIM</t>
  </si>
  <si>
    <t>PAYO LEBAR SUKA JADI</t>
  </si>
  <si>
    <t>DP-0971</t>
  </si>
  <si>
    <t>1503095610860001</t>
  </si>
  <si>
    <t>SITI NURBAITI</t>
  </si>
  <si>
    <t>DP-0972</t>
  </si>
  <si>
    <t>1503090801090006</t>
  </si>
  <si>
    <t>1503091203740004</t>
  </si>
  <si>
    <t>DP-0973</t>
  </si>
  <si>
    <t>1503090801090008</t>
  </si>
  <si>
    <t>1503092804820001</t>
  </si>
  <si>
    <t>DARMAN</t>
  </si>
  <si>
    <t>DP-0974</t>
  </si>
  <si>
    <t>1503095110870002</t>
  </si>
  <si>
    <t>SUPINI</t>
  </si>
  <si>
    <t>DP-0975</t>
  </si>
  <si>
    <t>1503090801090009</t>
  </si>
  <si>
    <t>1503095810840001</t>
  </si>
  <si>
    <t>MARIYEM</t>
  </si>
  <si>
    <t>DP-0976</t>
  </si>
  <si>
    <t>1503096507040003</t>
  </si>
  <si>
    <t>RENCY MIVAULIZA</t>
  </si>
  <si>
    <t>DP-0977</t>
  </si>
  <si>
    <t>1503091208760002</t>
  </si>
  <si>
    <t>RUSDY</t>
  </si>
  <si>
    <t>BINGIN TELUK</t>
  </si>
  <si>
    <t>DP-0978</t>
  </si>
  <si>
    <t>1503090801090011</t>
  </si>
  <si>
    <t>1503095010040005</t>
  </si>
  <si>
    <t>AYU OKTALIA LESTARI</t>
  </si>
  <si>
    <t>SINGKUT PAYOLEBAR</t>
  </si>
  <si>
    <t>DP-0979</t>
  </si>
  <si>
    <t>1503091208000003</t>
  </si>
  <si>
    <t>CAHYO ADITYA SAPUTRA</t>
  </si>
  <si>
    <t>DP-0980</t>
  </si>
  <si>
    <t>1503094501720002</t>
  </si>
  <si>
    <t>MAIMUNAH</t>
  </si>
  <si>
    <t>B. LINCIR</t>
  </si>
  <si>
    <t>DP-0981</t>
  </si>
  <si>
    <t>1503091709650001</t>
  </si>
  <si>
    <t>PARDIANTO</t>
  </si>
  <si>
    <t>DP-0982</t>
  </si>
  <si>
    <t>1503090801090019</t>
  </si>
  <si>
    <t>1503097101070003</t>
  </si>
  <si>
    <t>RIEKE RAHMAWATI</t>
  </si>
  <si>
    <t>DP-0983</t>
  </si>
  <si>
    <t>1503096606780001</t>
  </si>
  <si>
    <t>SAMIJEM</t>
  </si>
  <si>
    <t>DP-0984</t>
  </si>
  <si>
    <t>1503092608760001</t>
  </si>
  <si>
    <t>WIYANTO</t>
  </si>
  <si>
    <t>DP-0985</t>
  </si>
  <si>
    <t>1503090801090020</t>
  </si>
  <si>
    <t>1503094510050002</t>
  </si>
  <si>
    <t>MIKI MAWAR WULANDANI</t>
  </si>
  <si>
    <t>DP-0986</t>
  </si>
  <si>
    <t>1503091204690003</t>
  </si>
  <si>
    <t>MULYONO</t>
  </si>
  <si>
    <t>DP-0987</t>
  </si>
  <si>
    <t>1503094808790002</t>
  </si>
  <si>
    <t>DP-0988</t>
  </si>
  <si>
    <t>1503090801090022</t>
  </si>
  <si>
    <t>1503090404630001</t>
  </si>
  <si>
    <t>KASNO</t>
  </si>
  <si>
    <t>DP-0989</t>
  </si>
  <si>
    <t>1503094611710001</t>
  </si>
  <si>
    <t>SUPARMI</t>
  </si>
  <si>
    <t>SERAGEN</t>
  </si>
  <si>
    <t>DP-0990</t>
  </si>
  <si>
    <t>1503090801090024</t>
  </si>
  <si>
    <t>1503090803070001</t>
  </si>
  <si>
    <t>ILHAM MAULANA</t>
  </si>
  <si>
    <t>DP-0991</t>
  </si>
  <si>
    <t>1503091207980003</t>
  </si>
  <si>
    <t>IRVAN MAULANA</t>
  </si>
  <si>
    <t>SINKUT</t>
  </si>
  <si>
    <t>DP-0992</t>
  </si>
  <si>
    <t>1503094903790001</t>
  </si>
  <si>
    <t>KARMIATI</t>
  </si>
  <si>
    <t>DP-0993</t>
  </si>
  <si>
    <t>1503090307780004</t>
  </si>
  <si>
    <t>NGADINO</t>
  </si>
  <si>
    <t>Pematang Kolim</t>
  </si>
  <si>
    <t>DP-0994</t>
  </si>
  <si>
    <t>1503090801090033</t>
  </si>
  <si>
    <t>1503092003500001</t>
  </si>
  <si>
    <t>SALIMUDIN</t>
  </si>
  <si>
    <t>DP-0995</t>
  </si>
  <si>
    <t>1503090801090035</t>
  </si>
  <si>
    <t>1503092909740003</t>
  </si>
  <si>
    <t>JASIMIN</t>
  </si>
  <si>
    <t>DP-0996</t>
  </si>
  <si>
    <t>1503097105020004</t>
  </si>
  <si>
    <t>SANJARI ANJLA</t>
  </si>
  <si>
    <t>DP-0997</t>
  </si>
  <si>
    <t>1503095305780002</t>
  </si>
  <si>
    <t>SITI ANISAH</t>
  </si>
  <si>
    <t>DP-0998</t>
  </si>
  <si>
    <t>1503090802110005</t>
  </si>
  <si>
    <t>1503091707750002</t>
  </si>
  <si>
    <t>ANDI</t>
  </si>
  <si>
    <t>TEMPIRAI</t>
  </si>
  <si>
    <t>DP-0999</t>
  </si>
  <si>
    <t>1503095606820002</t>
  </si>
  <si>
    <t>CITRA YULINDA</t>
  </si>
  <si>
    <t>DP-1000</t>
  </si>
  <si>
    <t>1503091703010002</t>
  </si>
  <si>
    <t>PAUH</t>
  </si>
  <si>
    <t>DP-1001</t>
  </si>
  <si>
    <t>1503090802130001</t>
  </si>
  <si>
    <t>1503096207040003</t>
  </si>
  <si>
    <t>IRTA ARLIA</t>
  </si>
  <si>
    <t>DP-1002</t>
  </si>
  <si>
    <t>1503095206860002</t>
  </si>
  <si>
    <t>SHOLEHAH</t>
  </si>
  <si>
    <t>DP-1003</t>
  </si>
  <si>
    <t>1503091510790005</t>
  </si>
  <si>
    <t>TAMRIN</t>
  </si>
  <si>
    <t>MUARO BUNGO</t>
  </si>
  <si>
    <t>DP-1004</t>
  </si>
  <si>
    <t>1503090802130007</t>
  </si>
  <si>
    <t>1503092908910001</t>
  </si>
  <si>
    <t>M. HADI SUTRISNO</t>
  </si>
  <si>
    <t>DP-1005</t>
  </si>
  <si>
    <t>1503095609900002</t>
  </si>
  <si>
    <t>SITI ZULAIKAH</t>
  </si>
  <si>
    <t>DP-1006</t>
  </si>
  <si>
    <t>1503090802170009</t>
  </si>
  <si>
    <t>8172042012950001</t>
  </si>
  <si>
    <t>M. SYAIFUDIN ZUHRI</t>
  </si>
  <si>
    <t>DP-1007</t>
  </si>
  <si>
    <t>1503094107550020</t>
  </si>
  <si>
    <t>MUJIRAH</t>
  </si>
  <si>
    <t>DP-1008</t>
  </si>
  <si>
    <t>1503090802210003</t>
  </si>
  <si>
    <t>1503095411980002</t>
  </si>
  <si>
    <t>FATMI SAHERA</t>
  </si>
  <si>
    <t>DP-1009</t>
  </si>
  <si>
    <t>1503090506980004</t>
  </si>
  <si>
    <t>REZA ARIYANSA</t>
  </si>
  <si>
    <t>DP-1010</t>
  </si>
  <si>
    <t>1503090803100029</t>
  </si>
  <si>
    <t>1503097005010003</t>
  </si>
  <si>
    <t>AHADAH ARINATUS SHOFAH</t>
  </si>
  <si>
    <t>DP-1011</t>
  </si>
  <si>
    <t>1503095411040005</t>
  </si>
  <si>
    <t>ANISATUL LAILI FITRIYAH</t>
  </si>
  <si>
    <t>DP-1012</t>
  </si>
  <si>
    <t>1503090209780003</t>
  </si>
  <si>
    <t>M. BAMBANG SYAMSUDDIN</t>
  </si>
  <si>
    <t>SIDOARJO</t>
  </si>
  <si>
    <t>DP-1013</t>
  </si>
  <si>
    <t>1503095706790002</t>
  </si>
  <si>
    <t>MAR'ATUS SHOLEKHAN</t>
  </si>
  <si>
    <t>DP-1014</t>
  </si>
  <si>
    <t>1503090803100038</t>
  </si>
  <si>
    <t>1503092701260004</t>
  </si>
  <si>
    <t>1503096801010001</t>
  </si>
  <si>
    <t>CINDY DWIANA SARI</t>
  </si>
  <si>
    <t>DP-1015</t>
  </si>
  <si>
    <t>1503091911720001</t>
  </si>
  <si>
    <t>JHON HERRY</t>
  </si>
  <si>
    <t>DP-1016</t>
  </si>
  <si>
    <t>1503094306700003</t>
  </si>
  <si>
    <t>ROSIANA</t>
  </si>
  <si>
    <t>TANJUNG RAJA</t>
  </si>
  <si>
    <t>DP-1017</t>
  </si>
  <si>
    <t>1503090803120013</t>
  </si>
  <si>
    <t>1503095011950004</t>
  </si>
  <si>
    <t>ASIH UTAMI</t>
  </si>
  <si>
    <t>MERANTI</t>
  </si>
  <si>
    <t>DP-1018</t>
  </si>
  <si>
    <t>1503091303840002</t>
  </si>
  <si>
    <t>RAHMAT ULIL AMRI</t>
  </si>
  <si>
    <t>PANDAN JAYA</t>
  </si>
  <si>
    <t>1503051509200007</t>
  </si>
  <si>
    <t>DP-1019</t>
  </si>
  <si>
    <t>1503090804100001</t>
  </si>
  <si>
    <t>1503092708010003</t>
  </si>
  <si>
    <t>DIMAS LESMANA</t>
  </si>
  <si>
    <t>DP-1020</t>
  </si>
  <si>
    <t>1503095810720001</t>
  </si>
  <si>
    <t>LASTRIANA</t>
  </si>
  <si>
    <t>DP-1021</t>
  </si>
  <si>
    <t>1503091207650001</t>
  </si>
  <si>
    <t>RD. JULIANTO</t>
  </si>
  <si>
    <t>DP-1022</t>
  </si>
  <si>
    <t>1503090804100007</t>
  </si>
  <si>
    <t>1503094707740001</t>
  </si>
  <si>
    <t>KASIATMI</t>
  </si>
  <si>
    <t>JLN. BRAWIJAYA</t>
  </si>
  <si>
    <t>DP-1023</t>
  </si>
  <si>
    <t>1503091205680003</t>
  </si>
  <si>
    <t>KUSBANDI</t>
  </si>
  <si>
    <t>DP-1024</t>
  </si>
  <si>
    <t>1503092109040002</t>
  </si>
  <si>
    <t>RIYAN DUWI ADI APUTRA</t>
  </si>
  <si>
    <t>1503092005240009</t>
  </si>
  <si>
    <t>DP-1025</t>
  </si>
  <si>
    <t>1503090804100008</t>
  </si>
  <si>
    <t>1503095309520001</t>
  </si>
  <si>
    <t>SANIATI</t>
  </si>
  <si>
    <t>DP-1026</t>
  </si>
  <si>
    <t>1503090804100009</t>
  </si>
  <si>
    <t>1503091604740001</t>
  </si>
  <si>
    <t>MOH ALI PRIANTO</t>
  </si>
  <si>
    <t>JL BENTENG</t>
  </si>
  <si>
    <t>DP-1027</t>
  </si>
  <si>
    <t>1503090804160001</t>
  </si>
  <si>
    <t>1509010609880004</t>
  </si>
  <si>
    <t>DIDIK KURNIAWAN</t>
  </si>
  <si>
    <t>MUARA TEBO</t>
  </si>
  <si>
    <t>DP-1028</t>
  </si>
  <si>
    <t>1503095704890003</t>
  </si>
  <si>
    <t>RESTI PRIHANTINI</t>
  </si>
  <si>
    <t>DP-1029</t>
  </si>
  <si>
    <t>1503090804190001</t>
  </si>
  <si>
    <t>1503091707910003</t>
  </si>
  <si>
    <t>AMIR SUSANTO</t>
  </si>
  <si>
    <t>DP-1030</t>
  </si>
  <si>
    <t>1503093103980001</t>
  </si>
  <si>
    <t>SUCI SISKAWATI</t>
  </si>
  <si>
    <t>DP-1031</t>
  </si>
  <si>
    <t>1503090805120009</t>
  </si>
  <si>
    <t>1503092206010002</t>
  </si>
  <si>
    <t>FAJAR WIBOWO</t>
  </si>
  <si>
    <t>DP-1032</t>
  </si>
  <si>
    <t>1503095710750001</t>
  </si>
  <si>
    <t>NULI JATINI</t>
  </si>
  <si>
    <t>DP-1033</t>
  </si>
  <si>
    <t>1503093012640001</t>
  </si>
  <si>
    <t>SUNGKONO</t>
  </si>
  <si>
    <t>DP-1034</t>
  </si>
  <si>
    <t>1503090805190002</t>
  </si>
  <si>
    <t>1503091209780006</t>
  </si>
  <si>
    <t>DARMAJI</t>
  </si>
  <si>
    <t>DP-1035</t>
  </si>
  <si>
    <t>1605165705780001</t>
  </si>
  <si>
    <t>BIARO MUSI RAWAS</t>
  </si>
  <si>
    <t>DP-1036</t>
  </si>
  <si>
    <t>1503090805230006</t>
  </si>
  <si>
    <t>1503092008990003</t>
  </si>
  <si>
    <t>AGUS DERAE YOGA AINURROFIQ</t>
  </si>
  <si>
    <t>DP-1037</t>
  </si>
  <si>
    <t>1503094604990004</t>
  </si>
  <si>
    <t>LINA SURYANI</t>
  </si>
  <si>
    <t>DP-1038</t>
  </si>
  <si>
    <t>1503090806150002</t>
  </si>
  <si>
    <t>1503096606740002</t>
  </si>
  <si>
    <t>DWI ASTINI</t>
  </si>
  <si>
    <t>DP-1039</t>
  </si>
  <si>
    <t>1503090909690002</t>
  </si>
  <si>
    <t>RIBUT SUPRIYANTO</t>
  </si>
  <si>
    <t>DP-1040</t>
  </si>
  <si>
    <t>1503096009030001</t>
  </si>
  <si>
    <t>SEVIT VENY ALVIANITA</t>
  </si>
  <si>
    <t>DP-1041</t>
  </si>
  <si>
    <t>1503090806220001</t>
  </si>
  <si>
    <t>1503095807980002</t>
  </si>
  <si>
    <t>ARUM SAFITRI</t>
  </si>
  <si>
    <t>DP-1042</t>
  </si>
  <si>
    <t>1503090107990045</t>
  </si>
  <si>
    <t>RIZAL ABDILAH</t>
  </si>
  <si>
    <t>DP-1043</t>
  </si>
  <si>
    <t>1503090806230001</t>
  </si>
  <si>
    <t>1503092107000001</t>
  </si>
  <si>
    <t>UUN ASKHARI</t>
  </si>
  <si>
    <t>DP-1044</t>
  </si>
  <si>
    <t>1503095204020001</t>
  </si>
  <si>
    <t>ZUBAIDAH</t>
  </si>
  <si>
    <t>DP-1045</t>
  </si>
  <si>
    <t>1503090807100004</t>
  </si>
  <si>
    <t>1503095709850002</t>
  </si>
  <si>
    <t>SUPARNI</t>
  </si>
  <si>
    <t>DP-1046</t>
  </si>
  <si>
    <t>1503090905860003</t>
  </si>
  <si>
    <t>UUN MELDIANTO</t>
  </si>
  <si>
    <t>DP-1047</t>
  </si>
  <si>
    <t>1503090807190003</t>
  </si>
  <si>
    <t>1503091701930002</t>
  </si>
  <si>
    <t>ALFIAN ARI HIDAYAT</t>
  </si>
  <si>
    <t>DP-1048</t>
  </si>
  <si>
    <t>1503094107980049</t>
  </si>
  <si>
    <t>SITI ISTIQOMAH</t>
  </si>
  <si>
    <t>DP-1049</t>
  </si>
  <si>
    <t>1503090807190005</t>
  </si>
  <si>
    <t>1503091701940001</t>
  </si>
  <si>
    <t>PONIMIN</t>
  </si>
  <si>
    <t>DP-1050</t>
  </si>
  <si>
    <t>1503054302980004</t>
  </si>
  <si>
    <t>PUPUT HESTI SILVIANI</t>
  </si>
  <si>
    <t>DP-1051</t>
  </si>
  <si>
    <t>1503090807200003</t>
  </si>
  <si>
    <t>1708041404920003</t>
  </si>
  <si>
    <t>BENY RISWANDI</t>
  </si>
  <si>
    <t>DP-1052</t>
  </si>
  <si>
    <t>1310046708980002</t>
  </si>
  <si>
    <t>DINI LESTARI</t>
  </si>
  <si>
    <t>DP-1053</t>
  </si>
  <si>
    <t>1503090807200005</t>
  </si>
  <si>
    <t>1503090309960002</t>
  </si>
  <si>
    <t>DANANG TARYO SAPUTRA</t>
  </si>
  <si>
    <t>DP-1054</t>
  </si>
  <si>
    <t>1503097108980002</t>
  </si>
  <si>
    <t>DITA LUMATUS SA'ADAH</t>
  </si>
  <si>
    <t>DP-1055</t>
  </si>
  <si>
    <t>1503090808170006</t>
  </si>
  <si>
    <t>1503091210890003</t>
  </si>
  <si>
    <t>DARTO</t>
  </si>
  <si>
    <t>DP-1056</t>
  </si>
  <si>
    <t>1503095503960001</t>
  </si>
  <si>
    <t>RINA ISNAINI RIZKY</t>
  </si>
  <si>
    <t>DP-1057</t>
  </si>
  <si>
    <t>1503090808180001</t>
  </si>
  <si>
    <t>1503095310940002</t>
  </si>
  <si>
    <t>INTAN NURJANAH</t>
  </si>
  <si>
    <t>DP-1058</t>
  </si>
  <si>
    <t>1503090912050003</t>
  </si>
  <si>
    <t>RAFIQ ADITYA ROMADAN</t>
  </si>
  <si>
    <t>DP-1059</t>
  </si>
  <si>
    <t>1503090808180002</t>
  </si>
  <si>
    <t>1503095107480001</t>
  </si>
  <si>
    <t>DP-1060</t>
  </si>
  <si>
    <t>1503090809070004</t>
  </si>
  <si>
    <t>1503094107550002</t>
  </si>
  <si>
    <t>WAINEM</t>
  </si>
  <si>
    <t>Pasangan belum ketemu</t>
  </si>
  <si>
    <t>DUSUN III SUKA MULYA PAYO LEBAR</t>
  </si>
  <si>
    <t>DP-1061</t>
  </si>
  <si>
    <t>1503090809070009</t>
  </si>
  <si>
    <t>1503092303690002</t>
  </si>
  <si>
    <t>DP-1062</t>
  </si>
  <si>
    <t>1503092112060001</t>
  </si>
  <si>
    <t>LINGGA PAMUNGKAS</t>
  </si>
  <si>
    <t>DP-1063</t>
  </si>
  <si>
    <t>1503091312930002</t>
  </si>
  <si>
    <t>PRAMUDIA KRISTIAN WIBOWO</t>
  </si>
  <si>
    <t>DP-1064</t>
  </si>
  <si>
    <t>1503094301720001</t>
  </si>
  <si>
    <t>SUMIYEM</t>
  </si>
  <si>
    <t>DP-1065</t>
  </si>
  <si>
    <t>1503092207010002</t>
  </si>
  <si>
    <t>TRI MILLEN BASKARA</t>
  </si>
  <si>
    <t>DP-1066</t>
  </si>
  <si>
    <t>1503092207010001</t>
  </si>
  <si>
    <t>TRI MILLEN CESAR</t>
  </si>
  <si>
    <t>DP-1067</t>
  </si>
  <si>
    <t>1503090809070017</t>
  </si>
  <si>
    <t>1503095608480001</t>
  </si>
  <si>
    <t>SISWATI</t>
  </si>
  <si>
    <t>SIDOREJO</t>
  </si>
  <si>
    <t>DP-1068</t>
  </si>
  <si>
    <t>1503090809070023</t>
  </si>
  <si>
    <t>1503091907990001</t>
  </si>
  <si>
    <t>ADE SURYA AJI</t>
  </si>
  <si>
    <t>DP-1069</t>
  </si>
  <si>
    <t>1503090107590003</t>
  </si>
  <si>
    <t>PAIMIN</t>
  </si>
  <si>
    <t>DP-1070</t>
  </si>
  <si>
    <t>1503094107650008</t>
  </si>
  <si>
    <t>SULIYAH</t>
  </si>
  <si>
    <t>DP-1071</t>
  </si>
  <si>
    <t>1503096707050002</t>
  </si>
  <si>
    <t>YULI WIDIYA SARI</t>
  </si>
  <si>
    <t>DP-1072</t>
  </si>
  <si>
    <t>1503090809070024</t>
  </si>
  <si>
    <t>1503090807640001</t>
  </si>
  <si>
    <t>DP-1073</t>
  </si>
  <si>
    <t>1503095001530002</t>
  </si>
  <si>
    <t>RUSTINI</t>
  </si>
  <si>
    <t>DP-1074</t>
  </si>
  <si>
    <t>1503092512920003</t>
  </si>
  <si>
    <t>WISNU MASHUD RIFA'I</t>
  </si>
  <si>
    <t>DP-1075</t>
  </si>
  <si>
    <t>1503090809070026</t>
  </si>
  <si>
    <t>1503090902800001</t>
  </si>
  <si>
    <t>ABDUL AZIZ</t>
  </si>
  <si>
    <t>DP-1076</t>
  </si>
  <si>
    <t>1503091710050001</t>
  </si>
  <si>
    <t>MUHAMMAD RAMDHANI</t>
  </si>
  <si>
    <t>DP-1077</t>
  </si>
  <si>
    <t>1503095601850001</t>
  </si>
  <si>
    <t>SUDARTI</t>
  </si>
  <si>
    <t>DP-1078</t>
  </si>
  <si>
    <t>1503090809160006</t>
  </si>
  <si>
    <t>1503090906650001</t>
  </si>
  <si>
    <t>DUSUN III SUKA MULYO</t>
  </si>
  <si>
    <t>DP-1079</t>
  </si>
  <si>
    <t>1503095405670002</t>
  </si>
  <si>
    <t>RONDIYAH</t>
  </si>
  <si>
    <t>DP-1080</t>
  </si>
  <si>
    <t>1503090809160007</t>
  </si>
  <si>
    <t>1503094208700001</t>
  </si>
  <si>
    <t>MUTINI</t>
  </si>
  <si>
    <t>DP-1081</t>
  </si>
  <si>
    <t>1503091501540001</t>
  </si>
  <si>
    <t>WARYONO</t>
  </si>
  <si>
    <t>1503092301250001</t>
  </si>
  <si>
    <t>DP-1082</t>
  </si>
  <si>
    <t>1503090809200001</t>
  </si>
  <si>
    <t>1503095703970001</t>
  </si>
  <si>
    <t>VIVI INDRIANI</t>
  </si>
  <si>
    <t>DP-1083</t>
  </si>
  <si>
    <t>1503090707880001</t>
  </si>
  <si>
    <t>RAWAS</t>
  </si>
  <si>
    <t>DP-2624</t>
  </si>
  <si>
    <t>1503090112930001</t>
  </si>
  <si>
    <t>MUHAMMAD KHAFID</t>
  </si>
  <si>
    <t>DP-1084</t>
  </si>
  <si>
    <t>1503090809220001</t>
  </si>
  <si>
    <t>1572011604940003</t>
  </si>
  <si>
    <t>PIRNO SAPUTRA</t>
  </si>
  <si>
    <t>SUNGAI PENUH</t>
  </si>
  <si>
    <t>DP-1085</t>
  </si>
  <si>
    <t>1503055203970004</t>
  </si>
  <si>
    <t>ROSNAWATI</t>
  </si>
  <si>
    <t>DP-1086</t>
  </si>
  <si>
    <t>1503090810200010</t>
  </si>
  <si>
    <t>1503095311000001</t>
  </si>
  <si>
    <t>USWATUN HASANAH</t>
  </si>
  <si>
    <t>DP-1087</t>
  </si>
  <si>
    <t>1503050312990004</t>
  </si>
  <si>
    <t>WAWAN ANDREANSAH</t>
  </si>
  <si>
    <t>DP-1088</t>
  </si>
  <si>
    <t>1503090811070002</t>
  </si>
  <si>
    <t>1503095512810001</t>
  </si>
  <si>
    <t>ASTARINI</t>
  </si>
  <si>
    <t>DP-1089</t>
  </si>
  <si>
    <t>1503090705010001</t>
  </si>
  <si>
    <t>RYAN PANDU SAPUTRA</t>
  </si>
  <si>
    <t>DP-1090</t>
  </si>
  <si>
    <t>1503091206760001</t>
  </si>
  <si>
    <t>SAMUJI</t>
  </si>
  <si>
    <t>DP-1091</t>
  </si>
  <si>
    <t>1503090811070009</t>
  </si>
  <si>
    <t>1503096312980001</t>
  </si>
  <si>
    <t>LILIS KARLINA</t>
  </si>
  <si>
    <t>DP-1092</t>
  </si>
  <si>
    <t>1503091707770002</t>
  </si>
  <si>
    <t>DP-1093</t>
  </si>
  <si>
    <t>1503095707800002</t>
  </si>
  <si>
    <t>SUSTYOWATI</t>
  </si>
  <si>
    <t>DP-1094</t>
  </si>
  <si>
    <t>1503090811070011</t>
  </si>
  <si>
    <t>1503095711030001</t>
  </si>
  <si>
    <t>IKKE NOVIYANI</t>
  </si>
  <si>
    <t>DS I DS PAYOLEBAR</t>
  </si>
  <si>
    <t>DP-1095</t>
  </si>
  <si>
    <t>1503091707580002</t>
  </si>
  <si>
    <t>MISDI B.</t>
  </si>
  <si>
    <t>DP-1096</t>
  </si>
  <si>
    <t>1503094197590010</t>
  </si>
  <si>
    <t>WIWIK</t>
  </si>
  <si>
    <t>DP-1097</t>
  </si>
  <si>
    <t>1503090811070012</t>
  </si>
  <si>
    <t>1503095707730002</t>
  </si>
  <si>
    <t>AMBARWATI</t>
  </si>
  <si>
    <t>DP-1098</t>
  </si>
  <si>
    <t>1503090606680001</t>
  </si>
  <si>
    <t>LADI</t>
  </si>
  <si>
    <t>DP-1099</t>
  </si>
  <si>
    <t>1503090811070013</t>
  </si>
  <si>
    <t>1503095707420002</t>
  </si>
  <si>
    <t>PONIRAH</t>
  </si>
  <si>
    <t>DP-1100</t>
  </si>
  <si>
    <t>1503090811170003</t>
  </si>
  <si>
    <t>1708066605000001</t>
  </si>
  <si>
    <t>AINUN HAMIDAH</t>
  </si>
  <si>
    <t>DP-1101</t>
  </si>
  <si>
    <t>1503090407900003</t>
  </si>
  <si>
    <t>MUHLIS ARFANDRANI</t>
  </si>
  <si>
    <t>DP-1102</t>
  </si>
  <si>
    <t>1503090811170005</t>
  </si>
  <si>
    <t>1503091509900001</t>
  </si>
  <si>
    <t>AMRI KORNIANTO</t>
  </si>
  <si>
    <t>DP-1103</t>
  </si>
  <si>
    <t>1503044107930304</t>
  </si>
  <si>
    <t>IVO YAYAN MARYAN</t>
  </si>
  <si>
    <t>DP-1104</t>
  </si>
  <si>
    <t>1503090811190001</t>
  </si>
  <si>
    <t>1503094409650001</t>
  </si>
  <si>
    <t>SRINEN</t>
  </si>
  <si>
    <t>PURWO REJO</t>
  </si>
  <si>
    <t>DP-1105</t>
  </si>
  <si>
    <t>1503090812090004</t>
  </si>
  <si>
    <t>1503092805480001</t>
  </si>
  <si>
    <t>RASYIM AHKAM</t>
  </si>
  <si>
    <t>DP-1106</t>
  </si>
  <si>
    <t>1503094107580060</t>
  </si>
  <si>
    <t>YATINAH</t>
  </si>
  <si>
    <t>DP-1107</t>
  </si>
  <si>
    <t>1503090812100005</t>
  </si>
  <si>
    <t>1503096703590003</t>
  </si>
  <si>
    <t>ENI NURHAYATI</t>
  </si>
  <si>
    <t>DP-1108</t>
  </si>
  <si>
    <t>1503091602620001</t>
  </si>
  <si>
    <t>MARGIYA</t>
  </si>
  <si>
    <t>DP-1109</t>
  </si>
  <si>
    <t>1503090909610003</t>
  </si>
  <si>
    <t>SURANTO</t>
  </si>
  <si>
    <t>DP-1110</t>
  </si>
  <si>
    <t>1503090812150003</t>
  </si>
  <si>
    <t>1504041311870003</t>
  </si>
  <si>
    <t>ABDUL HALIM</t>
  </si>
  <si>
    <t>TERENTANG BARU</t>
  </si>
  <si>
    <t>DP-1111</t>
  </si>
  <si>
    <t>1503084812940001</t>
  </si>
  <si>
    <t>KHUSWATUN HASANAH</t>
  </si>
  <si>
    <t>DP-1112</t>
  </si>
  <si>
    <t>1503090812160007</t>
  </si>
  <si>
    <t>1503095107930004</t>
  </si>
  <si>
    <t>EKA SETIA YULIANA</t>
  </si>
  <si>
    <t>DP-1113</t>
  </si>
  <si>
    <t>1503092710900002</t>
  </si>
  <si>
    <t>WAHYU HARYANTO</t>
  </si>
  <si>
    <t>DP-1114</t>
  </si>
  <si>
    <t>1503090812220003</t>
  </si>
  <si>
    <t>1503096207880004</t>
  </si>
  <si>
    <t>FITRI ARUM AULIA</t>
  </si>
  <si>
    <t>DP-1115</t>
  </si>
  <si>
    <t>1503090701930003</t>
  </si>
  <si>
    <t>RIO DWI CAHYONO</t>
  </si>
  <si>
    <t>DP-1116</t>
  </si>
  <si>
    <t>1503090901090002</t>
  </si>
  <si>
    <t>1503095801020001</t>
  </si>
  <si>
    <t>IDA FARIDA</t>
  </si>
  <si>
    <t>DP-1117</t>
  </si>
  <si>
    <t>1503092404660001</t>
  </si>
  <si>
    <t>MADIUN NAONA</t>
  </si>
  <si>
    <t>DP-1118</t>
  </si>
  <si>
    <t>1503095010730005</t>
  </si>
  <si>
    <t>TASIYEM</t>
  </si>
  <si>
    <t>DP-1119</t>
  </si>
  <si>
    <t>1503090901090003</t>
  </si>
  <si>
    <t>1503090403810001</t>
  </si>
  <si>
    <t>HARUN MATLANI</t>
  </si>
  <si>
    <t>DP-1120</t>
  </si>
  <si>
    <t>1503095409850003</t>
  </si>
  <si>
    <t>DSN SUKA MULYA</t>
  </si>
  <si>
    <t>DP-1121</t>
  </si>
  <si>
    <t>1503090901090005</t>
  </si>
  <si>
    <t>1503090301010002</t>
  </si>
  <si>
    <t>ANDI BASKORO</t>
  </si>
  <si>
    <t>Pisah KK</t>
  </si>
  <si>
    <t>DUSUN PAYO LEBAR</t>
  </si>
  <si>
    <t>DP-1122</t>
  </si>
  <si>
    <t>1503090811760002</t>
  </si>
  <si>
    <t>BASUKI</t>
  </si>
  <si>
    <t>DP-1123</t>
  </si>
  <si>
    <t>1503094607770003</t>
  </si>
  <si>
    <t>WANTINI</t>
  </si>
  <si>
    <t>DP-1124</t>
  </si>
  <si>
    <t>1503097008990002</t>
  </si>
  <si>
    <t>YENI SETIAWATI</t>
  </si>
  <si>
    <t>DP-1125</t>
  </si>
  <si>
    <t>1503090901090006</t>
  </si>
  <si>
    <t>1503094507660001</t>
  </si>
  <si>
    <t>LUSIYEM</t>
  </si>
  <si>
    <t>DP-1126</t>
  </si>
  <si>
    <t>1503090602630001</t>
  </si>
  <si>
    <t>DP-1127</t>
  </si>
  <si>
    <t>1503090901090007</t>
  </si>
  <si>
    <t>1503092709030002</t>
  </si>
  <si>
    <t>DANANG NUR WAHYUDIN</t>
  </si>
  <si>
    <t>MUARA BULIAN</t>
  </si>
  <si>
    <t>DP-1128</t>
  </si>
  <si>
    <t>1503094409790002</t>
  </si>
  <si>
    <t>DIANA</t>
  </si>
  <si>
    <t>DP-1129</t>
  </si>
  <si>
    <t>1503090706770002</t>
  </si>
  <si>
    <t>SAIFUDIN ZUHRI</t>
  </si>
  <si>
    <t>DEMAK JATENG</t>
  </si>
  <si>
    <t>DP-1130</t>
  </si>
  <si>
    <t>1503090901090008</t>
  </si>
  <si>
    <t>1503092501750002</t>
  </si>
  <si>
    <t>AGUS SANTOSO</t>
  </si>
  <si>
    <t>DP-1131</t>
  </si>
  <si>
    <t>1503090510060002</t>
  </si>
  <si>
    <t>ARDI RAHMAT DANI</t>
  </si>
  <si>
    <t>DP-1132</t>
  </si>
  <si>
    <t>1503094412810001</t>
  </si>
  <si>
    <t>SUPRIATIN NINGSIH</t>
  </si>
  <si>
    <t>DP-1133</t>
  </si>
  <si>
    <t>1503090901090009</t>
  </si>
  <si>
    <t>1503090706030003</t>
  </si>
  <si>
    <t>JHOHAN BAGUS PRASETYA</t>
  </si>
  <si>
    <t>DP-1134</t>
  </si>
  <si>
    <t>1503094504740002</t>
  </si>
  <si>
    <t>RUSMIATI</t>
  </si>
  <si>
    <t>DP-1135</t>
  </si>
  <si>
    <t>1503090706760004</t>
  </si>
  <si>
    <t>SUPRIANTO</t>
  </si>
  <si>
    <t>DP-1136</t>
  </si>
  <si>
    <t>1503090901090010</t>
  </si>
  <si>
    <t>1503094701890002</t>
  </si>
  <si>
    <t>NURUL HIDAYATI</t>
  </si>
  <si>
    <t>1503090505250007</t>
  </si>
  <si>
    <t>DP-1137</t>
  </si>
  <si>
    <t>1503093103850001</t>
  </si>
  <si>
    <t>SUGIARTO</t>
  </si>
  <si>
    <t>DP-1138</t>
  </si>
  <si>
    <t>1503090901130005</t>
  </si>
  <si>
    <t>1503090905840004</t>
  </si>
  <si>
    <t>ROZA PERWIRA</t>
  </si>
  <si>
    <t>KERINCI</t>
  </si>
  <si>
    <t>DP-1139</t>
  </si>
  <si>
    <t>1503096903940002</t>
  </si>
  <si>
    <t>SRI SARA SATI</t>
  </si>
  <si>
    <t>DP-1140</t>
  </si>
  <si>
    <t>1503090901140002</t>
  </si>
  <si>
    <t>1503091009050005</t>
  </si>
  <si>
    <t>ARFANI TIO SAPUTRA</t>
  </si>
  <si>
    <t>DS I KARYA AGUNG</t>
  </si>
  <si>
    <t>1503091504260003</t>
  </si>
  <si>
    <t>DP-1141</t>
  </si>
  <si>
    <t>1503095505880004</t>
  </si>
  <si>
    <t>EKA MAINI SURYA</t>
  </si>
  <si>
    <t>DP-1142</t>
  </si>
  <si>
    <t>1503091009810003</t>
  </si>
  <si>
    <t>HARI ISNA WAHYUDI</t>
  </si>
  <si>
    <t>DP-1143</t>
  </si>
  <si>
    <t>1503090901180001</t>
  </si>
  <si>
    <t>1806264612940001</t>
  </si>
  <si>
    <t>DESI KURNIAWATI</t>
  </si>
  <si>
    <t>TALANG OGAN</t>
  </si>
  <si>
    <t>DP-1144</t>
  </si>
  <si>
    <t>1503090404880007</t>
  </si>
  <si>
    <t>M. SAMSUL KOMAR</t>
  </si>
  <si>
    <t>DP-1145</t>
  </si>
  <si>
    <t>1503090901240007</t>
  </si>
  <si>
    <t>1503096607920003</t>
  </si>
  <si>
    <t>DP-1146</t>
  </si>
  <si>
    <t>1503090902090003</t>
  </si>
  <si>
    <t>1503090209740001</t>
  </si>
  <si>
    <t>AGUS SYAIFUDIN</t>
  </si>
  <si>
    <t>DP-1147</t>
  </si>
  <si>
    <t>1503095404020002</t>
  </si>
  <si>
    <t>ANGGUN FATIKHA SARI</t>
  </si>
  <si>
    <t>DP-1148</t>
  </si>
  <si>
    <t>1503094203810001</t>
  </si>
  <si>
    <t>DWI SULIS TIAWATI</t>
  </si>
  <si>
    <t>DP-1149</t>
  </si>
  <si>
    <t>1503090902090015</t>
  </si>
  <si>
    <t>1503091107730002</t>
  </si>
  <si>
    <t>MHD. ARNOLD SUDIR</t>
  </si>
  <si>
    <t>PLORES</t>
  </si>
  <si>
    <t>DP-1150</t>
  </si>
  <si>
    <t>1503096206830001</t>
  </si>
  <si>
    <t>PUJI KASMAWATI</t>
  </si>
  <si>
    <t>DP-1151</t>
  </si>
  <si>
    <t>1503090902090016</t>
  </si>
  <si>
    <t>1503090708590002</t>
  </si>
  <si>
    <t>SAMINO</t>
  </si>
  <si>
    <t>DP-1152</t>
  </si>
  <si>
    <t>1503096403600001</t>
  </si>
  <si>
    <t>DP-1153</t>
  </si>
  <si>
    <t>1503090902090018</t>
  </si>
  <si>
    <t>1503094112030002</t>
  </si>
  <si>
    <t>NELI MURDIAH</t>
  </si>
  <si>
    <t>DSN IV RAMBE JAYA</t>
  </si>
  <si>
    <t>DP-1154</t>
  </si>
  <si>
    <t>1503095506620001</t>
  </si>
  <si>
    <t>DP-1155</t>
  </si>
  <si>
    <t>1503091111730004</t>
  </si>
  <si>
    <t>SUKATMAN</t>
  </si>
  <si>
    <t>1503091411070001</t>
  </si>
  <si>
    <t>DP-1156</t>
  </si>
  <si>
    <t>1503090902090020</t>
  </si>
  <si>
    <t>1503092707850003</t>
  </si>
  <si>
    <t>MOHAMMAD SOLIHIN</t>
  </si>
  <si>
    <t>DP-1157</t>
  </si>
  <si>
    <t>1503096711890004</t>
  </si>
  <si>
    <t>NINIK HARTINI</t>
  </si>
  <si>
    <t>DP-1158</t>
  </si>
  <si>
    <t>1503090902090021</t>
  </si>
  <si>
    <t>1503091603540001</t>
  </si>
  <si>
    <t>SALAM</t>
  </si>
  <si>
    <t>DP-1159</t>
  </si>
  <si>
    <t>1503090902090022</t>
  </si>
  <si>
    <t>1503095212790003</t>
  </si>
  <si>
    <t>DAMIATUN</t>
  </si>
  <si>
    <t>DSN I KARYA AGUNG</t>
  </si>
  <si>
    <t>DP-1160</t>
  </si>
  <si>
    <t>1503090107030042</t>
  </si>
  <si>
    <t>HENDRA MAHARDIKA</t>
  </si>
  <si>
    <t>DP-1161</t>
  </si>
  <si>
    <t>1503091208740003</t>
  </si>
  <si>
    <t>SUPANGI</t>
  </si>
  <si>
    <t>DP-1162</t>
  </si>
  <si>
    <t>1503090902120007</t>
  </si>
  <si>
    <t>1503095209900002</t>
  </si>
  <si>
    <t>DEWI RAHAYU PRATIWI</t>
  </si>
  <si>
    <t>DP-1163</t>
  </si>
  <si>
    <t>1503091008840002</t>
  </si>
  <si>
    <t>HANDIAN</t>
  </si>
  <si>
    <t>TASIK MALAYA</t>
  </si>
  <si>
    <t>DP-1164</t>
  </si>
  <si>
    <t>1503090902120008</t>
  </si>
  <si>
    <t>1503095904410001</t>
  </si>
  <si>
    <t>LAGIYEM</t>
  </si>
  <si>
    <t>DP-1165</t>
  </si>
  <si>
    <t>1503090902120010</t>
  </si>
  <si>
    <t>1503095506030004</t>
  </si>
  <si>
    <t>INGKA RINCIN WULANDARI</t>
  </si>
  <si>
    <t>DP-1166</t>
  </si>
  <si>
    <t>1503091806790003</t>
  </si>
  <si>
    <t>SUPANGAT</t>
  </si>
  <si>
    <t>DP-1167</t>
  </si>
  <si>
    <t>1503095505820005</t>
  </si>
  <si>
    <t>YANTI</t>
  </si>
  <si>
    <t>DP-1168</t>
  </si>
  <si>
    <t>1503090902180004</t>
  </si>
  <si>
    <t>1502064701950001</t>
  </si>
  <si>
    <t>DEVI KUMALA SARI</t>
  </si>
  <si>
    <t>DP-1169</t>
  </si>
  <si>
    <t>1503092512880001</t>
  </si>
  <si>
    <t>EKO PRASETYO</t>
  </si>
  <si>
    <t>DP-1170</t>
  </si>
  <si>
    <t>1503090903200003</t>
  </si>
  <si>
    <t>1503030101840018</t>
  </si>
  <si>
    <t>JAMES PINTU BATU</t>
  </si>
  <si>
    <t>PARSAORAN</t>
  </si>
  <si>
    <t>DP-1171</t>
  </si>
  <si>
    <t>1211026510850003</t>
  </si>
  <si>
    <t>REMMI SIMANJORANG</t>
  </si>
  <si>
    <t>SIKUNIHAN</t>
  </si>
  <si>
    <t>DP-1172</t>
  </si>
  <si>
    <t>1503090903230001</t>
  </si>
  <si>
    <t>1503096305970002</t>
  </si>
  <si>
    <t>DESI UTARI</t>
  </si>
  <si>
    <t>DP-1173</t>
  </si>
  <si>
    <t>1503051804970004</t>
  </si>
  <si>
    <t>SANDIKA HAJI UTAMA</t>
  </si>
  <si>
    <t>DP-1174</t>
  </si>
  <si>
    <t>1503090904200006</t>
  </si>
  <si>
    <t>1503090402930001</t>
  </si>
  <si>
    <t>WAHYU FEBRI RIANSAH</t>
  </si>
  <si>
    <t>DP-1175</t>
  </si>
  <si>
    <t>1503090905110001</t>
  </si>
  <si>
    <t>1503091711890002</t>
  </si>
  <si>
    <t>NOVRI ANDRA</t>
  </si>
  <si>
    <t>DP-1176</t>
  </si>
  <si>
    <t>1503094507900005</t>
  </si>
  <si>
    <t>SEILA AVINDA</t>
  </si>
  <si>
    <t>KEDONDONG</t>
  </si>
  <si>
    <t>DP-1177</t>
  </si>
  <si>
    <t>1503090905180007</t>
  </si>
  <si>
    <t>1503091212580003</t>
  </si>
  <si>
    <t>DARDI</t>
  </si>
  <si>
    <t>DP-1178</t>
  </si>
  <si>
    <t>1503094612650006</t>
  </si>
  <si>
    <t>DP-1179</t>
  </si>
  <si>
    <t>1503090906100009</t>
  </si>
  <si>
    <t>1503095206650001</t>
  </si>
  <si>
    <t>MIATUN</t>
  </si>
  <si>
    <t>DP-1180</t>
  </si>
  <si>
    <t>1503090505600001</t>
  </si>
  <si>
    <t>SUJARNO</t>
  </si>
  <si>
    <t>DP-1181</t>
  </si>
  <si>
    <t>1503090906170001</t>
  </si>
  <si>
    <t>1503094503520002</t>
  </si>
  <si>
    <t>SAMINAH</t>
  </si>
  <si>
    <t>DP-1182</t>
  </si>
  <si>
    <t>1503090907150001</t>
  </si>
  <si>
    <t>1503090401650002</t>
  </si>
  <si>
    <t>M.WIRYAWAN SIREGAR</t>
  </si>
  <si>
    <t>DP-1183</t>
  </si>
  <si>
    <t>1503095606970003</t>
  </si>
  <si>
    <t>NABILA SURURI SIREGAR</t>
  </si>
  <si>
    <t>DP-1184</t>
  </si>
  <si>
    <t>1503090907190005</t>
  </si>
  <si>
    <t>1271066605950004</t>
  </si>
  <si>
    <t>ARISTIA RIZKY</t>
  </si>
  <si>
    <t>DP-1185</t>
  </si>
  <si>
    <t>1503092007920002</t>
  </si>
  <si>
    <t>GUNAWAN</t>
  </si>
  <si>
    <t>DP-1186</t>
  </si>
  <si>
    <t>1503090908110002</t>
  </si>
  <si>
    <t>1503095908910001</t>
  </si>
  <si>
    <t>ELISA RAHMAWATI</t>
  </si>
  <si>
    <t>DP-1187</t>
  </si>
  <si>
    <t>1503091305880002</t>
  </si>
  <si>
    <t>SLAMET PUJIONO</t>
  </si>
  <si>
    <t>DP-1188</t>
  </si>
  <si>
    <t>1503090908120003</t>
  </si>
  <si>
    <t>3503130901820004</t>
  </si>
  <si>
    <t>DP-1189</t>
  </si>
  <si>
    <t>3503135709820001</t>
  </si>
  <si>
    <t>MULIYATIN</t>
  </si>
  <si>
    <t>DP-1190</t>
  </si>
  <si>
    <t>1503090908170003</t>
  </si>
  <si>
    <t>1503091607830004</t>
  </si>
  <si>
    <t>ROKANI</t>
  </si>
  <si>
    <t>DP-1191</t>
  </si>
  <si>
    <t>1503095105710001</t>
  </si>
  <si>
    <t>SUTINI</t>
  </si>
  <si>
    <t>DP-1192</t>
  </si>
  <si>
    <t>1503090908230002</t>
  </si>
  <si>
    <t>1503091610000003</t>
  </si>
  <si>
    <t>FARHANS PRADIPTA NAPITUPULU</t>
  </si>
  <si>
    <t>DP-1193</t>
  </si>
  <si>
    <t>1503095101000005</t>
  </si>
  <si>
    <t>NIA KUMALA DEWI</t>
  </si>
  <si>
    <t>DP-1194</t>
  </si>
  <si>
    <t>1503090909070002</t>
  </si>
  <si>
    <t>1503092311990002</t>
  </si>
  <si>
    <t>ANDI KURNIAWAN</t>
  </si>
  <si>
    <t>DP-1195</t>
  </si>
  <si>
    <t>1503090107660005</t>
  </si>
  <si>
    <t>IMAM JUARI</t>
  </si>
  <si>
    <t>DP-1196</t>
  </si>
  <si>
    <t>1503094107750012</t>
  </si>
  <si>
    <t>UMI TARWIYATI</t>
  </si>
  <si>
    <t>DP-1197</t>
  </si>
  <si>
    <t>1503090909070009</t>
  </si>
  <si>
    <t>1503094107530001</t>
  </si>
  <si>
    <t>SITUN</t>
  </si>
  <si>
    <t>DP-1198</t>
  </si>
  <si>
    <t>1503090909070017</t>
  </si>
  <si>
    <t>1503090107680009</t>
  </si>
  <si>
    <t>SUGITO</t>
  </si>
  <si>
    <t>DP-1199</t>
  </si>
  <si>
    <t>1503094107190002</t>
  </si>
  <si>
    <t>SUTILAH</t>
  </si>
  <si>
    <t>DP-1200</t>
  </si>
  <si>
    <t>1503095505020001</t>
  </si>
  <si>
    <t>WULAN RIMFA'ATI</t>
  </si>
  <si>
    <t>DP-1201</t>
  </si>
  <si>
    <t>1503090909070018</t>
  </si>
  <si>
    <t>1503090606580002</t>
  </si>
  <si>
    <t>SAMSUDIN</t>
  </si>
  <si>
    <t>BESUKI JATIM</t>
  </si>
  <si>
    <t>DP-1202</t>
  </si>
  <si>
    <t>1503095102700004</t>
  </si>
  <si>
    <t>DP-1203</t>
  </si>
  <si>
    <t>1503090909070022</t>
  </si>
  <si>
    <t>1503091003050001</t>
  </si>
  <si>
    <t>ALDI PUTRA PRATAMA</t>
  </si>
  <si>
    <t>DP-1204</t>
  </si>
  <si>
    <t>1503094808820001</t>
  </si>
  <si>
    <t>ISNAWATI</t>
  </si>
  <si>
    <t>DP-1205</t>
  </si>
  <si>
    <t>1503090311820001</t>
  </si>
  <si>
    <t>SUTIKNO</t>
  </si>
  <si>
    <t>DP-1206</t>
  </si>
  <si>
    <t>1503090909070028</t>
  </si>
  <si>
    <t>1503090411990001</t>
  </si>
  <si>
    <t>FIKI SAPUTRA</t>
  </si>
  <si>
    <t>DP-1207</t>
  </si>
  <si>
    <t>1503096407810001</t>
  </si>
  <si>
    <t>IIN HANDAYANI</t>
  </si>
  <si>
    <t>DP-1208</t>
  </si>
  <si>
    <t>1503091706760001</t>
  </si>
  <si>
    <t>SUYANI</t>
  </si>
  <si>
    <t>DP-1209</t>
  </si>
  <si>
    <t>1503090910100006</t>
  </si>
  <si>
    <t>1503092606070006</t>
  </si>
  <si>
    <t>MUHAMAT HANDIKO</t>
  </si>
  <si>
    <t>PAYP LEBAR</t>
  </si>
  <si>
    <t>DP-1210</t>
  </si>
  <si>
    <t>1503090910100008</t>
  </si>
  <si>
    <t>1503096903010004</t>
  </si>
  <si>
    <t>INTAN CAHYA PRAIWI</t>
  </si>
  <si>
    <t>DP-1211</t>
  </si>
  <si>
    <t>1503095504810002</t>
  </si>
  <si>
    <t>SAMROH EKAWATI</t>
  </si>
  <si>
    <t>DP-1212</t>
  </si>
  <si>
    <t>1503096711060002</t>
  </si>
  <si>
    <t>VIVIAN FIRNANDA PUTRI</t>
  </si>
  <si>
    <t>DP-1213</t>
  </si>
  <si>
    <t>1503090808790003</t>
  </si>
  <si>
    <t>DP-1214</t>
  </si>
  <si>
    <t>1503090910180003</t>
  </si>
  <si>
    <t>1506065309911001</t>
  </si>
  <si>
    <t>HOTMAIDA NABABAN</t>
  </si>
  <si>
    <t>BINTANG MARIAH</t>
  </si>
  <si>
    <t>DP-1215</t>
  </si>
  <si>
    <t>1571012611880021</t>
  </si>
  <si>
    <t>JENRIKO TAMPUBOLON</t>
  </si>
  <si>
    <t>TAPANULI UTARA</t>
  </si>
  <si>
    <t>DP-1216</t>
  </si>
  <si>
    <t>1503090910230001</t>
  </si>
  <si>
    <t>1503091502990001</t>
  </si>
  <si>
    <t>HASAN FAJRI</t>
  </si>
  <si>
    <t>DP-1217</t>
  </si>
  <si>
    <t>1503094812000005</t>
  </si>
  <si>
    <t>SELLY PERMATASARI</t>
  </si>
  <si>
    <t>DP-1218</t>
  </si>
  <si>
    <t>1503090911070001</t>
  </si>
  <si>
    <t>1503091004990001</t>
  </si>
  <si>
    <t>ANJAS AFRIYANDI</t>
  </si>
  <si>
    <t>DP-1219</t>
  </si>
  <si>
    <t>1503095204730003</t>
  </si>
  <si>
    <t>EKA MARTINI</t>
  </si>
  <si>
    <t>DP-1220</t>
  </si>
  <si>
    <t>1503092207700001</t>
  </si>
  <si>
    <t>KARMIDI</t>
  </si>
  <si>
    <t>DP-1221</t>
  </si>
  <si>
    <t>1503094407040001</t>
  </si>
  <si>
    <t>MELLANY RAHMA CAHYANI</t>
  </si>
  <si>
    <t>DP-1222</t>
  </si>
  <si>
    <t>1503090911070002</t>
  </si>
  <si>
    <t>1503091608600001</t>
  </si>
  <si>
    <t>SUPARLAN</t>
  </si>
  <si>
    <t>DP-1223</t>
  </si>
  <si>
    <t>1503090911070004</t>
  </si>
  <si>
    <t>1503090303850001</t>
  </si>
  <si>
    <t>SAIFUL MALIK</t>
  </si>
  <si>
    <t>DP-1224</t>
  </si>
  <si>
    <t>1503095401890001</t>
  </si>
  <si>
    <t>SUMIATUN</t>
  </si>
  <si>
    <t>DP-1225</t>
  </si>
  <si>
    <t>1503090911170001</t>
  </si>
  <si>
    <t>1503091912810001</t>
  </si>
  <si>
    <t>ZAINURI</t>
  </si>
  <si>
    <t>DP-1226</t>
  </si>
  <si>
    <t>1503090911180005</t>
  </si>
  <si>
    <t>1503094707060001</t>
  </si>
  <si>
    <t>AINUN SHOLEHA</t>
  </si>
  <si>
    <t>DP-1227</t>
  </si>
  <si>
    <t>1407022112990002</t>
  </si>
  <si>
    <t>INDRA SETIAWAN</t>
  </si>
  <si>
    <t>BAGANSI APIAPI</t>
  </si>
  <si>
    <t>DP-1228</t>
  </si>
  <si>
    <t>1503090911200003</t>
  </si>
  <si>
    <t>1503097112950006</t>
  </si>
  <si>
    <t>NINING HARTINI</t>
  </si>
  <si>
    <t>DP-1229</t>
  </si>
  <si>
    <t>1503091811820001</t>
  </si>
  <si>
    <t>YUNANTO</t>
  </si>
  <si>
    <t>DP-1230</t>
  </si>
  <si>
    <t>1503090912190004</t>
  </si>
  <si>
    <t>1503090607790006</t>
  </si>
  <si>
    <t>EDY PURNOMO</t>
  </si>
  <si>
    <t>DP-1231</t>
  </si>
  <si>
    <t>1503095711050005</t>
  </si>
  <si>
    <t>MAI RISKA FITRIA PURWIDAYANTI</t>
  </si>
  <si>
    <t>SEI. MERAH</t>
  </si>
  <si>
    <t>DP-1232</t>
  </si>
  <si>
    <t>1503094709790003</t>
  </si>
  <si>
    <t>WINARSIH</t>
  </si>
  <si>
    <t>DP-1233</t>
  </si>
  <si>
    <t>1503090912190006</t>
  </si>
  <si>
    <t>1503095502950001</t>
  </si>
  <si>
    <t>DAMAI IRAWATI</t>
  </si>
  <si>
    <t>DP-1234</t>
  </si>
  <si>
    <t>1503090509910001</t>
  </si>
  <si>
    <t>HERU TOMO</t>
  </si>
  <si>
    <t>DP-1235</t>
  </si>
  <si>
    <t>1503090912190012</t>
  </si>
  <si>
    <t>1503095004450003</t>
  </si>
  <si>
    <t>MU'ANAH</t>
  </si>
  <si>
    <t>DP-1236</t>
  </si>
  <si>
    <t>1503091002210004</t>
  </si>
  <si>
    <t>3276101604910002</t>
  </si>
  <si>
    <t>CHAIRUL FAHMI NASUTION</t>
  </si>
  <si>
    <t>DP-1237</t>
  </si>
  <si>
    <t>1801044101960007</t>
  </si>
  <si>
    <t>INDAH WAHYUNI</t>
  </si>
  <si>
    <t>SUKA BANDUNG</t>
  </si>
  <si>
    <t>1503091807250002</t>
  </si>
  <si>
    <t>DP-1238</t>
  </si>
  <si>
    <t>1503091003110004</t>
  </si>
  <si>
    <t>1503095205680001</t>
  </si>
  <si>
    <t>SRIMURTINI</t>
  </si>
  <si>
    <t>DP-1239</t>
  </si>
  <si>
    <t>1503091003120005</t>
  </si>
  <si>
    <t>1503095711800002</t>
  </si>
  <si>
    <t>HARI YANI</t>
  </si>
  <si>
    <t>KISARAN</t>
  </si>
  <si>
    <t>DUSUN SUKO MULYA</t>
  </si>
  <si>
    <t>DP-1240</t>
  </si>
  <si>
    <t>1503091510590003</t>
  </si>
  <si>
    <t>SOFIYAN</t>
  </si>
  <si>
    <t>DP-1241</t>
  </si>
  <si>
    <t>1503091003120006</t>
  </si>
  <si>
    <t>1503095107620001</t>
  </si>
  <si>
    <t>PARMI</t>
  </si>
  <si>
    <t>DP-1242</t>
  </si>
  <si>
    <t>1503093012500001</t>
  </si>
  <si>
    <t>SUPARMIN</t>
  </si>
  <si>
    <t>DP-1243</t>
  </si>
  <si>
    <t>1503091003120007</t>
  </si>
  <si>
    <t>1503090207830001</t>
  </si>
  <si>
    <t>BEJO</t>
  </si>
  <si>
    <t>DP-1244</t>
  </si>
  <si>
    <t>1503091003120008</t>
  </si>
  <si>
    <t>1503095610910003</t>
  </si>
  <si>
    <t>DP-1245</t>
  </si>
  <si>
    <t>1503091505850007</t>
  </si>
  <si>
    <t>SUBAGIYO</t>
  </si>
  <si>
    <t>LEBUNG SARI</t>
  </si>
  <si>
    <t>DP-1246</t>
  </si>
  <si>
    <t>1503091003160006</t>
  </si>
  <si>
    <t>1503095508890004</t>
  </si>
  <si>
    <t>KHUSNUL KHOTIMAH</t>
  </si>
  <si>
    <t>DP-1247</t>
  </si>
  <si>
    <t>1503091010860005</t>
  </si>
  <si>
    <t>SUGENG MISTAH</t>
  </si>
  <si>
    <t>DP-1248</t>
  </si>
  <si>
    <t>1503091003210001</t>
  </si>
  <si>
    <t>1503090705920002</t>
  </si>
  <si>
    <t>MUHAMAD HENDRI IRAWAN</t>
  </si>
  <si>
    <t>DP-1249</t>
  </si>
  <si>
    <t>1503095907970003</t>
  </si>
  <si>
    <t>WIDIA ASTUTIK SUTARSIH</t>
  </si>
  <si>
    <t>DP-1250</t>
  </si>
  <si>
    <t>1503091004190004</t>
  </si>
  <si>
    <t>1503094906830001</t>
  </si>
  <si>
    <t>DP-1251</t>
  </si>
  <si>
    <t>1503095809970001</t>
  </si>
  <si>
    <t>YULITA NIRMALASARI</t>
  </si>
  <si>
    <t>TEBO</t>
  </si>
  <si>
    <t>DP-1252</t>
  </si>
  <si>
    <t>1503091005160005</t>
  </si>
  <si>
    <t>1503090107910011</t>
  </si>
  <si>
    <t>DP-1253</t>
  </si>
  <si>
    <t>1503091005220001</t>
  </si>
  <si>
    <t>1503090906970001</t>
  </si>
  <si>
    <t>ICHFAN ARJUNA PAMUNGKAS</t>
  </si>
  <si>
    <t>DP-1254</t>
  </si>
  <si>
    <t>1102037008020001</t>
  </si>
  <si>
    <t>LUTPIAH</t>
  </si>
  <si>
    <t>BELAWAN</t>
  </si>
  <si>
    <t>DP-1255</t>
  </si>
  <si>
    <t>1503091005230001</t>
  </si>
  <si>
    <t>1503094311640002</t>
  </si>
  <si>
    <t>DP-1256</t>
  </si>
  <si>
    <t>1503091006200002</t>
  </si>
  <si>
    <t>1503095002460002</t>
  </si>
  <si>
    <t>DP-1257</t>
  </si>
  <si>
    <t>1503091007130003</t>
  </si>
  <si>
    <t>1503095104070002</t>
  </si>
  <si>
    <t>DESI WULANSARI</t>
  </si>
  <si>
    <t>DSN V RAMBE JAYA</t>
  </si>
  <si>
    <t>DP-1258</t>
  </si>
  <si>
    <t>1503095306780002</t>
  </si>
  <si>
    <t>MUJIATI</t>
  </si>
  <si>
    <t>DP-1259</t>
  </si>
  <si>
    <t>1503090906750002</t>
  </si>
  <si>
    <t>SURMUDI</t>
  </si>
  <si>
    <t>DP-1260</t>
  </si>
  <si>
    <t>1503091007180004</t>
  </si>
  <si>
    <t>1571034612910001</t>
  </si>
  <si>
    <t>INTAN AYU DERMAWATI</t>
  </si>
  <si>
    <t>DP-1261</t>
  </si>
  <si>
    <t>1503092904910001</t>
  </si>
  <si>
    <t>KEVIN.H. MANULLANG</t>
  </si>
  <si>
    <t>TELUK RENDAH</t>
  </si>
  <si>
    <t>DP-1262</t>
  </si>
  <si>
    <t>1503091007180010</t>
  </si>
  <si>
    <t>3315084909860003</t>
  </si>
  <si>
    <t>INDRA PUJI LESTARI</t>
  </si>
  <si>
    <t>DP-1263</t>
  </si>
  <si>
    <t>3315087101060001</t>
  </si>
  <si>
    <t>MAEFA FIFI ROLIYA</t>
  </si>
  <si>
    <t>DP-1264</t>
  </si>
  <si>
    <t>3315080712730001</t>
  </si>
  <si>
    <t>MARMIN</t>
  </si>
  <si>
    <t>DP-1265</t>
  </si>
  <si>
    <t>1503091007190002</t>
  </si>
  <si>
    <t>1180724660802001</t>
  </si>
  <si>
    <t>FITRI ROSALINDA DAMAYANTI</t>
  </si>
  <si>
    <t>PENIANGAN</t>
  </si>
  <si>
    <t>DP-1266</t>
  </si>
  <si>
    <t>1807244310690001</t>
  </si>
  <si>
    <t>FUJI</t>
  </si>
  <si>
    <t>DP-1267</t>
  </si>
  <si>
    <t>1503090704070005</t>
  </si>
  <si>
    <t>M. DANU SETIONO</t>
  </si>
  <si>
    <t>DP-1268</t>
  </si>
  <si>
    <t>1503091812830003</t>
  </si>
  <si>
    <t>SLAMET HARTANTO</t>
  </si>
  <si>
    <t>DP-1269</t>
  </si>
  <si>
    <t>1503091008170001</t>
  </si>
  <si>
    <t>1503091707880003</t>
  </si>
  <si>
    <t>AHMAD TAHIR</t>
  </si>
  <si>
    <t>DP-1270</t>
  </si>
  <si>
    <t>1503095607930002</t>
  </si>
  <si>
    <t>LILIS ISNAINI</t>
  </si>
  <si>
    <t>DP-1271</t>
  </si>
  <si>
    <t>1503091008200003</t>
  </si>
  <si>
    <t>1219053101810006</t>
  </si>
  <si>
    <t>TENGKU JANWAR ABDULLAH</t>
  </si>
  <si>
    <t>LUBUK PAKAM</t>
  </si>
  <si>
    <t>DP-1272</t>
  </si>
  <si>
    <t>1219055805860002</t>
  </si>
  <si>
    <t>WINDI ARIANTI</t>
  </si>
  <si>
    <t>BATU BARA</t>
  </si>
  <si>
    <t>DP-1273</t>
  </si>
  <si>
    <t>1503091008210001</t>
  </si>
  <si>
    <t>1503090906910001</t>
  </si>
  <si>
    <t>LEO SUJENDRO WISNU BASKORO</t>
  </si>
  <si>
    <t>DP-1274</t>
  </si>
  <si>
    <t>1503095008000001</t>
  </si>
  <si>
    <t>MARIA PUTRI SETYANINGTYAS</t>
  </si>
  <si>
    <t>DP-1275</t>
  </si>
  <si>
    <t>1503095303700004</t>
  </si>
  <si>
    <t>MURNIATI</t>
  </si>
  <si>
    <t>BANDAR LAMPUNG</t>
  </si>
  <si>
    <t>DP-1276</t>
  </si>
  <si>
    <t>1503091412050002</t>
  </si>
  <si>
    <t>SPIRIDION KUNCORO ADI</t>
  </si>
  <si>
    <t>DP-1277</t>
  </si>
  <si>
    <t>1503091008220004</t>
  </si>
  <si>
    <t>1503094107600029</t>
  </si>
  <si>
    <t>SADIKEM</t>
  </si>
  <si>
    <t>DP-1278</t>
  </si>
  <si>
    <t>1503090404000003</t>
  </si>
  <si>
    <t>SAMUEL KRISTANTO</t>
  </si>
  <si>
    <t>DP-1279</t>
  </si>
  <si>
    <t>1503091008220006</t>
  </si>
  <si>
    <t>1503095311070002</t>
  </si>
  <si>
    <t>NILAM CAHAYA</t>
  </si>
  <si>
    <t>DP-1280</t>
  </si>
  <si>
    <t>1503096005740001</t>
  </si>
  <si>
    <t>WANTI</t>
  </si>
  <si>
    <t>DP-1281</t>
  </si>
  <si>
    <t>1503091009070003</t>
  </si>
  <si>
    <t>1503094107590007</t>
  </si>
  <si>
    <t>MUKAYAH</t>
  </si>
  <si>
    <t>DP-1282</t>
  </si>
  <si>
    <t>1503090107490007</t>
  </si>
  <si>
    <t>SEMI DERAJAT</t>
  </si>
  <si>
    <t>DP-1283</t>
  </si>
  <si>
    <t>1503091009070012</t>
  </si>
  <si>
    <t>1503091004960003</t>
  </si>
  <si>
    <t>EFTA YUSMIKAEL</t>
  </si>
  <si>
    <t>DP-1284</t>
  </si>
  <si>
    <t>1503094107660005</t>
  </si>
  <si>
    <t>SEMI</t>
  </si>
  <si>
    <t>DP-1285</t>
  </si>
  <si>
    <t>1503090107370037</t>
  </si>
  <si>
    <t>SUTOREJO WAKIMIN</t>
  </si>
  <si>
    <t>DP-1286</t>
  </si>
  <si>
    <t>1503090107690005</t>
  </si>
  <si>
    <t>TIMOTIUS SAJI</t>
  </si>
  <si>
    <t>DP-1287</t>
  </si>
  <si>
    <t>1503092706020003</t>
  </si>
  <si>
    <t>TRI EFENDI YONATAN</t>
  </si>
  <si>
    <t>DP-1288</t>
  </si>
  <si>
    <t>1503091009070016</t>
  </si>
  <si>
    <t>1503092808050001</t>
  </si>
  <si>
    <t>AHMAD ROFIIF</t>
  </si>
  <si>
    <t>DP-1289</t>
  </si>
  <si>
    <t>1571010309990002</t>
  </si>
  <si>
    <t>ALFANNY SUTIKA YUDA</t>
  </si>
  <si>
    <t>DP-1290</t>
  </si>
  <si>
    <t>1503091402720001</t>
  </si>
  <si>
    <t>JOHAN</t>
  </si>
  <si>
    <t>DP-1291</t>
  </si>
  <si>
    <t>1503095509740001</t>
  </si>
  <si>
    <t>RISWATI</t>
  </si>
  <si>
    <t>DP-1292</t>
  </si>
  <si>
    <t>1503091009070020</t>
  </si>
  <si>
    <t>1503096108060002</t>
  </si>
  <si>
    <t>CINDY SHELLA AGUSTIN</t>
  </si>
  <si>
    <t>DP-1293</t>
  </si>
  <si>
    <t>1503094107700009</t>
  </si>
  <si>
    <t>MARYATIN</t>
  </si>
  <si>
    <t>DP-1294</t>
  </si>
  <si>
    <t>1503090107750010</t>
  </si>
  <si>
    <t>DP-1295</t>
  </si>
  <si>
    <t>1503091009070021</t>
  </si>
  <si>
    <t>1503095510630001</t>
  </si>
  <si>
    <t>SITI AMINI IMROHATI</t>
  </si>
  <si>
    <t>DP-1296</t>
  </si>
  <si>
    <t>1503092104620001</t>
  </si>
  <si>
    <t>SYURYADI</t>
  </si>
  <si>
    <t>DP-1297</t>
  </si>
  <si>
    <t>1503091009070030</t>
  </si>
  <si>
    <t>1503094107470006</t>
  </si>
  <si>
    <t>TASRI</t>
  </si>
  <si>
    <t>DP-1298</t>
  </si>
  <si>
    <t>1503091009070032</t>
  </si>
  <si>
    <t>1503094509800001</t>
  </si>
  <si>
    <t>YESI PANDAYANTI</t>
  </si>
  <si>
    <t>DP-1299</t>
  </si>
  <si>
    <t>1503091009070036</t>
  </si>
  <si>
    <t>1503091204550001</t>
  </si>
  <si>
    <t>DP-1300</t>
  </si>
  <si>
    <t>1503094107610009</t>
  </si>
  <si>
    <t>TUMIYAH</t>
  </si>
  <si>
    <t>DP-1301</t>
  </si>
  <si>
    <t>1503091009090003</t>
  </si>
  <si>
    <t>1503092306540003</t>
  </si>
  <si>
    <t>SUDARNO</t>
  </si>
  <si>
    <t>DP-1302</t>
  </si>
  <si>
    <t>1503095204540001</t>
  </si>
  <si>
    <t>TUKIJAH</t>
  </si>
  <si>
    <t>DP-1303</t>
  </si>
  <si>
    <t>1503091009090009</t>
  </si>
  <si>
    <t>1503095206830001</t>
  </si>
  <si>
    <t>ELLY KUSNIATI</t>
  </si>
  <si>
    <t>DP-1304</t>
  </si>
  <si>
    <t>1503091006800002</t>
  </si>
  <si>
    <t>MUHAMAD SAMIRIN</t>
  </si>
  <si>
    <t>DP-1305</t>
  </si>
  <si>
    <t>1503091009090011</t>
  </si>
  <si>
    <t>1503092102010001</t>
  </si>
  <si>
    <t>ANGGIH KURNIAJI</t>
  </si>
  <si>
    <t>DP-1306</t>
  </si>
  <si>
    <t>1503092308030003</t>
  </si>
  <si>
    <t>MUHAMMAD IKHFAN WAHYUDI</t>
  </si>
  <si>
    <t>DP-1307</t>
  </si>
  <si>
    <t>1503091101730002</t>
  </si>
  <si>
    <t>NGADIMIN</t>
  </si>
  <si>
    <t>Lampung</t>
  </si>
  <si>
    <t>DP-1308</t>
  </si>
  <si>
    <t>1503094202820005</t>
  </si>
  <si>
    <t>ROHIMAH</t>
  </si>
  <si>
    <t>DP-1309</t>
  </si>
  <si>
    <t>1503091009180004</t>
  </si>
  <si>
    <t>1503090604870001</t>
  </si>
  <si>
    <t>SAMSUL ARIFIN</t>
  </si>
  <si>
    <t>DP-1310</t>
  </si>
  <si>
    <t>1503091009180005</t>
  </si>
  <si>
    <t>1503090702910002</t>
  </si>
  <si>
    <t>EDI PURNOMO</t>
  </si>
  <si>
    <t>DP-1311</t>
  </si>
  <si>
    <t>1503054208940001</t>
  </si>
  <si>
    <t>SOLIKAH</t>
  </si>
  <si>
    <t>ACEH</t>
  </si>
  <si>
    <t>DP-1312</t>
  </si>
  <si>
    <t>1503091009180006</t>
  </si>
  <si>
    <t>1503091708910003</t>
  </si>
  <si>
    <t>ARIS AGUSTYAN</t>
  </si>
  <si>
    <t>DP-1313</t>
  </si>
  <si>
    <t>1702115505960001</t>
  </si>
  <si>
    <t>RISKI RAMA YANTI</t>
  </si>
  <si>
    <t>AIR DUKU</t>
  </si>
  <si>
    <t>DP-1314</t>
  </si>
  <si>
    <t>1503091009210003</t>
  </si>
  <si>
    <t>1503090707970005</t>
  </si>
  <si>
    <t>DOL ROHKIM</t>
  </si>
  <si>
    <t>DP-1315</t>
  </si>
  <si>
    <t>1503046304980001</t>
  </si>
  <si>
    <t>EMELIA KONTESA</t>
  </si>
  <si>
    <t>DP-1316</t>
  </si>
  <si>
    <t>1503091010160009</t>
  </si>
  <si>
    <t>1503090711750005</t>
  </si>
  <si>
    <t>DP-1317</t>
  </si>
  <si>
    <t>1673034103860006</t>
  </si>
  <si>
    <t>YUNING KRISTINAWATI</t>
  </si>
  <si>
    <t>DP-1318</t>
  </si>
  <si>
    <t>1503091010220002</t>
  </si>
  <si>
    <t>1605162208940002</t>
  </si>
  <si>
    <t>AGUS MULYA PRIYANSYAH</t>
  </si>
  <si>
    <t>DP-1319</t>
  </si>
  <si>
    <t>1503094212030003</t>
  </si>
  <si>
    <t>LIZA NUR ANJANI</t>
  </si>
  <si>
    <t>DP-1320</t>
  </si>
  <si>
    <t>1503091010220005</t>
  </si>
  <si>
    <t>1509072909960003</t>
  </si>
  <si>
    <t>ADI SETIAWAN</t>
  </si>
  <si>
    <t>DP-1321</t>
  </si>
  <si>
    <t>1503094312960004</t>
  </si>
  <si>
    <t>DESI RATNA DILA</t>
  </si>
  <si>
    <t>DP-1322</t>
  </si>
  <si>
    <t>1503091011090001</t>
  </si>
  <si>
    <t>1503091912000002</t>
  </si>
  <si>
    <t>FAIS BAGUS FAHRUROZI</t>
  </si>
  <si>
    <t>DP-1323</t>
  </si>
  <si>
    <t>1503091508680004</t>
  </si>
  <si>
    <t>ROHANI</t>
  </si>
  <si>
    <t>JOMBANG</t>
  </si>
  <si>
    <t>DP-1324</t>
  </si>
  <si>
    <t>1503096308750001</t>
  </si>
  <si>
    <t>DP-1325</t>
  </si>
  <si>
    <t>1503091011110001</t>
  </si>
  <si>
    <t>1503092209070004</t>
  </si>
  <si>
    <t>EVAN PUTRA RAMADANY</t>
  </si>
  <si>
    <t>DP-1326</t>
  </si>
  <si>
    <t>1503090603870001</t>
  </si>
  <si>
    <t>MITHA VEBYANA</t>
  </si>
  <si>
    <t>DP-1327</t>
  </si>
  <si>
    <t>1503091210840002</t>
  </si>
  <si>
    <t>WAWAN KUSMAWAN</t>
  </si>
  <si>
    <t>Seni Derajat</t>
  </si>
  <si>
    <t>DP-1328</t>
  </si>
  <si>
    <t>1503091011110012</t>
  </si>
  <si>
    <t>1503091810830001</t>
  </si>
  <si>
    <t>EDI KURNIAWAN</t>
  </si>
  <si>
    <t>MALANG</t>
  </si>
  <si>
    <t>DP-1329</t>
  </si>
  <si>
    <t>1503094205900002</t>
  </si>
  <si>
    <t>SITI SAHIROH</t>
  </si>
  <si>
    <t>DP-1330</t>
  </si>
  <si>
    <t>1503091011150007</t>
  </si>
  <si>
    <t>1503090809880001</t>
  </si>
  <si>
    <t>EDI SUSILO</t>
  </si>
  <si>
    <t>DP-1331</t>
  </si>
  <si>
    <t>1503096102940002</t>
  </si>
  <si>
    <t>SITI MUAWANAH</t>
  </si>
  <si>
    <t>DP-1332</t>
  </si>
  <si>
    <t>1503091012130003</t>
  </si>
  <si>
    <t>1503095911010001</t>
  </si>
  <si>
    <t>DWI.M SYAHBANA.KSM</t>
  </si>
  <si>
    <t>DP-1333</t>
  </si>
  <si>
    <t>1503095010750007</t>
  </si>
  <si>
    <t>DP-1334</t>
  </si>
  <si>
    <t>1503090206710002</t>
  </si>
  <si>
    <t>TAMRIN.AS</t>
  </si>
  <si>
    <t>SUMSEL</t>
  </si>
  <si>
    <t>DP-1335</t>
  </si>
  <si>
    <t>1503091012150002</t>
  </si>
  <si>
    <t>1503090302980004</t>
  </si>
  <si>
    <t>MALIK ADI PRABOWO</t>
  </si>
  <si>
    <t>DP-1336</t>
  </si>
  <si>
    <t>1503095404710001</t>
  </si>
  <si>
    <t>SAROPAH</t>
  </si>
  <si>
    <t>TASIK MADU</t>
  </si>
  <si>
    <t>DP-1337</t>
  </si>
  <si>
    <t>1503090705700004</t>
  </si>
  <si>
    <t>SULANI</t>
  </si>
  <si>
    <t>DP-1338</t>
  </si>
  <si>
    <t>1503091012150003</t>
  </si>
  <si>
    <t>1503091708900005</t>
  </si>
  <si>
    <t>BAMBANG IMBAR WANTO</t>
  </si>
  <si>
    <t>DP-1339</t>
  </si>
  <si>
    <t>1503094303900005</t>
  </si>
  <si>
    <t>DP-1340</t>
  </si>
  <si>
    <t>1503091012190010</t>
  </si>
  <si>
    <t>1503094503960002</t>
  </si>
  <si>
    <t>SITI QOMARIYAH</t>
  </si>
  <si>
    <t>DP-1341</t>
  </si>
  <si>
    <t>1605032002880002</t>
  </si>
  <si>
    <t>YAYAT SUPRIATNA</t>
  </si>
  <si>
    <t>DP-1342</t>
  </si>
  <si>
    <t>1503091012200005</t>
  </si>
  <si>
    <t>1503092805980001</t>
  </si>
  <si>
    <t>DP-1343</t>
  </si>
  <si>
    <t>1503091101080037</t>
  </si>
  <si>
    <t>1503090107610011</t>
  </si>
  <si>
    <t>LOSO</t>
  </si>
  <si>
    <t>DP-1344</t>
  </si>
  <si>
    <t>1503091101120010</t>
  </si>
  <si>
    <t>1503091012780002</t>
  </si>
  <si>
    <t>CATUR MARGIYANTO</t>
  </si>
  <si>
    <t>DP-1345</t>
  </si>
  <si>
    <t>1503095308820004</t>
  </si>
  <si>
    <t>HERI KUSRINI</t>
  </si>
  <si>
    <t>PAKUON RATU</t>
  </si>
  <si>
    <t>DP-1346</t>
  </si>
  <si>
    <t>1503095503520001</t>
  </si>
  <si>
    <t>SRIKANTUN</t>
  </si>
  <si>
    <t>DP-1347</t>
  </si>
  <si>
    <t>1503091101120015</t>
  </si>
  <si>
    <t>1503095309030002</t>
  </si>
  <si>
    <t>LELA SEPTIANA</t>
  </si>
  <si>
    <t>DP-1348</t>
  </si>
  <si>
    <t>1503090107810019</t>
  </si>
  <si>
    <t>SAWIN</t>
  </si>
  <si>
    <t>JAWA BARAT</t>
  </si>
  <si>
    <t>DP-1349</t>
  </si>
  <si>
    <t>1503094107820018</t>
  </si>
  <si>
    <t>SUKAMTI</t>
  </si>
  <si>
    <t>DP-1350</t>
  </si>
  <si>
    <t>1503091101120017</t>
  </si>
  <si>
    <t>1503095106050001</t>
  </si>
  <si>
    <t>INTAN SARI AGUSTIN</t>
  </si>
  <si>
    <t>TOTO PROJO</t>
  </si>
  <si>
    <t>DP-1351</t>
  </si>
  <si>
    <t>1503092404750004</t>
  </si>
  <si>
    <t>INTLU MAHMUDIN</t>
  </si>
  <si>
    <t>DP-1352</t>
  </si>
  <si>
    <t>1503094206830003</t>
  </si>
  <si>
    <t>SUSILAWATI</t>
  </si>
  <si>
    <t>DP-1353</t>
  </si>
  <si>
    <t>1503091101120018</t>
  </si>
  <si>
    <t>1503092103850003</t>
  </si>
  <si>
    <t>AGUS SUTIKNO</t>
  </si>
  <si>
    <t>DP-1354</t>
  </si>
  <si>
    <t>1503095605920003</t>
  </si>
  <si>
    <t>SARAH FITRIANI</t>
  </si>
  <si>
    <t>DP-1355</t>
  </si>
  <si>
    <t>1503091101160007</t>
  </si>
  <si>
    <t>1503091504840002</t>
  </si>
  <si>
    <t>SLAMET RADIANSYAH</t>
  </si>
  <si>
    <t>DP-1356</t>
  </si>
  <si>
    <t>1503091101170005</t>
  </si>
  <si>
    <t>1503090303010001</t>
  </si>
  <si>
    <t>IDO FITRA RAMADHAN</t>
  </si>
  <si>
    <t>DP-1357</t>
  </si>
  <si>
    <t>1503095502030001</t>
  </si>
  <si>
    <t>NADIA AULIA RAMANDA PUTRI</t>
  </si>
  <si>
    <t>DP-1358</t>
  </si>
  <si>
    <t>1503095405740001</t>
  </si>
  <si>
    <t>DP-1359</t>
  </si>
  <si>
    <t>1503091102080043</t>
  </si>
  <si>
    <t>1503091705990001</t>
  </si>
  <si>
    <t>ABDI TRAKTOR ILAHI</t>
  </si>
  <si>
    <t>DP-1360</t>
  </si>
  <si>
    <t>1503095607620003</t>
  </si>
  <si>
    <t>KARNI</t>
  </si>
  <si>
    <t>DP-1361</t>
  </si>
  <si>
    <t>1503091302600002</t>
  </si>
  <si>
    <t>PARSI</t>
  </si>
  <si>
    <t>DP-1362</t>
  </si>
  <si>
    <t>1503091102080080</t>
  </si>
  <si>
    <t>1503091008060002</t>
  </si>
  <si>
    <t>HARRY PUJI ATMOKO</t>
  </si>
  <si>
    <t>DP-1363</t>
  </si>
  <si>
    <t>1503094707760001</t>
  </si>
  <si>
    <t>KUSRINI</t>
  </si>
  <si>
    <t>SOKO DEMAK</t>
  </si>
  <si>
    <t>DP-1364</t>
  </si>
  <si>
    <t>1503090603750001</t>
  </si>
  <si>
    <t>RUMAIN</t>
  </si>
  <si>
    <t>Pecah KK</t>
  </si>
  <si>
    <t>DP-1365</t>
  </si>
  <si>
    <t>1503091102090007</t>
  </si>
  <si>
    <t>1503095207740001</t>
  </si>
  <si>
    <t>PAINI</t>
  </si>
  <si>
    <t>pauh</t>
  </si>
  <si>
    <t>DP-1366</t>
  </si>
  <si>
    <t>1503090406680003</t>
  </si>
  <si>
    <t>WASIYO</t>
  </si>
  <si>
    <t>DP-1367</t>
  </si>
  <si>
    <t>1503091102100007</t>
  </si>
  <si>
    <t>1503091705550003</t>
  </si>
  <si>
    <t>SHOFWAN</t>
  </si>
  <si>
    <t>DP-1368</t>
  </si>
  <si>
    <t>1503095707630001</t>
  </si>
  <si>
    <t>SUMIRAH</t>
  </si>
  <si>
    <t>DP-1369</t>
  </si>
  <si>
    <t>1503091102100018</t>
  </si>
  <si>
    <t>1503096503680001</t>
  </si>
  <si>
    <t>MUYANTI</t>
  </si>
  <si>
    <t>DP-1370</t>
  </si>
  <si>
    <t>1503091101610001</t>
  </si>
  <si>
    <t>WAGIYONO</t>
  </si>
  <si>
    <t>TEMANGGUNG</t>
  </si>
  <si>
    <t>DP-1371</t>
  </si>
  <si>
    <t>1503091102190006</t>
  </si>
  <si>
    <t>1801070110010004</t>
  </si>
  <si>
    <t>ANGGI PRATAMA</t>
  </si>
  <si>
    <t>SIDODADI</t>
  </si>
  <si>
    <t>DP-1372</t>
  </si>
  <si>
    <t>1801073006620007</t>
  </si>
  <si>
    <t>SUMAJI</t>
  </si>
  <si>
    <t>DP-1373</t>
  </si>
  <si>
    <t>1801074606630003</t>
  </si>
  <si>
    <t>SIDOWALUYO</t>
  </si>
  <si>
    <t>DP-1374</t>
  </si>
  <si>
    <t>1801071709060003</t>
  </si>
  <si>
    <t>VERI ARDIANSYAH</t>
  </si>
  <si>
    <t>DP-1375</t>
  </si>
  <si>
    <t>1503091102230001</t>
  </si>
  <si>
    <t>1503092209950005</t>
  </si>
  <si>
    <t>AHMAD SYAKUR</t>
  </si>
  <si>
    <t>DP-1376</t>
  </si>
  <si>
    <t>1503094201890002</t>
  </si>
  <si>
    <t>SUSI ANDRIANI</t>
  </si>
  <si>
    <t>DP-1377</t>
  </si>
  <si>
    <t>1503091103090018</t>
  </si>
  <si>
    <t>1503096407720001</t>
  </si>
  <si>
    <t>ANCE RONAULI SINAGA</t>
  </si>
  <si>
    <t>SIBOLGA</t>
  </si>
  <si>
    <t>DUSUN II PAYOLEBAR</t>
  </si>
  <si>
    <t>DP-1378</t>
  </si>
  <si>
    <t>1503096804010002</t>
  </si>
  <si>
    <t>APRILIA JENNIFER SIREGAR</t>
  </si>
  <si>
    <t>TIMIKA</t>
  </si>
  <si>
    <t>DP-1379</t>
  </si>
  <si>
    <t>Patok 16</t>
  </si>
  <si>
    <t>1503091310670001</t>
  </si>
  <si>
    <t>BISRON SIREGAR</t>
  </si>
  <si>
    <t>GEMPOLAN</t>
  </si>
  <si>
    <t>DP-1380</t>
  </si>
  <si>
    <t>1503090803000002</t>
  </si>
  <si>
    <t>BRIAN MARCH WIJAYA SIREGAR</t>
  </si>
  <si>
    <t>DP-1381</t>
  </si>
  <si>
    <t>1503091610040001</t>
  </si>
  <si>
    <t>MAHER STEVEN SIREGAR</t>
  </si>
  <si>
    <t>DP-1382</t>
  </si>
  <si>
    <t>1503091103100002</t>
  </si>
  <si>
    <t>1503092103700002</t>
  </si>
  <si>
    <t>DP-1383</t>
  </si>
  <si>
    <t>1503096011740003</t>
  </si>
  <si>
    <t>NUR AFIDAH</t>
  </si>
  <si>
    <t>DP-1384</t>
  </si>
  <si>
    <t>1503091103100011</t>
  </si>
  <si>
    <t>1503091611990004</t>
  </si>
  <si>
    <t>IWAN NUROHIM</t>
  </si>
  <si>
    <t>DP-1385</t>
  </si>
  <si>
    <t>1503096112820002</t>
  </si>
  <si>
    <t>DP-1386</t>
  </si>
  <si>
    <t>1503091105740001</t>
  </si>
  <si>
    <t>WILDAN SURURI</t>
  </si>
  <si>
    <t>DP-1387</t>
  </si>
  <si>
    <t>1503091103100015</t>
  </si>
  <si>
    <t>1503090703520001</t>
  </si>
  <si>
    <t>SUPARJO</t>
  </si>
  <si>
    <t>DP-1388</t>
  </si>
  <si>
    <t>1503091103100017</t>
  </si>
  <si>
    <t>1503094509040003</t>
  </si>
  <si>
    <t>DITA AULIA LESTARI</t>
  </si>
  <si>
    <t>DP-1389</t>
  </si>
  <si>
    <t>1503095305870002</t>
  </si>
  <si>
    <t>1503092404240002</t>
  </si>
  <si>
    <t>DP-1390</t>
  </si>
  <si>
    <t>1503091312770003</t>
  </si>
  <si>
    <t>NAEM YUSUF</t>
  </si>
  <si>
    <t>METRO</t>
  </si>
  <si>
    <t>DP-1391</t>
  </si>
  <si>
    <t>1503092007060002</t>
  </si>
  <si>
    <t>REYHAN MEZSY AULIA</t>
  </si>
  <si>
    <t>DP-1392</t>
  </si>
  <si>
    <t>1503091103100018</t>
  </si>
  <si>
    <t>1503094406040004</t>
  </si>
  <si>
    <t>ASTIZA ZETIRA FAHLEVI</t>
  </si>
  <si>
    <t>DP-1393</t>
  </si>
  <si>
    <t>1503090709700003</t>
  </si>
  <si>
    <t>ASWAN</t>
  </si>
  <si>
    <t>LUBUK RESAM</t>
  </si>
  <si>
    <t>DP-1394</t>
  </si>
  <si>
    <t>1503096702690002</t>
  </si>
  <si>
    <t>DP-1395</t>
  </si>
  <si>
    <t>1503091103100019</t>
  </si>
  <si>
    <t>1503096903050002</t>
  </si>
  <si>
    <t>HENDRA YUSRIL AFRIZA</t>
  </si>
  <si>
    <t>DS. I PAYO LEBAR</t>
  </si>
  <si>
    <t>DP-1396</t>
  </si>
  <si>
    <t>1503092307960003</t>
  </si>
  <si>
    <t>IKHSAN KURNIAWAN</t>
  </si>
  <si>
    <t>DP-1397</t>
  </si>
  <si>
    <t>1503094108720002</t>
  </si>
  <si>
    <t>JUMINAH</t>
  </si>
  <si>
    <t>DP-1398</t>
  </si>
  <si>
    <t>1503090708630001</t>
  </si>
  <si>
    <t>MUJONO</t>
  </si>
  <si>
    <t>DP-1399</t>
  </si>
  <si>
    <t>1503091103100020</t>
  </si>
  <si>
    <t>1503094311870002</t>
  </si>
  <si>
    <t>SAMITRI</t>
  </si>
  <si>
    <t>NIPAH PANJANG</t>
  </si>
  <si>
    <t>DP-1400</t>
  </si>
  <si>
    <t>1503090503780001</t>
  </si>
  <si>
    <t>SYAHRUDIN</t>
  </si>
  <si>
    <t>DP-1401</t>
  </si>
  <si>
    <t>1503091103110001</t>
  </si>
  <si>
    <t>1503094302900003</t>
  </si>
  <si>
    <t>IIM ROATUS SOLEHAH</t>
  </si>
  <si>
    <t>DP-1402</t>
  </si>
  <si>
    <t>1503092604860001</t>
  </si>
  <si>
    <t>SUKIDAL</t>
  </si>
  <si>
    <t>DP-1403</t>
  </si>
  <si>
    <t>1503091103130001</t>
  </si>
  <si>
    <t>1503094512890007</t>
  </si>
  <si>
    <t>ENDANG ROBIATUN</t>
  </si>
  <si>
    <t>DS III SUKA MULYA PAYOLEBAR</t>
  </si>
  <si>
    <t>DP-1404</t>
  </si>
  <si>
    <t>1503091209080001</t>
  </si>
  <si>
    <t>RESTU IQBAL MAULANA</t>
  </si>
  <si>
    <t>DP-1405</t>
  </si>
  <si>
    <t>1503095203770006</t>
  </si>
  <si>
    <t>SUTINO</t>
  </si>
  <si>
    <t>DP-1406</t>
  </si>
  <si>
    <t>1503091103190001</t>
  </si>
  <si>
    <t>1503096909040003</t>
  </si>
  <si>
    <t>ANGGITA FEBRIYANTI</t>
  </si>
  <si>
    <t>PANGKAL PINANG</t>
  </si>
  <si>
    <t>DP-1407</t>
  </si>
  <si>
    <t>1503094608860002</t>
  </si>
  <si>
    <t>ANITA</t>
  </si>
  <si>
    <t>DP-1408</t>
  </si>
  <si>
    <t>1503090107800091</t>
  </si>
  <si>
    <t>ROHADI</t>
  </si>
  <si>
    <t>DP-1409</t>
  </si>
  <si>
    <t>1503091103220003</t>
  </si>
  <si>
    <t>1503096004400001</t>
  </si>
  <si>
    <t>GAMI</t>
  </si>
  <si>
    <t>TORO</t>
  </si>
  <si>
    <t>DP-1410</t>
  </si>
  <si>
    <t>1503091104090002</t>
  </si>
  <si>
    <t>1503090205820002</t>
  </si>
  <si>
    <t>BAMBANG SUTEJO</t>
  </si>
  <si>
    <t>BANYU WANGI</t>
  </si>
  <si>
    <t>DP-1411</t>
  </si>
  <si>
    <t>1503091104090003</t>
  </si>
  <si>
    <t>1503091001700001</t>
  </si>
  <si>
    <t>SUWADI</t>
  </si>
  <si>
    <t>DP-1412</t>
  </si>
  <si>
    <t>1503095112660001</t>
  </si>
  <si>
    <t>WAGINTEN</t>
  </si>
  <si>
    <t>DP-1413</t>
  </si>
  <si>
    <t>1503091104090004</t>
  </si>
  <si>
    <t>1503094503050003</t>
  </si>
  <si>
    <t>FEBI NAPSIATUN BAHRI</t>
  </si>
  <si>
    <t>SEI. BAHAR</t>
  </si>
  <si>
    <t>DP-1414</t>
  </si>
  <si>
    <t>1503095610850001</t>
  </si>
  <si>
    <t>NAPSIAH</t>
  </si>
  <si>
    <t>PEMATANG PANGGANG</t>
  </si>
  <si>
    <t>DP-1415</t>
  </si>
  <si>
    <t>1503090308750003</t>
  </si>
  <si>
    <t>SAIFUL BAHRI</t>
  </si>
  <si>
    <t>DP-1416</t>
  </si>
  <si>
    <t>1503091105100031</t>
  </si>
  <si>
    <t>1503097009010002</t>
  </si>
  <si>
    <t>DILLA ISROVI'AH ANGGI RESTA</t>
  </si>
  <si>
    <t>PURWO SARI</t>
  </si>
  <si>
    <t>DP-1417</t>
  </si>
  <si>
    <t>1503091105160007</t>
  </si>
  <si>
    <t>1503095402540001</t>
  </si>
  <si>
    <t>WAGIYEM</t>
  </si>
  <si>
    <t>DP-1418</t>
  </si>
  <si>
    <t>1503091105200004</t>
  </si>
  <si>
    <t>1503090602920002</t>
  </si>
  <si>
    <t>FEBRI WIDIYANTO</t>
  </si>
  <si>
    <t>DP-1419</t>
  </si>
  <si>
    <t>1503094706960002</t>
  </si>
  <si>
    <t>MIA PUSPITA SARI</t>
  </si>
  <si>
    <t>DP-1420</t>
  </si>
  <si>
    <t>1503091106200002</t>
  </si>
  <si>
    <t>1503091005580001</t>
  </si>
  <si>
    <t>MULYOTO</t>
  </si>
  <si>
    <t>DP-1421</t>
  </si>
  <si>
    <t>1503091107180001</t>
  </si>
  <si>
    <t>1503091604850002</t>
  </si>
  <si>
    <t>BAMBANG WAHYUDI</t>
  </si>
  <si>
    <t>DP-1422</t>
  </si>
  <si>
    <t>1503095707020001</t>
  </si>
  <si>
    <t>NADA SELA SEHARTIAN</t>
  </si>
  <si>
    <t>DP-1423</t>
  </si>
  <si>
    <t>1503095707800004</t>
  </si>
  <si>
    <t>SITI SAMSIAH</t>
  </si>
  <si>
    <t>DP-1424</t>
  </si>
  <si>
    <t>1503091107190004</t>
  </si>
  <si>
    <t>1503090204590002</t>
  </si>
  <si>
    <t>DARYANTO</t>
  </si>
  <si>
    <t>DP-1425</t>
  </si>
  <si>
    <t>1503091108150002</t>
  </si>
  <si>
    <t>1503097112930003</t>
  </si>
  <si>
    <t>DEVI CAHYANINGSIH</t>
  </si>
  <si>
    <t>DP-1426</t>
  </si>
  <si>
    <t>1503090307870001</t>
  </si>
  <si>
    <t>ERWIN ENDRI</t>
  </si>
  <si>
    <t>DP-1427</t>
  </si>
  <si>
    <t>1503091108220002</t>
  </si>
  <si>
    <t>1502027112590011</t>
  </si>
  <si>
    <t>SUSIYEM</t>
  </si>
  <si>
    <t>DP-1428</t>
  </si>
  <si>
    <t>1503094107730012</t>
  </si>
  <si>
    <t>MARLINA</t>
  </si>
  <si>
    <t>DP-1429</t>
  </si>
  <si>
    <t>1503090107700017</t>
  </si>
  <si>
    <t>SUWANDI</t>
  </si>
  <si>
    <t>DP-1430</t>
  </si>
  <si>
    <t>1503091109070008</t>
  </si>
  <si>
    <t>1503090107420007</t>
  </si>
  <si>
    <t>PARSUDI</t>
  </si>
  <si>
    <t>DP-1431</t>
  </si>
  <si>
    <t>1503094107450005</t>
  </si>
  <si>
    <t>SUKINI</t>
  </si>
  <si>
    <t>DP-1432</t>
  </si>
  <si>
    <t>1503091109070015</t>
  </si>
  <si>
    <t>1503090107690009</t>
  </si>
  <si>
    <t>FAUZI</t>
  </si>
  <si>
    <t>MUARA BUNGO</t>
  </si>
  <si>
    <t>DP-1433</t>
  </si>
  <si>
    <t>1503094107720013</t>
  </si>
  <si>
    <t>MAR ASIH</t>
  </si>
  <si>
    <t>DP-1434</t>
  </si>
  <si>
    <t>1503091109070017</t>
  </si>
  <si>
    <t>1503090107700018</t>
  </si>
  <si>
    <t>ABD ROKHIM</t>
  </si>
  <si>
    <t>DP-1435</t>
  </si>
  <si>
    <t>1503094606820001</t>
  </si>
  <si>
    <t>NASIBAH</t>
  </si>
  <si>
    <t>DP-1436</t>
  </si>
  <si>
    <t>1503091109070032</t>
  </si>
  <si>
    <t>1503094604610001</t>
  </si>
  <si>
    <t>ASIYAH</t>
  </si>
  <si>
    <t>DP-1437</t>
  </si>
  <si>
    <t>1503090303520002</t>
  </si>
  <si>
    <t>RUSLAN</t>
  </si>
  <si>
    <t>DP-1438</t>
  </si>
  <si>
    <t>1503091109070033</t>
  </si>
  <si>
    <t>1503092312730001</t>
  </si>
  <si>
    <t>AHMAD SARPONO</t>
  </si>
  <si>
    <t>DP-1439</t>
  </si>
  <si>
    <t>1503094401040001</t>
  </si>
  <si>
    <t>NAFISSATUL AFIFAH</t>
  </si>
  <si>
    <t>DP-1440</t>
  </si>
  <si>
    <t>1503094101720001</t>
  </si>
  <si>
    <t>SAMSIAH</t>
  </si>
  <si>
    <t>DP-1441</t>
  </si>
  <si>
    <t>1503091109070035</t>
  </si>
  <si>
    <t>1503091707190001</t>
  </si>
  <si>
    <t>SUMIJAN</t>
  </si>
  <si>
    <t>DP-1442</t>
  </si>
  <si>
    <t>1503091109090007</t>
  </si>
  <si>
    <t>1503095206690003</t>
  </si>
  <si>
    <t>SRI BADRIYAH</t>
  </si>
  <si>
    <t>MAGELANG</t>
  </si>
  <si>
    <t>DP-1443</t>
  </si>
  <si>
    <t>1503091005600001</t>
  </si>
  <si>
    <t>YUSMAN</t>
  </si>
  <si>
    <t>DP-1444</t>
  </si>
  <si>
    <t>1503091109090011</t>
  </si>
  <si>
    <t>1503096510890001</t>
  </si>
  <si>
    <t>AFIFAH</t>
  </si>
  <si>
    <t>DP-1445</t>
  </si>
  <si>
    <t>1503091204790003</t>
  </si>
  <si>
    <t>GINI</t>
  </si>
  <si>
    <t>DP-1446</t>
  </si>
  <si>
    <t>1503091109190001</t>
  </si>
  <si>
    <t>3315102505920004</t>
  </si>
  <si>
    <t>PUJI SLAMET</t>
  </si>
  <si>
    <t>DP-1447</t>
  </si>
  <si>
    <t>1503097110980002</t>
  </si>
  <si>
    <t>WINDA MAYANG SARI</t>
  </si>
  <si>
    <t>DP-1448</t>
  </si>
  <si>
    <t>1503091109230005</t>
  </si>
  <si>
    <t>1503056910020001</t>
  </si>
  <si>
    <t>ANIS SURYANTI</t>
  </si>
  <si>
    <t>DP-1449</t>
  </si>
  <si>
    <t>1503092610010004</t>
  </si>
  <si>
    <t>HIDAYATU SAPUTRA</t>
  </si>
  <si>
    <t>DP-1450</t>
  </si>
  <si>
    <t>1503091109230008</t>
  </si>
  <si>
    <t>1503094704730002</t>
  </si>
  <si>
    <t>ACIH SETIAWATI</t>
  </si>
  <si>
    <t>DP-1451</t>
  </si>
  <si>
    <t>1503091110190002</t>
  </si>
  <si>
    <t>1503091407450002</t>
  </si>
  <si>
    <t>MARTO REJO</t>
  </si>
  <si>
    <t>DUSUN DUKA MULYA</t>
  </si>
  <si>
    <t>DP-1452</t>
  </si>
  <si>
    <t>1503091111130003</t>
  </si>
  <si>
    <t>1503090805820004</t>
  </si>
  <si>
    <t>AGUNG SUPRIYANTO</t>
  </si>
  <si>
    <t>DP-1453</t>
  </si>
  <si>
    <t>1503092603060002</t>
  </si>
  <si>
    <t>FERDY AFRIANSYAH</t>
  </si>
  <si>
    <t>DP-1454</t>
  </si>
  <si>
    <t>1503095609850003</t>
  </si>
  <si>
    <t>WIWIK TRI SUSILOWATI</t>
  </si>
  <si>
    <t>DP-1455</t>
  </si>
  <si>
    <t>1503091112080003</t>
  </si>
  <si>
    <t>1503091805540001</t>
  </si>
  <si>
    <t>KARINO</t>
  </si>
  <si>
    <t>DP-1456</t>
  </si>
  <si>
    <t>1503091112170005</t>
  </si>
  <si>
    <t>1509041403910007</t>
  </si>
  <si>
    <t>KIKI SUSANDI</t>
  </si>
  <si>
    <t>DP-1457</t>
  </si>
  <si>
    <t>1503096701940001</t>
  </si>
  <si>
    <t>MARYANI</t>
  </si>
  <si>
    <t>DP-1458</t>
  </si>
  <si>
    <t>1503091112190007</t>
  </si>
  <si>
    <t>1503095105430001</t>
  </si>
  <si>
    <t>MARYAM</t>
  </si>
  <si>
    <t>DP-1459</t>
  </si>
  <si>
    <t>1503091201090004</t>
  </si>
  <si>
    <t>1503094703880004</t>
  </si>
  <si>
    <t>KUSNIYATI</t>
  </si>
  <si>
    <t>DP-1460</t>
  </si>
  <si>
    <t>1503091111750001</t>
  </si>
  <si>
    <t>PARNO</t>
  </si>
  <si>
    <t>DP-1461</t>
  </si>
  <si>
    <t>1503091005070002</t>
  </si>
  <si>
    <t>TEDI EKO ARI WIBOWO</t>
  </si>
  <si>
    <t>DP-1462</t>
  </si>
  <si>
    <t>1503091201100009</t>
  </si>
  <si>
    <t>1503094801580001</t>
  </si>
  <si>
    <t>PAISAH</t>
  </si>
  <si>
    <t>DP-1463</t>
  </si>
  <si>
    <t>1503091202080095</t>
  </si>
  <si>
    <t>1503095802600001</t>
  </si>
  <si>
    <t>IN MALA DEWI</t>
  </si>
  <si>
    <t>DP-1464</t>
  </si>
  <si>
    <t>1503091201740002</t>
  </si>
  <si>
    <t>SUTOMO BAHRI</t>
  </si>
  <si>
    <t>DP-1465</t>
  </si>
  <si>
    <t>1503090405050001</t>
  </si>
  <si>
    <t>YOGA BRAWIJAYA</t>
  </si>
  <si>
    <t>DP-1466</t>
  </si>
  <si>
    <t>1503091202080099</t>
  </si>
  <si>
    <t>1503096911820001</t>
  </si>
  <si>
    <t>RITA LIA</t>
  </si>
  <si>
    <t>KRANI JAYA</t>
  </si>
  <si>
    <t>DP-1467</t>
  </si>
  <si>
    <t>1503091203750003</t>
  </si>
  <si>
    <t>SUPROJO</t>
  </si>
  <si>
    <t>DP-1468</t>
  </si>
  <si>
    <t>1503091202080109</t>
  </si>
  <si>
    <t>1503093105950001</t>
  </si>
  <si>
    <t>DWI HANDOKO</t>
  </si>
  <si>
    <t>DP-1469</t>
  </si>
  <si>
    <t>1503093110610001</t>
  </si>
  <si>
    <t>SUWONDO RIYANTO</t>
  </si>
  <si>
    <t>DP-1470</t>
  </si>
  <si>
    <t>1503091202080113</t>
  </si>
  <si>
    <t>1503096510530001</t>
  </si>
  <si>
    <t>DP-1471</t>
  </si>
  <si>
    <t>1503091202080116</t>
  </si>
  <si>
    <t>1503095803550002</t>
  </si>
  <si>
    <t>SULASTRI</t>
  </si>
  <si>
    <t>DP-1472</t>
  </si>
  <si>
    <t>1503091202090004</t>
  </si>
  <si>
    <t>1503092704020002</t>
  </si>
  <si>
    <t>AJI KAPRICARDO</t>
  </si>
  <si>
    <t>DP-1473</t>
  </si>
  <si>
    <t>1503095701070002</t>
  </si>
  <si>
    <t>ELINZIA LUFITASARI</t>
  </si>
  <si>
    <t>DP-1474</t>
  </si>
  <si>
    <t>1503094302750002</t>
  </si>
  <si>
    <t>IKA VERA SARI</t>
  </si>
  <si>
    <t>DP-1475</t>
  </si>
  <si>
    <t>1503090101740004</t>
  </si>
  <si>
    <t>JUPRI</t>
  </si>
  <si>
    <t>DP-1476</t>
  </si>
  <si>
    <t>1503091202140001</t>
  </si>
  <si>
    <t>1503095204960002</t>
  </si>
  <si>
    <t>LILIS SURYANI</t>
  </si>
  <si>
    <t>DP-1477</t>
  </si>
  <si>
    <t>1503092205910002</t>
  </si>
  <si>
    <t>MUHKAMAT MUSLEHKAN</t>
  </si>
  <si>
    <t>DP-1478</t>
  </si>
  <si>
    <t>1503091203100006</t>
  </si>
  <si>
    <t>1503094101420002</t>
  </si>
  <si>
    <t>DUROH</t>
  </si>
  <si>
    <t>DP-1479</t>
  </si>
  <si>
    <t>1503095910880003</t>
  </si>
  <si>
    <t>LENI ANALIA</t>
  </si>
  <si>
    <t>DP-1480</t>
  </si>
  <si>
    <t>1503090101250001</t>
  </si>
  <si>
    <t>TAKIP</t>
  </si>
  <si>
    <t>DP-1481</t>
  </si>
  <si>
    <t>1503091203190002</t>
  </si>
  <si>
    <t>1503091003900003</t>
  </si>
  <si>
    <t>EDI SUWANTO</t>
  </si>
  <si>
    <t>DP-1482</t>
  </si>
  <si>
    <t>1603036405970003</t>
  </si>
  <si>
    <t>YENI PURNAMA SARI</t>
  </si>
  <si>
    <t>SUMBER KARYA</t>
  </si>
  <si>
    <t>DP-1483</t>
  </si>
  <si>
    <t>1503091203200001</t>
  </si>
  <si>
    <t>1503090107750034</t>
  </si>
  <si>
    <t>SADIRAN</t>
  </si>
  <si>
    <t>DP-1484</t>
  </si>
  <si>
    <t>1503091203200003</t>
  </si>
  <si>
    <t>1503093009060001</t>
  </si>
  <si>
    <t>RAFI SHENDI PRATAMA</t>
  </si>
  <si>
    <t>DP-1485</t>
  </si>
  <si>
    <t>1503096105840002</t>
  </si>
  <si>
    <t>SAFITRI LESTARI</t>
  </si>
  <si>
    <t>DP-1486</t>
  </si>
  <si>
    <t>1503091204170003</t>
  </si>
  <si>
    <t>1503066106960004</t>
  </si>
  <si>
    <t>ITA PUSPA DEWI</t>
  </si>
  <si>
    <t>DP-1487</t>
  </si>
  <si>
    <t>1503092912730001</t>
  </si>
  <si>
    <t>NURYANTO</t>
  </si>
  <si>
    <t>DP-1488</t>
  </si>
  <si>
    <t>1503091204180001</t>
  </si>
  <si>
    <t>1503090107780013</t>
  </si>
  <si>
    <t>JOKO SASJONO</t>
  </si>
  <si>
    <t>DP-1489</t>
  </si>
  <si>
    <t>1503090310070001</t>
  </si>
  <si>
    <t>KHOIRUL UMAM</t>
  </si>
  <si>
    <t>DP-1490</t>
  </si>
  <si>
    <t>1503094808890001</t>
  </si>
  <si>
    <t>NUR HALIMAH</t>
  </si>
  <si>
    <t>DP-1491</t>
  </si>
  <si>
    <t>1503091204180002</t>
  </si>
  <si>
    <t>1503094506940003</t>
  </si>
  <si>
    <t>ASIH DWI ASTUTI</t>
  </si>
  <si>
    <t>DP-1492</t>
  </si>
  <si>
    <t>1503091107910001</t>
  </si>
  <si>
    <t>DWI SUSILO</t>
  </si>
  <si>
    <t>DP-1493</t>
  </si>
  <si>
    <t>1503091204180003</t>
  </si>
  <si>
    <t>1503051206830002</t>
  </si>
  <si>
    <t>PEKAN BARU</t>
  </si>
  <si>
    <t>DP-1494</t>
  </si>
  <si>
    <t>1503096103970001</t>
  </si>
  <si>
    <t>UMI NOPIASARI</t>
  </si>
  <si>
    <t>DP-1495</t>
  </si>
  <si>
    <t>1503091204190001</t>
  </si>
  <si>
    <t>1503091908730003</t>
  </si>
  <si>
    <t>MS. AGUSTIAN</t>
  </si>
  <si>
    <t>BETUNG</t>
  </si>
  <si>
    <t>DP-1496</t>
  </si>
  <si>
    <t>1503095707820004</t>
  </si>
  <si>
    <t>SITI HARNI</t>
  </si>
  <si>
    <t>DP-1497</t>
  </si>
  <si>
    <t>1503091205100001</t>
  </si>
  <si>
    <t>1503096501560001</t>
  </si>
  <si>
    <t>HASNARIA PURBA</t>
  </si>
  <si>
    <t>BAHAPAL RAYA</t>
  </si>
  <si>
    <t>DP-1498</t>
  </si>
  <si>
    <t>1503091205170001</t>
  </si>
  <si>
    <t>1605054305790001</t>
  </si>
  <si>
    <t>MARDIANA</t>
  </si>
  <si>
    <t>REMBAN</t>
  </si>
  <si>
    <t>DP-1499</t>
  </si>
  <si>
    <t>1503091205200004</t>
  </si>
  <si>
    <t>1503094509760001</t>
  </si>
  <si>
    <t>DP-1500</t>
  </si>
  <si>
    <t>1503091206150004</t>
  </si>
  <si>
    <t>1503090609900001</t>
  </si>
  <si>
    <t>AHMAD SAEROJI</t>
  </si>
  <si>
    <t>DP-1501</t>
  </si>
  <si>
    <t>1503095708910003</t>
  </si>
  <si>
    <t>RIA ASTANTI</t>
  </si>
  <si>
    <t>DP-1502</t>
  </si>
  <si>
    <t>1503091207100003</t>
  </si>
  <si>
    <t>1503091504500001</t>
  </si>
  <si>
    <t>MITRO REJO</t>
  </si>
  <si>
    <t>DP-1503</t>
  </si>
  <si>
    <t>1503095906560001</t>
  </si>
  <si>
    <t>DP-1504</t>
  </si>
  <si>
    <t>1503091207100004</t>
  </si>
  <si>
    <t>1503092903040001</t>
  </si>
  <si>
    <t>AZIZ RUZ NANDAR</t>
  </si>
  <si>
    <t>DP-1505</t>
  </si>
  <si>
    <t>1503094612680001</t>
  </si>
  <si>
    <t>MIYATUN</t>
  </si>
  <si>
    <t>DP-1506</t>
  </si>
  <si>
    <t>1503091201550002</t>
  </si>
  <si>
    <t>SUGIMAN</t>
  </si>
  <si>
    <t>DP-1507</t>
  </si>
  <si>
    <t>1503092508050003</t>
  </si>
  <si>
    <t>ZULFIKAR IMADUDIN</t>
  </si>
  <si>
    <t>DP-1508</t>
  </si>
  <si>
    <t>1503091207160001</t>
  </si>
  <si>
    <t>1503090504870002</t>
  </si>
  <si>
    <t>TARTO</t>
  </si>
  <si>
    <t>DP-1509</t>
  </si>
  <si>
    <t>1503096811900002</t>
  </si>
  <si>
    <t>WIWIT SARI NU FIAH</t>
  </si>
  <si>
    <t>DP-1510</t>
  </si>
  <si>
    <t>1503091207170003</t>
  </si>
  <si>
    <t>1503090501930005</t>
  </si>
  <si>
    <t>DALDIRI</t>
  </si>
  <si>
    <t>DP-1511</t>
  </si>
  <si>
    <t>1503095907990005</t>
  </si>
  <si>
    <t>SRI SUMIATUN</t>
  </si>
  <si>
    <t>DP-1512</t>
  </si>
  <si>
    <t>1503091208100011</t>
  </si>
  <si>
    <t>1503090306680001</t>
  </si>
  <si>
    <t>JOKO MULYONO</t>
  </si>
  <si>
    <t>BOYOLALI</t>
  </si>
  <si>
    <t>DP-1513</t>
  </si>
  <si>
    <t>1503094305740001</t>
  </si>
  <si>
    <t>SITI ROHMANI</t>
  </si>
  <si>
    <t>DP-1514</t>
  </si>
  <si>
    <t>1503091208100012</t>
  </si>
  <si>
    <t>1503090810800003</t>
  </si>
  <si>
    <t>AMRI SEMBIRING</t>
  </si>
  <si>
    <t>DP-1515</t>
  </si>
  <si>
    <t>1503096207850001</t>
  </si>
  <si>
    <t>YULI YANTI</t>
  </si>
  <si>
    <t>DP-1516</t>
  </si>
  <si>
    <t>1503090812050003</t>
  </si>
  <si>
    <t>ZUFRI ALFERNANDO</t>
  </si>
  <si>
    <t>DP-1517</t>
  </si>
  <si>
    <t>1503091208100013</t>
  </si>
  <si>
    <t>1503090308800003</t>
  </si>
  <si>
    <t>DP-1518</t>
  </si>
  <si>
    <t>1503095212890006</t>
  </si>
  <si>
    <t>DP-1519</t>
  </si>
  <si>
    <t>1503091208100014</t>
  </si>
  <si>
    <t>1503094505800005</t>
  </si>
  <si>
    <t>SITI JUAYANAH</t>
  </si>
  <si>
    <t>DP-1520</t>
  </si>
  <si>
    <t>1503091301760002</t>
  </si>
  <si>
    <t>WASORI</t>
  </si>
  <si>
    <t>DP-1521</t>
  </si>
  <si>
    <t>1503091208190001</t>
  </si>
  <si>
    <t>1503095405990002</t>
  </si>
  <si>
    <t>DP-1522</t>
  </si>
  <si>
    <t>1503091703950001</t>
  </si>
  <si>
    <t>WIDI HARTANTO</t>
  </si>
  <si>
    <t>DP-1523</t>
  </si>
  <si>
    <t>1503091208190003</t>
  </si>
  <si>
    <t>1503091408850001</t>
  </si>
  <si>
    <t>AGUS SUSENO</t>
  </si>
  <si>
    <t>DP-1524</t>
  </si>
  <si>
    <t>1471115905900064</t>
  </si>
  <si>
    <t>FITRI</t>
  </si>
  <si>
    <t>PEKANBARU</t>
  </si>
  <si>
    <t>DP-1525</t>
  </si>
  <si>
    <t>1503091208190004</t>
  </si>
  <si>
    <t>1802241506890004</t>
  </si>
  <si>
    <t>APRI SUSANTO</t>
  </si>
  <si>
    <t>BUMI NABUNG ILIR</t>
  </si>
  <si>
    <t>DP-1526</t>
  </si>
  <si>
    <t>1503095703980001</t>
  </si>
  <si>
    <t>INDA WIYANTI</t>
  </si>
  <si>
    <t>DP-1527</t>
  </si>
  <si>
    <t>1503091208210003</t>
  </si>
  <si>
    <t>1503052110920003</t>
  </si>
  <si>
    <t>SABAR YAMAN SIMBOLON</t>
  </si>
  <si>
    <t>DS. SUKA JADI</t>
  </si>
  <si>
    <t>DP-1528</t>
  </si>
  <si>
    <t>3509166708890004</t>
  </si>
  <si>
    <t>SITI ZULFA AGUSTIN</t>
  </si>
  <si>
    <t>DP-1529</t>
  </si>
  <si>
    <t>1503091209070006</t>
  </si>
  <si>
    <t>1503096305040001</t>
  </si>
  <si>
    <t>HERA MEI RANI</t>
  </si>
  <si>
    <t>DP-1530</t>
  </si>
  <si>
    <t>1503090107070023</t>
  </si>
  <si>
    <t>MUHAMAD ALFATANI</t>
  </si>
  <si>
    <t>DP-1531</t>
  </si>
  <si>
    <t>1503097005740001</t>
  </si>
  <si>
    <t>ROHAYATI</t>
  </si>
  <si>
    <t>DP-1532</t>
  </si>
  <si>
    <t>1503090606770001</t>
  </si>
  <si>
    <t>DP-1533</t>
  </si>
  <si>
    <t>1503091209070007</t>
  </si>
  <si>
    <t>1503091707780001</t>
  </si>
  <si>
    <t>PINGGI</t>
  </si>
  <si>
    <t>DP-1534</t>
  </si>
  <si>
    <t>1503091209070009</t>
  </si>
  <si>
    <t>1503092610980001</t>
  </si>
  <si>
    <t>ANTONIO NAINGGOLAN</t>
  </si>
  <si>
    <t>singkut</t>
  </si>
  <si>
    <t>Dusun karya makmur</t>
  </si>
  <si>
    <t>DP-1535</t>
  </si>
  <si>
    <t>1503095707700001</t>
  </si>
  <si>
    <t>LINGGAU</t>
  </si>
  <si>
    <t>DP-1536</t>
  </si>
  <si>
    <t>1503091707710001</t>
  </si>
  <si>
    <t>TIGOR NAINGGOLAN</t>
  </si>
  <si>
    <t>DP-1537</t>
  </si>
  <si>
    <t>1503091209190002</t>
  </si>
  <si>
    <t>1503095012890003</t>
  </si>
  <si>
    <t>MUSFIATUN</t>
  </si>
  <si>
    <t>DP-1538</t>
  </si>
  <si>
    <t>1503095605870001</t>
  </si>
  <si>
    <t>DP-1539</t>
  </si>
  <si>
    <t>1503091210080005</t>
  </si>
  <si>
    <t>1503092107830002</t>
  </si>
  <si>
    <t>ENDRI SETIYAWAN</t>
  </si>
  <si>
    <t>DP-1540</t>
  </si>
  <si>
    <t>1503096406040002</t>
  </si>
  <si>
    <t>INDIRA AYU SETYAWATI</t>
  </si>
  <si>
    <t>DP-1541</t>
  </si>
  <si>
    <t>1503095311840002</t>
  </si>
  <si>
    <t>DP-1542</t>
  </si>
  <si>
    <t>1503091210200005</t>
  </si>
  <si>
    <t>1503094206040002</t>
  </si>
  <si>
    <t>LARA LEDIANA</t>
  </si>
  <si>
    <t>x</t>
  </si>
  <si>
    <t>DP-1543</t>
  </si>
  <si>
    <t>1503091210210004</t>
  </si>
  <si>
    <t>1503096506690003</t>
  </si>
  <si>
    <t>RAJINEM</t>
  </si>
  <si>
    <t>DP-1544</t>
  </si>
  <si>
    <t>1503091210220004</t>
  </si>
  <si>
    <t>1503095104980001</t>
  </si>
  <si>
    <t>MASYKUR ASYHARI</t>
  </si>
  <si>
    <t>DP-1545</t>
  </si>
  <si>
    <t>3207074506980001</t>
  </si>
  <si>
    <t>SIFA FAUZIAH</t>
  </si>
  <si>
    <t>DP-1546</t>
  </si>
  <si>
    <t>1503091211070008</t>
  </si>
  <si>
    <t>1503092310000001</t>
  </si>
  <si>
    <t>FARIZ REZA SAPUTRA</t>
  </si>
  <si>
    <t>DP-1547</t>
  </si>
  <si>
    <t>1503091709660001</t>
  </si>
  <si>
    <t>JUARI</t>
  </si>
  <si>
    <t>DP-1548</t>
  </si>
  <si>
    <t>1503094309030001</t>
  </si>
  <si>
    <t>SEFIA AMANDA SAPUTRI</t>
  </si>
  <si>
    <t>DP-1549</t>
  </si>
  <si>
    <t>1503094810730001</t>
  </si>
  <si>
    <t>DP-1550</t>
  </si>
  <si>
    <t>1503091211080008</t>
  </si>
  <si>
    <t>1503092203800001</t>
  </si>
  <si>
    <t>DAWAM</t>
  </si>
  <si>
    <t>DUSUN SUKAMULYA</t>
  </si>
  <si>
    <t>DP-1551</t>
  </si>
  <si>
    <t>1503094612800003</t>
  </si>
  <si>
    <t>ISMINAH</t>
  </si>
  <si>
    <t>DP-1552</t>
  </si>
  <si>
    <t>1503096508990003</t>
  </si>
  <si>
    <t>LINZA AGESSETYANI</t>
  </si>
  <si>
    <t>DP-1553</t>
  </si>
  <si>
    <t>1503091211150006</t>
  </si>
  <si>
    <t>1503094908940001</t>
  </si>
  <si>
    <t>AGUSTIN WIDYA NINGSIH</t>
  </si>
  <si>
    <t>DP-1554</t>
  </si>
  <si>
    <t>1503092808920001</t>
  </si>
  <si>
    <t>DP-1555</t>
  </si>
  <si>
    <t>1503091211210005</t>
  </si>
  <si>
    <t>1503092410960003</t>
  </si>
  <si>
    <t>DEBY LUKMAWAN</t>
  </si>
  <si>
    <t>DP-1556</t>
  </si>
  <si>
    <t>1503095403000001</t>
  </si>
  <si>
    <t>DWI ASTUTI</t>
  </si>
  <si>
    <t>DP-1557</t>
  </si>
  <si>
    <t>1503091212070004</t>
  </si>
  <si>
    <t>1503090303720002</t>
  </si>
  <si>
    <t>MUDAIM</t>
  </si>
  <si>
    <t>DP-1558</t>
  </si>
  <si>
    <t>1503094211990001</t>
  </si>
  <si>
    <t>RATNA KUMALA</t>
  </si>
  <si>
    <t>DP-1559</t>
  </si>
  <si>
    <t>1503094810770002</t>
  </si>
  <si>
    <t>SUCI DARWATI</t>
  </si>
  <si>
    <t>DP-1560</t>
  </si>
  <si>
    <t>1503091212100010</t>
  </si>
  <si>
    <t>1503094407960001</t>
  </si>
  <si>
    <t>HAYU SARI WIDAYATI</t>
  </si>
  <si>
    <t>BATIN</t>
  </si>
  <si>
    <t>DP-1561</t>
  </si>
  <si>
    <t>1503095703580001</t>
  </si>
  <si>
    <t>DP-1562</t>
  </si>
  <si>
    <t>1503092509540001</t>
  </si>
  <si>
    <t>DP-1563</t>
  </si>
  <si>
    <t>1503091212100016</t>
  </si>
  <si>
    <t>1503091711720001</t>
  </si>
  <si>
    <t>QOMARI ALGHOZALI</t>
  </si>
  <si>
    <t>DP-1564</t>
  </si>
  <si>
    <t>1503095709820001</t>
  </si>
  <si>
    <t>SUCI ARY MINARNI</t>
  </si>
  <si>
    <t>TUBAN</t>
  </si>
  <si>
    <t>DP-1565</t>
  </si>
  <si>
    <t>1503091212170002</t>
  </si>
  <si>
    <t>3521026204050001</t>
  </si>
  <si>
    <t>ALYSIA KUSUMAWATI</t>
  </si>
  <si>
    <t>DP-1566</t>
  </si>
  <si>
    <t>1503096611670001</t>
  </si>
  <si>
    <t>DP-1567</t>
  </si>
  <si>
    <t>1503093006590004</t>
  </si>
  <si>
    <t>SUTOPO</t>
  </si>
  <si>
    <t>DP-1568</t>
  </si>
  <si>
    <t>1503091301080086</t>
  </si>
  <si>
    <t>1503095807850001</t>
  </si>
  <si>
    <t>NUR'AINI</t>
  </si>
  <si>
    <t>DP-1569</t>
  </si>
  <si>
    <t>1503091312820001</t>
  </si>
  <si>
    <t>PATONI</t>
  </si>
  <si>
    <t>DP-1570</t>
  </si>
  <si>
    <t>1503092110070001</t>
  </si>
  <si>
    <t>SYAHRI RAMDANI</t>
  </si>
  <si>
    <t>DP-1571</t>
  </si>
  <si>
    <t>1503091301090001</t>
  </si>
  <si>
    <t>1503090104970003</t>
  </si>
  <si>
    <t>FANDI HERMAWAN</t>
  </si>
  <si>
    <t>DP-1572</t>
  </si>
  <si>
    <t>1503094205720002</t>
  </si>
  <si>
    <t>JARO'AH</t>
  </si>
  <si>
    <t>DP-1573</t>
  </si>
  <si>
    <t>1503090303660001</t>
  </si>
  <si>
    <t>MAKSUM</t>
  </si>
  <si>
    <t>DP-1574</t>
  </si>
  <si>
    <t>1503091301090006</t>
  </si>
  <si>
    <t>1503095112030002</t>
  </si>
  <si>
    <t>MIFTAHUL KHASANAH</t>
  </si>
  <si>
    <t>DP-1575</t>
  </si>
  <si>
    <t>1503090101690005</t>
  </si>
  <si>
    <t>MULYADI</t>
  </si>
  <si>
    <t>DP-1576</t>
  </si>
  <si>
    <t>1503094909780001</t>
  </si>
  <si>
    <t>ROBIATUN KASANAH</t>
  </si>
  <si>
    <t>DP-1577</t>
  </si>
  <si>
    <t>1503091301090007</t>
  </si>
  <si>
    <t>1503094506730001</t>
  </si>
  <si>
    <t>SALIYEM</t>
  </si>
  <si>
    <t>DP-1578</t>
  </si>
  <si>
    <t>1503090204670001</t>
  </si>
  <si>
    <t>TOPAN</t>
  </si>
  <si>
    <t>TANJUNG INIM</t>
  </si>
  <si>
    <t>DP-1579</t>
  </si>
  <si>
    <t>1503091301090008</t>
  </si>
  <si>
    <t>1503094111990001</t>
  </si>
  <si>
    <t>KHOFIFAH ISNAINI HAFSAH</t>
  </si>
  <si>
    <t>DP-1580</t>
  </si>
  <si>
    <t>1503091906690001</t>
  </si>
  <si>
    <t>SARYONO</t>
  </si>
  <si>
    <t>KROYA</t>
  </si>
  <si>
    <t>DP-1581</t>
  </si>
  <si>
    <t>1503094405710002</t>
  </si>
  <si>
    <t>SUDARNI</t>
  </si>
  <si>
    <t>DP-1582</t>
  </si>
  <si>
    <t>1503091301090009</t>
  </si>
  <si>
    <t>1503095207810002</t>
  </si>
  <si>
    <t>IIN ZULIASTUTI</t>
  </si>
  <si>
    <t>DP-1583</t>
  </si>
  <si>
    <t>1503091104810002</t>
  </si>
  <si>
    <t>MUNIRUL HAKIM</t>
  </si>
  <si>
    <t>DP-1584</t>
  </si>
  <si>
    <t>1503091301090010</t>
  </si>
  <si>
    <t>1503094706750001</t>
  </si>
  <si>
    <t>DARSEM</t>
  </si>
  <si>
    <t>DP-1585</t>
  </si>
  <si>
    <t>1503092304790001</t>
  </si>
  <si>
    <t>PEKALONGAN</t>
  </si>
  <si>
    <t>DP-1586</t>
  </si>
  <si>
    <t>1503091301090011</t>
  </si>
  <si>
    <t>1503093011720001</t>
  </si>
  <si>
    <t>MANGUN WIJAYA</t>
  </si>
  <si>
    <t>DP-1587</t>
  </si>
  <si>
    <t>1503094609760001</t>
  </si>
  <si>
    <t>DP-1588</t>
  </si>
  <si>
    <t>1503091301120003</t>
  </si>
  <si>
    <t>1503096001760001</t>
  </si>
  <si>
    <t>DWI MULYANI</t>
  </si>
  <si>
    <t>DP-1589</t>
  </si>
  <si>
    <t>1503095811060001</t>
  </si>
  <si>
    <t>NOVA ASIATUL HASANAH</t>
  </si>
  <si>
    <t>DP-1590</t>
  </si>
  <si>
    <t>1503091210720001</t>
  </si>
  <si>
    <t>WAKIDI YANTO</t>
  </si>
  <si>
    <t>DP-1591</t>
  </si>
  <si>
    <t>1503091301120004</t>
  </si>
  <si>
    <t>1503095211860001</t>
  </si>
  <si>
    <t>DONA LIZA MARTINI</t>
  </si>
  <si>
    <t>TANDIKAT</t>
  </si>
  <si>
    <t>DP-1592</t>
  </si>
  <si>
    <t>1503090801850004</t>
  </si>
  <si>
    <t>EDI MASTURI</t>
  </si>
  <si>
    <t>DP-1593</t>
  </si>
  <si>
    <t>1503091301120010</t>
  </si>
  <si>
    <t>1503094411590001</t>
  </si>
  <si>
    <t>SUYATI</t>
  </si>
  <si>
    <t>DP-1594</t>
  </si>
  <si>
    <t>1503091710650003</t>
  </si>
  <si>
    <t>TAMIN</t>
  </si>
  <si>
    <t>DP-1595</t>
  </si>
  <si>
    <t>1503091301170001</t>
  </si>
  <si>
    <t>1503096311060004</t>
  </si>
  <si>
    <t>DEWI NOVELA PUTRI</t>
  </si>
  <si>
    <t>DSN. II SUKA JADI</t>
  </si>
  <si>
    <t>DP-1596</t>
  </si>
  <si>
    <t>1503091412840001</t>
  </si>
  <si>
    <t>DP-1597</t>
  </si>
  <si>
    <t>1503095710710002</t>
  </si>
  <si>
    <t>SURYANTI</t>
  </si>
  <si>
    <t>DP-1598</t>
  </si>
  <si>
    <t>1503091301170006</t>
  </si>
  <si>
    <t>1503090107860060</t>
  </si>
  <si>
    <t>RUDI HARIYANSYAH</t>
  </si>
  <si>
    <t>DP-1599</t>
  </si>
  <si>
    <t>1503091302140003</t>
  </si>
  <si>
    <t>1503090902910002</t>
  </si>
  <si>
    <t>ANDRE IRAWAN</t>
  </si>
  <si>
    <t>DP-1600</t>
  </si>
  <si>
    <t>1503091302230004</t>
  </si>
  <si>
    <t>1503090312020003</t>
  </si>
  <si>
    <t>EGI PRAS STIYO</t>
  </si>
  <si>
    <t>DESA PAYO LEBAR SINGKUT II</t>
  </si>
  <si>
    <t>DP-1601</t>
  </si>
  <si>
    <t>1503095812800001</t>
  </si>
  <si>
    <t>ENDANG KARTIKA WATI</t>
  </si>
  <si>
    <t>DP-1602</t>
  </si>
  <si>
    <t>1503091510760003</t>
  </si>
  <si>
    <t>WAGITO</t>
  </si>
  <si>
    <t>DP-1603</t>
  </si>
  <si>
    <t>1503091302230005</t>
  </si>
  <si>
    <t>1503092605400001</t>
  </si>
  <si>
    <t>KASMURI</t>
  </si>
  <si>
    <t>JLN. BENTENG</t>
  </si>
  <si>
    <t>DP-1604</t>
  </si>
  <si>
    <t>1503091303090006</t>
  </si>
  <si>
    <t>1503094111810002</t>
  </si>
  <si>
    <t>LILIH LAILAH</t>
  </si>
  <si>
    <t>DP-1605</t>
  </si>
  <si>
    <t>1503092107070004</t>
  </si>
  <si>
    <t>RAFFLY ABDUL AZIZ</t>
  </si>
  <si>
    <t>DP-1606</t>
  </si>
  <si>
    <t>1503090202810002</t>
  </si>
  <si>
    <t>SYAMSUDI RAHARJO</t>
  </si>
  <si>
    <t>DP-1607</t>
  </si>
  <si>
    <t>1503091303180005</t>
  </si>
  <si>
    <t>1503094301040002</t>
  </si>
  <si>
    <t>ISMIATUL ALISA</t>
  </si>
  <si>
    <t>LAMPUNG TENGAH</t>
  </si>
  <si>
    <t>DP-1608</t>
  </si>
  <si>
    <t>1503090802670002</t>
  </si>
  <si>
    <t>PAROJI</t>
  </si>
  <si>
    <t>DP-1609</t>
  </si>
  <si>
    <t>1503095109700001</t>
  </si>
  <si>
    <t>DP-1610</t>
  </si>
  <si>
    <t>1503091304110004</t>
  </si>
  <si>
    <t>1503092308850001</t>
  </si>
  <si>
    <t>HERU TRI YOGI SAPUTRA</t>
  </si>
  <si>
    <t>DP-1611</t>
  </si>
  <si>
    <t>1503095204900001</t>
  </si>
  <si>
    <t>YENI LESTARI</t>
  </si>
  <si>
    <t>LUBUK NGIN</t>
  </si>
  <si>
    <t>DP-1612</t>
  </si>
  <si>
    <t>1503091304170002</t>
  </si>
  <si>
    <t>1503090506840003</t>
  </si>
  <si>
    <t>ASEP SARIPUDIN</t>
  </si>
  <si>
    <t>DP-1613</t>
  </si>
  <si>
    <t>1503096009070001</t>
  </si>
  <si>
    <t>ILMA SALSABILLAH. HP</t>
  </si>
  <si>
    <t>DP-1614</t>
  </si>
  <si>
    <t>1503096411780001</t>
  </si>
  <si>
    <t>MURNI</t>
  </si>
  <si>
    <t>DP-1615</t>
  </si>
  <si>
    <t>1503095203020007</t>
  </si>
  <si>
    <t>SYARIFATUN NISA. HP</t>
  </si>
  <si>
    <t>DP-1616</t>
  </si>
  <si>
    <t>1503091304220005</t>
  </si>
  <si>
    <t>1503091107970004</t>
  </si>
  <si>
    <t>AHMAD RIZKI</t>
  </si>
  <si>
    <t>DP-1617</t>
  </si>
  <si>
    <t>1503054904970002</t>
  </si>
  <si>
    <t>DIAN ERIKA CANDRA</t>
  </si>
  <si>
    <t>DESA SUNGAI MERAH</t>
  </si>
  <si>
    <t>DP-1618</t>
  </si>
  <si>
    <t>1503091305240011</t>
  </si>
  <si>
    <t>1503096302060002</t>
  </si>
  <si>
    <t>EKA FEBI ARIYANI</t>
  </si>
  <si>
    <t>DP-1619</t>
  </si>
  <si>
    <t>1503091306160005</t>
  </si>
  <si>
    <t>1503092406940002</t>
  </si>
  <si>
    <t>RIO ARDIANTO</t>
  </si>
  <si>
    <t>DP-1620</t>
  </si>
  <si>
    <t>1503091307090001</t>
  </si>
  <si>
    <t>1503092002800003</t>
  </si>
  <si>
    <t>AGUS FERIANTO</t>
  </si>
  <si>
    <t>DP-1621</t>
  </si>
  <si>
    <t>1503096108870002</t>
  </si>
  <si>
    <t>SUMARNI SUNI</t>
  </si>
  <si>
    <t>DP-1622</t>
  </si>
  <si>
    <t>1503091307090002</t>
  </si>
  <si>
    <t>1503090101650002</t>
  </si>
  <si>
    <t>DP-1623</t>
  </si>
  <si>
    <t>1503091501070001</t>
  </si>
  <si>
    <t>PAHRUL PAUZI PURNAMA</t>
  </si>
  <si>
    <t>DP-1624</t>
  </si>
  <si>
    <t>1503092808980001</t>
  </si>
  <si>
    <t>SETIO PRATIKTO</t>
  </si>
  <si>
    <t>DP-1625</t>
  </si>
  <si>
    <t>1503094605730001</t>
  </si>
  <si>
    <t>WAGIEM</t>
  </si>
  <si>
    <t>DP-1626</t>
  </si>
  <si>
    <t>1503091307090004</t>
  </si>
  <si>
    <t>1503094702000002</t>
  </si>
  <si>
    <t>FEPTI VITA SARI</t>
  </si>
  <si>
    <t>DP-1627</t>
  </si>
  <si>
    <t>1503090808710001</t>
  </si>
  <si>
    <t>SABI'IS</t>
  </si>
  <si>
    <t>DP-1628</t>
  </si>
  <si>
    <t>1503096909720001</t>
  </si>
  <si>
    <t>DP-1629</t>
  </si>
  <si>
    <t>1503090308070003</t>
  </si>
  <si>
    <t>TRI AMRI</t>
  </si>
  <si>
    <t>DP-1630</t>
  </si>
  <si>
    <t>1503091307090007</t>
  </si>
  <si>
    <t>1503090706760003</t>
  </si>
  <si>
    <t>DP-1631</t>
  </si>
  <si>
    <t>1503094607840005</t>
  </si>
  <si>
    <t>SITI MAISAROH</t>
  </si>
  <si>
    <t>OKU</t>
  </si>
  <si>
    <t>DP-1632</t>
  </si>
  <si>
    <t>1503096904020001</t>
  </si>
  <si>
    <t>YUNITRA</t>
  </si>
  <si>
    <t>DP-1633</t>
  </si>
  <si>
    <t>1503091307090008</t>
  </si>
  <si>
    <t>1503090802050002</t>
  </si>
  <si>
    <t>ANDRE FEBRI PRATAMA</t>
  </si>
  <si>
    <t>DP-1634</t>
  </si>
  <si>
    <t>1503090304830004</t>
  </si>
  <si>
    <t>JOKO SUSILO</t>
  </si>
  <si>
    <t>DP-1635</t>
  </si>
  <si>
    <t>1503094911870002</t>
  </si>
  <si>
    <t>LUSI WINDARTI</t>
  </si>
  <si>
    <t>DP-1636</t>
  </si>
  <si>
    <t>1503091307090012</t>
  </si>
  <si>
    <t>1503091007800001</t>
  </si>
  <si>
    <t>AGUS SARTONO</t>
  </si>
  <si>
    <t>DP-1637</t>
  </si>
  <si>
    <t>1503091307090014</t>
  </si>
  <si>
    <t>1503090906790001</t>
  </si>
  <si>
    <t>SAIFUL HADI</t>
  </si>
  <si>
    <t>DP-1638</t>
  </si>
  <si>
    <t>1503095112810001</t>
  </si>
  <si>
    <t>SITI NURUL AINI</t>
  </si>
  <si>
    <t>KEMUNING SARI</t>
  </si>
  <si>
    <t>DP-1639</t>
  </si>
  <si>
    <t>1503091307090015</t>
  </si>
  <si>
    <t>1503094209060003</t>
  </si>
  <si>
    <t>EUNIKE FILIA KISLEW</t>
  </si>
  <si>
    <t>DP-1640</t>
  </si>
  <si>
    <t>1503094906770002</t>
  </si>
  <si>
    <t>LIDIA SEMBIRING</t>
  </si>
  <si>
    <t>KARO</t>
  </si>
  <si>
    <t>DP-1641</t>
  </si>
  <si>
    <t>1503091512780001</t>
  </si>
  <si>
    <t>TEO FILUS SURAJI</t>
  </si>
  <si>
    <t>DP-1642</t>
  </si>
  <si>
    <t>1503094303900002</t>
  </si>
  <si>
    <t>RUSMANIDAR</t>
  </si>
  <si>
    <t>SRIDADI</t>
  </si>
  <si>
    <t>DP-1643</t>
  </si>
  <si>
    <t>1503090509870001</t>
  </si>
  <si>
    <t>SEPTI RINO</t>
  </si>
  <si>
    <t>DP-1644</t>
  </si>
  <si>
    <t>1503091307090018</t>
  </si>
  <si>
    <t>1503092409980001</t>
  </si>
  <si>
    <t>AHMAD SAEFULLAH</t>
  </si>
  <si>
    <t>DP-1645</t>
  </si>
  <si>
    <t>1503095711060001</t>
  </si>
  <si>
    <t>ALFIANI KHOIRUNISA</t>
  </si>
  <si>
    <t>DP-1646</t>
  </si>
  <si>
    <t>1503090505760004</t>
  </si>
  <si>
    <t>TAUFIK HIDAYAT</t>
  </si>
  <si>
    <t>CIAMIS</t>
  </si>
  <si>
    <t>DP-1647</t>
  </si>
  <si>
    <t>1503094101760003</t>
  </si>
  <si>
    <t>YUNI ASTUTI</t>
  </si>
  <si>
    <t>DP-1648</t>
  </si>
  <si>
    <t>1503091307090020</t>
  </si>
  <si>
    <t>1503097008830004</t>
  </si>
  <si>
    <t>NUNING KUMARYATI</t>
  </si>
  <si>
    <t>DP-1649</t>
  </si>
  <si>
    <t>1503090104820003</t>
  </si>
  <si>
    <t>SUMANTRI</t>
  </si>
  <si>
    <t>DP-1650</t>
  </si>
  <si>
    <t>1503091307090025</t>
  </si>
  <si>
    <t>1503095112530001</t>
  </si>
  <si>
    <t>FLORENTINA SOEPARNI</t>
  </si>
  <si>
    <t>KONDO-SOLO</t>
  </si>
  <si>
    <t>DP-1651</t>
  </si>
  <si>
    <t>1503091307090031</t>
  </si>
  <si>
    <t>1503090605470002</t>
  </si>
  <si>
    <t>SUPRIADI</t>
  </si>
  <si>
    <t>DP-1652</t>
  </si>
  <si>
    <t>1503096102660002</t>
  </si>
  <si>
    <t>DP-1653</t>
  </si>
  <si>
    <t>1503091307110002</t>
  </si>
  <si>
    <t>1503091403770001</t>
  </si>
  <si>
    <t>NAWAWI</t>
  </si>
  <si>
    <t>DP-1654</t>
  </si>
  <si>
    <t>1503091308100001</t>
  </si>
  <si>
    <t>1503090706030004</t>
  </si>
  <si>
    <t>ARIFIAN TIAN SYAH</t>
  </si>
  <si>
    <t>DP-1655</t>
  </si>
  <si>
    <t>1503092705960001</t>
  </si>
  <si>
    <t>NURUDIN</t>
  </si>
  <si>
    <t>DP-1656</t>
  </si>
  <si>
    <t>1503091204540002</t>
  </si>
  <si>
    <t>SAMIAN</t>
  </si>
  <si>
    <t>DP-1657</t>
  </si>
  <si>
    <t>1503095708670001</t>
  </si>
  <si>
    <t>SOPIYAH</t>
  </si>
  <si>
    <t>DP-1658</t>
  </si>
  <si>
    <t>1503091308200005</t>
  </si>
  <si>
    <t>1503091511960003</t>
  </si>
  <si>
    <t>JULHAM</t>
  </si>
  <si>
    <t>DP-1659</t>
  </si>
  <si>
    <t>1503095106990002</t>
  </si>
  <si>
    <t>MEMO SISKA YUNITA GEA</t>
  </si>
  <si>
    <t>SEI PELAKAR TANJUNG</t>
  </si>
  <si>
    <t>DP-1660</t>
  </si>
  <si>
    <t>1503091309160001</t>
  </si>
  <si>
    <t>1503052103870003</t>
  </si>
  <si>
    <t>TUKIMUN</t>
  </si>
  <si>
    <t>DP-1661</t>
  </si>
  <si>
    <t>1207084604880001</t>
  </si>
  <si>
    <t>WARIYANTI</t>
  </si>
  <si>
    <t>DP-1662</t>
  </si>
  <si>
    <t>1503091309220003</t>
  </si>
  <si>
    <t>1509034106020016</t>
  </si>
  <si>
    <t>SARIFAH WIWIN LESTARI</t>
  </si>
  <si>
    <t>DP-1663</t>
  </si>
  <si>
    <t>1503092203960001</t>
  </si>
  <si>
    <t>YOGA PRATAMA SAPUTRA</t>
  </si>
  <si>
    <t>DP-1664</t>
  </si>
  <si>
    <t>1503091309230002</t>
  </si>
  <si>
    <t>1503094712000001</t>
  </si>
  <si>
    <t>UMI FITRI AMANAH</t>
  </si>
  <si>
    <t>1503091002250005</t>
  </si>
  <si>
    <t>DP-1665</t>
  </si>
  <si>
    <t>1503091310090003</t>
  </si>
  <si>
    <t>1503095109650001</t>
  </si>
  <si>
    <t>SAWITRI</t>
  </si>
  <si>
    <t>DP-1666</t>
  </si>
  <si>
    <t>1503090609010001</t>
  </si>
  <si>
    <t>TRI HERI KURNIAWAN</t>
  </si>
  <si>
    <t>DP-1667</t>
  </si>
  <si>
    <t>1503090611580001</t>
  </si>
  <si>
    <t>WAHID</t>
  </si>
  <si>
    <t>DP-1668</t>
  </si>
  <si>
    <t>1503091310100005</t>
  </si>
  <si>
    <t>1503090202570003</t>
  </si>
  <si>
    <t>HARDI</t>
  </si>
  <si>
    <t>DP-1669</t>
  </si>
  <si>
    <t>1503095310620001</t>
  </si>
  <si>
    <t>HARTINI</t>
  </si>
  <si>
    <t>DP-1670</t>
  </si>
  <si>
    <t>1503091310100006</t>
  </si>
  <si>
    <t>1503092005830006</t>
  </si>
  <si>
    <t>HANTONO</t>
  </si>
  <si>
    <t>DP-1671</t>
  </si>
  <si>
    <t>1503094609840001</t>
  </si>
  <si>
    <t>INA NURJAYANTI</t>
  </si>
  <si>
    <t>OKU TIMUR</t>
  </si>
  <si>
    <t>DP-1672</t>
  </si>
  <si>
    <t>1503091311070002</t>
  </si>
  <si>
    <t>1503090810050001</t>
  </si>
  <si>
    <t>AL-WAFI MULYA DHANI</t>
  </si>
  <si>
    <t>DP-1673</t>
  </si>
  <si>
    <t>1503095707690006</t>
  </si>
  <si>
    <t>SALBIYAH</t>
  </si>
  <si>
    <t>DP-1674</t>
  </si>
  <si>
    <t>1503091005650005</t>
  </si>
  <si>
    <t>DP-1675</t>
  </si>
  <si>
    <t>Belum Diketahui</t>
  </si>
  <si>
    <t>1503095206020001</t>
  </si>
  <si>
    <t>YUNITA ELSA PUTRI</t>
  </si>
  <si>
    <t>DP-1676</t>
  </si>
  <si>
    <t>1503091311070005</t>
  </si>
  <si>
    <t>1503091707950001</t>
  </si>
  <si>
    <t>HENDRI KURNIAWAN</t>
  </si>
  <si>
    <t>DP-1677</t>
  </si>
  <si>
    <t>1503095707650002</t>
  </si>
  <si>
    <t>ISTIAH</t>
  </si>
  <si>
    <t>DP-1678</t>
  </si>
  <si>
    <t>1503090705620001</t>
  </si>
  <si>
    <t>SUPARNO</t>
  </si>
  <si>
    <t>DP-1679</t>
  </si>
  <si>
    <t>1503091311070008</t>
  </si>
  <si>
    <t>1503095808780002</t>
  </si>
  <si>
    <t>AAN MUTASOR</t>
  </si>
  <si>
    <t>DUSUN I KARYA ANGUNG</t>
  </si>
  <si>
    <t>DP-1680</t>
  </si>
  <si>
    <t>1503092812990001</t>
  </si>
  <si>
    <t>DP-1681</t>
  </si>
  <si>
    <t>1503094404760002</t>
  </si>
  <si>
    <t>SITI MAEMUNAH</t>
  </si>
  <si>
    <t>DP-1682</t>
  </si>
  <si>
    <t>1503091311230001</t>
  </si>
  <si>
    <t>1503092704980001</t>
  </si>
  <si>
    <t>RIAN SAPUTRA</t>
  </si>
  <si>
    <t>DP-1683</t>
  </si>
  <si>
    <t>1503096407010001</t>
  </si>
  <si>
    <t>SITI NOVITASARI</t>
  </si>
  <si>
    <t>SEI GUNTUNG</t>
  </si>
  <si>
    <t>DP-1684</t>
  </si>
  <si>
    <t>1503091312070006</t>
  </si>
  <si>
    <t>1503094406660001</t>
  </si>
  <si>
    <t>MURTIATI</t>
  </si>
  <si>
    <t>BESUKI</t>
  </si>
  <si>
    <t>DP-1685</t>
  </si>
  <si>
    <t>1503090702600001</t>
  </si>
  <si>
    <t>QOMARUDDIN</t>
  </si>
  <si>
    <t>DP-1686</t>
  </si>
  <si>
    <t>1503096210990001</t>
  </si>
  <si>
    <t>ROISMAWATI</t>
  </si>
  <si>
    <t>DP-1687</t>
  </si>
  <si>
    <t>1503091312070007</t>
  </si>
  <si>
    <t>1503090107540006</t>
  </si>
  <si>
    <t>DULYANI</t>
  </si>
  <si>
    <t>DP-1688</t>
  </si>
  <si>
    <t>1503094107610012</t>
  </si>
  <si>
    <t>SITEN</t>
  </si>
  <si>
    <t>DP-1689</t>
  </si>
  <si>
    <t>1503091312210001</t>
  </si>
  <si>
    <t>1802091710950001</t>
  </si>
  <si>
    <t>TAAT JUWARTO</t>
  </si>
  <si>
    <t>RUMBIA</t>
  </si>
  <si>
    <t>DP-1690</t>
  </si>
  <si>
    <t>1503095508010003</t>
  </si>
  <si>
    <t>TIARA SEKAR ASIH</t>
  </si>
  <si>
    <t>DS. PAYO LEBAR</t>
  </si>
  <si>
    <t>DP-1691</t>
  </si>
  <si>
    <t>1503091312220002</t>
  </si>
  <si>
    <t>1503036705990002</t>
  </si>
  <si>
    <t>ATIKA PRATIWI</t>
  </si>
  <si>
    <t>SAWAH LUNTO</t>
  </si>
  <si>
    <t>DP-1692</t>
  </si>
  <si>
    <t>1507042507940001</t>
  </si>
  <si>
    <t>RICHI JULISTIAWAN</t>
  </si>
  <si>
    <t>RANTAU RASAU</t>
  </si>
  <si>
    <t>DP-1693</t>
  </si>
  <si>
    <t>1503091312220003</t>
  </si>
  <si>
    <t>1503091200060001</t>
  </si>
  <si>
    <t>ARYA MUSTAKIM</t>
  </si>
  <si>
    <t>DP-1694</t>
  </si>
  <si>
    <t>1503092707010001</t>
  </si>
  <si>
    <t>M.AMIN SUSANTO</t>
  </si>
  <si>
    <t>DP-1695</t>
  </si>
  <si>
    <t>1503096306720002</t>
  </si>
  <si>
    <t>SUPRIANTI</t>
  </si>
  <si>
    <t>1503091905690001</t>
  </si>
  <si>
    <t>DP-1696</t>
  </si>
  <si>
    <t>1503091401080064</t>
  </si>
  <si>
    <t>1503092205820001</t>
  </si>
  <si>
    <t>JLN.RAMBE JAYA</t>
  </si>
  <si>
    <t>DP-1697</t>
  </si>
  <si>
    <t>1503091401100008</t>
  </si>
  <si>
    <t>1503095701890002</t>
  </si>
  <si>
    <t>DEWI SUSANTI</t>
  </si>
  <si>
    <t>DP-1698</t>
  </si>
  <si>
    <t>1503092508850001</t>
  </si>
  <si>
    <t>DP-1699</t>
  </si>
  <si>
    <t>1503091401100014</t>
  </si>
  <si>
    <t>1503091108980005</t>
  </si>
  <si>
    <t>ANGGA ADI SAPUTRA</t>
  </si>
  <si>
    <t>DP-1700</t>
  </si>
  <si>
    <t>1503095002750001</t>
  </si>
  <si>
    <t>NGASININGSIH</t>
  </si>
  <si>
    <t>DP-1701</t>
  </si>
  <si>
    <t>1503092808650001</t>
  </si>
  <si>
    <t>SUKAJI</t>
  </si>
  <si>
    <t>DP-1702</t>
  </si>
  <si>
    <t>1503091401100029</t>
  </si>
  <si>
    <t>1503091512750003</t>
  </si>
  <si>
    <t>SUSILO ADI</t>
  </si>
  <si>
    <t>DP-1703</t>
  </si>
  <si>
    <t>1503096008710003</t>
  </si>
  <si>
    <t>YULMA NIRNA SATRI YETI</t>
  </si>
  <si>
    <t>PULAU TENGAH</t>
  </si>
  <si>
    <t>DP-1704</t>
  </si>
  <si>
    <t>1503091401100034</t>
  </si>
  <si>
    <t>1503093001020004</t>
  </si>
  <si>
    <t>ROY ALDIANSYAH</t>
  </si>
  <si>
    <t>DP-1705</t>
  </si>
  <si>
    <t>1503094702770002</t>
  </si>
  <si>
    <t>SITI FATONAH</t>
  </si>
  <si>
    <t>DP-1706</t>
  </si>
  <si>
    <t>1503090405670001</t>
  </si>
  <si>
    <t>DP-1707</t>
  </si>
  <si>
    <t>1503091401100037</t>
  </si>
  <si>
    <t>1503091110630001</t>
  </si>
  <si>
    <t>NURDIN</t>
  </si>
  <si>
    <t>DP-1708</t>
  </si>
  <si>
    <t>1503095707760001</t>
  </si>
  <si>
    <t>TUKIJEM</t>
  </si>
  <si>
    <t>DP-1709</t>
  </si>
  <si>
    <t>1503091402180004</t>
  </si>
  <si>
    <t>1503091102910001</t>
  </si>
  <si>
    <t>ARIS SETIAWAN</t>
  </si>
  <si>
    <t>DP-1710</t>
  </si>
  <si>
    <t>1503094707990006</t>
  </si>
  <si>
    <t>SINTA AJENG JULIANITA</t>
  </si>
  <si>
    <t>AIR BANG</t>
  </si>
  <si>
    <t>DP-1711</t>
  </si>
  <si>
    <t>1503091403120006</t>
  </si>
  <si>
    <t>1503090706050004</t>
  </si>
  <si>
    <t>KHOLIFATUL ALFATTAH</t>
  </si>
  <si>
    <t>DP-1712</t>
  </si>
  <si>
    <t>1503091405740001</t>
  </si>
  <si>
    <t>SUKAMTO</t>
  </si>
  <si>
    <t>DP-1713</t>
  </si>
  <si>
    <t>1503095001810003</t>
  </si>
  <si>
    <t>DP-1714</t>
  </si>
  <si>
    <t>1503091403120007</t>
  </si>
  <si>
    <t>1503090909060003</t>
  </si>
  <si>
    <t>IRSAD ALFAHRI</t>
  </si>
  <si>
    <t>DP-1715</t>
  </si>
  <si>
    <t>1503094505720005</t>
  </si>
  <si>
    <t>LILIS RIYANI</t>
  </si>
  <si>
    <t>MAUR LAMA</t>
  </si>
  <si>
    <t>DP-1716</t>
  </si>
  <si>
    <t>Dikonfirmmasi Rt</t>
  </si>
  <si>
    <t>1503090609700003</t>
  </si>
  <si>
    <t>MURASIT</t>
  </si>
  <si>
    <t>DP-1717</t>
  </si>
  <si>
    <t>1503095211990004</t>
  </si>
  <si>
    <t>NOVI MAHARANI</t>
  </si>
  <si>
    <t>DP-1718</t>
  </si>
  <si>
    <t>1503091403120009</t>
  </si>
  <si>
    <t>1503090211870001</t>
  </si>
  <si>
    <t>ABDUL KHOLIK</t>
  </si>
  <si>
    <t>DP-1719</t>
  </si>
  <si>
    <t>1503095908850004</t>
  </si>
  <si>
    <t>ENI SUSANTI</t>
  </si>
  <si>
    <t>DP-1720</t>
  </si>
  <si>
    <t>1503091911420001</t>
  </si>
  <si>
    <t>1503096002400001</t>
  </si>
  <si>
    <t>SAIRAH</t>
  </si>
  <si>
    <t>DP-1721</t>
  </si>
  <si>
    <t>1503091403140002</t>
  </si>
  <si>
    <t>1503091003850004</t>
  </si>
  <si>
    <t>ARI DARWOTO</t>
  </si>
  <si>
    <t>DP-1722</t>
  </si>
  <si>
    <t>1503095004910004</t>
  </si>
  <si>
    <t>ERNI SULITIANINGSIH</t>
  </si>
  <si>
    <t>DP-1723</t>
  </si>
  <si>
    <t>1503091403180006</t>
  </si>
  <si>
    <t>1503092302950001</t>
  </si>
  <si>
    <t>KHOIRUL ANWAR</t>
  </si>
  <si>
    <t>DP-1724</t>
  </si>
  <si>
    <t>1503091403220001</t>
  </si>
  <si>
    <t>1503095203630002</t>
  </si>
  <si>
    <t>PULAU ARO</t>
  </si>
  <si>
    <t>DP-1725</t>
  </si>
  <si>
    <t>1503091404100008</t>
  </si>
  <si>
    <t>1503092707850002</t>
  </si>
  <si>
    <t>KARWOTO</t>
  </si>
  <si>
    <t>DP-1726</t>
  </si>
  <si>
    <t>1503094712860002</t>
  </si>
  <si>
    <t>MISTIYA NINGSIH</t>
  </si>
  <si>
    <t>DP-1727</t>
  </si>
  <si>
    <t>1503091404100010</t>
  </si>
  <si>
    <t>1503095408780002</t>
  </si>
  <si>
    <t>SITI AMALIYAH</t>
  </si>
  <si>
    <t>DP-1728</t>
  </si>
  <si>
    <t>1503091507020004</t>
  </si>
  <si>
    <t>SYAHDAN PERMANA</t>
  </si>
  <si>
    <t>DP-1729</t>
  </si>
  <si>
    <t>1503090506750006</t>
  </si>
  <si>
    <t>DP-1730</t>
  </si>
  <si>
    <t>1503091404220006</t>
  </si>
  <si>
    <t>1503096707990003</t>
  </si>
  <si>
    <t>WIDYA MUSTIKA</t>
  </si>
  <si>
    <t>DP-1731</t>
  </si>
  <si>
    <t>1503092606960001</t>
  </si>
  <si>
    <t>YUNI IRAWAN</t>
  </si>
  <si>
    <t>DP-1732</t>
  </si>
  <si>
    <t>1503091404230001</t>
  </si>
  <si>
    <t>1503095908960002</t>
  </si>
  <si>
    <t>DESI ARIANASARI</t>
  </si>
  <si>
    <t>DP-1733</t>
  </si>
  <si>
    <t>1606081404850002</t>
  </si>
  <si>
    <t>UNTUNG PRAYETNO</t>
  </si>
  <si>
    <t>KARYA MAJU</t>
  </si>
  <si>
    <t>DP-1734</t>
  </si>
  <si>
    <t>1503091405100047</t>
  </si>
  <si>
    <t>1503092807980001</t>
  </si>
  <si>
    <t>EKA SAPUTRA</t>
  </si>
  <si>
    <t>DP-1735</t>
  </si>
  <si>
    <t>1503094605750002</t>
  </si>
  <si>
    <t>SIDO MUKTI</t>
  </si>
  <si>
    <t>DP-1736</t>
  </si>
  <si>
    <t>1503092610730002</t>
  </si>
  <si>
    <t>1503091408240009</t>
  </si>
  <si>
    <t>DP-1737</t>
  </si>
  <si>
    <t>1503091405100052</t>
  </si>
  <si>
    <t>1503095601870001</t>
  </si>
  <si>
    <t>IIS SUPIANTI</t>
  </si>
  <si>
    <t>DP-1738</t>
  </si>
  <si>
    <t>1503090102850001</t>
  </si>
  <si>
    <t>ZAINUDIN</t>
  </si>
  <si>
    <t>DP-1739</t>
  </si>
  <si>
    <t>1503091405140004</t>
  </si>
  <si>
    <t>1503091607930003</t>
  </si>
  <si>
    <t>AHMAT NAZORI</t>
  </si>
  <si>
    <t>Dusun Karya Makmur</t>
  </si>
  <si>
    <t>DP-1740</t>
  </si>
  <si>
    <t>1503090808900003</t>
  </si>
  <si>
    <t>AZHARI</t>
  </si>
  <si>
    <t>DP-1741</t>
  </si>
  <si>
    <t>1503092406070002</t>
  </si>
  <si>
    <t>CIK NAWI</t>
  </si>
  <si>
    <t>DP-1742</t>
  </si>
  <si>
    <t>1503092603590001</t>
  </si>
  <si>
    <t>KASIRIN</t>
  </si>
  <si>
    <t>DP-1743</t>
  </si>
  <si>
    <t>1503095208630001</t>
  </si>
  <si>
    <t>DP-1744</t>
  </si>
  <si>
    <t>1503094903050003</t>
  </si>
  <si>
    <t>PARIJA</t>
  </si>
  <si>
    <t>DP-1745</t>
  </si>
  <si>
    <t>1503094903050004</t>
  </si>
  <si>
    <t>PARIZA</t>
  </si>
  <si>
    <t>DP-1746</t>
  </si>
  <si>
    <t>1503096811020002</t>
  </si>
  <si>
    <t>TRISNA</t>
  </si>
  <si>
    <t>DP-1747</t>
  </si>
  <si>
    <t>1503091405960001</t>
  </si>
  <si>
    <t>WARDIYONO</t>
  </si>
  <si>
    <t>DP-1748</t>
  </si>
  <si>
    <t>1503091405240001</t>
  </si>
  <si>
    <t>1503091709020004</t>
  </si>
  <si>
    <t>KHAMIM JAZULI</t>
  </si>
  <si>
    <t>DP-1749</t>
  </si>
  <si>
    <t>1503091406130003</t>
  </si>
  <si>
    <t>1503095706820001</t>
  </si>
  <si>
    <t>GIYARSIH</t>
  </si>
  <si>
    <t>belum ketemu suamine</t>
  </si>
  <si>
    <t>DP-1750</t>
  </si>
  <si>
    <t>1503092004700001</t>
  </si>
  <si>
    <t>RIYADI</t>
  </si>
  <si>
    <t>DP-1751</t>
  </si>
  <si>
    <t>1503095503020004</t>
  </si>
  <si>
    <t>VIA INDRIYANI</t>
  </si>
  <si>
    <t>DP-1752</t>
  </si>
  <si>
    <t>1503091406190002</t>
  </si>
  <si>
    <t>1503054408920003</t>
  </si>
  <si>
    <t>ANGGUN PERMATA PUSPITA SARI</t>
  </si>
  <si>
    <t>DP-1753</t>
  </si>
  <si>
    <t>1503091101810007</t>
  </si>
  <si>
    <t>JUNIMAN</t>
  </si>
  <si>
    <t>DP-1754</t>
  </si>
  <si>
    <t>1503091406210007</t>
  </si>
  <si>
    <t>1503096312740001</t>
  </si>
  <si>
    <t>SITI FAJARIYAH</t>
  </si>
  <si>
    <t>DP-1755</t>
  </si>
  <si>
    <t>1503092005700001</t>
  </si>
  <si>
    <t>YAKUP</t>
  </si>
  <si>
    <t>DP-1756</t>
  </si>
  <si>
    <t>1503091407100017</t>
  </si>
  <si>
    <t>1503094403800002</t>
  </si>
  <si>
    <t>ENDANG KARTINI</t>
  </si>
  <si>
    <t>DP-1757</t>
  </si>
  <si>
    <t>1503090504790003</t>
  </si>
  <si>
    <t>SAIFUL</t>
  </si>
  <si>
    <t>DP-1758</t>
  </si>
  <si>
    <t>1503091407100019</t>
  </si>
  <si>
    <t>1503095508590001</t>
  </si>
  <si>
    <t>MUYATUH</t>
  </si>
  <si>
    <t>DP-1759</t>
  </si>
  <si>
    <t>1503092810550002</t>
  </si>
  <si>
    <t>DP-1760</t>
  </si>
  <si>
    <t>1503091407110008</t>
  </si>
  <si>
    <t>1503094201030005</t>
  </si>
  <si>
    <t>DRIYA NIRMALA</t>
  </si>
  <si>
    <t>DP-1761</t>
  </si>
  <si>
    <t>1503092003710003</t>
  </si>
  <si>
    <t>MUCHTAR BASHORI</t>
  </si>
  <si>
    <t>DP-1762</t>
  </si>
  <si>
    <t>1503091408190002</t>
  </si>
  <si>
    <t>1305031004910002</t>
  </si>
  <si>
    <t>HENGKI</t>
  </si>
  <si>
    <t>RIMBO DULANG-DULANG</t>
  </si>
  <si>
    <t>DP-1763</t>
  </si>
  <si>
    <t>1503095212960002</t>
  </si>
  <si>
    <t>YUYUN NUR AINI</t>
  </si>
  <si>
    <t>DP-1764</t>
  </si>
  <si>
    <t>1503091408190004</t>
  </si>
  <si>
    <t>1503050907770001</t>
  </si>
  <si>
    <t>ARIS BUDIONO</t>
  </si>
  <si>
    <t>DP-1765</t>
  </si>
  <si>
    <t>1503055304030001</t>
  </si>
  <si>
    <t>DP-1766</t>
  </si>
  <si>
    <t>1503054203840004</t>
  </si>
  <si>
    <t>HENDRAWATI</t>
  </si>
  <si>
    <t>DP-1767</t>
  </si>
  <si>
    <t>1503091409070001</t>
  </si>
  <si>
    <t>1503091011010001</t>
  </si>
  <si>
    <t>HANIF KURNIAWAN</t>
  </si>
  <si>
    <t>DP-1768</t>
  </si>
  <si>
    <t>1503095707720001</t>
  </si>
  <si>
    <t>MINARSIH</t>
  </si>
  <si>
    <t>DP-1769</t>
  </si>
  <si>
    <t>1503091707640001</t>
  </si>
  <si>
    <t>WARTONO</t>
  </si>
  <si>
    <t>DP-1770</t>
  </si>
  <si>
    <t>1503091409070006</t>
  </si>
  <si>
    <t>1503091708630001</t>
  </si>
  <si>
    <t>AGUS</t>
  </si>
  <si>
    <t>DP-1771</t>
  </si>
  <si>
    <t>1503092009990002</t>
  </si>
  <si>
    <t>DIAN SEPTIANTO</t>
  </si>
  <si>
    <t>DP-1772</t>
  </si>
  <si>
    <t>1503095707680003</t>
  </si>
  <si>
    <t>SAINAH</t>
  </si>
  <si>
    <t>DP-1773</t>
  </si>
  <si>
    <t>1503091409070008</t>
  </si>
  <si>
    <t>1503094406730001</t>
  </si>
  <si>
    <t>DP-1774</t>
  </si>
  <si>
    <t>1503091604700001</t>
  </si>
  <si>
    <t>RUSNO</t>
  </si>
  <si>
    <t>DP-1775</t>
  </si>
  <si>
    <t>1503091409070009</t>
  </si>
  <si>
    <t>1503091707540002</t>
  </si>
  <si>
    <t>JAMUN</t>
  </si>
  <si>
    <t>DSN KARYA MAKMUR</t>
  </si>
  <si>
    <t>DP-1776</t>
  </si>
  <si>
    <t>1503094406680002</t>
  </si>
  <si>
    <t>TRI YANI</t>
  </si>
  <si>
    <t>DP-1777</t>
  </si>
  <si>
    <t>1503091409070012</t>
  </si>
  <si>
    <t>1503092710780001</t>
  </si>
  <si>
    <t>IMAM WAHYUDI</t>
  </si>
  <si>
    <t>DSNDSN PAYO LEBAR</t>
  </si>
  <si>
    <t>DP-1778</t>
  </si>
  <si>
    <t>1503095309860001</t>
  </si>
  <si>
    <t>SEPTA RINA NINGSIH</t>
  </si>
  <si>
    <t>DP-1779</t>
  </si>
  <si>
    <t>1503090703060001</t>
  </si>
  <si>
    <t>SHENDY SYAFA'ATUL MAHFUD</t>
  </si>
  <si>
    <t>DP-1780</t>
  </si>
  <si>
    <t>1503091409070016</t>
  </si>
  <si>
    <t>1503094107450006</t>
  </si>
  <si>
    <t>DP-1781</t>
  </si>
  <si>
    <t>1503096709790001</t>
  </si>
  <si>
    <t>RIYANTI NINGSIH</t>
  </si>
  <si>
    <t>1503090310240001</t>
  </si>
  <si>
    <t>DP-1782</t>
  </si>
  <si>
    <t>1503091204770001</t>
  </si>
  <si>
    <t>SUDARMAJI</t>
  </si>
  <si>
    <t>DP-1783</t>
  </si>
  <si>
    <t>1503091409070017</t>
  </si>
  <si>
    <t>1503090107510007</t>
  </si>
  <si>
    <t>SUKIMIN EKA TOWONGSO</t>
  </si>
  <si>
    <t>DP-1784</t>
  </si>
  <si>
    <t>1503094107620009</t>
  </si>
  <si>
    <t>SUPRIHATIN KATNO SAMIJAN</t>
  </si>
  <si>
    <t>DP-1785</t>
  </si>
  <si>
    <t>1503090603250000</t>
  </si>
  <si>
    <t>1503090809010001</t>
  </si>
  <si>
    <t>AHMAD ILHAM PRATAMA</t>
  </si>
  <si>
    <t>DP-1786</t>
  </si>
  <si>
    <t>1503091409070018</t>
  </si>
  <si>
    <t>1503095204820001</t>
  </si>
  <si>
    <t>DP-1787</t>
  </si>
  <si>
    <t>1503094104060001</t>
  </si>
  <si>
    <t>FAJRI MARATUS SHOLEHA</t>
  </si>
  <si>
    <t>DP-1788</t>
  </si>
  <si>
    <t>1503091204670001</t>
  </si>
  <si>
    <t>KEMAN</t>
  </si>
  <si>
    <t>DP-1789</t>
  </si>
  <si>
    <t>1503091409070019</t>
  </si>
  <si>
    <t>1503095704550002</t>
  </si>
  <si>
    <t>DP-1790</t>
  </si>
  <si>
    <t>1503091409070020</t>
  </si>
  <si>
    <t>1503096005810003</t>
  </si>
  <si>
    <t>DP-1791</t>
  </si>
  <si>
    <t>1503092004070002</t>
  </si>
  <si>
    <t>TARASYA AUNURROFIQ</t>
  </si>
  <si>
    <t>DP-1792</t>
  </si>
  <si>
    <t>1503090901760001</t>
  </si>
  <si>
    <t>TARYONO</t>
  </si>
  <si>
    <t>DP-1793</t>
  </si>
  <si>
    <t>1503091409070025</t>
  </si>
  <si>
    <t>1503091109950001</t>
  </si>
  <si>
    <t>MEDI SANTOSO</t>
  </si>
  <si>
    <t>DP-1794</t>
  </si>
  <si>
    <t>1503095211930002</t>
  </si>
  <si>
    <t>SITI NUR KHASANAH</t>
  </si>
  <si>
    <t>DP-1795</t>
  </si>
  <si>
    <t>1503091010520001</t>
  </si>
  <si>
    <t>SYUKUR</t>
  </si>
  <si>
    <t>DP-1796</t>
  </si>
  <si>
    <t>1503091409070026</t>
  </si>
  <si>
    <t>1503092104010001</t>
  </si>
  <si>
    <t>APRILIA ANDINI</t>
  </si>
  <si>
    <t>DP-1797</t>
  </si>
  <si>
    <t>1503090411640001</t>
  </si>
  <si>
    <t>MUALIM KASBULLAH</t>
  </si>
  <si>
    <t>DP-1798</t>
  </si>
  <si>
    <t>1503091409070028</t>
  </si>
  <si>
    <t>1503092912030001</t>
  </si>
  <si>
    <t>AHMAD ARDIANSYAH</t>
  </si>
  <si>
    <t>DP-1799</t>
  </si>
  <si>
    <t>1503090107650015</t>
  </si>
  <si>
    <t>GUNAWAN MARJI</t>
  </si>
  <si>
    <t>DP-1800</t>
  </si>
  <si>
    <t>1503094407710001</t>
  </si>
  <si>
    <t>MUSLIKAH</t>
  </si>
  <si>
    <t>DP-1801</t>
  </si>
  <si>
    <t>1503091409090002</t>
  </si>
  <si>
    <t>1503090107720075</t>
  </si>
  <si>
    <t>FRAMUJIANTO</t>
  </si>
  <si>
    <t>DP-1802</t>
  </si>
  <si>
    <t>1503096505010006</t>
  </si>
  <si>
    <t>NURUL IZATI KHASANAH</t>
  </si>
  <si>
    <t>DP-1803</t>
  </si>
  <si>
    <t>1503091810060003</t>
  </si>
  <si>
    <t>RAHMAT TEGAR SANTOSO</t>
  </si>
  <si>
    <t>DP-1804</t>
  </si>
  <si>
    <t>1503094705730002</t>
  </si>
  <si>
    <t>SITI MAIMUNAH</t>
  </si>
  <si>
    <t>KELAYU</t>
  </si>
  <si>
    <t>DP-1805</t>
  </si>
  <si>
    <t>1503091409090003</t>
  </si>
  <si>
    <t>1503092208850001</t>
  </si>
  <si>
    <t>NUR CHOLIS</t>
  </si>
  <si>
    <t>DP-1806</t>
  </si>
  <si>
    <t>1503094911070001</t>
  </si>
  <si>
    <t>DP-1807</t>
  </si>
  <si>
    <t>1503096709880002</t>
  </si>
  <si>
    <t>SUPRIHATIN</t>
  </si>
  <si>
    <t>DP-1808</t>
  </si>
  <si>
    <t>1503091409230001</t>
  </si>
  <si>
    <t>1503095211840001</t>
  </si>
  <si>
    <t>EVA YULIANA</t>
  </si>
  <si>
    <t>DP-1809</t>
  </si>
  <si>
    <t>1503091108020001</t>
  </si>
  <si>
    <t>RAYINDRA WISNU SAPUTRA</t>
  </si>
  <si>
    <t>DP-1810</t>
  </si>
  <si>
    <t>1503091410100001</t>
  </si>
  <si>
    <t>1503040512490001</t>
  </si>
  <si>
    <t>AMSORI</t>
  </si>
  <si>
    <t>DP-1811</t>
  </si>
  <si>
    <t>1503090610780001</t>
  </si>
  <si>
    <t>BUDI HARTO</t>
  </si>
  <si>
    <t>DP-1812</t>
  </si>
  <si>
    <t>1503094507870004</t>
  </si>
  <si>
    <t>MEIDIAN TRI LESTARI</t>
  </si>
  <si>
    <t>DP-1813</t>
  </si>
  <si>
    <t>1503091410100005</t>
  </si>
  <si>
    <t>1503093003070001</t>
  </si>
  <si>
    <t>AL FAHREZI SYAFRIANSAH</t>
  </si>
  <si>
    <t>DP-1814</t>
  </si>
  <si>
    <t>1503095912890001</t>
  </si>
  <si>
    <t>EVA WIJAYANTI</t>
  </si>
  <si>
    <t>DP-1815</t>
  </si>
  <si>
    <t>1503090212830001</t>
  </si>
  <si>
    <t>SERLY SYAFRIYANTO</t>
  </si>
  <si>
    <t>DP-1816</t>
  </si>
  <si>
    <t>1503091410100006</t>
  </si>
  <si>
    <t>1503091010650003</t>
  </si>
  <si>
    <t>DARNI</t>
  </si>
  <si>
    <t>T. AGUNG JATIM</t>
  </si>
  <si>
    <t>DP-1817</t>
  </si>
  <si>
    <t>1503090911940001</t>
  </si>
  <si>
    <t>PANDU SAPUTRO</t>
  </si>
  <si>
    <t>DP-1818</t>
  </si>
  <si>
    <t>1503094606700003</t>
  </si>
  <si>
    <t>SUYATMI</t>
  </si>
  <si>
    <t>DP-1819</t>
  </si>
  <si>
    <t>1503091410100008</t>
  </si>
  <si>
    <t>1503091409050003</t>
  </si>
  <si>
    <t>IRFAN RAHMADANI</t>
  </si>
  <si>
    <t>DP-1820</t>
  </si>
  <si>
    <t>1503095902890001</t>
  </si>
  <si>
    <t>MUKMINAH</t>
  </si>
  <si>
    <t>DP-1821</t>
  </si>
  <si>
    <t>1503091010830007</t>
  </si>
  <si>
    <t>DP-1822</t>
  </si>
  <si>
    <t>1503091410100009</t>
  </si>
  <si>
    <t>1503094208040001</t>
  </si>
  <si>
    <t>ERVINA HANDAYANI</t>
  </si>
  <si>
    <t>DP-1823</t>
  </si>
  <si>
    <t>1503091608790005</t>
  </si>
  <si>
    <t>SAWALI</t>
  </si>
  <si>
    <t>DP-1824</t>
  </si>
  <si>
    <t>1503094506830004</t>
  </si>
  <si>
    <t>SITI ROHMAH</t>
  </si>
  <si>
    <t>DP-1825</t>
  </si>
  <si>
    <t>1503091410100010</t>
  </si>
  <si>
    <t>1503096609010001</t>
  </si>
  <si>
    <t>AYU DWI ANINGSIH</t>
  </si>
  <si>
    <t>DP-1826</t>
  </si>
  <si>
    <t>1503094102000002</t>
  </si>
  <si>
    <t>FEBRY ANJARWATI</t>
  </si>
  <si>
    <t>DP-1827</t>
  </si>
  <si>
    <t>1503096109810003</t>
  </si>
  <si>
    <t>LASMINI</t>
  </si>
  <si>
    <t>DP-1828</t>
  </si>
  <si>
    <t>1503091411710001</t>
  </si>
  <si>
    <t>ROHMAT</t>
  </si>
  <si>
    <t>DP-1829</t>
  </si>
  <si>
    <t>1503091410100013</t>
  </si>
  <si>
    <t>1503091201790001</t>
  </si>
  <si>
    <t>KABUL BUDIANTO</t>
  </si>
  <si>
    <t>DP-1830</t>
  </si>
  <si>
    <t>1503094304840002</t>
  </si>
  <si>
    <t>1503091201260003</t>
  </si>
  <si>
    <t>DP-1831</t>
  </si>
  <si>
    <t>1503091410100014</t>
  </si>
  <si>
    <t>1503095208810004</t>
  </si>
  <si>
    <t>ENI LESTARI</t>
  </si>
  <si>
    <t>DP-1832</t>
  </si>
  <si>
    <t>1503094308020004</t>
  </si>
  <si>
    <t>REVIA ANDINI</t>
  </si>
  <si>
    <t>DP-1833</t>
  </si>
  <si>
    <t>1503090201820001</t>
  </si>
  <si>
    <t>SUWARNO</t>
  </si>
  <si>
    <t>DP-1834</t>
  </si>
  <si>
    <t>1503091410200001</t>
  </si>
  <si>
    <t>1503090406910003</t>
  </si>
  <si>
    <t>AHMAD MUTHOHARI EKO SAPUTRO</t>
  </si>
  <si>
    <t>DP-1835</t>
  </si>
  <si>
    <t>1503057007990003</t>
  </si>
  <si>
    <t>IRMAYASARI</t>
  </si>
  <si>
    <t>DP-1836</t>
  </si>
  <si>
    <t>1503091411080003</t>
  </si>
  <si>
    <t>1503094107990055</t>
  </si>
  <si>
    <t>NIFI NOFRIANI</t>
  </si>
  <si>
    <t>DP-1837</t>
  </si>
  <si>
    <t>1503096601050001</t>
  </si>
  <si>
    <t>NITA FARADILA</t>
  </si>
  <si>
    <t>DP-1838</t>
  </si>
  <si>
    <t>1503092006720003</t>
  </si>
  <si>
    <t>SALIM</t>
  </si>
  <si>
    <t>DP-1839</t>
  </si>
  <si>
    <t>1503096808790002</t>
  </si>
  <si>
    <t>UMI HANIK</t>
  </si>
  <si>
    <t>DP-1840</t>
  </si>
  <si>
    <t>1503091411160009</t>
  </si>
  <si>
    <t>1503092110910004</t>
  </si>
  <si>
    <t>DODI SOHIBUDIN</t>
  </si>
  <si>
    <t>DP-1841</t>
  </si>
  <si>
    <t>1503095205930002</t>
  </si>
  <si>
    <t>TRI DIYANNIKA</t>
  </si>
  <si>
    <t>DP-1842</t>
  </si>
  <si>
    <t>1503091411230003</t>
  </si>
  <si>
    <t>1503052402960003</t>
  </si>
  <si>
    <t>LUKMAN ARIF SETYAWAN</t>
  </si>
  <si>
    <t>DP-1843</t>
  </si>
  <si>
    <t>1503094310990003</t>
  </si>
  <si>
    <t>TRI AYU WULANSARI</t>
  </si>
  <si>
    <t>Padang</t>
  </si>
  <si>
    <t>DP-1844</t>
  </si>
  <si>
    <t>1503091412070002</t>
  </si>
  <si>
    <t>1503092202060001</t>
  </si>
  <si>
    <t>ALFAT FERIYANTO</t>
  </si>
  <si>
    <t>DP-1845</t>
  </si>
  <si>
    <t>1503092710790001</t>
  </si>
  <si>
    <t>DP-1846</t>
  </si>
  <si>
    <t>1503094407840001</t>
  </si>
  <si>
    <t>YULI YARNI</t>
  </si>
  <si>
    <t>DP-1847</t>
  </si>
  <si>
    <t>1503091412200006</t>
  </si>
  <si>
    <t>1503095101000006</t>
  </si>
  <si>
    <t>ELIS SUCIANTI</t>
  </si>
  <si>
    <t>DSN. I KARYA MAKMUR</t>
  </si>
  <si>
    <t>DP-1848</t>
  </si>
  <si>
    <t>1702113004940002</t>
  </si>
  <si>
    <t>RAHMAD WAHYUDI</t>
  </si>
  <si>
    <t>SIMPANG NANGKA</t>
  </si>
  <si>
    <t>DP-1849</t>
  </si>
  <si>
    <t>1503091501080030</t>
  </si>
  <si>
    <t>1503090107650025</t>
  </si>
  <si>
    <t>SUHUT</t>
  </si>
  <si>
    <t>DP-1850</t>
  </si>
  <si>
    <t>1503094505660001</t>
  </si>
  <si>
    <t>SUMARSEH</t>
  </si>
  <si>
    <t>DP-1851</t>
  </si>
  <si>
    <t>1503091501080048</t>
  </si>
  <si>
    <t>1503094512690001</t>
  </si>
  <si>
    <t>MISRI</t>
  </si>
  <si>
    <t>DSNPAYO LEBARDSNIV</t>
  </si>
  <si>
    <t>DP-1852</t>
  </si>
  <si>
    <t>1503091501090002</t>
  </si>
  <si>
    <t>1503096209590001</t>
  </si>
  <si>
    <t>RASINEM SINAGA</t>
  </si>
  <si>
    <t>DP-1853</t>
  </si>
  <si>
    <t>1503095401930001</t>
  </si>
  <si>
    <t>SRI DEWI MANULLANG</t>
  </si>
  <si>
    <t>DP-1854</t>
  </si>
  <si>
    <t>1503091501200009</t>
  </si>
  <si>
    <t>1503096409940005</t>
  </si>
  <si>
    <t>PRAMUKTI</t>
  </si>
  <si>
    <t>DP-1855</t>
  </si>
  <si>
    <t>1503090107910018</t>
  </si>
  <si>
    <t>ROMANTO</t>
  </si>
  <si>
    <t>DP-1856</t>
  </si>
  <si>
    <t>1503091501200018</t>
  </si>
  <si>
    <t>1503096908940001</t>
  </si>
  <si>
    <t>ERLYAWATI</t>
  </si>
  <si>
    <t>DP-1857</t>
  </si>
  <si>
    <t>1503091502080075</t>
  </si>
  <si>
    <t>1503090310740001</t>
  </si>
  <si>
    <t>NANDANG KUSWARA</t>
  </si>
  <si>
    <t>DP-1858</t>
  </si>
  <si>
    <t>1503091502100008</t>
  </si>
  <si>
    <t>1503092104640005</t>
  </si>
  <si>
    <t>SUGENG</t>
  </si>
  <si>
    <t>DP-1859</t>
  </si>
  <si>
    <t>1503094812680001</t>
  </si>
  <si>
    <t>DP-1860</t>
  </si>
  <si>
    <t>1503091502100010</t>
  </si>
  <si>
    <t>1503092207750001</t>
  </si>
  <si>
    <t>DP-1861</t>
  </si>
  <si>
    <t>1503096808610001</t>
  </si>
  <si>
    <t>SISMA HERNIATI</t>
  </si>
  <si>
    <t>TJ. ENIM</t>
  </si>
  <si>
    <t>DP-1862</t>
  </si>
  <si>
    <t>1503091502180009</t>
  </si>
  <si>
    <t>1503094403960001</t>
  </si>
  <si>
    <t>SOIMAH WIANAH</t>
  </si>
  <si>
    <t>DP-1863</t>
  </si>
  <si>
    <t>1503090303890002</t>
  </si>
  <si>
    <t>TEGUH</t>
  </si>
  <si>
    <t>DP-1864</t>
  </si>
  <si>
    <t>1503091502230003</t>
  </si>
  <si>
    <t>1503052012960003</t>
  </si>
  <si>
    <t>LATIF WAHYU EFENDI</t>
  </si>
  <si>
    <t>DP-1865</t>
  </si>
  <si>
    <t>1503094303030002</t>
  </si>
  <si>
    <t>NINIK PUJI ASTUTI</t>
  </si>
  <si>
    <t>DP-1866</t>
  </si>
  <si>
    <t>1503091503100015</t>
  </si>
  <si>
    <t>1503094104990004</t>
  </si>
  <si>
    <t>ADI BELA PRIHATINI</t>
  </si>
  <si>
    <t>DP-1867</t>
  </si>
  <si>
    <t>1503090808710005</t>
  </si>
  <si>
    <t>AGUS PRIATAMA</t>
  </si>
  <si>
    <t>GUNUNG SARI</t>
  </si>
  <si>
    <t>DP-1868</t>
  </si>
  <si>
    <t>1503095703710001</t>
  </si>
  <si>
    <t>RELAWATI</t>
  </si>
  <si>
    <t>GADING REJO</t>
  </si>
  <si>
    <t>DP-1869</t>
  </si>
  <si>
    <t>1503091503100020</t>
  </si>
  <si>
    <t>1503091004060003</t>
  </si>
  <si>
    <t>M. ARIAN SAPUTRA</t>
  </si>
  <si>
    <t>DP-1870</t>
  </si>
  <si>
    <t>1503092709700002</t>
  </si>
  <si>
    <t>MADI</t>
  </si>
  <si>
    <t>DP-1871</t>
  </si>
  <si>
    <t>1503095906740001</t>
  </si>
  <si>
    <t>MUJIAH</t>
  </si>
  <si>
    <t>DP-1872</t>
  </si>
  <si>
    <t>1503090305000003</t>
  </si>
  <si>
    <t>RANDI ALAMSYAH</t>
  </si>
  <si>
    <t>DP-1873</t>
  </si>
  <si>
    <t>1503092407960001</t>
  </si>
  <si>
    <t>RUDI IRAWAN</t>
  </si>
  <si>
    <t>DP-1874</t>
  </si>
  <si>
    <t>1503091503120001</t>
  </si>
  <si>
    <t>1503096910020001</t>
  </si>
  <si>
    <t>AYU AFRIYANTI</t>
  </si>
  <si>
    <t>DP-1875</t>
  </si>
  <si>
    <t>1503091610060003</t>
  </si>
  <si>
    <t>FAQIH HUDIN HIQMAH TIYAR</t>
  </si>
  <si>
    <t>CAHAYA MAJU-OKI</t>
  </si>
  <si>
    <t>DP-1876</t>
  </si>
  <si>
    <t>1503095507800005</t>
  </si>
  <si>
    <t>SITI PATIMAH</t>
  </si>
  <si>
    <t>BUMI ARJO</t>
  </si>
  <si>
    <t>DP-1877</t>
  </si>
  <si>
    <t>1503091608750003</t>
  </si>
  <si>
    <t>VAHRUR ROZI</t>
  </si>
  <si>
    <t>DP-1878</t>
  </si>
  <si>
    <t>1503091503120002</t>
  </si>
  <si>
    <t>1503092705780003</t>
  </si>
  <si>
    <t>NANA MULYANA</t>
  </si>
  <si>
    <t>KUNINGAN</t>
  </si>
  <si>
    <t>DP-1879</t>
  </si>
  <si>
    <t>1503096710840001</t>
  </si>
  <si>
    <t>SITI JENAB</t>
  </si>
  <si>
    <t>SUBANG JAYA</t>
  </si>
  <si>
    <t>DP-1880</t>
  </si>
  <si>
    <t>1503091503160008</t>
  </si>
  <si>
    <t>1503092505850004</t>
  </si>
  <si>
    <t>MUALIFI</t>
  </si>
  <si>
    <t>DP-1881</t>
  </si>
  <si>
    <t>1605075408890002</t>
  </si>
  <si>
    <t>SITI HANIFAH</t>
  </si>
  <si>
    <t>SUNGAI JERNIH</t>
  </si>
  <si>
    <t>DP-1882</t>
  </si>
  <si>
    <t>1503091503170009</t>
  </si>
  <si>
    <t>1503095707910005</t>
  </si>
  <si>
    <t>IIS DARNIATI</t>
  </si>
  <si>
    <t>DP-1883</t>
  </si>
  <si>
    <t>1503092806890001</t>
  </si>
  <si>
    <t>RIADI</t>
  </si>
  <si>
    <t>DP-1884</t>
  </si>
  <si>
    <t>1503091503180002</t>
  </si>
  <si>
    <t>1503095202990003</t>
  </si>
  <si>
    <t>SELLY AYU PRADINI</t>
  </si>
  <si>
    <t>DP-1885</t>
  </si>
  <si>
    <t>1503090409930002</t>
  </si>
  <si>
    <t>SEPRIANTO</t>
  </si>
  <si>
    <t>DP-1886</t>
  </si>
  <si>
    <t>1503091503220007</t>
  </si>
  <si>
    <t>1673074707890003</t>
  </si>
  <si>
    <t>SITI MUTIAH</t>
  </si>
  <si>
    <t>DP-1887</t>
  </si>
  <si>
    <t>1673080511840001</t>
  </si>
  <si>
    <t>SUNARDI</t>
  </si>
  <si>
    <t>LUBUKLINGGAU</t>
  </si>
  <si>
    <t>DP-1888</t>
  </si>
  <si>
    <t>1503091504100002</t>
  </si>
  <si>
    <t>1503095705970002</t>
  </si>
  <si>
    <t>MANIATUL MUSRIFAH</t>
  </si>
  <si>
    <t>DP-1889</t>
  </si>
  <si>
    <t>1503094306760005</t>
  </si>
  <si>
    <t>SITI JUMAIYAH</t>
  </si>
  <si>
    <t>DP-1890</t>
  </si>
  <si>
    <t>1503090506740002</t>
  </si>
  <si>
    <t>SLAMET. E</t>
  </si>
  <si>
    <t>DP-1891</t>
  </si>
  <si>
    <t>1503091504190003</t>
  </si>
  <si>
    <t>1503094203450001</t>
  </si>
  <si>
    <t>GIYEM</t>
  </si>
  <si>
    <t>DP-1892</t>
  </si>
  <si>
    <t>1503091505090002</t>
  </si>
  <si>
    <t>1503090909680003</t>
  </si>
  <si>
    <t>SOPAN SOPIAN HUTAHAEAN</t>
  </si>
  <si>
    <t>DP-1893</t>
  </si>
  <si>
    <t>1503094204730001</t>
  </si>
  <si>
    <t>TARWI</t>
  </si>
  <si>
    <t>DP-1894</t>
  </si>
  <si>
    <t>1503091505100026</t>
  </si>
  <si>
    <t>1503092103820003</t>
  </si>
  <si>
    <t>BENNY FAHRIZAL</t>
  </si>
  <si>
    <t>TANJUNG PAUH HILIR</t>
  </si>
  <si>
    <t>DP-1895</t>
  </si>
  <si>
    <t>1503094107830011</t>
  </si>
  <si>
    <t>DP-1896</t>
  </si>
  <si>
    <t>1503091505100028</t>
  </si>
  <si>
    <t>1503091306050003</t>
  </si>
  <si>
    <t>M. IQBAL SAFIKRI</t>
  </si>
  <si>
    <t>DP-1897</t>
  </si>
  <si>
    <t>1503094110700010</t>
  </si>
  <si>
    <t>PARJILAH</t>
  </si>
  <si>
    <t>DP-1898</t>
  </si>
  <si>
    <t>1503090107660029</t>
  </si>
  <si>
    <t>DP-1899</t>
  </si>
  <si>
    <t>1503090511980003</t>
  </si>
  <si>
    <t>TRIO MUHAJIRIN</t>
  </si>
  <si>
    <t>DP-1900</t>
  </si>
  <si>
    <t>1503091505100029</t>
  </si>
  <si>
    <t>1503095205520003</t>
  </si>
  <si>
    <t>TARMI</t>
  </si>
  <si>
    <t>DP-1901</t>
  </si>
  <si>
    <t>1503090203620002</t>
  </si>
  <si>
    <t>WAGIMAN</t>
  </si>
  <si>
    <t>DP-1902</t>
  </si>
  <si>
    <t>1503091505100033</t>
  </si>
  <si>
    <t>1503095606810003</t>
  </si>
  <si>
    <t>ANDRIANI KLASWATI</t>
  </si>
  <si>
    <t>DP-1903</t>
  </si>
  <si>
    <t>1503090812040005</t>
  </si>
  <si>
    <t>FERDY RISKI PRATAMA</t>
  </si>
  <si>
    <t>DP-1904</t>
  </si>
  <si>
    <t>1503092005770002</t>
  </si>
  <si>
    <t>MUSLIMIN</t>
  </si>
  <si>
    <t>DP-1905</t>
  </si>
  <si>
    <t>1503091505100034</t>
  </si>
  <si>
    <t>1503093107060003</t>
  </si>
  <si>
    <t>ALTHAF GIOFANDIKA PURWANTO</t>
  </si>
  <si>
    <t>DP-1906</t>
  </si>
  <si>
    <t>1503091305810002</t>
  </si>
  <si>
    <t>DP-1907</t>
  </si>
  <si>
    <t>1503096705850004</t>
  </si>
  <si>
    <t>DP-1908</t>
  </si>
  <si>
    <t>1503091505100035</t>
  </si>
  <si>
    <t>1503090402020002</t>
  </si>
  <si>
    <t>CITRA SEKAR ARUM</t>
  </si>
  <si>
    <t>DP-1909</t>
  </si>
  <si>
    <t>1503092511680003</t>
  </si>
  <si>
    <t>HERI YANTO</t>
  </si>
  <si>
    <t>DP-1910</t>
  </si>
  <si>
    <t>1503094101730005</t>
  </si>
  <si>
    <t>UNIROH</t>
  </si>
  <si>
    <t>DP-1911</t>
  </si>
  <si>
    <t>1503091505100038</t>
  </si>
  <si>
    <t>1503091202810004</t>
  </si>
  <si>
    <t>KARDI</t>
  </si>
  <si>
    <t>DP-1912</t>
  </si>
  <si>
    <t>1503095201810001</t>
  </si>
  <si>
    <t>DP-1913</t>
  </si>
  <si>
    <t>1503095502050002</t>
  </si>
  <si>
    <t>NABILLA KHAIRANI AL-A'RAAF</t>
  </si>
  <si>
    <t>DP-1914</t>
  </si>
  <si>
    <t>1503090208060001</t>
  </si>
  <si>
    <t>SULTAN RASYIDDIN ALA'RAAF</t>
  </si>
  <si>
    <t>DS II, PAYOLEBAR</t>
  </si>
  <si>
    <t>DP-1915</t>
  </si>
  <si>
    <t>1503091505100039</t>
  </si>
  <si>
    <t>1503090710800003</t>
  </si>
  <si>
    <t>KHOIRI</t>
  </si>
  <si>
    <t>DP-1916</t>
  </si>
  <si>
    <t>1503096301790003</t>
  </si>
  <si>
    <t>SULASMI</t>
  </si>
  <si>
    <t>DP-1917</t>
  </si>
  <si>
    <t>1503091505100044</t>
  </si>
  <si>
    <t>1503096805040002</t>
  </si>
  <si>
    <t>SISKA MEYLANNI</t>
  </si>
  <si>
    <t>DP-1918</t>
  </si>
  <si>
    <t>1503090412790002</t>
  </si>
  <si>
    <t>SOLEMAN</t>
  </si>
  <si>
    <t>DP-1919</t>
  </si>
  <si>
    <t>1503095509800001</t>
  </si>
  <si>
    <t>YAMINI</t>
  </si>
  <si>
    <t>DP-1920</t>
  </si>
  <si>
    <t>1503091505100050</t>
  </si>
  <si>
    <t>1503091404840001</t>
  </si>
  <si>
    <t>DP-1921</t>
  </si>
  <si>
    <t>1503095205840005</t>
  </si>
  <si>
    <t>SOLEHATI NURJANAH</t>
  </si>
  <si>
    <t>DP-1922</t>
  </si>
  <si>
    <t>1503091505100057</t>
  </si>
  <si>
    <t>1503091711990001</t>
  </si>
  <si>
    <t>BAGUS TRI DANI</t>
  </si>
  <si>
    <t>DP-1923</t>
  </si>
  <si>
    <t>1503091702520003</t>
  </si>
  <si>
    <t>MARKIDI</t>
  </si>
  <si>
    <t>DP-1924</t>
  </si>
  <si>
    <t>1503094107660007</t>
  </si>
  <si>
    <t>SITI MAKMURIYAH</t>
  </si>
  <si>
    <t>DP-1925</t>
  </si>
  <si>
    <t>1503091505100060</t>
  </si>
  <si>
    <t>1503091908670001</t>
  </si>
  <si>
    <t>AGUS RAHARJO</t>
  </si>
  <si>
    <t>DP-1926</t>
  </si>
  <si>
    <t>1503091201980003</t>
  </si>
  <si>
    <t>SANDY ALAMSYAH INDRA KUSUMA</t>
  </si>
  <si>
    <t>DP-1927</t>
  </si>
  <si>
    <t>1503094609780001</t>
  </si>
  <si>
    <t>DP-1928</t>
  </si>
  <si>
    <t>1503091505100061</t>
  </si>
  <si>
    <t>1503092706690002</t>
  </si>
  <si>
    <t>KASIMAN</t>
  </si>
  <si>
    <t>DP-1929</t>
  </si>
  <si>
    <t>1503094707730003</t>
  </si>
  <si>
    <t>SRI WINARTI</t>
  </si>
  <si>
    <t>RANTO RASO</t>
  </si>
  <si>
    <t>DP-1930</t>
  </si>
  <si>
    <t>1503094612010001</t>
  </si>
  <si>
    <t>WIDYA NINGSIH</t>
  </si>
  <si>
    <t>DP-1931</t>
  </si>
  <si>
    <t>1503091505100062</t>
  </si>
  <si>
    <t>1503090107020024</t>
  </si>
  <si>
    <t>KRISNA BAGUS SAPUTRA</t>
  </si>
  <si>
    <t>DP-1932</t>
  </si>
  <si>
    <t>1503092304540001</t>
  </si>
  <si>
    <t>DP-1933</t>
  </si>
  <si>
    <t>1503094804650003</t>
  </si>
  <si>
    <t>DP-1934</t>
  </si>
  <si>
    <t>1503095703290001</t>
  </si>
  <si>
    <t>DP-1935</t>
  </si>
  <si>
    <t>1503091505100063</t>
  </si>
  <si>
    <t>1503096311040002</t>
  </si>
  <si>
    <t>LIA VIRNANDA</t>
  </si>
  <si>
    <t>DS.II PAYOLEBAR</t>
  </si>
  <si>
    <t>DP-1936</t>
  </si>
  <si>
    <t>1503095608840002</t>
  </si>
  <si>
    <t>NURSIDAH</t>
  </si>
  <si>
    <t>DP-1937</t>
  </si>
  <si>
    <t>1503090702770003</t>
  </si>
  <si>
    <t>SRIONO</t>
  </si>
  <si>
    <t>DP-1938</t>
  </si>
  <si>
    <t>1503091505100066</t>
  </si>
  <si>
    <t>1503097008760002</t>
  </si>
  <si>
    <t>ENDANG RAMADANINGSIH</t>
  </si>
  <si>
    <t>DP-1939</t>
  </si>
  <si>
    <t>1503090202080004</t>
  </si>
  <si>
    <t>MUHAMMAD FAUZAN ASSOEFIE</t>
  </si>
  <si>
    <t>DP-1940</t>
  </si>
  <si>
    <t>1503092505670001</t>
  </si>
  <si>
    <t>DP-1941</t>
  </si>
  <si>
    <t>1503091505180003</t>
  </si>
  <si>
    <t>1503092502070002</t>
  </si>
  <si>
    <t>FRENGKI KURNIAWAN</t>
  </si>
  <si>
    <t>KARYA BAKTI</t>
  </si>
  <si>
    <t>DP-1942</t>
  </si>
  <si>
    <t>1503095001900002</t>
  </si>
  <si>
    <t>PARINAH</t>
  </si>
  <si>
    <t>BENGKULU UTARA</t>
  </si>
  <si>
    <t>DP-1943</t>
  </si>
  <si>
    <t>1503051307880001</t>
  </si>
  <si>
    <t>SUPRIYATNA</t>
  </si>
  <si>
    <t>DP-1944</t>
  </si>
  <si>
    <t>1503091506090019</t>
  </si>
  <si>
    <t>1503095906050002</t>
  </si>
  <si>
    <t>AISYAH SILVIRA PUTRI</t>
  </si>
  <si>
    <t>DP-1945</t>
  </si>
  <si>
    <t>1503091909790001</t>
  </si>
  <si>
    <t>M. SADIKIN</t>
  </si>
  <si>
    <t>DP-1946</t>
  </si>
  <si>
    <t>1503096201810001</t>
  </si>
  <si>
    <t>SULIS SETIA WATI</t>
  </si>
  <si>
    <t>DP-1947</t>
  </si>
  <si>
    <t>1503091506090020</t>
  </si>
  <si>
    <t>1503090904800001</t>
  </si>
  <si>
    <t>KOMASUD</t>
  </si>
  <si>
    <t>DP-1948</t>
  </si>
  <si>
    <t>1503094909030003</t>
  </si>
  <si>
    <t>SELLY KURNIAWATI</t>
  </si>
  <si>
    <t>DP-1949</t>
  </si>
  <si>
    <t>1503095909840003</t>
  </si>
  <si>
    <t>YUNITA</t>
  </si>
  <si>
    <t>DP-1950</t>
  </si>
  <si>
    <t>1503091506120002</t>
  </si>
  <si>
    <t>1503092401000001</t>
  </si>
  <si>
    <t>M. NUR SYAFI'I</t>
  </si>
  <si>
    <t>DP-1951</t>
  </si>
  <si>
    <t>1503092204640001</t>
  </si>
  <si>
    <t>DP-1952</t>
  </si>
  <si>
    <t>1503091507090010</t>
  </si>
  <si>
    <t>1503095206060001</t>
  </si>
  <si>
    <t>ISNAINI YUNIERLITA</t>
  </si>
  <si>
    <t>DP-1953</t>
  </si>
  <si>
    <t>1503096304860003</t>
  </si>
  <si>
    <t>ROHATI</t>
  </si>
  <si>
    <t>DP-1954</t>
  </si>
  <si>
    <t>1503092105750002</t>
  </si>
  <si>
    <t>TRI SAGIMIN</t>
  </si>
  <si>
    <t>DP-1955</t>
  </si>
  <si>
    <t>1503091507090012</t>
  </si>
  <si>
    <t>1503090205790003</t>
  </si>
  <si>
    <t>ABDUL ADZIM</t>
  </si>
  <si>
    <t>PONDOK PESANTREN AL-FATTAH</t>
  </si>
  <si>
    <t>DP-1956</t>
  </si>
  <si>
    <t>1503091507090013</t>
  </si>
  <si>
    <t>1503094811650001</t>
  </si>
  <si>
    <t>DP-1957</t>
  </si>
  <si>
    <t>1503092708570001</t>
  </si>
  <si>
    <t>LEBONG</t>
  </si>
  <si>
    <t>DP-1958</t>
  </si>
  <si>
    <t>1503091507090014</t>
  </si>
  <si>
    <t>1503092408020001</t>
  </si>
  <si>
    <t>ANDI BAGUS PRATAMA</t>
  </si>
  <si>
    <t>DP-1959</t>
  </si>
  <si>
    <t>1503096807840004</t>
  </si>
  <si>
    <t>ROSIDAH</t>
  </si>
  <si>
    <t>BELITANG</t>
  </si>
  <si>
    <t>DP-1960</t>
  </si>
  <si>
    <t>1503091005740001</t>
  </si>
  <si>
    <t>SAKIMIN</t>
  </si>
  <si>
    <t>DP-1961</t>
  </si>
  <si>
    <t>1503091507090016</t>
  </si>
  <si>
    <t>1503091010990005</t>
  </si>
  <si>
    <t>OGY FAMRIH</t>
  </si>
  <si>
    <t>DP-1962</t>
  </si>
  <si>
    <t>1503092101660001</t>
  </si>
  <si>
    <t>DP-1963</t>
  </si>
  <si>
    <t>1503091507190004</t>
  </si>
  <si>
    <t>1605050702880004</t>
  </si>
  <si>
    <t>ENDI WINARTO ASDI</t>
  </si>
  <si>
    <t>DP-1964</t>
  </si>
  <si>
    <t>1503095801980002</t>
  </si>
  <si>
    <t>DP-1965</t>
  </si>
  <si>
    <t>1503091507190011</t>
  </si>
  <si>
    <t>1503050606950005</t>
  </si>
  <si>
    <t>IHLAS JUNI ARYADI</t>
  </si>
  <si>
    <t>DP-1966</t>
  </si>
  <si>
    <t>1503091507210001</t>
  </si>
  <si>
    <t>1503094505920002</t>
  </si>
  <si>
    <t>SANTI WIJAYANTI</t>
  </si>
  <si>
    <t>DP-1967</t>
  </si>
  <si>
    <t>1502101306890001</t>
  </si>
  <si>
    <t>DP-1968</t>
  </si>
  <si>
    <t>1503091507220007</t>
  </si>
  <si>
    <t>1605160506770003</t>
  </si>
  <si>
    <t>DWI MULYONO</t>
  </si>
  <si>
    <t>BAKAHUNI</t>
  </si>
  <si>
    <t>DP-1969</t>
  </si>
  <si>
    <t>1605164508850003</t>
  </si>
  <si>
    <t>SULIS SETIOWATI</t>
  </si>
  <si>
    <t>DP-1970</t>
  </si>
  <si>
    <t>1605160212040003</t>
  </si>
  <si>
    <t>VIKA MAULANA</t>
  </si>
  <si>
    <t>DP-1971</t>
  </si>
  <si>
    <t>1503091508160002</t>
  </si>
  <si>
    <t>1802042805800002</t>
  </si>
  <si>
    <t>EDI RUDIANTO</t>
  </si>
  <si>
    <t>DP-1972</t>
  </si>
  <si>
    <t>1802045809930003</t>
  </si>
  <si>
    <t>ENDANG BUDILA WATI</t>
  </si>
  <si>
    <t>PUTRA BUYUT</t>
  </si>
  <si>
    <t>DP-1973</t>
  </si>
  <si>
    <t>1503091509070005</t>
  </si>
  <si>
    <t>1503091708990005</t>
  </si>
  <si>
    <t>ANDI GUNAWAN</t>
  </si>
  <si>
    <t>DP-1974</t>
  </si>
  <si>
    <t>1503090709560001</t>
  </si>
  <si>
    <t>SUROSO</t>
  </si>
  <si>
    <t>DP-1975</t>
  </si>
  <si>
    <t>1503094110650003</t>
  </si>
  <si>
    <t>DP-1976</t>
  </si>
  <si>
    <t>1503091509210001</t>
  </si>
  <si>
    <t>1505055007720003</t>
  </si>
  <si>
    <t>GATMINAH</t>
  </si>
  <si>
    <t>PELEMPANG</t>
  </si>
  <si>
    <t>DP-1977</t>
  </si>
  <si>
    <t>1503091510180004</t>
  </si>
  <si>
    <t>1605165912890003</t>
  </si>
  <si>
    <t>NUR HANI</t>
  </si>
  <si>
    <t>DP-1978</t>
  </si>
  <si>
    <t>1503091510190001</t>
  </si>
  <si>
    <t>1503096810640001</t>
  </si>
  <si>
    <t>SARNI</t>
  </si>
  <si>
    <t>1503090601260001</t>
  </si>
  <si>
    <t>DP-1979</t>
  </si>
  <si>
    <t>1503092303880002</t>
  </si>
  <si>
    <t>SARYANTO</t>
  </si>
  <si>
    <t>DP-1980</t>
  </si>
  <si>
    <t>1503091511070002</t>
  </si>
  <si>
    <t>1503094910840001</t>
  </si>
  <si>
    <t>DEWI NURHASANAH</t>
  </si>
  <si>
    <t>DP-1981</t>
  </si>
  <si>
    <t>1503095310040001</t>
  </si>
  <si>
    <t>LISA OKTAVIANI</t>
  </si>
  <si>
    <t>DP-1982</t>
  </si>
  <si>
    <t>1503090612800001</t>
  </si>
  <si>
    <t>SUBQI</t>
  </si>
  <si>
    <t>DP-1983</t>
  </si>
  <si>
    <t>1503091511070003</t>
  </si>
  <si>
    <t>1503090203540001</t>
  </si>
  <si>
    <t>AHMAD SIDIK</t>
  </si>
  <si>
    <t>DP-1984</t>
  </si>
  <si>
    <t>1503095607650001</t>
  </si>
  <si>
    <t>SAWINEM</t>
  </si>
  <si>
    <t>DP-1985</t>
  </si>
  <si>
    <t>1503091511070004</t>
  </si>
  <si>
    <t>1503096505610001</t>
  </si>
  <si>
    <t>DP-1986</t>
  </si>
  <si>
    <t>1503091511070008</t>
  </si>
  <si>
    <t>1503097011790001</t>
  </si>
  <si>
    <t>KHOLIPAH</t>
  </si>
  <si>
    <t>DP-1987</t>
  </si>
  <si>
    <t>1503090505750002</t>
  </si>
  <si>
    <t>PONIRAN</t>
  </si>
  <si>
    <t>DP-1988</t>
  </si>
  <si>
    <t>1503095110980004</t>
  </si>
  <si>
    <t>PRAPTI OCTAVIA NINGSIH</t>
  </si>
  <si>
    <t>DP-1989</t>
  </si>
  <si>
    <t>1503095707570006</t>
  </si>
  <si>
    <t>SIAM</t>
  </si>
  <si>
    <t>DP-1990</t>
  </si>
  <si>
    <t>1503091511070009</t>
  </si>
  <si>
    <t>1503096310040001</t>
  </si>
  <si>
    <t>DEA OKTAVIANI PUTRI</t>
  </si>
  <si>
    <t>DP-1991</t>
  </si>
  <si>
    <t>1503091208690001</t>
  </si>
  <si>
    <t>HERMAN</t>
  </si>
  <si>
    <t>MUARA DUA</t>
  </si>
  <si>
    <t>DP-1992</t>
  </si>
  <si>
    <t>1503094808670001</t>
  </si>
  <si>
    <t>CAMPANG TIGA</t>
  </si>
  <si>
    <t>DP-1993</t>
  </si>
  <si>
    <t>1503091511100014</t>
  </si>
  <si>
    <t>1503095510960003</t>
  </si>
  <si>
    <t>HANA KRISTIYANTI</t>
  </si>
  <si>
    <t>DP-1994</t>
  </si>
  <si>
    <t>1503094107600073</t>
  </si>
  <si>
    <t>INDARTIK</t>
  </si>
  <si>
    <t>DP-1995</t>
  </si>
  <si>
    <t>1503090107590042</t>
  </si>
  <si>
    <t>SIHNOTO</t>
  </si>
  <si>
    <t>DP-1996</t>
  </si>
  <si>
    <t>1503091109930004</t>
  </si>
  <si>
    <t>YOHANES KRISTIANA</t>
  </si>
  <si>
    <t>DP-1997</t>
  </si>
  <si>
    <t>1503091511100015</t>
  </si>
  <si>
    <t>1503095412860006</t>
  </si>
  <si>
    <t>IKA DESIYANTI</t>
  </si>
  <si>
    <t>DP-1998</t>
  </si>
  <si>
    <t>1503091010850007</t>
  </si>
  <si>
    <t>RAHMAT SUPRIYADI</t>
  </si>
  <si>
    <t>1503092602261231</t>
  </si>
  <si>
    <t>DP-1999</t>
  </si>
  <si>
    <t>1503091511110002</t>
  </si>
  <si>
    <t>1503094605830001</t>
  </si>
  <si>
    <t>IFA NAJULIANTI</t>
  </si>
  <si>
    <t>DP-2000</t>
  </si>
  <si>
    <t>1503090202060005</t>
  </si>
  <si>
    <t>M. ABI KHOIRI</t>
  </si>
  <si>
    <t>DP-2001</t>
  </si>
  <si>
    <t>1503090503820004</t>
  </si>
  <si>
    <t>MISWANTO</t>
  </si>
  <si>
    <t>DP-2002</t>
  </si>
  <si>
    <t>1503091511160003</t>
  </si>
  <si>
    <t>1503051902960004</t>
  </si>
  <si>
    <t>ILHAMIL AZMI</t>
  </si>
  <si>
    <t>DP-2003</t>
  </si>
  <si>
    <t>1503094205970001</t>
  </si>
  <si>
    <t>MIA ASTUTI</t>
  </si>
  <si>
    <t>DP-2004</t>
  </si>
  <si>
    <t>1503091511190001</t>
  </si>
  <si>
    <t>1503092408940001</t>
  </si>
  <si>
    <t>HANAFI MURSID</t>
  </si>
  <si>
    <t>DP-2005</t>
  </si>
  <si>
    <t>1503026305980001</t>
  </si>
  <si>
    <t>NUR FAJRIA</t>
  </si>
  <si>
    <t>DP-2006</t>
  </si>
  <si>
    <t>1503091511220001</t>
  </si>
  <si>
    <t>3315044605850005</t>
  </si>
  <si>
    <t>MURTINI</t>
  </si>
  <si>
    <t>DP-2007</t>
  </si>
  <si>
    <t>3315041404820005</t>
  </si>
  <si>
    <t>RUSMIN</t>
  </si>
  <si>
    <t>DP-2008</t>
  </si>
  <si>
    <t>1503091512100011</t>
  </si>
  <si>
    <t>1503090409710001</t>
  </si>
  <si>
    <t>RASMIN</t>
  </si>
  <si>
    <t>SURODADI</t>
  </si>
  <si>
    <t>DP-2009</t>
  </si>
  <si>
    <t>1503090901990003</t>
  </si>
  <si>
    <t>RENDI SUKOCO</t>
  </si>
  <si>
    <t>DP-2010</t>
  </si>
  <si>
    <t>1503094107840061</t>
  </si>
  <si>
    <t>DP-2011</t>
  </si>
  <si>
    <t>1503094405070001</t>
  </si>
  <si>
    <t>SYAKILA DIAN RAHMAYANTI</t>
  </si>
  <si>
    <t>DP-2012</t>
  </si>
  <si>
    <t>1503091512200004</t>
  </si>
  <si>
    <t>1503095808870010</t>
  </si>
  <si>
    <t>SRI HARYATI</t>
  </si>
  <si>
    <t>GAYA HARYATI</t>
  </si>
  <si>
    <t>DP-2013</t>
  </si>
  <si>
    <t>1503090912830001</t>
  </si>
  <si>
    <t>DP-2014</t>
  </si>
  <si>
    <t>1503091601080152</t>
  </si>
  <si>
    <t>1503092303810002</t>
  </si>
  <si>
    <t>DJIKIN SYULENDRA</t>
  </si>
  <si>
    <t>DP-2015</t>
  </si>
  <si>
    <t>1503090807070003</t>
  </si>
  <si>
    <t>DODY FERDIANSYAH</t>
  </si>
  <si>
    <t>DP-2016</t>
  </si>
  <si>
    <t>1503092002010002</t>
  </si>
  <si>
    <t>FIGAR ANDREANSYAH</t>
  </si>
  <si>
    <t>DP-2017</t>
  </si>
  <si>
    <t>1503091601080187</t>
  </si>
  <si>
    <t>1503096211010001</t>
  </si>
  <si>
    <t>DEWI FITRA SARI</t>
  </si>
  <si>
    <t>DP-2018</t>
  </si>
  <si>
    <t>1503090807680002</t>
  </si>
  <si>
    <t>SUGIANTO</t>
  </si>
  <si>
    <t>BAYO LALI</t>
  </si>
  <si>
    <t>DP-2019</t>
  </si>
  <si>
    <t>1503095707740001</t>
  </si>
  <si>
    <t>SUNARTINI</t>
  </si>
  <si>
    <t>DP-2020</t>
  </si>
  <si>
    <t>1503091601080190</t>
  </si>
  <si>
    <t>1503095012840002</t>
  </si>
  <si>
    <t>Belum ketu Suamine</t>
  </si>
  <si>
    <t>DP-2021</t>
  </si>
  <si>
    <t>1503092007770002</t>
  </si>
  <si>
    <t>DP-2022</t>
  </si>
  <si>
    <t>1503091601080204</t>
  </si>
  <si>
    <t>1503092904520001</t>
  </si>
  <si>
    <t>DASAR</t>
  </si>
  <si>
    <t>DP-2023</t>
  </si>
  <si>
    <t>1503096501600001</t>
  </si>
  <si>
    <t>SURATMI</t>
  </si>
  <si>
    <t>DP-2024</t>
  </si>
  <si>
    <t>1503091601080206</t>
  </si>
  <si>
    <t>1503096711840001</t>
  </si>
  <si>
    <t>HASTI ERNAWATI</t>
  </si>
  <si>
    <t>DP-2025</t>
  </si>
  <si>
    <t>1503091510030001</t>
  </si>
  <si>
    <t>SANDA MICCOLA</t>
  </si>
  <si>
    <t>DP-2026</t>
  </si>
  <si>
    <t>1503091306800001</t>
  </si>
  <si>
    <t>DP-2027</t>
  </si>
  <si>
    <t>1503091601120004</t>
  </si>
  <si>
    <t>1503090204790004</t>
  </si>
  <si>
    <t>SUMARTO</t>
  </si>
  <si>
    <t>RANTAU MAKMUR</t>
  </si>
  <si>
    <t>DP-2028</t>
  </si>
  <si>
    <t>1503097001860002</t>
  </si>
  <si>
    <t>YUYUN KHASANAH</t>
  </si>
  <si>
    <t>DP-2029</t>
  </si>
  <si>
    <t>1503091601120007</t>
  </si>
  <si>
    <t>1503090103480001</t>
  </si>
  <si>
    <t>GUSMAN</t>
  </si>
  <si>
    <t>DP-2030</t>
  </si>
  <si>
    <t>1503095110630002</t>
  </si>
  <si>
    <t>SUWARSI</t>
  </si>
  <si>
    <t>DP-2031</t>
  </si>
  <si>
    <t>1503091601130002</t>
  </si>
  <si>
    <t>1503090206860002</t>
  </si>
  <si>
    <t>HENDRY SHOFYAN</t>
  </si>
  <si>
    <t>DP-2032</t>
  </si>
  <si>
    <t>1503095003910004</t>
  </si>
  <si>
    <t>SUPRIATIN</t>
  </si>
  <si>
    <t>NEGERI KATON</t>
  </si>
  <si>
    <t>DP-2033</t>
  </si>
  <si>
    <t>1503091601130003</t>
  </si>
  <si>
    <t>1503090111860003</t>
  </si>
  <si>
    <t>DEKI WIDODO</t>
  </si>
  <si>
    <t>DP-2034</t>
  </si>
  <si>
    <t>1507116307890001</t>
  </si>
  <si>
    <t>SITI NURAYANAH</t>
  </si>
  <si>
    <t>DP-2035</t>
  </si>
  <si>
    <t>1503091601130004</t>
  </si>
  <si>
    <t>1503096806910004</t>
  </si>
  <si>
    <t>YUNI SUPRIYANTI</t>
  </si>
  <si>
    <t>Dusun Rambe Jaya</t>
  </si>
  <si>
    <t>DP-2036</t>
  </si>
  <si>
    <t>1503091602090006</t>
  </si>
  <si>
    <t>1503096908980001</t>
  </si>
  <si>
    <t>AGNIKA NURFADILAH</t>
  </si>
  <si>
    <t>DP-2037</t>
  </si>
  <si>
    <t>1503090911040002</t>
  </si>
  <si>
    <t>ANGGARA FATHURRAHMAN HAKKIM</t>
  </si>
  <si>
    <t>DP-2038</t>
  </si>
  <si>
    <t>1503091806070001</t>
  </si>
  <si>
    <t>RAKA AKHIRIAN WILANDRA</t>
  </si>
  <si>
    <t>DP-2039</t>
  </si>
  <si>
    <t>1503090505700009</t>
  </si>
  <si>
    <t>SUPRIYANTO S.PD</t>
  </si>
  <si>
    <t>DP-2040</t>
  </si>
  <si>
    <t>1503095007720003</t>
  </si>
  <si>
    <t>WANTIATI</t>
  </si>
  <si>
    <t>DP-2041</t>
  </si>
  <si>
    <t>1503091602100006</t>
  </si>
  <si>
    <t>1503091506990002</t>
  </si>
  <si>
    <t>IPAN JUNIJAR</t>
  </si>
  <si>
    <t>JL. PAYO LEBAR</t>
  </si>
  <si>
    <t>DP-2042</t>
  </si>
  <si>
    <t>1503096406750001</t>
  </si>
  <si>
    <t>KHOIRIYAH</t>
  </si>
  <si>
    <t>KOTA BUMI</t>
  </si>
  <si>
    <t>DP-2043</t>
  </si>
  <si>
    <t>1503090505690003</t>
  </si>
  <si>
    <t>WAHIDIN GALIH</t>
  </si>
  <si>
    <t>DP-2044</t>
  </si>
  <si>
    <t>1503091602100007</t>
  </si>
  <si>
    <t>1503091607020001</t>
  </si>
  <si>
    <t>DP-2045</t>
  </si>
  <si>
    <t>1503096502710002</t>
  </si>
  <si>
    <t>DP-2046</t>
  </si>
  <si>
    <t>1503091602140007</t>
  </si>
  <si>
    <t>1503096411630001</t>
  </si>
  <si>
    <t>NILAWATI</t>
  </si>
  <si>
    <t>DP-2047</t>
  </si>
  <si>
    <t>1503096111690002</t>
  </si>
  <si>
    <t>NIRMALAWATI</t>
  </si>
  <si>
    <t>DP-2048</t>
  </si>
  <si>
    <t>1503096701010001</t>
  </si>
  <si>
    <t>REZA ATHIA PUTRI</t>
  </si>
  <si>
    <t>DP-2049</t>
  </si>
  <si>
    <t>1503091602140009</t>
  </si>
  <si>
    <t>1503094701610001</t>
  </si>
  <si>
    <t>CICILIA WARTINI</t>
  </si>
  <si>
    <t>DP-2050</t>
  </si>
  <si>
    <t>1503091602140011</t>
  </si>
  <si>
    <t>1503095707560001</t>
  </si>
  <si>
    <t>DP-2051</t>
  </si>
  <si>
    <t>1503091602140013</t>
  </si>
  <si>
    <t>1503094107580011</t>
  </si>
  <si>
    <t>SAERAH</t>
  </si>
  <si>
    <t>DP-2052</t>
  </si>
  <si>
    <t>1503091602140014</t>
  </si>
  <si>
    <t>1503090307070003</t>
  </si>
  <si>
    <t>JIBRIL CHAIRUL FAJRI</t>
  </si>
  <si>
    <t>JLN. A. YANI .</t>
  </si>
  <si>
    <t>DP-2053</t>
  </si>
  <si>
    <t>1503094401790003</t>
  </si>
  <si>
    <t>SITI UMI HANIK</t>
  </si>
  <si>
    <t>DP-2054</t>
  </si>
  <si>
    <t>1503091602140015</t>
  </si>
  <si>
    <t>1503092304020003</t>
  </si>
  <si>
    <t>KRISTIAN ABDI SAPUTRA ZENDRATO</t>
  </si>
  <si>
    <t>BAWAH BULUH</t>
  </si>
  <si>
    <t>DP-2055</t>
  </si>
  <si>
    <t>1503096509670001</t>
  </si>
  <si>
    <t>NURHAWATI SIRINGO-RINGO</t>
  </si>
  <si>
    <t>PEMATANG SIANTAR</t>
  </si>
  <si>
    <t>DP-2056</t>
  </si>
  <si>
    <t>1503091602140016</t>
  </si>
  <si>
    <t>1503090602800001</t>
  </si>
  <si>
    <t>FEDDY HANSAKO SARAGIH</t>
  </si>
  <si>
    <t>DP-2057</t>
  </si>
  <si>
    <t>1503094401880004</t>
  </si>
  <si>
    <t>RISTAWAI SIMANJUNTAK</t>
  </si>
  <si>
    <t>DP-2058</t>
  </si>
  <si>
    <t>1503091602230001</t>
  </si>
  <si>
    <t>1503094605800001</t>
  </si>
  <si>
    <t>GIARTI</t>
  </si>
  <si>
    <t>DP-2059</t>
  </si>
  <si>
    <t>1503090406020002</t>
  </si>
  <si>
    <t>IRVAN FEBRIANYSAH</t>
  </si>
  <si>
    <t>DP-2060</t>
  </si>
  <si>
    <t>1503091603200004</t>
  </si>
  <si>
    <t>1503092005980002</t>
  </si>
  <si>
    <t>ANJAR ANDIYANSAH</t>
  </si>
  <si>
    <t>DP-2061</t>
  </si>
  <si>
    <t>1503097010010002</t>
  </si>
  <si>
    <t>SUNDARI</t>
  </si>
  <si>
    <t>DP-2062</t>
  </si>
  <si>
    <t>1503091603230005</t>
  </si>
  <si>
    <t>1502084810950001</t>
  </si>
  <si>
    <t>DESI LESTARI TILI</t>
  </si>
  <si>
    <t>DP-2063</t>
  </si>
  <si>
    <t>1503090303950001</t>
  </si>
  <si>
    <t>NURHASAN TRIADI</t>
  </si>
  <si>
    <t>DP-2064</t>
  </si>
  <si>
    <t>1503091604100002</t>
  </si>
  <si>
    <t>1503096909600002</t>
  </si>
  <si>
    <t>MAR YAMIK</t>
  </si>
  <si>
    <t>DP-2065</t>
  </si>
  <si>
    <t>1503090202540001</t>
  </si>
  <si>
    <t>SUTARDI</t>
  </si>
  <si>
    <t>DP-2066</t>
  </si>
  <si>
    <t>1503091604100003</t>
  </si>
  <si>
    <t>1503094107680071</t>
  </si>
  <si>
    <t>YATIMAH</t>
  </si>
  <si>
    <t>DSN KARYA AGUNG</t>
  </si>
  <si>
    <t>DP-2067</t>
  </si>
  <si>
    <t>1503091605120005</t>
  </si>
  <si>
    <t>1503092504860003</t>
  </si>
  <si>
    <t>EKO WARDOYO</t>
  </si>
  <si>
    <t>DP-2068</t>
  </si>
  <si>
    <t>1503025807950002</t>
  </si>
  <si>
    <t>SANTRI YANI</t>
  </si>
  <si>
    <t>BATU RAJA</t>
  </si>
  <si>
    <t>DP-2069</t>
  </si>
  <si>
    <t>1503091605120006</t>
  </si>
  <si>
    <t>1503090612800002</t>
  </si>
  <si>
    <t>AHMAD SODIK</t>
  </si>
  <si>
    <t>DP-2070</t>
  </si>
  <si>
    <t>1503092109070001</t>
  </si>
  <si>
    <t>RIADHOTUL LATIF</t>
  </si>
  <si>
    <t>SIMPANG BUKIT</t>
  </si>
  <si>
    <t>DP-2071</t>
  </si>
  <si>
    <t>1503095308830002</t>
  </si>
  <si>
    <t>SRI HASTUTI</t>
  </si>
  <si>
    <t>DP-2072</t>
  </si>
  <si>
    <t>1503091605160006</t>
  </si>
  <si>
    <t>1503092105050002</t>
  </si>
  <si>
    <t>ARYA AJI SAPUTRA</t>
  </si>
  <si>
    <t>DP-2073</t>
  </si>
  <si>
    <t>1503090103730005</t>
  </si>
  <si>
    <t>IMAM SAFI'I</t>
  </si>
  <si>
    <t>DP-2074</t>
  </si>
  <si>
    <t>1503095204780004</t>
  </si>
  <si>
    <t>SULARNI</t>
  </si>
  <si>
    <t>DP-2075</t>
  </si>
  <si>
    <t>1503090504980003</t>
  </si>
  <si>
    <t>YOFI AFRIADI</t>
  </si>
  <si>
    <t>DP-2076</t>
  </si>
  <si>
    <t>1503091606090001</t>
  </si>
  <si>
    <t>1503090209630001</t>
  </si>
  <si>
    <t>H. SUGITO</t>
  </si>
  <si>
    <t>DP-2077</t>
  </si>
  <si>
    <t>1503094310700001</t>
  </si>
  <si>
    <t>HJ. MUTASRI</t>
  </si>
  <si>
    <t>DP-2078</t>
  </si>
  <si>
    <t>1503091606200002</t>
  </si>
  <si>
    <t>1503091307950001</t>
  </si>
  <si>
    <t>LUKMAN ARIFIN</t>
  </si>
  <si>
    <t>DP-2079</t>
  </si>
  <si>
    <t>1503095709960003</t>
  </si>
  <si>
    <t>SAFAUL KAMILA</t>
  </si>
  <si>
    <t>DP-2080</t>
  </si>
  <si>
    <t>1503091606200010</t>
  </si>
  <si>
    <t>1673085310980001</t>
  </si>
  <si>
    <t>HOLIZA OKTAVIA</t>
  </si>
  <si>
    <t>DP-2081</t>
  </si>
  <si>
    <t>1503091506920001</t>
  </si>
  <si>
    <t>MUHAMMAD SLAMET ABDULLAH</t>
  </si>
  <si>
    <t>DP-2082</t>
  </si>
  <si>
    <t>1503091606200012</t>
  </si>
  <si>
    <t>1503094107520010</t>
  </si>
  <si>
    <t>SUMARMI</t>
  </si>
  <si>
    <t>DP-2083</t>
  </si>
  <si>
    <t>1503091606210002</t>
  </si>
  <si>
    <t>1503095208770001</t>
  </si>
  <si>
    <t>ANIK SUMARTI</t>
  </si>
  <si>
    <t>DP-2084</t>
  </si>
  <si>
    <t>1503096705040003</t>
  </si>
  <si>
    <t>DEVI SILFIAWATI</t>
  </si>
  <si>
    <t>DP-2085</t>
  </si>
  <si>
    <t>1503091505760001</t>
  </si>
  <si>
    <t>DP-2086</t>
  </si>
  <si>
    <t>1503091607090009</t>
  </si>
  <si>
    <t>1503090307440001</t>
  </si>
  <si>
    <t>MUJIMAN</t>
  </si>
  <si>
    <t>DP-2087</t>
  </si>
  <si>
    <t>1503094107690006</t>
  </si>
  <si>
    <t>MUSINEM</t>
  </si>
  <si>
    <t>DP-2088</t>
  </si>
  <si>
    <t>1503091607100001</t>
  </si>
  <si>
    <t>1503092912730003</t>
  </si>
  <si>
    <t>EKO DWI BUWONO</t>
  </si>
  <si>
    <t>DP-2089</t>
  </si>
  <si>
    <t>1503096501830001</t>
  </si>
  <si>
    <t>SETIA MULYA NINGSIH</t>
  </si>
  <si>
    <t>DP-2090</t>
  </si>
  <si>
    <t>1503091607100005</t>
  </si>
  <si>
    <t>1503091209620001</t>
  </si>
  <si>
    <t>BAIJURI</t>
  </si>
  <si>
    <t>DP-2091</t>
  </si>
  <si>
    <t>1503094107650085</t>
  </si>
  <si>
    <t>DP-2092</t>
  </si>
  <si>
    <t>1503091607100006</t>
  </si>
  <si>
    <t>1503092405650001</t>
  </si>
  <si>
    <t>KHAIRUDDIN</t>
  </si>
  <si>
    <t>DP-2093</t>
  </si>
  <si>
    <t>1503094201690001</t>
  </si>
  <si>
    <t>SUCI HANDAYANI</t>
  </si>
  <si>
    <t>DP-2094</t>
  </si>
  <si>
    <t>1503091607200007</t>
  </si>
  <si>
    <t>1503094107530022</t>
  </si>
  <si>
    <t>KASMI</t>
  </si>
  <si>
    <t>DP-2095</t>
  </si>
  <si>
    <t>1503091608120001</t>
  </si>
  <si>
    <t>1503094405570005</t>
  </si>
  <si>
    <t>KASINEM</t>
  </si>
  <si>
    <t>DP-2096</t>
  </si>
  <si>
    <t>1503090406530001</t>
  </si>
  <si>
    <t>KEMIS.A</t>
  </si>
  <si>
    <t>DP-2097</t>
  </si>
  <si>
    <t>1503091608170001</t>
  </si>
  <si>
    <t>1503090904950001</t>
  </si>
  <si>
    <t>ADI SUTRISNO</t>
  </si>
  <si>
    <t>DP-2098</t>
  </si>
  <si>
    <t>1503054706980005</t>
  </si>
  <si>
    <t>WIJI LESTARI</t>
  </si>
  <si>
    <t>DP-2099</t>
  </si>
  <si>
    <t>1503091608220002</t>
  </si>
  <si>
    <t>1503090503970003</t>
  </si>
  <si>
    <t>FREDI ARIANTO</t>
  </si>
  <si>
    <t>PASAR SINGKUT</t>
  </si>
  <si>
    <t>DP-2100</t>
  </si>
  <si>
    <t>1503095309810001</t>
  </si>
  <si>
    <t>SULIS SETIAWATI</t>
  </si>
  <si>
    <t>DP-2101</t>
  </si>
  <si>
    <t>1503091609070003</t>
  </si>
  <si>
    <t>1503090207940001</t>
  </si>
  <si>
    <t>AZIS ZUL TARMAN</t>
  </si>
  <si>
    <t>DSPAYOLEBAR DSNV RAMBEJAYA</t>
  </si>
  <si>
    <t>DP-2102</t>
  </si>
  <si>
    <t>1503091409990001</t>
  </si>
  <si>
    <t>FARID HIDAYAT</t>
  </si>
  <si>
    <t>DP-2103</t>
  </si>
  <si>
    <t>1503091112650001</t>
  </si>
  <si>
    <t>DP-2104</t>
  </si>
  <si>
    <t>1503094306760006</t>
  </si>
  <si>
    <t>1503091609070005</t>
  </si>
  <si>
    <t>1503091702030001</t>
  </si>
  <si>
    <t>DITA DEVI ANA</t>
  </si>
  <si>
    <t>DP-2105</t>
  </si>
  <si>
    <t>1503091010770001</t>
  </si>
  <si>
    <t>SUKIDI</t>
  </si>
  <si>
    <t>DP-2106</t>
  </si>
  <si>
    <t>1503094810840001</t>
  </si>
  <si>
    <t>WIJIATI</t>
  </si>
  <si>
    <t>DP-2107</t>
  </si>
  <si>
    <t>1503091609070007</t>
  </si>
  <si>
    <t>1503092403070003</t>
  </si>
  <si>
    <t>HERZA FAISOL IVANDA</t>
  </si>
  <si>
    <t>DP-2108</t>
  </si>
  <si>
    <t>1503095011900001</t>
  </si>
  <si>
    <t>IVA ERLINAWATI</t>
  </si>
  <si>
    <t>DP-2109</t>
  </si>
  <si>
    <t>1503090607780001</t>
  </si>
  <si>
    <t>JADI ANDRIAN</t>
  </si>
  <si>
    <t>DP-2110</t>
  </si>
  <si>
    <t>1503091609070012</t>
  </si>
  <si>
    <t>1503092808090001</t>
  </si>
  <si>
    <t>KHOIRUL ADI SAPUTRA</t>
  </si>
  <si>
    <t>DP-2111</t>
  </si>
  <si>
    <t>1503090107750013</t>
  </si>
  <si>
    <t>SARTIM</t>
  </si>
  <si>
    <t>DP-2112</t>
  </si>
  <si>
    <t>1503096001770002</t>
  </si>
  <si>
    <t>DP-2113</t>
  </si>
  <si>
    <t>1503090611970005</t>
  </si>
  <si>
    <t>TONI INDRA KURNIAWAN</t>
  </si>
  <si>
    <t>DP-2114</t>
  </si>
  <si>
    <t>1503091609070016</t>
  </si>
  <si>
    <t>1503094107710011</t>
  </si>
  <si>
    <t>SAMIEM</t>
  </si>
  <si>
    <t>CENGKLIK</t>
  </si>
  <si>
    <t>DP-2115</t>
  </si>
  <si>
    <t>1503092112660001</t>
  </si>
  <si>
    <t>DP-2116</t>
  </si>
  <si>
    <t>1503091609070028</t>
  </si>
  <si>
    <t>1503090103650001</t>
  </si>
  <si>
    <t>ABDUL MANAN</t>
  </si>
  <si>
    <t>DP-2117</t>
  </si>
  <si>
    <t>1503090312990002</t>
  </si>
  <si>
    <t>HAMID PUDYONO</t>
  </si>
  <si>
    <t>DP-2118</t>
  </si>
  <si>
    <t>1503094104720001</t>
  </si>
  <si>
    <t>SUTRIANI</t>
  </si>
  <si>
    <t>DP-2119</t>
  </si>
  <si>
    <t>1503091609080002</t>
  </si>
  <si>
    <t>1503091511000002</t>
  </si>
  <si>
    <t>BOBY ARMANDO SIREGAR</t>
  </si>
  <si>
    <t>DP-2120</t>
  </si>
  <si>
    <t>1503091609090009</t>
  </si>
  <si>
    <t>1503090103860001</t>
  </si>
  <si>
    <t>DP-2121</t>
  </si>
  <si>
    <t>1503094901880001</t>
  </si>
  <si>
    <t>DP-2122</t>
  </si>
  <si>
    <t>1503091609210002</t>
  </si>
  <si>
    <t>1605041006740001</t>
  </si>
  <si>
    <t>AKIR</t>
  </si>
  <si>
    <t>JLN. BENTENG , DUSUN I KARYA AGUNG</t>
  </si>
  <si>
    <t>DP-2123</t>
  </si>
  <si>
    <t>1605045405750003</t>
  </si>
  <si>
    <t>SEMANGUS</t>
  </si>
  <si>
    <t>DP-2124</t>
  </si>
  <si>
    <t>1503091610120002</t>
  </si>
  <si>
    <t>1503094205910004</t>
  </si>
  <si>
    <t>AMINAH CANDRAKASIH</t>
  </si>
  <si>
    <t>TALUK</t>
  </si>
  <si>
    <t>DP-2125</t>
  </si>
  <si>
    <t>1503092112790001</t>
  </si>
  <si>
    <t>ZAINAL IBROHIM</t>
  </si>
  <si>
    <t>DP-2126</t>
  </si>
  <si>
    <t>1503091610190003</t>
  </si>
  <si>
    <t>1503094211410002</t>
  </si>
  <si>
    <t>DP-2127</t>
  </si>
  <si>
    <t>1503091610200002</t>
  </si>
  <si>
    <t>1503090110540005</t>
  </si>
  <si>
    <t>AMAT RODJAK</t>
  </si>
  <si>
    <t>SALAM MAGELANG</t>
  </si>
  <si>
    <t>DP-2128</t>
  </si>
  <si>
    <t>1503095510580002</t>
  </si>
  <si>
    <t>SUDINI</t>
  </si>
  <si>
    <t>DIGELAN SOROPANDAN</t>
  </si>
  <si>
    <t>DP-2129</t>
  </si>
  <si>
    <t>1503091610200009</t>
  </si>
  <si>
    <t>1503095205450001</t>
  </si>
  <si>
    <t>NGADINEM</t>
  </si>
  <si>
    <t>DP-2130</t>
  </si>
  <si>
    <t>1503091610200010</t>
  </si>
  <si>
    <t>1503095005450004</t>
  </si>
  <si>
    <t>RUMINAH</t>
  </si>
  <si>
    <t>DP-2131</t>
  </si>
  <si>
    <t>1503091610200011</t>
  </si>
  <si>
    <t>1503090708780003</t>
  </si>
  <si>
    <t>BUDI UTOMO</t>
  </si>
  <si>
    <t>PAYO LEBAR SUKAJADI</t>
  </si>
  <si>
    <t>DP-2132</t>
  </si>
  <si>
    <t>1503094405600002</t>
  </si>
  <si>
    <t>WAGINEM</t>
  </si>
  <si>
    <t>DP-2133</t>
  </si>
  <si>
    <t>1503091610200012</t>
  </si>
  <si>
    <t>1503090911890001</t>
  </si>
  <si>
    <t>KASNAWI</t>
  </si>
  <si>
    <t>DP-2134</t>
  </si>
  <si>
    <t>1503096102930003</t>
  </si>
  <si>
    <t>SURTI MUNAFIAH</t>
  </si>
  <si>
    <t>DP-2135</t>
  </si>
  <si>
    <t>1503091610230003</t>
  </si>
  <si>
    <t>1503055207970001</t>
  </si>
  <si>
    <t>DASRI KOMISAH</t>
  </si>
  <si>
    <t>SEI MERAH</t>
  </si>
  <si>
    <t>DP-2136</t>
  </si>
  <si>
    <t>1503091102990001</t>
  </si>
  <si>
    <t>FERY GEOFANY</t>
  </si>
  <si>
    <t>DP-2137</t>
  </si>
  <si>
    <t>1503091611110006</t>
  </si>
  <si>
    <t>1503094706870004</t>
  </si>
  <si>
    <t>LILIS PURWANTI</t>
  </si>
  <si>
    <t>DP-2138</t>
  </si>
  <si>
    <t>1503092608070003</t>
  </si>
  <si>
    <t>MUHAMMAD FERDI ALANSYAH</t>
  </si>
  <si>
    <t>DP-2139</t>
  </si>
  <si>
    <t>1503090607780010</t>
  </si>
  <si>
    <t>RIANDI</t>
  </si>
  <si>
    <t>SELEMAN</t>
  </si>
  <si>
    <t>DP-2140</t>
  </si>
  <si>
    <t>1503095511650003</t>
  </si>
  <si>
    <t>SUGI WANTI</t>
  </si>
  <si>
    <t>DP-2141</t>
  </si>
  <si>
    <t>1503091611110007</t>
  </si>
  <si>
    <t>1503090808880006</t>
  </si>
  <si>
    <t>KARTIMAN</t>
  </si>
  <si>
    <t>DP-2142</t>
  </si>
  <si>
    <t>1503094304900003</t>
  </si>
  <si>
    <t>KARTINAH</t>
  </si>
  <si>
    <t>DP-2143</t>
  </si>
  <si>
    <t>1503091611170003</t>
  </si>
  <si>
    <t>1503094512960002</t>
  </si>
  <si>
    <t>DESI NOVITASARI</t>
  </si>
  <si>
    <t>DP-2144</t>
  </si>
  <si>
    <t>1503090807920002</t>
  </si>
  <si>
    <t>PUTRA MUDAH RIZKI</t>
  </si>
  <si>
    <t>DP-2145</t>
  </si>
  <si>
    <t>1503091611200003</t>
  </si>
  <si>
    <t>1503092909050001</t>
  </si>
  <si>
    <t>ABDUL AZIZ SAPUTRA</t>
  </si>
  <si>
    <t>DP-2146</t>
  </si>
  <si>
    <t>1503051005790001</t>
  </si>
  <si>
    <t>DP-2147</t>
  </si>
  <si>
    <t>1503055312850001</t>
  </si>
  <si>
    <t>DP-2148</t>
  </si>
  <si>
    <t>1503091611220003</t>
  </si>
  <si>
    <t>1503092012940001</t>
  </si>
  <si>
    <t>AGUNG SANTOSO</t>
  </si>
  <si>
    <t>DP-2149</t>
  </si>
  <si>
    <t>1503096508990004</t>
  </si>
  <si>
    <t>TRANSSISKA ADELIA</t>
  </si>
  <si>
    <t>DP-2150</t>
  </si>
  <si>
    <t>1503091612100004</t>
  </si>
  <si>
    <t>1503091204840001</t>
  </si>
  <si>
    <t>ISKANDAR</t>
  </si>
  <si>
    <t>belum ketemu</t>
  </si>
  <si>
    <t>DP-2151</t>
  </si>
  <si>
    <t>1503094802820003</t>
  </si>
  <si>
    <t>TEGAL REJO</t>
  </si>
  <si>
    <t>DP-2152</t>
  </si>
  <si>
    <t>1503091612200001</t>
  </si>
  <si>
    <t>1571032309910061</t>
  </si>
  <si>
    <t>ANGGA PRANATA</t>
  </si>
  <si>
    <t>KUMUN</t>
  </si>
  <si>
    <t>DP-2153</t>
  </si>
  <si>
    <t>1503096505940003</t>
  </si>
  <si>
    <t>TUTIK HARYATI</t>
  </si>
  <si>
    <t>DP-2154</t>
  </si>
  <si>
    <t>1503091701120003</t>
  </si>
  <si>
    <t>1503092702010003</t>
  </si>
  <si>
    <t>ARDA HENGKY IRAWAN</t>
  </si>
  <si>
    <t>DP-2155</t>
  </si>
  <si>
    <t>1503090101770007</t>
  </si>
  <si>
    <t>SATIMIN</t>
  </si>
  <si>
    <t>DP-2156</t>
  </si>
  <si>
    <t>1503094909820002</t>
  </si>
  <si>
    <t>YANI</t>
  </si>
  <si>
    <t>DP-2157</t>
  </si>
  <si>
    <t>1503091701120004</t>
  </si>
  <si>
    <t>1503091110550002</t>
  </si>
  <si>
    <t>SAIRI</t>
  </si>
  <si>
    <t>DP-2158</t>
  </si>
  <si>
    <t>1503091701120017</t>
  </si>
  <si>
    <t>1503091507790008</t>
  </si>
  <si>
    <t>SUHERMAN</t>
  </si>
  <si>
    <t>DP-2159</t>
  </si>
  <si>
    <t>1503096905810002</t>
  </si>
  <si>
    <t>TJHUN SIAUW</t>
  </si>
  <si>
    <t>MENTOK</t>
  </si>
  <si>
    <t>DP-2160</t>
  </si>
  <si>
    <t>1503091701200003</t>
  </si>
  <si>
    <t>1503090107070006</t>
  </si>
  <si>
    <t>AHMATUN RIZKI</t>
  </si>
  <si>
    <t>DP-2161</t>
  </si>
  <si>
    <t>1503094107400007</t>
  </si>
  <si>
    <t>GINEM</t>
  </si>
  <si>
    <t>JOGJAKARTA</t>
  </si>
  <si>
    <t>DP-2162</t>
  </si>
  <si>
    <t>1503091702150001</t>
  </si>
  <si>
    <t>1503091803700003</t>
  </si>
  <si>
    <t>BUDI PRAMONO</t>
  </si>
  <si>
    <t>DP-2163</t>
  </si>
  <si>
    <t>1503097008720002</t>
  </si>
  <si>
    <t>DARMINAH</t>
  </si>
  <si>
    <t>DP-2164</t>
  </si>
  <si>
    <t>1503091702200001</t>
  </si>
  <si>
    <t>1503095204620002</t>
  </si>
  <si>
    <t>SRIKANAH</t>
  </si>
  <si>
    <t>DUSUN II SUKA MULYA</t>
  </si>
  <si>
    <t>DP-2165</t>
  </si>
  <si>
    <t>1503091702220004</t>
  </si>
  <si>
    <t>3304030107750064</t>
  </si>
  <si>
    <t>ROHIMUN</t>
  </si>
  <si>
    <t>BANJARNEGARA</t>
  </si>
  <si>
    <t>DP-2166</t>
  </si>
  <si>
    <t>1503097112950005</t>
  </si>
  <si>
    <t>TITIN KHOTIMAH</t>
  </si>
  <si>
    <t>DP-2167</t>
  </si>
  <si>
    <t>1503091703110001</t>
  </si>
  <si>
    <t>1503095609740001</t>
  </si>
  <si>
    <t>ROHAYAH</t>
  </si>
  <si>
    <t>DP-2168</t>
  </si>
  <si>
    <t>1503092109780001</t>
  </si>
  <si>
    <t>DP-2169</t>
  </si>
  <si>
    <t>1503091703110004</t>
  </si>
  <si>
    <t>1503094101490001</t>
  </si>
  <si>
    <t>PANIJAH</t>
  </si>
  <si>
    <t>DP-2170</t>
  </si>
  <si>
    <t>1503091703110010</t>
  </si>
  <si>
    <t>1503092712770001</t>
  </si>
  <si>
    <t>ADNAN</t>
  </si>
  <si>
    <t>DP-2171</t>
  </si>
  <si>
    <t>1503091208020005</t>
  </si>
  <si>
    <t>AMAR MUDOFAR</t>
  </si>
  <si>
    <t>DP-2172</t>
  </si>
  <si>
    <t>1503094404810006</t>
  </si>
  <si>
    <t>SRI HARTATI</t>
  </si>
  <si>
    <t>DP-2173</t>
  </si>
  <si>
    <t>1503091703200002</t>
  </si>
  <si>
    <t>1503090701970001</t>
  </si>
  <si>
    <t>HAYATUL MASHURI</t>
  </si>
  <si>
    <t>DP-2174</t>
  </si>
  <si>
    <t>1503096803000003</t>
  </si>
  <si>
    <t>WIWIT QUROTUN AKHYUNI</t>
  </si>
  <si>
    <t>DP-2175</t>
  </si>
  <si>
    <t>1503091703210003</t>
  </si>
  <si>
    <t>1503090707320002</t>
  </si>
  <si>
    <t>SALIYO</t>
  </si>
  <si>
    <t>DUSUN II SUKA MAJU</t>
  </si>
  <si>
    <t>DP-2176</t>
  </si>
  <si>
    <t>1503094112470001</t>
  </si>
  <si>
    <t>DP-2177</t>
  </si>
  <si>
    <t>1503091703210005</t>
  </si>
  <si>
    <t>1503076002950003</t>
  </si>
  <si>
    <t>ALIFATUL SHOLIKAH</t>
  </si>
  <si>
    <t>SUKA SARI</t>
  </si>
  <si>
    <t>DP-2178</t>
  </si>
  <si>
    <t>1503091501930001</t>
  </si>
  <si>
    <t>SHOLEH NUGROHO</t>
  </si>
  <si>
    <t>DP-2179</t>
  </si>
  <si>
    <t>1503091703220002</t>
  </si>
  <si>
    <t>1503096502900003</t>
  </si>
  <si>
    <t>NENENG SURYANI</t>
  </si>
  <si>
    <t>SUNGAI JAUH</t>
  </si>
  <si>
    <t>DP-2180</t>
  </si>
  <si>
    <t>1503091704180001</t>
  </si>
  <si>
    <t>1503094107730053</t>
  </si>
  <si>
    <t>KAMILAH</t>
  </si>
  <si>
    <t>DP-2181</t>
  </si>
  <si>
    <t>1503090807700002</t>
  </si>
  <si>
    <t>WAHYUDI</t>
  </si>
  <si>
    <t>DP-2182</t>
  </si>
  <si>
    <t>1503091704200003</t>
  </si>
  <si>
    <t>1503096703890001</t>
  </si>
  <si>
    <t>NARDI</t>
  </si>
  <si>
    <t>DP-2183</t>
  </si>
  <si>
    <t>1503095202920003</t>
  </si>
  <si>
    <t>RIMFAATI</t>
  </si>
  <si>
    <t>DP-2184</t>
  </si>
  <si>
    <t>1503091705160003</t>
  </si>
  <si>
    <t>1503091705890001</t>
  </si>
  <si>
    <t>SURIP WAHYU ARIANDI</t>
  </si>
  <si>
    <t>DP-2185</t>
  </si>
  <si>
    <t>1503091705230018</t>
  </si>
  <si>
    <t>1503091810000001</t>
  </si>
  <si>
    <t>KAMAL ASRORI</t>
  </si>
  <si>
    <t>DP-2186</t>
  </si>
  <si>
    <t>1503095408030001</t>
  </si>
  <si>
    <t>NANIT TATRA AMBARETNA</t>
  </si>
  <si>
    <t>DP-2187</t>
  </si>
  <si>
    <t>1503091706090009</t>
  </si>
  <si>
    <t>1503090105880001</t>
  </si>
  <si>
    <t>HALINDRA</t>
  </si>
  <si>
    <t>DP-2188</t>
  </si>
  <si>
    <t>1503094905680003</t>
  </si>
  <si>
    <t>ISTINAH</t>
  </si>
  <si>
    <t>DP-2189</t>
  </si>
  <si>
    <t>1503091208960004</t>
  </si>
  <si>
    <t>TIPAR ISMOYO</t>
  </si>
  <si>
    <t>DP-2190</t>
  </si>
  <si>
    <t>1503091706090010</t>
  </si>
  <si>
    <t>1503090310830003</t>
  </si>
  <si>
    <t>BAMBANG SUPRIYANTO</t>
  </si>
  <si>
    <t>DP-2191</t>
  </si>
  <si>
    <t>1503094804880001</t>
  </si>
  <si>
    <t>QORIAH</t>
  </si>
  <si>
    <t>DP-2192</t>
  </si>
  <si>
    <t>1503091706090011</t>
  </si>
  <si>
    <t>1503092111050002</t>
  </si>
  <si>
    <t>ALDI PRATAMA</t>
  </si>
  <si>
    <t>DP-2193</t>
  </si>
  <si>
    <t>1503092811840002</t>
  </si>
  <si>
    <t>ARIF FAISALIM</t>
  </si>
  <si>
    <t>DP-2194</t>
  </si>
  <si>
    <t>1503094605880003</t>
  </si>
  <si>
    <t>DP-2195</t>
  </si>
  <si>
    <t>1503091706090012</t>
  </si>
  <si>
    <t>1503090507400003</t>
  </si>
  <si>
    <t>MUJAHRI</t>
  </si>
  <si>
    <t>DP-2196</t>
  </si>
  <si>
    <t>1503091706090013</t>
  </si>
  <si>
    <t>1503096108060004</t>
  </si>
  <si>
    <t>ALDA AMELIA PUTRI</t>
  </si>
  <si>
    <t>DP-2198</t>
  </si>
  <si>
    <t>1503094107800009</t>
  </si>
  <si>
    <t>INDAH PURNAMA WATI</t>
  </si>
  <si>
    <t>DP-2199</t>
  </si>
  <si>
    <t>1503090107560006</t>
  </si>
  <si>
    <t>KARMANI</t>
  </si>
  <si>
    <t>DP-2200</t>
  </si>
  <si>
    <t>1503096008020003</t>
  </si>
  <si>
    <t>NOVELIA CITRA DWISARI</t>
  </si>
  <si>
    <t>DP-2201</t>
  </si>
  <si>
    <t>1503091706150003</t>
  </si>
  <si>
    <t>1503094407800006</t>
  </si>
  <si>
    <t>HARNI</t>
  </si>
  <si>
    <t>DP-2202</t>
  </si>
  <si>
    <t>1503091706190002</t>
  </si>
  <si>
    <t>1503094407880001</t>
  </si>
  <si>
    <t>DP-2203</t>
  </si>
  <si>
    <t>1503091706190008</t>
  </si>
  <si>
    <t>1504014205950002</t>
  </si>
  <si>
    <t>SETIOWATI</t>
  </si>
  <si>
    <t>SENGKATI KECIL</t>
  </si>
  <si>
    <t>DP-2204</t>
  </si>
  <si>
    <t>1503092106770002</t>
  </si>
  <si>
    <t>SUPRIH HARTONO</t>
  </si>
  <si>
    <t>DP-2205</t>
  </si>
  <si>
    <t>1503091706200010</t>
  </si>
  <si>
    <t>1503094710980001</t>
  </si>
  <si>
    <t>MELY ANJANI</t>
  </si>
  <si>
    <t>DP-2206</t>
  </si>
  <si>
    <t>1503090103950005</t>
  </si>
  <si>
    <t>NUR ROHMAN</t>
  </si>
  <si>
    <t>DP-2207</t>
  </si>
  <si>
    <t>1503091707130002</t>
  </si>
  <si>
    <t>1503094605600001</t>
  </si>
  <si>
    <t>SUKIRAH</t>
  </si>
  <si>
    <t>DP-2208</t>
  </si>
  <si>
    <t>1503090707480001</t>
  </si>
  <si>
    <t>SUKIRNO</t>
  </si>
  <si>
    <t>DP-2209</t>
  </si>
  <si>
    <t>1503091707130003</t>
  </si>
  <si>
    <t>1503095003930002</t>
  </si>
  <si>
    <t>1503091410250001</t>
  </si>
  <si>
    <t>DSN SUKO MULYO</t>
  </si>
  <si>
    <t>Ubah NKK/ Pecah KK</t>
  </si>
  <si>
    <t>DP-2210</t>
  </si>
  <si>
    <t>1503090403900004</t>
  </si>
  <si>
    <t>DP-2211</t>
  </si>
  <si>
    <t>1503091707130004</t>
  </si>
  <si>
    <t>1503094508890001</t>
  </si>
  <si>
    <t>IDDA YANTI</t>
  </si>
  <si>
    <t>DP-2212</t>
  </si>
  <si>
    <t>1503091906890001</t>
  </si>
  <si>
    <t>PAIRIN</t>
  </si>
  <si>
    <t>DP-2213</t>
  </si>
  <si>
    <t>1503091707130007</t>
  </si>
  <si>
    <t>1503095011890003</t>
  </si>
  <si>
    <t>EKA MISNAWATI</t>
  </si>
  <si>
    <t>DP-2214</t>
  </si>
  <si>
    <t>1503092010860003</t>
  </si>
  <si>
    <t>RAHMAN ARIFIN</t>
  </si>
  <si>
    <t>DP-2215</t>
  </si>
  <si>
    <t>1503091707180003</t>
  </si>
  <si>
    <t>1771020312900004</t>
  </si>
  <si>
    <t>SIGIT PRASETYO</t>
  </si>
  <si>
    <t>DP-2216</t>
  </si>
  <si>
    <t>1503096908920002</t>
  </si>
  <si>
    <t>SUSI SUNDARI</t>
  </si>
  <si>
    <t>DP-2217</t>
  </si>
  <si>
    <t>1503095808510001</t>
  </si>
  <si>
    <t>TUMIRAH</t>
  </si>
  <si>
    <t>REJANG LEBONG</t>
  </si>
  <si>
    <t>DP-2218</t>
  </si>
  <si>
    <t>1503091707180005</t>
  </si>
  <si>
    <t>1503091503940001</t>
  </si>
  <si>
    <t>ARDIANSYAH ZEBUA</t>
  </si>
  <si>
    <t>DP-2219</t>
  </si>
  <si>
    <t>1503096710950004</t>
  </si>
  <si>
    <t>JENI LAMANIA</t>
  </si>
  <si>
    <t>DP-2220</t>
  </si>
  <si>
    <t>1503091707180007</t>
  </si>
  <si>
    <t>1503090303830009</t>
  </si>
  <si>
    <t>GAFRUN SALAN SARAGIH</t>
  </si>
  <si>
    <t>DP-2221</t>
  </si>
  <si>
    <t>1803105404890004</t>
  </si>
  <si>
    <t>RELI OJER SIRAIT</t>
  </si>
  <si>
    <t>DP-2222</t>
  </si>
  <si>
    <t>1503091707230003</t>
  </si>
  <si>
    <t>1503094508560001</t>
  </si>
  <si>
    <t>NGATINI</t>
  </si>
  <si>
    <t>DP-2223</t>
  </si>
  <si>
    <t>1503091709070001</t>
  </si>
  <si>
    <t>1503092008990001</t>
  </si>
  <si>
    <t>IRVAN KURNIAWAN</t>
  </si>
  <si>
    <t>DP-2224</t>
  </si>
  <si>
    <t>1503090402720003</t>
  </si>
  <si>
    <t>MARZUKI</t>
  </si>
  <si>
    <t>DP-2225</t>
  </si>
  <si>
    <t>1503094407780002</t>
  </si>
  <si>
    <t>DP-2226</t>
  </si>
  <si>
    <t>1503091709070003</t>
  </si>
  <si>
    <t>1503090503690001</t>
  </si>
  <si>
    <t>SUTARJI</t>
  </si>
  <si>
    <t>Belum ketemu</t>
  </si>
  <si>
    <t>DP-2227</t>
  </si>
  <si>
    <t>1503091709070013</t>
  </si>
  <si>
    <t>1503090606770006</t>
  </si>
  <si>
    <t>PUJIANTO</t>
  </si>
  <si>
    <t>DP-2228</t>
  </si>
  <si>
    <t>1503095204810005</t>
  </si>
  <si>
    <t>DP-2229</t>
  </si>
  <si>
    <t>1503091202020001</t>
  </si>
  <si>
    <t>TEGAR SETIAWAN</t>
  </si>
  <si>
    <t>DP-2230</t>
  </si>
  <si>
    <t>1503091709070014</t>
  </si>
  <si>
    <t>1503094410600001</t>
  </si>
  <si>
    <t>DARWATI</t>
  </si>
  <si>
    <t>DP-2231</t>
  </si>
  <si>
    <t>1503091709070017</t>
  </si>
  <si>
    <t>1503094101750005</t>
  </si>
  <si>
    <t>MARFUATUN</t>
  </si>
  <si>
    <t>DP-2232</t>
  </si>
  <si>
    <t>1503092312800001</t>
  </si>
  <si>
    <t>DP-2233</t>
  </si>
  <si>
    <t>1503091709070019</t>
  </si>
  <si>
    <t>1503092003060001</t>
  </si>
  <si>
    <t>MUHAIMIN LATIF</t>
  </si>
  <si>
    <t>DP-2234</t>
  </si>
  <si>
    <t>1503091207720001</t>
  </si>
  <si>
    <t>PURJIO</t>
  </si>
  <si>
    <t>DP-2235</t>
  </si>
  <si>
    <t>1503096501790001</t>
  </si>
  <si>
    <t>SUKARSIH</t>
  </si>
  <si>
    <t>DP-2236</t>
  </si>
  <si>
    <t>1503091709070020</t>
  </si>
  <si>
    <t>1503094412600001</t>
  </si>
  <si>
    <t>153052503150001</t>
  </si>
  <si>
    <t>DP-2237</t>
  </si>
  <si>
    <t>1503091802500001</t>
  </si>
  <si>
    <t>DP-2238</t>
  </si>
  <si>
    <t>1503091709070024</t>
  </si>
  <si>
    <t>1503095306740001</t>
  </si>
  <si>
    <t>NYAMI</t>
  </si>
  <si>
    <t>DP-2239</t>
  </si>
  <si>
    <t>1503091202710003</t>
  </si>
  <si>
    <t>PARJONO</t>
  </si>
  <si>
    <t>DP-2240</t>
  </si>
  <si>
    <t>1503091709070026</t>
  </si>
  <si>
    <t>1503095407780001</t>
  </si>
  <si>
    <t>DP-2241</t>
  </si>
  <si>
    <t>1503094107070003</t>
  </si>
  <si>
    <t>SELVIA DUWI YANTI</t>
  </si>
  <si>
    <t>skt 4</t>
  </si>
  <si>
    <t>DP-2242</t>
  </si>
  <si>
    <t>1503090305710001</t>
  </si>
  <si>
    <t>WAHONO</t>
  </si>
  <si>
    <t>DP-2243</t>
  </si>
  <si>
    <t>1503091709070029</t>
  </si>
  <si>
    <t>1503090803050001</t>
  </si>
  <si>
    <t>PRENGKI ARMANDA</t>
  </si>
  <si>
    <t>DSI DS PAYO LEBAR</t>
  </si>
  <si>
    <t>DP-2244</t>
  </si>
  <si>
    <t>1503091508000002</t>
  </si>
  <si>
    <t>RUDI</t>
  </si>
  <si>
    <t>DP-2245</t>
  </si>
  <si>
    <t>1503091709070033</t>
  </si>
  <si>
    <t>1503096711700002</t>
  </si>
  <si>
    <t>DWI SRIMARTINI</t>
  </si>
  <si>
    <t>DP-2246</t>
  </si>
  <si>
    <t>1503091010500001</t>
  </si>
  <si>
    <t>SARJIMAN</t>
  </si>
  <si>
    <t>YOKYAKARTA</t>
  </si>
  <si>
    <t>DP-2247</t>
  </si>
  <si>
    <t>1503091709070042</t>
  </si>
  <si>
    <t>1503094604050001</t>
  </si>
  <si>
    <t>APRILIA VERA FADILA</t>
  </si>
  <si>
    <t>DP-2248</t>
  </si>
  <si>
    <t>1503094101840002</t>
  </si>
  <si>
    <t>BAYU FITRIANI</t>
  </si>
  <si>
    <t>DP-2249</t>
  </si>
  <si>
    <t>1503091706810001</t>
  </si>
  <si>
    <t>DWI PURNOMO</t>
  </si>
  <si>
    <t>DP-2250</t>
  </si>
  <si>
    <t>1503091709180002</t>
  </si>
  <si>
    <t>1503092712840002</t>
  </si>
  <si>
    <t>DP-2251</t>
  </si>
  <si>
    <t>1503094907970001</t>
  </si>
  <si>
    <t>DUMATU YOLANDA</t>
  </si>
  <si>
    <t>DP-2252</t>
  </si>
  <si>
    <t>1503091709200008</t>
  </si>
  <si>
    <t>1602135505470001</t>
  </si>
  <si>
    <t>SAONAH</t>
  </si>
  <si>
    <t>DSNPAYO LEBAR DSNIV</t>
  </si>
  <si>
    <t>DP-2253</t>
  </si>
  <si>
    <t>1503091710080007</t>
  </si>
  <si>
    <t>1503091705660001</t>
  </si>
  <si>
    <t>ALI SUDIRO</t>
  </si>
  <si>
    <t>DP-2254</t>
  </si>
  <si>
    <t>1503095108830001</t>
  </si>
  <si>
    <t>SULAMI</t>
  </si>
  <si>
    <t>DP-2255</t>
  </si>
  <si>
    <t>1503091710110015</t>
  </si>
  <si>
    <t>1503091907880003</t>
  </si>
  <si>
    <t>APRI YANTO</t>
  </si>
  <si>
    <t>DP-2256</t>
  </si>
  <si>
    <t>1503095708890007</t>
  </si>
  <si>
    <t>NIA SURYA NINGSIH</t>
  </si>
  <si>
    <t>DP-2257</t>
  </si>
  <si>
    <t>1503091710130005</t>
  </si>
  <si>
    <t>1503092511890004</t>
  </si>
  <si>
    <t>DP-2258</t>
  </si>
  <si>
    <t>1508045102920001</t>
  </si>
  <si>
    <t>WARIAH TRI MURDI NINGSIH</t>
  </si>
  <si>
    <t>PURBALINGGA</t>
  </si>
  <si>
    <t>DP-2259</t>
  </si>
  <si>
    <t>1503091710140002</t>
  </si>
  <si>
    <t>1503030107770148</t>
  </si>
  <si>
    <t>RIFA'I</t>
  </si>
  <si>
    <t>BLITANG</t>
  </si>
  <si>
    <t>DP-2260</t>
  </si>
  <si>
    <t>1503094206750003</t>
  </si>
  <si>
    <t>UMI RAHMA</t>
  </si>
  <si>
    <t>DP-2261</t>
  </si>
  <si>
    <t>1503091710140004</t>
  </si>
  <si>
    <t>1503095712870004</t>
  </si>
  <si>
    <t>IRMA IRIANI</t>
  </si>
  <si>
    <t>DSN II SUKA JADI</t>
  </si>
  <si>
    <t>DP-2262</t>
  </si>
  <si>
    <t>1503090402720004</t>
  </si>
  <si>
    <t>SUMANI</t>
  </si>
  <si>
    <t>DP-2263</t>
  </si>
  <si>
    <t>1503091710160007</t>
  </si>
  <si>
    <t>1605054707730002</t>
  </si>
  <si>
    <t>DP-2264</t>
  </si>
  <si>
    <t>1605056805060001</t>
  </si>
  <si>
    <t>HANNY MELIANA KUSUMA</t>
  </si>
  <si>
    <t>DP-2265</t>
  </si>
  <si>
    <t>1605051302010002</t>
  </si>
  <si>
    <t>M.RESTU FEBRILIANSYAH</t>
  </si>
  <si>
    <t>DP-2266</t>
  </si>
  <si>
    <t>1605050505720004</t>
  </si>
  <si>
    <t>MUHAMMAD JUARSA</t>
  </si>
  <si>
    <t>DP-2267</t>
  </si>
  <si>
    <t>1503091710170004</t>
  </si>
  <si>
    <t>1605070712910003</t>
  </si>
  <si>
    <t>HARDADI</t>
  </si>
  <si>
    <t>BATU GAJAH</t>
  </si>
  <si>
    <t>DP-2268</t>
  </si>
  <si>
    <t>1503096210900003</t>
  </si>
  <si>
    <t>SIFAUS SHODRIYAH</t>
  </si>
  <si>
    <t>DP-2197</t>
  </si>
  <si>
    <t>1503091711150003</t>
  </si>
  <si>
    <t>1503095912950003</t>
  </si>
  <si>
    <t>DARAWATI MURDA NINGRUM</t>
  </si>
  <si>
    <t>DP-2269</t>
  </si>
  <si>
    <t>1503092308900001</t>
  </si>
  <si>
    <t>DP-2270</t>
  </si>
  <si>
    <t>1503091712070002</t>
  </si>
  <si>
    <t>1503095709020002</t>
  </si>
  <si>
    <t>MONA SEPTIANA</t>
  </si>
  <si>
    <t>DP-2271</t>
  </si>
  <si>
    <t>1503090111060004</t>
  </si>
  <si>
    <t>NICO DWI IRWANSYAH</t>
  </si>
  <si>
    <t>DESA II PAYO LEBAR</t>
  </si>
  <si>
    <t>DP-2272</t>
  </si>
  <si>
    <t>1503090512750003</t>
  </si>
  <si>
    <t>DP-2273</t>
  </si>
  <si>
    <t>1503096712810002</t>
  </si>
  <si>
    <t>DP-2274</t>
  </si>
  <si>
    <t>1503091712070004</t>
  </si>
  <si>
    <t>1503090304020002</t>
  </si>
  <si>
    <t>ANDRIAN FIRDAUS</t>
  </si>
  <si>
    <t>DP-2275</t>
  </si>
  <si>
    <t>1503091506590001</t>
  </si>
  <si>
    <t>MAHNO</t>
  </si>
  <si>
    <t>DP-2276</t>
  </si>
  <si>
    <t>skt 7</t>
  </si>
  <si>
    <t>1503094407740001</t>
  </si>
  <si>
    <t>NUR PUJIATI</t>
  </si>
  <si>
    <t>DP-2277</t>
  </si>
  <si>
    <t>1503091801080046</t>
  </si>
  <si>
    <t>1503094511700001</t>
  </si>
  <si>
    <t>BAREHA</t>
  </si>
  <si>
    <t>JAWATENGAH</t>
  </si>
  <si>
    <t>DP-2278</t>
  </si>
  <si>
    <t>1503090107650031</t>
  </si>
  <si>
    <t>PARJI</t>
  </si>
  <si>
    <t>DP-2279</t>
  </si>
  <si>
    <t>1503091801080067</t>
  </si>
  <si>
    <t>1503095507860005</t>
  </si>
  <si>
    <t>DP-2280</t>
  </si>
  <si>
    <t>1503091801080074</t>
  </si>
  <si>
    <t>1503090511450001</t>
  </si>
  <si>
    <t>M. RADUN</t>
  </si>
  <si>
    <t>DP-2281</t>
  </si>
  <si>
    <t>1503095112550001</t>
  </si>
  <si>
    <t>DP-2282</t>
  </si>
  <si>
    <t>1503091801080110</t>
  </si>
  <si>
    <t>1503091812520002</t>
  </si>
  <si>
    <t>SARKEH</t>
  </si>
  <si>
    <t>DP-2283</t>
  </si>
  <si>
    <t>1503091801080115</t>
  </si>
  <si>
    <t>1503094907820003</t>
  </si>
  <si>
    <t>ANISAH</t>
  </si>
  <si>
    <t>TEGAL</t>
  </si>
  <si>
    <t>DP-2284</t>
  </si>
  <si>
    <t>1503091206750004</t>
  </si>
  <si>
    <t>UNTUNG SUTRISNO</t>
  </si>
  <si>
    <t>DP-2285</t>
  </si>
  <si>
    <t>1503091801080120</t>
  </si>
  <si>
    <t>1503092010650001</t>
  </si>
  <si>
    <t>DASROH</t>
  </si>
  <si>
    <t>DP-2286</t>
  </si>
  <si>
    <t>1503091801080247</t>
  </si>
  <si>
    <t>1503091407030002</t>
  </si>
  <si>
    <t>BAGUS FRAMUDIA</t>
  </si>
  <si>
    <t>DP-2287</t>
  </si>
  <si>
    <t>1503095808740002</t>
  </si>
  <si>
    <t>SALMIATI</t>
  </si>
  <si>
    <t>DP-2288</t>
  </si>
  <si>
    <t>1503091212680006</t>
  </si>
  <si>
    <t>DP-2289</t>
  </si>
  <si>
    <t>1503091801080257</t>
  </si>
  <si>
    <t>1503095707650004</t>
  </si>
  <si>
    <t>LADINAH</t>
  </si>
  <si>
    <t>JAWATIMUR</t>
  </si>
  <si>
    <t>DP-2290</t>
  </si>
  <si>
    <t>1503091202960001</t>
  </si>
  <si>
    <t>SAMSURI AGUS IRAWAN</t>
  </si>
  <si>
    <t>DP-2291</t>
  </si>
  <si>
    <t>1503091801080258</t>
  </si>
  <si>
    <t>1503095202840003</t>
  </si>
  <si>
    <t>ERMIWATI</t>
  </si>
  <si>
    <t>DP-2292</t>
  </si>
  <si>
    <t>1503092705790003</t>
  </si>
  <si>
    <t>IMAM RIFA'I</t>
  </si>
  <si>
    <t>SINGKKUT</t>
  </si>
  <si>
    <t>DP-2293</t>
  </si>
  <si>
    <t>1503096703020001</t>
  </si>
  <si>
    <t>MUTIA ARMIDA DEWI</t>
  </si>
  <si>
    <t>DP-2294</t>
  </si>
  <si>
    <t>1503091801080259</t>
  </si>
  <si>
    <t>1502024512730002</t>
  </si>
  <si>
    <t>NELDAWATI</t>
  </si>
  <si>
    <t>KAYU KELEK</t>
  </si>
  <si>
    <t>DP-2295</t>
  </si>
  <si>
    <t>1503092707730001</t>
  </si>
  <si>
    <t>RAHMAT</t>
  </si>
  <si>
    <t>DP-2296</t>
  </si>
  <si>
    <t>1502025712060002</t>
  </si>
  <si>
    <t>RHIVANI RIZKI VAUZA</t>
  </si>
  <si>
    <t>DP-2297</t>
  </si>
  <si>
    <t>1503091801080288</t>
  </si>
  <si>
    <t>1503091411540001</t>
  </si>
  <si>
    <t>JAMINGUN</t>
  </si>
  <si>
    <t>DP-2298</t>
  </si>
  <si>
    <t>1503095707590002</t>
  </si>
  <si>
    <t>DP-2299</t>
  </si>
  <si>
    <t>1503091801110012</t>
  </si>
  <si>
    <t>1503092407950001</t>
  </si>
  <si>
    <t>BIBIT SAPUTRA</t>
  </si>
  <si>
    <t>DP-2300</t>
  </si>
  <si>
    <t>1503091801110016</t>
  </si>
  <si>
    <t>1503090208860005</t>
  </si>
  <si>
    <t>MUSTOPA</t>
  </si>
  <si>
    <t>DP-2301</t>
  </si>
  <si>
    <t>1503091801220003</t>
  </si>
  <si>
    <t>1503095012530001</t>
  </si>
  <si>
    <t>SANEM</t>
  </si>
  <si>
    <t>DP-2302</t>
  </si>
  <si>
    <t>1503091801220009</t>
  </si>
  <si>
    <t>1503096202000002</t>
  </si>
  <si>
    <t>MULI RESTY RAHAYU</t>
  </si>
  <si>
    <t>DP-2303</t>
  </si>
  <si>
    <t>1503092304930001</t>
  </si>
  <si>
    <t>ROMLI SAPUTRA</t>
  </si>
  <si>
    <t>DP-2305</t>
  </si>
  <si>
    <t>1503091801220015</t>
  </si>
  <si>
    <t>1503091403910003</t>
  </si>
  <si>
    <t>SAMSUL MA'ARIF</t>
  </si>
  <si>
    <t>DP-2306</t>
  </si>
  <si>
    <t>1503091801220017</t>
  </si>
  <si>
    <t>1503094107410008</t>
  </si>
  <si>
    <t>DP-2307</t>
  </si>
  <si>
    <t>1503091801220018</t>
  </si>
  <si>
    <t>1503091702960001</t>
  </si>
  <si>
    <t>INDRA</t>
  </si>
  <si>
    <t>DP-2308</t>
  </si>
  <si>
    <t>1503095606960003</t>
  </si>
  <si>
    <t>NURMALA SARI</t>
  </si>
  <si>
    <t>DP-2309</t>
  </si>
  <si>
    <t>1503091801220020</t>
  </si>
  <si>
    <t>1503091411870006</t>
  </si>
  <si>
    <t>BUDI MULYONO</t>
  </si>
  <si>
    <t>RAMBE JAYA</t>
  </si>
  <si>
    <t>DP-2310</t>
  </si>
  <si>
    <t>1503054107900212</t>
  </si>
  <si>
    <t>DP-2311</t>
  </si>
  <si>
    <t>1503091801220021</t>
  </si>
  <si>
    <t>1503095206570001</t>
  </si>
  <si>
    <t>KATMI</t>
  </si>
  <si>
    <t>DP-2312</t>
  </si>
  <si>
    <t>1503091801220023</t>
  </si>
  <si>
    <t>1503095708550001</t>
  </si>
  <si>
    <t>SUTARMI</t>
  </si>
  <si>
    <t>DP-2313</t>
  </si>
  <si>
    <t>1503091802080002</t>
  </si>
  <si>
    <t>1503090805040002</t>
  </si>
  <si>
    <t>ABDUL FATTAH</t>
  </si>
  <si>
    <t>DP-2314</t>
  </si>
  <si>
    <t>1503094809840002</t>
  </si>
  <si>
    <t>NANIK</t>
  </si>
  <si>
    <t>DP-2315</t>
  </si>
  <si>
    <t>1503090101810001</t>
  </si>
  <si>
    <t>DP-2316</t>
  </si>
  <si>
    <t>1503091802080005</t>
  </si>
  <si>
    <t>1503091507650004</t>
  </si>
  <si>
    <t>KARSIN</t>
  </si>
  <si>
    <t>SURODADI DEMAK</t>
  </si>
  <si>
    <t>DP-2317</t>
  </si>
  <si>
    <t>1503095004670004</t>
  </si>
  <si>
    <t>SITI MUHASANAH</t>
  </si>
  <si>
    <t>DP-2318</t>
  </si>
  <si>
    <t>1503091802080006</t>
  </si>
  <si>
    <t>1503090807920001</t>
  </si>
  <si>
    <t>MUKHAMMAD THOBI'I</t>
  </si>
  <si>
    <t>DP-2319</t>
  </si>
  <si>
    <t>1503091802160007</t>
  </si>
  <si>
    <t>1571074209920022</t>
  </si>
  <si>
    <t>RATIH SEPTIA NINGSIH</t>
  </si>
  <si>
    <t>DP-2320</t>
  </si>
  <si>
    <t>1503092303890001</t>
  </si>
  <si>
    <t>DP-2321</t>
  </si>
  <si>
    <t>1503091803100011</t>
  </si>
  <si>
    <t>1503092109030001</t>
  </si>
  <si>
    <t>FAREZA ALDI OKTAFIAN</t>
  </si>
  <si>
    <t>DP-2322</t>
  </si>
  <si>
    <t>1503094707840002</t>
  </si>
  <si>
    <t>DP-2323</t>
  </si>
  <si>
    <t>1503091812760002</t>
  </si>
  <si>
    <t>SULYADI</t>
  </si>
  <si>
    <t>DP-2324</t>
  </si>
  <si>
    <t>1503091804160002</t>
  </si>
  <si>
    <t>1503052410880002</t>
  </si>
  <si>
    <t>LATIFAH KURNIASARI</t>
  </si>
  <si>
    <t>DP-2325</t>
  </si>
  <si>
    <t>1503091110900003</t>
  </si>
  <si>
    <t>WINARNO</t>
  </si>
  <si>
    <t>DP-2326</t>
  </si>
  <si>
    <t>1503091804230002</t>
  </si>
  <si>
    <t>1503095112020001</t>
  </si>
  <si>
    <t>ADE SAFITRI</t>
  </si>
  <si>
    <t>DUSN KARYA MAKMUR</t>
  </si>
  <si>
    <t>DP-2327</t>
  </si>
  <si>
    <t>1503091002940001</t>
  </si>
  <si>
    <t>ROMADON SAPUTRA</t>
  </si>
  <si>
    <t>DP-2328</t>
  </si>
  <si>
    <t>1503091804240001</t>
  </si>
  <si>
    <t>1503090409980002</t>
  </si>
  <si>
    <t>ARDI SAPUTRA</t>
  </si>
  <si>
    <t>DP-2329</t>
  </si>
  <si>
    <t>1503091805110005</t>
  </si>
  <si>
    <t>1503091212850007</t>
  </si>
  <si>
    <t>AGUSTRI WAHYONO</t>
  </si>
  <si>
    <t>DP-2330</t>
  </si>
  <si>
    <t>1503096112890004</t>
  </si>
  <si>
    <t>NURYANA</t>
  </si>
  <si>
    <t>DP-2331</t>
  </si>
  <si>
    <t>1503091805150004</t>
  </si>
  <si>
    <t>1503091806940001</t>
  </si>
  <si>
    <t>HAFIZIN SAPUTRA</t>
  </si>
  <si>
    <t>DP-2332</t>
  </si>
  <si>
    <t>1503026306980001</t>
  </si>
  <si>
    <t>MANA SIKANA</t>
  </si>
  <si>
    <t>TANJUNG RADEN</t>
  </si>
  <si>
    <t>DP-2333</t>
  </si>
  <si>
    <t>1503091805170002</t>
  </si>
  <si>
    <t>1503095411960002</t>
  </si>
  <si>
    <t>DEWI MARDIANA</t>
  </si>
  <si>
    <t>DP-2334</t>
  </si>
  <si>
    <t>1503090801880002</t>
  </si>
  <si>
    <t>SUMARMO</t>
  </si>
  <si>
    <t>DP-2335</t>
  </si>
  <si>
    <t>1503091806090019</t>
  </si>
  <si>
    <t>1503092405820003</t>
  </si>
  <si>
    <t>ASTRIA DONIS</t>
  </si>
  <si>
    <t>RANTAU BAYUR</t>
  </si>
  <si>
    <t>DP-2336</t>
  </si>
  <si>
    <t>1503094607900001</t>
  </si>
  <si>
    <t>BETTY SETIANA</t>
  </si>
  <si>
    <t>DP-2337</t>
  </si>
  <si>
    <t>1503091806090021</t>
  </si>
  <si>
    <t>1503096712780002</t>
  </si>
  <si>
    <t>DP-2338</t>
  </si>
  <si>
    <t>1503090506720004</t>
  </si>
  <si>
    <t>KUNDORI</t>
  </si>
  <si>
    <t>DP-2339</t>
  </si>
  <si>
    <t>1503094602030001</t>
  </si>
  <si>
    <t>TRIA FEBRIANI</t>
  </si>
  <si>
    <t>DP-2340</t>
  </si>
  <si>
    <t>1503091806090022</t>
  </si>
  <si>
    <t>1503091408760001</t>
  </si>
  <si>
    <t>PARMO</t>
  </si>
  <si>
    <t>DP-2341</t>
  </si>
  <si>
    <t>1503095102050002</t>
  </si>
  <si>
    <t>SISKA SURYANTI</t>
  </si>
  <si>
    <t>DP-2342</t>
  </si>
  <si>
    <t>1503095103810001</t>
  </si>
  <si>
    <t>WARSINI</t>
  </si>
  <si>
    <t>DP-2343</t>
  </si>
  <si>
    <t>1503091806090024</t>
  </si>
  <si>
    <t>1503090308530001</t>
  </si>
  <si>
    <t>RODIK</t>
  </si>
  <si>
    <t>DP-2344</t>
  </si>
  <si>
    <t>patok 16</t>
  </si>
  <si>
    <t>1503098302550001</t>
  </si>
  <si>
    <t>WAJEMI YATI</t>
  </si>
  <si>
    <t>DP-2345</t>
  </si>
  <si>
    <t>1503091806090025</t>
  </si>
  <si>
    <t>1503092408640001</t>
  </si>
  <si>
    <t>KARTONO</t>
  </si>
  <si>
    <t>DP-2346</t>
  </si>
  <si>
    <t>1503091806090026</t>
  </si>
  <si>
    <t>1503090910970001</t>
  </si>
  <si>
    <t>MUHAMMAD ROFI'I</t>
  </si>
  <si>
    <t>DP-2347</t>
  </si>
  <si>
    <t>1503097005650002</t>
  </si>
  <si>
    <t>SUKANTI</t>
  </si>
  <si>
    <t>DP-2348</t>
  </si>
  <si>
    <t>1503090107650065</t>
  </si>
  <si>
    <t>TAUFIK</t>
  </si>
  <si>
    <t>DP-2349</t>
  </si>
  <si>
    <t>1503091806120001</t>
  </si>
  <si>
    <t>1503090107910015</t>
  </si>
  <si>
    <t>KASIRON</t>
  </si>
  <si>
    <t>DP-2350</t>
  </si>
  <si>
    <t>1503095812890002</t>
  </si>
  <si>
    <t>SHINTA KURNIAWATI</t>
  </si>
  <si>
    <t>SOLOK</t>
  </si>
  <si>
    <t>DP-2351</t>
  </si>
  <si>
    <t>1503091806120004</t>
  </si>
  <si>
    <t>1503091410850001</t>
  </si>
  <si>
    <t>ALBERTO</t>
  </si>
  <si>
    <t>JL.MANSYUR DUSUN SUKA MULYA</t>
  </si>
  <si>
    <t>DP-2352</t>
  </si>
  <si>
    <t>1503095810860001</t>
  </si>
  <si>
    <t>EKA SHURYA AFNI</t>
  </si>
  <si>
    <t>DP-2353</t>
  </si>
  <si>
    <t>1503091806140008</t>
  </si>
  <si>
    <t>1503095002900002</t>
  </si>
  <si>
    <t>KENI SUKESI</t>
  </si>
  <si>
    <t>DP-2354</t>
  </si>
  <si>
    <t>1503091010840005</t>
  </si>
  <si>
    <t>SUROTO</t>
  </si>
  <si>
    <t>GUNUNG KIDUL</t>
  </si>
  <si>
    <t>DP-2355</t>
  </si>
  <si>
    <t>1503091806190009</t>
  </si>
  <si>
    <t>1503092104910001</t>
  </si>
  <si>
    <t>JUNAI WIDIATMO</t>
  </si>
  <si>
    <t>DP-2356</t>
  </si>
  <si>
    <t>1503094106940004</t>
  </si>
  <si>
    <t>SARWATI</t>
  </si>
  <si>
    <t>KALI PUCUNG</t>
  </si>
  <si>
    <t>DP-2357</t>
  </si>
  <si>
    <t>1503091806200003</t>
  </si>
  <si>
    <t>1503091712490001</t>
  </si>
  <si>
    <t>DP-2358</t>
  </si>
  <si>
    <t>1503095303590001</t>
  </si>
  <si>
    <t>DP-2359</t>
  </si>
  <si>
    <t>1503091806210004</t>
  </si>
  <si>
    <t>1503091607010001</t>
  </si>
  <si>
    <t>MUH ABD MAJID</t>
  </si>
  <si>
    <t>DP-2360</t>
  </si>
  <si>
    <t>1503090510040001</t>
  </si>
  <si>
    <t>MUH AMIRUDIN</t>
  </si>
  <si>
    <t>DP-2361</t>
  </si>
  <si>
    <t>1503094107720081</t>
  </si>
  <si>
    <t>DP-2362</t>
  </si>
  <si>
    <t>1503094504070007</t>
  </si>
  <si>
    <t>PUTRI AYU RAHARJANI</t>
  </si>
  <si>
    <t>DP-2363</t>
  </si>
  <si>
    <t>1503091508610002</t>
  </si>
  <si>
    <t>SUKIMIN</t>
  </si>
  <si>
    <t>DP-2364</t>
  </si>
  <si>
    <t>1503091807160001</t>
  </si>
  <si>
    <t>1503090107740018</t>
  </si>
  <si>
    <t>HARIYADI</t>
  </si>
  <si>
    <t>DP-2365</t>
  </si>
  <si>
    <t>1503090602040001</t>
  </si>
  <si>
    <t>HERU SAPUTRA</t>
  </si>
  <si>
    <t>DP-2366</t>
  </si>
  <si>
    <t>1503096211770003</t>
  </si>
  <si>
    <t>DP-2367</t>
  </si>
  <si>
    <t>1503091807190003</t>
  </si>
  <si>
    <t>1503090512950005</t>
  </si>
  <si>
    <t>ABDUL GHAFUR</t>
  </si>
  <si>
    <t>DP-2368</t>
  </si>
  <si>
    <t>1503094106970001</t>
  </si>
  <si>
    <t>DP-2369</t>
  </si>
  <si>
    <t>1503091807220007</t>
  </si>
  <si>
    <t>1503095802990001</t>
  </si>
  <si>
    <t>ANISA NUR AYNI</t>
  </si>
  <si>
    <t>DP-2370</t>
  </si>
  <si>
    <t>1503030606970003</t>
  </si>
  <si>
    <t>ARIS RINALDI</t>
  </si>
  <si>
    <t>DP-2371</t>
  </si>
  <si>
    <t>1503091807230002</t>
  </si>
  <si>
    <t>1503096612990003</t>
  </si>
  <si>
    <t>DELVIA AZIZAH</t>
  </si>
  <si>
    <t>DP-2372</t>
  </si>
  <si>
    <t>1503092311980001</t>
  </si>
  <si>
    <t>SUPARWANTO</t>
  </si>
  <si>
    <t>DP-2373</t>
  </si>
  <si>
    <t>1503091808200007</t>
  </si>
  <si>
    <t>1503092004960001</t>
  </si>
  <si>
    <t>ASIKIN</t>
  </si>
  <si>
    <t>DP-2374</t>
  </si>
  <si>
    <t>1503096812930001</t>
  </si>
  <si>
    <t>SITI MAQFIROTUN</t>
  </si>
  <si>
    <t>DP-2375</t>
  </si>
  <si>
    <t>1503091809070001</t>
  </si>
  <si>
    <t>1503091406020001</t>
  </si>
  <si>
    <t>DONI DWI PRASETYO</t>
  </si>
  <si>
    <t>DP-2376</t>
  </si>
  <si>
    <t>1503091509660001</t>
  </si>
  <si>
    <t>DP-2377</t>
  </si>
  <si>
    <t>1503095504700003</t>
  </si>
  <si>
    <t>SULASTINI</t>
  </si>
  <si>
    <t>DP-2378</t>
  </si>
  <si>
    <t>1503091809070002</t>
  </si>
  <si>
    <t>1503091702690001</t>
  </si>
  <si>
    <t>KUS SUJARNO</t>
  </si>
  <si>
    <t>DP-2379</t>
  </si>
  <si>
    <t>1503090308970004</t>
  </si>
  <si>
    <t>LINGGA AGUS MAULANA</t>
  </si>
  <si>
    <t>DP-2380</t>
  </si>
  <si>
    <t>1503095705800004</t>
  </si>
  <si>
    <t>SUTANTI</t>
  </si>
  <si>
    <t>DP-2381</t>
  </si>
  <si>
    <t>1503091809070003</t>
  </si>
  <si>
    <t>1503092804720001</t>
  </si>
  <si>
    <t>LASTIONO</t>
  </si>
  <si>
    <t>DP-2382</t>
  </si>
  <si>
    <t>1503096112730001</t>
  </si>
  <si>
    <t>SUARSIH</t>
  </si>
  <si>
    <t>DP-2383</t>
  </si>
  <si>
    <t>1503095709010006</t>
  </si>
  <si>
    <t>TRI WARASWANI</t>
  </si>
  <si>
    <t>DP-2384</t>
  </si>
  <si>
    <t>1503091809080010</t>
  </si>
  <si>
    <t>1503092401000002</t>
  </si>
  <si>
    <t>BAYU SEVTIAWAN</t>
  </si>
  <si>
    <t>DP-2385</t>
  </si>
  <si>
    <t>1503096411820001</t>
  </si>
  <si>
    <t>ELOK FACHOTULHIMAH</t>
  </si>
  <si>
    <t>DP-2386</t>
  </si>
  <si>
    <t>1503092512780004</t>
  </si>
  <si>
    <t>WARSIMIN</t>
  </si>
  <si>
    <t>DP-2387</t>
  </si>
  <si>
    <t>1503091809080011</t>
  </si>
  <si>
    <t>1503096807820001</t>
  </si>
  <si>
    <t>INA ASNURANI</t>
  </si>
  <si>
    <t>DP-2388</t>
  </si>
  <si>
    <t>1503092811810001</t>
  </si>
  <si>
    <t>TEDDY KARTIWA</t>
  </si>
  <si>
    <t>DP-2389</t>
  </si>
  <si>
    <t>1503091809080012</t>
  </si>
  <si>
    <t>1503094503840002</t>
  </si>
  <si>
    <t>NUR HIDAYATI</t>
  </si>
  <si>
    <t>DP-2390</t>
  </si>
  <si>
    <t>1503096603020001</t>
  </si>
  <si>
    <t>ULIYA SARI</t>
  </si>
  <si>
    <t>DP-2391</t>
  </si>
  <si>
    <t>1503091112730001</t>
  </si>
  <si>
    <t>DP-2392</t>
  </si>
  <si>
    <t>1503091809170003</t>
  </si>
  <si>
    <t>1503092409900001</t>
  </si>
  <si>
    <t>ADI WIBAWANTO</t>
  </si>
  <si>
    <t>DP-2393</t>
  </si>
  <si>
    <t>1503097012910001</t>
  </si>
  <si>
    <t>DIANA DESIYANTI</t>
  </si>
  <si>
    <t>DP-2394</t>
  </si>
  <si>
    <t>1503091809230001</t>
  </si>
  <si>
    <t>1503055308990002</t>
  </si>
  <si>
    <t>MAYA AGUSTINA</t>
  </si>
  <si>
    <t>DP-2395</t>
  </si>
  <si>
    <t>1503052605910003</t>
  </si>
  <si>
    <t>DP-2396</t>
  </si>
  <si>
    <t>1503091810110002</t>
  </si>
  <si>
    <t>1702115008730001</t>
  </si>
  <si>
    <t>KAMSRI</t>
  </si>
  <si>
    <t>DP-2397</t>
  </si>
  <si>
    <t>1702112705990001</t>
  </si>
  <si>
    <t>RESTU AROHMAN</t>
  </si>
  <si>
    <t>DP-2398</t>
  </si>
  <si>
    <t>1503091810110006</t>
  </si>
  <si>
    <t>1503092012880002</t>
  </si>
  <si>
    <t>HADI PRAYETNO</t>
  </si>
  <si>
    <t>DP-2399</t>
  </si>
  <si>
    <t>1503091810170002</t>
  </si>
  <si>
    <t>1503066008950002</t>
  </si>
  <si>
    <t>DYAH PUSPITA NINGTYAS</t>
  </si>
  <si>
    <t>PETIDURAN BARU</t>
  </si>
  <si>
    <t>DP-2400</t>
  </si>
  <si>
    <t>1503090805920002</t>
  </si>
  <si>
    <t>RENDI SAMSA PUTRA</t>
  </si>
  <si>
    <t>DP-2401</t>
  </si>
  <si>
    <t>1503091811130003</t>
  </si>
  <si>
    <t>1503092901900001</t>
  </si>
  <si>
    <t>MUHAMMAD NASIKIN</t>
  </si>
  <si>
    <t>DESA BUKIT BUMI RAYA</t>
  </si>
  <si>
    <t>DP-2402</t>
  </si>
  <si>
    <t>1503096201670001</t>
  </si>
  <si>
    <t>YUNI PUSPITA SARI</t>
  </si>
  <si>
    <t>DP-2403</t>
  </si>
  <si>
    <t>1503091811210001</t>
  </si>
  <si>
    <t>1503095804020001</t>
  </si>
  <si>
    <t>WINDA</t>
  </si>
  <si>
    <t>DP-2404</t>
  </si>
  <si>
    <t>1503091812070003</t>
  </si>
  <si>
    <t>1503091710040001</t>
  </si>
  <si>
    <t>GILANG NURDIANSAH</t>
  </si>
  <si>
    <t>DP-2405</t>
  </si>
  <si>
    <t>1503095812830001</t>
  </si>
  <si>
    <t>SETIA NINGSIH</t>
  </si>
  <si>
    <t>DP-2406</t>
  </si>
  <si>
    <t>1503090509770001</t>
  </si>
  <si>
    <t>DP-2407</t>
  </si>
  <si>
    <t>1503091812070006</t>
  </si>
  <si>
    <t>1503091002040002</t>
  </si>
  <si>
    <t>FEBRI MAULANA</t>
  </si>
  <si>
    <t>DP-2408</t>
  </si>
  <si>
    <t>1503094705030001</t>
  </si>
  <si>
    <t>SABELA IKA MAILIA</t>
  </si>
  <si>
    <t>DP-2409</t>
  </si>
  <si>
    <t>1503094107650022</t>
  </si>
  <si>
    <t>DP-2410</t>
  </si>
  <si>
    <t>1503090107600016</t>
  </si>
  <si>
    <t>UKIR</t>
  </si>
  <si>
    <t>DP-2411</t>
  </si>
  <si>
    <t>1503091812070008</t>
  </si>
  <si>
    <t>1503094107850015</t>
  </si>
  <si>
    <t>ANISARINI</t>
  </si>
  <si>
    <t>DP-2412</t>
  </si>
  <si>
    <t>1503092802060004</t>
  </si>
  <si>
    <t>BAGUS SADEWA</t>
  </si>
  <si>
    <t>DP-2413</t>
  </si>
  <si>
    <t>1503090107810022</t>
  </si>
  <si>
    <t>SURAHMAN</t>
  </si>
  <si>
    <t>DP-2414</t>
  </si>
  <si>
    <t>1503091812080005</t>
  </si>
  <si>
    <t>1503092208800001</t>
  </si>
  <si>
    <t>SUBANDI SAPUTRA</t>
  </si>
  <si>
    <t>DP-2415</t>
  </si>
  <si>
    <t>1503091812170003</t>
  </si>
  <si>
    <t>1503091104910001</t>
  </si>
  <si>
    <t>1503090907260004</t>
  </si>
  <si>
    <t>DP-2416</t>
  </si>
  <si>
    <t>1503096509990005</t>
  </si>
  <si>
    <t>LIDIYA SEPTIA NINGSIH</t>
  </si>
  <si>
    <t>DP-2417</t>
  </si>
  <si>
    <t>1503091812190002</t>
  </si>
  <si>
    <t>1503091506650007</t>
  </si>
  <si>
    <t>JAMIN</t>
  </si>
  <si>
    <t>DP-2418</t>
  </si>
  <si>
    <t>1503095112600003</t>
  </si>
  <si>
    <t>DP-2419</t>
  </si>
  <si>
    <t>1503091812190004</t>
  </si>
  <si>
    <t>1503090707970007</t>
  </si>
  <si>
    <t>DP-2420</t>
  </si>
  <si>
    <t>1503091812190009</t>
  </si>
  <si>
    <t>siliwangi</t>
  </si>
  <si>
    <t>1503091104930003</t>
  </si>
  <si>
    <t>IMAM ANWARI</t>
  </si>
  <si>
    <t>KRAJAN GUNUNG SARI</t>
  </si>
  <si>
    <t>DP-2421</t>
  </si>
  <si>
    <t>1503091901100010</t>
  </si>
  <si>
    <t>1503094107720021</t>
  </si>
  <si>
    <t>DP-2422</t>
  </si>
  <si>
    <t>1503090107620052</t>
  </si>
  <si>
    <t>DP-2423</t>
  </si>
  <si>
    <t>1503091901110001</t>
  </si>
  <si>
    <t>1503092810050004</t>
  </si>
  <si>
    <t>INDRA LESMANA</t>
  </si>
  <si>
    <t>DP-2424</t>
  </si>
  <si>
    <t>1503095707790003</t>
  </si>
  <si>
    <t>MINARNI</t>
  </si>
  <si>
    <t>DP-2425</t>
  </si>
  <si>
    <t>1503090506740004</t>
  </si>
  <si>
    <t>NURKHOLIK</t>
  </si>
  <si>
    <t>BREBES JATENG</t>
  </si>
  <si>
    <t>DP-2426</t>
  </si>
  <si>
    <t>1503091901210004</t>
  </si>
  <si>
    <t>3315046807050004</t>
  </si>
  <si>
    <t>ELSSY HESTIYA REVALINA</t>
  </si>
  <si>
    <t>DP-2427</t>
  </si>
  <si>
    <t>3315047108850001</t>
  </si>
  <si>
    <t>ESTI MAYASARI</t>
  </si>
  <si>
    <t>DP-2428</t>
  </si>
  <si>
    <t>3315041005780002</t>
  </si>
  <si>
    <t>TOTOK MUJIYANTO</t>
  </si>
  <si>
    <t>DP-2429</t>
  </si>
  <si>
    <t>1503091901220003</t>
  </si>
  <si>
    <t>1505052401940001</t>
  </si>
  <si>
    <t>PANDU BINTARA</t>
  </si>
  <si>
    <t>DP-2430</t>
  </si>
  <si>
    <t>1503096612980001</t>
  </si>
  <si>
    <t>SUCI WULANDARI</t>
  </si>
  <si>
    <t>DP-2431</t>
  </si>
  <si>
    <t>1503091902080008</t>
  </si>
  <si>
    <t>1503095003800003</t>
  </si>
  <si>
    <t>DWI HASRINI</t>
  </si>
  <si>
    <t>DP-2432</t>
  </si>
  <si>
    <t>1503091010790004</t>
  </si>
  <si>
    <t>M. YUSUP</t>
  </si>
  <si>
    <t>DP-2433</t>
  </si>
  <si>
    <t>1503091902090002</t>
  </si>
  <si>
    <t>1503091605750001</t>
  </si>
  <si>
    <t>AGUS KOMARUDIN</t>
  </si>
  <si>
    <t>DP-2434</t>
  </si>
  <si>
    <t>1503092806000002</t>
  </si>
  <si>
    <t>ALGA RISKA ANANDA</t>
  </si>
  <si>
    <t>DP-2435</t>
  </si>
  <si>
    <t>1503094405020002</t>
  </si>
  <si>
    <t>AMALIA GUSMIARNI</t>
  </si>
  <si>
    <t>DP-2436</t>
  </si>
  <si>
    <t>1503094806790003</t>
  </si>
  <si>
    <t>MASRINI</t>
  </si>
  <si>
    <t>DP-2437</t>
  </si>
  <si>
    <t>1503091902120001</t>
  </si>
  <si>
    <t>1503094709890007</t>
  </si>
  <si>
    <t>MISTINEM</t>
  </si>
  <si>
    <t>DP-2438</t>
  </si>
  <si>
    <t>1503090511840001</t>
  </si>
  <si>
    <t>SUGENG RIYADI</t>
  </si>
  <si>
    <t>DP-2439</t>
  </si>
  <si>
    <t>1503091902120007</t>
  </si>
  <si>
    <t>1503094703920005</t>
  </si>
  <si>
    <t>NENENG RAHAYU</t>
  </si>
  <si>
    <t>DP-2440</t>
  </si>
  <si>
    <t>1503090208860007</t>
  </si>
  <si>
    <t>ZULKARNAIN</t>
  </si>
  <si>
    <t>MUARA RUPIT</t>
  </si>
  <si>
    <t>DP-2441</t>
  </si>
  <si>
    <t>1503091903190002</t>
  </si>
  <si>
    <t>1503034505820010</t>
  </si>
  <si>
    <t>MULYANI</t>
  </si>
  <si>
    <t>DP-2442</t>
  </si>
  <si>
    <t>1503030107060035</t>
  </si>
  <si>
    <t>YULIADI</t>
  </si>
  <si>
    <t>DP-0001</t>
  </si>
  <si>
    <t>1503091904160001</t>
  </si>
  <si>
    <t>1673086304510001</t>
  </si>
  <si>
    <t>SALEHA</t>
  </si>
  <si>
    <t>MUARA KELINGI</t>
  </si>
  <si>
    <t>-POSTU PAYO LEBAR</t>
  </si>
  <si>
    <t>DP-2443</t>
  </si>
  <si>
    <t>1503091904210003</t>
  </si>
  <si>
    <t>1503094609920001</t>
  </si>
  <si>
    <t>WIDIASTUTI</t>
  </si>
  <si>
    <t>DP-2444</t>
  </si>
  <si>
    <t>1503091904220001</t>
  </si>
  <si>
    <t>1503091108770001</t>
  </si>
  <si>
    <t>NASRUDIN</t>
  </si>
  <si>
    <t>DSN RAMBE JAYA</t>
  </si>
  <si>
    <t>DP-2445</t>
  </si>
  <si>
    <t>1503091905090015</t>
  </si>
  <si>
    <t>1503094603770002</t>
  </si>
  <si>
    <t>KARTIYEM</t>
  </si>
  <si>
    <t>DP-2446</t>
  </si>
  <si>
    <t>1503091206700003</t>
  </si>
  <si>
    <t>SUKOYO</t>
  </si>
  <si>
    <t>DP-2447</t>
  </si>
  <si>
    <t>1503091905090016</t>
  </si>
  <si>
    <t>1503090901960003</t>
  </si>
  <si>
    <t>BENNY DWI HERMANTO</t>
  </si>
  <si>
    <t>DP-2448</t>
  </si>
  <si>
    <t>1503094803730004</t>
  </si>
  <si>
    <t>EKA SURATMI</t>
  </si>
  <si>
    <t>DP-2449</t>
  </si>
  <si>
    <t>1503090204680001</t>
  </si>
  <si>
    <t>MUKAYAT</t>
  </si>
  <si>
    <t>DP-2450</t>
  </si>
  <si>
    <t>1503095401020001</t>
  </si>
  <si>
    <t>PUTRI ELIZA</t>
  </si>
  <si>
    <t>DP-2451</t>
  </si>
  <si>
    <t>1503091905090017</t>
  </si>
  <si>
    <t>1503091012990003</t>
  </si>
  <si>
    <t>AMAR RAMADANI</t>
  </si>
  <si>
    <t>DP-2452</t>
  </si>
  <si>
    <t>1503090412860003</t>
  </si>
  <si>
    <t>DENY MARTHA SARI</t>
  </si>
  <si>
    <t>DP-2453</t>
  </si>
  <si>
    <t>1503090204550002</t>
  </si>
  <si>
    <t>KUMARYATA</t>
  </si>
  <si>
    <t>DP-2454</t>
  </si>
  <si>
    <t>1503095302620001</t>
  </si>
  <si>
    <t>PRAPTININGSIH</t>
  </si>
  <si>
    <t>DP-2455</t>
  </si>
  <si>
    <t>1503091905090020</t>
  </si>
  <si>
    <t>1503092410420001</t>
  </si>
  <si>
    <t>TOYIB</t>
  </si>
  <si>
    <t>DP-2456</t>
  </si>
  <si>
    <t>1503091905100005</t>
  </si>
  <si>
    <t>1503090101720002</t>
  </si>
  <si>
    <t>DP-2457</t>
  </si>
  <si>
    <t>1503095205760002</t>
  </si>
  <si>
    <t>ROSNI DEWI POHAN</t>
  </si>
  <si>
    <t>LABUHAN BATU</t>
  </si>
  <si>
    <t>DP-2458</t>
  </si>
  <si>
    <t>1503091905110005</t>
  </si>
  <si>
    <t>1503094911850002</t>
  </si>
  <si>
    <t>HIKMANIAR</t>
  </si>
  <si>
    <t>DP-2459</t>
  </si>
  <si>
    <t>1503090507810007</t>
  </si>
  <si>
    <t>SIAMTO</t>
  </si>
  <si>
    <t>DP-2460</t>
  </si>
  <si>
    <t>1503091905210002</t>
  </si>
  <si>
    <t>1503092807900001</t>
  </si>
  <si>
    <t>ROHMA PRIANTO</t>
  </si>
  <si>
    <t>DP-2461</t>
  </si>
  <si>
    <t>1503091905220002</t>
  </si>
  <si>
    <t>1503091306000001</t>
  </si>
  <si>
    <t>DANIL</t>
  </si>
  <si>
    <t>DP-2462</t>
  </si>
  <si>
    <t>1503096707020003</t>
  </si>
  <si>
    <t>YUYUN PIJAYANTI</t>
  </si>
  <si>
    <t>DP-2463</t>
  </si>
  <si>
    <t>1503091905230002</t>
  </si>
  <si>
    <t>3503071112730001</t>
  </si>
  <si>
    <t>DP-2464</t>
  </si>
  <si>
    <t>1503091906090001</t>
  </si>
  <si>
    <t>1503091207600003</t>
  </si>
  <si>
    <t>JAIMAN</t>
  </si>
  <si>
    <t>DP-2465</t>
  </si>
  <si>
    <t>1503096407670002</t>
  </si>
  <si>
    <t>KOMSIYAH</t>
  </si>
  <si>
    <t>DP-2466</t>
  </si>
  <si>
    <t>1503091906090003</t>
  </si>
  <si>
    <t>1503093006650001</t>
  </si>
  <si>
    <t>HUDLRIN</t>
  </si>
  <si>
    <t>DP-2467</t>
  </si>
  <si>
    <t>1503093011010002</t>
  </si>
  <si>
    <t>LUTFI HAKIM</t>
  </si>
  <si>
    <t>DP-2468</t>
  </si>
  <si>
    <t>1503097006660001</t>
  </si>
  <si>
    <t>NUR HIDAYAH</t>
  </si>
  <si>
    <t>DP-2469</t>
  </si>
  <si>
    <t>1503091906150003</t>
  </si>
  <si>
    <t>1503094701940002</t>
  </si>
  <si>
    <t>ICHA WULANDARI</t>
  </si>
  <si>
    <t>DP-2470</t>
  </si>
  <si>
    <t>1503093105910003</t>
  </si>
  <si>
    <t>M. ABU SYAIBAH</t>
  </si>
  <si>
    <t>DP-2471</t>
  </si>
  <si>
    <t>1503091906230001</t>
  </si>
  <si>
    <t>1503096709960003</t>
  </si>
  <si>
    <t>IRA SOFHIA</t>
  </si>
  <si>
    <t>DP-2472</t>
  </si>
  <si>
    <t>1503091904970003</t>
  </si>
  <si>
    <t>RIHAN ARDHIYAN</t>
  </si>
  <si>
    <t>DP-2473</t>
  </si>
  <si>
    <t>1503091907100007</t>
  </si>
  <si>
    <t>1503090604820003</t>
  </si>
  <si>
    <t>EDI SUPRAYITNO</t>
  </si>
  <si>
    <t>DP-2474</t>
  </si>
  <si>
    <t>1503094808030004</t>
  </si>
  <si>
    <t>YENI AGUSTIN</t>
  </si>
  <si>
    <t>DP-2475</t>
  </si>
  <si>
    <t>1503091907110003</t>
  </si>
  <si>
    <t>1503090704880002</t>
  </si>
  <si>
    <t>DWI SUSANTO</t>
  </si>
  <si>
    <t>DP-2476</t>
  </si>
  <si>
    <t>1503096607850004</t>
  </si>
  <si>
    <t>PRAPTI</t>
  </si>
  <si>
    <t>DP-2477</t>
  </si>
  <si>
    <t>1503091907110006</t>
  </si>
  <si>
    <t>1702111108570001</t>
  </si>
  <si>
    <t>SALBANI</t>
  </si>
  <si>
    <t>DP-2478</t>
  </si>
  <si>
    <t>1503091907160004</t>
  </si>
  <si>
    <t>1503096512700002</t>
  </si>
  <si>
    <t>SRI ASTUTIK</t>
  </si>
  <si>
    <t>DP-2479</t>
  </si>
  <si>
    <t>1503091907190004</t>
  </si>
  <si>
    <t>1509044908860004</t>
  </si>
  <si>
    <t>ENI SURYANI</t>
  </si>
  <si>
    <t>DP-2480</t>
  </si>
  <si>
    <t>1509042306840002</t>
  </si>
  <si>
    <t>MUHAMMAD BADARUDIN</t>
  </si>
  <si>
    <t>DP-2481</t>
  </si>
  <si>
    <t>1503091908100003</t>
  </si>
  <si>
    <t>1503090110060008</t>
  </si>
  <si>
    <t>DELAN RAHMADANI</t>
  </si>
  <si>
    <t>DP-2482</t>
  </si>
  <si>
    <t>1503094708020004</t>
  </si>
  <si>
    <t>LIZA PUTRIYANI</t>
  </si>
  <si>
    <t>DP-2483</t>
  </si>
  <si>
    <t>1503092703770002</t>
  </si>
  <si>
    <t>ROCHMAT</t>
  </si>
  <si>
    <t>DP-2484</t>
  </si>
  <si>
    <t>1503096001790002</t>
  </si>
  <si>
    <t>WARTINGAH</t>
  </si>
  <si>
    <t>DP-2485</t>
  </si>
  <si>
    <t>1503091908190007</t>
  </si>
  <si>
    <t>1503095207860004</t>
  </si>
  <si>
    <t>MULYANTI</t>
  </si>
  <si>
    <t>MULIA BHAKTI</t>
  </si>
  <si>
    <t>DP-2486</t>
  </si>
  <si>
    <t>1503091908200009</t>
  </si>
  <si>
    <t>1503094103950003</t>
  </si>
  <si>
    <t>EKA FITRI RESTIARNI</t>
  </si>
  <si>
    <t>DP-2487</t>
  </si>
  <si>
    <t>1503092002950001</t>
  </si>
  <si>
    <t>PEBRIAN RAMANDA ISWADI</t>
  </si>
  <si>
    <t>DP-2488</t>
  </si>
  <si>
    <t>1503091908210002</t>
  </si>
  <si>
    <t>1503092812930002</t>
  </si>
  <si>
    <t>AHMAD SAHARA</t>
  </si>
  <si>
    <t>DP-2489</t>
  </si>
  <si>
    <t>1503097003010001</t>
  </si>
  <si>
    <t>DEA ILAROHANI</t>
  </si>
  <si>
    <t>DP-2490</t>
  </si>
  <si>
    <t>1503091909170001</t>
  </si>
  <si>
    <t>1503040309960002</t>
  </si>
  <si>
    <t>FUAT VAELA SOVA</t>
  </si>
  <si>
    <t>DESA BARU</t>
  </si>
  <si>
    <t>DP-2491</t>
  </si>
  <si>
    <t>1503094607950001</t>
  </si>
  <si>
    <t>SAPUTRI SETIYOWATI</t>
  </si>
  <si>
    <t>DP-2492</t>
  </si>
  <si>
    <t>1503091910110001</t>
  </si>
  <si>
    <t>1503093009830004</t>
  </si>
  <si>
    <t>ACHMAD YANI</t>
  </si>
  <si>
    <t>DP-2493</t>
  </si>
  <si>
    <t>1503090206440002</t>
  </si>
  <si>
    <t>HELMI UMAR</t>
  </si>
  <si>
    <t>KARYA MULYA</t>
  </si>
  <si>
    <t>DP-2494</t>
  </si>
  <si>
    <t>1503094505520002</t>
  </si>
  <si>
    <t>RIDUANAH</t>
  </si>
  <si>
    <t>DP-2495</t>
  </si>
  <si>
    <t>1503091910110003</t>
  </si>
  <si>
    <t>3521021709020001</t>
  </si>
  <si>
    <t>HERI KUSWANTO</t>
  </si>
  <si>
    <t>DP-2496</t>
  </si>
  <si>
    <t>1503091910220005</t>
  </si>
  <si>
    <t>1503092405980001</t>
  </si>
  <si>
    <t>DWIKI RENDI SAPUTRA</t>
  </si>
  <si>
    <t>DP-2497</t>
  </si>
  <si>
    <t>1503096504010001</t>
  </si>
  <si>
    <t>ISKA PRIANA</t>
  </si>
  <si>
    <t>DP-2498</t>
  </si>
  <si>
    <t>1503091910220006</t>
  </si>
  <si>
    <t>1605051701960001</t>
  </si>
  <si>
    <t>IGHO SUSANTO</t>
  </si>
  <si>
    <t>DP-2499</t>
  </si>
  <si>
    <t>1503096309940001</t>
  </si>
  <si>
    <t>KIKI ARDIANTI</t>
  </si>
  <si>
    <t>DP-2500</t>
  </si>
  <si>
    <t>1503091911070003</t>
  </si>
  <si>
    <t>1503094109830001</t>
  </si>
  <si>
    <t>NGATEMI</t>
  </si>
  <si>
    <t>DP-2501</t>
  </si>
  <si>
    <t>1503092206050003</t>
  </si>
  <si>
    <t>WIANTOMI ANDSYAH</t>
  </si>
  <si>
    <t>DP-2502</t>
  </si>
  <si>
    <t>1503092512790003</t>
  </si>
  <si>
    <t>DP-2503</t>
  </si>
  <si>
    <t>1503091912070008</t>
  </si>
  <si>
    <t>1503090107520013</t>
  </si>
  <si>
    <t>KASIJO</t>
  </si>
  <si>
    <t>DP-2504</t>
  </si>
  <si>
    <t>1503091912070010</t>
  </si>
  <si>
    <t>1503094107840022</t>
  </si>
  <si>
    <t>HARTUTI</t>
  </si>
  <si>
    <t>DP-2505</t>
  </si>
  <si>
    <t>1503092505770017</t>
  </si>
  <si>
    <t>JONO SUSANTO</t>
  </si>
  <si>
    <t>DP-2506</t>
  </si>
  <si>
    <t>1503091912080004</t>
  </si>
  <si>
    <t>1503092608940002</t>
  </si>
  <si>
    <t>ANGGI AHMAD WAHYUDI</t>
  </si>
  <si>
    <t>DP-2507</t>
  </si>
  <si>
    <t>1503092507670002</t>
  </si>
  <si>
    <t>MUSIRAN</t>
  </si>
  <si>
    <t>DP-2508</t>
  </si>
  <si>
    <t>1503094606730002</t>
  </si>
  <si>
    <t>DP-2509</t>
  </si>
  <si>
    <t>1503091912140002</t>
  </si>
  <si>
    <t>1503094107060037</t>
  </si>
  <si>
    <t>NITA YULIANI</t>
  </si>
  <si>
    <t>L SIDOHARJO</t>
  </si>
  <si>
    <t>DP-2510</t>
  </si>
  <si>
    <t>1605015708760002</t>
  </si>
  <si>
    <t>DP-2511</t>
  </si>
  <si>
    <t>1605010811740001</t>
  </si>
  <si>
    <t>DP-2512</t>
  </si>
  <si>
    <t>1503094703070002</t>
  </si>
  <si>
    <t>TIARA INDRIANTIKA</t>
  </si>
  <si>
    <t>DP-2513</t>
  </si>
  <si>
    <t>1503091912140003</t>
  </si>
  <si>
    <t>1503092611870003</t>
  </si>
  <si>
    <t>ONO WIBOWO</t>
  </si>
  <si>
    <t>DP-2514</t>
  </si>
  <si>
    <t>1503096010890003</t>
  </si>
  <si>
    <t>SRI SUKARTINI</t>
  </si>
  <si>
    <t>DP-2515</t>
  </si>
  <si>
    <t>1503092001100001</t>
  </si>
  <si>
    <t>1503091401820001</t>
  </si>
  <si>
    <t>HERRY SETYAWAN</t>
  </si>
  <si>
    <t>TELUK AIR</t>
  </si>
  <si>
    <t>DP-2516</t>
  </si>
  <si>
    <t>1503096707830004</t>
  </si>
  <si>
    <t>LIA HERLIANA</t>
  </si>
  <si>
    <t>DP-2517</t>
  </si>
  <si>
    <t>1503092001110011</t>
  </si>
  <si>
    <t>1503096607000002</t>
  </si>
  <si>
    <t>KURNIA JULIETA</t>
  </si>
  <si>
    <t>DP-2518</t>
  </si>
  <si>
    <t>1503096110750003</t>
  </si>
  <si>
    <t>MARNI</t>
  </si>
  <si>
    <t>DP-2519</t>
  </si>
  <si>
    <t>1503095305020002</t>
  </si>
  <si>
    <t>MELISA</t>
  </si>
  <si>
    <t>DP-2520</t>
  </si>
  <si>
    <t>1503091004700003</t>
  </si>
  <si>
    <t>RAHMAD HIDAYAT</t>
  </si>
  <si>
    <t>DP-2521</t>
  </si>
  <si>
    <t>1503090110050010</t>
  </si>
  <si>
    <t>YOGI SAPUTRA</t>
  </si>
  <si>
    <t>DP-2522</t>
  </si>
  <si>
    <t>1503092001110019</t>
  </si>
  <si>
    <t>1503092709710001</t>
  </si>
  <si>
    <t>CECEP</t>
  </si>
  <si>
    <t>DP-2523</t>
  </si>
  <si>
    <t>1503095008030005</t>
  </si>
  <si>
    <t>ERNI ERLINA</t>
  </si>
  <si>
    <t>DP-2524</t>
  </si>
  <si>
    <t>1503091703050002</t>
  </si>
  <si>
    <t>M. FAISAL</t>
  </si>
  <si>
    <t>DP-2525</t>
  </si>
  <si>
    <t>1503097112790006</t>
  </si>
  <si>
    <t>DP-2526</t>
  </si>
  <si>
    <t>1503092001220002</t>
  </si>
  <si>
    <t>1503094107010017</t>
  </si>
  <si>
    <t>DWI SUPRIYATI</t>
  </si>
  <si>
    <t>DP-2527</t>
  </si>
  <si>
    <t>1503092205910003</t>
  </si>
  <si>
    <t>NUR SAHID</t>
  </si>
  <si>
    <t>DP-2528</t>
  </si>
  <si>
    <t>1503092002100012</t>
  </si>
  <si>
    <t>1503091209660005</t>
  </si>
  <si>
    <t>AHMAD RUSLI</t>
  </si>
  <si>
    <t>DP-2529</t>
  </si>
  <si>
    <t>1503090503920004</t>
  </si>
  <si>
    <t>IVAN RAMADHAN</t>
  </si>
  <si>
    <t>DP-2530</t>
  </si>
  <si>
    <t>1503090604070002</t>
  </si>
  <si>
    <t>M ILHAM</t>
  </si>
  <si>
    <t>Sarolangun</t>
  </si>
  <si>
    <t>DP-2531</t>
  </si>
  <si>
    <t>1503094708020003</t>
  </si>
  <si>
    <t>MURNI MUSTIKA SARI</t>
  </si>
  <si>
    <t>DP-2532</t>
  </si>
  <si>
    <t>1503095505730002</t>
  </si>
  <si>
    <t>SITI ZAITUN</t>
  </si>
  <si>
    <t>R PRAPAT</t>
  </si>
  <si>
    <t>DP-2533</t>
  </si>
  <si>
    <t>1503092002140002</t>
  </si>
  <si>
    <t>1503094405710001</t>
  </si>
  <si>
    <t>MUSRINGAH</t>
  </si>
  <si>
    <t>DP-2534</t>
  </si>
  <si>
    <t>1503092002240001</t>
  </si>
  <si>
    <t>1503090402950003</t>
  </si>
  <si>
    <t>DP-2535</t>
  </si>
  <si>
    <t>1503092002240002</t>
  </si>
  <si>
    <t>1503096112950004</t>
  </si>
  <si>
    <t>SELA MAYA SARI</t>
  </si>
  <si>
    <t>DP-2536</t>
  </si>
  <si>
    <t>1503092003140007</t>
  </si>
  <si>
    <t>1503094605640001</t>
  </si>
  <si>
    <t>SARIKEM</t>
  </si>
  <si>
    <t>DP-2537</t>
  </si>
  <si>
    <t>1503055403960003</t>
  </si>
  <si>
    <t>TRI PONIRAWATI</t>
  </si>
  <si>
    <t>DP-2538</t>
  </si>
  <si>
    <t>1503090307920002</t>
  </si>
  <si>
    <t>WIJI</t>
  </si>
  <si>
    <t>DP-2539</t>
  </si>
  <si>
    <t>1503092003180001</t>
  </si>
  <si>
    <t>1503095405950001</t>
  </si>
  <si>
    <t>FICKY WIDYANTI</t>
  </si>
  <si>
    <t>DP-2540</t>
  </si>
  <si>
    <t>1503091407890002</t>
  </si>
  <si>
    <t>DP-2541</t>
  </si>
  <si>
    <t>1503092003180002</t>
  </si>
  <si>
    <t>1503095103630001</t>
  </si>
  <si>
    <t>SUTIYAH</t>
  </si>
  <si>
    <t>DP-2542</t>
  </si>
  <si>
    <t>1503092003200001</t>
  </si>
  <si>
    <t>1503093009990002</t>
  </si>
  <si>
    <t>ABDUN NURULLUTHFI</t>
  </si>
  <si>
    <t>DP-2543</t>
  </si>
  <si>
    <t>1503095512780002</t>
  </si>
  <si>
    <t>DP-2544</t>
  </si>
  <si>
    <t>1503092004100002</t>
  </si>
  <si>
    <t>1503090708790007</t>
  </si>
  <si>
    <t>AGUS WIYANTONO</t>
  </si>
  <si>
    <t>DP-2545</t>
  </si>
  <si>
    <t>1503091601020003</t>
  </si>
  <si>
    <t>REGA PRADANA</t>
  </si>
  <si>
    <t>DP-2546</t>
  </si>
  <si>
    <t>1503095707830006</t>
  </si>
  <si>
    <t>TENTI</t>
  </si>
  <si>
    <t>DP-2547</t>
  </si>
  <si>
    <t>1503092004100004</t>
  </si>
  <si>
    <t>1503090405020005</t>
  </si>
  <si>
    <t>GATOT WINARNO</t>
  </si>
  <si>
    <t>DP-2548</t>
  </si>
  <si>
    <t>1503090412780003</t>
  </si>
  <si>
    <t>IMAM MUHTAR</t>
  </si>
  <si>
    <t>DP-2549</t>
  </si>
  <si>
    <t>1503090108050004</t>
  </si>
  <si>
    <t>SUCI INDAH WULANDARI</t>
  </si>
  <si>
    <t>DP-2550</t>
  </si>
  <si>
    <t>1503094405780005</t>
  </si>
  <si>
    <t>WIDADI ASIH</t>
  </si>
  <si>
    <t>DP-2551</t>
  </si>
  <si>
    <t>1503092004100005</t>
  </si>
  <si>
    <t>1503095906060003</t>
  </si>
  <si>
    <t>AYU SINTIA WULANDARI</t>
  </si>
  <si>
    <t>DP-2552</t>
  </si>
  <si>
    <t>1503092303010003</t>
  </si>
  <si>
    <t>SANDI WISWOYO</t>
  </si>
  <si>
    <t>DP-2553</t>
  </si>
  <si>
    <t>1503091109660001</t>
  </si>
  <si>
    <t>SARDI</t>
  </si>
  <si>
    <t>DP-2554</t>
  </si>
  <si>
    <t>1503096105770001</t>
  </si>
  <si>
    <t>SITI CHASANAH</t>
  </si>
  <si>
    <t>DP-2555</t>
  </si>
  <si>
    <t>1503092004100006</t>
  </si>
  <si>
    <t>1503096710850001</t>
  </si>
  <si>
    <t>ANIAH</t>
  </si>
  <si>
    <t>GUNTUNG</t>
  </si>
  <si>
    <t>DP-2556</t>
  </si>
  <si>
    <t>1503094312820001</t>
  </si>
  <si>
    <t>AYEN</t>
  </si>
  <si>
    <t>RUPIT</t>
  </si>
  <si>
    <t>DP-2557</t>
  </si>
  <si>
    <t>1503091006770002</t>
  </si>
  <si>
    <t>LUSIONO</t>
  </si>
  <si>
    <t>DP-2558</t>
  </si>
  <si>
    <t>1503092712800005</t>
  </si>
  <si>
    <t>SABANI</t>
  </si>
  <si>
    <t>DP-2559</t>
  </si>
  <si>
    <t>1503092004170003</t>
  </si>
  <si>
    <t>1503094111500002</t>
  </si>
  <si>
    <t>DP-2560</t>
  </si>
  <si>
    <t>1503092004210004</t>
  </si>
  <si>
    <t>1503095012690001</t>
  </si>
  <si>
    <t>DP-2561</t>
  </si>
  <si>
    <t>1503092004220002</t>
  </si>
  <si>
    <t>1503090108770001</t>
  </si>
  <si>
    <t>BAMBANG SUTRISNO</t>
  </si>
  <si>
    <t>DP-2562</t>
  </si>
  <si>
    <t>1503095705020001</t>
  </si>
  <si>
    <t>DEWI LARASATI</t>
  </si>
  <si>
    <t>DP-2563</t>
  </si>
  <si>
    <t>1503096004810001</t>
  </si>
  <si>
    <t>SURYATIN</t>
  </si>
  <si>
    <t>DP-2564</t>
  </si>
  <si>
    <t>1503092005150006</t>
  </si>
  <si>
    <t>1503090409800002</t>
  </si>
  <si>
    <t>DP-2565</t>
  </si>
  <si>
    <t>1503095710960001</t>
  </si>
  <si>
    <t>SUSANTI</t>
  </si>
  <si>
    <t>DP-2566</t>
  </si>
  <si>
    <t>1503092005150007</t>
  </si>
  <si>
    <t>1503096504880007</t>
  </si>
  <si>
    <t>DP-2567</t>
  </si>
  <si>
    <t>1503091707790004</t>
  </si>
  <si>
    <t>DP-2568</t>
  </si>
  <si>
    <t>1503092005200002</t>
  </si>
  <si>
    <t>1503095105910003</t>
  </si>
  <si>
    <t>IDA WAHYUNI</t>
  </si>
  <si>
    <t>DP-2569</t>
  </si>
  <si>
    <t>1503091707600002</t>
  </si>
  <si>
    <t>SAENEM</t>
  </si>
  <si>
    <t>Istri belum ketemu</t>
  </si>
  <si>
    <t>DP-2570</t>
  </si>
  <si>
    <t>1503092006090003</t>
  </si>
  <si>
    <t>1503095508750004</t>
  </si>
  <si>
    <t>EKA SRI SUKAMTI</t>
  </si>
  <si>
    <t>DP-2571</t>
  </si>
  <si>
    <t>1503090709040001</t>
  </si>
  <si>
    <t>RIKCO ARYA SAPUTRA</t>
  </si>
  <si>
    <t>DP-2572</t>
  </si>
  <si>
    <t>1503091005720004</t>
  </si>
  <si>
    <t>TUMARI</t>
  </si>
  <si>
    <t>DP-2573</t>
  </si>
  <si>
    <t>1503092006090027</t>
  </si>
  <si>
    <t>1503091509870004</t>
  </si>
  <si>
    <t>ARIP ANGSARI</t>
  </si>
  <si>
    <t>1503050404230004</t>
  </si>
  <si>
    <t>DP-2574</t>
  </si>
  <si>
    <t>1503094201890004</t>
  </si>
  <si>
    <t>YENI WINARTI</t>
  </si>
  <si>
    <t>belum ketemu Suamine</t>
  </si>
  <si>
    <t>DP-2575</t>
  </si>
  <si>
    <t>1503092006230001</t>
  </si>
  <si>
    <t>1503094908510001</t>
  </si>
  <si>
    <t>TUKIRAH</t>
  </si>
  <si>
    <t>DP-2576</t>
  </si>
  <si>
    <t>1503092007110004</t>
  </si>
  <si>
    <t>1503091005730003</t>
  </si>
  <si>
    <t>MUSANI</t>
  </si>
  <si>
    <t>DP-2577</t>
  </si>
  <si>
    <t>1503094611800002</t>
  </si>
  <si>
    <t>SUJI ASTUTIK</t>
  </si>
  <si>
    <t>DP-2578</t>
  </si>
  <si>
    <t>1503094312000002</t>
  </si>
  <si>
    <t>VERA SAVIKA</t>
  </si>
  <si>
    <t>DP-2579</t>
  </si>
  <si>
    <t>1503092007170003</t>
  </si>
  <si>
    <t>1209212910010002</t>
  </si>
  <si>
    <t>BAMBANG FIRMANSYAH</t>
  </si>
  <si>
    <t>AEK SONGSONGAN</t>
  </si>
  <si>
    <t>DP-2580</t>
  </si>
  <si>
    <t>1209152601940001</t>
  </si>
  <si>
    <t>HARIS ABDILLAH</t>
  </si>
  <si>
    <t>DP-2581</t>
  </si>
  <si>
    <t>1209155504680002</t>
  </si>
  <si>
    <t>NUNUNG KESUMAWATI</t>
  </si>
  <si>
    <t>DP-2582</t>
  </si>
  <si>
    <t>1503092007230002</t>
  </si>
  <si>
    <t>1503090405000001</t>
  </si>
  <si>
    <t>KHOIRUL MUKSIN</t>
  </si>
  <si>
    <t>DP-2583</t>
  </si>
  <si>
    <t>1605164101010002</t>
  </si>
  <si>
    <t>SEPTI ARIANI</t>
  </si>
  <si>
    <t>DP-2584</t>
  </si>
  <si>
    <t>1503092008090001</t>
  </si>
  <si>
    <t>1503090107000048</t>
  </si>
  <si>
    <t>MAULANA</t>
  </si>
  <si>
    <t>DP-2585</t>
  </si>
  <si>
    <t>1503090608570001</t>
  </si>
  <si>
    <t>TUMIN</t>
  </si>
  <si>
    <t>DP-2586</t>
  </si>
  <si>
    <t>1503092008180004</t>
  </si>
  <si>
    <t>1503051406960005</t>
  </si>
  <si>
    <t>JESY PIAN HARYADI</t>
  </si>
  <si>
    <t>DP-2587</t>
  </si>
  <si>
    <t>1503052603960001</t>
  </si>
  <si>
    <t>NIA NURYANTI</t>
  </si>
  <si>
    <t>DP-2588</t>
  </si>
  <si>
    <t>1503092008180005</t>
  </si>
  <si>
    <t>1503091212940001</t>
  </si>
  <si>
    <t>AHMAD RIFAI</t>
  </si>
  <si>
    <t>DP-2589</t>
  </si>
  <si>
    <t>1503095412960002</t>
  </si>
  <si>
    <t>TUTIK HANDAYANI</t>
  </si>
  <si>
    <t>LAWANG AGUNG</t>
  </si>
  <si>
    <t>DP-2590</t>
  </si>
  <si>
    <t>1503092009070006</t>
  </si>
  <si>
    <t>1503090507580002</t>
  </si>
  <si>
    <t>DP-2591</t>
  </si>
  <si>
    <t>1503094605690001</t>
  </si>
  <si>
    <t>SAINI</t>
  </si>
  <si>
    <t>DP-2592</t>
  </si>
  <si>
    <t>1503091211980002</t>
  </si>
  <si>
    <t>SARIFUDIN ELFAT NURDIANSYAH</t>
  </si>
  <si>
    <t>DP-2593</t>
  </si>
  <si>
    <t>1503092009070008</t>
  </si>
  <si>
    <t>1503094404650001</t>
  </si>
  <si>
    <t>DP-2594</t>
  </si>
  <si>
    <t>1503090909610001</t>
  </si>
  <si>
    <t>SUGIYONO</t>
  </si>
  <si>
    <t>DP-2595</t>
  </si>
  <si>
    <t>1503092009070017</t>
  </si>
  <si>
    <t>1503090808660001</t>
  </si>
  <si>
    <t>MIDAN</t>
  </si>
  <si>
    <t>DP-2596</t>
  </si>
  <si>
    <t>1503097105060002</t>
  </si>
  <si>
    <t>NAFILA INDIATIKA</t>
  </si>
  <si>
    <t>DP-2597</t>
  </si>
  <si>
    <t>1503095206750004</t>
  </si>
  <si>
    <t>NASIATUN</t>
  </si>
  <si>
    <t>DP-2598</t>
  </si>
  <si>
    <t>1503091306990001</t>
  </si>
  <si>
    <t>RIKO HARNANDI</t>
  </si>
  <si>
    <t>DP-2599</t>
  </si>
  <si>
    <t>1503092009070019</t>
  </si>
  <si>
    <t>1503091912030003</t>
  </si>
  <si>
    <t>KHAIRANI SAFRIZAL</t>
  </si>
  <si>
    <t>DP-2600</t>
  </si>
  <si>
    <t>1503094901730001</t>
  </si>
  <si>
    <t>DP-2601</t>
  </si>
  <si>
    <t>1503090107680014</t>
  </si>
  <si>
    <t>TOHARUN</t>
  </si>
  <si>
    <t>DP-2602</t>
  </si>
  <si>
    <t>1503092009070023</t>
  </si>
  <si>
    <t>1503094303570002</t>
  </si>
  <si>
    <t>DASIEM</t>
  </si>
  <si>
    <t>DP-2603</t>
  </si>
  <si>
    <t>1503090107510009</t>
  </si>
  <si>
    <t>SAMIN</t>
  </si>
  <si>
    <t>DP-2604</t>
  </si>
  <si>
    <t>1503092009070024</t>
  </si>
  <si>
    <t>1503090505470002</t>
  </si>
  <si>
    <t>KODARI</t>
  </si>
  <si>
    <t>DP-2605</t>
  </si>
  <si>
    <t>1503094312740002</t>
  </si>
  <si>
    <t>DP-2606</t>
  </si>
  <si>
    <t>1503092009070025</t>
  </si>
  <si>
    <t>1503092608700001</t>
  </si>
  <si>
    <t>BASIRUN</t>
  </si>
  <si>
    <t>DP-2607</t>
  </si>
  <si>
    <t>1503095012730001</t>
  </si>
  <si>
    <t>SANIJAH MANURUNG</t>
  </si>
  <si>
    <t>DP-2608</t>
  </si>
  <si>
    <t>1503092009070033</t>
  </si>
  <si>
    <t>1503096504610001</t>
  </si>
  <si>
    <t>TASILAH</t>
  </si>
  <si>
    <t>DP-2609</t>
  </si>
  <si>
    <t>1503092009070036</t>
  </si>
  <si>
    <t>1503095904850001</t>
  </si>
  <si>
    <t>DP-2610</t>
  </si>
  <si>
    <t>1503092805040001</t>
  </si>
  <si>
    <t>1503090903260004</t>
  </si>
  <si>
    <t>DP-2611</t>
  </si>
  <si>
    <t>1503091003830001</t>
  </si>
  <si>
    <t>SARWANTO</t>
  </si>
  <si>
    <t>DP-2612</t>
  </si>
  <si>
    <t>1503092009070037</t>
  </si>
  <si>
    <t>1503095012000001</t>
  </si>
  <si>
    <t>ELVINA RAMADHON</t>
  </si>
  <si>
    <t>DP-2613</t>
  </si>
  <si>
    <t>1503091203670001</t>
  </si>
  <si>
    <t>MURADI</t>
  </si>
  <si>
    <t>DP-2614</t>
  </si>
  <si>
    <t>1503092103980001</t>
  </si>
  <si>
    <t>RIJAL MAULANA</t>
  </si>
  <si>
    <t>DP-2615</t>
  </si>
  <si>
    <t>1503095707780002</t>
  </si>
  <si>
    <t>SAMINEM</t>
  </si>
  <si>
    <t>DP-2616</t>
  </si>
  <si>
    <t>1503092009070039</t>
  </si>
  <si>
    <t>1503091707590002</t>
  </si>
  <si>
    <t>DAMIS</t>
  </si>
  <si>
    <t>DP-2617</t>
  </si>
  <si>
    <t>1503095212690002</t>
  </si>
  <si>
    <t>MUNTAMAH</t>
  </si>
  <si>
    <t>DP-2618</t>
  </si>
  <si>
    <t>1503092009100011</t>
  </si>
  <si>
    <t>1503090608730004</t>
  </si>
  <si>
    <t>AGUNG SUTRISNO</t>
  </si>
  <si>
    <t>DP-2619</t>
  </si>
  <si>
    <t>1503090510070001</t>
  </si>
  <si>
    <t>FIRMAN RAMADANI</t>
  </si>
  <si>
    <t>DP-2620</t>
  </si>
  <si>
    <t>1503090107950010</t>
  </si>
  <si>
    <t>INDRA SETIANTO</t>
  </si>
  <si>
    <t>DP-2621</t>
  </si>
  <si>
    <t>1503094107720011</t>
  </si>
  <si>
    <t>DP-2622</t>
  </si>
  <si>
    <t>1503090107950011</t>
  </si>
  <si>
    <t>RISQI KURNIAWAN</t>
  </si>
  <si>
    <t>DP-2623</t>
  </si>
  <si>
    <t>1503092206110001</t>
  </si>
  <si>
    <t>1503091203890001</t>
  </si>
  <si>
    <t>MANSUR SODIQ</t>
  </si>
  <si>
    <t>1503092009180005</t>
  </si>
  <si>
    <t>DP-2625</t>
  </si>
  <si>
    <t>1503095707480002</t>
  </si>
  <si>
    <t>MURTIAH</t>
  </si>
  <si>
    <t>DP-2626</t>
  </si>
  <si>
    <t>1503092010100004</t>
  </si>
  <si>
    <t>1503095210810003</t>
  </si>
  <si>
    <t>NGATMINAH</t>
  </si>
  <si>
    <t>DP-2627</t>
  </si>
  <si>
    <t>1503090212710002</t>
  </si>
  <si>
    <t>NOR RONDI</t>
  </si>
  <si>
    <t>DP-2628</t>
  </si>
  <si>
    <t>1503092011190001</t>
  </si>
  <si>
    <t>1503091608910001</t>
  </si>
  <si>
    <t>AHMAD SAFRODIN</t>
  </si>
  <si>
    <t>DP-2629</t>
  </si>
  <si>
    <t>1503096307040002</t>
  </si>
  <si>
    <t>IRA ANDINI</t>
  </si>
  <si>
    <t>DP-2630</t>
  </si>
  <si>
    <t>1503096107850001</t>
  </si>
  <si>
    <t>YULI ANTI</t>
  </si>
  <si>
    <t>DP-2631</t>
  </si>
  <si>
    <t>1503092011200003</t>
  </si>
  <si>
    <t>1503091208950002</t>
  </si>
  <si>
    <t>ROBY SUKMA GRENADY SIREGAR</t>
  </si>
  <si>
    <t>DP-2632</t>
  </si>
  <si>
    <t>1503096012640001</t>
  </si>
  <si>
    <t>DP-2633</t>
  </si>
  <si>
    <t>1503091009850001</t>
  </si>
  <si>
    <t>TRI MULYO</t>
  </si>
  <si>
    <t>DP-2634</t>
  </si>
  <si>
    <t>1503092012100011</t>
  </si>
  <si>
    <t>1503090807890004</t>
  </si>
  <si>
    <t>NUR HASIM</t>
  </si>
  <si>
    <t>DP-2635</t>
  </si>
  <si>
    <t>1503095702910004</t>
  </si>
  <si>
    <t>RIA ISTIAWATI</t>
  </si>
  <si>
    <t>DP-2636</t>
  </si>
  <si>
    <t>1503092012100025</t>
  </si>
  <si>
    <t>1503091009860004</t>
  </si>
  <si>
    <t>NURDIN EFFENDI</t>
  </si>
  <si>
    <t>DP-2637</t>
  </si>
  <si>
    <t>1503094909900008</t>
  </si>
  <si>
    <t>DP-2638</t>
  </si>
  <si>
    <t>1503092012160001</t>
  </si>
  <si>
    <t>1503095811960005</t>
  </si>
  <si>
    <t>ISNA NUR HAYATI</t>
  </si>
  <si>
    <t>DP-2639</t>
  </si>
  <si>
    <t>1503092510890003</t>
  </si>
  <si>
    <t>RIYAN EFENDI</t>
  </si>
  <si>
    <t>DP-2640</t>
  </si>
  <si>
    <t>1503092012230002</t>
  </si>
  <si>
    <t>1503050803020004</t>
  </si>
  <si>
    <t>KHOYRONI HASRUL PRATAMA</t>
  </si>
  <si>
    <t>DP-2641</t>
  </si>
  <si>
    <t>1503096510020002</t>
  </si>
  <si>
    <t>NUR ROHMAH</t>
  </si>
  <si>
    <t>DP-2642</t>
  </si>
  <si>
    <t>1503092101080134</t>
  </si>
  <si>
    <t>1503090107670035</t>
  </si>
  <si>
    <t>DP-2643</t>
  </si>
  <si>
    <t>1503095703780002</t>
  </si>
  <si>
    <t>WARTINAH</t>
  </si>
  <si>
    <t>DP-2644</t>
  </si>
  <si>
    <t>1503092101080145</t>
  </si>
  <si>
    <t>1503095510600001</t>
  </si>
  <si>
    <t>KHOSIYAH</t>
  </si>
  <si>
    <t>DP-2645</t>
  </si>
  <si>
    <t>1503090610650001</t>
  </si>
  <si>
    <t>DP-2646</t>
  </si>
  <si>
    <t>1503092101080149</t>
  </si>
  <si>
    <t>1503094302650001</t>
  </si>
  <si>
    <t>SUKIMAH</t>
  </si>
  <si>
    <t>DP-2647</t>
  </si>
  <si>
    <t>1503091501630001</t>
  </si>
  <si>
    <t>DP-2648</t>
  </si>
  <si>
    <t>1503092101080160</t>
  </si>
  <si>
    <t>1503094602070003</t>
  </si>
  <si>
    <t>GALUH ASMALINTAN</t>
  </si>
  <si>
    <t>DUSUN III RAWA SARI</t>
  </si>
  <si>
    <t>DP-2649</t>
  </si>
  <si>
    <t>1503091107770001</t>
  </si>
  <si>
    <t>HERLIANSYAH</t>
  </si>
  <si>
    <t>KAPUAS</t>
  </si>
  <si>
    <t>DP-2650</t>
  </si>
  <si>
    <t>1503096901840001</t>
  </si>
  <si>
    <t>UMI SALAMAH</t>
  </si>
  <si>
    <t>DP-2651</t>
  </si>
  <si>
    <t>1503092101080174</t>
  </si>
  <si>
    <t>1503095507620001</t>
  </si>
  <si>
    <t>SUIROH</t>
  </si>
  <si>
    <t>DP-2652</t>
  </si>
  <si>
    <t>1503092101080191</t>
  </si>
  <si>
    <t>1503095403820006</t>
  </si>
  <si>
    <t>SALIMAH</t>
  </si>
  <si>
    <t>DP-2653</t>
  </si>
  <si>
    <t>1503091712720002</t>
  </si>
  <si>
    <t>SARDAN</t>
  </si>
  <si>
    <t>DP-2654</t>
  </si>
  <si>
    <t>1503092101080310</t>
  </si>
  <si>
    <t>1503091707480002</t>
  </si>
  <si>
    <t>ISWANTO</t>
  </si>
  <si>
    <t>DSNI DSNPAYO LEBAR</t>
  </si>
  <si>
    <t>DP-2655</t>
  </si>
  <si>
    <t>1503095707450002</t>
  </si>
  <si>
    <t>SATI</t>
  </si>
  <si>
    <t>DP-2656</t>
  </si>
  <si>
    <t>1503092101090028</t>
  </si>
  <si>
    <t>1503096704880001</t>
  </si>
  <si>
    <t>SITI AISYAH</t>
  </si>
  <si>
    <t>DP-2657</t>
  </si>
  <si>
    <t>1503092510790003</t>
  </si>
  <si>
    <t>DP-2658</t>
  </si>
  <si>
    <t>1503091909070001</t>
  </si>
  <si>
    <t>YUSUF RAMADANI</t>
  </si>
  <si>
    <t>DP-2659</t>
  </si>
  <si>
    <t>1503092101090029</t>
  </si>
  <si>
    <t>1503094503560003</t>
  </si>
  <si>
    <t>JAERAN</t>
  </si>
  <si>
    <t>DP-2660</t>
  </si>
  <si>
    <t>1503096308590001</t>
  </si>
  <si>
    <t>DP-2661</t>
  </si>
  <si>
    <t>1503092101090030</t>
  </si>
  <si>
    <t>1503090611500001</t>
  </si>
  <si>
    <t>JASNI</t>
  </si>
  <si>
    <t>DP-2662</t>
  </si>
  <si>
    <t>1503092101090032</t>
  </si>
  <si>
    <t>1503091507570001</t>
  </si>
  <si>
    <t>ATMO WIYOTO NGATIMAN</t>
  </si>
  <si>
    <t>DP-2663</t>
  </si>
  <si>
    <t>1503094705580001</t>
  </si>
  <si>
    <t>LAMI</t>
  </si>
  <si>
    <t>DP-2664</t>
  </si>
  <si>
    <t>1503092101090041</t>
  </si>
  <si>
    <t>1503090101620004</t>
  </si>
  <si>
    <t>DP-2665</t>
  </si>
  <si>
    <t>1503090708020002</t>
  </si>
  <si>
    <t>M. RIZKI DARMAWAN</t>
  </si>
  <si>
    <t>DP-2666</t>
  </si>
  <si>
    <t>1503094406700001</t>
  </si>
  <si>
    <t>1503092101090042</t>
  </si>
  <si>
    <t>DP-2668</t>
  </si>
  <si>
    <t>1503095206780004</t>
  </si>
  <si>
    <t>SRI REZEQI</t>
  </si>
  <si>
    <t>DP-2669</t>
  </si>
  <si>
    <t>1503090612660001</t>
  </si>
  <si>
    <t>DP-2670</t>
  </si>
  <si>
    <t>1503092101090044</t>
  </si>
  <si>
    <t>1503091201010001</t>
  </si>
  <si>
    <t>ABDUL LATIF ARWANI</t>
  </si>
  <si>
    <t>DP-2671</t>
  </si>
  <si>
    <t>1503095707750001</t>
  </si>
  <si>
    <t>HALIMAH</t>
  </si>
  <si>
    <t>DP-2672</t>
  </si>
  <si>
    <t>1503096610050003</t>
  </si>
  <si>
    <t>INDAH RAHAYU NINGSIH</t>
  </si>
  <si>
    <t>DP-2673</t>
  </si>
  <si>
    <t>1503091707700002</t>
  </si>
  <si>
    <t>DP-2674</t>
  </si>
  <si>
    <t>1503092101090047</t>
  </si>
  <si>
    <t>1503091009720002</t>
  </si>
  <si>
    <t>KARNO</t>
  </si>
  <si>
    <t>DP-2675</t>
  </si>
  <si>
    <t>1503091006000003</t>
  </si>
  <si>
    <t>RIZKHAN GEOVANI</t>
  </si>
  <si>
    <t>DP-2676</t>
  </si>
  <si>
    <t>1503090710010002</t>
  </si>
  <si>
    <t>RIZSANDI ABIMANYU</t>
  </si>
  <si>
    <t>DP-2677</t>
  </si>
  <si>
    <t>1503092101090048</t>
  </si>
  <si>
    <t>1503095707690003</t>
  </si>
  <si>
    <t>MUSTINAH</t>
  </si>
  <si>
    <t>DP-2678</t>
  </si>
  <si>
    <t>1503091707650002</t>
  </si>
  <si>
    <t>ROJALI</t>
  </si>
  <si>
    <t>DP-2679</t>
  </si>
  <si>
    <t>1503092101090051</t>
  </si>
  <si>
    <t>1503091209730001</t>
  </si>
  <si>
    <t>KHOLIDI</t>
  </si>
  <si>
    <t>DP-2680</t>
  </si>
  <si>
    <t>1503091912010002</t>
  </si>
  <si>
    <t>M. IHSAN EFENDI</t>
  </si>
  <si>
    <t>DP-2681</t>
  </si>
  <si>
    <t>1503095511810001</t>
  </si>
  <si>
    <t>DP-2682</t>
  </si>
  <si>
    <t>1503092101100007</t>
  </si>
  <si>
    <t>1503091311690002</t>
  </si>
  <si>
    <t>JHON EFFENDI</t>
  </si>
  <si>
    <t>DP-2683</t>
  </si>
  <si>
    <t>1503091503000004</t>
  </si>
  <si>
    <t>RIFNALDI</t>
  </si>
  <si>
    <t>DP-2684</t>
  </si>
  <si>
    <t>1503097112770002</t>
  </si>
  <si>
    <t>SITI ROHANI</t>
  </si>
  <si>
    <t>KUALA</t>
  </si>
  <si>
    <t>DP-2685</t>
  </si>
  <si>
    <t>1503092101130005</t>
  </si>
  <si>
    <t>1503090104850005</t>
  </si>
  <si>
    <t>AMIR MUHLAS</t>
  </si>
  <si>
    <t>pisah kk/ belumketemu suamine</t>
  </si>
  <si>
    <t>DP-2686</t>
  </si>
  <si>
    <t>1503094503900001</t>
  </si>
  <si>
    <t>YUNI AMBARWATI</t>
  </si>
  <si>
    <t>DP-2687</t>
  </si>
  <si>
    <t>1503092101140001</t>
  </si>
  <si>
    <t>1503090507910001</t>
  </si>
  <si>
    <t>AHMAD SARWONO</t>
  </si>
  <si>
    <t>ULAK BANJIR</t>
  </si>
  <si>
    <t>Belum Ketemu</t>
  </si>
  <si>
    <t>DP-2688</t>
  </si>
  <si>
    <t>1503096912930001</t>
  </si>
  <si>
    <t>NURHASANAH</t>
  </si>
  <si>
    <t>DP-2689</t>
  </si>
  <si>
    <t>1503092101200010</t>
  </si>
  <si>
    <t>1503091302010003</t>
  </si>
  <si>
    <t>FERNANDO NUR SUHUT</t>
  </si>
  <si>
    <t>DP-2690</t>
  </si>
  <si>
    <t>1503094310770001</t>
  </si>
  <si>
    <t>PUJIASIH</t>
  </si>
  <si>
    <t>DP-2691</t>
  </si>
  <si>
    <t>1503092101200015</t>
  </si>
  <si>
    <t>1503094905510003</t>
  </si>
  <si>
    <t>DP-2692</t>
  </si>
  <si>
    <t>1503092101210004</t>
  </si>
  <si>
    <t>1503054407870001</t>
  </si>
  <si>
    <t>EKA YULIDIARTI</t>
  </si>
  <si>
    <t>DP-2693</t>
  </si>
  <si>
    <t>1503090107980027</t>
  </si>
  <si>
    <t>PENDI SAPUTRA</t>
  </si>
  <si>
    <t>DP-2694</t>
  </si>
  <si>
    <t>1503092102080047</t>
  </si>
  <si>
    <t>1503091404850002</t>
  </si>
  <si>
    <t>AGUS PUJIANTO</t>
  </si>
  <si>
    <t>DP-2695</t>
  </si>
  <si>
    <t>1503095707940001</t>
  </si>
  <si>
    <t>SURYANI</t>
  </si>
  <si>
    <t>DP-2696</t>
  </si>
  <si>
    <t>1503092104110001</t>
  </si>
  <si>
    <t>1503096802880002</t>
  </si>
  <si>
    <t>NANI SUPIANA</t>
  </si>
  <si>
    <t>DP-2697</t>
  </si>
  <si>
    <t>1503090907820001</t>
  </si>
  <si>
    <t>SUPRIYATNO</t>
  </si>
  <si>
    <t>DP-2698</t>
  </si>
  <si>
    <t>1503092104110004</t>
  </si>
  <si>
    <t>1503090907640001</t>
  </si>
  <si>
    <t>DP-2699</t>
  </si>
  <si>
    <t>1503094705660003</t>
  </si>
  <si>
    <t>PANIYEM</t>
  </si>
  <si>
    <t>DP-2700</t>
  </si>
  <si>
    <t>1503092104110009</t>
  </si>
  <si>
    <t>1503091508850004</t>
  </si>
  <si>
    <t>DARMANTO</t>
  </si>
  <si>
    <t>DP-2701</t>
  </si>
  <si>
    <t>1503097004890002</t>
  </si>
  <si>
    <t>FITRI WINDA SARI</t>
  </si>
  <si>
    <t>MOJO REJO</t>
  </si>
  <si>
    <t>DP-2702</t>
  </si>
  <si>
    <t>1503092105100002</t>
  </si>
  <si>
    <t>1503095506640002</t>
  </si>
  <si>
    <t>SUKINAH</t>
  </si>
  <si>
    <t>DP-2703</t>
  </si>
  <si>
    <t>1503092502050001</t>
  </si>
  <si>
    <t>UCOK SAPUTRA.S</t>
  </si>
  <si>
    <t>DP-2704</t>
  </si>
  <si>
    <t>1503092105120003</t>
  </si>
  <si>
    <t>1503090805950009</t>
  </si>
  <si>
    <t>ADHI HUMAIDI</t>
  </si>
  <si>
    <t>DUUSN KARYA AGUNG</t>
  </si>
  <si>
    <t>DP-2705</t>
  </si>
  <si>
    <t>1503095211740002</t>
  </si>
  <si>
    <t>JARWATI</t>
  </si>
  <si>
    <t>DP-2706</t>
  </si>
  <si>
    <t>1503091110990005</t>
  </si>
  <si>
    <t>PANDU DWI SETYA</t>
  </si>
  <si>
    <t>BANGUN SARI</t>
  </si>
  <si>
    <t>DP-2707</t>
  </si>
  <si>
    <t>1503091205030002</t>
  </si>
  <si>
    <t>SANDY MAULANA</t>
  </si>
  <si>
    <t>DP-2708</t>
  </si>
  <si>
    <t>1503090202670003</t>
  </si>
  <si>
    <t>DP-2709</t>
  </si>
  <si>
    <t>1503092106160003</t>
  </si>
  <si>
    <t>1503092105700005</t>
  </si>
  <si>
    <t>DWI SUGINO</t>
  </si>
  <si>
    <t>DP-2710</t>
  </si>
  <si>
    <t>1503095504030001</t>
  </si>
  <si>
    <t>EKNA FITRI RAHMAH</t>
  </si>
  <si>
    <t>DP-2711</t>
  </si>
  <si>
    <t>1503092106160004</t>
  </si>
  <si>
    <t>1503092705930001</t>
  </si>
  <si>
    <t>EDI SUYOTO</t>
  </si>
  <si>
    <t>DP-2712</t>
  </si>
  <si>
    <t>1503096606980003</t>
  </si>
  <si>
    <t>ERVINA ERI SANDI</t>
  </si>
  <si>
    <t>DP-2713</t>
  </si>
  <si>
    <t>1503092107110015</t>
  </si>
  <si>
    <t>1503096501050003</t>
  </si>
  <si>
    <t>ALFIA ANGGREINI</t>
  </si>
  <si>
    <t>DP-2714</t>
  </si>
  <si>
    <t>1503094505000007</t>
  </si>
  <si>
    <t>ANGGITA NURMAILA SETIOWATI</t>
  </si>
  <si>
    <t>DP-2715</t>
  </si>
  <si>
    <t>1503090607710001</t>
  </si>
  <si>
    <t>NURYADI</t>
  </si>
  <si>
    <t>DP-2716</t>
  </si>
  <si>
    <t>1503095010730009</t>
  </si>
  <si>
    <t>SETIANI</t>
  </si>
  <si>
    <t>DP-2717</t>
  </si>
  <si>
    <t>1503092107160002</t>
  </si>
  <si>
    <t>1503095510920001</t>
  </si>
  <si>
    <t>DINA OKTAVIANA</t>
  </si>
  <si>
    <t>DP-2718</t>
  </si>
  <si>
    <t>1503093007900001</t>
  </si>
  <si>
    <t>INRA ARI RESTIANTO</t>
  </si>
  <si>
    <t>DP-2719</t>
  </si>
  <si>
    <t>1503092108130002</t>
  </si>
  <si>
    <t>1503091001810001</t>
  </si>
  <si>
    <t>DWIJEN HARTOYO</t>
  </si>
  <si>
    <t>DP-2720</t>
  </si>
  <si>
    <t>1503095003920002</t>
  </si>
  <si>
    <t>RISTIN PRASTIWI</t>
  </si>
  <si>
    <t>DP-2721</t>
  </si>
  <si>
    <t>1503092108130004</t>
  </si>
  <si>
    <t>1503090309920001</t>
  </si>
  <si>
    <t>ANDIKA SAPUTRA</t>
  </si>
  <si>
    <t>DP-2722</t>
  </si>
  <si>
    <t>1503094210950003</t>
  </si>
  <si>
    <t>WAHYU MIA</t>
  </si>
  <si>
    <t>DP-2723</t>
  </si>
  <si>
    <t>1503092108170001</t>
  </si>
  <si>
    <t>1503091709830002</t>
  </si>
  <si>
    <t>MUHAMMAD AZIZ TAHSONI</t>
  </si>
  <si>
    <t>DP-2724</t>
  </si>
  <si>
    <t>1503092108170002</t>
  </si>
  <si>
    <t>1503090406010003</t>
  </si>
  <si>
    <t>M. MAHFUD AFFANDI</t>
  </si>
  <si>
    <t>DP-2725</t>
  </si>
  <si>
    <t>1503095204670004</t>
  </si>
  <si>
    <t>ZULAIKAH</t>
  </si>
  <si>
    <t>DP-2726</t>
  </si>
  <si>
    <t>1503092108170004</t>
  </si>
  <si>
    <t>1503096004760001</t>
  </si>
  <si>
    <t>DP-2727</t>
  </si>
  <si>
    <t>1503092108170006</t>
  </si>
  <si>
    <t>1503091101830002</t>
  </si>
  <si>
    <t>JOKO SUCIPTO</t>
  </si>
  <si>
    <t>DP-2728</t>
  </si>
  <si>
    <t>1605056905950004</t>
  </si>
  <si>
    <t>MEIZA SUDARSIH</t>
  </si>
  <si>
    <t>DP-2729</t>
  </si>
  <si>
    <t>1503092109160005</t>
  </si>
  <si>
    <t>1812034504970002</t>
  </si>
  <si>
    <t>KAGUNGAN RATU</t>
  </si>
  <si>
    <t>DP-2730</t>
  </si>
  <si>
    <t>1503091308890001</t>
  </si>
  <si>
    <t>YAYAN AGUS SYAHRONI</t>
  </si>
  <si>
    <t>KUALA TUNGKAL</t>
  </si>
  <si>
    <t>DP-2731</t>
  </si>
  <si>
    <t>1503092109230001</t>
  </si>
  <si>
    <t>1503096102920001</t>
  </si>
  <si>
    <t>DP-2732</t>
  </si>
  <si>
    <t>1503092110100009</t>
  </si>
  <si>
    <t>1503094704560001</t>
  </si>
  <si>
    <t>DP-2733</t>
  </si>
  <si>
    <t>1503092110140007</t>
  </si>
  <si>
    <t>1503096103930003</t>
  </si>
  <si>
    <t>FILA FITRIANI</t>
  </si>
  <si>
    <t>DP-2734</t>
  </si>
  <si>
    <t>1503091909870001</t>
  </si>
  <si>
    <t>TUGINO</t>
  </si>
  <si>
    <t>DP-2735</t>
  </si>
  <si>
    <t>1503092110150001</t>
  </si>
  <si>
    <t>1503096810940002</t>
  </si>
  <si>
    <t>NUR EKA KURNIAWATI</t>
  </si>
  <si>
    <t>DSNPAYOLEBARDSNIV</t>
  </si>
  <si>
    <t>DP-2736</t>
  </si>
  <si>
    <t>1503092405910001</t>
  </si>
  <si>
    <t>TRIONO</t>
  </si>
  <si>
    <t>DP-2737</t>
  </si>
  <si>
    <t>1503092110160004</t>
  </si>
  <si>
    <t>1503091812950001</t>
  </si>
  <si>
    <t>M. EKO ARIPIN</t>
  </si>
  <si>
    <t>PAMENANG</t>
  </si>
  <si>
    <t>DP-2738</t>
  </si>
  <si>
    <t>1503096604960004</t>
  </si>
  <si>
    <t>PURNAMASARI</t>
  </si>
  <si>
    <t>LINGKUNGAN III BETUNG</t>
  </si>
  <si>
    <t>DP-2739</t>
  </si>
  <si>
    <t>1503092110190003</t>
  </si>
  <si>
    <t>1503092210910002</t>
  </si>
  <si>
    <t>DP-2740</t>
  </si>
  <si>
    <t>1503026507830001</t>
  </si>
  <si>
    <t>YULI</t>
  </si>
  <si>
    <t>AIRLIKI</t>
  </si>
  <si>
    <t>DP-2741</t>
  </si>
  <si>
    <t>1503092111170004</t>
  </si>
  <si>
    <t>1802033009910001</t>
  </si>
  <si>
    <t>DAPIT PRIATAMA</t>
  </si>
  <si>
    <t>DP-2742</t>
  </si>
  <si>
    <t>1503094301990001</t>
  </si>
  <si>
    <t>ISMI MUAMALAH</t>
  </si>
  <si>
    <t>DP-2743</t>
  </si>
  <si>
    <t>1503092112090004</t>
  </si>
  <si>
    <t>1503090810810005</t>
  </si>
  <si>
    <t>HAJAR SAPUTRA</t>
  </si>
  <si>
    <t>JLN. ALFATTAH</t>
  </si>
  <si>
    <t>DP-2744</t>
  </si>
  <si>
    <t>1503095906900001</t>
  </si>
  <si>
    <t>IRNA SAFITRI</t>
  </si>
  <si>
    <t>DP-2745</t>
  </si>
  <si>
    <t>1503092112090005</t>
  </si>
  <si>
    <t>1503095302860001</t>
  </si>
  <si>
    <t>RUMIATI</t>
  </si>
  <si>
    <t>DP-2746</t>
  </si>
  <si>
    <t>1503090107750019</t>
  </si>
  <si>
    <t>SUDARTO</t>
  </si>
  <si>
    <t>DP-2747</t>
  </si>
  <si>
    <t>1503092112090033</t>
  </si>
  <si>
    <t>1503090706960003</t>
  </si>
  <si>
    <t>DP-2748</t>
  </si>
  <si>
    <t>1503090202060003</t>
  </si>
  <si>
    <t>NEZA VARINZA</t>
  </si>
  <si>
    <t>DP-2749</t>
  </si>
  <si>
    <t>1503092112100060</t>
  </si>
  <si>
    <t>1503091504600007</t>
  </si>
  <si>
    <t>DP-2750</t>
  </si>
  <si>
    <t>1503096005670002</t>
  </si>
  <si>
    <t>WAGIYAH</t>
  </si>
  <si>
    <t>DP-2751</t>
  </si>
  <si>
    <t>1503096109040004</t>
  </si>
  <si>
    <t>YESI</t>
  </si>
  <si>
    <t>DP-2752</t>
  </si>
  <si>
    <t>1503092112100061</t>
  </si>
  <si>
    <t>1503094406050003</t>
  </si>
  <si>
    <t>SALMA SINTA BELA</t>
  </si>
  <si>
    <t>DP-2753</t>
  </si>
  <si>
    <t>1503094212810001</t>
  </si>
  <si>
    <t>SRI WAHYUTI</t>
  </si>
  <si>
    <t>DP-2754</t>
  </si>
  <si>
    <t>1503091708730002</t>
  </si>
  <si>
    <t>SUISMAN</t>
  </si>
  <si>
    <t>DP-2755</t>
  </si>
  <si>
    <t>1503092112100062</t>
  </si>
  <si>
    <t>1503091110570001</t>
  </si>
  <si>
    <t>MINO</t>
  </si>
  <si>
    <t>DUSUN III MULYA</t>
  </si>
  <si>
    <t>DP-2756</t>
  </si>
  <si>
    <t>1503092112100063</t>
  </si>
  <si>
    <t>1503091505880005</t>
  </si>
  <si>
    <t>JOKO SETIAWAN</t>
  </si>
  <si>
    <t>DP-2757</t>
  </si>
  <si>
    <t>1503095208900001</t>
  </si>
  <si>
    <t>KAT MIATUN</t>
  </si>
  <si>
    <t>DP-2758</t>
  </si>
  <si>
    <t>1503092112200002</t>
  </si>
  <si>
    <t>1503096307980002</t>
  </si>
  <si>
    <t>AYU WANTIRA</t>
  </si>
  <si>
    <t>DP-2759</t>
  </si>
  <si>
    <t>1503090105960002</t>
  </si>
  <si>
    <t>BAGAS RISKIANTO</t>
  </si>
  <si>
    <t>LAMPUNG UTARA</t>
  </si>
  <si>
    <t>DP-2760</t>
  </si>
  <si>
    <t>1503092201080153</t>
  </si>
  <si>
    <t>1503092409030002</t>
  </si>
  <si>
    <t>IMANUEL BAHAGIA SYUKUR</t>
  </si>
  <si>
    <t>DP-2761</t>
  </si>
  <si>
    <t>1503095307020002</t>
  </si>
  <si>
    <t>MARIA FRANSISCA</t>
  </si>
  <si>
    <t>DP-2762</t>
  </si>
  <si>
    <t>1503090802670001</t>
  </si>
  <si>
    <t>STEFANUS SRIYATNO</t>
  </si>
  <si>
    <t>DP-2763</t>
  </si>
  <si>
    <t>1503095405730001</t>
  </si>
  <si>
    <t>SUMARNI ENSUNIAR SITIO</t>
  </si>
  <si>
    <t>TAPUT</t>
  </si>
  <si>
    <t>DP-2764</t>
  </si>
  <si>
    <t>1503092201080158</t>
  </si>
  <si>
    <t>1503096905500001</t>
  </si>
  <si>
    <t>SARINEM</t>
  </si>
  <si>
    <t>DP-2765</t>
  </si>
  <si>
    <t>1503092201080177</t>
  </si>
  <si>
    <t>1503093003040001</t>
  </si>
  <si>
    <t>ADHITYA NURHIDAYAT</t>
  </si>
  <si>
    <t>DP-2766</t>
  </si>
  <si>
    <t>1503096209750002</t>
  </si>
  <si>
    <t>RASIYAH</t>
  </si>
  <si>
    <t>DP-2767</t>
  </si>
  <si>
    <t>1503092909740002</t>
  </si>
  <si>
    <t>DP-2768</t>
  </si>
  <si>
    <t>1503092201080187</t>
  </si>
  <si>
    <t>1503092206630001</t>
  </si>
  <si>
    <t>DP-2769</t>
  </si>
  <si>
    <t>1503092201200001</t>
  </si>
  <si>
    <t>1503066303930002</t>
  </si>
  <si>
    <t>NENI HARTINI</t>
  </si>
  <si>
    <t>DP-2770</t>
  </si>
  <si>
    <t>1503092202100005</t>
  </si>
  <si>
    <t>1503095308810002</t>
  </si>
  <si>
    <t>MAYANG SARI</t>
  </si>
  <si>
    <t>DP-2771</t>
  </si>
  <si>
    <t>1503091608760003</t>
  </si>
  <si>
    <t>R.L. ANDI SUPRAPTO</t>
  </si>
  <si>
    <t>DP-2772</t>
  </si>
  <si>
    <t>1503091802060001</t>
  </si>
  <si>
    <t>REVAIL MALIK ANDIKA</t>
  </si>
  <si>
    <t>DP-2773</t>
  </si>
  <si>
    <t>1503090909030005</t>
  </si>
  <si>
    <t>RIDWAN NUR ARIEF ANDIKA</t>
  </si>
  <si>
    <t>DP-2774</t>
  </si>
  <si>
    <t>1503092202100016</t>
  </si>
  <si>
    <t>1503091405680001</t>
  </si>
  <si>
    <t>KATINO</t>
  </si>
  <si>
    <t>DP-2775</t>
  </si>
  <si>
    <t>1503094601150001</t>
  </si>
  <si>
    <t>NURAINI</t>
  </si>
  <si>
    <t>DP-2776</t>
  </si>
  <si>
    <t>1503094605730002</t>
  </si>
  <si>
    <t>RUKATI</t>
  </si>
  <si>
    <t>DP-2777</t>
  </si>
  <si>
    <t>1503092202100017</t>
  </si>
  <si>
    <t>1503091602070003</t>
  </si>
  <si>
    <t>JONATHAN FACHREZI</t>
  </si>
  <si>
    <t>LUBUK KEMANG</t>
  </si>
  <si>
    <t>DP-2778</t>
  </si>
  <si>
    <t>1503095205790003</t>
  </si>
  <si>
    <t>DP-2779</t>
  </si>
  <si>
    <t>1503092311730003</t>
  </si>
  <si>
    <t>SUBAKIR SOMO</t>
  </si>
  <si>
    <t>DP-2780</t>
  </si>
  <si>
    <t>1503092202100023</t>
  </si>
  <si>
    <t>1503096409890003</t>
  </si>
  <si>
    <t>LAILA DWI CAHYANI</t>
  </si>
  <si>
    <t>DP-2781</t>
  </si>
  <si>
    <t>1503095706800004</t>
  </si>
  <si>
    <t>MISINEM</t>
  </si>
  <si>
    <t>DP-2782</t>
  </si>
  <si>
    <t>1503091209780005</t>
  </si>
  <si>
    <t>SUDADI</t>
  </si>
  <si>
    <t>DP-2783</t>
  </si>
  <si>
    <t>1503092202120002</t>
  </si>
  <si>
    <t>1503095707750003</t>
  </si>
  <si>
    <t>LILIK SUHARTINI</t>
  </si>
  <si>
    <t>DP-2784</t>
  </si>
  <si>
    <t>1503090507700004</t>
  </si>
  <si>
    <t>SUKRI</t>
  </si>
  <si>
    <t>DP-2785</t>
  </si>
  <si>
    <t>1503092202120003</t>
  </si>
  <si>
    <t>1503092412760001</t>
  </si>
  <si>
    <t>DADI PURWITO</t>
  </si>
  <si>
    <t>DP-2786</t>
  </si>
  <si>
    <t>1503097011880004</t>
  </si>
  <si>
    <t>DP-2787</t>
  </si>
  <si>
    <t>1503092202120009</t>
  </si>
  <si>
    <t>1503095308060006</t>
  </si>
  <si>
    <t>AL FRIZZY HIVEN PATRIA</t>
  </si>
  <si>
    <t>DP-2788</t>
  </si>
  <si>
    <t>1503096807840002</t>
  </si>
  <si>
    <t>DP-2789</t>
  </si>
  <si>
    <t>1503092206810004</t>
  </si>
  <si>
    <t>TRI WAHYUDI</t>
  </si>
  <si>
    <t>DP-2790</t>
  </si>
  <si>
    <t>1503092202210003</t>
  </si>
  <si>
    <t>1503094304040001</t>
  </si>
  <si>
    <t>DELLA PUSPITA</t>
  </si>
  <si>
    <t>DP-2791</t>
  </si>
  <si>
    <t>1503096107790001</t>
  </si>
  <si>
    <t>DP-2792</t>
  </si>
  <si>
    <t>1503092203100021</t>
  </si>
  <si>
    <t>1503095204640001</t>
  </si>
  <si>
    <t>DP-2793</t>
  </si>
  <si>
    <t>1503091206620003</t>
  </si>
  <si>
    <t>TUKIMIN</t>
  </si>
  <si>
    <t>DP-2794</t>
  </si>
  <si>
    <t>1503092203100022</t>
  </si>
  <si>
    <t>1503091112720001</t>
  </si>
  <si>
    <t>AHMADI</t>
  </si>
  <si>
    <t>DP-2795</t>
  </si>
  <si>
    <t>1503090507060008</t>
  </si>
  <si>
    <t>IAM PRATANDA ALMASIH</t>
  </si>
  <si>
    <t>DP-2796</t>
  </si>
  <si>
    <t>1503096711790001</t>
  </si>
  <si>
    <t>DP-2797</t>
  </si>
  <si>
    <t>1503092203210009</t>
  </si>
  <si>
    <t>1503096109010002</t>
  </si>
  <si>
    <t>MUTIA SEPTIANAL JANNATU NAIM</t>
  </si>
  <si>
    <t>DP-2798</t>
  </si>
  <si>
    <t>1673061512960003</t>
  </si>
  <si>
    <t>ZAINAL MUTAQIN</t>
  </si>
  <si>
    <t>SUKOHARJO</t>
  </si>
  <si>
    <t>DP-2799</t>
  </si>
  <si>
    <t>1503092203210010</t>
  </si>
  <si>
    <t>1503092408570001</t>
  </si>
  <si>
    <t>BASUKI SOLEH</t>
  </si>
  <si>
    <t>BELURAN</t>
  </si>
  <si>
    <t>DP-2800</t>
  </si>
  <si>
    <t>1503092203210011</t>
  </si>
  <si>
    <t>1503094505990006</t>
  </si>
  <si>
    <t>MIA HANDAYANI</t>
  </si>
  <si>
    <t>DP-2801</t>
  </si>
  <si>
    <t>1503092705970002</t>
  </si>
  <si>
    <t>DP-2802</t>
  </si>
  <si>
    <t>1503092204200004</t>
  </si>
  <si>
    <t>1408100606630006</t>
  </si>
  <si>
    <t>DP-2803</t>
  </si>
  <si>
    <t>1503092204200005</t>
  </si>
  <si>
    <t>1503092302910001</t>
  </si>
  <si>
    <t>MUGIANTO</t>
  </si>
  <si>
    <t>DP-2804</t>
  </si>
  <si>
    <t>1503096502930001</t>
  </si>
  <si>
    <t>WULAN FEBRIANI</t>
  </si>
  <si>
    <t>DP-2805</t>
  </si>
  <si>
    <t>1503092204240006</t>
  </si>
  <si>
    <t>1503062505920006</t>
  </si>
  <si>
    <t>EKO IRWANTO</t>
  </si>
  <si>
    <t>BUTANG BARU</t>
  </si>
  <si>
    <t>DP-2806</t>
  </si>
  <si>
    <t>1503095007960003</t>
  </si>
  <si>
    <t>HAWIN NURHAYATI</t>
  </si>
  <si>
    <t>DP-2807</t>
  </si>
  <si>
    <t>1503092206090003</t>
  </si>
  <si>
    <t>1503095611640001</t>
  </si>
  <si>
    <t>WASINEM</t>
  </si>
  <si>
    <t>DP-2808</t>
  </si>
  <si>
    <t>1503092206090007</t>
  </si>
  <si>
    <t>1503091212620007</t>
  </si>
  <si>
    <t>AMAT SENEN</t>
  </si>
  <si>
    <t>DP-2809</t>
  </si>
  <si>
    <t>1503093001050001</t>
  </si>
  <si>
    <t>MAS SATRIA</t>
  </si>
  <si>
    <t>DP-2810</t>
  </si>
  <si>
    <t>1503094508680001</t>
  </si>
  <si>
    <t>SAKEM</t>
  </si>
  <si>
    <t>DP-2811</t>
  </si>
  <si>
    <t>1503092404010002</t>
  </si>
  <si>
    <t>SHONNY AJI PANGESTU</t>
  </si>
  <si>
    <t>DP-2812</t>
  </si>
  <si>
    <t>1503092206090008</t>
  </si>
  <si>
    <t>1503091011620001</t>
  </si>
  <si>
    <t>DP-2813</t>
  </si>
  <si>
    <t>1503092206090009</t>
  </si>
  <si>
    <t>1503092812970003</t>
  </si>
  <si>
    <t>HANIF KURNIADI</t>
  </si>
  <si>
    <t>DP-2814</t>
  </si>
  <si>
    <t>1503094202790001</t>
  </si>
  <si>
    <t>ROHANAH</t>
  </si>
  <si>
    <t>DP-2815</t>
  </si>
  <si>
    <t>1503091508690002</t>
  </si>
  <si>
    <t>SUBROTO</t>
  </si>
  <si>
    <t>DP-2816</t>
  </si>
  <si>
    <t>1503092206150005</t>
  </si>
  <si>
    <t>1503091007940002</t>
  </si>
  <si>
    <t>EKO JULI SUSANTO</t>
  </si>
  <si>
    <t>DP-2817</t>
  </si>
  <si>
    <t>1503096008950001</t>
  </si>
  <si>
    <t>GUSNELIS SUSWITA</t>
  </si>
  <si>
    <t>DP-2818</t>
  </si>
  <si>
    <t>1503092206200005</t>
  </si>
  <si>
    <t>1503091111580001</t>
  </si>
  <si>
    <t>HADI SUTRISNO</t>
  </si>
  <si>
    <t>DP-2819</t>
  </si>
  <si>
    <t>1503094708540002</t>
  </si>
  <si>
    <t>HJ. SUMINI</t>
  </si>
  <si>
    <t>DP-2820</t>
  </si>
  <si>
    <t>1503092207100009</t>
  </si>
  <si>
    <t>1503090707820004</t>
  </si>
  <si>
    <t>MOHAMMAD WIDAYAT</t>
  </si>
  <si>
    <t>DP-2821</t>
  </si>
  <si>
    <t>1503094511860006</t>
  </si>
  <si>
    <t>NOVRI NURYANTI</t>
  </si>
  <si>
    <t>DP-2822</t>
  </si>
  <si>
    <t>1503092207190003</t>
  </si>
  <si>
    <t>1503092701980003</t>
  </si>
  <si>
    <t>CATUR CAHYO EFENDI</t>
  </si>
  <si>
    <t>DP-2823</t>
  </si>
  <si>
    <t>1503096812960002</t>
  </si>
  <si>
    <t>DIAN RISWANTI</t>
  </si>
  <si>
    <t>DP-2824</t>
  </si>
  <si>
    <t>1503092208190004</t>
  </si>
  <si>
    <t>1502205110700002</t>
  </si>
  <si>
    <t>DEDEH</t>
  </si>
  <si>
    <t>DP-2825</t>
  </si>
  <si>
    <t>1502200406650001</t>
  </si>
  <si>
    <t>SUTARYO</t>
  </si>
  <si>
    <t>DP-2826</t>
  </si>
  <si>
    <t>1503092208190007</t>
  </si>
  <si>
    <t>1503091203930003</t>
  </si>
  <si>
    <t>ADE ILHAM</t>
  </si>
  <si>
    <t>DP-2827</t>
  </si>
  <si>
    <t>1708045608920003</t>
  </si>
  <si>
    <t>DIAH SAGITA KUSUMA WARDANI</t>
  </si>
  <si>
    <t>DP-2828</t>
  </si>
  <si>
    <t>1503092208220004</t>
  </si>
  <si>
    <t>1503090107990007</t>
  </si>
  <si>
    <t>DONI WAHYUDI</t>
  </si>
  <si>
    <t>DP-2829</t>
  </si>
  <si>
    <t>1503094107720009</t>
  </si>
  <si>
    <t>DP-2830</t>
  </si>
  <si>
    <t>1503092209080006</t>
  </si>
  <si>
    <t>1503090102650002</t>
  </si>
  <si>
    <t>DARYONO</t>
  </si>
  <si>
    <t>DP-2831</t>
  </si>
  <si>
    <t>1503094211690003</t>
  </si>
  <si>
    <t>YATMI</t>
  </si>
  <si>
    <t>DP-2832</t>
  </si>
  <si>
    <t>1503092209080009</t>
  </si>
  <si>
    <t>1503094306650003</t>
  </si>
  <si>
    <t>ERNA</t>
  </si>
  <si>
    <t>DP-2833</t>
  </si>
  <si>
    <t>1503091002600001</t>
  </si>
  <si>
    <t>POSO</t>
  </si>
  <si>
    <t>DP-2834</t>
  </si>
  <si>
    <t>1503092209230001</t>
  </si>
  <si>
    <t>1503096103980001</t>
  </si>
  <si>
    <t>EKA WIDIYANTI</t>
  </si>
  <si>
    <t>JLN BENTENG DUSUN SUKAJADI</t>
  </si>
  <si>
    <t>DP-2835</t>
  </si>
  <si>
    <t>1503092411960002</t>
  </si>
  <si>
    <t>SAFII MAARIF</t>
  </si>
  <si>
    <t>DP-2836</t>
  </si>
  <si>
    <t>1503092211080002</t>
  </si>
  <si>
    <t>1503090503750002</t>
  </si>
  <si>
    <t>KASMIN</t>
  </si>
  <si>
    <t>DP-2837</t>
  </si>
  <si>
    <t>1503094911820002</t>
  </si>
  <si>
    <t>NUR HAYATI</t>
  </si>
  <si>
    <t>DP-2838</t>
  </si>
  <si>
    <t>1503092211220003</t>
  </si>
  <si>
    <t>1503096911970001</t>
  </si>
  <si>
    <t>NOVI RAHAYU PRASETYO NINGSIH</t>
  </si>
  <si>
    <t>DP-2839</t>
  </si>
  <si>
    <t>1503092307970004</t>
  </si>
  <si>
    <t>YULIUS DICKI ARDIAN</t>
  </si>
  <si>
    <t>DP-2840</t>
  </si>
  <si>
    <t>1503092211230005</t>
  </si>
  <si>
    <t>1503095005980003</t>
  </si>
  <si>
    <t>MELISA VIORINA</t>
  </si>
  <si>
    <t>TANJUNG BARULAK</t>
  </si>
  <si>
    <t>DP-2841</t>
  </si>
  <si>
    <t>1503090505970004</t>
  </si>
  <si>
    <t>TRIONO SETIAWAN</t>
  </si>
  <si>
    <t>DP-2842</t>
  </si>
  <si>
    <t>1503092211230008</t>
  </si>
  <si>
    <t>1503095009680001</t>
  </si>
  <si>
    <t>KERLINA SINGALINGGING</t>
  </si>
  <si>
    <t>P. SAMOSIR</t>
  </si>
  <si>
    <t>DP-2843</t>
  </si>
  <si>
    <t>1503094703020007</t>
  </si>
  <si>
    <t>MARGARETHA TRI ASTUTI</t>
  </si>
  <si>
    <t>DP-2844</t>
  </si>
  <si>
    <t>1503091101990001</t>
  </si>
  <si>
    <t>YOSEPH PANJI KUSUMA</t>
  </si>
  <si>
    <t>DP-2845</t>
  </si>
  <si>
    <t>1503092212090004</t>
  </si>
  <si>
    <t>1503091904700002</t>
  </si>
  <si>
    <t>MANNU SETYADI</t>
  </si>
  <si>
    <t>DP-2846</t>
  </si>
  <si>
    <t>1503096601850003</t>
  </si>
  <si>
    <t>RITA ROYANTI</t>
  </si>
  <si>
    <t>DP-2847</t>
  </si>
  <si>
    <t>1503092212140002</t>
  </si>
  <si>
    <t>1503094804500002</t>
  </si>
  <si>
    <t>RAMINAH</t>
  </si>
  <si>
    <t>AROHMA PRIANTO</t>
  </si>
  <si>
    <t>DP-2848</t>
  </si>
  <si>
    <t>1503091007550004</t>
  </si>
  <si>
    <t>SUPARI</t>
  </si>
  <si>
    <t>DP-2849</t>
  </si>
  <si>
    <t>1503092212140005</t>
  </si>
  <si>
    <t>1503096510520001</t>
  </si>
  <si>
    <t>DP-2850</t>
  </si>
  <si>
    <t>1503092212150001</t>
  </si>
  <si>
    <t>1503090505820007</t>
  </si>
  <si>
    <t>PRIMAN</t>
  </si>
  <si>
    <t>JOGJA</t>
  </si>
  <si>
    <t>DP-2851</t>
  </si>
  <si>
    <t>1503095509680001</t>
  </si>
  <si>
    <t>SITI KHOFIFAH</t>
  </si>
  <si>
    <t>DP-2852</t>
  </si>
  <si>
    <t>1503092212150003</t>
  </si>
  <si>
    <t>1503096405960003</t>
  </si>
  <si>
    <t>NITRA UMI MUSTAQIM</t>
  </si>
  <si>
    <t>DP-2853</t>
  </si>
  <si>
    <t>1503091005940003</t>
  </si>
  <si>
    <t>TEGUH SURYANTO</t>
  </si>
  <si>
    <t>DP-2854</t>
  </si>
  <si>
    <t>1503092212170001</t>
  </si>
  <si>
    <t>1605160202900002</t>
  </si>
  <si>
    <t>IWAN SETYAWAN</t>
  </si>
  <si>
    <t>DP-2855</t>
  </si>
  <si>
    <t>1503096707930002</t>
  </si>
  <si>
    <t>NURBAITY</t>
  </si>
  <si>
    <t>DP-2856</t>
  </si>
  <si>
    <t>1503092212210003</t>
  </si>
  <si>
    <t>1503090910020001</t>
  </si>
  <si>
    <t>MUHAMAD NUR WAHID</t>
  </si>
  <si>
    <t>DP-2857</t>
  </si>
  <si>
    <t>1503091204590003</t>
  </si>
  <si>
    <t>NGADIMUN</t>
  </si>
  <si>
    <t>KROYA CILACAP</t>
  </si>
  <si>
    <t>DP-2858</t>
  </si>
  <si>
    <t>1503092212210005</t>
  </si>
  <si>
    <t>1503096112990001</t>
  </si>
  <si>
    <t>HIKMATUS SA'ADAH</t>
  </si>
  <si>
    <t>DP-2859</t>
  </si>
  <si>
    <t>1503051807000003</t>
  </si>
  <si>
    <t>JAENAL MAKHRUF</t>
  </si>
  <si>
    <t>DP-2860</t>
  </si>
  <si>
    <t>1503092301080028</t>
  </si>
  <si>
    <t>1503095503450002</t>
  </si>
  <si>
    <t>KINEM</t>
  </si>
  <si>
    <t>DP-2861</t>
  </si>
  <si>
    <t>1503090205420001</t>
  </si>
  <si>
    <t>MAIRAN</t>
  </si>
  <si>
    <t>T. AGUNG</t>
  </si>
  <si>
    <t>DP-2862</t>
  </si>
  <si>
    <t>1503092301080032</t>
  </si>
  <si>
    <t>1503096508060004</t>
  </si>
  <si>
    <t>DIKA APILA</t>
  </si>
  <si>
    <t>DP-2863</t>
  </si>
  <si>
    <t>1503096107740001</t>
  </si>
  <si>
    <t>DP-2864</t>
  </si>
  <si>
    <t>1503092308770001</t>
  </si>
  <si>
    <t>DP-2865</t>
  </si>
  <si>
    <t>1503092301080035</t>
  </si>
  <si>
    <t>1503091011630001</t>
  </si>
  <si>
    <t>SLAMET MUSLIM</t>
  </si>
  <si>
    <t>DP-2866</t>
  </si>
  <si>
    <t>1503094510660003</t>
  </si>
  <si>
    <t>DP-2867</t>
  </si>
  <si>
    <t>1503092301080039</t>
  </si>
  <si>
    <t>1503092103640003</t>
  </si>
  <si>
    <t>PARMIN</t>
  </si>
  <si>
    <t>DP-2868</t>
  </si>
  <si>
    <t>1503096303730003</t>
  </si>
  <si>
    <t>PARTINEM</t>
  </si>
  <si>
    <t>DP-2869</t>
  </si>
  <si>
    <t>1503091907010001</t>
  </si>
  <si>
    <t>PETRA TRIHAMDANI</t>
  </si>
  <si>
    <t>DP-2870</t>
  </si>
  <si>
    <t>1503092301080088</t>
  </si>
  <si>
    <t>1503095705020002</t>
  </si>
  <si>
    <t>REFI MARISKA</t>
  </si>
  <si>
    <t>DP-2871</t>
  </si>
  <si>
    <t>1503090607680007</t>
  </si>
  <si>
    <t>DP-2872</t>
  </si>
  <si>
    <t>1503095008720002</t>
  </si>
  <si>
    <t>SURIYAH</t>
  </si>
  <si>
    <t>DP-2873</t>
  </si>
  <si>
    <t>1503092301080098</t>
  </si>
  <si>
    <t>1503091004450002</t>
  </si>
  <si>
    <t>KLIWON</t>
  </si>
  <si>
    <t>DP-2874</t>
  </si>
  <si>
    <t>1503094510530002</t>
  </si>
  <si>
    <t>DP-2875</t>
  </si>
  <si>
    <t>1503092301080115</t>
  </si>
  <si>
    <t>1503096507050002</t>
  </si>
  <si>
    <t>DIAN ISNAINI</t>
  </si>
  <si>
    <t>DP-2876</t>
  </si>
  <si>
    <t>1503091707700003</t>
  </si>
  <si>
    <t>HARYONO</t>
  </si>
  <si>
    <t>DP-2877</t>
  </si>
  <si>
    <t>1503095707750004</t>
  </si>
  <si>
    <t>TITIN UMIYENI</t>
  </si>
  <si>
    <t>DP-2878</t>
  </si>
  <si>
    <t>1503090609990005</t>
  </si>
  <si>
    <t>YUDI SEPTIAWAN</t>
  </si>
  <si>
    <t>DP-2879</t>
  </si>
  <si>
    <t>1503092301080216</t>
  </si>
  <si>
    <t>1503092210020001</t>
  </si>
  <si>
    <t>ARJUN LUTFI RAMADHAN</t>
  </si>
  <si>
    <t>DSNDSNPAYO LEBAR</t>
  </si>
  <si>
    <t>DP-2880</t>
  </si>
  <si>
    <t>1503095811040001</t>
  </si>
  <si>
    <t>EVI ROSYITA DEA NOVA</t>
  </si>
  <si>
    <t>DP-2881</t>
  </si>
  <si>
    <t>1503090211750001</t>
  </si>
  <si>
    <t>WAGIMAN JAYA NEGARA</t>
  </si>
  <si>
    <t>DP-2882</t>
  </si>
  <si>
    <t>1503094505850001</t>
  </si>
  <si>
    <t>WASIATI</t>
  </si>
  <si>
    <t>DP-2883</t>
  </si>
  <si>
    <t>1503092301080219</t>
  </si>
  <si>
    <t>1503090107710015</t>
  </si>
  <si>
    <t>DP-2884</t>
  </si>
  <si>
    <t>1503094107060018</t>
  </si>
  <si>
    <t>GITA ANGRAENI</t>
  </si>
  <si>
    <t>belum ketemu Pasangannya</t>
  </si>
  <si>
    <t>DP-2885</t>
  </si>
  <si>
    <t>1503092301080221</t>
  </si>
  <si>
    <t>1503091707800005</t>
  </si>
  <si>
    <t>DARMAWAN</t>
  </si>
  <si>
    <t>DP-2886</t>
  </si>
  <si>
    <t>1503095405830001</t>
  </si>
  <si>
    <t>WINARTI</t>
  </si>
  <si>
    <t>DP-2887</t>
  </si>
  <si>
    <t>1503092301080224</t>
  </si>
  <si>
    <t>1503096002750001</t>
  </si>
  <si>
    <t>BUNGA RAFI'AH</t>
  </si>
  <si>
    <t>DP-2888</t>
  </si>
  <si>
    <t>1503091002620005</t>
  </si>
  <si>
    <t>MUHTASIM</t>
  </si>
  <si>
    <t>DP-2889</t>
  </si>
  <si>
    <t>1503092301080232</t>
  </si>
  <si>
    <t>1503097004710001</t>
  </si>
  <si>
    <t>AMBAR WIDAYATI</t>
  </si>
  <si>
    <t>DP-2890</t>
  </si>
  <si>
    <t>1503092104660001</t>
  </si>
  <si>
    <t>DP-2891</t>
  </si>
  <si>
    <t>1503092301080234</t>
  </si>
  <si>
    <t>1503095809860002</t>
  </si>
  <si>
    <t>ROSIDA</t>
  </si>
  <si>
    <t>DP-2892</t>
  </si>
  <si>
    <t>1503092209710001</t>
  </si>
  <si>
    <t>YANI SISWANTO</t>
  </si>
  <si>
    <t>DP-2893</t>
  </si>
  <si>
    <t>1503092301080235</t>
  </si>
  <si>
    <t>1503094107760029</t>
  </si>
  <si>
    <t>RITEM</t>
  </si>
  <si>
    <t>DP-2894</t>
  </si>
  <si>
    <t>1503090107630019</t>
  </si>
  <si>
    <t>DP-2895</t>
  </si>
  <si>
    <t>1503092301080236</t>
  </si>
  <si>
    <t>1503094107810029</t>
  </si>
  <si>
    <t>DP-2896</t>
  </si>
  <si>
    <t>1503092301110009</t>
  </si>
  <si>
    <t>1503090207990003</t>
  </si>
  <si>
    <t>RICKY FREDIANSAH</t>
  </si>
  <si>
    <t>DP-2897</t>
  </si>
  <si>
    <t>1503094406770002</t>
  </si>
  <si>
    <t>RISNIAWATI</t>
  </si>
  <si>
    <t>DP-2898</t>
  </si>
  <si>
    <t>1503093112690004</t>
  </si>
  <si>
    <t>SUGIYO</t>
  </si>
  <si>
    <t>DP-2899</t>
  </si>
  <si>
    <t>1503092302100003</t>
  </si>
  <si>
    <t>1503090110690010</t>
  </si>
  <si>
    <t>ISMADI</t>
  </si>
  <si>
    <t>TALUN KULON</t>
  </si>
  <si>
    <t>DP-2900</t>
  </si>
  <si>
    <t>1503094501780002</t>
  </si>
  <si>
    <t>LILIK ALFIAH</t>
  </si>
  <si>
    <t>DP-2901</t>
  </si>
  <si>
    <t>1503092302100006</t>
  </si>
  <si>
    <t>1503090912990003</t>
  </si>
  <si>
    <t>FERI HERMAWAN</t>
  </si>
  <si>
    <t>DUDUN I KARYA MAKMUR</t>
  </si>
  <si>
    <t>DP-2902</t>
  </si>
  <si>
    <t>1503091103730003</t>
  </si>
  <si>
    <t>ISMUNANDAR</t>
  </si>
  <si>
    <t>CIANJUR</t>
  </si>
  <si>
    <t>DP-2903</t>
  </si>
  <si>
    <t>1503094602700005</t>
  </si>
  <si>
    <t>SUJIATI</t>
  </si>
  <si>
    <t>DP-2904</t>
  </si>
  <si>
    <t>1503092302160003</t>
  </si>
  <si>
    <t>1503091108070001</t>
  </si>
  <si>
    <t>ADE AGUSTIAN</t>
  </si>
  <si>
    <t>DP-2905</t>
  </si>
  <si>
    <t>1503090307610001</t>
  </si>
  <si>
    <t>HOZALIDIN</t>
  </si>
  <si>
    <t>DP-2906</t>
  </si>
  <si>
    <t>1503091312950004</t>
  </si>
  <si>
    <t>MUHAMMAD KHARIS</t>
  </si>
  <si>
    <t>DP-2907</t>
  </si>
  <si>
    <t>1503096310730001</t>
  </si>
  <si>
    <t>NAIDAH</t>
  </si>
  <si>
    <t>DP-2908</t>
  </si>
  <si>
    <t>1503092302210002</t>
  </si>
  <si>
    <t>1503096901900001</t>
  </si>
  <si>
    <t>DIAH HIDAYAH</t>
  </si>
  <si>
    <t>DP-2909</t>
  </si>
  <si>
    <t>1671130811800007</t>
  </si>
  <si>
    <t>MUHAMAD ARAFIQ</t>
  </si>
  <si>
    <t>DP-2910</t>
  </si>
  <si>
    <t>1503092302220003</t>
  </si>
  <si>
    <t>1503092508790001</t>
  </si>
  <si>
    <t>BAMBANG UTOYO</t>
  </si>
  <si>
    <t>DP-2911</t>
  </si>
  <si>
    <t>1503095609760001</t>
  </si>
  <si>
    <t>SRI ASTUTI</t>
  </si>
  <si>
    <t>DP-2912</t>
  </si>
  <si>
    <t>1503092303100004</t>
  </si>
  <si>
    <t>1503090208980003</t>
  </si>
  <si>
    <t>ABDULLAH MUFADHIL</t>
  </si>
  <si>
    <t>TEMBILAHAN</t>
  </si>
  <si>
    <t>DP-2913</t>
  </si>
  <si>
    <t>1503090211720002</t>
  </si>
  <si>
    <t>KARTIKO</t>
  </si>
  <si>
    <t>DP-2914</t>
  </si>
  <si>
    <t>1503091901030003</t>
  </si>
  <si>
    <t>MUHAMMAD SYAHRUL ALFIAN</t>
  </si>
  <si>
    <t>DP-2915</t>
  </si>
  <si>
    <t>1503097112700006</t>
  </si>
  <si>
    <t>DP-2916</t>
  </si>
  <si>
    <t>1503092303160005</t>
  </si>
  <si>
    <t>1503095507970004</t>
  </si>
  <si>
    <t>ANINATUL RAHMA</t>
  </si>
  <si>
    <t>MERSAM</t>
  </si>
  <si>
    <t>DP-2917</t>
  </si>
  <si>
    <t>1503090910890001</t>
  </si>
  <si>
    <t>RIADHLUS SOLIHIN</t>
  </si>
  <si>
    <t>DP-2918</t>
  </si>
  <si>
    <t>1503092303200005</t>
  </si>
  <si>
    <t>1209105706830002</t>
  </si>
  <si>
    <t>ERNIAWAN TANJUNG</t>
  </si>
  <si>
    <t>RANTAU PRAPAT</t>
  </si>
  <si>
    <t>DP-2919</t>
  </si>
  <si>
    <t>1503094107920016</t>
  </si>
  <si>
    <t>HAMZAH SYAFI'I</t>
  </si>
  <si>
    <t>DP-2920</t>
  </si>
  <si>
    <t>1503092303210001</t>
  </si>
  <si>
    <t>1503095707540001</t>
  </si>
  <si>
    <t>1503050703110021</t>
  </si>
  <si>
    <t>DP-2921</t>
  </si>
  <si>
    <t>1503092304090005</t>
  </si>
  <si>
    <t>1503096208040002</t>
  </si>
  <si>
    <t>ANA SAVITRI</t>
  </si>
  <si>
    <t>DP-2922</t>
  </si>
  <si>
    <t>1503090104790002</t>
  </si>
  <si>
    <t>NARTO</t>
  </si>
  <si>
    <t>DP-2923</t>
  </si>
  <si>
    <t>1503096608810002</t>
  </si>
  <si>
    <t>WARNI KARNIA</t>
  </si>
  <si>
    <t>DP-2924</t>
  </si>
  <si>
    <t>1503092304180004</t>
  </si>
  <si>
    <t>1503092102980005</t>
  </si>
  <si>
    <t>BOBI IRAWAN</t>
  </si>
  <si>
    <t>DP-2925</t>
  </si>
  <si>
    <t>1503094803750004</t>
  </si>
  <si>
    <t>DISMA AINI</t>
  </si>
  <si>
    <t>TJ. TELANG</t>
  </si>
  <si>
    <t>DP-2926</t>
  </si>
  <si>
    <t>1503090501730001</t>
  </si>
  <si>
    <t>PODHO</t>
  </si>
  <si>
    <t>DP-2927</t>
  </si>
  <si>
    <t>1503091612050003</t>
  </si>
  <si>
    <t>DP-2928</t>
  </si>
  <si>
    <t>1503092304200002</t>
  </si>
  <si>
    <t>1503090504930002</t>
  </si>
  <si>
    <t>KIKI KURNIAWAN</t>
  </si>
  <si>
    <t>DP-2929</t>
  </si>
  <si>
    <t>1503094605960001</t>
  </si>
  <si>
    <t>TETI MUSRINA</t>
  </si>
  <si>
    <t>DP-2930</t>
  </si>
  <si>
    <t>1503092305160001</t>
  </si>
  <si>
    <t>1503096203970001</t>
  </si>
  <si>
    <t>DP-2931</t>
  </si>
  <si>
    <t>1503091912930002</t>
  </si>
  <si>
    <t>WAHYU MUHAMMAD</t>
  </si>
  <si>
    <t>DP-2932</t>
  </si>
  <si>
    <t>1503092307180009</t>
  </si>
  <si>
    <t>1503094107680023</t>
  </si>
  <si>
    <t>DP-2933</t>
  </si>
  <si>
    <t>1503092308130006</t>
  </si>
  <si>
    <t>1503094107940020</t>
  </si>
  <si>
    <t>RISTA PERMATA SARI</t>
  </si>
  <si>
    <t>DUN PAYO LEBAR</t>
  </si>
  <si>
    <t>DP-2934</t>
  </si>
  <si>
    <t>1503090711860002</t>
  </si>
  <si>
    <t>WANTO</t>
  </si>
  <si>
    <t>DP-2935</t>
  </si>
  <si>
    <t>1503092308210003</t>
  </si>
  <si>
    <t>1503096001550001</t>
  </si>
  <si>
    <t>TIYEM</t>
  </si>
  <si>
    <t>DP-2936</t>
  </si>
  <si>
    <t>1503092308230003</t>
  </si>
  <si>
    <t>1503095708450003</t>
  </si>
  <si>
    <t>UMI SUARSIH</t>
  </si>
  <si>
    <t>SUMEDANG</t>
  </si>
  <si>
    <t>DP-2937</t>
  </si>
  <si>
    <t>1503092309130004</t>
  </si>
  <si>
    <t>1503096707860001</t>
  </si>
  <si>
    <t>A. ERY YULIANI</t>
  </si>
  <si>
    <t>DP-2938</t>
  </si>
  <si>
    <t>1503090101800006</t>
  </si>
  <si>
    <t>IMRON ROSYADI</t>
  </si>
  <si>
    <t>DP-2939</t>
  </si>
  <si>
    <t>1503092309190005</t>
  </si>
  <si>
    <t>1503091005990002</t>
  </si>
  <si>
    <t>JHON FREDIMAN SINAGA</t>
  </si>
  <si>
    <t>DP-2940</t>
  </si>
  <si>
    <t>1503095808690001</t>
  </si>
  <si>
    <t>MASNI SARAGIH</t>
  </si>
  <si>
    <t>HAPOLTAKAN</t>
  </si>
  <si>
    <t>DP-2941</t>
  </si>
  <si>
    <t>1503094210970001</t>
  </si>
  <si>
    <t>YANI OCTAVIA SINAGA</t>
  </si>
  <si>
    <t>DP-2942</t>
  </si>
  <si>
    <t>1503092309200007</t>
  </si>
  <si>
    <t>1503091002910002</t>
  </si>
  <si>
    <t>IDA ROSMAWATI</t>
  </si>
  <si>
    <t>DP-2943</t>
  </si>
  <si>
    <t>1503095402990002</t>
  </si>
  <si>
    <t>RENO SAKURA</t>
  </si>
  <si>
    <t>DP-2944</t>
  </si>
  <si>
    <t>1503092310170002</t>
  </si>
  <si>
    <t>1805080304680003</t>
  </si>
  <si>
    <t>BASUKI RAHMAD</t>
  </si>
  <si>
    <t>Belum Ketemu pasanganya</t>
  </si>
  <si>
    <t>DP-2945</t>
  </si>
  <si>
    <t>1805085107070001</t>
  </si>
  <si>
    <t>INSIA HAURA HAFIFA</t>
  </si>
  <si>
    <t>TULANG BAWANG</t>
  </si>
  <si>
    <t>DP-2946</t>
  </si>
  <si>
    <t>1805085005050001</t>
  </si>
  <si>
    <t>MEITALIA TRIHAPSANI</t>
  </si>
  <si>
    <t>DP-2947</t>
  </si>
  <si>
    <t>1805084710690002</t>
  </si>
  <si>
    <t>SRI NANING</t>
  </si>
  <si>
    <t>DP-2948</t>
  </si>
  <si>
    <t>1805083103010001</t>
  </si>
  <si>
    <t>SURYA SURA ANDIKA</t>
  </si>
  <si>
    <t>DP-2949</t>
  </si>
  <si>
    <t>1503092310230002</t>
  </si>
  <si>
    <t>1503095508460001</t>
  </si>
  <si>
    <t>MUSRIFAH</t>
  </si>
  <si>
    <t>DP-2950</t>
  </si>
  <si>
    <t>1503092311100004</t>
  </si>
  <si>
    <t>1503090203580001</t>
  </si>
  <si>
    <t>DP-2951</t>
  </si>
  <si>
    <t>1503094506670004</t>
  </si>
  <si>
    <t>SITI MARKONAH</t>
  </si>
  <si>
    <t>DP-2952</t>
  </si>
  <si>
    <t>1503092311100005</t>
  </si>
  <si>
    <t>1503090206740002</t>
  </si>
  <si>
    <t>TARDI</t>
  </si>
  <si>
    <t>DUSUN I SINGKUT II</t>
  </si>
  <si>
    <t>DP-2953</t>
  </si>
  <si>
    <t>1503092311160001</t>
  </si>
  <si>
    <t>1503091903960003</t>
  </si>
  <si>
    <t>EKO SATRIO</t>
  </si>
  <si>
    <t>DP-2954</t>
  </si>
  <si>
    <t>1503096007980004</t>
  </si>
  <si>
    <t>NUR LELA</t>
  </si>
  <si>
    <t>DP-2955</t>
  </si>
  <si>
    <t>1503092311160006</t>
  </si>
  <si>
    <t>1503094908550002</t>
  </si>
  <si>
    <t>SRINATIN</t>
  </si>
  <si>
    <t>DP-2956</t>
  </si>
  <si>
    <t>1503092311160012</t>
  </si>
  <si>
    <t>1503091702820003</t>
  </si>
  <si>
    <t>MIFTAHUL MISBAH</t>
  </si>
  <si>
    <t>DP-2957</t>
  </si>
  <si>
    <t>1503092311160013</t>
  </si>
  <si>
    <t>1503094606980001</t>
  </si>
  <si>
    <t>NENI SETIAWATI</t>
  </si>
  <si>
    <t>pisah kk/ Istri belum ketemu</t>
  </si>
  <si>
    <t>DP-2958</t>
  </si>
  <si>
    <t>1503090506560001</t>
  </si>
  <si>
    <t>NGATIMIN</t>
  </si>
  <si>
    <t>DP-2959</t>
  </si>
  <si>
    <t>1503092311170002</t>
  </si>
  <si>
    <t>1503090309030002</t>
  </si>
  <si>
    <t>IIN SUPRIYANTO</t>
  </si>
  <si>
    <t>DP-2960</t>
  </si>
  <si>
    <t>1605056506700001</t>
  </si>
  <si>
    <t>MINA</t>
  </si>
  <si>
    <t>DP-2961</t>
  </si>
  <si>
    <t>1503092312120006</t>
  </si>
  <si>
    <t>1503090108910001</t>
  </si>
  <si>
    <t>BAMBANG SUCIPTO</t>
  </si>
  <si>
    <t>DP-2962</t>
  </si>
  <si>
    <t>1503094207920001</t>
  </si>
  <si>
    <t>DIYAN INDAH SARI</t>
  </si>
  <si>
    <t>DP-2963</t>
  </si>
  <si>
    <t>1503092312210006</t>
  </si>
  <si>
    <t>1503094603960001</t>
  </si>
  <si>
    <t>HANA FAJAR SAFITRI</t>
  </si>
  <si>
    <t>DP-2964</t>
  </si>
  <si>
    <t>3322052105950001</t>
  </si>
  <si>
    <t>HANIF MUSTOFA</t>
  </si>
  <si>
    <t>DP-2965</t>
  </si>
  <si>
    <t>1503092401080030</t>
  </si>
  <si>
    <t>1503096706470001</t>
  </si>
  <si>
    <t>DP-2966</t>
  </si>
  <si>
    <t>1503092401080042</t>
  </si>
  <si>
    <t>1503091707500005</t>
  </si>
  <si>
    <t>PONIMAN</t>
  </si>
  <si>
    <t>DP-2967</t>
  </si>
  <si>
    <t>1503096507040001</t>
  </si>
  <si>
    <t>DP-2968</t>
  </si>
  <si>
    <t>1503095707620002</t>
  </si>
  <si>
    <t>SRIYATI</t>
  </si>
  <si>
    <t>DP-2969</t>
  </si>
  <si>
    <t>1503092401080045</t>
  </si>
  <si>
    <t>1503096002770002</t>
  </si>
  <si>
    <t>DEDEK NGATIAH</t>
  </si>
  <si>
    <t>DP-2970</t>
  </si>
  <si>
    <t>1503094811040001</t>
  </si>
  <si>
    <t>RANI KURNIASARI</t>
  </si>
  <si>
    <t>DP-2971</t>
  </si>
  <si>
    <t>1503091601670001</t>
  </si>
  <si>
    <t>YAHMAN</t>
  </si>
  <si>
    <t>DP-2972</t>
  </si>
  <si>
    <t>1503092401080047</t>
  </si>
  <si>
    <t>1503095912830001</t>
  </si>
  <si>
    <t>DEWI HASTUTIK</t>
  </si>
  <si>
    <t>DP-2973</t>
  </si>
  <si>
    <t>1503091207690002</t>
  </si>
  <si>
    <t>DP-2974</t>
  </si>
  <si>
    <t>1503094102010002</t>
  </si>
  <si>
    <t>LUTFIATUN CHASANAH</t>
  </si>
  <si>
    <t>DP-2975</t>
  </si>
  <si>
    <t>1503092401080060</t>
  </si>
  <si>
    <t>1503091707960002</t>
  </si>
  <si>
    <t>LUKMAN NULHAKIM</t>
  </si>
  <si>
    <t>DP-2976</t>
  </si>
  <si>
    <t>1503092405710002</t>
  </si>
  <si>
    <t>DP-2977</t>
  </si>
  <si>
    <t>1503096908800001</t>
  </si>
  <si>
    <t>WATINI</t>
  </si>
  <si>
    <t>DP-2978</t>
  </si>
  <si>
    <t>1503092401080079</t>
  </si>
  <si>
    <t>1503090310970001</t>
  </si>
  <si>
    <t>BAYU NURMANTO</t>
  </si>
  <si>
    <t>DP-2979</t>
  </si>
  <si>
    <t>1503090108040002</t>
  </si>
  <si>
    <t>FARID GANDHI</t>
  </si>
  <si>
    <t>DP-2980</t>
  </si>
  <si>
    <t>1503091706730001</t>
  </si>
  <si>
    <t>DP-2981</t>
  </si>
  <si>
    <t>1503095706770001</t>
  </si>
  <si>
    <t>DP-2982</t>
  </si>
  <si>
    <t>1503092401080092</t>
  </si>
  <si>
    <t>1503095707750005</t>
  </si>
  <si>
    <t>MARWIYAH</t>
  </si>
  <si>
    <t>MARGO MULYO</t>
  </si>
  <si>
    <t>DP-2983</t>
  </si>
  <si>
    <t>1503091707600004</t>
  </si>
  <si>
    <t>YONO</t>
  </si>
  <si>
    <t>KARANGGANDU</t>
  </si>
  <si>
    <t>DP-2984</t>
  </si>
  <si>
    <t>1503092401080118</t>
  </si>
  <si>
    <t>1503094405580001</t>
  </si>
  <si>
    <t>WARINEM</t>
  </si>
  <si>
    <t>DP-2985</t>
  </si>
  <si>
    <t>1503092401080120</t>
  </si>
  <si>
    <t>1503091005800001</t>
  </si>
  <si>
    <t>BAMBANG MUARIFIN</t>
  </si>
  <si>
    <t>DP-2986</t>
  </si>
  <si>
    <t>1503095511830001</t>
  </si>
  <si>
    <t>DP-2987</t>
  </si>
  <si>
    <t>1503092401080128</t>
  </si>
  <si>
    <t>1503096005680001</t>
  </si>
  <si>
    <t>DP-2988</t>
  </si>
  <si>
    <t>1503090702580001</t>
  </si>
  <si>
    <t>NGADIMAN</t>
  </si>
  <si>
    <t>DP-2989</t>
  </si>
  <si>
    <t>1503092401080133</t>
  </si>
  <si>
    <t>1503094108740001</t>
  </si>
  <si>
    <t>RUTIAH</t>
  </si>
  <si>
    <t>DP-2990</t>
  </si>
  <si>
    <t>1503090407710002</t>
  </si>
  <si>
    <t>WARNO</t>
  </si>
  <si>
    <t>DP-2991</t>
  </si>
  <si>
    <t>1503092401080139</t>
  </si>
  <si>
    <t>1503091103630001</t>
  </si>
  <si>
    <t>SULIMIN</t>
  </si>
  <si>
    <t>DP-2992</t>
  </si>
  <si>
    <t>1503096404640001</t>
  </si>
  <si>
    <t>DP-2304</t>
  </si>
  <si>
    <t>1503092401080160</t>
  </si>
  <si>
    <t>1503090108020001</t>
  </si>
  <si>
    <t>AGIL SAPUTRA</t>
  </si>
  <si>
    <t>DP-2993</t>
  </si>
  <si>
    <t>1503090107560024</t>
  </si>
  <si>
    <t>DP-2994</t>
  </si>
  <si>
    <t>1503095510630003</t>
  </si>
  <si>
    <t>SRI SUMARNI</t>
  </si>
  <si>
    <t>DP-2995</t>
  </si>
  <si>
    <t>1503092401080167</t>
  </si>
  <si>
    <t>1503092509770001</t>
  </si>
  <si>
    <t>AGUNG WIDODO</t>
  </si>
  <si>
    <t>DUSUN RAMBEJAYA</t>
  </si>
  <si>
    <t>DP-2996</t>
  </si>
  <si>
    <t>1503091310010002</t>
  </si>
  <si>
    <t>DIMAS ADI SAPUTRA</t>
  </si>
  <si>
    <t>DP-2997</t>
  </si>
  <si>
    <t>1503095405780001</t>
  </si>
  <si>
    <t>SUKESI</t>
  </si>
  <si>
    <t>DP-2998</t>
  </si>
  <si>
    <t>1503092401080173</t>
  </si>
  <si>
    <t>1503091102960003</t>
  </si>
  <si>
    <t>JAN EFFENDI HAMONANGAN</t>
  </si>
  <si>
    <t>DP-2999</t>
  </si>
  <si>
    <t>1503092804620001</t>
  </si>
  <si>
    <t>JAN WALTERPIAN SARAGIH</t>
  </si>
  <si>
    <t>RAYA DOLOG</t>
  </si>
  <si>
    <t>DP-3000</t>
  </si>
  <si>
    <t>1503095212600001</t>
  </si>
  <si>
    <t>KOLANTINA PURBA</t>
  </si>
  <si>
    <t>NEGERI DOLOK</t>
  </si>
  <si>
    <t>DP-3001</t>
  </si>
  <si>
    <t>1503092401080176</t>
  </si>
  <si>
    <t>1503090704030004</t>
  </si>
  <si>
    <t>ANDI SAPUTRA</t>
  </si>
  <si>
    <t>DP-3002</t>
  </si>
  <si>
    <t>1503090407610002</t>
  </si>
  <si>
    <t>RAHMAN</t>
  </si>
  <si>
    <t>DP-3003</t>
  </si>
  <si>
    <t>1503092401080180</t>
  </si>
  <si>
    <t>1503096205700001</t>
  </si>
  <si>
    <t>PONI</t>
  </si>
  <si>
    <t>MONDOKAN</t>
  </si>
  <si>
    <t>DP-3004</t>
  </si>
  <si>
    <t>1503092204860001</t>
  </si>
  <si>
    <t>DP-3005</t>
  </si>
  <si>
    <t>1503091501620001</t>
  </si>
  <si>
    <t>SURADI PATMO SUMITO</t>
  </si>
  <si>
    <t>DP-3006</t>
  </si>
  <si>
    <t>1503092401080188</t>
  </si>
  <si>
    <t>1503094909850001</t>
  </si>
  <si>
    <t>LULUK UL MUHAJAROH</t>
  </si>
  <si>
    <t>DP-3007</t>
  </si>
  <si>
    <t>1503091603810002</t>
  </si>
  <si>
    <t>MISBAKHUL MUNIR</t>
  </si>
  <si>
    <t>DP-3008</t>
  </si>
  <si>
    <t>1503092401080216</t>
  </si>
  <si>
    <t>1503095011320001</t>
  </si>
  <si>
    <t>PATIMAH</t>
  </si>
  <si>
    <t>DP-3009</t>
  </si>
  <si>
    <t>1503092401080225</t>
  </si>
  <si>
    <t>1503091009040001</t>
  </si>
  <si>
    <t>KEVIN ALDI SAPUTRA</t>
  </si>
  <si>
    <t>DP-3010</t>
  </si>
  <si>
    <t>1503090107700047</t>
  </si>
  <si>
    <t>TARNO</t>
  </si>
  <si>
    <t>DP-3011</t>
  </si>
  <si>
    <t>1503095007790002</t>
  </si>
  <si>
    <t>DP-3012</t>
  </si>
  <si>
    <t>1503092401080230</t>
  </si>
  <si>
    <t>1503094107720042</t>
  </si>
  <si>
    <t>KASINAH</t>
  </si>
  <si>
    <t>DP-3013</t>
  </si>
  <si>
    <t>1503092401080231</t>
  </si>
  <si>
    <t>1503090911630001</t>
  </si>
  <si>
    <t>SELAMET</t>
  </si>
  <si>
    <t>DP-3014</t>
  </si>
  <si>
    <t>1503096508620001</t>
  </si>
  <si>
    <t>DP-3015</t>
  </si>
  <si>
    <t>1503092401080234</t>
  </si>
  <si>
    <t>1503091511020001</t>
  </si>
  <si>
    <t>BILAR AGRI SAPUTRA</t>
  </si>
  <si>
    <t>DP-3016</t>
  </si>
  <si>
    <t>1503096008760001</t>
  </si>
  <si>
    <t>NANIK WIDIYAWATI</t>
  </si>
  <si>
    <t>DP-3017</t>
  </si>
  <si>
    <t>1503093005700002</t>
  </si>
  <si>
    <t>DP-3018</t>
  </si>
  <si>
    <t>1503092401080238</t>
  </si>
  <si>
    <t>1503095505880001</t>
  </si>
  <si>
    <t>AAS KOMALASARI</t>
  </si>
  <si>
    <t>DP-3019</t>
  </si>
  <si>
    <t>1503091211240004</t>
  </si>
  <si>
    <t>1503091508050001</t>
  </si>
  <si>
    <t>M. LUTFI ABDUL AZIZ</t>
  </si>
  <si>
    <t>DP-3020</t>
  </si>
  <si>
    <t>1503096404070003</t>
  </si>
  <si>
    <t>NITA APRILIA</t>
  </si>
  <si>
    <t>DP-3021</t>
  </si>
  <si>
    <t>1503091305820001</t>
  </si>
  <si>
    <t>TATANG SUMARNA</t>
  </si>
  <si>
    <t>DP-3022</t>
  </si>
  <si>
    <t>1503092401080243</t>
  </si>
  <si>
    <t>1503095012000004</t>
  </si>
  <si>
    <t>MAGDALENA MILANI TAMPUBOLON</t>
  </si>
  <si>
    <t>DP-3023</t>
  </si>
  <si>
    <t>1503090305010002</t>
  </si>
  <si>
    <t>MARKUS MARSELINO TAMPUBOLON</t>
  </si>
  <si>
    <t>DP-3024</t>
  </si>
  <si>
    <t>1503090102610001</t>
  </si>
  <si>
    <t>SABAR TAMPUBOLON</t>
  </si>
  <si>
    <t>DP-3025</t>
  </si>
  <si>
    <t>1503092401080249</t>
  </si>
  <si>
    <t>1503094609830002</t>
  </si>
  <si>
    <t>GIYARTI</t>
  </si>
  <si>
    <t>DP-3026</t>
  </si>
  <si>
    <t>1503091406040002</t>
  </si>
  <si>
    <t>REGA KURNIAWAN</t>
  </si>
  <si>
    <t>DP-3027</t>
  </si>
  <si>
    <t>1503090107720045</t>
  </si>
  <si>
    <t>SUSAMTO</t>
  </si>
  <si>
    <t>DP-3028</t>
  </si>
  <si>
    <t>1503092401080270</t>
  </si>
  <si>
    <t>1503095708600002</t>
  </si>
  <si>
    <t>NURTUKINAH</t>
  </si>
  <si>
    <t>DP-3029</t>
  </si>
  <si>
    <t>1503092401080272</t>
  </si>
  <si>
    <t>1503090701620001</t>
  </si>
  <si>
    <t>DP-3030</t>
  </si>
  <si>
    <t>1503094911690001</t>
  </si>
  <si>
    <t>WATIK</t>
  </si>
  <si>
    <t>DP-3031</t>
  </si>
  <si>
    <t>1503092401080275</t>
  </si>
  <si>
    <t>1503091507600001</t>
  </si>
  <si>
    <t>DP-3032</t>
  </si>
  <si>
    <t>1503092401080289</t>
  </si>
  <si>
    <t>1503094305980002</t>
  </si>
  <si>
    <t>ASMA SETIANINGSIH</t>
  </si>
  <si>
    <t>DP-3033</t>
  </si>
  <si>
    <t>1503091111770006</t>
  </si>
  <si>
    <t>SARTONO</t>
  </si>
  <si>
    <t>DP-3034</t>
  </si>
  <si>
    <t>1705017012800001</t>
  </si>
  <si>
    <t>SUGIATI</t>
  </si>
  <si>
    <t>MEGANG SAKTI</t>
  </si>
  <si>
    <t>DP-3035</t>
  </si>
  <si>
    <t>1503092401080291</t>
  </si>
  <si>
    <t>1503091707950002</t>
  </si>
  <si>
    <t>AMINUDIN</t>
  </si>
  <si>
    <t>DP-3036</t>
  </si>
  <si>
    <t>1503095707720007</t>
  </si>
  <si>
    <t>DARSITI</t>
  </si>
  <si>
    <t>DP-3037</t>
  </si>
  <si>
    <t>1503091707620004</t>
  </si>
  <si>
    <t>HENDRI SURIPTO</t>
  </si>
  <si>
    <t>DP-3038</t>
  </si>
  <si>
    <t>1503092401080300</t>
  </si>
  <si>
    <t>1503092005930001</t>
  </si>
  <si>
    <t>ADYAN WIBOWO</t>
  </si>
  <si>
    <t>DP-3039</t>
  </si>
  <si>
    <t>1503091107630001</t>
  </si>
  <si>
    <t>1503096012730001</t>
  </si>
  <si>
    <t>DP-3040</t>
  </si>
  <si>
    <t>1503092708020001</t>
  </si>
  <si>
    <t>MUHLISIN</t>
  </si>
  <si>
    <t>DP-3041</t>
  </si>
  <si>
    <t>1503096211600001</t>
  </si>
  <si>
    <t>SRI YULIATI</t>
  </si>
  <si>
    <t>DP-3042</t>
  </si>
  <si>
    <t>1503092401080302</t>
  </si>
  <si>
    <t>1503090710630002</t>
  </si>
  <si>
    <t>MISTAM</t>
  </si>
  <si>
    <t>DP-3043</t>
  </si>
  <si>
    <t>1503092401110008</t>
  </si>
  <si>
    <t>1503096403030001</t>
  </si>
  <si>
    <t>LATIFAH SAIFURI</t>
  </si>
  <si>
    <t>DP-3044</t>
  </si>
  <si>
    <t>1503091003640005</t>
  </si>
  <si>
    <t>MUDJIBAN</t>
  </si>
  <si>
    <t>DP-3045</t>
  </si>
  <si>
    <t>1503096106700002</t>
  </si>
  <si>
    <t>RASMINI</t>
  </si>
  <si>
    <t>DP-3046</t>
  </si>
  <si>
    <t>1503092401110009</t>
  </si>
  <si>
    <t>1503090606710001</t>
  </si>
  <si>
    <t>CIPTO WAGIMAN</t>
  </si>
  <si>
    <t>DP-3047</t>
  </si>
  <si>
    <t>1503092911060001</t>
  </si>
  <si>
    <t>M . RIDHO FIRMAN SYAH</t>
  </si>
  <si>
    <t>DP-3048</t>
  </si>
  <si>
    <t>1503095005760004</t>
  </si>
  <si>
    <t>1503091703250006</t>
  </si>
  <si>
    <t>DP-3049</t>
  </si>
  <si>
    <t>1503092401240003</t>
  </si>
  <si>
    <t>1503050507990006</t>
  </si>
  <si>
    <t>IBNU SAPUTRA</t>
  </si>
  <si>
    <t>pecah KK</t>
  </si>
  <si>
    <t>DP-3050</t>
  </si>
  <si>
    <t>1503092402100030</t>
  </si>
  <si>
    <t>1503091512690001</t>
  </si>
  <si>
    <t>DP-3051</t>
  </si>
  <si>
    <t>1503095212780002</t>
  </si>
  <si>
    <t>DP-3052</t>
  </si>
  <si>
    <t>1503092402100032</t>
  </si>
  <si>
    <t>1503096711860004</t>
  </si>
  <si>
    <t>DP-3053</t>
  </si>
  <si>
    <t>1503091704870001</t>
  </si>
  <si>
    <t>SUJARWO</t>
  </si>
  <si>
    <t>DP-3054</t>
  </si>
  <si>
    <t>1503092402100035</t>
  </si>
  <si>
    <t>1503095505670003</t>
  </si>
  <si>
    <t>DAUNAH</t>
  </si>
  <si>
    <t>DP-3055</t>
  </si>
  <si>
    <t>1503092403090001</t>
  </si>
  <si>
    <t>1503092706860001</t>
  </si>
  <si>
    <t>ASADI</t>
  </si>
  <si>
    <t>1503090809070008</t>
  </si>
  <si>
    <t>DP-3056</t>
  </si>
  <si>
    <t>1503092403090002</t>
  </si>
  <si>
    <t>1503094107790047</t>
  </si>
  <si>
    <t>PARTINAH</t>
  </si>
  <si>
    <t>DP-3057</t>
  </si>
  <si>
    <t>1503091005770001</t>
  </si>
  <si>
    <t>DP-3058</t>
  </si>
  <si>
    <t>1503092403090003</t>
  </si>
  <si>
    <t>1503090705480001</t>
  </si>
  <si>
    <t>SUKIJAN</t>
  </si>
  <si>
    <t>DP-3059</t>
  </si>
  <si>
    <t>1503095008570003</t>
  </si>
  <si>
    <t>1503091203830003</t>
  </si>
  <si>
    <t>SUMILAH</t>
  </si>
  <si>
    <t>DP-3060</t>
  </si>
  <si>
    <t>1503092403090005</t>
  </si>
  <si>
    <t>1503090605840001</t>
  </si>
  <si>
    <t>AHMAD SEFULLAH</t>
  </si>
  <si>
    <t>1503096307600002</t>
  </si>
  <si>
    <t>DP-3061</t>
  </si>
  <si>
    <t>1503096712860001</t>
  </si>
  <si>
    <t>PUN DEWI</t>
  </si>
  <si>
    <t>PONDOK TENGAH</t>
  </si>
  <si>
    <t>DP-3062</t>
  </si>
  <si>
    <t>1503092403090011</t>
  </si>
  <si>
    <t>1503091908970001</t>
  </si>
  <si>
    <t>ARIZAL FANTONI</t>
  </si>
  <si>
    <t>DP-3063</t>
  </si>
  <si>
    <t>1503095111030002</t>
  </si>
  <si>
    <t>FITRA ANJANI SOFIYANTI</t>
  </si>
  <si>
    <t>DP-3064</t>
  </si>
  <si>
    <t>1503096109780001</t>
  </si>
  <si>
    <t>SITI MUHAJIROH</t>
  </si>
  <si>
    <t>DP-3065</t>
  </si>
  <si>
    <t>1503091206650001</t>
  </si>
  <si>
    <t>SYARKAWI</t>
  </si>
  <si>
    <t>DP-3066</t>
  </si>
  <si>
    <t>1503092404100001</t>
  </si>
  <si>
    <t>1503091707760005</t>
  </si>
  <si>
    <t>PAHING SISWANTO</t>
  </si>
  <si>
    <t>DP-3067</t>
  </si>
  <si>
    <t>1503094507720005</t>
  </si>
  <si>
    <t>SANIYEM</t>
  </si>
  <si>
    <t>DP-3068</t>
  </si>
  <si>
    <t>1503092405210001</t>
  </si>
  <si>
    <t>1503095506600005</t>
  </si>
  <si>
    <t>SUMIYATI</t>
  </si>
  <si>
    <t>DP-3069</t>
  </si>
  <si>
    <t>1503092405230002</t>
  </si>
  <si>
    <t>1503060808980003</t>
  </si>
  <si>
    <t>AHMAD FAYYADH</t>
  </si>
  <si>
    <t>GURUN TUO</t>
  </si>
  <si>
    <t>DP-3070</t>
  </si>
  <si>
    <t>1503096311980001</t>
  </si>
  <si>
    <t>AZHARUL JANNAH</t>
  </si>
  <si>
    <t>DP-3071</t>
  </si>
  <si>
    <t>1503092406090003</t>
  </si>
  <si>
    <t>1503090706630004</t>
  </si>
  <si>
    <t>RAJIMIN</t>
  </si>
  <si>
    <t>DP-3072</t>
  </si>
  <si>
    <t>1503096908990005</t>
  </si>
  <si>
    <t>RIAN HIDAYAH</t>
  </si>
  <si>
    <t>DP-3073</t>
  </si>
  <si>
    <t>1503096908990006</t>
  </si>
  <si>
    <t>RINA HIDAYAH</t>
  </si>
  <si>
    <t>DP-3074</t>
  </si>
  <si>
    <t>1503094706650002</t>
  </si>
  <si>
    <t>WASIKEM</t>
  </si>
  <si>
    <t>DP-3075</t>
  </si>
  <si>
    <t>1503092406110001</t>
  </si>
  <si>
    <t>1503091811750001</t>
  </si>
  <si>
    <t>AHMAD SAIPUDIN</t>
  </si>
  <si>
    <t>SOLO TIGA</t>
  </si>
  <si>
    <t>DP-3076</t>
  </si>
  <si>
    <t>1503092407130008</t>
  </si>
  <si>
    <t>1503091311900001</t>
  </si>
  <si>
    <t>HARIS WIDODO</t>
  </si>
  <si>
    <t>DP-3077</t>
  </si>
  <si>
    <t>1503096901940001</t>
  </si>
  <si>
    <t>MUJI SETIANA</t>
  </si>
  <si>
    <t>SUKA MARGA</t>
  </si>
  <si>
    <t>DP-3078</t>
  </si>
  <si>
    <t>1503092407130013</t>
  </si>
  <si>
    <t>1503090707770014</t>
  </si>
  <si>
    <t>MARJIONO</t>
  </si>
  <si>
    <t>SIDO REJO</t>
  </si>
  <si>
    <t>DP-3079</t>
  </si>
  <si>
    <t>1503095201880002</t>
  </si>
  <si>
    <t>DP-3080</t>
  </si>
  <si>
    <t>1503092407170001</t>
  </si>
  <si>
    <t>1503095501970002</t>
  </si>
  <si>
    <t>ANI ASMANAH</t>
  </si>
  <si>
    <t>DP-3081</t>
  </si>
  <si>
    <t>1503091603980002</t>
  </si>
  <si>
    <t>MIFTAHUL ANWAR</t>
  </si>
  <si>
    <t>DP-3082</t>
  </si>
  <si>
    <t>1503092407180004</t>
  </si>
  <si>
    <t>1605162610930002</t>
  </si>
  <si>
    <t>M.ALI MUSFIROH</t>
  </si>
  <si>
    <t>PAYOLEBAR,SINGKUT</t>
  </si>
  <si>
    <t>DP-3083</t>
  </si>
  <si>
    <t>1503092010950001</t>
  </si>
  <si>
    <t>RAFIKA SARI</t>
  </si>
  <si>
    <t>DP-3084</t>
  </si>
  <si>
    <t>1503092407180005</t>
  </si>
  <si>
    <t>1606065507730003</t>
  </si>
  <si>
    <t>MUTRIKA</t>
  </si>
  <si>
    <t>SOLOTIGO</t>
  </si>
  <si>
    <t>JL MANGKUBUMI DUSUN I KARYA MAKMUR</t>
  </si>
  <si>
    <t>DP-3085</t>
  </si>
  <si>
    <t>1503092309000001</t>
  </si>
  <si>
    <t>RHAPHON SEPRIAN. HT</t>
  </si>
  <si>
    <t>DP-3086</t>
  </si>
  <si>
    <t>1606060302660001</t>
  </si>
  <si>
    <t>SLAMET RIYADI. HT</t>
  </si>
  <si>
    <t>DP-3087</t>
  </si>
  <si>
    <t>1503092407180007</t>
  </si>
  <si>
    <t>1503066905920003</t>
  </si>
  <si>
    <t>SUSI SULPIAH</t>
  </si>
  <si>
    <t>SIMPANG KERTOPATI</t>
  </si>
  <si>
    <t>DP-3088</t>
  </si>
  <si>
    <t>1503092910930001</t>
  </si>
  <si>
    <t>TRI SUTRIONO</t>
  </si>
  <si>
    <t>DP-3089</t>
  </si>
  <si>
    <t>1503092407200001</t>
  </si>
  <si>
    <t>1503094705980001</t>
  </si>
  <si>
    <t>MAYA FERITA SARI</t>
  </si>
  <si>
    <t>DP-3090</t>
  </si>
  <si>
    <t>1503091405920001</t>
  </si>
  <si>
    <t>SURONO</t>
  </si>
  <si>
    <t>DP-3091</t>
  </si>
  <si>
    <t>1503092407230001</t>
  </si>
  <si>
    <t>1503090101900012</t>
  </si>
  <si>
    <t>ERNI NURAINI</t>
  </si>
  <si>
    <t>DUSUN KARANG SARI</t>
  </si>
  <si>
    <t>DP-3092</t>
  </si>
  <si>
    <t>1503090904910003</t>
  </si>
  <si>
    <t>NUR ARIFIN</t>
  </si>
  <si>
    <t>DP-3093</t>
  </si>
  <si>
    <t>1503092407240001</t>
  </si>
  <si>
    <t>1503095507000002</t>
  </si>
  <si>
    <t>ELFRIDA DESYA NOVISTA</t>
  </si>
  <si>
    <t>DP-3094</t>
  </si>
  <si>
    <t>1503092408100003</t>
  </si>
  <si>
    <t>1503096003980001</t>
  </si>
  <si>
    <t>HESTI NURRANY</t>
  </si>
  <si>
    <t>DP-3095</t>
  </si>
  <si>
    <t>1503094612750002</t>
  </si>
  <si>
    <t>MUT BI'ATUN</t>
  </si>
  <si>
    <t>DP-3096</t>
  </si>
  <si>
    <t>1503091506650002</t>
  </si>
  <si>
    <t>R. NAINGGOLAN</t>
  </si>
  <si>
    <t>DP-3097</t>
  </si>
  <si>
    <t>1503092408200006</t>
  </si>
  <si>
    <t>1503053011000003</t>
  </si>
  <si>
    <t>DP-3098</t>
  </si>
  <si>
    <t>1503096811020001</t>
  </si>
  <si>
    <t>MIFTHAHUL HAYATI</t>
  </si>
  <si>
    <t>DP-3099</t>
  </si>
  <si>
    <t>1503092409190008</t>
  </si>
  <si>
    <t>1503094308920001</t>
  </si>
  <si>
    <t>MIMIN EVIANTI</t>
  </si>
  <si>
    <t>DP-3100</t>
  </si>
  <si>
    <t>1218031703860007</t>
  </si>
  <si>
    <t>SYAHRIZAL</t>
  </si>
  <si>
    <t>SUKA MAKMUR</t>
  </si>
  <si>
    <t>DP-3101</t>
  </si>
  <si>
    <t>1503092410160002</t>
  </si>
  <si>
    <t>1503095209930002</t>
  </si>
  <si>
    <t>ANISA</t>
  </si>
  <si>
    <t>DP-3102</t>
  </si>
  <si>
    <t>1503092809890004</t>
  </si>
  <si>
    <t>WAWAN BINTORO</t>
  </si>
  <si>
    <t>DP-3103</t>
  </si>
  <si>
    <t>1503092410160010</t>
  </si>
  <si>
    <t>1503095012900004</t>
  </si>
  <si>
    <t>NUR ANITA</t>
  </si>
  <si>
    <t>DP-3104</t>
  </si>
  <si>
    <t>1503050608900007</t>
  </si>
  <si>
    <t>DP-3105</t>
  </si>
  <si>
    <t>1503092410230001</t>
  </si>
  <si>
    <t>1503090210060003</t>
  </si>
  <si>
    <t>ANANDA RAMADHAN</t>
  </si>
  <si>
    <t>SUNGAI BAHAR</t>
  </si>
  <si>
    <t>DP-3106</t>
  </si>
  <si>
    <t>1503094403850002</t>
  </si>
  <si>
    <t>HALIPA MARLIANI</t>
  </si>
  <si>
    <t>DP-3107</t>
  </si>
  <si>
    <t>1503092411080003</t>
  </si>
  <si>
    <t>1503094107770068</t>
  </si>
  <si>
    <t>GIYANTI</t>
  </si>
  <si>
    <t>DP-3108</t>
  </si>
  <si>
    <t>1503092911050004</t>
  </si>
  <si>
    <t>HERI SAPUTRA</t>
  </si>
  <si>
    <t>DP-3109</t>
  </si>
  <si>
    <t>1503091110770004</t>
  </si>
  <si>
    <t>DP-3110</t>
  </si>
  <si>
    <t>1503092411080004</t>
  </si>
  <si>
    <t>1503090201730001</t>
  </si>
  <si>
    <t>ANANG BASRI</t>
  </si>
  <si>
    <t>DP-3111</t>
  </si>
  <si>
    <t>1503094107870045</t>
  </si>
  <si>
    <t>MUBA</t>
  </si>
  <si>
    <t>DP-3112</t>
  </si>
  <si>
    <t>1503092411090013</t>
  </si>
  <si>
    <t>1503094705840004</t>
  </si>
  <si>
    <t>DUSUN III SUKA DAMAI</t>
  </si>
  <si>
    <t>DP-3113</t>
  </si>
  <si>
    <t>1503091010830005</t>
  </si>
  <si>
    <t>TARMUJI</t>
  </si>
  <si>
    <t>DP-3114</t>
  </si>
  <si>
    <t>1503090107060029</t>
  </si>
  <si>
    <t>ZALDI PRATAMA PUTRA</t>
  </si>
  <si>
    <t>DP-3115</t>
  </si>
  <si>
    <t>1503092411100018</t>
  </si>
  <si>
    <t>1503096010060003</t>
  </si>
  <si>
    <t>DISTHA ADELLINA RAHMADHANIS</t>
  </si>
  <si>
    <t>DP-3116</t>
  </si>
  <si>
    <t>1503096010830004</t>
  </si>
  <si>
    <t>KOMSATUN</t>
  </si>
  <si>
    <t>DP-3117</t>
  </si>
  <si>
    <t>1503090707810005</t>
  </si>
  <si>
    <t>ROSYID WAHID</t>
  </si>
  <si>
    <t>PY. LEBAR</t>
  </si>
  <si>
    <t>DP-3118</t>
  </si>
  <si>
    <t>1503092411100023</t>
  </si>
  <si>
    <t>1503091001760002</t>
  </si>
  <si>
    <t>ENDANG WAHYUDIN</t>
  </si>
  <si>
    <t>DP-3119</t>
  </si>
  <si>
    <t>1503092411100025</t>
  </si>
  <si>
    <t>1503094808030005</t>
  </si>
  <si>
    <t>INDAH FRIDAYA SARI</t>
  </si>
  <si>
    <t>1503091604250003</t>
  </si>
  <si>
    <t>DP-3120</t>
  </si>
  <si>
    <t>1503096703850004</t>
  </si>
  <si>
    <t>DP-3121</t>
  </si>
  <si>
    <t>1503091101750002</t>
  </si>
  <si>
    <t>TONO</t>
  </si>
  <si>
    <t>KARANG AYAR</t>
  </si>
  <si>
    <t>DP-3122</t>
  </si>
  <si>
    <t>1503092411100026</t>
  </si>
  <si>
    <t>1503090205770002</t>
  </si>
  <si>
    <t>JAELANI</t>
  </si>
  <si>
    <t>BATUMARTA</t>
  </si>
  <si>
    <t>DP-3123</t>
  </si>
  <si>
    <t>1503095210060003</t>
  </si>
  <si>
    <t>LAILA RAMADHANI</t>
  </si>
  <si>
    <t>DP-3124</t>
  </si>
  <si>
    <t>1503094701850003</t>
  </si>
  <si>
    <t>WIWIK SUGIARTI</t>
  </si>
  <si>
    <t>DP-3125</t>
  </si>
  <si>
    <t>1503092411100028</t>
  </si>
  <si>
    <t>1503090609020004</t>
  </si>
  <si>
    <t>ADE TRI SETIAWAN</t>
  </si>
  <si>
    <t>DP-3126</t>
  </si>
  <si>
    <t>1503090210610001</t>
  </si>
  <si>
    <t>SIPAR</t>
  </si>
  <si>
    <t>PORWODADI</t>
  </si>
  <si>
    <t>DP-3127</t>
  </si>
  <si>
    <t>1503095510640001</t>
  </si>
  <si>
    <t>TUKINI</t>
  </si>
  <si>
    <t>DP-3128</t>
  </si>
  <si>
    <t>1503092411100030</t>
  </si>
  <si>
    <t>1503094605880004</t>
  </si>
  <si>
    <t>SURYATI</t>
  </si>
  <si>
    <t>DP-3129</t>
  </si>
  <si>
    <t>1503090705870002</t>
  </si>
  <si>
    <t>TANTO ASNAWI</t>
  </si>
  <si>
    <t>DP-3130</t>
  </si>
  <si>
    <t>1503092411100031</t>
  </si>
  <si>
    <t>1503094605750003</t>
  </si>
  <si>
    <t>SRIATUN</t>
  </si>
  <si>
    <t>DP-3131</t>
  </si>
  <si>
    <t>1503091512680003</t>
  </si>
  <si>
    <t>SUTRASMIN</t>
  </si>
  <si>
    <t>DP-3132</t>
  </si>
  <si>
    <t>1503091507060002</t>
  </si>
  <si>
    <t>YULIUS ADE SAPUTRA</t>
  </si>
  <si>
    <t>DP-3133</t>
  </si>
  <si>
    <t>1503092411100033</t>
  </si>
  <si>
    <t>1503091008770005</t>
  </si>
  <si>
    <t>GINO</t>
  </si>
  <si>
    <t>DP-3134</t>
  </si>
  <si>
    <t>1503095107830003</t>
  </si>
  <si>
    <t>HARMINI</t>
  </si>
  <si>
    <t>DP-3135</t>
  </si>
  <si>
    <t>1503092411100034</t>
  </si>
  <si>
    <t>1503091510720003</t>
  </si>
  <si>
    <t>NANG ROHIDIN</t>
  </si>
  <si>
    <t>DP-3136</t>
  </si>
  <si>
    <t>1503092411100035</t>
  </si>
  <si>
    <t>1503090305800006</t>
  </si>
  <si>
    <t>DP-3137</t>
  </si>
  <si>
    <t>1503096002770003</t>
  </si>
  <si>
    <t>T.AGUNG</t>
  </si>
  <si>
    <t>DP-3138</t>
  </si>
  <si>
    <t>1503091705030007</t>
  </si>
  <si>
    <t>TEGAR FRANS SAPUTRA</t>
  </si>
  <si>
    <t>rt. Belum jelas</t>
  </si>
  <si>
    <t>DP-3139</t>
  </si>
  <si>
    <t>1503092411200007</t>
  </si>
  <si>
    <t>1503094107590006</t>
  </si>
  <si>
    <t>DP-3140</t>
  </si>
  <si>
    <t>1503092411200009</t>
  </si>
  <si>
    <t>3503137103600001</t>
  </si>
  <si>
    <t>PAILAH</t>
  </si>
  <si>
    <t>DP-3141</t>
  </si>
  <si>
    <t>1503092411210001</t>
  </si>
  <si>
    <t>1503091507870003</t>
  </si>
  <si>
    <t>DHENY TRIBOWO</t>
  </si>
  <si>
    <t>DP-3142</t>
  </si>
  <si>
    <t>1503095301900001</t>
  </si>
  <si>
    <t>LISMA TRIANA</t>
  </si>
  <si>
    <t>DP-3143</t>
  </si>
  <si>
    <t>1503092411210004</t>
  </si>
  <si>
    <t>1503092909930001</t>
  </si>
  <si>
    <t>AWALUDIN</t>
  </si>
  <si>
    <t>DP-3144</t>
  </si>
  <si>
    <t>1673034107930035</t>
  </si>
  <si>
    <t>EKA SUSANA</t>
  </si>
  <si>
    <t>SUMBER AGUNG</t>
  </si>
  <si>
    <t>DP-3145</t>
  </si>
  <si>
    <t>1503092411220003</t>
  </si>
  <si>
    <t>1503091011850001</t>
  </si>
  <si>
    <t>ANANG SRI HARTONO</t>
  </si>
  <si>
    <t>DP-3146</t>
  </si>
  <si>
    <t>1503091708950003</t>
  </si>
  <si>
    <t>RATNO SRIHARTONO</t>
  </si>
  <si>
    <t>DP-3147</t>
  </si>
  <si>
    <t>1503090510820001</t>
  </si>
  <si>
    <t>SRI WIJAYATNO</t>
  </si>
  <si>
    <t>DP-3148</t>
  </si>
  <si>
    <t>1503092501080019</t>
  </si>
  <si>
    <t>1503096101820001</t>
  </si>
  <si>
    <t>ITA PURNAMASARI</t>
  </si>
  <si>
    <t>DP-3149</t>
  </si>
  <si>
    <t>1503090511800001</t>
  </si>
  <si>
    <t>DP-3150</t>
  </si>
  <si>
    <t>1503092501080021</t>
  </si>
  <si>
    <t>1503096207430001</t>
  </si>
  <si>
    <t>RANI</t>
  </si>
  <si>
    <t>DP-3151</t>
  </si>
  <si>
    <t>1503092501080036</t>
  </si>
  <si>
    <t>1503094712000006</t>
  </si>
  <si>
    <t>IRMA MARDIYANA</t>
  </si>
  <si>
    <t>DP-3152</t>
  </si>
  <si>
    <t>1503092102560001</t>
  </si>
  <si>
    <t>KAMADI</t>
  </si>
  <si>
    <t>DP-3153</t>
  </si>
  <si>
    <t>1503094702740001</t>
  </si>
  <si>
    <t>DP-3154</t>
  </si>
  <si>
    <t>1503092501080041</t>
  </si>
  <si>
    <t>1503092703880003</t>
  </si>
  <si>
    <t>AHMAD FAUZAN</t>
  </si>
  <si>
    <t>WONO SOBO</t>
  </si>
  <si>
    <t>DP-3155</t>
  </si>
  <si>
    <t>1503097003920001</t>
  </si>
  <si>
    <t>DP-3156</t>
  </si>
  <si>
    <t>1503092501080043</t>
  </si>
  <si>
    <t>1503090109690001</t>
  </si>
  <si>
    <t>DP-3157</t>
  </si>
  <si>
    <t>1503091201050002</t>
  </si>
  <si>
    <t>DENDI HANDIKA</t>
  </si>
  <si>
    <t>DP-3158</t>
  </si>
  <si>
    <t>1503095505720001</t>
  </si>
  <si>
    <t>DP-3159</t>
  </si>
  <si>
    <t>1503092501080055</t>
  </si>
  <si>
    <t>1503094608990001</t>
  </si>
  <si>
    <t>ANGGI TRIDA ANANDARI</t>
  </si>
  <si>
    <t>DP-3160</t>
  </si>
  <si>
    <t>1503095103070002</t>
  </si>
  <si>
    <t>CINTA TRIDA ANASTASYA</t>
  </si>
  <si>
    <t>DP-3161</t>
  </si>
  <si>
    <t>1503096312810001</t>
  </si>
  <si>
    <t>IDA ZUBAIDA</t>
  </si>
  <si>
    <t>DP-3162</t>
  </si>
  <si>
    <t>1503091002750002</t>
  </si>
  <si>
    <t>DP-3163</t>
  </si>
  <si>
    <t>1503092501080063</t>
  </si>
  <si>
    <t>1503092103660002</t>
  </si>
  <si>
    <t>PARDI</t>
  </si>
  <si>
    <t>DP-3164</t>
  </si>
  <si>
    <t>1503093103060001</t>
  </si>
  <si>
    <t>TRIO ADE WIDIYANTO</t>
  </si>
  <si>
    <t>DP-3165</t>
  </si>
  <si>
    <t>1503095012720002</t>
  </si>
  <si>
    <t>DP-3166</t>
  </si>
  <si>
    <t>1503092501080070</t>
  </si>
  <si>
    <t>1503092704000001</t>
  </si>
  <si>
    <t>EDI SAPUTRA</t>
  </si>
  <si>
    <t>DP-3167</t>
  </si>
  <si>
    <t>1503091505570001</t>
  </si>
  <si>
    <t>SUPRIH</t>
  </si>
  <si>
    <t>DP-3168</t>
  </si>
  <si>
    <t>1503096011600001</t>
  </si>
  <si>
    <t>TARJI</t>
  </si>
  <si>
    <t>DP-3169</t>
  </si>
  <si>
    <t>1503094107350006</t>
  </si>
  <si>
    <t>WAGINAH</t>
  </si>
  <si>
    <t>DP-3170</t>
  </si>
  <si>
    <t>1503095001010001</t>
  </si>
  <si>
    <t>WIWIT NOVITA SARI</t>
  </si>
  <si>
    <t>DP-3171</t>
  </si>
  <si>
    <t>1503092501080084</t>
  </si>
  <si>
    <t>1503090411760001</t>
  </si>
  <si>
    <t>SITI MARIYAM</t>
  </si>
  <si>
    <t>DP-3172</t>
  </si>
  <si>
    <t>1503092501080104</t>
  </si>
  <si>
    <t>1503094107800046</t>
  </si>
  <si>
    <t>Sungai Benteng</t>
  </si>
  <si>
    <t>MUSLIMAH</t>
  </si>
  <si>
    <t>DP-3173</t>
  </si>
  <si>
    <t>1503092303780004</t>
  </si>
  <si>
    <t>SURADI</t>
  </si>
  <si>
    <t>DP-3174</t>
  </si>
  <si>
    <t>1503095012020003</t>
  </si>
  <si>
    <t>YUYUN SUKAWATI</t>
  </si>
  <si>
    <t>DP-3175</t>
  </si>
  <si>
    <t>1503092501080117</t>
  </si>
  <si>
    <t>1503095812740001</t>
  </si>
  <si>
    <t>EMI SUWARNI</t>
  </si>
  <si>
    <t>DP-3176</t>
  </si>
  <si>
    <t>1503090107400022</t>
  </si>
  <si>
    <t>HADI WALUYO</t>
  </si>
  <si>
    <t>DP-3177</t>
  </si>
  <si>
    <t>1503091207790003</t>
  </si>
  <si>
    <t>MOH NURSALIM</t>
  </si>
  <si>
    <t>DP-3178</t>
  </si>
  <si>
    <t>1503095802060001</t>
  </si>
  <si>
    <t>NASIFA VEBY QUMAYROH</t>
  </si>
  <si>
    <t>DS. III PAYO LEBAR</t>
  </si>
  <si>
    <t>DP-3179</t>
  </si>
  <si>
    <t>1503092501080119</t>
  </si>
  <si>
    <t>1503090707580001</t>
  </si>
  <si>
    <t>KAMINI</t>
  </si>
  <si>
    <t>DP-3180</t>
  </si>
  <si>
    <t>1503092501080121</t>
  </si>
  <si>
    <t>1503091002610003</t>
  </si>
  <si>
    <t>DASUKI</t>
  </si>
  <si>
    <t>DP-3181</t>
  </si>
  <si>
    <t>1503094810720001</t>
  </si>
  <si>
    <t>UMUL MAIDAH</t>
  </si>
  <si>
    <t>DP-3182</t>
  </si>
  <si>
    <t>1503092501080133</t>
  </si>
  <si>
    <t>1503095807780003</t>
  </si>
  <si>
    <t>FARIDA</t>
  </si>
  <si>
    <t>DP-3183</t>
  </si>
  <si>
    <t>1503091912750001</t>
  </si>
  <si>
    <t>NAH ROWI</t>
  </si>
  <si>
    <t>DP-3184</t>
  </si>
  <si>
    <t>1503092501080135</t>
  </si>
  <si>
    <t>1503095201840002</t>
  </si>
  <si>
    <t>ELIS SUSANTI</t>
  </si>
  <si>
    <t>DP-3185</t>
  </si>
  <si>
    <t>1503090706030005</t>
  </si>
  <si>
    <t>HAFIDZ IRHAMI</t>
  </si>
  <si>
    <t>DP-3186</t>
  </si>
  <si>
    <t>1503091012780003</t>
  </si>
  <si>
    <t>DP-3187</t>
  </si>
  <si>
    <t>1503092501080140</t>
  </si>
  <si>
    <t>1503095111650002</t>
  </si>
  <si>
    <t>DP-3188</t>
  </si>
  <si>
    <t>1503090103640001</t>
  </si>
  <si>
    <t>SUKARNI</t>
  </si>
  <si>
    <t>DP-3189</t>
  </si>
  <si>
    <t>1503092501080146</t>
  </si>
  <si>
    <t>1503094210680001</t>
  </si>
  <si>
    <t>SUMI</t>
  </si>
  <si>
    <t>DP-3190</t>
  </si>
  <si>
    <t>1503091011650004</t>
  </si>
  <si>
    <t>DP-3191</t>
  </si>
  <si>
    <t>1503092501080156</t>
  </si>
  <si>
    <t>1503091209590002</t>
  </si>
  <si>
    <t>SULAIMAN</t>
  </si>
  <si>
    <t>DP-3192</t>
  </si>
  <si>
    <t>1503094408630001</t>
  </si>
  <si>
    <t>DP-3193</t>
  </si>
  <si>
    <t>1503092501080158</t>
  </si>
  <si>
    <t>1503095510020002</t>
  </si>
  <si>
    <t>ANISFATUN AFIFAH</t>
  </si>
  <si>
    <t>DP-3194</t>
  </si>
  <si>
    <t>1503090107660013</t>
  </si>
  <si>
    <t>DP-3195</t>
  </si>
  <si>
    <t>1503095011760002</t>
  </si>
  <si>
    <t>SITI SURURIYAH</t>
  </si>
  <si>
    <t>DP-3196</t>
  </si>
  <si>
    <t>1503092501080160</t>
  </si>
  <si>
    <t>1503091604000002</t>
  </si>
  <si>
    <t>DEL PIERO SHULTHON RAMADHAN</t>
  </si>
  <si>
    <t>DP-3197</t>
  </si>
  <si>
    <t>1503095005720001</t>
  </si>
  <si>
    <t>SULASTRI NINGSIH</t>
  </si>
  <si>
    <t>MA.TEMBESI</t>
  </si>
  <si>
    <t>DP-3198</t>
  </si>
  <si>
    <t>1503090107700050</t>
  </si>
  <si>
    <t>WAHID RAMADHAN</t>
  </si>
  <si>
    <t>DP-3199</t>
  </si>
  <si>
    <t>1503092501080165</t>
  </si>
  <si>
    <t>1503090511640001</t>
  </si>
  <si>
    <t>DP-3200</t>
  </si>
  <si>
    <t>1503094509030004</t>
  </si>
  <si>
    <t>GEBBY KUSUMA RAHAYU PUTRI</t>
  </si>
  <si>
    <t>DP-3201</t>
  </si>
  <si>
    <t>1503095012750003</t>
  </si>
  <si>
    <t>SRI RAHAYU</t>
  </si>
  <si>
    <t>DP-3202</t>
  </si>
  <si>
    <t>1503092501080203</t>
  </si>
  <si>
    <t>1503091103000001</t>
  </si>
  <si>
    <t>DIKRI WAHYUDI</t>
  </si>
  <si>
    <t>DP-3203</t>
  </si>
  <si>
    <t>1503096308750002</t>
  </si>
  <si>
    <t>TUNIATI</t>
  </si>
  <si>
    <t>HARJO WINANGUN</t>
  </si>
  <si>
    <t>DP-3204</t>
  </si>
  <si>
    <t>1503090505690007</t>
  </si>
  <si>
    <t>YUSRI</t>
  </si>
  <si>
    <t>Singkut I</t>
  </si>
  <si>
    <t>DP-3205</t>
  </si>
  <si>
    <t>1503092501080208</t>
  </si>
  <si>
    <t>1503092104610001</t>
  </si>
  <si>
    <t>FATIMATUZ ZAHRO</t>
  </si>
  <si>
    <t>JOGOLOYO</t>
  </si>
  <si>
    <t>DP-3206</t>
  </si>
  <si>
    <t>1503090307040008</t>
  </si>
  <si>
    <t>M. ZAKI SUBHAN</t>
  </si>
  <si>
    <t>1503091102240003</t>
  </si>
  <si>
    <t>DP-3207</t>
  </si>
  <si>
    <t>1503092501080211</t>
  </si>
  <si>
    <t>1503095002580001</t>
  </si>
  <si>
    <t>YAHMI</t>
  </si>
  <si>
    <t>GENENG SARI</t>
  </si>
  <si>
    <t>DP-3208</t>
  </si>
  <si>
    <t>1503092501080212</t>
  </si>
  <si>
    <t>1503094303020001</t>
  </si>
  <si>
    <t>FAYZA PUTRI AZIZAH</t>
  </si>
  <si>
    <t>DP-3209</t>
  </si>
  <si>
    <t>1503092112060002</t>
  </si>
  <si>
    <t>MUHAMAD JAMIL MIFTAH</t>
  </si>
  <si>
    <t>DP-3210</t>
  </si>
  <si>
    <t>1503095807780001</t>
  </si>
  <si>
    <t>ROHANA</t>
  </si>
  <si>
    <t>PEMENANG</t>
  </si>
  <si>
    <t>DP-3211</t>
  </si>
  <si>
    <t>1503090110750002</t>
  </si>
  <si>
    <t>SUWONDO</t>
  </si>
  <si>
    <t>1503092007260004</t>
  </si>
  <si>
    <t>DP-3212</t>
  </si>
  <si>
    <t>1503092501080227</t>
  </si>
  <si>
    <t>1503094905790002</t>
  </si>
  <si>
    <t>HARNI SATU HATI</t>
  </si>
  <si>
    <t>DP-3213</t>
  </si>
  <si>
    <t>1503091606740003</t>
  </si>
  <si>
    <t>PAIDIN</t>
  </si>
  <si>
    <t>DP-3214</t>
  </si>
  <si>
    <t>1503092110040006</t>
  </si>
  <si>
    <t>RAFIF RASENDRIYA ARYASATYA</t>
  </si>
  <si>
    <t>DP-3215</t>
  </si>
  <si>
    <t>1503092501080261</t>
  </si>
  <si>
    <t>1503092406610001</t>
  </si>
  <si>
    <t>SALEH</t>
  </si>
  <si>
    <t>DP-3216</t>
  </si>
  <si>
    <t>1503094806700001</t>
  </si>
  <si>
    <t>SUDARSI</t>
  </si>
  <si>
    <t>DP-3217</t>
  </si>
  <si>
    <t>1503091009760002</t>
  </si>
  <si>
    <t>DP-3218</t>
  </si>
  <si>
    <t>1503092703830001</t>
  </si>
  <si>
    <t>TITO ARDIANSYAH</t>
  </si>
  <si>
    <t>DP-3219</t>
  </si>
  <si>
    <t>1503092501080265</t>
  </si>
  <si>
    <t>1503096004390001</t>
  </si>
  <si>
    <t>MUKIYEM</t>
  </si>
  <si>
    <t>DP-3220</t>
  </si>
  <si>
    <t>1503092704660001</t>
  </si>
  <si>
    <t>DP-3221</t>
  </si>
  <si>
    <t>1503096102710002</t>
  </si>
  <si>
    <t>SUTARNI</t>
  </si>
  <si>
    <t>DP-3222</t>
  </si>
  <si>
    <t>1503090201950002</t>
  </si>
  <si>
    <t>TRI KURNIAWAN</t>
  </si>
  <si>
    <t>DP-3223</t>
  </si>
  <si>
    <t>1503092501080271</t>
  </si>
  <si>
    <t>1503091302600001</t>
  </si>
  <si>
    <t>DP-3224</t>
  </si>
  <si>
    <t>1503095301620001</t>
  </si>
  <si>
    <t>WINARNI</t>
  </si>
  <si>
    <t>DP-3225</t>
  </si>
  <si>
    <t>1503092501080273</t>
  </si>
  <si>
    <t>1503092302070001</t>
  </si>
  <si>
    <t>BAGUS RIDHOI</t>
  </si>
  <si>
    <t>DP-3226</t>
  </si>
  <si>
    <t>1503056011070001</t>
  </si>
  <si>
    <t>HIDAYAHTUL MUTMA'INAH</t>
  </si>
  <si>
    <t>DP-3227</t>
  </si>
  <si>
    <t>1503091605730002</t>
  </si>
  <si>
    <t>M. JAENURI</t>
  </si>
  <si>
    <t>DP-3228</t>
  </si>
  <si>
    <t>1503096305750003</t>
  </si>
  <si>
    <t>SRI SUKARNI</t>
  </si>
  <si>
    <t>DP-3229</t>
  </si>
  <si>
    <t>1503092501080286</t>
  </si>
  <si>
    <t>1503091110670001</t>
  </si>
  <si>
    <t>DP-3230</t>
  </si>
  <si>
    <t>1503096705690001</t>
  </si>
  <si>
    <t>SURIP</t>
  </si>
  <si>
    <t>DP-3231</t>
  </si>
  <si>
    <t>1503092501100005</t>
  </si>
  <si>
    <t>1503092207980002</t>
  </si>
  <si>
    <t>DAVID PRAMONO</t>
  </si>
  <si>
    <t>DP-3232</t>
  </si>
  <si>
    <t>1503090808590002</t>
  </si>
  <si>
    <t>SUJIANTO</t>
  </si>
  <si>
    <t>DP-3233</t>
  </si>
  <si>
    <t>1503095204690003</t>
  </si>
  <si>
    <t>WAKHIDA</t>
  </si>
  <si>
    <t>1503092909740001</t>
  </si>
  <si>
    <t>DP-3234</t>
  </si>
  <si>
    <t>1503092501120010</t>
  </si>
  <si>
    <t>1503090811810003</t>
  </si>
  <si>
    <t>DWI NOVIANTO</t>
  </si>
  <si>
    <t>DP-3235</t>
  </si>
  <si>
    <t>1503096405810002</t>
  </si>
  <si>
    <t>DP-3236</t>
  </si>
  <si>
    <t>1503092501120011</t>
  </si>
  <si>
    <t>1503090101860005</t>
  </si>
  <si>
    <t>ANDRIA PUTRA</t>
  </si>
  <si>
    <t>DP-3237</t>
  </si>
  <si>
    <t>1503096209880002</t>
  </si>
  <si>
    <t>RINI FILTA SARIMANAH</t>
  </si>
  <si>
    <t>DP-3238</t>
  </si>
  <si>
    <t>1503092501160005</t>
  </si>
  <si>
    <t>1503096607910002</t>
  </si>
  <si>
    <t>DESI LINDIA SARI</t>
  </si>
  <si>
    <t>DP-3239</t>
  </si>
  <si>
    <t>1503091103840001</t>
  </si>
  <si>
    <t>HADI SUSILO</t>
  </si>
  <si>
    <t>DP-3240</t>
  </si>
  <si>
    <t>1503092501160006</t>
  </si>
  <si>
    <t>1503096810090003</t>
  </si>
  <si>
    <t>CHACA MARISA</t>
  </si>
  <si>
    <t>DP-3241</t>
  </si>
  <si>
    <t>1503096006640001</t>
  </si>
  <si>
    <t>DP-3242</t>
  </si>
  <si>
    <t>1503091905610001</t>
  </si>
  <si>
    <t>MARDI</t>
  </si>
  <si>
    <t>DP-3243</t>
  </si>
  <si>
    <t>1503092501180001</t>
  </si>
  <si>
    <t>1472010602620021</t>
  </si>
  <si>
    <t>HARIYONO</t>
  </si>
  <si>
    <t>DP-3244</t>
  </si>
  <si>
    <t>1503092501180002</t>
  </si>
  <si>
    <t>1605161509760004</t>
  </si>
  <si>
    <t>AL AMIN</t>
  </si>
  <si>
    <t>DP-3245</t>
  </si>
  <si>
    <t>1605166003820003</t>
  </si>
  <si>
    <t>MELYAWATI</t>
  </si>
  <si>
    <t>KP. SEMUR</t>
  </si>
  <si>
    <t>DP-3246</t>
  </si>
  <si>
    <t>1503092501210009</t>
  </si>
  <si>
    <t>1606110409820003</t>
  </si>
  <si>
    <t>DP-3247</t>
  </si>
  <si>
    <t>1503092501240001</t>
  </si>
  <si>
    <t>1503091706950003</t>
  </si>
  <si>
    <t>IRWANSYAH</t>
  </si>
  <si>
    <t>DP-3248</t>
  </si>
  <si>
    <t>1503092502100029</t>
  </si>
  <si>
    <t>1503095701770001</t>
  </si>
  <si>
    <t>SRIMULYATI</t>
  </si>
  <si>
    <t>DP-3249</t>
  </si>
  <si>
    <t>1503091002730001</t>
  </si>
  <si>
    <t>YARTINUS GEA</t>
  </si>
  <si>
    <t>DP-3250</t>
  </si>
  <si>
    <t>1503092502100031</t>
  </si>
  <si>
    <t>1503090802820003</t>
  </si>
  <si>
    <t>HERMAN PELANI</t>
  </si>
  <si>
    <t>DP-3251</t>
  </si>
  <si>
    <t>1503096309810002</t>
  </si>
  <si>
    <t>RINI</t>
  </si>
  <si>
    <t>DP-3252</t>
  </si>
  <si>
    <t>1503091812040005</t>
  </si>
  <si>
    <t>RIZQI PUTRA PELANI</t>
  </si>
  <si>
    <t>DP-3253</t>
  </si>
  <si>
    <t>1503092502200005</t>
  </si>
  <si>
    <t>1503096407820002</t>
  </si>
  <si>
    <t>ENY SUMARIATI</t>
  </si>
  <si>
    <t>DP-3254</t>
  </si>
  <si>
    <t>1503092502200007</t>
  </si>
  <si>
    <t>1503090202890001</t>
  </si>
  <si>
    <t>INMANUEL ZEBUA</t>
  </si>
  <si>
    <t>DP-3255</t>
  </si>
  <si>
    <t>1211094811920003</t>
  </si>
  <si>
    <t>SARTIKA KALOKO</t>
  </si>
  <si>
    <t>SIMARTUGAN</t>
  </si>
  <si>
    <t>DP-3256</t>
  </si>
  <si>
    <t>1503092502210004</t>
  </si>
  <si>
    <t>1503092305460001</t>
  </si>
  <si>
    <t>KARTA SIPAN</t>
  </si>
  <si>
    <t>DP-3257</t>
  </si>
  <si>
    <t>1503092502220006</t>
  </si>
  <si>
    <t>1503090908420002</t>
  </si>
  <si>
    <t>DP-3258</t>
  </si>
  <si>
    <t>1503094409540001</t>
  </si>
  <si>
    <t>MUDIROH</t>
  </si>
  <si>
    <t>DP-3259</t>
  </si>
  <si>
    <t>1503092503100004</t>
  </si>
  <si>
    <t>1503091108050003</t>
  </si>
  <si>
    <t>AHMAD LATIEF</t>
  </si>
  <si>
    <t>DP-3260</t>
  </si>
  <si>
    <t>1503091202980001</t>
  </si>
  <si>
    <t>BAGUS SANTOSO</t>
  </si>
  <si>
    <t>DP-3261</t>
  </si>
  <si>
    <t>1503094907780003</t>
  </si>
  <si>
    <t>RAHAYU</t>
  </si>
  <si>
    <t>DP-3262</t>
  </si>
  <si>
    <t>1503092706700001</t>
  </si>
  <si>
    <t>DP-3263</t>
  </si>
  <si>
    <t>1503092503100016</t>
  </si>
  <si>
    <t>1503092706060002</t>
  </si>
  <si>
    <t>M. FADHIL DWI HARYANTO</t>
  </si>
  <si>
    <t>DP-3264</t>
  </si>
  <si>
    <t>1503090107680059</t>
  </si>
  <si>
    <t>RIBUT HARYANTO</t>
  </si>
  <si>
    <t>DP-3265</t>
  </si>
  <si>
    <t>1503096103750001</t>
  </si>
  <si>
    <t>DP-3266</t>
  </si>
  <si>
    <t>1503092503100017</t>
  </si>
  <si>
    <t>1503096509650001</t>
  </si>
  <si>
    <t>KESRUH</t>
  </si>
  <si>
    <t>DP-3267</t>
  </si>
  <si>
    <t>1503091506970004</t>
  </si>
  <si>
    <t>DP-3268</t>
  </si>
  <si>
    <t>1503092503100029</t>
  </si>
  <si>
    <t>1503095707730005</t>
  </si>
  <si>
    <t>LILIS FATMAWATI</t>
  </si>
  <si>
    <t>DP-3269</t>
  </si>
  <si>
    <t>1503092502670001</t>
  </si>
  <si>
    <t>DP-3270</t>
  </si>
  <si>
    <t>1503092503100030</t>
  </si>
  <si>
    <t>1503095409800003</t>
  </si>
  <si>
    <t>DP-3271</t>
  </si>
  <si>
    <t>1503092402070004</t>
  </si>
  <si>
    <t>MUQHAMAT FAHRURROZI</t>
  </si>
  <si>
    <t>DP-3272</t>
  </si>
  <si>
    <t>1503090101790002</t>
  </si>
  <si>
    <t>SUSILO UTOMO</t>
  </si>
  <si>
    <t>DP-3273</t>
  </si>
  <si>
    <t>1503092503100032</t>
  </si>
  <si>
    <t>1503094704070002</t>
  </si>
  <si>
    <t>DIAN AFRI ALMAHERA</t>
  </si>
  <si>
    <t>DP-3274</t>
  </si>
  <si>
    <t>1503092101000001</t>
  </si>
  <si>
    <t>FATHUR RAHMAN</t>
  </si>
  <si>
    <t>DP-3275</t>
  </si>
  <si>
    <t>1503091306780001</t>
  </si>
  <si>
    <t>SLAMET ROHANI</t>
  </si>
  <si>
    <t>DP-3276</t>
  </si>
  <si>
    <t>1503094301790001</t>
  </si>
  <si>
    <t>DP-3277</t>
  </si>
  <si>
    <t>1503092503100033</t>
  </si>
  <si>
    <t>1503093009650002</t>
  </si>
  <si>
    <t>DP-3278</t>
  </si>
  <si>
    <t>1503094108670002</t>
  </si>
  <si>
    <t>DP-3279</t>
  </si>
  <si>
    <t>1503092504160006</t>
  </si>
  <si>
    <t>1503092005050001</t>
  </si>
  <si>
    <t>NANDA</t>
  </si>
  <si>
    <t>DP-3280</t>
  </si>
  <si>
    <t>1503090905730002</t>
  </si>
  <si>
    <t>RATIJO</t>
  </si>
  <si>
    <t>DP-3281</t>
  </si>
  <si>
    <t>1503092504190001</t>
  </si>
  <si>
    <t>1503094404810007</t>
  </si>
  <si>
    <t>HALIMAH TUSA'DIAH</t>
  </si>
  <si>
    <t>DP-3282</t>
  </si>
  <si>
    <t>1503092505090013</t>
  </si>
  <si>
    <t>1503091508960001</t>
  </si>
  <si>
    <t>CANDRA YUSMANTO NIBENIA LASE</t>
  </si>
  <si>
    <t>DP-3283</t>
  </si>
  <si>
    <t>1503092008600002</t>
  </si>
  <si>
    <t>MANUELI LASE</t>
  </si>
  <si>
    <t>HILI GEO NIAS</t>
  </si>
  <si>
    <t>DP-3284</t>
  </si>
  <si>
    <t>1503091709930004</t>
  </si>
  <si>
    <t>PARISMA RANTO SOZANOLO LASE</t>
  </si>
  <si>
    <t>DP-3285</t>
  </si>
  <si>
    <t>1503095006630002</t>
  </si>
  <si>
    <t>ROIDA SIJABAT</t>
  </si>
  <si>
    <t>SIGAPITON</t>
  </si>
  <si>
    <t>DP-3286</t>
  </si>
  <si>
    <t>1503092505100006</t>
  </si>
  <si>
    <t>1503091508800001</t>
  </si>
  <si>
    <t>AGUS SUSILO</t>
  </si>
  <si>
    <t>DP-3287</t>
  </si>
  <si>
    <t>1503090511050011</t>
  </si>
  <si>
    <t>AZIZ HIBATULLOH</t>
  </si>
  <si>
    <t>DP-3288</t>
  </si>
  <si>
    <t>1503094406840003</t>
  </si>
  <si>
    <t>SITI SHOLEKAH</t>
  </si>
  <si>
    <t>DP-3289</t>
  </si>
  <si>
    <t>1503092505110005</t>
  </si>
  <si>
    <t>1503091811070001</t>
  </si>
  <si>
    <t>AHMAD KHALIFI</t>
  </si>
  <si>
    <t>DP-3290</t>
  </si>
  <si>
    <t>1503096208830001</t>
  </si>
  <si>
    <t>HIMATUL ALIYAH</t>
  </si>
  <si>
    <t>DP-3291</t>
  </si>
  <si>
    <t>1503092111770001</t>
  </si>
  <si>
    <t>NASIKIN</t>
  </si>
  <si>
    <t>DP-3292</t>
  </si>
  <si>
    <t>1503092506090011</t>
  </si>
  <si>
    <t>1503090208070001</t>
  </si>
  <si>
    <t>HELEN SOLEHANI</t>
  </si>
  <si>
    <t>DP-3293</t>
  </si>
  <si>
    <t>1503096010990002</t>
  </si>
  <si>
    <t>KARIKA FANI OKTAVIA</t>
  </si>
  <si>
    <t>DP-3294</t>
  </si>
  <si>
    <t>1503091207740002</t>
  </si>
  <si>
    <t>KASNI</t>
  </si>
  <si>
    <t>DP-3295</t>
  </si>
  <si>
    <t>1503094907870001</t>
  </si>
  <si>
    <t>SUMPOKO EKA WATI</t>
  </si>
  <si>
    <t>DP-3296</t>
  </si>
  <si>
    <t>1503092506090018</t>
  </si>
  <si>
    <t>1503095803760001</t>
  </si>
  <si>
    <t>DP-3297</t>
  </si>
  <si>
    <t>1503091212960001</t>
  </si>
  <si>
    <t>NURRISKY AMINUDIN</t>
  </si>
  <si>
    <t>DP-3298</t>
  </si>
  <si>
    <t>1503092207690001</t>
  </si>
  <si>
    <t>SUWOTO</t>
  </si>
  <si>
    <t>DP-3299</t>
  </si>
  <si>
    <t>1503092506090019</t>
  </si>
  <si>
    <t>1503091610980002</t>
  </si>
  <si>
    <t>DEDE M. HAFID MUZAKI</t>
  </si>
  <si>
    <t>MAJALENGKA</t>
  </si>
  <si>
    <t>DP-3300</t>
  </si>
  <si>
    <t>1503091305750002</t>
  </si>
  <si>
    <t>HENDRIK</t>
  </si>
  <si>
    <t>DP-3301</t>
  </si>
  <si>
    <t>1503092506090020</t>
  </si>
  <si>
    <t>1503091301660001</t>
  </si>
  <si>
    <t>MUSADI</t>
  </si>
  <si>
    <t>DP-3302</t>
  </si>
  <si>
    <t>1503095708450002</t>
  </si>
  <si>
    <t>DP-3303</t>
  </si>
  <si>
    <t>1503092506090021</t>
  </si>
  <si>
    <t>1503090809670002</t>
  </si>
  <si>
    <t>JUMANI</t>
  </si>
  <si>
    <t>DP-3304</t>
  </si>
  <si>
    <t>1503090410050003</t>
  </si>
  <si>
    <t>MUHAMMAD DANI SAPUTRA</t>
  </si>
  <si>
    <t>DP-3305</t>
  </si>
  <si>
    <t>1503095112770001</t>
  </si>
  <si>
    <t>SUPIYAH</t>
  </si>
  <si>
    <t>DP-3306</t>
  </si>
  <si>
    <t>1503092506090023</t>
  </si>
  <si>
    <t>1503095312010003</t>
  </si>
  <si>
    <t>FRANSISKA LORENSHA</t>
  </si>
  <si>
    <t>DP-3307</t>
  </si>
  <si>
    <t>1503091609650002</t>
  </si>
  <si>
    <t>MARDIANTO</t>
  </si>
  <si>
    <t>DP-3308</t>
  </si>
  <si>
    <t>1503096405730001</t>
  </si>
  <si>
    <t>DP-3309</t>
  </si>
  <si>
    <t>1503092506090027</t>
  </si>
  <si>
    <t>1503092104790002</t>
  </si>
  <si>
    <t>AGUS PUJIONO</t>
  </si>
  <si>
    <t>DP-3310</t>
  </si>
  <si>
    <t>1503093001040001</t>
  </si>
  <si>
    <t>Belum Ketemu Pasangannya</t>
  </si>
  <si>
    <t>FAIZ AKMAL DZIKRA</t>
  </si>
  <si>
    <t>DP-3311</t>
  </si>
  <si>
    <t>1503096205820003</t>
  </si>
  <si>
    <t>TRI SUNDARI</t>
  </si>
  <si>
    <t>DP-3312</t>
  </si>
  <si>
    <t>1503092506120005</t>
  </si>
  <si>
    <t>1503092402730001</t>
  </si>
  <si>
    <t>M.YUBI</t>
  </si>
  <si>
    <t>DP-3313</t>
  </si>
  <si>
    <t>1503094909770002</t>
  </si>
  <si>
    <t>MUSTAFA'AH</t>
  </si>
  <si>
    <t>DP-3314</t>
  </si>
  <si>
    <t>1503092507120007</t>
  </si>
  <si>
    <t>1503090507750002</t>
  </si>
  <si>
    <t>ANTO URAHMAN</t>
  </si>
  <si>
    <t>KENDAL</t>
  </si>
  <si>
    <t>DP-3315</t>
  </si>
  <si>
    <t>1503095904800001</t>
  </si>
  <si>
    <t>FITRIYAH</t>
  </si>
  <si>
    <t>DP-3316</t>
  </si>
  <si>
    <t>1503092507170005</t>
  </si>
  <si>
    <t>1503096509990003</t>
  </si>
  <si>
    <t>CHEFINIA PUTRI SETYANINGRUM</t>
  </si>
  <si>
    <t>DP-3317</t>
  </si>
  <si>
    <t>1503095705730002</t>
  </si>
  <si>
    <t>SETYO UTAMI</t>
  </si>
  <si>
    <t>WINONG</t>
  </si>
  <si>
    <t>DP-3318</t>
  </si>
  <si>
    <t>1503092508160003</t>
  </si>
  <si>
    <t>1503091704940001</t>
  </si>
  <si>
    <t>RIO ANGGA SAPUTRA</t>
  </si>
  <si>
    <t>DP-3319</t>
  </si>
  <si>
    <t>1503095006960003</t>
  </si>
  <si>
    <t>TRIANA NINGSIH</t>
  </si>
  <si>
    <t>DP-3320</t>
  </si>
  <si>
    <t>1503092509170001</t>
  </si>
  <si>
    <t>1503096411880001</t>
  </si>
  <si>
    <t>DWI PUTRI MILDAWATI</t>
  </si>
  <si>
    <t>DP-3321</t>
  </si>
  <si>
    <t>1503090106890003</t>
  </si>
  <si>
    <t>JOHAN ISKANDAR</t>
  </si>
  <si>
    <t>DP-3322</t>
  </si>
  <si>
    <t>1503092509190005</t>
  </si>
  <si>
    <t>1503091804000002</t>
  </si>
  <si>
    <t>ANIF AWALLUDIN</t>
  </si>
  <si>
    <t>DP-3323</t>
  </si>
  <si>
    <t>1503095008820002</t>
  </si>
  <si>
    <t>ENI SUMARNI</t>
  </si>
  <si>
    <t>DP-3324</t>
  </si>
  <si>
    <t>1503090211770001</t>
  </si>
  <si>
    <t>MUTONGAT</t>
  </si>
  <si>
    <t>DP-3325</t>
  </si>
  <si>
    <t>1503092510160004</t>
  </si>
  <si>
    <t>1503092701950001</t>
  </si>
  <si>
    <t>INDRA PRASETIYO</t>
  </si>
  <si>
    <t>DP-3326</t>
  </si>
  <si>
    <t>1503096310960003</t>
  </si>
  <si>
    <t>OCTAVIANI WULANDARI</t>
  </si>
  <si>
    <t>DP-3327</t>
  </si>
  <si>
    <t>1503092510210004</t>
  </si>
  <si>
    <t>1605024603670002</t>
  </si>
  <si>
    <t>SUREM</t>
  </si>
  <si>
    <t>NGAWI KARANG JATI</t>
  </si>
  <si>
    <t>DP-3328</t>
  </si>
  <si>
    <t>1503092511100001</t>
  </si>
  <si>
    <t>1503095605810001</t>
  </si>
  <si>
    <t>LILIK UDAYANI</t>
  </si>
  <si>
    <t>DP-3329</t>
  </si>
  <si>
    <t>1503091203810003</t>
  </si>
  <si>
    <t>RISWANTO</t>
  </si>
  <si>
    <t>DP-3330</t>
  </si>
  <si>
    <t>1503092511140002</t>
  </si>
  <si>
    <t>1503092904060002</t>
  </si>
  <si>
    <t>JOKO ADI LEGITO</t>
  </si>
  <si>
    <t>BGROBOGAN</t>
  </si>
  <si>
    <t>DP-3331</t>
  </si>
  <si>
    <t>1503091104020005</t>
  </si>
  <si>
    <t>SASONGKO ADI WICAKSONO</t>
  </si>
  <si>
    <t>DP-3332</t>
  </si>
  <si>
    <t>1503094512750002</t>
  </si>
  <si>
    <t>SATINI</t>
  </si>
  <si>
    <t>DP-3333</t>
  </si>
  <si>
    <t>1503090212770002</t>
  </si>
  <si>
    <t>DP-3334</t>
  </si>
  <si>
    <t>1503092511190011</t>
  </si>
  <si>
    <t>1503095708790007</t>
  </si>
  <si>
    <t>MURTAMI</t>
  </si>
  <si>
    <t>DP-3335</t>
  </si>
  <si>
    <t>1503092511200004</t>
  </si>
  <si>
    <t>1605075605910005</t>
  </si>
  <si>
    <t>ERTIYA ELPIANA</t>
  </si>
  <si>
    <t>LUBUK RUMBAI</t>
  </si>
  <si>
    <t>DP-3336</t>
  </si>
  <si>
    <t>1503091003910002</t>
  </si>
  <si>
    <t>YUDI PRAYOGO</t>
  </si>
  <si>
    <t>DP-3337</t>
  </si>
  <si>
    <t>1503092601080001</t>
  </si>
  <si>
    <t>1503092703690004</t>
  </si>
  <si>
    <t>SUMARNO</t>
  </si>
  <si>
    <t>DP-3338</t>
  </si>
  <si>
    <t>1503094705710001</t>
  </si>
  <si>
    <t>DP-3339</t>
  </si>
  <si>
    <t>1503092601080006</t>
  </si>
  <si>
    <t>1503090906600001</t>
  </si>
  <si>
    <t>WARSO</t>
  </si>
  <si>
    <t>DP-3340</t>
  </si>
  <si>
    <t>1503092601080020</t>
  </si>
  <si>
    <t>1503092704850001</t>
  </si>
  <si>
    <t>ADITIA FIRMANSAH</t>
  </si>
  <si>
    <t>DP-3341</t>
  </si>
  <si>
    <t>1503092103620002</t>
  </si>
  <si>
    <t>MARSUDI</t>
  </si>
  <si>
    <t>DP-3342</t>
  </si>
  <si>
    <t>1503095110660001</t>
  </si>
  <si>
    <t>YAMTI</t>
  </si>
  <si>
    <t>DP-3343</t>
  </si>
  <si>
    <t>1503092601080047</t>
  </si>
  <si>
    <t>1503095009390001</t>
  </si>
  <si>
    <t>SARIMANAH</t>
  </si>
  <si>
    <t>DP-3344</t>
  </si>
  <si>
    <t>1503091404630005</t>
  </si>
  <si>
    <t>DP-3345</t>
  </si>
  <si>
    <t>1503092601080053</t>
  </si>
  <si>
    <t>1503091912050002</t>
  </si>
  <si>
    <t>FERI SETIAWAN</t>
  </si>
  <si>
    <t>DP-3346</t>
  </si>
  <si>
    <t>1503096505020002</t>
  </si>
  <si>
    <t>MITA MUJIYATI</t>
  </si>
  <si>
    <t>DP-3347</t>
  </si>
  <si>
    <t>1503092101460001</t>
  </si>
  <si>
    <t>PAIKEM</t>
  </si>
  <si>
    <t>DP-3348</t>
  </si>
  <si>
    <t>1503091302720001</t>
  </si>
  <si>
    <t>SAMIDI</t>
  </si>
  <si>
    <t>DP-3349</t>
  </si>
  <si>
    <t>1503096704740001</t>
  </si>
  <si>
    <t>SUNARSI</t>
  </si>
  <si>
    <t>DP-3350</t>
  </si>
  <si>
    <t>1503092601080057</t>
  </si>
  <si>
    <t>1503097004640001</t>
  </si>
  <si>
    <t>REMI</t>
  </si>
  <si>
    <t>DP-3351</t>
  </si>
  <si>
    <t>1503092601080063</t>
  </si>
  <si>
    <t>1503095902650001</t>
  </si>
  <si>
    <t>JIYEM</t>
  </si>
  <si>
    <t>DP-3352</t>
  </si>
  <si>
    <t>1503092601080083</t>
  </si>
  <si>
    <t>1503096703060006</t>
  </si>
  <si>
    <t>FIKRIYATUN NAQIYA</t>
  </si>
  <si>
    <t>DS. PAYOLEBAR</t>
  </si>
  <si>
    <t>DP-3353</t>
  </si>
  <si>
    <t>1503095907680001</t>
  </si>
  <si>
    <t>SADINEM</t>
  </si>
  <si>
    <t>DP-3354</t>
  </si>
  <si>
    <t>1503093011610001</t>
  </si>
  <si>
    <t>SUPIYO</t>
  </si>
  <si>
    <t>DP-3355</t>
  </si>
  <si>
    <t>1503092601080157</t>
  </si>
  <si>
    <t>1503090412810002</t>
  </si>
  <si>
    <t>DP-3356</t>
  </si>
  <si>
    <t>1503096903050001</t>
  </si>
  <si>
    <t>MARETA FARIANTI</t>
  </si>
  <si>
    <t>DP-3357</t>
  </si>
  <si>
    <t>1503094710870003</t>
  </si>
  <si>
    <t>WIWIK ANDRAINI</t>
  </si>
  <si>
    <t>DP-3358</t>
  </si>
  <si>
    <t>1503092601080165</t>
  </si>
  <si>
    <t>1503094107530020</t>
  </si>
  <si>
    <t>DP-3359</t>
  </si>
  <si>
    <t>1503092601080166</t>
  </si>
  <si>
    <t>1503094105040001</t>
  </si>
  <si>
    <t>HANIFATUL MAESAROH</t>
  </si>
  <si>
    <t>DP-3360</t>
  </si>
  <si>
    <t>1503092812730001</t>
  </si>
  <si>
    <t>MISJIANTO</t>
  </si>
  <si>
    <t>DP-3361</t>
  </si>
  <si>
    <t>1503096211860001</t>
  </si>
  <si>
    <t>SULAWESI TENGAH</t>
  </si>
  <si>
    <t>DP-3362</t>
  </si>
  <si>
    <t>1503092601080171</t>
  </si>
  <si>
    <t>1503092512690003</t>
  </si>
  <si>
    <t>DP-3363</t>
  </si>
  <si>
    <t>1503095806050001</t>
  </si>
  <si>
    <t>NOVITA DWI ANGGRAINI</t>
  </si>
  <si>
    <t>DP-3364</t>
  </si>
  <si>
    <t>1503094607770007</t>
  </si>
  <si>
    <t>DP-3365</t>
  </si>
  <si>
    <t>1503092601080172</t>
  </si>
  <si>
    <t>1503091310070002</t>
  </si>
  <si>
    <t>RAFI AIDIL IHWANA</t>
  </si>
  <si>
    <t>DP-3366</t>
  </si>
  <si>
    <t>1503092007040001</t>
  </si>
  <si>
    <t>RIYAN VERI ARDIAN</t>
  </si>
  <si>
    <t>DP-3367</t>
  </si>
  <si>
    <t>1503091012780001</t>
  </si>
  <si>
    <t>SARWONO</t>
  </si>
  <si>
    <t>DP-3368</t>
  </si>
  <si>
    <t>1503094510860001</t>
  </si>
  <si>
    <t>SIYAMTI</t>
  </si>
  <si>
    <t>DP-3369</t>
  </si>
  <si>
    <t>1503092601100004</t>
  </si>
  <si>
    <t>1503092211820002</t>
  </si>
  <si>
    <t>AHMAD NOPI</t>
  </si>
  <si>
    <t>DP-3370</t>
  </si>
  <si>
    <t>1503096408810002</t>
  </si>
  <si>
    <t>RITA FITRIYANI</t>
  </si>
  <si>
    <t>DP-3371</t>
  </si>
  <si>
    <t>1503092601160005</t>
  </si>
  <si>
    <t>1503095505930001</t>
  </si>
  <si>
    <t>AJENG FITRIYANI</t>
  </si>
  <si>
    <t>DP-3372</t>
  </si>
  <si>
    <t>3311060610920001</t>
  </si>
  <si>
    <t>DEDI PURNOMO</t>
  </si>
  <si>
    <t>KALIANDA</t>
  </si>
  <si>
    <t>DP-3373</t>
  </si>
  <si>
    <t>1503092601220003</t>
  </si>
  <si>
    <t>1503051007910004</t>
  </si>
  <si>
    <t>JULY PRAYITNO</t>
  </si>
  <si>
    <t>PANCA MARGA</t>
  </si>
  <si>
    <t>DP-3374</t>
  </si>
  <si>
    <t>1503094710960002</t>
  </si>
  <si>
    <t>DP-3375</t>
  </si>
  <si>
    <t>1503092602180001</t>
  </si>
  <si>
    <t>1503094107650093</t>
  </si>
  <si>
    <t>MUKINEM</t>
  </si>
  <si>
    <t>DP-3376</t>
  </si>
  <si>
    <t>1503090107600074</t>
  </si>
  <si>
    <t>DP-3377</t>
  </si>
  <si>
    <t>1503092602180011</t>
  </si>
  <si>
    <t>1503091510460002</t>
  </si>
  <si>
    <t>AHMAD EDY</t>
  </si>
  <si>
    <t>MURA ENIM</t>
  </si>
  <si>
    <t>DP-3378</t>
  </si>
  <si>
    <t>1503091206720006</t>
  </si>
  <si>
    <t>ONI YADI</t>
  </si>
  <si>
    <t>DP-3379</t>
  </si>
  <si>
    <t>1503096010550001</t>
  </si>
  <si>
    <t>SUMIDAH</t>
  </si>
  <si>
    <t>DP-3380</t>
  </si>
  <si>
    <t>1503092602180012</t>
  </si>
  <si>
    <t>1503095304970002</t>
  </si>
  <si>
    <t>APRI AKBARIA ASTUTI</t>
  </si>
  <si>
    <t>DP-3381</t>
  </si>
  <si>
    <t>1503050107000317</t>
  </si>
  <si>
    <t>DP-3382</t>
  </si>
  <si>
    <t>1503092602210002</t>
  </si>
  <si>
    <t>1503096209680001</t>
  </si>
  <si>
    <t>DP-3383</t>
  </si>
  <si>
    <t>1503092603100001</t>
  </si>
  <si>
    <t>1503095905490001</t>
  </si>
  <si>
    <t>DP-3384</t>
  </si>
  <si>
    <t>1503092603100008</t>
  </si>
  <si>
    <t>1503090603000002</t>
  </si>
  <si>
    <t>DAYU MERA TEDY</t>
  </si>
  <si>
    <t>DP-3385</t>
  </si>
  <si>
    <t>1503094607680004</t>
  </si>
  <si>
    <t>DP-3386</t>
  </si>
  <si>
    <t>1503092603100011</t>
  </si>
  <si>
    <t>1503096505530001</t>
  </si>
  <si>
    <t>KAROMAH</t>
  </si>
  <si>
    <t>DP-3387</t>
  </si>
  <si>
    <t>1503091201550001</t>
  </si>
  <si>
    <t>MUSAIR</t>
  </si>
  <si>
    <t>DP-3388</t>
  </si>
  <si>
    <t>1503094111610001</t>
  </si>
  <si>
    <t>NGATIKAH</t>
  </si>
  <si>
    <t>DP-3389</t>
  </si>
  <si>
    <t>1503092603100012</t>
  </si>
  <si>
    <t>1503091212850004</t>
  </si>
  <si>
    <t>DP-3390</t>
  </si>
  <si>
    <t>1503095707890006</t>
  </si>
  <si>
    <t>RIKA RUSLIYA</t>
  </si>
  <si>
    <t>DP-3391</t>
  </si>
  <si>
    <t>1503092603100014</t>
  </si>
  <si>
    <t>1503091404500001</t>
  </si>
  <si>
    <t>IMAM IKHSANUDIN</t>
  </si>
  <si>
    <t>DP-3392</t>
  </si>
  <si>
    <t>1503095712540001</t>
  </si>
  <si>
    <t>SITI KOMTIYAH</t>
  </si>
  <si>
    <t>DP-3393</t>
  </si>
  <si>
    <t>1503092603100015</t>
  </si>
  <si>
    <t>1503091705070001</t>
  </si>
  <si>
    <t>DHAFFA DHIGDAYA NOER</t>
  </si>
  <si>
    <t>DP-3394</t>
  </si>
  <si>
    <t>1503094808800005</t>
  </si>
  <si>
    <t>HUZAIMAH</t>
  </si>
  <si>
    <t>DP-3395</t>
  </si>
  <si>
    <t>1503091002780002</t>
  </si>
  <si>
    <t>M. NUR SYAMSUL HUDA</t>
  </si>
  <si>
    <t>DP-3396</t>
  </si>
  <si>
    <t>1503092603100017</t>
  </si>
  <si>
    <t>1503094311030001</t>
  </si>
  <si>
    <t>DP-3397</t>
  </si>
  <si>
    <t>1503090111660001</t>
  </si>
  <si>
    <t>NGAIMIN</t>
  </si>
  <si>
    <t>DP-3398</t>
  </si>
  <si>
    <t>1503090405020004</t>
  </si>
  <si>
    <t>SAPUTRA</t>
  </si>
  <si>
    <t>DP-3399</t>
  </si>
  <si>
    <t>1503096712700001</t>
  </si>
  <si>
    <t>SUKINEM</t>
  </si>
  <si>
    <t>DP-3400</t>
  </si>
  <si>
    <t>1503092603100020</t>
  </si>
  <si>
    <t>1503090905030004</t>
  </si>
  <si>
    <t>ARYA FAHRURROZI</t>
  </si>
  <si>
    <t>DP-3401</t>
  </si>
  <si>
    <t>1503096212740001</t>
  </si>
  <si>
    <t>CHOIRIYAH</t>
  </si>
  <si>
    <t>DP-3402</t>
  </si>
  <si>
    <t>1503091209710002</t>
  </si>
  <si>
    <t>DP-3403</t>
  </si>
  <si>
    <t>1503092603140010</t>
  </si>
  <si>
    <t>1503091612910001</t>
  </si>
  <si>
    <t>DENI SUNARSO</t>
  </si>
  <si>
    <t>DP-3404</t>
  </si>
  <si>
    <t>1503092603200005</t>
  </si>
  <si>
    <t>1401115710970002</t>
  </si>
  <si>
    <t>CEMPAKA SEKAR WANGI</t>
  </si>
  <si>
    <t>ACEH UTARA</t>
  </si>
  <si>
    <t>DP-3405</t>
  </si>
  <si>
    <t>1503090806910002</t>
  </si>
  <si>
    <t>M. FRINGKI ARMADI</t>
  </si>
  <si>
    <t>DP-3406</t>
  </si>
  <si>
    <t>1503092603200007</t>
  </si>
  <si>
    <t>1277025106890004</t>
  </si>
  <si>
    <t>HARDINIATI</t>
  </si>
  <si>
    <t>PADANGSIDIMPUAN</t>
  </si>
  <si>
    <t>DP-3407</t>
  </si>
  <si>
    <t>1503092609950001</t>
  </si>
  <si>
    <t>MUHAMMAD FADLI</t>
  </si>
  <si>
    <t>DP-3408</t>
  </si>
  <si>
    <t>1503092604100012</t>
  </si>
  <si>
    <t>1503090505580002</t>
  </si>
  <si>
    <t>BUDI YANTO</t>
  </si>
  <si>
    <t>DP-3409</t>
  </si>
  <si>
    <t>1503094208620003</t>
  </si>
  <si>
    <t>DP-3410</t>
  </si>
  <si>
    <t>1503092604100013</t>
  </si>
  <si>
    <t>1503090106050003</t>
  </si>
  <si>
    <t>ARIEL YOGA PANGESTU</t>
  </si>
  <si>
    <t>DP-3411</t>
  </si>
  <si>
    <t>1503091210640002</t>
  </si>
  <si>
    <t>YAHMIN</t>
  </si>
  <si>
    <t>DP-3412</t>
  </si>
  <si>
    <t>1503092604120011</t>
  </si>
  <si>
    <t>1503094108940002</t>
  </si>
  <si>
    <t>ASNIN NURUL KHOTIMAH</t>
  </si>
  <si>
    <t>DP-3413</t>
  </si>
  <si>
    <t>1503092108920003</t>
  </si>
  <si>
    <t>YAZID IRFANGI</t>
  </si>
  <si>
    <t>DP-3414</t>
  </si>
  <si>
    <t>1503092604170004</t>
  </si>
  <si>
    <t>1503097101970001</t>
  </si>
  <si>
    <t>ARUM WULAN SARI</t>
  </si>
  <si>
    <t>DP-3415</t>
  </si>
  <si>
    <t>1802260808920002</t>
  </si>
  <si>
    <t>NANANG KUSIM</t>
  </si>
  <si>
    <t>SBY ILIR</t>
  </si>
  <si>
    <t>DP-3416</t>
  </si>
  <si>
    <t>1503092604180005</t>
  </si>
  <si>
    <t>1503090909700002</t>
  </si>
  <si>
    <t>DP-3417</t>
  </si>
  <si>
    <t>1503092605090002</t>
  </si>
  <si>
    <t>1503094805690002</t>
  </si>
  <si>
    <t>WIDARTI</t>
  </si>
  <si>
    <t>DP-3418</t>
  </si>
  <si>
    <t>1503092102630001</t>
  </si>
  <si>
    <t>Z. AMRI</t>
  </si>
  <si>
    <t>DP-3419</t>
  </si>
  <si>
    <t>1503096711000003</t>
  </si>
  <si>
    <t>ZUMY NOVITRIA. R</t>
  </si>
  <si>
    <t>DP-3420</t>
  </si>
  <si>
    <t>1503092605100023</t>
  </si>
  <si>
    <t>1503093005600002</t>
  </si>
  <si>
    <t>DP-3421</t>
  </si>
  <si>
    <t>1503094107670063</t>
  </si>
  <si>
    <t>DP-3422</t>
  </si>
  <si>
    <t>1503092605110001</t>
  </si>
  <si>
    <t>1503095202450001</t>
  </si>
  <si>
    <t>KADIYAH</t>
  </si>
  <si>
    <t>DP-3423</t>
  </si>
  <si>
    <t>1503092605110002</t>
  </si>
  <si>
    <t>1503095110820003</t>
  </si>
  <si>
    <t>DWI SRI RAHAYU</t>
  </si>
  <si>
    <t>DP-3424</t>
  </si>
  <si>
    <t>1503090410780001</t>
  </si>
  <si>
    <t>DP-3425</t>
  </si>
  <si>
    <t>1503092605110004</t>
  </si>
  <si>
    <t>1503095008830008</t>
  </si>
  <si>
    <t>KORYATI</t>
  </si>
  <si>
    <t>DP-3426</t>
  </si>
  <si>
    <t>1503091406750005</t>
  </si>
  <si>
    <t>DP-3427</t>
  </si>
  <si>
    <t>1503092605110005</t>
  </si>
  <si>
    <t>1503090610870002</t>
  </si>
  <si>
    <t>1503090806260004</t>
  </si>
  <si>
    <t>DP-3428</t>
  </si>
  <si>
    <t>1503094710800001</t>
  </si>
  <si>
    <t>IZA NURWATI</t>
  </si>
  <si>
    <t>LB KARYA</t>
  </si>
  <si>
    <t>DP-3429</t>
  </si>
  <si>
    <t>1503091604250004</t>
  </si>
  <si>
    <t>1503090101980004</t>
  </si>
  <si>
    <t>ARI WIDODO</t>
  </si>
  <si>
    <t>DP-3430</t>
  </si>
  <si>
    <t>1503092605110006</t>
  </si>
  <si>
    <t>1503094711800001</t>
  </si>
  <si>
    <t>MARSITI</t>
  </si>
  <si>
    <t>DP-3431</t>
  </si>
  <si>
    <t>1503092212030003</t>
  </si>
  <si>
    <t>RIZKI ISNAN DIANSYAH</t>
  </si>
  <si>
    <t>DP-3432</t>
  </si>
  <si>
    <t>1503090812760002</t>
  </si>
  <si>
    <t>SATIM</t>
  </si>
  <si>
    <t>DP-3433</t>
  </si>
  <si>
    <t>1503092607130004</t>
  </si>
  <si>
    <t>1503092512840001</t>
  </si>
  <si>
    <t>DP-3434</t>
  </si>
  <si>
    <t>1503094304930002</t>
  </si>
  <si>
    <t>RIYA IRAWAN</t>
  </si>
  <si>
    <t>DP-3435</t>
  </si>
  <si>
    <t>1503092608210001</t>
  </si>
  <si>
    <t>1503094808650003</t>
  </si>
  <si>
    <t>SAMI</t>
  </si>
  <si>
    <t>DP-3436</t>
  </si>
  <si>
    <t>1503092609080003</t>
  </si>
  <si>
    <t>1503090101540001</t>
  </si>
  <si>
    <t>TAMJIS</t>
  </si>
  <si>
    <t>DP-3437</t>
  </si>
  <si>
    <t>1503092609080004</t>
  </si>
  <si>
    <t>1503091412010003</t>
  </si>
  <si>
    <t>RIYAN AFRIYANDA</t>
  </si>
  <si>
    <t>DP-3438</t>
  </si>
  <si>
    <t>1503095801790002</t>
  </si>
  <si>
    <t>SITI SYAMSIYAH</t>
  </si>
  <si>
    <t>DP-3439</t>
  </si>
  <si>
    <t>1503090805720003</t>
  </si>
  <si>
    <t>DP-3440</t>
  </si>
  <si>
    <t>1503092609080006</t>
  </si>
  <si>
    <t>1503092908990002</t>
  </si>
  <si>
    <t>ALFIAN ADE SAPUTRA</t>
  </si>
  <si>
    <t>Jawa</t>
  </si>
  <si>
    <t>DP-3441</t>
  </si>
  <si>
    <t>1503092512740001</t>
  </si>
  <si>
    <t>SOLIKHIN</t>
  </si>
  <si>
    <t>DP-3442</t>
  </si>
  <si>
    <t>1503095311820002</t>
  </si>
  <si>
    <t>DP-3443</t>
  </si>
  <si>
    <t>1503092609080007</t>
  </si>
  <si>
    <t>1503092212810001</t>
  </si>
  <si>
    <t>IRWANTO</t>
  </si>
  <si>
    <t>DP-3444</t>
  </si>
  <si>
    <t>1503095607040002</t>
  </si>
  <si>
    <t>NOVI INDRIYANI</t>
  </si>
  <si>
    <t>DP-3445</t>
  </si>
  <si>
    <t>1503094404830002</t>
  </si>
  <si>
    <t>DP-3446</t>
  </si>
  <si>
    <t>1503092609080008</t>
  </si>
  <si>
    <t>1503092512690002</t>
  </si>
  <si>
    <t>MISNI</t>
  </si>
  <si>
    <t>DP-3447</t>
  </si>
  <si>
    <t>1503096109040003</t>
  </si>
  <si>
    <t>NOVERA AYU WINDIA SARI</t>
  </si>
  <si>
    <t>DP-3448</t>
  </si>
  <si>
    <t>1503096312740003</t>
  </si>
  <si>
    <t>SUWANTI</t>
  </si>
  <si>
    <t>DP-3449</t>
  </si>
  <si>
    <t>1503092008950001</t>
  </si>
  <si>
    <t>DP-3450</t>
  </si>
  <si>
    <t>1503092609080009</t>
  </si>
  <si>
    <t>1503090506970001</t>
  </si>
  <si>
    <t>ARIEF PRABOWO</t>
  </si>
  <si>
    <t>DP-3451</t>
  </si>
  <si>
    <t>1503091411640001</t>
  </si>
  <si>
    <t>SAIKUN SUGONDO</t>
  </si>
  <si>
    <t>DP-3452</t>
  </si>
  <si>
    <t>1503095303750002</t>
  </si>
  <si>
    <t>DP-3453</t>
  </si>
  <si>
    <t>1503092609160001</t>
  </si>
  <si>
    <t>3507275604880003</t>
  </si>
  <si>
    <t>FERAWATI IKE WULANDARI</t>
  </si>
  <si>
    <t>DP-3454</t>
  </si>
  <si>
    <t>1503090101850007</t>
  </si>
  <si>
    <t>MUHLIS ARIS</t>
  </si>
  <si>
    <t>DP-3455</t>
  </si>
  <si>
    <t>1503092609160009</t>
  </si>
  <si>
    <t>1812012406970004</t>
  </si>
  <si>
    <t>DIDIK RAHMAWAN</t>
  </si>
  <si>
    <t>MESUJI</t>
  </si>
  <si>
    <t>DP-3456</t>
  </si>
  <si>
    <t>1503094110990008</t>
  </si>
  <si>
    <t>FENI WIDIA ASTUTI</t>
  </si>
  <si>
    <t>DP-3457</t>
  </si>
  <si>
    <t>1503092609160011</t>
  </si>
  <si>
    <t>1503095204800004</t>
  </si>
  <si>
    <t>ANITA APRILIYANI</t>
  </si>
  <si>
    <t>DP-3458</t>
  </si>
  <si>
    <t>1503091202800002</t>
  </si>
  <si>
    <t>DP-3459</t>
  </si>
  <si>
    <t>1503092609170002</t>
  </si>
  <si>
    <t>1503094104920001</t>
  </si>
  <si>
    <t>KATARINA YULITA SIMANULANG</t>
  </si>
  <si>
    <t>DP-3460</t>
  </si>
  <si>
    <t>1503091306930004</t>
  </si>
  <si>
    <t>TRYO CAHYO SURYANA</t>
  </si>
  <si>
    <t>DP-3461</t>
  </si>
  <si>
    <t>1503092609170005</t>
  </si>
  <si>
    <t>1503092512880003</t>
  </si>
  <si>
    <t>AHMAD LATIF</t>
  </si>
  <si>
    <t>DP-3462</t>
  </si>
  <si>
    <t>1503094611930002</t>
  </si>
  <si>
    <t>SITI MIM SYAHATUN</t>
  </si>
  <si>
    <t>DP-3463</t>
  </si>
  <si>
    <t>1503092609220006</t>
  </si>
  <si>
    <t>1503090306940001</t>
  </si>
  <si>
    <t>ADE GUNAWAN</t>
  </si>
  <si>
    <t>SURULANGUN RAWAS</t>
  </si>
  <si>
    <t>DP-3464</t>
  </si>
  <si>
    <t>1503095810950001</t>
  </si>
  <si>
    <t>DESI OCTAVIA</t>
  </si>
  <si>
    <t>DP-3465</t>
  </si>
  <si>
    <t>1503092609220012</t>
  </si>
  <si>
    <t>1503090106650002</t>
  </si>
  <si>
    <t>ALI AMRAN</t>
  </si>
  <si>
    <t>KARANG DAPO</t>
  </si>
  <si>
    <t>DP-3466</t>
  </si>
  <si>
    <t>1503096210700001</t>
  </si>
  <si>
    <t>ROSYDA HAYATI</t>
  </si>
  <si>
    <t>DP-3467</t>
  </si>
  <si>
    <t>1503095303030003</t>
  </si>
  <si>
    <t>SANIA AWANATIKA</t>
  </si>
  <si>
    <t>DP-3468</t>
  </si>
  <si>
    <t>1503092610090014</t>
  </si>
  <si>
    <t>1503095807010003</t>
  </si>
  <si>
    <t>ELLA ZULVA DININGRUM</t>
  </si>
  <si>
    <t>DP-3469</t>
  </si>
  <si>
    <t>1503090901740003</t>
  </si>
  <si>
    <t>DP-3470</t>
  </si>
  <si>
    <t>1503096003800003</t>
  </si>
  <si>
    <t>TRI DEWI WURYANI</t>
  </si>
  <si>
    <t>DP-3471</t>
  </si>
  <si>
    <t>1503092610090015</t>
  </si>
  <si>
    <t>1503091610600001</t>
  </si>
  <si>
    <t>JON. F. MUNTHE</t>
  </si>
  <si>
    <t>DP-3472</t>
  </si>
  <si>
    <t>1503096109500001</t>
  </si>
  <si>
    <t>1503090605250002</t>
  </si>
  <si>
    <t>DP-3473</t>
  </si>
  <si>
    <t>1503092610090020</t>
  </si>
  <si>
    <t>1503090104790003</t>
  </si>
  <si>
    <t>DP-3474</t>
  </si>
  <si>
    <t>1503095407800005</t>
  </si>
  <si>
    <t>DP-3475</t>
  </si>
  <si>
    <t>1503092610100016</t>
  </si>
  <si>
    <t>1503095307070004</t>
  </si>
  <si>
    <t>LIVIA ANGGUN KINANTI</t>
  </si>
  <si>
    <t>DP-3476</t>
  </si>
  <si>
    <t>1503096803010002</t>
  </si>
  <si>
    <t>DP-3477</t>
  </si>
  <si>
    <t>1503095701810002</t>
  </si>
  <si>
    <t>SITI KOMSATUN</t>
  </si>
  <si>
    <t>DP-3478</t>
  </si>
  <si>
    <t>1503091304730002</t>
  </si>
  <si>
    <t>TASMITO</t>
  </si>
  <si>
    <t>DP-3479</t>
  </si>
  <si>
    <t>1503092610100017</t>
  </si>
  <si>
    <t>1503091510000001</t>
  </si>
  <si>
    <t>DANU DWI CAHYADI</t>
  </si>
  <si>
    <t>DUSUN I DESA PAYO LEBAR</t>
  </si>
  <si>
    <t>DP-3480</t>
  </si>
  <si>
    <t>1503094811780002</t>
  </si>
  <si>
    <t>SRIYANI</t>
  </si>
  <si>
    <t>DP-3481</t>
  </si>
  <si>
    <t>1503090101700006</t>
  </si>
  <si>
    <t>tujuan tidak diketahui</t>
  </si>
  <si>
    <t>DP-3482</t>
  </si>
  <si>
    <t>1503092610100018</t>
  </si>
  <si>
    <t>1503095010770008</t>
  </si>
  <si>
    <t>DP-3483</t>
  </si>
  <si>
    <t>1503094201040001</t>
  </si>
  <si>
    <t>SERLI NOR SINTA DEWI</t>
  </si>
  <si>
    <t>DP-3484</t>
  </si>
  <si>
    <t>1503091708740009</t>
  </si>
  <si>
    <t>DP-3485</t>
  </si>
  <si>
    <t>1503092610100022</t>
  </si>
  <si>
    <t>1503096708860006</t>
  </si>
  <si>
    <t>MAR NIANTI</t>
  </si>
  <si>
    <t>DP-3486</t>
  </si>
  <si>
    <t>1503096309070002</t>
  </si>
  <si>
    <t>RAHEL SEPTIANA PUTRI</t>
  </si>
  <si>
    <t>DP-3487</t>
  </si>
  <si>
    <t>1503092411780001</t>
  </si>
  <si>
    <t>SRI GIANTO</t>
  </si>
  <si>
    <t>DP-3488</t>
  </si>
  <si>
    <t>1503092610210003</t>
  </si>
  <si>
    <t>1503092907980002</t>
  </si>
  <si>
    <t>AGUS SETIAWAN</t>
  </si>
  <si>
    <t>DP-3489</t>
  </si>
  <si>
    <t>1503095907880005</t>
  </si>
  <si>
    <t>DP-3490</t>
  </si>
  <si>
    <t>1503092611080002</t>
  </si>
  <si>
    <t>1503093010860001</t>
  </si>
  <si>
    <t>ISKAK</t>
  </si>
  <si>
    <t>DP-3491</t>
  </si>
  <si>
    <t>1503094511860003</t>
  </si>
  <si>
    <t>RIDA QORIYAH</t>
  </si>
  <si>
    <t>DP-3492</t>
  </si>
  <si>
    <t>1503092611080003</t>
  </si>
  <si>
    <t>1503091609850001</t>
  </si>
  <si>
    <t>HARTONO</t>
  </si>
  <si>
    <t>DP-3493</t>
  </si>
  <si>
    <t>1503096508860003</t>
  </si>
  <si>
    <t>MIARSIH</t>
  </si>
  <si>
    <t>DP-3494</t>
  </si>
  <si>
    <t>1503092611090002</t>
  </si>
  <si>
    <t>1503095203040002</t>
  </si>
  <si>
    <t>PUTRI MELATI TAUFIK</t>
  </si>
  <si>
    <t>DP-3495</t>
  </si>
  <si>
    <t>1503094303800005</t>
  </si>
  <si>
    <t>SRI MULYANINGSIH</t>
  </si>
  <si>
    <t>DP-3496</t>
  </si>
  <si>
    <t>1503092701800002</t>
  </si>
  <si>
    <t>DP-3497</t>
  </si>
  <si>
    <t>1503092611090003</t>
  </si>
  <si>
    <t>1503090107560045</t>
  </si>
  <si>
    <t>TARJO</t>
  </si>
  <si>
    <t>DP-3498</t>
  </si>
  <si>
    <t>1503094202590005</t>
  </si>
  <si>
    <t>TARNI</t>
  </si>
  <si>
    <t>DP-3499</t>
  </si>
  <si>
    <t>1503092611100002</t>
  </si>
  <si>
    <t>1503094710670002</t>
  </si>
  <si>
    <t>DP-3500</t>
  </si>
  <si>
    <t>1503091101740001</t>
  </si>
  <si>
    <t>SURIPIN</t>
  </si>
  <si>
    <t>DP-3501</t>
  </si>
  <si>
    <t>1503092611100008</t>
  </si>
  <si>
    <t>1503094102650001</t>
  </si>
  <si>
    <t>LASIYEM</t>
  </si>
  <si>
    <t>DP-3502</t>
  </si>
  <si>
    <t>1503092103610001</t>
  </si>
  <si>
    <t>DP-3503</t>
  </si>
  <si>
    <t>1503092611120001</t>
  </si>
  <si>
    <t>1503092001780001</t>
  </si>
  <si>
    <t>ALBITRAH</t>
  </si>
  <si>
    <t>MA. RUPIT</t>
  </si>
  <si>
    <t>DP-3504</t>
  </si>
  <si>
    <t>1503094312040001</t>
  </si>
  <si>
    <t>NABILA DAMA PRIYANA</t>
  </si>
  <si>
    <t>DP-3505</t>
  </si>
  <si>
    <t>1503092707040005</t>
  </si>
  <si>
    <t>RIDHO ABDULLAH</t>
  </si>
  <si>
    <t>DP-3506</t>
  </si>
  <si>
    <t>1503096003840001</t>
  </si>
  <si>
    <t>SRI SURYATI</t>
  </si>
  <si>
    <t>DP-3507</t>
  </si>
  <si>
    <t>1503092611130005</t>
  </si>
  <si>
    <t>1503090704970001</t>
  </si>
  <si>
    <t>MISBAKHUL HUDA</t>
  </si>
  <si>
    <t>DP-3508</t>
  </si>
  <si>
    <t>1503096310680002</t>
  </si>
  <si>
    <t>DP-3509</t>
  </si>
  <si>
    <t>1503092611150004</t>
  </si>
  <si>
    <t>1503091012960002</t>
  </si>
  <si>
    <t>CANDRA</t>
  </si>
  <si>
    <t>DP-3510</t>
  </si>
  <si>
    <t>1503091003720005</t>
  </si>
  <si>
    <t>DP-3511</t>
  </si>
  <si>
    <t>1503095011720001</t>
  </si>
  <si>
    <t>DP-3512</t>
  </si>
  <si>
    <t>1503092611200002</t>
  </si>
  <si>
    <t>1503094710680001</t>
  </si>
  <si>
    <t>NOPITA</t>
  </si>
  <si>
    <t>DP-3513</t>
  </si>
  <si>
    <t>1503092611200003</t>
  </si>
  <si>
    <t>1503094811610002</t>
  </si>
  <si>
    <t>SITI MUNTAMA</t>
  </si>
  <si>
    <t>DP-3514</t>
  </si>
  <si>
    <t>1503092611200004</t>
  </si>
  <si>
    <t>1503090708970003</t>
  </si>
  <si>
    <t>BAGUS PRAMUDI</t>
  </si>
  <si>
    <t>DP-3515</t>
  </si>
  <si>
    <t>1503094308590001</t>
  </si>
  <si>
    <t>TUGINAH</t>
  </si>
  <si>
    <t>DP-3516</t>
  </si>
  <si>
    <t>1503092701090005</t>
  </si>
  <si>
    <t>1503090908720001</t>
  </si>
  <si>
    <t>ERWIN SUHERLAN</t>
  </si>
  <si>
    <t>JLN. SUDIRMAN</t>
  </si>
  <si>
    <t>DP-3517</t>
  </si>
  <si>
    <t>1503095208800002</t>
  </si>
  <si>
    <t>SITI RAMLA</t>
  </si>
  <si>
    <t>DP-3518</t>
  </si>
  <si>
    <t>1503092701140007</t>
  </si>
  <si>
    <t>1503094501930002</t>
  </si>
  <si>
    <t>ANITA SRI MARYANI</t>
  </si>
  <si>
    <t>DP-3519</t>
  </si>
  <si>
    <t>1503092701140008</t>
  </si>
  <si>
    <t>1503091502920003</t>
  </si>
  <si>
    <t>DONI RESTU</t>
  </si>
  <si>
    <t>DP-3520</t>
  </si>
  <si>
    <t>1503092701150011</t>
  </si>
  <si>
    <t>1503095212770004</t>
  </si>
  <si>
    <t>MAESAROH</t>
  </si>
  <si>
    <t>SUNGAI LILIN</t>
  </si>
  <si>
    <t>DP-3521</t>
  </si>
  <si>
    <t>1503090608680002</t>
  </si>
  <si>
    <t>PARNO. R</t>
  </si>
  <si>
    <t>DP-3522</t>
  </si>
  <si>
    <t>1503091310120001</t>
  </si>
  <si>
    <t>RIZKI DWI PRAYOGA</t>
  </si>
  <si>
    <t>DP-3523</t>
  </si>
  <si>
    <t>1503092701170003</t>
  </si>
  <si>
    <t>1503054201980003</t>
  </si>
  <si>
    <t>HARYATI</t>
  </si>
  <si>
    <t>DP-3524</t>
  </si>
  <si>
    <t>1503090705950003</t>
  </si>
  <si>
    <t>WARDI</t>
  </si>
  <si>
    <t>DP-3525</t>
  </si>
  <si>
    <t>1503092701200004</t>
  </si>
  <si>
    <t>1503090106780002</t>
  </si>
  <si>
    <t>RIDWAN SERTA</t>
  </si>
  <si>
    <t>DUSUN SUKO MULYO</t>
  </si>
  <si>
    <t>DP-3526</t>
  </si>
  <si>
    <t>1503092701200016</t>
  </si>
  <si>
    <t>1503096908930001</t>
  </si>
  <si>
    <t>SAMIYEM</t>
  </si>
  <si>
    <t>DUSUN RAWASARI</t>
  </si>
  <si>
    <t>DP-3527</t>
  </si>
  <si>
    <t>1503092701200018</t>
  </si>
  <si>
    <t>1503093006620001</t>
  </si>
  <si>
    <t>SUDIRMAN</t>
  </si>
  <si>
    <t>DP-3528</t>
  </si>
  <si>
    <t>1503096009830001</t>
  </si>
  <si>
    <t>DP-3529</t>
  </si>
  <si>
    <t>1503092703230003</t>
  </si>
  <si>
    <t>1503095005540001</t>
  </si>
  <si>
    <t>ROJABIYAH</t>
  </si>
  <si>
    <t>DP-3530</t>
  </si>
  <si>
    <t>1503092703230004</t>
  </si>
  <si>
    <t>2171025305899008</t>
  </si>
  <si>
    <t>EVA MAHDALENA LUMBAN GAOL</t>
  </si>
  <si>
    <t>TJ. MORAWA</t>
  </si>
  <si>
    <t>DP-3531</t>
  </si>
  <si>
    <t>1503092704110002</t>
  </si>
  <si>
    <t>1503091701890001</t>
  </si>
  <si>
    <t>CATUR HARDIYANSYAH</t>
  </si>
  <si>
    <t>DP-3532</t>
  </si>
  <si>
    <t>1503090808670003</t>
  </si>
  <si>
    <t>JAKI</t>
  </si>
  <si>
    <t>DP-3533</t>
  </si>
  <si>
    <t>1503095511720002</t>
  </si>
  <si>
    <t>MUNIAH</t>
  </si>
  <si>
    <t>DP-3534</t>
  </si>
  <si>
    <t>1503092704160005</t>
  </si>
  <si>
    <t>1503092402870003</t>
  </si>
  <si>
    <t>FAJAR TRIYANTO</t>
  </si>
  <si>
    <t>DP-3535</t>
  </si>
  <si>
    <t>1503095501930002</t>
  </si>
  <si>
    <t>RIRIN NURHIDAYATI</t>
  </si>
  <si>
    <t>DP-3536</t>
  </si>
  <si>
    <t>1503092704200002</t>
  </si>
  <si>
    <t>1503091003920003</t>
  </si>
  <si>
    <t>FAJAR ANTONI</t>
  </si>
  <si>
    <t>DP-3537</t>
  </si>
  <si>
    <t>1503096704920002</t>
  </si>
  <si>
    <t>DP-3538</t>
  </si>
  <si>
    <t>1503092705090005</t>
  </si>
  <si>
    <t>1503096110640002</t>
  </si>
  <si>
    <t>BOYEM</t>
  </si>
  <si>
    <t>DP-3539</t>
  </si>
  <si>
    <t>1503090909590002</t>
  </si>
  <si>
    <t>SARMAN SRIYANTO</t>
  </si>
  <si>
    <t>DP-3540</t>
  </si>
  <si>
    <t>1503092705090019</t>
  </si>
  <si>
    <t>1503096011070001</t>
  </si>
  <si>
    <t>ANGGUN RINI RAHMAWATI</t>
  </si>
  <si>
    <t>DP-3541</t>
  </si>
  <si>
    <t>1503091705760002</t>
  </si>
  <si>
    <t>JOKO</t>
  </si>
  <si>
    <t>DP-3542</t>
  </si>
  <si>
    <t>1503096007800004</t>
  </si>
  <si>
    <t>DP-3543</t>
  </si>
  <si>
    <t>1503092705090020</t>
  </si>
  <si>
    <t>1503096204770001</t>
  </si>
  <si>
    <t>NENI SUDIATI</t>
  </si>
  <si>
    <t>DP-3544</t>
  </si>
  <si>
    <t>1503092210750001</t>
  </si>
  <si>
    <t>DP-3545</t>
  </si>
  <si>
    <t>1503092705090021</t>
  </si>
  <si>
    <t>1503095510700002</t>
  </si>
  <si>
    <t>SUGIANTI</t>
  </si>
  <si>
    <t>DP-3546</t>
  </si>
  <si>
    <t>1503090410650001</t>
  </si>
  <si>
    <t>DP-3547</t>
  </si>
  <si>
    <t>1503092705090022</t>
  </si>
  <si>
    <t>1503095104680002</t>
  </si>
  <si>
    <t>PAINAH</t>
  </si>
  <si>
    <t>GEDANG</t>
  </si>
  <si>
    <t>DP-3548</t>
  </si>
  <si>
    <t>1503090505650003</t>
  </si>
  <si>
    <t>DP-3549</t>
  </si>
  <si>
    <t>1503092705090023</t>
  </si>
  <si>
    <t>1503091007550002</t>
  </si>
  <si>
    <t>DP-3550</t>
  </si>
  <si>
    <t>1503092705090028</t>
  </si>
  <si>
    <t>1503091003720003</t>
  </si>
  <si>
    <t>KEMIS. B</t>
  </si>
  <si>
    <t>DP-3551</t>
  </si>
  <si>
    <t>1503092705090030</t>
  </si>
  <si>
    <t>1503095008520001</t>
  </si>
  <si>
    <t>SRI MARGIANTI</t>
  </si>
  <si>
    <t>DP-3552</t>
  </si>
  <si>
    <t>1503092705090032</t>
  </si>
  <si>
    <t>1503095305060001</t>
  </si>
  <si>
    <t>AMMEILIA TUSYA'DIYAH</t>
  </si>
  <si>
    <t>DP-3553</t>
  </si>
  <si>
    <t>1503090811590001</t>
  </si>
  <si>
    <t>SUNARSO</t>
  </si>
  <si>
    <t>DP-3554</t>
  </si>
  <si>
    <t>1503095506640001</t>
  </si>
  <si>
    <t>DP-3555</t>
  </si>
  <si>
    <t>1503092705100010</t>
  </si>
  <si>
    <t>1503096711650004</t>
  </si>
  <si>
    <t>JUMIYEM</t>
  </si>
  <si>
    <t>KORYA</t>
  </si>
  <si>
    <t>DP-3556</t>
  </si>
  <si>
    <t>1503090505640003</t>
  </si>
  <si>
    <t>DP-3557</t>
  </si>
  <si>
    <t>1503091206050002</t>
  </si>
  <si>
    <t>TOMI SULISTIO</t>
  </si>
  <si>
    <t>DP-3558</t>
  </si>
  <si>
    <t>1503092705240004</t>
  </si>
  <si>
    <t>1503094511750003</t>
  </si>
  <si>
    <t>RAMIJEM</t>
  </si>
  <si>
    <t>DP-3559</t>
  </si>
  <si>
    <t>1503092707150001</t>
  </si>
  <si>
    <t>1812017112660012</t>
  </si>
  <si>
    <t>LASINEM</t>
  </si>
  <si>
    <t>DP-3560</t>
  </si>
  <si>
    <t>1812012511800008</t>
  </si>
  <si>
    <t>RASUN</t>
  </si>
  <si>
    <t>DP-3561</t>
  </si>
  <si>
    <t>1812013108820003</t>
  </si>
  <si>
    <t>SALIKUN</t>
  </si>
  <si>
    <t>DP-3562</t>
  </si>
  <si>
    <t>1812011702970006</t>
  </si>
  <si>
    <t>TRIYONO</t>
  </si>
  <si>
    <t>DP-3563</t>
  </si>
  <si>
    <t>1503092707200002</t>
  </si>
  <si>
    <t>1805134906920006</t>
  </si>
  <si>
    <t>EVIA WINDI YUNISTIA</t>
  </si>
  <si>
    <t>DP-3564</t>
  </si>
  <si>
    <t>1503092707220005</t>
  </si>
  <si>
    <t>1503096108900001</t>
  </si>
  <si>
    <t>CICA ARTANTI</t>
  </si>
  <si>
    <t>JLN RAMBE JAYA</t>
  </si>
  <si>
    <t>DP-3565</t>
  </si>
  <si>
    <t>1503094505070002</t>
  </si>
  <si>
    <t>MEILA BUNGA ARIANTI</t>
  </si>
  <si>
    <t>DP-3566</t>
  </si>
  <si>
    <t>1502210602920001</t>
  </si>
  <si>
    <t>MUANTO</t>
  </si>
  <si>
    <t>DP-3567</t>
  </si>
  <si>
    <t>1503092708200004</t>
  </si>
  <si>
    <t>1503090804010002</t>
  </si>
  <si>
    <t>FAHLUL BAHRI</t>
  </si>
  <si>
    <t>DP-3568</t>
  </si>
  <si>
    <t>1503094902990003</t>
  </si>
  <si>
    <t>FITRIA NURAINI</t>
  </si>
  <si>
    <t>DP-3569</t>
  </si>
  <si>
    <t>1503094610760002</t>
  </si>
  <si>
    <t>MAHMUDAH</t>
  </si>
  <si>
    <t>DP-3570</t>
  </si>
  <si>
    <t>1503092709100009</t>
  </si>
  <si>
    <t>1503094505790005</t>
  </si>
  <si>
    <t>DP-3571</t>
  </si>
  <si>
    <t>1503092606980007</t>
  </si>
  <si>
    <t>MUHAMMAD RIFA'I</t>
  </si>
  <si>
    <t>DP-3572</t>
  </si>
  <si>
    <t>1503096608010003</t>
  </si>
  <si>
    <t>TUTUT LIRNA SUGANDI</t>
  </si>
  <si>
    <t>DP-3573</t>
  </si>
  <si>
    <t>1503092006730002</t>
  </si>
  <si>
    <t>WANDI</t>
  </si>
  <si>
    <t>DP-3574</t>
  </si>
  <si>
    <t>1503092709100010</t>
  </si>
  <si>
    <t>1503091312790003</t>
  </si>
  <si>
    <t>RIANTO</t>
  </si>
  <si>
    <t>DP-3575</t>
  </si>
  <si>
    <t>1503096003860002</t>
  </si>
  <si>
    <t>RISNAWATI</t>
  </si>
  <si>
    <t>DP-3576</t>
  </si>
  <si>
    <t>1503092709210001</t>
  </si>
  <si>
    <t>1503053110970001</t>
  </si>
  <si>
    <t>BAGUS SAPUTRA</t>
  </si>
  <si>
    <t>AEK NABARA</t>
  </si>
  <si>
    <t>DP-3577</t>
  </si>
  <si>
    <t>1503094107980026</t>
  </si>
  <si>
    <t>DP-3578</t>
  </si>
  <si>
    <t>1503092709230001</t>
  </si>
  <si>
    <t>1503092606980008</t>
  </si>
  <si>
    <t>TIAN VELI YUDA</t>
  </si>
  <si>
    <t>DP-3579</t>
  </si>
  <si>
    <t>1503096507980001</t>
  </si>
  <si>
    <t>YOGI ALFIANI PUTRI</t>
  </si>
  <si>
    <t>DP-3580</t>
  </si>
  <si>
    <t>1503092709230005</t>
  </si>
  <si>
    <t>1503090508980002</t>
  </si>
  <si>
    <t>AMIN SHOLIKHIN</t>
  </si>
  <si>
    <t>DP-3581</t>
  </si>
  <si>
    <t>1503094912000002</t>
  </si>
  <si>
    <t>YETI NURHAYATI</t>
  </si>
  <si>
    <t>DP-3582</t>
  </si>
  <si>
    <t>1503092711080001</t>
  </si>
  <si>
    <t>1503091212550003</t>
  </si>
  <si>
    <t>DARMO YADI</t>
  </si>
  <si>
    <t>DP-3583</t>
  </si>
  <si>
    <t>1503094905680004</t>
  </si>
  <si>
    <t>DP-3584</t>
  </si>
  <si>
    <t>1503092711120001</t>
  </si>
  <si>
    <t>1503092304890003</t>
  </si>
  <si>
    <t>ARIS WIJAKSONO</t>
  </si>
  <si>
    <t>GERSIK</t>
  </si>
  <si>
    <t>DP-3585</t>
  </si>
  <si>
    <t>1503092611050002</t>
  </si>
  <si>
    <t>EKHSAN RIZKY PRASETIYA</t>
  </si>
  <si>
    <t>DP-3586</t>
  </si>
  <si>
    <t>1503094502770001</t>
  </si>
  <si>
    <t>DP-3587</t>
  </si>
  <si>
    <t>1503092711130003</t>
  </si>
  <si>
    <t>1503090407810001</t>
  </si>
  <si>
    <t>DP-3588</t>
  </si>
  <si>
    <t>1503094101920003</t>
  </si>
  <si>
    <t>TIKA JULI SETIAWATI</t>
  </si>
  <si>
    <t>TANJUNG</t>
  </si>
  <si>
    <t>DP-3589</t>
  </si>
  <si>
    <t>1503092711130004</t>
  </si>
  <si>
    <t>1503094808880009</t>
  </si>
  <si>
    <t>MEGA WATI</t>
  </si>
  <si>
    <t>LESUNG BATU</t>
  </si>
  <si>
    <t>DP-3590</t>
  </si>
  <si>
    <t>1503092705880001</t>
  </si>
  <si>
    <t>SUBUR SANTOSO</t>
  </si>
  <si>
    <t>DP-3591</t>
  </si>
  <si>
    <t>1503092711170003</t>
  </si>
  <si>
    <t>1605124403880001</t>
  </si>
  <si>
    <t>DEWI SETIO NINGSIH</t>
  </si>
  <si>
    <t>DP-3592</t>
  </si>
  <si>
    <t>1503090804900002</t>
  </si>
  <si>
    <t>HENDI APRIAN</t>
  </si>
  <si>
    <t>DP-3593</t>
  </si>
  <si>
    <t>1503092711180001</t>
  </si>
  <si>
    <t>1503095902940001</t>
  </si>
  <si>
    <t>NININ ERNIAWATI</t>
  </si>
  <si>
    <t>DP-3594</t>
  </si>
  <si>
    <t>1503093001860002</t>
  </si>
  <si>
    <t>RIYON RIANTO</t>
  </si>
  <si>
    <t>DP-3595</t>
  </si>
  <si>
    <t>1503092712100012</t>
  </si>
  <si>
    <t>1503090607860002</t>
  </si>
  <si>
    <t>EDI SUTIONO</t>
  </si>
  <si>
    <t>DP-3596</t>
  </si>
  <si>
    <t>1503091404540001</t>
  </si>
  <si>
    <t>KADI</t>
  </si>
  <si>
    <t>DP-3597</t>
  </si>
  <si>
    <t>1503095510580001</t>
  </si>
  <si>
    <t>LASMI</t>
  </si>
  <si>
    <t>DP-3598</t>
  </si>
  <si>
    <t>1503092712160003</t>
  </si>
  <si>
    <t>1503094109970002</t>
  </si>
  <si>
    <t>ANA SOLEHAH RUKMINAR</t>
  </si>
  <si>
    <t>DP-3599</t>
  </si>
  <si>
    <t>1503092002880002</t>
  </si>
  <si>
    <t>SYAIFUL HIDAYAT</t>
  </si>
  <si>
    <t>DP-3600</t>
  </si>
  <si>
    <t>1503092712210002</t>
  </si>
  <si>
    <t>1503091406870001</t>
  </si>
  <si>
    <t>HADI PURWANTO</t>
  </si>
  <si>
    <t>GUNUNG BATIN UDIK</t>
  </si>
  <si>
    <t>DP-3601</t>
  </si>
  <si>
    <t>3509166503930005</t>
  </si>
  <si>
    <t>SITI FITRIAH</t>
  </si>
  <si>
    <t>DP-3602</t>
  </si>
  <si>
    <t>1503092801080002</t>
  </si>
  <si>
    <t>Belum Ketemu pasangane</t>
  </si>
  <si>
    <t>1503095012450001</t>
  </si>
  <si>
    <t>SADINAH</t>
  </si>
  <si>
    <t>DSN PAYO LEBAR</t>
  </si>
  <si>
    <t>DP-3603</t>
  </si>
  <si>
    <t>1503092801080003</t>
  </si>
  <si>
    <t>1503095011800002</t>
  </si>
  <si>
    <t>LENI ALPA SUSANTI</t>
  </si>
  <si>
    <t>DP-3604</t>
  </si>
  <si>
    <t>1503090107690033</t>
  </si>
  <si>
    <t>TUJUAN</t>
  </si>
  <si>
    <t>DP-3605</t>
  </si>
  <si>
    <t>1503092801080006</t>
  </si>
  <si>
    <t>1503095912010001</t>
  </si>
  <si>
    <t>HERA SAFITRI</t>
  </si>
  <si>
    <t>DP-3606</t>
  </si>
  <si>
    <t>1503090107570033</t>
  </si>
  <si>
    <t>NGARGOYOSO</t>
  </si>
  <si>
    <t>DP-3607</t>
  </si>
  <si>
    <t>1503094107720048</t>
  </si>
  <si>
    <t>DP-3608</t>
  </si>
  <si>
    <t>1503092801080008</t>
  </si>
  <si>
    <t>1503095704740001</t>
  </si>
  <si>
    <t>MARIKEM</t>
  </si>
  <si>
    <t>DP-3609</t>
  </si>
  <si>
    <t>1503092801080015</t>
  </si>
  <si>
    <t>1503094107650047</t>
  </si>
  <si>
    <t>INAH</t>
  </si>
  <si>
    <t>DP-3610</t>
  </si>
  <si>
    <t>1503092801080020</t>
  </si>
  <si>
    <t>1503090710660001</t>
  </si>
  <si>
    <t>LAMIN</t>
  </si>
  <si>
    <t>DP-3611</t>
  </si>
  <si>
    <t>1503095003710003</t>
  </si>
  <si>
    <t>SUGIARTI</t>
  </si>
  <si>
    <t>DP-3612</t>
  </si>
  <si>
    <t>1503092801080021</t>
  </si>
  <si>
    <t>1503095707280001</t>
  </si>
  <si>
    <t>SATIEM</t>
  </si>
  <si>
    <t>DP-3613</t>
  </si>
  <si>
    <t>1503092801080023</t>
  </si>
  <si>
    <t>1503092905790001</t>
  </si>
  <si>
    <t>KATENI</t>
  </si>
  <si>
    <t>DP-3614</t>
  </si>
  <si>
    <t>1503092112020001</t>
  </si>
  <si>
    <t>KEVIN SETIAWAN</t>
  </si>
  <si>
    <t>DP-3615</t>
  </si>
  <si>
    <t>1503094103800002</t>
  </si>
  <si>
    <t>DP-3616</t>
  </si>
  <si>
    <t>1503092801080024</t>
  </si>
  <si>
    <t>1503094107530021</t>
  </si>
  <si>
    <t>MINI</t>
  </si>
  <si>
    <t>DP-3617</t>
  </si>
  <si>
    <t>1503092801080026</t>
  </si>
  <si>
    <t>1503094612800002</t>
  </si>
  <si>
    <t>KATINI</t>
  </si>
  <si>
    <t>DP-3618</t>
  </si>
  <si>
    <t>1503096911000004</t>
  </si>
  <si>
    <t>LIZA ERLYA</t>
  </si>
  <si>
    <t>DP-3619</t>
  </si>
  <si>
    <t>1503091212740004</t>
  </si>
  <si>
    <t>MURADIN</t>
  </si>
  <si>
    <t>DP-3620</t>
  </si>
  <si>
    <t>1503092903960003</t>
  </si>
  <si>
    <t>WAHYU DINANTO</t>
  </si>
  <si>
    <t>DP-3621</t>
  </si>
  <si>
    <t>1503092801080028</t>
  </si>
  <si>
    <t>1503091005680001</t>
  </si>
  <si>
    <t>ASNAWI</t>
  </si>
  <si>
    <t>DP-3622</t>
  </si>
  <si>
    <t>1503094201060001</t>
  </si>
  <si>
    <t>MERLINA ANJAINI</t>
  </si>
  <si>
    <t>DP-3623</t>
  </si>
  <si>
    <t>1503095004720001</t>
  </si>
  <si>
    <t>DP-3624</t>
  </si>
  <si>
    <t>1503092801080031</t>
  </si>
  <si>
    <t>1503093008010001</t>
  </si>
  <si>
    <t>ALFIN ARDIANTO</t>
  </si>
  <si>
    <t>DP-3625</t>
  </si>
  <si>
    <t>1503093103790001</t>
  </si>
  <si>
    <t>SAYFUL AMIN</t>
  </si>
  <si>
    <t>DP-3626</t>
  </si>
  <si>
    <t>1503095707830004</t>
  </si>
  <si>
    <t>DP-3627</t>
  </si>
  <si>
    <t>1503092801080039</t>
  </si>
  <si>
    <t>1503091206050003</t>
  </si>
  <si>
    <t>ELVANDO AL TRIADI</t>
  </si>
  <si>
    <t>DP-3628</t>
  </si>
  <si>
    <t>1503091806810001</t>
  </si>
  <si>
    <t>SATIRAH</t>
  </si>
  <si>
    <t>DP-3629</t>
  </si>
  <si>
    <t>1503092801090014</t>
  </si>
  <si>
    <t>1503091712770004</t>
  </si>
  <si>
    <t>BADRUN</t>
  </si>
  <si>
    <t>SUKO MULYO</t>
  </si>
  <si>
    <t>DP-3630</t>
  </si>
  <si>
    <t>1503091010060004</t>
  </si>
  <si>
    <t>MUHAMMAD RABAH AL BADRUNI</t>
  </si>
  <si>
    <t>DP-3631</t>
  </si>
  <si>
    <t>1503096203740002</t>
  </si>
  <si>
    <t>ROHMATILAH</t>
  </si>
  <si>
    <t>DP-3632</t>
  </si>
  <si>
    <t>1503092801090015</t>
  </si>
  <si>
    <t>1503090411570001</t>
  </si>
  <si>
    <t>DP-3633</t>
  </si>
  <si>
    <t>1503095306630001</t>
  </si>
  <si>
    <t>DP-3634</t>
  </si>
  <si>
    <t>1503092801090018</t>
  </si>
  <si>
    <t>1503091210790002</t>
  </si>
  <si>
    <t>ANTONIUS</t>
  </si>
  <si>
    <t>DP-3635</t>
  </si>
  <si>
    <t>1503094101940003</t>
  </si>
  <si>
    <t>VITA RIA DESI WIJAYA</t>
  </si>
  <si>
    <t>DP-3636</t>
  </si>
  <si>
    <t>1503092801100008</t>
  </si>
  <si>
    <t>1503094107680069</t>
  </si>
  <si>
    <t>MUNTIAH</t>
  </si>
  <si>
    <t>SALA TIGO</t>
  </si>
  <si>
    <t>DP-3637</t>
  </si>
  <si>
    <t>1503092801110007</t>
  </si>
  <si>
    <t>1503094302740001</t>
  </si>
  <si>
    <t>ASTUTIK</t>
  </si>
  <si>
    <t>SINGKUR PAYOLEBAR</t>
  </si>
  <si>
    <t>DP-3638</t>
  </si>
  <si>
    <t>1503092610050002</t>
  </si>
  <si>
    <t>DIMAS RAMADANI</t>
  </si>
  <si>
    <t>DP-3639</t>
  </si>
  <si>
    <t>1503092509970002</t>
  </si>
  <si>
    <t>FAISAL AKBAR</t>
  </si>
  <si>
    <t>DP-3640</t>
  </si>
  <si>
    <t>1503092801120002</t>
  </si>
  <si>
    <t>1503091809030001</t>
  </si>
  <si>
    <t>JAGAD SAPUTRA</t>
  </si>
  <si>
    <t>DUSN SUKA JADI</t>
  </si>
  <si>
    <t>DP-3641</t>
  </si>
  <si>
    <t>1503092505680003</t>
  </si>
  <si>
    <t>DP-3642</t>
  </si>
  <si>
    <t>1503092510960004</t>
  </si>
  <si>
    <t>SIROJUDDIN</t>
  </si>
  <si>
    <t>DP-3643</t>
  </si>
  <si>
    <t>1503096008780001</t>
  </si>
  <si>
    <t>DP-3644</t>
  </si>
  <si>
    <t>1503092801120006</t>
  </si>
  <si>
    <t>1503091202070002</t>
  </si>
  <si>
    <t>FEBRIAN ZULFANDI GARINGGING</t>
  </si>
  <si>
    <t>DP-3645</t>
  </si>
  <si>
    <t>1503090702810005</t>
  </si>
  <si>
    <t>JESICA ROLEX GARINGGING</t>
  </si>
  <si>
    <t>DP-3646</t>
  </si>
  <si>
    <t>1503096808060001</t>
  </si>
  <si>
    <t>NAIYA CHANDRA WINATA</t>
  </si>
  <si>
    <t>DP-3647</t>
  </si>
  <si>
    <t>1503095111860006</t>
  </si>
  <si>
    <t>SHERLYNA NOVIANTI MANURUNG</t>
  </si>
  <si>
    <t>DP-3648</t>
  </si>
  <si>
    <t>1503092801200005</t>
  </si>
  <si>
    <t>1503094107800008</t>
  </si>
  <si>
    <t>NUR ASIAH</t>
  </si>
  <si>
    <t>DP-3649</t>
  </si>
  <si>
    <t>1503094409050004</t>
  </si>
  <si>
    <t>PINGKAN AMALLIA</t>
  </si>
  <si>
    <t>DP-3650</t>
  </si>
  <si>
    <t>1503090107730005</t>
  </si>
  <si>
    <t>SURYANTO</t>
  </si>
  <si>
    <t>DP-3651</t>
  </si>
  <si>
    <t>1503092802180005</t>
  </si>
  <si>
    <t>1605033005630001</t>
  </si>
  <si>
    <t>SUWARTO</t>
  </si>
  <si>
    <t>DP-3652</t>
  </si>
  <si>
    <t>1503092802190003</t>
  </si>
  <si>
    <t>1503095203690001</t>
  </si>
  <si>
    <t>DP-3653</t>
  </si>
  <si>
    <t>1503092802190005</t>
  </si>
  <si>
    <t>1503095103930001</t>
  </si>
  <si>
    <t>IMALA SARI</t>
  </si>
  <si>
    <t>DP-3654</t>
  </si>
  <si>
    <t>1503092010910003</t>
  </si>
  <si>
    <t>JON RIDWAN. HT</t>
  </si>
  <si>
    <t>DP-3655</t>
  </si>
  <si>
    <t>1503092803090002</t>
  </si>
  <si>
    <t>1503090107070020</t>
  </si>
  <si>
    <t>ANDRI PRAYUGO</t>
  </si>
  <si>
    <t>DP-3656</t>
  </si>
  <si>
    <t>1503090107980058</t>
  </si>
  <si>
    <t>FENDI MAHANDIKA</t>
  </si>
  <si>
    <t>DP-3657</t>
  </si>
  <si>
    <t>1503090107650063</t>
  </si>
  <si>
    <t>PAIMUN</t>
  </si>
  <si>
    <t>DP-3658</t>
  </si>
  <si>
    <t>1503094904720001</t>
  </si>
  <si>
    <t>DP-3659</t>
  </si>
  <si>
    <t>1503092803090003</t>
  </si>
  <si>
    <t>1503090107400031</t>
  </si>
  <si>
    <t>DP-3660</t>
  </si>
  <si>
    <t>1503094107620045</t>
  </si>
  <si>
    <t>SAPEN</t>
  </si>
  <si>
    <t>DP-3661</t>
  </si>
  <si>
    <t>1503092803090005</t>
  </si>
  <si>
    <t>1503091604820001</t>
  </si>
  <si>
    <t>JUWAIR</t>
  </si>
  <si>
    <t>DP-3662</t>
  </si>
  <si>
    <t>1503092803090006</t>
  </si>
  <si>
    <t>1503091608850002</t>
  </si>
  <si>
    <t>AGUS KHOLIL</t>
  </si>
  <si>
    <t>DP-3663</t>
  </si>
  <si>
    <t>1503092708050001</t>
  </si>
  <si>
    <t>DEVA GUSTI PRATAMA</t>
  </si>
  <si>
    <t>DP-3664</t>
  </si>
  <si>
    <t>1503095205860001</t>
  </si>
  <si>
    <t>DP-3665</t>
  </si>
  <si>
    <t>1503092803090007</t>
  </si>
  <si>
    <t>1503096308040002</t>
  </si>
  <si>
    <t>ICHA TASYA ANGELINA</t>
  </si>
  <si>
    <t>DP-3666</t>
  </si>
  <si>
    <t>1503092611760001</t>
  </si>
  <si>
    <t>RIYAN SIHONO</t>
  </si>
  <si>
    <t>DP-3667</t>
  </si>
  <si>
    <t>1503096408030002</t>
  </si>
  <si>
    <t>SHERLI PRAMUDIFA ARIMBI</t>
  </si>
  <si>
    <t>DP-3668</t>
  </si>
  <si>
    <t>1503094909840003</t>
  </si>
  <si>
    <t>DP-3669</t>
  </si>
  <si>
    <t>1503092803090011</t>
  </si>
  <si>
    <t>1503092911070001</t>
  </si>
  <si>
    <t>BAGAS SAPUTRA</t>
  </si>
  <si>
    <t>DP-3670</t>
  </si>
  <si>
    <t>1503090309850001</t>
  </si>
  <si>
    <t>DP-3671</t>
  </si>
  <si>
    <t>1503095212900003</t>
  </si>
  <si>
    <t>TRI HANDAYANI</t>
  </si>
  <si>
    <t>DP-3672</t>
  </si>
  <si>
    <t>1503092803090014</t>
  </si>
  <si>
    <t>1503091502750001</t>
  </si>
  <si>
    <t>GIYAT AL AKHYAR</t>
  </si>
  <si>
    <t>DP-3673</t>
  </si>
  <si>
    <t>1503094711750001</t>
  </si>
  <si>
    <t>SRIYATUN</t>
  </si>
  <si>
    <t>DP-3674</t>
  </si>
  <si>
    <t>1503092803090019</t>
  </si>
  <si>
    <t>1503090212820001</t>
  </si>
  <si>
    <t>DEDI SUPRIYADI</t>
  </si>
  <si>
    <t>DP-3675</t>
  </si>
  <si>
    <t>1503094702840001</t>
  </si>
  <si>
    <t>DP-3676</t>
  </si>
  <si>
    <t>1503092803090020</t>
  </si>
  <si>
    <t>1503094304440001</t>
  </si>
  <si>
    <t>PONIJAH</t>
  </si>
  <si>
    <t>DP-3677</t>
  </si>
  <si>
    <t>1503092803140001</t>
  </si>
  <si>
    <t>1503092412800002</t>
  </si>
  <si>
    <t>DP-3678</t>
  </si>
  <si>
    <t>1503095401900001</t>
  </si>
  <si>
    <t>WIKI SETIAWATY</t>
  </si>
  <si>
    <t>DP-3679</t>
  </si>
  <si>
    <t>1503092803230002</t>
  </si>
  <si>
    <t>1503094808840003</t>
  </si>
  <si>
    <t>AGUS TINI</t>
  </si>
  <si>
    <t>LB. LINGGAU</t>
  </si>
  <si>
    <t>DP-3680</t>
  </si>
  <si>
    <t>1503092803230005</t>
  </si>
  <si>
    <t>1503094904500001</t>
  </si>
  <si>
    <t>PUNGATI</t>
  </si>
  <si>
    <t>DP-3681</t>
  </si>
  <si>
    <t>1503092804090003</t>
  </si>
  <si>
    <t>1503096608830001</t>
  </si>
  <si>
    <t>ERNA JUWAIRIYATI</t>
  </si>
  <si>
    <t>KUDUS</t>
  </si>
  <si>
    <t>DP-3682</t>
  </si>
  <si>
    <t>1503093006800001</t>
  </si>
  <si>
    <t>DP-3683</t>
  </si>
  <si>
    <t>1503092804090008</t>
  </si>
  <si>
    <t>1503090805980003</t>
  </si>
  <si>
    <t>HAFID ADI MAULANA</t>
  </si>
  <si>
    <t>DP-3684</t>
  </si>
  <si>
    <t>1503096802650001</t>
  </si>
  <si>
    <t>MARATUS SHOLEHAH</t>
  </si>
  <si>
    <t>DP-3685</t>
  </si>
  <si>
    <t>1503091607630003</t>
  </si>
  <si>
    <t>WARSITO</t>
  </si>
  <si>
    <t>DP-3686</t>
  </si>
  <si>
    <t>1503092804100001</t>
  </si>
  <si>
    <t>1503093108010002</t>
  </si>
  <si>
    <t>ALFIANSAH</t>
  </si>
  <si>
    <t>DP-3687</t>
  </si>
  <si>
    <t>1503095002750005</t>
  </si>
  <si>
    <t>BANDIYAH</t>
  </si>
  <si>
    <t>DP-3688</t>
  </si>
  <si>
    <t>1503091203660002</t>
  </si>
  <si>
    <t>DP-3689</t>
  </si>
  <si>
    <t>1503092804100002</t>
  </si>
  <si>
    <t>1503092801060002</t>
  </si>
  <si>
    <t>FADILAH RIYALDI</t>
  </si>
  <si>
    <t>DP-3690</t>
  </si>
  <si>
    <t>1503090404690004</t>
  </si>
  <si>
    <t>HADI SUYITNO</t>
  </si>
  <si>
    <t>DP-3691</t>
  </si>
  <si>
    <t>1503091005000005</t>
  </si>
  <si>
    <t>ILHAM ALHADI MASDHUHRI</t>
  </si>
  <si>
    <t>DP-3692</t>
  </si>
  <si>
    <t>1503092804100019</t>
  </si>
  <si>
    <t>1503095909770001</t>
  </si>
  <si>
    <t>DARTINI</t>
  </si>
  <si>
    <t>DP-3693</t>
  </si>
  <si>
    <t>1503092708040002</t>
  </si>
  <si>
    <t>HERU KURNIA</t>
  </si>
  <si>
    <t>DP-3694</t>
  </si>
  <si>
    <t>1503091010690007</t>
  </si>
  <si>
    <t>SUKIRMAN</t>
  </si>
  <si>
    <t>DP-3695</t>
  </si>
  <si>
    <t>1503092804100020</t>
  </si>
  <si>
    <t>1503091108980003</t>
  </si>
  <si>
    <t>AGUS SAPUTRA</t>
  </si>
  <si>
    <t>DP-3696</t>
  </si>
  <si>
    <t>1503090503000002</t>
  </si>
  <si>
    <t>LUKI HARDIYANTO</t>
  </si>
  <si>
    <t>DP-3697</t>
  </si>
  <si>
    <t>1503093009690002</t>
  </si>
  <si>
    <t>DP-3698</t>
  </si>
  <si>
    <t>1503092804160002</t>
  </si>
  <si>
    <t>1503090601670001</t>
  </si>
  <si>
    <t>ABDUL MAJID</t>
  </si>
  <si>
    <t>SUNGAI ABANG</t>
  </si>
  <si>
    <t>POSTU PAYO LEBAR</t>
  </si>
  <si>
    <t>DP-3699</t>
  </si>
  <si>
    <t>1503092201070003</t>
  </si>
  <si>
    <t>DEKI ANDREAN</t>
  </si>
  <si>
    <t>DP-3700</t>
  </si>
  <si>
    <t>1503095905730001</t>
  </si>
  <si>
    <t>SRI MULYANA RAYA</t>
  </si>
  <si>
    <t>DP-3701</t>
  </si>
  <si>
    <t>1503094703980002</t>
  </si>
  <si>
    <t>ULFA PRISALINGGA</t>
  </si>
  <si>
    <t>DP-3702</t>
  </si>
  <si>
    <t>1503092804210001</t>
  </si>
  <si>
    <t>1503094402560001</t>
  </si>
  <si>
    <t>DP-3703</t>
  </si>
  <si>
    <t>1503094605990001</t>
  </si>
  <si>
    <t>VELLA ARUM MARA SUCI</t>
  </si>
  <si>
    <t>DP-3704</t>
  </si>
  <si>
    <t>1503092806100002</t>
  </si>
  <si>
    <t>1503091604980002</t>
  </si>
  <si>
    <t>NUR ALIM</t>
  </si>
  <si>
    <t>DP-3705</t>
  </si>
  <si>
    <t>1503091101700001</t>
  </si>
  <si>
    <t>DP-3706</t>
  </si>
  <si>
    <t>1503096912720002</t>
  </si>
  <si>
    <t>DP-3707</t>
  </si>
  <si>
    <t>1503092806100013</t>
  </si>
  <si>
    <t>1503092103730005</t>
  </si>
  <si>
    <t>DP-3708</t>
  </si>
  <si>
    <t>1503096801060002</t>
  </si>
  <si>
    <t>SARI AINUN NISA</t>
  </si>
  <si>
    <t>DP-3709</t>
  </si>
  <si>
    <t>1503095011760003</t>
  </si>
  <si>
    <t>TASDIKOH</t>
  </si>
  <si>
    <t>DP-3710</t>
  </si>
  <si>
    <t>1503094602990001</t>
  </si>
  <si>
    <t>VELISA VERIANTI</t>
  </si>
  <si>
    <t>DP-3711</t>
  </si>
  <si>
    <t>1503092806100014</t>
  </si>
  <si>
    <t>1503091506460001</t>
  </si>
  <si>
    <t>RUSBAT</t>
  </si>
  <si>
    <t>DP-3712</t>
  </si>
  <si>
    <t>1503094709500001</t>
  </si>
  <si>
    <t>SAIROH</t>
  </si>
  <si>
    <t>DP-3713</t>
  </si>
  <si>
    <t>1503092806100015</t>
  </si>
  <si>
    <t>1503096402900001</t>
  </si>
  <si>
    <t>MERASI</t>
  </si>
  <si>
    <t>DP-3714</t>
  </si>
  <si>
    <t>1503090303840004</t>
  </si>
  <si>
    <t>SUBADRI</t>
  </si>
  <si>
    <t>DP-3715</t>
  </si>
  <si>
    <t>1503092806100017</t>
  </si>
  <si>
    <t>1503091710940002</t>
  </si>
  <si>
    <t>A. RIAN HANDOKO</t>
  </si>
  <si>
    <t>DP-3716</t>
  </si>
  <si>
    <t>1503092808570002</t>
  </si>
  <si>
    <t>RUSLAN RAICHAN</t>
  </si>
  <si>
    <t>MADIUM</t>
  </si>
  <si>
    <t>DP-3717</t>
  </si>
  <si>
    <t>1503094107610032</t>
  </si>
  <si>
    <t>SITI ROHMANIATUN</t>
  </si>
  <si>
    <t>DP-3718</t>
  </si>
  <si>
    <t>1503092806100032</t>
  </si>
  <si>
    <t>1503092505000005</t>
  </si>
  <si>
    <t>SLAMET MISWANDI</t>
  </si>
  <si>
    <t>DUSUN VI SIDOREJO</t>
  </si>
  <si>
    <t>DP-3719</t>
  </si>
  <si>
    <t>1503092806220004</t>
  </si>
  <si>
    <t>1503093110960002</t>
  </si>
  <si>
    <t>BAYU ARDIANSYAH</t>
  </si>
  <si>
    <t>DP-3720</t>
  </si>
  <si>
    <t>1506065201980001</t>
  </si>
  <si>
    <t>1503090210240014</t>
  </si>
  <si>
    <t>NOVI PARAMITA DEWI</t>
  </si>
  <si>
    <t>DP-3721</t>
  </si>
  <si>
    <t>1503092807100003</t>
  </si>
  <si>
    <t>1503091202010002</t>
  </si>
  <si>
    <t>DIMAS RISTANTO</t>
  </si>
  <si>
    <t>DP-3722</t>
  </si>
  <si>
    <t>1503094907060002</t>
  </si>
  <si>
    <t>IMA ADELIA PUTRI</t>
  </si>
  <si>
    <t>DP-3723</t>
  </si>
  <si>
    <t>1503090104680002</t>
  </si>
  <si>
    <t>DP-3724</t>
  </si>
  <si>
    <t>1503095507770003</t>
  </si>
  <si>
    <t>DP-3725</t>
  </si>
  <si>
    <t>1503092807100004</t>
  </si>
  <si>
    <t>1503090109550002</t>
  </si>
  <si>
    <t>KARDI TASLIM</t>
  </si>
  <si>
    <t>DP-3726</t>
  </si>
  <si>
    <t>1503096506660001</t>
  </si>
  <si>
    <t>DP-3727</t>
  </si>
  <si>
    <t>1503092807100005</t>
  </si>
  <si>
    <t>1503090506650002</t>
  </si>
  <si>
    <t>KUSRIN</t>
  </si>
  <si>
    <t>DP-3728</t>
  </si>
  <si>
    <t>1503095309060005</t>
  </si>
  <si>
    <t>MELA KURNIYATI</t>
  </si>
  <si>
    <t>DP-3729</t>
  </si>
  <si>
    <t>1503095206840003</t>
  </si>
  <si>
    <t>MARTA PURA</t>
  </si>
  <si>
    <t>DP-3730</t>
  </si>
  <si>
    <t>1503092807100006</t>
  </si>
  <si>
    <t>1503095501960002</t>
  </si>
  <si>
    <t>ERNA MINAWATI</t>
  </si>
  <si>
    <t>DP-3731</t>
  </si>
  <si>
    <t>1503095104880003</t>
  </si>
  <si>
    <t>SITI ASIYAH</t>
  </si>
  <si>
    <t>DP-3732</t>
  </si>
  <si>
    <t>1503090107510033</t>
  </si>
  <si>
    <t>DP-3733</t>
  </si>
  <si>
    <t>1503092807100015</t>
  </si>
  <si>
    <t>1503094706690001</t>
  </si>
  <si>
    <t>SITI DAIROH</t>
  </si>
  <si>
    <t>DP-3734</t>
  </si>
  <si>
    <t>1503092102610001</t>
  </si>
  <si>
    <t>WAGIYO</t>
  </si>
  <si>
    <t>DP-3735</t>
  </si>
  <si>
    <t>1503092807100019</t>
  </si>
  <si>
    <t>1503090808840002</t>
  </si>
  <si>
    <t>SAMSUL AWALUDIN</t>
  </si>
  <si>
    <t>DUSUN IV PAYO LEBAR</t>
  </si>
  <si>
    <t>DP-3736</t>
  </si>
  <si>
    <t>1503095703900001</t>
  </si>
  <si>
    <t>DP-3737</t>
  </si>
  <si>
    <t>1503092807100020</t>
  </si>
  <si>
    <t>1503092007680003</t>
  </si>
  <si>
    <t>KADENI</t>
  </si>
  <si>
    <t>DP-3738</t>
  </si>
  <si>
    <t>1503095907600001</t>
  </si>
  <si>
    <t>DP-3739</t>
  </si>
  <si>
    <t>1503092807100027</t>
  </si>
  <si>
    <t>1503092506750001</t>
  </si>
  <si>
    <t>MANGIN</t>
  </si>
  <si>
    <t>DP-3740</t>
  </si>
  <si>
    <t>1503092910050004</t>
  </si>
  <si>
    <t>RAHMAD OKTA PIYA RAHMADAN</t>
  </si>
  <si>
    <t>DP-3741</t>
  </si>
  <si>
    <t>1503096606830003</t>
  </si>
  <si>
    <t>WIWIT</t>
  </si>
  <si>
    <t>DP-3742</t>
  </si>
  <si>
    <t>1503092807110003</t>
  </si>
  <si>
    <t>1503094804870003</t>
  </si>
  <si>
    <t>DWI SETIAWATI</t>
  </si>
  <si>
    <t>DP-3743</t>
  </si>
  <si>
    <t>1503090812820001</t>
  </si>
  <si>
    <t>JAJAK</t>
  </si>
  <si>
    <t>DP-3744</t>
  </si>
  <si>
    <t>1503092303070001</t>
  </si>
  <si>
    <t>MUHAMMAD FAUZAL ADI PRATAMA</t>
  </si>
  <si>
    <t>DP-3745</t>
  </si>
  <si>
    <t>1503092807220002</t>
  </si>
  <si>
    <t>1503094208000001</t>
  </si>
  <si>
    <t>MIA PRATIWI</t>
  </si>
  <si>
    <t>DP-3746</t>
  </si>
  <si>
    <t>1702110806800002</t>
  </si>
  <si>
    <t>SAMPE</t>
  </si>
  <si>
    <t>DP-3747</t>
  </si>
  <si>
    <t>1503092807220006</t>
  </si>
  <si>
    <t>1503094311000002</t>
  </si>
  <si>
    <t>NANDA WULANDARI</t>
  </si>
  <si>
    <t>DP-3748</t>
  </si>
  <si>
    <t>1503091010970004</t>
  </si>
  <si>
    <t>DP-3749</t>
  </si>
  <si>
    <t>1503092807220008</t>
  </si>
  <si>
    <t>1503094107350007</t>
  </si>
  <si>
    <t>RUKINAH</t>
  </si>
  <si>
    <t>DP-3750</t>
  </si>
  <si>
    <t>1503092807220009</t>
  </si>
  <si>
    <t>1503091411000003</t>
  </si>
  <si>
    <t>EKO RAHAYU</t>
  </si>
  <si>
    <t>DP-3751</t>
  </si>
  <si>
    <t>1503094611990001</t>
  </si>
  <si>
    <t>NOVA RAHMAWATI</t>
  </si>
  <si>
    <t>DP-3752</t>
  </si>
  <si>
    <t>1503092807220010</t>
  </si>
  <si>
    <t>1503095707420001</t>
  </si>
  <si>
    <t>ALTIAH</t>
  </si>
  <si>
    <t>DP-3753</t>
  </si>
  <si>
    <t>1503092807220012</t>
  </si>
  <si>
    <t>1503052104930008</t>
  </si>
  <si>
    <t>BAMBANG IRAWAN</t>
  </si>
  <si>
    <t>DESA PEMATANG KOLIM</t>
  </si>
  <si>
    <t>DP-3754</t>
  </si>
  <si>
    <t>1503094212970002</t>
  </si>
  <si>
    <t>RIKA PURNAMA SARI</t>
  </si>
  <si>
    <t>PELAWAN SINGKUT</t>
  </si>
  <si>
    <t>DP-3755</t>
  </si>
  <si>
    <t>1503092807220013</t>
  </si>
  <si>
    <t>1503094912490001</t>
  </si>
  <si>
    <t>TUGIYEM</t>
  </si>
  <si>
    <t>DP-3756</t>
  </si>
  <si>
    <t>1503092807220014</t>
  </si>
  <si>
    <t>1503091509960001</t>
  </si>
  <si>
    <t>ANDREAS</t>
  </si>
  <si>
    <t>DP-3757</t>
  </si>
  <si>
    <t>1503095001970001</t>
  </si>
  <si>
    <t>LULUK NURJANAH</t>
  </si>
  <si>
    <t>DP-3758</t>
  </si>
  <si>
    <t>1503092808200003</t>
  </si>
  <si>
    <t>1503094107570036</t>
  </si>
  <si>
    <t>MASILAH</t>
  </si>
  <si>
    <t>DP-3759</t>
  </si>
  <si>
    <t>1503092809080002</t>
  </si>
  <si>
    <t>1503096008990002</t>
  </si>
  <si>
    <t>CHICI NOURMALA FIRDAUSI</t>
  </si>
  <si>
    <t>DP-3760</t>
  </si>
  <si>
    <t>1503095104730001</t>
  </si>
  <si>
    <t>HESTI HASTUTI</t>
  </si>
  <si>
    <t>DP-3761</t>
  </si>
  <si>
    <t>1503092503700001</t>
  </si>
  <si>
    <t>NANANG GHOZALI</t>
  </si>
  <si>
    <t>DP-3762</t>
  </si>
  <si>
    <t>1503091109050003</t>
  </si>
  <si>
    <t>NAUFAL YUS AFLAH</t>
  </si>
  <si>
    <t>DP-3763</t>
  </si>
  <si>
    <t>1503090708030002</t>
  </si>
  <si>
    <t>RIFQI ALFAN HARIRI</t>
  </si>
  <si>
    <t>DP-3764</t>
  </si>
  <si>
    <t>1503092809080003</t>
  </si>
  <si>
    <t>1503095212890002</t>
  </si>
  <si>
    <t>DP-3765</t>
  </si>
  <si>
    <t>1503092701800001</t>
  </si>
  <si>
    <t>DP-3766</t>
  </si>
  <si>
    <t>1503090507060004</t>
  </si>
  <si>
    <t>YOGI DWI PRASETYO</t>
  </si>
  <si>
    <t>DP-3767</t>
  </si>
  <si>
    <t>1503092809080004</t>
  </si>
  <si>
    <t>1503090803770001</t>
  </si>
  <si>
    <t>AHMAD MAKSUM</t>
  </si>
  <si>
    <t>DP-3768</t>
  </si>
  <si>
    <t>1503095011030001</t>
  </si>
  <si>
    <t>ROYANI</t>
  </si>
  <si>
    <t>BULIAN</t>
  </si>
  <si>
    <t>DP-3769</t>
  </si>
  <si>
    <t>1503095110070001</t>
  </si>
  <si>
    <t>SABILA ROSA</t>
  </si>
  <si>
    <t>PENEROKAN</t>
  </si>
  <si>
    <t>DP-3770</t>
  </si>
  <si>
    <t>1503094508790002</t>
  </si>
  <si>
    <t>DP-3771</t>
  </si>
  <si>
    <t>1503092809080007</t>
  </si>
  <si>
    <t>1503092609920003</t>
  </si>
  <si>
    <t>DIAN SURYANTO</t>
  </si>
  <si>
    <t>DP-3772</t>
  </si>
  <si>
    <t>1503092103700001</t>
  </si>
  <si>
    <t>DP-3773</t>
  </si>
  <si>
    <t>1503091306000003</t>
  </si>
  <si>
    <t>TRI SUJATMOKO</t>
  </si>
  <si>
    <t>DP-3774</t>
  </si>
  <si>
    <t>1503096806710001</t>
  </si>
  <si>
    <t>YESI SUMARSINI</t>
  </si>
  <si>
    <t>DP-3775</t>
  </si>
  <si>
    <t>1503092809080008</t>
  </si>
  <si>
    <t>1503091011820001</t>
  </si>
  <si>
    <t>HARI YONO</t>
  </si>
  <si>
    <t>DP-3776</t>
  </si>
  <si>
    <t>1503094206830002</t>
  </si>
  <si>
    <t>SURATUN</t>
  </si>
  <si>
    <t>DP-3777</t>
  </si>
  <si>
    <t>1503092809080009</t>
  </si>
  <si>
    <t>1503094107000043</t>
  </si>
  <si>
    <t>DP-3778</t>
  </si>
  <si>
    <t>1503092809100003</t>
  </si>
  <si>
    <t>1503090505690005</t>
  </si>
  <si>
    <t>SUGIONO</t>
  </si>
  <si>
    <t>SURABAYA</t>
  </si>
  <si>
    <t>DP-3779</t>
  </si>
  <si>
    <t>1503094211770005</t>
  </si>
  <si>
    <t>DP-3780</t>
  </si>
  <si>
    <t>1503092809160004</t>
  </si>
  <si>
    <t>1503094510730007</t>
  </si>
  <si>
    <t>DP-3781</t>
  </si>
  <si>
    <t>1503091202040005</t>
  </si>
  <si>
    <t>IKBAL</t>
  </si>
  <si>
    <t>KEMBANG PASEBAN</t>
  </si>
  <si>
    <t>DP-3782</t>
  </si>
  <si>
    <t>1503090401970002</t>
  </si>
  <si>
    <t>MUHAMAD PAWAS</t>
  </si>
  <si>
    <t>DP-3783</t>
  </si>
  <si>
    <t>1503090112700003</t>
  </si>
  <si>
    <t>SUSAT</t>
  </si>
  <si>
    <t>DP-3784</t>
  </si>
  <si>
    <t>1503092809210002</t>
  </si>
  <si>
    <t>1503091610900003</t>
  </si>
  <si>
    <t>EKO WIDYANTORO. ZA</t>
  </si>
  <si>
    <t>DP-3785</t>
  </si>
  <si>
    <t>1503075301950002</t>
  </si>
  <si>
    <t>KARSIATUN</t>
  </si>
  <si>
    <t>DP-3786</t>
  </si>
  <si>
    <t>1503092810220002</t>
  </si>
  <si>
    <t>1503092808020004</t>
  </si>
  <si>
    <t>ANGGA TRIYOGI</t>
  </si>
  <si>
    <t>DP-3787</t>
  </si>
  <si>
    <t>1503094604010004</t>
  </si>
  <si>
    <t>RISKA HALIZA TASYZA</t>
  </si>
  <si>
    <t>DP-3788</t>
  </si>
  <si>
    <t>1503092811120001</t>
  </si>
  <si>
    <t>1503094911920001</t>
  </si>
  <si>
    <t>ANI WULANDARI</t>
  </si>
  <si>
    <t>DSN V PAYO LEBAR</t>
  </si>
  <si>
    <t>DP-3789</t>
  </si>
  <si>
    <t>1503092808870003</t>
  </si>
  <si>
    <t>HARMOKO</t>
  </si>
  <si>
    <t>DP-3790</t>
  </si>
  <si>
    <t>1503092811130001</t>
  </si>
  <si>
    <t>1503040404830002</t>
  </si>
  <si>
    <t>MUDO SUSILO</t>
  </si>
  <si>
    <t>DP-3791</t>
  </si>
  <si>
    <t>1503094602890008</t>
  </si>
  <si>
    <t>MYA EFRIYANA</t>
  </si>
  <si>
    <t>DP-3792</t>
  </si>
  <si>
    <t>1503092811160006</t>
  </si>
  <si>
    <t>1503090911060002</t>
  </si>
  <si>
    <t>ADITYA</t>
  </si>
  <si>
    <t>TANJUNG MURAWA</t>
  </si>
  <si>
    <t>DP-3793</t>
  </si>
  <si>
    <t>1207022504010002</t>
  </si>
  <si>
    <t>BAYU ANGGARA</t>
  </si>
  <si>
    <t>DP-3794</t>
  </si>
  <si>
    <t>1207024301030005</t>
  </si>
  <si>
    <t>DWI KARTIKA</t>
  </si>
  <si>
    <t>DP-3795</t>
  </si>
  <si>
    <t>1207020203780005</t>
  </si>
  <si>
    <t>MESTRIONO</t>
  </si>
  <si>
    <t>DP-3796</t>
  </si>
  <si>
    <t>1207024107780005</t>
  </si>
  <si>
    <t>DP-3797</t>
  </si>
  <si>
    <t>1503092811170004</t>
  </si>
  <si>
    <t>1503091204570004</t>
  </si>
  <si>
    <t>SEMAN</t>
  </si>
  <si>
    <t>DP-3798</t>
  </si>
  <si>
    <t>1503095001600002</t>
  </si>
  <si>
    <t>SOLEKAH</t>
  </si>
  <si>
    <t>DP-3799</t>
  </si>
  <si>
    <t>1503092811190001</t>
  </si>
  <si>
    <t>1406060404840004</t>
  </si>
  <si>
    <t>TANAH DATAR</t>
  </si>
  <si>
    <t>DP-3800</t>
  </si>
  <si>
    <t>1503092811190008</t>
  </si>
  <si>
    <t>1503094107400005</t>
  </si>
  <si>
    <t>DP-3801</t>
  </si>
  <si>
    <t>1503092811190009</t>
  </si>
  <si>
    <t>1503094607850001</t>
  </si>
  <si>
    <t>ERNI SUSANTI</t>
  </si>
  <si>
    <t>DP-3802</t>
  </si>
  <si>
    <t>1503092812100001</t>
  </si>
  <si>
    <t>1503090207990002</t>
  </si>
  <si>
    <t>IIN HARIYANTO</t>
  </si>
  <si>
    <t>DP-3803</t>
  </si>
  <si>
    <t>1503091510000002</t>
  </si>
  <si>
    <t>M. DENDI</t>
  </si>
  <si>
    <t>DP-3804</t>
  </si>
  <si>
    <t>1503095306780001</t>
  </si>
  <si>
    <t>DP-3805</t>
  </si>
  <si>
    <t>1503091406720003</t>
  </si>
  <si>
    <t>SUPARTO</t>
  </si>
  <si>
    <t>DP-3806</t>
  </si>
  <si>
    <t>1503092812100003</t>
  </si>
  <si>
    <t>1503094107550004</t>
  </si>
  <si>
    <t>DP-3807</t>
  </si>
  <si>
    <t>1503092812120003</t>
  </si>
  <si>
    <t>1503096010940003</t>
  </si>
  <si>
    <t>DWI KURNIASARI</t>
  </si>
  <si>
    <t>DP-3808</t>
  </si>
  <si>
    <t>1503092509850002</t>
  </si>
  <si>
    <t>TARWIN NASUTION</t>
  </si>
  <si>
    <t>PADA SUKA</t>
  </si>
  <si>
    <t>DP-3809</t>
  </si>
  <si>
    <t>1503092812200002</t>
  </si>
  <si>
    <t>1509045008660003</t>
  </si>
  <si>
    <t>JUBAIDAH</t>
  </si>
  <si>
    <t>DP-3810</t>
  </si>
  <si>
    <t>1509040709000003</t>
  </si>
  <si>
    <t>MUHAMAT NUR HASIM</t>
  </si>
  <si>
    <t>NAPAL PUTIH</t>
  </si>
  <si>
    <t>DP-3811</t>
  </si>
  <si>
    <t>1503090906880003</t>
  </si>
  <si>
    <t>JOKO SUDARJAT</t>
  </si>
  <si>
    <t>JLN.MANGKU BUMI</t>
  </si>
  <si>
    <t>DP-3812</t>
  </si>
  <si>
    <t>1503092901090003</t>
  </si>
  <si>
    <t>1503091103530002</t>
  </si>
  <si>
    <t>DP-3813</t>
  </si>
  <si>
    <t>1503092901180004</t>
  </si>
  <si>
    <t>1503090107060004</t>
  </si>
  <si>
    <t>EKA MUHAMMAD NURRAMADAN</t>
  </si>
  <si>
    <t>DP-3814</t>
  </si>
  <si>
    <t>1503094107860009</t>
  </si>
  <si>
    <t>ELI SRI JULINTIKA</t>
  </si>
  <si>
    <t>DP-3815</t>
  </si>
  <si>
    <t>1503090107810015</t>
  </si>
  <si>
    <t>DP-3816</t>
  </si>
  <si>
    <t>1503092903100001</t>
  </si>
  <si>
    <t>1503090402060002</t>
  </si>
  <si>
    <t>ALVIN FAJRIAN</t>
  </si>
  <si>
    <t>DP-3817</t>
  </si>
  <si>
    <t>1503092103690001</t>
  </si>
  <si>
    <t>HERMAN SUSANTO</t>
  </si>
  <si>
    <t>DP-3818</t>
  </si>
  <si>
    <t>1503096808750002</t>
  </si>
  <si>
    <t>PONIATI</t>
  </si>
  <si>
    <t>DP-3819</t>
  </si>
  <si>
    <t>1503092903120001</t>
  </si>
  <si>
    <t>1503096008900004</t>
  </si>
  <si>
    <t>FAJAR MARDIYAH</t>
  </si>
  <si>
    <t>DP-3820</t>
  </si>
  <si>
    <t>1503091107900002</t>
  </si>
  <si>
    <t>DP-3821</t>
  </si>
  <si>
    <t>1503092904130003</t>
  </si>
  <si>
    <t>1503090609880001</t>
  </si>
  <si>
    <t>DEDI IRAWAN</t>
  </si>
  <si>
    <t>REJO SARI</t>
  </si>
  <si>
    <t>DP-3822</t>
  </si>
  <si>
    <t>1503094809930002</t>
  </si>
  <si>
    <t>SULMUT MAINAH</t>
  </si>
  <si>
    <t>DP-3823</t>
  </si>
  <si>
    <t>1503092904150001</t>
  </si>
  <si>
    <t>1503091610820003</t>
  </si>
  <si>
    <t>DP-3824</t>
  </si>
  <si>
    <t>1503095607920001</t>
  </si>
  <si>
    <t>SUSI NURMIATI</t>
  </si>
  <si>
    <t>DP-3825</t>
  </si>
  <si>
    <t>1503092904160001</t>
  </si>
  <si>
    <t>1503091208670004</t>
  </si>
  <si>
    <t>NUR KHOLIS</t>
  </si>
  <si>
    <t>DP-3826</t>
  </si>
  <si>
    <t>1503093105980002</t>
  </si>
  <si>
    <t>NUR MUHAMMAD SUDIRMAN</t>
  </si>
  <si>
    <t>DP-3827</t>
  </si>
  <si>
    <t>1503096808710001</t>
  </si>
  <si>
    <t>DP-3828</t>
  </si>
  <si>
    <t>1503092904240004</t>
  </si>
  <si>
    <t>1503095901960002</t>
  </si>
  <si>
    <t>DEFIT PURWANINGSIH</t>
  </si>
  <si>
    <t>DP-3829</t>
  </si>
  <si>
    <t>1503092906100012</t>
  </si>
  <si>
    <t>1503090612800006</t>
  </si>
  <si>
    <t>FAJAR WANTO</t>
  </si>
  <si>
    <t>DP-3830</t>
  </si>
  <si>
    <t>1503092912000003</t>
  </si>
  <si>
    <t>FITRA NURHANIPAN</t>
  </si>
  <si>
    <t>DP-3831</t>
  </si>
  <si>
    <t>1503090808540002</t>
  </si>
  <si>
    <t>JODI</t>
  </si>
  <si>
    <t>DP-3832</t>
  </si>
  <si>
    <t>1503094706590001</t>
  </si>
  <si>
    <t>MUINATIN</t>
  </si>
  <si>
    <t>DP-3833</t>
  </si>
  <si>
    <t>1503092906100013</t>
  </si>
  <si>
    <t>1503091402720004</t>
  </si>
  <si>
    <t>BUDIARTO</t>
  </si>
  <si>
    <t>BUNUT</t>
  </si>
  <si>
    <t>DP-3834</t>
  </si>
  <si>
    <t>1503092102040001</t>
  </si>
  <si>
    <t>MUHAMMAD ILHAM</t>
  </si>
  <si>
    <t>DP-3835</t>
  </si>
  <si>
    <t>1503096604710001</t>
  </si>
  <si>
    <t>DP-3836</t>
  </si>
  <si>
    <t>1503092906100015</t>
  </si>
  <si>
    <t>1503094111810003</t>
  </si>
  <si>
    <t>LILIK HARIANI</t>
  </si>
  <si>
    <t>DP-3837</t>
  </si>
  <si>
    <t>1503091805000003</t>
  </si>
  <si>
    <t>MUHAMAD RIDWAN ASYROF</t>
  </si>
  <si>
    <t>DESA PAYOLEBAR SINGKUT</t>
  </si>
  <si>
    <t>DP-3838</t>
  </si>
  <si>
    <t>1503091007760005</t>
  </si>
  <si>
    <t>DP-3839</t>
  </si>
  <si>
    <t>1503092906100016</t>
  </si>
  <si>
    <t>1503090809700002</t>
  </si>
  <si>
    <t>MUKLIS</t>
  </si>
  <si>
    <t>DP-3840</t>
  </si>
  <si>
    <t>1503090409010001</t>
  </si>
  <si>
    <t>NANANG VINGRI PRAYOKO</t>
  </si>
  <si>
    <t>DP-3841</t>
  </si>
  <si>
    <t>1503094203740001</t>
  </si>
  <si>
    <t>ROSMAYANTI</t>
  </si>
  <si>
    <t>DP-3842</t>
  </si>
  <si>
    <t>1503092906100017</t>
  </si>
  <si>
    <t>1503096002600002</t>
  </si>
  <si>
    <t>MURTI</t>
  </si>
  <si>
    <t>DP-3843</t>
  </si>
  <si>
    <t>1503092710590001</t>
  </si>
  <si>
    <t>DP-3844</t>
  </si>
  <si>
    <t>1503092906100018</t>
  </si>
  <si>
    <t>1503091808000002</t>
  </si>
  <si>
    <t>ARY MYFTAKHUL HUDA</t>
  </si>
  <si>
    <t>DP-3845</t>
  </si>
  <si>
    <t>1503092104640006</t>
  </si>
  <si>
    <t>DAROMI</t>
  </si>
  <si>
    <t>DP-3846</t>
  </si>
  <si>
    <t>1503096504670001</t>
  </si>
  <si>
    <t>DP-3847</t>
  </si>
  <si>
    <t>1503092906100019</t>
  </si>
  <si>
    <t>1503095012860003</t>
  </si>
  <si>
    <t>NURSIAH</t>
  </si>
  <si>
    <t>DP-3848</t>
  </si>
  <si>
    <t>1503091505760003</t>
  </si>
  <si>
    <t>SOBIRIN</t>
  </si>
  <si>
    <t>DP-3849</t>
  </si>
  <si>
    <t>1503092906100020</t>
  </si>
  <si>
    <t>1503090505840003</t>
  </si>
  <si>
    <t>EDY SURYOKO</t>
  </si>
  <si>
    <t>DP-3850</t>
  </si>
  <si>
    <t>1503096405860002</t>
  </si>
  <si>
    <t>NENI RIYANTI</t>
  </si>
  <si>
    <t>DP-3851</t>
  </si>
  <si>
    <t>1503092906100021</t>
  </si>
  <si>
    <t>1503090301790002</t>
  </si>
  <si>
    <t>AGUS MUSLIM HABIBULLOH</t>
  </si>
  <si>
    <t>DP-3852</t>
  </si>
  <si>
    <t>1503096806820002</t>
  </si>
  <si>
    <t>RAHMA DONAH</t>
  </si>
  <si>
    <t>DP-3853</t>
  </si>
  <si>
    <t>1503092906100060</t>
  </si>
  <si>
    <t>1503090107410019</t>
  </si>
  <si>
    <t>MUNAMI</t>
  </si>
  <si>
    <t>DP-3854</t>
  </si>
  <si>
    <t>1503094107470034</t>
  </si>
  <si>
    <t>DP-3855</t>
  </si>
  <si>
    <t>1503092906150002</t>
  </si>
  <si>
    <t>1702114507630002</t>
  </si>
  <si>
    <t>KATIMAH</t>
  </si>
  <si>
    <t>DP-3856</t>
  </si>
  <si>
    <t>1702110406620001</t>
  </si>
  <si>
    <t>WATU LIMO</t>
  </si>
  <si>
    <t>DP-3857</t>
  </si>
  <si>
    <t>1503092906150003</t>
  </si>
  <si>
    <t>1702110208870001</t>
  </si>
  <si>
    <t>BAMBANG SUSENO</t>
  </si>
  <si>
    <t>DP-3858</t>
  </si>
  <si>
    <t>1503094505960001</t>
  </si>
  <si>
    <t>MAY TRI UNTARI</t>
  </si>
  <si>
    <t>DP-3859</t>
  </si>
  <si>
    <t>1503092906150007</t>
  </si>
  <si>
    <t>1503095512900004</t>
  </si>
  <si>
    <t>DESY ARIYANI</t>
  </si>
  <si>
    <t>DP-3860</t>
  </si>
  <si>
    <t>1503092706910002</t>
  </si>
  <si>
    <t>HARDIANSAH PRAMANA PUTRA</t>
  </si>
  <si>
    <t>DP-3861</t>
  </si>
  <si>
    <t>1503092906180005</t>
  </si>
  <si>
    <t>1503090704820003</t>
  </si>
  <si>
    <t>AMIR MAHMUD</t>
  </si>
  <si>
    <t>DP-3862</t>
  </si>
  <si>
    <t>1503054902910001</t>
  </si>
  <si>
    <t>SUSI SUSANTI</t>
  </si>
  <si>
    <t>DP-3863</t>
  </si>
  <si>
    <t>1503092906200008</t>
  </si>
  <si>
    <t>1503096612990004</t>
  </si>
  <si>
    <t>MALFIN FITRIA</t>
  </si>
  <si>
    <t>DP-3864</t>
  </si>
  <si>
    <t>1503090204970003</t>
  </si>
  <si>
    <t>YANDI TRIHANDIKA</t>
  </si>
  <si>
    <t>DP-3865</t>
  </si>
  <si>
    <t>1503092907150004</t>
  </si>
  <si>
    <t>1503096811730002</t>
  </si>
  <si>
    <t>ENDANG SETIYOWATI</t>
  </si>
  <si>
    <t>DP-3866</t>
  </si>
  <si>
    <t>1503090906700003</t>
  </si>
  <si>
    <t>PUJINOTO</t>
  </si>
  <si>
    <t>DP-3867</t>
  </si>
  <si>
    <t>1503097001970004</t>
  </si>
  <si>
    <t>SUCI PUSPITA SARI</t>
  </si>
  <si>
    <t>DP-3868</t>
  </si>
  <si>
    <t>1503092907210002</t>
  </si>
  <si>
    <t>1503095604920002</t>
  </si>
  <si>
    <t>EVI SETIAWATI</t>
  </si>
  <si>
    <t>DP-3869</t>
  </si>
  <si>
    <t>1503092909800001</t>
  </si>
  <si>
    <t>DP-3870</t>
  </si>
  <si>
    <t>1503092908160002</t>
  </si>
  <si>
    <t>1503090705900004</t>
  </si>
  <si>
    <t>DWI AIDIL FRADIZA</t>
  </si>
  <si>
    <t>DP-3871</t>
  </si>
  <si>
    <t>1571026312940021</t>
  </si>
  <si>
    <t>JUMITA SARI</t>
  </si>
  <si>
    <t>DP-3872</t>
  </si>
  <si>
    <t>1503092908160004</t>
  </si>
  <si>
    <t>1503091803820003</t>
  </si>
  <si>
    <t>DP-3873</t>
  </si>
  <si>
    <t>1503095408900002</t>
  </si>
  <si>
    <t>WAHYUTIK</t>
  </si>
  <si>
    <t>DP-3874</t>
  </si>
  <si>
    <t>1503092908170001</t>
  </si>
  <si>
    <t>1503095108940004</t>
  </si>
  <si>
    <t>EKA GUSNITA</t>
  </si>
  <si>
    <t>DP-3875</t>
  </si>
  <si>
    <t>1503091103900001</t>
  </si>
  <si>
    <t>HENDRO WIBOWO</t>
  </si>
  <si>
    <t>DP-3876</t>
  </si>
  <si>
    <t>1503092908220006</t>
  </si>
  <si>
    <t>1503090105890004</t>
  </si>
  <si>
    <t>DEKI ARIAWAN SAPUTRA</t>
  </si>
  <si>
    <t>DP-3877</t>
  </si>
  <si>
    <t>1302125310990002</t>
  </si>
  <si>
    <t>SULIT AIR</t>
  </si>
  <si>
    <t>DP-3878</t>
  </si>
  <si>
    <t>1503092908230005</t>
  </si>
  <si>
    <t>1503095208880002</t>
  </si>
  <si>
    <t>SITI MARATUS SOLEHAH</t>
  </si>
  <si>
    <t>1503092407240002</t>
  </si>
  <si>
    <t>DP-3879</t>
  </si>
  <si>
    <t>1503092909100002</t>
  </si>
  <si>
    <t>1503096005070002</t>
  </si>
  <si>
    <t>AMANDA MERIANI PUTRIA</t>
  </si>
  <si>
    <t>DP-3880</t>
  </si>
  <si>
    <t>1503095809010001</t>
  </si>
  <si>
    <t>DITA RIFI ARYANI</t>
  </si>
  <si>
    <t>DP-3881</t>
  </si>
  <si>
    <t>1503090511690001</t>
  </si>
  <si>
    <t>KARMAJI</t>
  </si>
  <si>
    <t>DP-3882</t>
  </si>
  <si>
    <t>1503096310730002</t>
  </si>
  <si>
    <t>DP-3883</t>
  </si>
  <si>
    <t>1503092909100003</t>
  </si>
  <si>
    <t>1503095002790003</t>
  </si>
  <si>
    <t>DEWI SOLIKAH</t>
  </si>
  <si>
    <t>DP-3884</t>
  </si>
  <si>
    <t>1503094809040003</t>
  </si>
  <si>
    <t>ICHA CURNIA ILLAHI</t>
  </si>
  <si>
    <t>DP-3885</t>
  </si>
  <si>
    <t>1503091606770006</t>
  </si>
  <si>
    <t>DP-3886</t>
  </si>
  <si>
    <t>1503092909100004</t>
  </si>
  <si>
    <t>1503091004760003</t>
  </si>
  <si>
    <t>DP-3887</t>
  </si>
  <si>
    <t>1503096904820002</t>
  </si>
  <si>
    <t>YULIA SRI LESTARI</t>
  </si>
  <si>
    <t>DP-3888</t>
  </si>
  <si>
    <t>1503092909140016</t>
  </si>
  <si>
    <t>1503050808840009</t>
  </si>
  <si>
    <t>JAENURI</t>
  </si>
  <si>
    <t>DP-3889</t>
  </si>
  <si>
    <t>1503096610890002</t>
  </si>
  <si>
    <t>ROFIKOH</t>
  </si>
  <si>
    <t>DP-3890</t>
  </si>
  <si>
    <t>1503092909140017</t>
  </si>
  <si>
    <t>1503094803850001</t>
  </si>
  <si>
    <t>FREDY SOLKAN ATONI</t>
  </si>
  <si>
    <t>DP-3891</t>
  </si>
  <si>
    <t>1503091509070002</t>
  </si>
  <si>
    <t>PRADITA GILANG AJIE</t>
  </si>
  <si>
    <t>DP-3892</t>
  </si>
  <si>
    <t>1503092505790003</t>
  </si>
  <si>
    <t>RINA MARYANI</t>
  </si>
  <si>
    <t>DP-3893</t>
  </si>
  <si>
    <t>1503092909210009</t>
  </si>
  <si>
    <t>1503053005980001</t>
  </si>
  <si>
    <t>ENDAH PALUPI PRAHESTININGTIAS</t>
  </si>
  <si>
    <t>DP-3894</t>
  </si>
  <si>
    <t>1503091606910004</t>
  </si>
  <si>
    <t>FATAH NUR ARIFIN</t>
  </si>
  <si>
    <t>DP-3895</t>
  </si>
  <si>
    <t>1503095011600005</t>
  </si>
  <si>
    <t>DP-3896</t>
  </si>
  <si>
    <t>1503092909210010</t>
  </si>
  <si>
    <t>1803070310790004</t>
  </si>
  <si>
    <t>BARIYANTO</t>
  </si>
  <si>
    <t>DP-3897</t>
  </si>
  <si>
    <t>1503094301780001</t>
  </si>
  <si>
    <t>ROHMAH RAHAYU</t>
  </si>
  <si>
    <t>DP-3898</t>
  </si>
  <si>
    <t>1503092910090009</t>
  </si>
  <si>
    <t>1503091711840002</t>
  </si>
  <si>
    <t>DP-3899</t>
  </si>
  <si>
    <t>1503094205890003</t>
  </si>
  <si>
    <t>TUTIK WARJIASIH</t>
  </si>
  <si>
    <t>DP-3900</t>
  </si>
  <si>
    <t>1503092910210006</t>
  </si>
  <si>
    <t>1503052410960003</t>
  </si>
  <si>
    <t>JAYA UNO OKTAVIAN</t>
  </si>
  <si>
    <t>DP-3901</t>
  </si>
  <si>
    <t>3404075212010004</t>
  </si>
  <si>
    <t>NISFA</t>
  </si>
  <si>
    <t>DP-3902</t>
  </si>
  <si>
    <t>1503092912090001</t>
  </si>
  <si>
    <t>1503095708780006</t>
  </si>
  <si>
    <t>DARYATI</t>
  </si>
  <si>
    <t>DP-3903</t>
  </si>
  <si>
    <t>1503096307050001</t>
  </si>
  <si>
    <t>DWI AYU NADIAH ISTIQOMA</t>
  </si>
  <si>
    <t>DP-3904</t>
  </si>
  <si>
    <t>1503090509730001</t>
  </si>
  <si>
    <t>SYAMSURI</t>
  </si>
  <si>
    <t>LAMPUNG SELATAN</t>
  </si>
  <si>
    <t>DP-3905</t>
  </si>
  <si>
    <t>1503092912100022</t>
  </si>
  <si>
    <t>1503090611770001</t>
  </si>
  <si>
    <t>DP-3906</t>
  </si>
  <si>
    <t>1503094712010003</t>
  </si>
  <si>
    <t>NONI INDRIANTI</t>
  </si>
  <si>
    <t>DP-3907</t>
  </si>
  <si>
    <t>1503096108830002</t>
  </si>
  <si>
    <t>RUSTILAH</t>
  </si>
  <si>
    <t>DP-3908</t>
  </si>
  <si>
    <t>1503092912210001</t>
  </si>
  <si>
    <t>1605024605950006</t>
  </si>
  <si>
    <t>RIKA MARLINA</t>
  </si>
  <si>
    <t>DP-3909</t>
  </si>
  <si>
    <t>1502010301810002</t>
  </si>
  <si>
    <t>SIGIT SEJATI</t>
  </si>
  <si>
    <t>DP-3910</t>
  </si>
  <si>
    <t>1503092912230002</t>
  </si>
  <si>
    <t>1503052707060001</t>
  </si>
  <si>
    <t>ASAFRI PRATAMA</t>
  </si>
  <si>
    <t>DP-3911</t>
  </si>
  <si>
    <t>1503095709050002</t>
  </si>
  <si>
    <t>SHERLY SEPTIANA PUTRI</t>
  </si>
  <si>
    <t>SUNGAI GALUH</t>
  </si>
  <si>
    <t>DP-3912</t>
  </si>
  <si>
    <t>1503092912230004</t>
  </si>
  <si>
    <t>1503090403000006</t>
  </si>
  <si>
    <t>HENDI SAPUTRA</t>
  </si>
  <si>
    <t>DP-3913</t>
  </si>
  <si>
    <t>1503093001080009</t>
  </si>
  <si>
    <t>1503091806810002</t>
  </si>
  <si>
    <t>NGATRI YONO</t>
  </si>
  <si>
    <t>DP-3914</t>
  </si>
  <si>
    <t>1503096705850003</t>
  </si>
  <si>
    <t>SULIS WIJAYANTI</t>
  </si>
  <si>
    <t>DP-3915</t>
  </si>
  <si>
    <t>1503096005050002</t>
  </si>
  <si>
    <t>VINDA EKA PUTRI</t>
  </si>
  <si>
    <t>DP-3916</t>
  </si>
  <si>
    <t>1503093001080011</t>
  </si>
  <si>
    <t>1503091308660001</t>
  </si>
  <si>
    <t>DP-3917</t>
  </si>
  <si>
    <t>1503094405750001</t>
  </si>
  <si>
    <t>DP-3918</t>
  </si>
  <si>
    <t>1503093001080021</t>
  </si>
  <si>
    <t>1503091707700006</t>
  </si>
  <si>
    <t>PONTO PRASETYO</t>
  </si>
  <si>
    <t>DP-3919</t>
  </si>
  <si>
    <t>1503095707800008</t>
  </si>
  <si>
    <t>SETIA PRIHATIN</t>
  </si>
  <si>
    <t>DP-3920</t>
  </si>
  <si>
    <t>1503091010050002</t>
  </si>
  <si>
    <t>SETYA ADI SAPUTRA</t>
  </si>
  <si>
    <t>DP-3921</t>
  </si>
  <si>
    <t>1503093001080026</t>
  </si>
  <si>
    <t>1503094107730030</t>
  </si>
  <si>
    <t>DP-3922</t>
  </si>
  <si>
    <t>1503090107680034</t>
  </si>
  <si>
    <t>SIMEN</t>
  </si>
  <si>
    <t>DP-3923</t>
  </si>
  <si>
    <t>1503093001080029</t>
  </si>
  <si>
    <t>1503095012010001</t>
  </si>
  <si>
    <t>DEWI RATNA SARI</t>
  </si>
  <si>
    <t>DP-3924</t>
  </si>
  <si>
    <t>1503095707800009</t>
  </si>
  <si>
    <t>SUDARSIH</t>
  </si>
  <si>
    <t>DP-3925</t>
  </si>
  <si>
    <t>1503091111770001</t>
  </si>
  <si>
    <t>DP-3926</t>
  </si>
  <si>
    <t>1503093001190003</t>
  </si>
  <si>
    <t>1503090212920003</t>
  </si>
  <si>
    <t>MUHTAHID AMIN</t>
  </si>
  <si>
    <t>DP-3927</t>
  </si>
  <si>
    <t>1503095311970001</t>
  </si>
  <si>
    <t>DP-3928</t>
  </si>
  <si>
    <t>1503093001190004</t>
  </si>
  <si>
    <t>1503095502600002</t>
  </si>
  <si>
    <t>RASIPAH</t>
  </si>
  <si>
    <t>DP-3929</t>
  </si>
  <si>
    <t>1503093001190005</t>
  </si>
  <si>
    <t>1503095512870003</t>
  </si>
  <si>
    <t>IIS TRIFAJAR YANI</t>
  </si>
  <si>
    <t>DP-3930</t>
  </si>
  <si>
    <t>1503093003100011</t>
  </si>
  <si>
    <t>1503096308760001</t>
  </si>
  <si>
    <t>DEWI ERNI SETIAWATI</t>
  </si>
  <si>
    <t>DP-3931</t>
  </si>
  <si>
    <t>1503091603010003</t>
  </si>
  <si>
    <t>DWI NUGROHO YOGI SUNARYO</t>
  </si>
  <si>
    <t>DP-3932</t>
  </si>
  <si>
    <t>1503091603670001</t>
  </si>
  <si>
    <t>SUNARJO</t>
  </si>
  <si>
    <t>DP-3933</t>
  </si>
  <si>
    <t>1503093003100012</t>
  </si>
  <si>
    <t>1503095005780007</t>
  </si>
  <si>
    <t>EMA TRI ENDAH WARDANI</t>
  </si>
  <si>
    <t>DP-3934</t>
  </si>
  <si>
    <t>1503095910010001</t>
  </si>
  <si>
    <t>MONIKA ANGGI PUTRI YOMA</t>
  </si>
  <si>
    <t>DP-3935</t>
  </si>
  <si>
    <t>1503092702730001</t>
  </si>
  <si>
    <t>SARTOYO</t>
  </si>
  <si>
    <t>DP-3936</t>
  </si>
  <si>
    <t>1503093003100014</t>
  </si>
  <si>
    <t>1503095511800004</t>
  </si>
  <si>
    <t>DESI NOFIYANI</t>
  </si>
  <si>
    <t>DP-3937</t>
  </si>
  <si>
    <t>1503091607820003</t>
  </si>
  <si>
    <t>MASKUR HARIADI</t>
  </si>
  <si>
    <t>DP-3938</t>
  </si>
  <si>
    <t>1503093003100015</t>
  </si>
  <si>
    <t>1503096812750004</t>
  </si>
  <si>
    <t>WAHYATI</t>
  </si>
  <si>
    <t>DP-3939</t>
  </si>
  <si>
    <t>1503090408440001</t>
  </si>
  <si>
    <t>YATIRAN</t>
  </si>
  <si>
    <t>DP-3940</t>
  </si>
  <si>
    <t>1503093003120012</t>
  </si>
  <si>
    <t>1503094712890002</t>
  </si>
  <si>
    <t>IDA ROHANI</t>
  </si>
  <si>
    <t>DP-3941</t>
  </si>
  <si>
    <t>1503092909900001</t>
  </si>
  <si>
    <t>NGALIMUN KURNIAWAN</t>
  </si>
  <si>
    <t>DP-3942</t>
  </si>
  <si>
    <t>1503093003120013</t>
  </si>
  <si>
    <t>1503090307880002</t>
  </si>
  <si>
    <t>ANARUM ARIFIN</t>
  </si>
  <si>
    <t>DP-3943</t>
  </si>
  <si>
    <t>1503094101920004</t>
  </si>
  <si>
    <t>DP-3944</t>
  </si>
  <si>
    <t>1503093003210004</t>
  </si>
  <si>
    <t>1503096512060001</t>
  </si>
  <si>
    <t>MARISA SAPUTRI</t>
  </si>
  <si>
    <t>DP-3945</t>
  </si>
  <si>
    <t>1503095707720003</t>
  </si>
  <si>
    <t>SABARIYAH</t>
  </si>
  <si>
    <t>DP-3946</t>
  </si>
  <si>
    <t>1503093003230001</t>
  </si>
  <si>
    <t>1503093105960002</t>
  </si>
  <si>
    <t>MAHMUD ZAKARIA</t>
  </si>
  <si>
    <t>DP-3947</t>
  </si>
  <si>
    <t>1503094609010005</t>
  </si>
  <si>
    <t>SEFTIKA AMANDA SARY</t>
  </si>
  <si>
    <t>DP-3948</t>
  </si>
  <si>
    <t>1503093004150001</t>
  </si>
  <si>
    <t>1503097105910004</t>
  </si>
  <si>
    <t>DP-3949</t>
  </si>
  <si>
    <t>1503091407780003</t>
  </si>
  <si>
    <t>SOLO JATENG</t>
  </si>
  <si>
    <t>DP-3950</t>
  </si>
  <si>
    <t>1503093004190010</t>
  </si>
  <si>
    <t>1605164507530002</t>
  </si>
  <si>
    <t>DP-3951</t>
  </si>
  <si>
    <t>1503093005180006</t>
  </si>
  <si>
    <t>1503094310940002</t>
  </si>
  <si>
    <t>FARIDA AMBAR WATI</t>
  </si>
  <si>
    <t>DP-3952</t>
  </si>
  <si>
    <t>1503091403910001</t>
  </si>
  <si>
    <t>SRI SUARDI</t>
  </si>
  <si>
    <t>DP-3953</t>
  </si>
  <si>
    <t>1503093006090015</t>
  </si>
  <si>
    <t>1503094209880003</t>
  </si>
  <si>
    <t>ENDANG WIJIARTI</t>
  </si>
  <si>
    <t>DP-3954</t>
  </si>
  <si>
    <t>1503090506820003</t>
  </si>
  <si>
    <t>NYOTO</t>
  </si>
  <si>
    <t>DP-3955</t>
  </si>
  <si>
    <t>1503093006150011</t>
  </si>
  <si>
    <t>1503091008900003</t>
  </si>
  <si>
    <t>EKO NOPIYANTO</t>
  </si>
  <si>
    <t>DP-3956</t>
  </si>
  <si>
    <t>1503093006220002</t>
  </si>
  <si>
    <t>1503091707980005</t>
  </si>
  <si>
    <t>RISKA SAPUTRA</t>
  </si>
  <si>
    <t>DP-3957</t>
  </si>
  <si>
    <t>1503093008100004</t>
  </si>
  <si>
    <t>1503090104770002</t>
  </si>
  <si>
    <t>MUSLIMAN</t>
  </si>
  <si>
    <t>DP-3958</t>
  </si>
  <si>
    <t>1503094510770003</t>
  </si>
  <si>
    <t>SULISTIANI</t>
  </si>
  <si>
    <t>DP-3959</t>
  </si>
  <si>
    <t>1503093008130002</t>
  </si>
  <si>
    <t>1503091310930001</t>
  </si>
  <si>
    <t>EKO PRASTIO</t>
  </si>
  <si>
    <t>DP-3960</t>
  </si>
  <si>
    <t>1503096110930003</t>
  </si>
  <si>
    <t>LINDA LESTARI</t>
  </si>
  <si>
    <t>DP-3961</t>
  </si>
  <si>
    <t>1503093008160004</t>
  </si>
  <si>
    <t>1503091709940003</t>
  </si>
  <si>
    <t>DP-3962</t>
  </si>
  <si>
    <t>1503096412950004</t>
  </si>
  <si>
    <t>NUR ATIKAH</t>
  </si>
  <si>
    <t>DP-3963</t>
  </si>
  <si>
    <t>1503093008170004</t>
  </si>
  <si>
    <t>1702090109870003</t>
  </si>
  <si>
    <t>ARIE PERMANA</t>
  </si>
  <si>
    <t>JL. BUNG TOMO</t>
  </si>
  <si>
    <t>DP-3964</t>
  </si>
  <si>
    <t>1703076406500001</t>
  </si>
  <si>
    <t>JUSNI</t>
  </si>
  <si>
    <t>DP-3965</t>
  </si>
  <si>
    <t>1371074103910003</t>
  </si>
  <si>
    <t>NURNIATI SARI</t>
  </si>
  <si>
    <t>DP-3966</t>
  </si>
  <si>
    <t>1703070312880002</t>
  </si>
  <si>
    <t>RIZAL ABDULLAH</t>
  </si>
  <si>
    <t>PAINAN</t>
  </si>
  <si>
    <t>DP-3967</t>
  </si>
  <si>
    <t>1503093008210005</t>
  </si>
  <si>
    <t>1503095012620001</t>
  </si>
  <si>
    <t>DP-3968</t>
  </si>
  <si>
    <t>1503093008210009</t>
  </si>
  <si>
    <t>1307040408810002</t>
  </si>
  <si>
    <t>AFRI YAN TONI</t>
  </si>
  <si>
    <t>TABING</t>
  </si>
  <si>
    <t>DP-3969</t>
  </si>
  <si>
    <t>1503093009100017</t>
  </si>
  <si>
    <t>1503095005920003</t>
  </si>
  <si>
    <t>DP-3970</t>
  </si>
  <si>
    <t>1503092309890001</t>
  </si>
  <si>
    <t>NURYADIN</t>
  </si>
  <si>
    <t>DP-3971</t>
  </si>
  <si>
    <t>1503093009150007</t>
  </si>
  <si>
    <t>1503090702860003</t>
  </si>
  <si>
    <t>TEJO SUSILO</t>
  </si>
  <si>
    <t>JL. MANGKU BUMI DUSUN I KARYA AGUNG</t>
  </si>
  <si>
    <t>DP-3972</t>
  </si>
  <si>
    <t>1503095409860002</t>
  </si>
  <si>
    <t>WISMA YUNITA</t>
  </si>
  <si>
    <t>DP-3973</t>
  </si>
  <si>
    <t>1503093009150011</t>
  </si>
  <si>
    <t>1503094211880001</t>
  </si>
  <si>
    <t>ANA ROFIATUL MAR'AH</t>
  </si>
  <si>
    <t>DP-3974</t>
  </si>
  <si>
    <t>1503090607880002</t>
  </si>
  <si>
    <t>TRIYATMOKO</t>
  </si>
  <si>
    <t>DP-3975</t>
  </si>
  <si>
    <t>1503093011160001</t>
  </si>
  <si>
    <t>1503091711820002</t>
  </si>
  <si>
    <t>HERI NURYAHDIN</t>
  </si>
  <si>
    <t>DP-3976</t>
  </si>
  <si>
    <t>3572026111910002</t>
  </si>
  <si>
    <t>NABILA SOFIA ZAHRA</t>
  </si>
  <si>
    <t>DP-3977</t>
  </si>
  <si>
    <t>1503093011200003</t>
  </si>
  <si>
    <t>1503102602000001</t>
  </si>
  <si>
    <t>HERMAWAN SUSANTO</t>
  </si>
  <si>
    <t>DP-3978</t>
  </si>
  <si>
    <t>1503105104620001</t>
  </si>
  <si>
    <t>DP-3979</t>
  </si>
  <si>
    <t>1503093012190001</t>
  </si>
  <si>
    <t>1812011403770002</t>
  </si>
  <si>
    <t>AZIS SAPUTRA</t>
  </si>
  <si>
    <t>DP-3980</t>
  </si>
  <si>
    <t>3305244704840002</t>
  </si>
  <si>
    <t>MISRATI</t>
  </si>
  <si>
    <t>DP-3981</t>
  </si>
  <si>
    <t>1503093012220004</t>
  </si>
  <si>
    <t>1503090910980001</t>
  </si>
  <si>
    <t>MUHAMAD RANDA PRAYOGA</t>
  </si>
  <si>
    <t>DP-3982</t>
  </si>
  <si>
    <t>1503094104990003</t>
  </si>
  <si>
    <t>RESTI APRIANI PUTRI</t>
  </si>
  <si>
    <t>SARIREJO</t>
  </si>
  <si>
    <t>DP-3983</t>
  </si>
  <si>
    <t>1503093101120008</t>
  </si>
  <si>
    <t>1503092903990004</t>
  </si>
  <si>
    <t>LEO ARDI ANTO</t>
  </si>
  <si>
    <t>DP-3984</t>
  </si>
  <si>
    <t>1503095804710001</t>
  </si>
  <si>
    <t>DP-3985</t>
  </si>
  <si>
    <t>1503093101190001</t>
  </si>
  <si>
    <t>1503095112610001</t>
  </si>
  <si>
    <t>DP-3986</t>
  </si>
  <si>
    <t>1503093101190002</t>
  </si>
  <si>
    <t>1673084205780003</t>
  </si>
  <si>
    <t>ARNISA</t>
  </si>
  <si>
    <t>KERINJING</t>
  </si>
  <si>
    <t>DP-3987</t>
  </si>
  <si>
    <t>1673080504800003</t>
  </si>
  <si>
    <t>JUNAIDI</t>
  </si>
  <si>
    <t>KEMANG</t>
  </si>
  <si>
    <t>DP-3988</t>
  </si>
  <si>
    <t>1503093103100002</t>
  </si>
  <si>
    <t>1503091010620006</t>
  </si>
  <si>
    <t>JATI GEMBOL</t>
  </si>
  <si>
    <t>DUSUN I KAYA AGUNG</t>
  </si>
  <si>
    <t>DP-3989</t>
  </si>
  <si>
    <t>1503096510660002</t>
  </si>
  <si>
    <t>WONO KERTO</t>
  </si>
  <si>
    <t>DP-3990</t>
  </si>
  <si>
    <t>1503093103210001</t>
  </si>
  <si>
    <t>1503096304590001</t>
  </si>
  <si>
    <t>MARSIYAH</t>
  </si>
  <si>
    <t>DP-3991</t>
  </si>
  <si>
    <t>1503093105120001</t>
  </si>
  <si>
    <t>1503091008910005</t>
  </si>
  <si>
    <t>DEDI DARMOKO</t>
  </si>
  <si>
    <t>RAWA SARI DUSUN VI</t>
  </si>
  <si>
    <t>DP-3992</t>
  </si>
  <si>
    <t>1503095109950001</t>
  </si>
  <si>
    <t>DP-3993</t>
  </si>
  <si>
    <t>1503093105130007</t>
  </si>
  <si>
    <t>1503090204030001</t>
  </si>
  <si>
    <t>AHMAD RIENO KHARISMA</t>
  </si>
  <si>
    <t>DP-3994</t>
  </si>
  <si>
    <t>1503096201790002</t>
  </si>
  <si>
    <t>ARI NURYANI</t>
  </si>
  <si>
    <t>DP-3995</t>
  </si>
  <si>
    <t>1503091606750002</t>
  </si>
  <si>
    <t>PARTONO</t>
  </si>
  <si>
    <t>DP-3996</t>
  </si>
  <si>
    <t>1503090903030002</t>
  </si>
  <si>
    <t>ZA'ID ASSYAHADAD</t>
  </si>
  <si>
    <t>Belum Ketemu pasangannya</t>
  </si>
  <si>
    <t>DP-3997</t>
  </si>
  <si>
    <t>1503093105180002</t>
  </si>
  <si>
    <t>1503094603930002</t>
  </si>
  <si>
    <t>LINNA HARYANTI</t>
  </si>
  <si>
    <t>DP-3998</t>
  </si>
  <si>
    <t>1503093105220011</t>
  </si>
  <si>
    <t>1503094611000001</t>
  </si>
  <si>
    <t>DINDA PUJIATI</t>
  </si>
  <si>
    <t>DP-3999</t>
  </si>
  <si>
    <t>1503093105220013</t>
  </si>
  <si>
    <t>1503095710740001</t>
  </si>
  <si>
    <t>SULISWATI</t>
  </si>
  <si>
    <t>DP-4000</t>
  </si>
  <si>
    <t>1503093107190005</t>
  </si>
  <si>
    <t>1502195510040001</t>
  </si>
  <si>
    <t>AISYATUL FARIDAH</t>
  </si>
  <si>
    <t>DP-4001</t>
  </si>
  <si>
    <t>1503092704910001</t>
  </si>
  <si>
    <t>FERRY AVRIANTO</t>
  </si>
  <si>
    <t>DP-4002</t>
  </si>
  <si>
    <t>1503093108090003</t>
  </si>
  <si>
    <t>1503092712810001</t>
  </si>
  <si>
    <t>ALI SALIKIN</t>
  </si>
  <si>
    <t>PASAR SUNGSANG</t>
  </si>
  <si>
    <t>DP-4003</t>
  </si>
  <si>
    <t>1503095503800004</t>
  </si>
  <si>
    <t>ELMILDA WIGUNA</t>
  </si>
  <si>
    <t>DP-4004</t>
  </si>
  <si>
    <t>1503093108130002</t>
  </si>
  <si>
    <t>1503092410770002</t>
  </si>
  <si>
    <t>AGUS SUWARLI</t>
  </si>
  <si>
    <t>DP-4005</t>
  </si>
  <si>
    <t>1503091110060001</t>
  </si>
  <si>
    <t>ALFREDO AHMAD RAMADHANI</t>
  </si>
  <si>
    <t>DP-4006</t>
  </si>
  <si>
    <t>1503092810020002</t>
  </si>
  <si>
    <t>ARLIN RAFERLY</t>
  </si>
  <si>
    <t>DP-4007</t>
  </si>
  <si>
    <t>1503095508770001</t>
  </si>
  <si>
    <t>DIRAH</t>
  </si>
  <si>
    <t>DP-4008</t>
  </si>
  <si>
    <t>1503093108130005</t>
  </si>
  <si>
    <t>1503094804910001</t>
  </si>
  <si>
    <t>ITA ISTISAROH</t>
  </si>
  <si>
    <t>DP-4009</t>
  </si>
  <si>
    <t>1503092303870003</t>
  </si>
  <si>
    <t>JOKO SAPTONO</t>
  </si>
  <si>
    <t>DP-4010</t>
  </si>
  <si>
    <t>1503093108170001</t>
  </si>
  <si>
    <t>1503094505530002</t>
  </si>
  <si>
    <t>JUMI'AH</t>
  </si>
  <si>
    <t>DP-4011</t>
  </si>
  <si>
    <t>1503090401950003</t>
  </si>
  <si>
    <t>WAHONO RASID</t>
  </si>
  <si>
    <t>DP-4012</t>
  </si>
  <si>
    <t>1503093108210004</t>
  </si>
  <si>
    <t>1503090711920001</t>
  </si>
  <si>
    <t>AHMAD FAMBARIAN</t>
  </si>
  <si>
    <t>DP-4013</t>
  </si>
  <si>
    <t>1571025308930001</t>
  </si>
  <si>
    <t>DYAH CHRISETYOWATI</t>
  </si>
  <si>
    <t>DP-4014</t>
  </si>
  <si>
    <t>1503093110160003</t>
  </si>
  <si>
    <t>1503095002930003</t>
  </si>
  <si>
    <t>EPA LINDA NINGSIH</t>
  </si>
  <si>
    <t>DP-4015</t>
  </si>
  <si>
    <t>1503090602920001</t>
  </si>
  <si>
    <t>HERI IRAWAN</t>
  </si>
  <si>
    <t>DP-4016</t>
  </si>
  <si>
    <t>1503093110180002</t>
  </si>
  <si>
    <t>1503091202580003</t>
  </si>
  <si>
    <t>MUH DORI</t>
  </si>
  <si>
    <t>DP-4017</t>
  </si>
  <si>
    <t>1503095707610004</t>
  </si>
  <si>
    <t>PARTIAH</t>
  </si>
  <si>
    <t>DP-4018</t>
  </si>
  <si>
    <t>1503093110220001</t>
  </si>
  <si>
    <t>1503097101050003</t>
  </si>
  <si>
    <t>PUTRI SETIAWATI</t>
  </si>
  <si>
    <t>DP-4019</t>
  </si>
  <si>
    <t>1509041211010002</t>
  </si>
  <si>
    <t>RIZKI ARDINATA</t>
  </si>
  <si>
    <t>DP-4020</t>
  </si>
  <si>
    <t>1503093112100004</t>
  </si>
  <si>
    <t>1503094512800004</t>
  </si>
  <si>
    <t>EMI</t>
  </si>
  <si>
    <t>DP-4021</t>
  </si>
  <si>
    <t>1503096211050002</t>
  </si>
  <si>
    <t>SINDI YENESTA</t>
  </si>
  <si>
    <t>DP-4022</t>
  </si>
  <si>
    <t>1503090103800001</t>
  </si>
  <si>
    <t>SUPRATMAN</t>
  </si>
  <si>
    <t>BATU LINTANG</t>
  </si>
  <si>
    <t>DP-4023</t>
  </si>
  <si>
    <t>1503093112140014</t>
  </si>
  <si>
    <t>1503095208920004</t>
  </si>
  <si>
    <t>DURROTUN NAPI'AH</t>
  </si>
  <si>
    <t>DP-4024</t>
  </si>
  <si>
    <t>1503092303910003</t>
  </si>
  <si>
    <t>M.ROMI QOHARI</t>
  </si>
  <si>
    <t>DP-4025</t>
  </si>
  <si>
    <t>1503093112190001</t>
  </si>
  <si>
    <t>1605054708020005</t>
  </si>
  <si>
    <t>IDA DEVIKA SARAH</t>
  </si>
  <si>
    <t>DP-4026</t>
  </si>
  <si>
    <t>1605052007780005</t>
  </si>
  <si>
    <t>DP-4027</t>
  </si>
  <si>
    <t>1605054101790003</t>
  </si>
  <si>
    <t>TUNIYEM</t>
  </si>
  <si>
    <t>DP-4028</t>
  </si>
  <si>
    <t>1503100302120006</t>
  </si>
  <si>
    <t>1503100502850001</t>
  </si>
  <si>
    <t>PURYANTO</t>
  </si>
  <si>
    <t>DP-4029</t>
  </si>
  <si>
    <t>1503101507160003</t>
  </si>
  <si>
    <t>1503051001880002</t>
  </si>
  <si>
    <t>ERIYANTO</t>
  </si>
  <si>
    <t>SUKA BUMI</t>
  </si>
  <si>
    <t>DP-4030</t>
  </si>
  <si>
    <t>1503094810930002</t>
  </si>
  <si>
    <t>UMI YATI</t>
  </si>
  <si>
    <t>PULAU HARIMAU</t>
  </si>
  <si>
    <t>DP-4031</t>
  </si>
  <si>
    <t>1505012607130023</t>
  </si>
  <si>
    <t>1505011505770006</t>
  </si>
  <si>
    <t>HADI WARTONO</t>
  </si>
  <si>
    <t>DP-4032</t>
  </si>
  <si>
    <t>1505011106060005</t>
  </si>
  <si>
    <t>JODI PRANSISKO</t>
  </si>
  <si>
    <t>DP-4033</t>
  </si>
  <si>
    <t>1505014909830006</t>
  </si>
  <si>
    <t>NURDAWATI</t>
  </si>
  <si>
    <t>DP-4034</t>
  </si>
  <si>
    <t>1505011810020008</t>
  </si>
  <si>
    <t>PRA SETIYO WIBISONO</t>
  </si>
  <si>
    <t>DP-4035</t>
  </si>
  <si>
    <t>1505051103086372</t>
  </si>
  <si>
    <t>1503061212000008</t>
  </si>
  <si>
    <t>DP-4036</t>
  </si>
  <si>
    <t>1505051912740001</t>
  </si>
  <si>
    <t>RAMLAN</t>
  </si>
  <si>
    <t>DP-4037</t>
  </si>
  <si>
    <t>1503065312750002</t>
  </si>
  <si>
    <t>SITI RIWAYATI</t>
  </si>
  <si>
    <t>DP-4038</t>
  </si>
  <si>
    <t>1505052911100015</t>
  </si>
  <si>
    <t>1505051501500001</t>
  </si>
  <si>
    <t>PONIJO</t>
  </si>
  <si>
    <t>DUSUN RAMBE TAYA</t>
  </si>
  <si>
    <t>DP-4039</t>
  </si>
  <si>
    <t>1503094801500001</t>
  </si>
  <si>
    <t>SULIAH</t>
  </si>
  <si>
    <t>DP-4040</t>
  </si>
  <si>
    <t>1508041911180002</t>
  </si>
  <si>
    <t>1508151102790001</t>
  </si>
  <si>
    <t>FRENGKY SITINJAK</t>
  </si>
  <si>
    <t>DP-4041</t>
  </si>
  <si>
    <t>1508152903040001</t>
  </si>
  <si>
    <t>IKHWAN FATRUR ROHMAN</t>
  </si>
  <si>
    <t>SAROLANGUN SINGKUT</t>
  </si>
  <si>
    <t>DP-4042</t>
  </si>
  <si>
    <t>1508154505720001</t>
  </si>
  <si>
    <t>SRIANI. S</t>
  </si>
  <si>
    <t>DP-4043</t>
  </si>
  <si>
    <t>1509122302150001</t>
  </si>
  <si>
    <t>1509124303930001</t>
  </si>
  <si>
    <t>LINA ANDRIANI</t>
  </si>
  <si>
    <t>RANTAU LOYANG</t>
  </si>
  <si>
    <t>DP-4044</t>
  </si>
  <si>
    <t>1503091605920001</t>
  </si>
  <si>
    <t>MEGGY INDRA WANSYAH</t>
  </si>
  <si>
    <t>DP-4045</t>
  </si>
  <si>
    <t>1571021904060015</t>
  </si>
  <si>
    <t>1571020709960001</t>
  </si>
  <si>
    <t>KLINTON PARASIAN SITOHANG</t>
  </si>
  <si>
    <t>DP-4046</t>
  </si>
  <si>
    <t>1571092010220007</t>
  </si>
  <si>
    <t>1571072703860101</t>
  </si>
  <si>
    <t>THOMAS ADE KURNIAWAN PASARIBU</t>
  </si>
  <si>
    <t>DP-4047</t>
  </si>
  <si>
    <t>1605121302180001</t>
  </si>
  <si>
    <t>1605124101990004</t>
  </si>
  <si>
    <t>FITRI KINANTI</t>
  </si>
  <si>
    <t>MEKAR SARI</t>
  </si>
  <si>
    <t>DP-4048</t>
  </si>
  <si>
    <t>1605120909890004</t>
  </si>
  <si>
    <t>MUHAMMAD NURCHOLIS</t>
  </si>
  <si>
    <t>DP-4049</t>
  </si>
  <si>
    <t>1611010911160005</t>
  </si>
  <si>
    <t>1611012810840002</t>
  </si>
  <si>
    <t>SAHAT M. NABABAN</t>
  </si>
  <si>
    <t>LBN. NIAPON</t>
  </si>
  <si>
    <t>DP-4050</t>
  </si>
  <si>
    <t>1611016512850005</t>
  </si>
  <si>
    <t>YOPI RISTIKA</t>
  </si>
  <si>
    <t>SELEMAN ULU</t>
  </si>
  <si>
    <t>DP-4051</t>
  </si>
  <si>
    <t>1613021107190004</t>
  </si>
  <si>
    <t>1605167001010001</t>
  </si>
  <si>
    <t>AYUH ANDIRA VSA</t>
  </si>
  <si>
    <t>DP-4052</t>
  </si>
  <si>
    <t>1605050506970002</t>
  </si>
  <si>
    <t>ROHIMIN</t>
  </si>
  <si>
    <t>TERAN RIDA</t>
  </si>
  <si>
    <t>DP-4053</t>
  </si>
  <si>
    <t>1613030303160006</t>
  </si>
  <si>
    <t>1605165010560001</t>
  </si>
  <si>
    <t>SITI UMMI</t>
  </si>
  <si>
    <t>DP-4054</t>
  </si>
  <si>
    <t>1613031111200003</t>
  </si>
  <si>
    <t>3507322911830001</t>
  </si>
  <si>
    <t>RUDI PRASTYO</t>
  </si>
  <si>
    <t>DP-4055</t>
  </si>
  <si>
    <t>3507325604940001</t>
  </si>
  <si>
    <t>SUSILOWATI</t>
  </si>
  <si>
    <t>DP-4056</t>
  </si>
  <si>
    <t>1672022610090007</t>
  </si>
  <si>
    <t>1672020107550035</t>
  </si>
  <si>
    <t>SAYYIDIN</t>
  </si>
  <si>
    <t>PAGAR ALAM</t>
  </si>
  <si>
    <t>DP-4057</t>
  </si>
  <si>
    <t>1503094508730004</t>
  </si>
  <si>
    <t>SUTRIS KOMARYATI</t>
  </si>
  <si>
    <t>DP-4058</t>
  </si>
  <si>
    <t>1503090212060004</t>
  </si>
  <si>
    <t>WIDI DWI AFRIYANTO</t>
  </si>
  <si>
    <t>DP-4059</t>
  </si>
  <si>
    <t>1803101807071687</t>
  </si>
  <si>
    <t>1803100110010001</t>
  </si>
  <si>
    <t>AHMAD ZAINURI</t>
  </si>
  <si>
    <t>DP-4060</t>
  </si>
  <si>
    <t>1803105405800002</t>
  </si>
  <si>
    <t>NINING</t>
  </si>
  <si>
    <t>DP-4061</t>
  </si>
  <si>
    <t>1803102003710001</t>
  </si>
  <si>
    <t>DP-4062</t>
  </si>
  <si>
    <t>3173062104100011</t>
  </si>
  <si>
    <t>3173060103890011</t>
  </si>
  <si>
    <t>HENRY LEVIN ARCADIA</t>
  </si>
  <si>
    <t>DP-4063</t>
  </si>
  <si>
    <t>3603127101900007</t>
  </si>
  <si>
    <t>TINA FARDAN</t>
  </si>
  <si>
    <t>DP-4064</t>
  </si>
  <si>
    <t>3404031205140006</t>
  </si>
  <si>
    <t>1503096801860001</t>
  </si>
  <si>
    <t>ENDAH DWI ARYANI</t>
  </si>
  <si>
    <t>DP-4065</t>
  </si>
  <si>
    <t>3404032801860001</t>
  </si>
  <si>
    <t>THOMAS AGUNG PRABOWO</t>
  </si>
  <si>
    <t>DP-4066</t>
  </si>
  <si>
    <t>3507321911030308</t>
  </si>
  <si>
    <t>3507324407740001</t>
  </si>
  <si>
    <t>SRIAMI</t>
  </si>
  <si>
    <t>DP-4067</t>
  </si>
  <si>
    <t>1613030101651002</t>
  </si>
  <si>
    <t>TRI MUGIONO</t>
  </si>
  <si>
    <t>DP-4068</t>
  </si>
  <si>
    <t>8172042911100003</t>
  </si>
  <si>
    <t>8172045503970002</t>
  </si>
  <si>
    <t>AFIZAH RETOB</t>
  </si>
  <si>
    <t>DP-4069</t>
  </si>
  <si>
    <t>8172040711930001</t>
  </si>
  <si>
    <t>M. AROBBI RETOB</t>
  </si>
  <si>
    <t>DP-4070</t>
  </si>
  <si>
    <t>8172040112590001</t>
  </si>
  <si>
    <t>M. SALEH R</t>
  </si>
  <si>
    <t>FINUALEN</t>
  </si>
  <si>
    <t>DP-4071</t>
  </si>
  <si>
    <t>8172045505010001</t>
  </si>
  <si>
    <t>NUR HAMIDA RETOB</t>
  </si>
  <si>
    <t>DP-4072</t>
  </si>
  <si>
    <t>8172044405730001</t>
  </si>
  <si>
    <t>SITI QOIRIYAH</t>
  </si>
  <si>
    <t>Lokasi Pindah Belum Jelas</t>
  </si>
  <si>
    <t>1503092608010003</t>
  </si>
  <si>
    <t>Perum Khalisah</t>
  </si>
  <si>
    <t>1503092810250001</t>
  </si>
  <si>
    <t>1503101606030001</t>
  </si>
  <si>
    <t>AZRI HAKIMI</t>
  </si>
  <si>
    <t>SEBAKUL</t>
  </si>
  <si>
    <t>1503091904650002</t>
  </si>
  <si>
    <t>belum ditemukan</t>
  </si>
  <si>
    <t>1503092711250002</t>
  </si>
  <si>
    <t>skt 1</t>
  </si>
  <si>
    <t>1503092506260001</t>
  </si>
  <si>
    <t>pisah kk</t>
  </si>
  <si>
    <t>Lahat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</si>
</sst>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20">
    <font>
      <sz val="10.0"/>
      <color rgb="FF000000"/>
      <name val="Arial"/>
      <scheme val="minor"/>
    </font>
    <font>
      <sz val="11.0"/>
      <color rgb="FF000000"/>
      <name val="Calibri"/>
    </font>
    <font>
      <b/>
      <sz val="9.0"/>
      <color theme="1"/>
      <name val="Calibri"/>
    </font>
    <font>
      <b/>
      <sz val="9.0"/>
      <color rgb="FF000000"/>
      <name val="Calibri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sz val="11.0"/>
      <color rgb="FF000000"/>
      <name val="Calibri"/>
    </font>
    <font>
      <sz val="12.0"/>
      <color theme="1"/>
      <name val="Arial"/>
      <scheme val="minor"/>
    </font>
    <font>
      <sz val="9.0"/>
      <color rgb="FF000000"/>
      <name val="&quot;Calibri Light&quot;"/>
    </font>
    <font>
      <i/>
      <sz val="12.0"/>
      <color theme="1"/>
      <name val="Arial"/>
      <scheme val="minor"/>
    </font>
    <font>
      <sz val="9.0"/>
      <color theme="1"/>
      <name val="&quot;Calibri Light&quot;"/>
    </font>
    <font>
      <sz val="9.0"/>
      <color rgb="FF000000"/>
      <name val="Calibri"/>
    </font>
    <font>
      <b/>
      <color theme="1"/>
      <name val="Arial"/>
      <scheme val="minor"/>
    </font>
    <font>
      <color rgb="FF000000"/>
      <name val="Calibri"/>
    </font>
    <font>
      <b/>
      <sz val="15.0"/>
      <color theme="1"/>
      <name val="Arial"/>
      <scheme val="minor"/>
    </font>
    <font>
      <sz val="15.0"/>
      <color theme="1"/>
      <name val="Arial"/>
      <scheme val="minor"/>
    </font>
    <font>
      <sz val="22.0"/>
      <color theme="1"/>
      <name val="Arial"/>
      <scheme val="minor"/>
    </font>
    <font>
      <color rgb="FF000000"/>
      <name val="&quot;Calibri Light&quot;"/>
    </font>
    <font>
      <sz val="9.0"/>
      <color rgb="FF9C0006"/>
      <name val="&quot;Calibri Light&quot;"/>
    </font>
    <font>
      <u/>
      <sz val="9.0"/>
      <color rgb="FF0000FF"/>
      <name val="&quot;Calibri Light&quot;"/>
    </font>
  </fonts>
  <fills count="5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FC7CE"/>
        <bgColor rgb="FFFFC7CE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center" wrapText="0"/>
    </xf>
    <xf borderId="1" fillId="3" fontId="2" numFmtId="0" xfId="0" applyAlignment="1" applyBorder="1" applyFill="1" applyFont="1">
      <alignment horizontal="center" readingOrder="0" shrinkToFit="0" vertical="center" wrapText="1"/>
    </xf>
    <xf borderId="0" fillId="2" fontId="1" numFmtId="49" xfId="0" applyAlignment="1" applyFill="1" applyFont="1" applyNumberFormat="1">
      <alignment shrinkToFit="0" vertical="center" wrapText="0"/>
    </xf>
    <xf borderId="1" fillId="3" fontId="2" numFmtId="49" xfId="0" applyAlignment="1" applyBorder="1" applyFill="1" applyFont="1" applyNumberFormat="1">
      <alignment horizontal="center" readingOrder="0" shrinkToFit="0" vertical="center" wrapText="1"/>
    </xf>
    <xf borderId="1" fillId="3" fontId="3" numFmtId="0" xfId="0" applyAlignment="1" applyBorder="1" applyFill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/>
    </xf>
    <xf borderId="0" fillId="0" fontId="5" numFmtId="0" xfId="0" applyAlignment="1" applyFont="1">
      <alignment vertical="center"/>
    </xf>
    <xf borderId="2" fillId="3" fontId="2" numFmtId="0" xfId="0" applyAlignment="1" applyBorder="1" applyFill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/>
    </xf>
    <xf borderId="1" fillId="3" fontId="2" numFmtId="0" xfId="0" applyAlignment="1" applyBorder="1" applyFill="1" applyFont="1">
      <alignment horizontal="center" readingOrder="0" shrinkToFit="0" vertical="center" wrapText="0"/>
    </xf>
    <xf borderId="0" fillId="0" fontId="7" numFmtId="0" xfId="0" applyAlignment="1" applyFont="1">
      <alignment horizontal="center"/>
    </xf>
    <xf borderId="1" fillId="3" fontId="2" numFmtId="49" xfId="0" applyAlignment="1" applyBorder="1" applyFill="1" applyFont="1" applyNumberFormat="1">
      <alignment horizontal="center" readingOrder="0" shrinkToFit="0" vertical="center" wrapText="0"/>
    </xf>
    <xf borderId="1" fillId="3" fontId="8" numFmtId="0" xfId="0" applyAlignment="1" applyBorder="1" applyFill="1" applyFont="1">
      <alignment horizontal="center" readingOrder="0" shrinkToFit="0" vertical="center" wrapText="0"/>
    </xf>
    <xf borderId="1" fillId="3" fontId="2" numFmtId="0" xfId="0" applyAlignment="1" applyBorder="1" applyFill="1" applyFont="1">
      <alignment horizontal="center" readingOrder="0" vertical="center"/>
    </xf>
    <xf borderId="1" fillId="0" fontId="9" numFmtId="0" xfId="0" applyAlignment="1" applyBorder="1" applyFont="1">
      <alignment horizontal="center" readingOrder="0"/>
    </xf>
    <xf borderId="1" fillId="3" fontId="8" numFmtId="49" xfId="0" applyAlignment="1" applyBorder="1" applyFill="1" applyFont="1" applyNumberFormat="1">
      <alignment horizontal="center" readingOrder="0" shrinkToFit="0" vertical="center" wrapText="0"/>
    </xf>
    <xf borderId="1" fillId="3" fontId="3" numFmtId="0" xfId="0" applyAlignment="1" applyBorder="1" applyFill="1" applyFont="1">
      <alignment horizontal="center" readingOrder="0" shrinkToFit="0" vertical="center" wrapText="0"/>
    </xf>
    <xf borderId="1" fillId="3" fontId="10" numFmtId="0" xfId="0" applyAlignment="1" applyBorder="1" applyFill="1" applyFont="1">
      <alignment horizontal="left" readingOrder="0" shrinkToFit="0" vertical="center" wrapText="0"/>
    </xf>
    <xf borderId="1" fillId="3" fontId="8" numFmtId="0" xfId="0" applyAlignment="1" applyBorder="1" applyFill="1" applyFont="1">
      <alignment horizontal="left" readingOrder="0" shrinkToFit="0" vertical="center" wrapText="0"/>
    </xf>
    <xf borderId="1" fillId="3" fontId="8" numFmtId="164" xfId="0" applyAlignment="1" applyBorder="1" applyFill="1" applyFont="1" applyNumberFormat="1">
      <alignment horizontal="center" readingOrder="0" shrinkToFit="0" vertical="center" wrapText="0"/>
    </xf>
    <xf borderId="1" fillId="0" fontId="7" numFmtId="0" xfId="0" applyAlignment="1" applyBorder="1" applyFont="1">
      <alignment horizontal="center"/>
    </xf>
    <xf borderId="1" fillId="3" fontId="11" numFmtId="0" xfId="0" applyAlignment="1" applyBorder="1" applyFill="1" applyFont="1">
      <alignment horizontal="center" readingOrder="0" shrinkToFit="0" vertical="center" wrapText="0"/>
    </xf>
    <xf borderId="1" fillId="3" fontId="10" numFmtId="0" xfId="0" applyAlignment="1" applyBorder="1" applyFill="1" applyFont="1">
      <alignment horizontal="center" readingOrder="0" shrinkToFit="0" vertical="center" wrapText="0"/>
    </xf>
    <xf borderId="3" fillId="3" fontId="8" numFmtId="0" xfId="0" applyAlignment="1" applyBorder="1" applyFill="1" applyFont="1">
      <alignment horizontal="left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3" fontId="8" numFmtId="165" xfId="0" applyAlignment="1" applyBorder="1" applyFill="1" applyFont="1" applyNumberFormat="1">
      <alignment horizontal="center" readingOrder="0" shrinkToFit="0" vertical="center" wrapText="0"/>
    </xf>
    <xf borderId="3" fillId="3" fontId="8" numFmtId="0" xfId="0" applyAlignment="1" applyBorder="1" applyFill="1" applyFont="1">
      <alignment horizontal="left" readingOrder="0" shrinkToFit="0" vertical="center" wrapText="0"/>
    </xf>
    <xf borderId="1" fillId="0" fontId="12" numFmtId="0" xfId="0" applyAlignment="1" applyBorder="1" applyFont="1">
      <alignment horizontal="center" readingOrder="0"/>
    </xf>
    <xf borderId="1" fillId="0" fontId="5" numFmtId="0" xfId="0" applyAlignment="1" applyBorder="1" applyFont="1">
      <alignment readingOrder="0"/>
    </xf>
    <xf borderId="1" fillId="0" fontId="5" numFmtId="0" xfId="0" applyAlignment="1" applyBorder="1" applyFont="1">
      <alignment horizontal="center" readingOrder="0"/>
    </xf>
    <xf borderId="1" fillId="3" fontId="13" numFmtId="49" xfId="0" applyAlignment="1" applyBorder="1" applyFill="1" applyFont="1" applyNumberFormat="1">
      <alignment horizontal="center" readingOrder="0" shrinkToFit="0" vertical="center" wrapText="0"/>
    </xf>
    <xf borderId="1" fillId="0" fontId="14" numFmtId="0" xfId="0" applyAlignment="1" applyBorder="1" applyFont="1">
      <alignment horizontal="center" readingOrder="0" vertical="center"/>
    </xf>
    <xf borderId="0" fillId="0" fontId="15" numFmtId="0" xfId="0" applyAlignment="1" applyFont="1">
      <alignment horizontal="center" vertical="center"/>
    </xf>
    <xf borderId="1" fillId="0" fontId="16" numFmtId="49" xfId="0" applyAlignment="1" applyBorder="1" applyFont="1" applyNumberFormat="1">
      <alignment horizontal="center" readingOrder="0" vertical="center"/>
    </xf>
    <xf borderId="1" fillId="0" fontId="16" numFmtId="0" xfId="0" applyAlignment="1" applyBorder="1" applyFont="1">
      <alignment horizontal="center" readingOrder="0" vertical="center"/>
    </xf>
    <xf borderId="1" fillId="0" fontId="16" numFmtId="0" xfId="0" applyAlignment="1" applyBorder="1" applyFont="1">
      <alignment horizontal="center" vertical="center"/>
    </xf>
    <xf borderId="1" fillId="3" fontId="17" numFmtId="49" xfId="0" applyAlignment="1" applyBorder="1" applyFill="1" applyFont="1" applyNumberFormat="1">
      <alignment horizontal="center" readingOrder="0" shrinkToFit="0" vertical="center" wrapText="0"/>
    </xf>
    <xf borderId="3" fillId="3" fontId="8" numFmtId="0" xfId="0" applyAlignment="1" applyBorder="1" applyFill="1" applyFont="1">
      <alignment horizontal="center" readingOrder="0" shrinkToFit="0" vertical="center" wrapText="0"/>
    </xf>
    <xf borderId="1" fillId="3" fontId="1" numFmtId="0" xfId="0" applyAlignment="1" applyBorder="1" applyFill="1" applyFont="1">
      <alignment readingOrder="0" shrinkToFit="0" vertical="center" wrapText="0"/>
    </xf>
    <xf borderId="1" fillId="4" fontId="18" numFmtId="49" xfId="0" applyAlignment="1" applyBorder="1" applyFill="1" applyFont="1" applyNumberFormat="1">
      <alignment horizontal="center" readingOrder="0" shrinkToFit="0" vertical="center" wrapText="0"/>
    </xf>
    <xf borderId="1" fillId="0" fontId="8" numFmtId="0" xfId="0" applyAlignment="1" applyBorder="1" applyFont="1">
      <alignment horizontal="center" readingOrder="0" shrinkToFit="0" vertical="center" wrapText="0"/>
    </xf>
    <xf borderId="1" fillId="0" fontId="8" numFmtId="49" xfId="0" applyAlignment="1" applyBorder="1" applyFont="1" applyNumberFormat="1">
      <alignment horizontal="center" readingOrder="0" shrinkToFit="0" vertical="center" wrapText="0"/>
    </xf>
    <xf borderId="1" fillId="0" fontId="10" numFmtId="0" xfId="0" applyAlignment="1" applyBorder="1" applyFont="1">
      <alignment horizontal="left" readingOrder="0" shrinkToFit="0" vertical="center" wrapText="0"/>
    </xf>
    <xf borderId="1" fillId="0" fontId="8" numFmtId="0" xfId="0" applyAlignment="1" applyBorder="1" applyFont="1">
      <alignment horizontal="left" readingOrder="0" shrinkToFit="0" vertical="center" wrapText="0"/>
    </xf>
    <xf borderId="1" fillId="0" fontId="8" numFmtId="164" xfId="0" applyAlignment="1" applyBorder="1" applyFont="1" applyNumberFormat="1">
      <alignment horizontal="center" readingOrder="0" shrinkToFit="0" vertical="center" wrapText="0"/>
    </xf>
    <xf borderId="1" fillId="0" fontId="11" numFmtId="0" xfId="0" applyAlignment="1" applyBorder="1" applyFont="1">
      <alignment horizontal="center" readingOrder="0" shrinkToFit="0" vertical="center" wrapText="0"/>
    </xf>
    <xf borderId="1" fillId="0" fontId="10" numFmtId="0" xfId="0" applyAlignment="1" applyBorder="1" applyFont="1">
      <alignment horizontal="center" readingOrder="0" shrinkToFit="0" vertical="center" wrapText="0"/>
    </xf>
    <xf borderId="1" fillId="0" fontId="8" numFmtId="0" xfId="0" applyAlignment="1" applyBorder="1" applyFont="1">
      <alignment horizontal="center" shrinkToFit="0" vertical="center" wrapText="0"/>
    </xf>
    <xf borderId="1" fillId="3" fontId="17" numFmtId="0" xfId="0" applyAlignment="1" applyBorder="1" applyFill="1" applyFont="1">
      <alignment readingOrder="0" shrinkToFit="0" vertical="center" wrapText="0"/>
    </xf>
    <xf borderId="1" fillId="3" fontId="19" numFmtId="0" xfId="0" applyAlignment="1" applyBorder="1" applyFill="1" applyFont="1">
      <alignment horizontal="left" readingOrder="0" shrinkToFit="0" vertical="center" wrapText="0"/>
    </xf>
    <xf borderId="1" fillId="3" fontId="1" numFmtId="49" xfId="0" applyAlignment="1" applyBorder="1" applyFill="1" applyFont="1" applyNumberFormat="1">
      <alignment horizontal="center" readingOrder="0" shrinkToFit="0" vertical="center" wrapText="0"/>
    </xf>
    <xf borderId="0" fillId="3" fontId="1" numFmtId="49" xfId="0" applyAlignment="1" applyFill="1" applyFont="1" applyNumberFormat="1">
      <alignment readingOrder="0" shrinkToFit="0" vertical="center" wrapText="0"/>
    </xf>
    <xf borderId="3" fillId="3" fontId="8" numFmtId="0" xfId="0" applyAlignment="1" applyBorder="1" applyFill="1" applyFont="1">
      <alignment horizontal="left" readingOrder="0" vertical="center"/>
    </xf>
    <xf borderId="1" fillId="3" fontId="8" numFmtId="0" xfId="0" applyAlignment="1" applyBorder="1" applyFill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tamrin.as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tamrin.as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17.63"/>
    <col customWidth="1" min="3" max="3" width="14.38"/>
    <col customWidth="1" min="4" max="4" width="7.88"/>
    <col customWidth="1" min="5" max="5" width="9.25"/>
  </cols>
  <sheetData>
    <row r="1">
      <c r="A1" s="6" t="s">
        <v>0</v>
      </c>
      <c r="B1" s="6" t="s">
        <v>4</v>
      </c>
      <c r="C1" s="6" t="s">
        <v>15</v>
      </c>
      <c r="D1" s="10" t="s">
        <v>16</v>
      </c>
      <c r="E1" s="10" t="s">
        <v>17</v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0">
        <v>1.0</v>
      </c>
      <c r="B2" s="16" t="s">
        <v>19</v>
      </c>
      <c r="C2" s="10" t="s">
        <v>21</v>
      </c>
      <c r="D2" s="22">
        <f>SUM('INPUT SUARA'!B2:B3)</f>
        <v>0</v>
      </c>
      <c r="E2" s="22">
        <f t="shared" ref="E2:E6" si="1">IF(SUM($D$2:$D$6)=0, 0, D2/SUM($D$2:$D$6))</f>
        <v>0</v>
      </c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0">
        <v>2.0</v>
      </c>
      <c r="B3" s="16" t="s">
        <v>19</v>
      </c>
      <c r="C3" s="10" t="s">
        <v>21</v>
      </c>
      <c r="D3" s="22">
        <f>SUM('INPUT SUARA'!B3:B4)</f>
        <v>0</v>
      </c>
      <c r="E3" s="22">
        <f t="shared" si="1"/>
        <v>0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0">
        <v>3.0</v>
      </c>
      <c r="B4" s="16" t="s">
        <v>19</v>
      </c>
      <c r="C4" s="10" t="s">
        <v>21</v>
      </c>
      <c r="D4" s="22">
        <f>SUM('INPUT SUARA'!B4:B5)</f>
        <v>0</v>
      </c>
      <c r="E4" s="22">
        <f t="shared" si="1"/>
        <v>0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0">
        <v>4.0</v>
      </c>
      <c r="B5" s="16" t="s">
        <v>19</v>
      </c>
      <c r="C5" s="10" t="s">
        <v>21</v>
      </c>
      <c r="D5" s="22">
        <f>SUM('INPUT SUARA'!B5:B6)</f>
        <v>0</v>
      </c>
      <c r="E5" s="22">
        <f t="shared" si="1"/>
        <v>0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0">
        <v>5.0</v>
      </c>
      <c r="B6" s="16" t="s">
        <v>19</v>
      </c>
      <c r="C6" s="10" t="s">
        <v>21</v>
      </c>
      <c r="D6" s="22">
        <f>SUM('INPUT SUARA'!B6:B7)</f>
        <v>0</v>
      </c>
      <c r="E6" s="22">
        <f t="shared" si="1"/>
        <v>0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5.75"/>
    <col customWidth="1" min="3" max="3" width="14.38"/>
    <col customWidth="1" min="4" max="4" width="29.0"/>
    <col customWidth="1" min="5" max="5" width="22.38"/>
    <col customWidth="1" min="6" max="6" width="11.0"/>
    <col customWidth="1" min="7" max="7" width="4.0"/>
    <col customWidth="1" min="8" max="8" width="7.88"/>
    <col customWidth="1" min="9" max="9" width="3.13"/>
    <col customWidth="1" min="10" max="10" width="32.38"/>
    <col customWidth="1" min="11" max="11" width="5.25"/>
  </cols>
  <sheetData>
    <row r="1">
      <c r="A1" s="1"/>
      <c r="B1" s="3"/>
      <c r="C1" s="3"/>
      <c r="D1" s="1"/>
      <c r="E1" s="1"/>
      <c r="F1" s="1"/>
      <c r="G1" s="1"/>
      <c r="H1" s="1"/>
      <c r="I1" s="1"/>
      <c r="J1" s="1"/>
      <c r="K1" s="1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>
      <c r="A2" s="11" t="s">
        <v>1</v>
      </c>
      <c r="B2" s="13" t="s">
        <v>2</v>
      </c>
      <c r="C2" s="13" t="s">
        <v>3</v>
      </c>
      <c r="D2" s="11" t="s">
        <v>4</v>
      </c>
      <c r="E2" s="11" t="s">
        <v>5</v>
      </c>
      <c r="F2" s="15" t="s">
        <v>6</v>
      </c>
      <c r="G2" s="11" t="s">
        <v>7</v>
      </c>
      <c r="H2" s="18" t="s">
        <v>8</v>
      </c>
      <c r="I2" s="15" t="s">
        <v>9</v>
      </c>
      <c r="J2" s="11" t="s">
        <v>10</v>
      </c>
      <c r="K2" s="11" t="s">
        <v>24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>
      <c r="A3" s="14" t="s">
        <v>18</v>
      </c>
      <c r="B3" s="17" t="s">
        <v>20</v>
      </c>
      <c r="C3" s="17" t="s">
        <v>22</v>
      </c>
      <c r="D3" s="19" t="s">
        <v>23</v>
      </c>
      <c r="E3" s="20" t="s">
        <v>25</v>
      </c>
      <c r="F3" s="21">
        <v>30433.0</v>
      </c>
      <c r="G3" s="14">
        <v>43.0</v>
      </c>
      <c r="H3" s="23" t="s">
        <v>26</v>
      </c>
      <c r="I3" s="24" t="s">
        <v>27</v>
      </c>
      <c r="J3" s="19" t="s">
        <v>28</v>
      </c>
      <c r="K3" s="14">
        <v>12.0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>
      <c r="A4" s="14" t="s">
        <v>29</v>
      </c>
      <c r="B4" s="17" t="s">
        <v>20</v>
      </c>
      <c r="C4" s="17" t="s">
        <v>30</v>
      </c>
      <c r="D4" s="19" t="s">
        <v>31</v>
      </c>
      <c r="E4" s="20" t="s">
        <v>32</v>
      </c>
      <c r="F4" s="21">
        <v>27550.0</v>
      </c>
      <c r="G4" s="14">
        <v>51.0</v>
      </c>
      <c r="H4" s="23" t="s">
        <v>26</v>
      </c>
      <c r="I4" s="24" t="s">
        <v>33</v>
      </c>
      <c r="J4" s="19" t="s">
        <v>28</v>
      </c>
      <c r="K4" s="14">
        <v>12.0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>
      <c r="A5" s="14" t="s">
        <v>34</v>
      </c>
      <c r="B5" s="17" t="s">
        <v>35</v>
      </c>
      <c r="C5" s="17" t="s">
        <v>36</v>
      </c>
      <c r="D5" s="19" t="s">
        <v>37</v>
      </c>
      <c r="E5" s="20" t="s">
        <v>38</v>
      </c>
      <c r="F5" s="21">
        <v>32090.0</v>
      </c>
      <c r="G5" s="14">
        <v>38.0</v>
      </c>
      <c r="H5" s="23" t="s">
        <v>26</v>
      </c>
      <c r="I5" s="24" t="s">
        <v>33</v>
      </c>
      <c r="J5" s="19" t="s">
        <v>39</v>
      </c>
      <c r="K5" s="14">
        <v>11.0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>
      <c r="A6" s="14" t="s">
        <v>40</v>
      </c>
      <c r="B6" s="17" t="s">
        <v>35</v>
      </c>
      <c r="C6" s="17" t="s">
        <v>41</v>
      </c>
      <c r="D6" s="19" t="s">
        <v>42</v>
      </c>
      <c r="E6" s="20" t="s">
        <v>43</v>
      </c>
      <c r="F6" s="21">
        <v>34516.0</v>
      </c>
      <c r="G6" s="14">
        <v>32.0</v>
      </c>
      <c r="H6" s="23" t="s">
        <v>26</v>
      </c>
      <c r="I6" s="24" t="s">
        <v>27</v>
      </c>
      <c r="J6" s="19" t="s">
        <v>39</v>
      </c>
      <c r="K6" s="14">
        <v>11.0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>
      <c r="A7" s="14" t="s">
        <v>44</v>
      </c>
      <c r="B7" s="17" t="s">
        <v>45</v>
      </c>
      <c r="C7" s="17" t="s">
        <v>46</v>
      </c>
      <c r="D7" s="19" t="s">
        <v>47</v>
      </c>
      <c r="E7" s="20" t="s">
        <v>48</v>
      </c>
      <c r="F7" s="27">
        <v>33969.0</v>
      </c>
      <c r="G7" s="14">
        <v>33.0</v>
      </c>
      <c r="H7" s="23" t="s">
        <v>26</v>
      </c>
      <c r="I7" s="24" t="s">
        <v>33</v>
      </c>
      <c r="J7" s="19" t="s">
        <v>49</v>
      </c>
      <c r="K7" s="14">
        <v>29.0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>
      <c r="A8" s="14" t="s">
        <v>50</v>
      </c>
      <c r="B8" s="17" t="s">
        <v>45</v>
      </c>
      <c r="C8" s="17" t="s">
        <v>51</v>
      </c>
      <c r="D8" s="19" t="s">
        <v>52</v>
      </c>
      <c r="E8" s="20" t="s">
        <v>53</v>
      </c>
      <c r="F8" s="27">
        <v>33963.0</v>
      </c>
      <c r="G8" s="14">
        <v>33.0</v>
      </c>
      <c r="H8" s="23" t="s">
        <v>26</v>
      </c>
      <c r="I8" s="24" t="s">
        <v>27</v>
      </c>
      <c r="J8" s="19" t="s">
        <v>49</v>
      </c>
      <c r="K8" s="14">
        <v>29.0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>
      <c r="A9" s="14" t="s">
        <v>54</v>
      </c>
      <c r="B9" s="17" t="s">
        <v>55</v>
      </c>
      <c r="C9" s="17" t="s">
        <v>56</v>
      </c>
      <c r="D9" s="19" t="s">
        <v>57</v>
      </c>
      <c r="E9" s="20" t="s">
        <v>53</v>
      </c>
      <c r="F9" s="27">
        <v>34690.0</v>
      </c>
      <c r="G9" s="14">
        <v>31.0</v>
      </c>
      <c r="H9" s="23" t="s">
        <v>26</v>
      </c>
      <c r="I9" s="24" t="s">
        <v>27</v>
      </c>
      <c r="J9" s="19" t="s">
        <v>58</v>
      </c>
      <c r="K9" s="14">
        <v>9.0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>
      <c r="A10" s="14" t="s">
        <v>59</v>
      </c>
      <c r="B10" s="17" t="s">
        <v>55</v>
      </c>
      <c r="C10" s="17" t="s">
        <v>60</v>
      </c>
      <c r="D10" s="19" t="s">
        <v>61</v>
      </c>
      <c r="E10" s="20" t="s">
        <v>62</v>
      </c>
      <c r="F10" s="27">
        <v>33593.0</v>
      </c>
      <c r="G10" s="14">
        <v>34.0</v>
      </c>
      <c r="H10" s="23" t="s">
        <v>26</v>
      </c>
      <c r="I10" s="24" t="s">
        <v>33</v>
      </c>
      <c r="J10" s="19" t="s">
        <v>58</v>
      </c>
      <c r="K10" s="14">
        <v>9.0</v>
      </c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>
      <c r="A11" s="14" t="s">
        <v>63</v>
      </c>
      <c r="B11" s="17" t="s">
        <v>64</v>
      </c>
      <c r="C11" s="17" t="s">
        <v>65</v>
      </c>
      <c r="D11" s="19" t="s">
        <v>66</v>
      </c>
      <c r="E11" s="20" t="s">
        <v>67</v>
      </c>
      <c r="F11" s="21">
        <v>28095.0</v>
      </c>
      <c r="G11" s="14">
        <v>49.0</v>
      </c>
      <c r="H11" s="23" t="s">
        <v>26</v>
      </c>
      <c r="I11" s="24" t="s">
        <v>33</v>
      </c>
      <c r="J11" s="19" t="s">
        <v>68</v>
      </c>
      <c r="K11" s="14">
        <v>35.0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>
      <c r="A12" s="14" t="s">
        <v>69</v>
      </c>
      <c r="B12" s="17" t="s">
        <v>64</v>
      </c>
      <c r="C12" s="17" t="s">
        <v>70</v>
      </c>
      <c r="D12" s="19" t="s">
        <v>71</v>
      </c>
      <c r="E12" s="20" t="s">
        <v>72</v>
      </c>
      <c r="F12" s="21">
        <v>34094.0</v>
      </c>
      <c r="G12" s="14">
        <v>33.0</v>
      </c>
      <c r="H12" s="23" t="s">
        <v>26</v>
      </c>
      <c r="I12" s="24" t="s">
        <v>27</v>
      </c>
      <c r="J12" s="19" t="s">
        <v>68</v>
      </c>
      <c r="K12" s="14">
        <v>35.0</v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>
      <c r="A13" s="14" t="s">
        <v>73</v>
      </c>
      <c r="B13" s="17" t="s">
        <v>74</v>
      </c>
      <c r="C13" s="17" t="s">
        <v>75</v>
      </c>
      <c r="D13" s="19" t="s">
        <v>76</v>
      </c>
      <c r="E13" s="20" t="s">
        <v>77</v>
      </c>
      <c r="F13" s="21">
        <v>33208.0</v>
      </c>
      <c r="G13" s="14">
        <v>35.0</v>
      </c>
      <c r="H13" s="23" t="s">
        <v>26</v>
      </c>
      <c r="I13" s="24" t="s">
        <v>33</v>
      </c>
      <c r="J13" s="19" t="s">
        <v>68</v>
      </c>
      <c r="K13" s="14">
        <v>34.0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>
      <c r="A14" s="14" t="s">
        <v>78</v>
      </c>
      <c r="B14" s="17" t="s">
        <v>74</v>
      </c>
      <c r="C14" s="17" t="s">
        <v>79</v>
      </c>
      <c r="D14" s="19" t="s">
        <v>80</v>
      </c>
      <c r="E14" s="20" t="s">
        <v>53</v>
      </c>
      <c r="F14" s="21">
        <v>35768.0</v>
      </c>
      <c r="G14" s="14">
        <v>28.0</v>
      </c>
      <c r="H14" s="23" t="s">
        <v>26</v>
      </c>
      <c r="I14" s="24" t="s">
        <v>27</v>
      </c>
      <c r="J14" s="19" t="s">
        <v>68</v>
      </c>
      <c r="K14" s="14">
        <v>34.0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>
      <c r="A15" s="14" t="s">
        <v>81</v>
      </c>
      <c r="B15" s="17" t="s">
        <v>82</v>
      </c>
      <c r="C15" s="17" t="s">
        <v>83</v>
      </c>
      <c r="D15" s="19" t="s">
        <v>84</v>
      </c>
      <c r="E15" s="20" t="s">
        <v>85</v>
      </c>
      <c r="F15" s="21">
        <v>35688.0</v>
      </c>
      <c r="G15" s="14">
        <v>28.0</v>
      </c>
      <c r="H15" s="23" t="s">
        <v>26</v>
      </c>
      <c r="I15" s="24" t="s">
        <v>33</v>
      </c>
      <c r="J15" s="19" t="s">
        <v>53</v>
      </c>
      <c r="K15" s="14">
        <v>4.0</v>
      </c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>
      <c r="A16" s="14" t="s">
        <v>86</v>
      </c>
      <c r="B16" s="17" t="s">
        <v>82</v>
      </c>
      <c r="C16" s="17" t="s">
        <v>87</v>
      </c>
      <c r="D16" s="19" t="s">
        <v>88</v>
      </c>
      <c r="E16" s="20" t="s">
        <v>89</v>
      </c>
      <c r="F16" s="21">
        <v>34785.0</v>
      </c>
      <c r="G16" s="14">
        <v>31.0</v>
      </c>
      <c r="H16" s="23" t="s">
        <v>26</v>
      </c>
      <c r="I16" s="24" t="s">
        <v>27</v>
      </c>
      <c r="J16" s="19" t="s">
        <v>53</v>
      </c>
      <c r="K16" s="14">
        <v>4.0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>
      <c r="A17" s="14" t="s">
        <v>90</v>
      </c>
      <c r="B17" s="17" t="s">
        <v>91</v>
      </c>
      <c r="C17" s="17" t="s">
        <v>92</v>
      </c>
      <c r="D17" s="19" t="s">
        <v>93</v>
      </c>
      <c r="E17" s="20" t="s">
        <v>94</v>
      </c>
      <c r="F17" s="21">
        <v>25818.0</v>
      </c>
      <c r="G17" s="14">
        <v>55.0</v>
      </c>
      <c r="H17" s="23" t="s">
        <v>26</v>
      </c>
      <c r="I17" s="24" t="s">
        <v>33</v>
      </c>
      <c r="J17" s="19" t="s">
        <v>95</v>
      </c>
      <c r="K17" s="14">
        <v>16.0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>
      <c r="A18" s="14" t="s">
        <v>96</v>
      </c>
      <c r="B18" s="17" t="s">
        <v>91</v>
      </c>
      <c r="C18" s="17" t="s">
        <v>97</v>
      </c>
      <c r="D18" s="19" t="s">
        <v>98</v>
      </c>
      <c r="E18" s="20" t="s">
        <v>99</v>
      </c>
      <c r="F18" s="21">
        <v>39283.0</v>
      </c>
      <c r="G18" s="14">
        <v>19.0</v>
      </c>
      <c r="H18" s="23" t="s">
        <v>100</v>
      </c>
      <c r="I18" s="24" t="s">
        <v>33</v>
      </c>
      <c r="J18" s="19" t="s">
        <v>95</v>
      </c>
      <c r="K18" s="14">
        <v>16.0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>
      <c r="A19" s="14" t="s">
        <v>101</v>
      </c>
      <c r="B19" s="17" t="s">
        <v>91</v>
      </c>
      <c r="C19" s="17" t="s">
        <v>102</v>
      </c>
      <c r="D19" s="19" t="s">
        <v>103</v>
      </c>
      <c r="E19" s="20" t="s">
        <v>104</v>
      </c>
      <c r="F19" s="21">
        <v>29842.0</v>
      </c>
      <c r="G19" s="14">
        <v>44.0</v>
      </c>
      <c r="H19" s="23" t="s">
        <v>26</v>
      </c>
      <c r="I19" s="24" t="s">
        <v>27</v>
      </c>
      <c r="J19" s="19" t="s">
        <v>95</v>
      </c>
      <c r="K19" s="14">
        <v>16.0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>
      <c r="A20" s="14" t="s">
        <v>105</v>
      </c>
      <c r="B20" s="17" t="s">
        <v>91</v>
      </c>
      <c r="C20" s="17" t="s">
        <v>106</v>
      </c>
      <c r="D20" s="19" t="s">
        <v>107</v>
      </c>
      <c r="E20" s="20" t="s">
        <v>104</v>
      </c>
      <c r="F20" s="21">
        <v>37927.0</v>
      </c>
      <c r="G20" s="14">
        <v>22.0</v>
      </c>
      <c r="H20" s="23" t="s">
        <v>100</v>
      </c>
      <c r="I20" s="24" t="s">
        <v>27</v>
      </c>
      <c r="J20" s="19" t="s">
        <v>95</v>
      </c>
      <c r="K20" s="14">
        <v>16.0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>
      <c r="A21" s="14" t="s">
        <v>108</v>
      </c>
      <c r="B21" s="17" t="s">
        <v>109</v>
      </c>
      <c r="C21" s="17" t="s">
        <v>110</v>
      </c>
      <c r="D21" s="19" t="s">
        <v>111</v>
      </c>
      <c r="E21" s="20" t="s">
        <v>112</v>
      </c>
      <c r="F21" s="27">
        <v>36517.0</v>
      </c>
      <c r="G21" s="14">
        <v>26.0</v>
      </c>
      <c r="H21" s="23" t="s">
        <v>100</v>
      </c>
      <c r="I21" s="24" t="s">
        <v>33</v>
      </c>
      <c r="J21" s="19" t="s">
        <v>113</v>
      </c>
      <c r="K21" s="14">
        <v>19.0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>
      <c r="A22" s="14" t="s">
        <v>114</v>
      </c>
      <c r="B22" s="17" t="s">
        <v>109</v>
      </c>
      <c r="C22" s="17" t="s">
        <v>115</v>
      </c>
      <c r="D22" s="19" t="s">
        <v>116</v>
      </c>
      <c r="E22" s="20" t="s">
        <v>112</v>
      </c>
      <c r="F22" s="21">
        <v>25569.0</v>
      </c>
      <c r="G22" s="14">
        <v>56.0</v>
      </c>
      <c r="H22" s="23" t="s">
        <v>27</v>
      </c>
      <c r="I22" s="24" t="s">
        <v>27</v>
      </c>
      <c r="J22" s="19" t="s">
        <v>113</v>
      </c>
      <c r="K22" s="14">
        <v>19.0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>
      <c r="A23" s="14" t="s">
        <v>117</v>
      </c>
      <c r="B23" s="17" t="s">
        <v>118</v>
      </c>
      <c r="C23" s="17" t="s">
        <v>119</v>
      </c>
      <c r="D23" s="19" t="s">
        <v>120</v>
      </c>
      <c r="E23" s="20" t="s">
        <v>104</v>
      </c>
      <c r="F23" s="21">
        <v>28205.0</v>
      </c>
      <c r="G23" s="14">
        <v>49.0</v>
      </c>
      <c r="H23" s="23" t="s">
        <v>26</v>
      </c>
      <c r="I23" s="24" t="s">
        <v>33</v>
      </c>
      <c r="J23" s="19" t="s">
        <v>58</v>
      </c>
      <c r="K23" s="14">
        <v>3.0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>
      <c r="A24" s="14" t="s">
        <v>121</v>
      </c>
      <c r="B24" s="17" t="s">
        <v>118</v>
      </c>
      <c r="C24" s="17" t="s">
        <v>122</v>
      </c>
      <c r="D24" s="19" t="s">
        <v>123</v>
      </c>
      <c r="E24" s="20" t="s">
        <v>124</v>
      </c>
      <c r="F24" s="21">
        <v>30112.0</v>
      </c>
      <c r="G24" s="14">
        <v>44.0</v>
      </c>
      <c r="H24" s="23" t="s">
        <v>26</v>
      </c>
      <c r="I24" s="24" t="s">
        <v>27</v>
      </c>
      <c r="J24" s="19" t="s">
        <v>58</v>
      </c>
      <c r="K24" s="14">
        <v>3.0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>
      <c r="A25" s="14" t="s">
        <v>125</v>
      </c>
      <c r="B25" s="17" t="s">
        <v>126</v>
      </c>
      <c r="C25" s="17" t="s">
        <v>127</v>
      </c>
      <c r="D25" s="19" t="s">
        <v>128</v>
      </c>
      <c r="E25" s="20" t="s">
        <v>129</v>
      </c>
      <c r="F25" s="21">
        <v>26524.0</v>
      </c>
      <c r="G25" s="14">
        <v>54.0</v>
      </c>
      <c r="H25" s="23" t="s">
        <v>26</v>
      </c>
      <c r="I25" s="24" t="s">
        <v>33</v>
      </c>
      <c r="J25" s="19" t="s">
        <v>53</v>
      </c>
      <c r="K25" s="14">
        <v>10.0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>
      <c r="A26" s="14" t="s">
        <v>130</v>
      </c>
      <c r="B26" s="17" t="s">
        <v>126</v>
      </c>
      <c r="C26" s="17" t="s">
        <v>131</v>
      </c>
      <c r="D26" s="19" t="s">
        <v>132</v>
      </c>
      <c r="E26" s="20" t="s">
        <v>133</v>
      </c>
      <c r="F26" s="21">
        <v>29648.0</v>
      </c>
      <c r="G26" s="14">
        <v>45.0</v>
      </c>
      <c r="H26" s="23" t="s">
        <v>26</v>
      </c>
      <c r="I26" s="24" t="s">
        <v>27</v>
      </c>
      <c r="J26" s="19" t="s">
        <v>58</v>
      </c>
      <c r="K26" s="14">
        <v>10.0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>
      <c r="A27" s="14" t="s">
        <v>134</v>
      </c>
      <c r="B27" s="17" t="s">
        <v>135</v>
      </c>
      <c r="C27" s="17" t="s">
        <v>136</v>
      </c>
      <c r="D27" s="19" t="s">
        <v>137</v>
      </c>
      <c r="E27" s="20" t="s">
        <v>138</v>
      </c>
      <c r="F27" s="27">
        <v>30249.0</v>
      </c>
      <c r="G27" s="14">
        <v>43.0</v>
      </c>
      <c r="H27" s="23" t="s">
        <v>26</v>
      </c>
      <c r="I27" s="24" t="s">
        <v>33</v>
      </c>
      <c r="J27" s="19" t="s">
        <v>68</v>
      </c>
      <c r="K27" s="14">
        <v>29.0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>
      <c r="A28" s="14" t="s">
        <v>139</v>
      </c>
      <c r="B28" s="17" t="s">
        <v>135</v>
      </c>
      <c r="C28" s="17" t="s">
        <v>140</v>
      </c>
      <c r="D28" s="19" t="s">
        <v>141</v>
      </c>
      <c r="E28" s="20" t="s">
        <v>104</v>
      </c>
      <c r="F28" s="21">
        <v>30893.0</v>
      </c>
      <c r="G28" s="14">
        <v>42.0</v>
      </c>
      <c r="H28" s="23" t="s">
        <v>26</v>
      </c>
      <c r="I28" s="24" t="s">
        <v>27</v>
      </c>
      <c r="J28" s="19" t="s">
        <v>68</v>
      </c>
      <c r="K28" s="14">
        <v>29.0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>
      <c r="A29" s="14" t="s">
        <v>142</v>
      </c>
      <c r="B29" s="17" t="s">
        <v>143</v>
      </c>
      <c r="C29" s="17" t="s">
        <v>144</v>
      </c>
      <c r="D29" s="19" t="s">
        <v>145</v>
      </c>
      <c r="E29" s="20" t="s">
        <v>138</v>
      </c>
      <c r="F29" s="21">
        <v>34724.0</v>
      </c>
      <c r="G29" s="14">
        <v>31.0</v>
      </c>
      <c r="H29" s="23" t="s">
        <v>26</v>
      </c>
      <c r="I29" s="24" t="s">
        <v>33</v>
      </c>
      <c r="J29" s="19" t="s">
        <v>146</v>
      </c>
      <c r="K29" s="14">
        <v>3.0</v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>
      <c r="A30" s="14" t="s">
        <v>147</v>
      </c>
      <c r="B30" s="17" t="s">
        <v>143</v>
      </c>
      <c r="C30" s="17" t="s">
        <v>148</v>
      </c>
      <c r="D30" s="19" t="s">
        <v>149</v>
      </c>
      <c r="E30" s="20" t="s">
        <v>150</v>
      </c>
      <c r="F30" s="21">
        <v>35266.0</v>
      </c>
      <c r="G30" s="14">
        <v>30.0</v>
      </c>
      <c r="H30" s="23" t="s">
        <v>26</v>
      </c>
      <c r="I30" s="24" t="s">
        <v>27</v>
      </c>
      <c r="J30" s="19" t="s">
        <v>146</v>
      </c>
      <c r="K30" s="14">
        <v>3.0</v>
      </c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>
      <c r="A31" s="14" t="s">
        <v>151</v>
      </c>
      <c r="B31" s="17" t="s">
        <v>152</v>
      </c>
      <c r="C31" s="17" t="s">
        <v>153</v>
      </c>
      <c r="D31" s="19" t="s">
        <v>154</v>
      </c>
      <c r="E31" s="20" t="s">
        <v>155</v>
      </c>
      <c r="F31" s="27">
        <v>34287.0</v>
      </c>
      <c r="G31" s="14">
        <v>32.0</v>
      </c>
      <c r="H31" s="23" t="s">
        <v>26</v>
      </c>
      <c r="I31" s="24" t="s">
        <v>33</v>
      </c>
      <c r="J31" s="19" t="s">
        <v>156</v>
      </c>
      <c r="K31" s="14">
        <v>30.0</v>
      </c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>
      <c r="A32" s="14" t="s">
        <v>158</v>
      </c>
      <c r="B32" s="17" t="s">
        <v>152</v>
      </c>
      <c r="C32" s="17" t="s">
        <v>159</v>
      </c>
      <c r="D32" s="19" t="s">
        <v>160</v>
      </c>
      <c r="E32" s="20" t="s">
        <v>138</v>
      </c>
      <c r="F32" s="21">
        <v>39333.0</v>
      </c>
      <c r="G32" s="14">
        <v>18.0</v>
      </c>
      <c r="H32" s="23" t="s">
        <v>100</v>
      </c>
      <c r="I32" s="24" t="s">
        <v>33</v>
      </c>
      <c r="J32" s="19" t="s">
        <v>156</v>
      </c>
      <c r="K32" s="14">
        <v>30.0</v>
      </c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>
      <c r="A33" s="14" t="s">
        <v>161</v>
      </c>
      <c r="B33" s="17" t="s">
        <v>152</v>
      </c>
      <c r="C33" s="17" t="s">
        <v>162</v>
      </c>
      <c r="D33" s="19" t="s">
        <v>163</v>
      </c>
      <c r="E33" s="20" t="s">
        <v>104</v>
      </c>
      <c r="F33" s="21">
        <v>29046.0</v>
      </c>
      <c r="G33" s="14">
        <v>47.0</v>
      </c>
      <c r="H33" s="23" t="s">
        <v>26</v>
      </c>
      <c r="I33" s="24" t="s">
        <v>27</v>
      </c>
      <c r="J33" s="19" t="s">
        <v>156</v>
      </c>
      <c r="K33" s="14">
        <v>30.0</v>
      </c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>
      <c r="A34" s="14" t="s">
        <v>164</v>
      </c>
      <c r="B34" s="17" t="s">
        <v>165</v>
      </c>
      <c r="C34" s="17" t="s">
        <v>166</v>
      </c>
      <c r="D34" s="19" t="s">
        <v>167</v>
      </c>
      <c r="E34" s="20" t="s">
        <v>155</v>
      </c>
      <c r="F34" s="21">
        <v>32652.0</v>
      </c>
      <c r="G34" s="14">
        <v>37.0</v>
      </c>
      <c r="H34" s="23" t="s">
        <v>26</v>
      </c>
      <c r="I34" s="24" t="s">
        <v>27</v>
      </c>
      <c r="J34" s="19" t="s">
        <v>168</v>
      </c>
      <c r="K34" s="14">
        <v>11.0</v>
      </c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>
      <c r="A35" s="14" t="s">
        <v>169</v>
      </c>
      <c r="B35" s="17" t="s">
        <v>165</v>
      </c>
      <c r="C35" s="17" t="s">
        <v>170</v>
      </c>
      <c r="D35" s="19" t="s">
        <v>171</v>
      </c>
      <c r="E35" s="20" t="s">
        <v>53</v>
      </c>
      <c r="F35" s="21">
        <v>32732.0</v>
      </c>
      <c r="G35" s="14">
        <v>37.0</v>
      </c>
      <c r="H35" s="23" t="s">
        <v>26</v>
      </c>
      <c r="I35" s="24" t="s">
        <v>33</v>
      </c>
      <c r="J35" s="19" t="s">
        <v>168</v>
      </c>
      <c r="K35" s="14">
        <v>11.0</v>
      </c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>
      <c r="A36" s="14" t="s">
        <v>172</v>
      </c>
      <c r="B36" s="17" t="s">
        <v>173</v>
      </c>
      <c r="C36" s="17" t="s">
        <v>174</v>
      </c>
      <c r="D36" s="19" t="s">
        <v>175</v>
      </c>
      <c r="E36" s="20" t="s">
        <v>176</v>
      </c>
      <c r="F36" s="27">
        <v>27713.0</v>
      </c>
      <c r="G36" s="14">
        <v>50.0</v>
      </c>
      <c r="H36" s="23" t="s">
        <v>26</v>
      </c>
      <c r="I36" s="24" t="s">
        <v>27</v>
      </c>
      <c r="J36" s="19" t="s">
        <v>68</v>
      </c>
      <c r="K36" s="14">
        <v>29.0</v>
      </c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>
      <c r="A37" s="14" t="s">
        <v>182</v>
      </c>
      <c r="B37" s="17" t="s">
        <v>173</v>
      </c>
      <c r="C37" s="17" t="s">
        <v>184</v>
      </c>
      <c r="D37" s="19" t="s">
        <v>186</v>
      </c>
      <c r="E37" s="20" t="s">
        <v>187</v>
      </c>
      <c r="F37" s="21">
        <v>28576.0</v>
      </c>
      <c r="G37" s="14">
        <v>48.0</v>
      </c>
      <c r="H37" s="23" t="s">
        <v>26</v>
      </c>
      <c r="I37" s="24" t="s">
        <v>33</v>
      </c>
      <c r="J37" s="19" t="s">
        <v>68</v>
      </c>
      <c r="K37" s="14">
        <v>29.0</v>
      </c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>
      <c r="A38" s="14" t="s">
        <v>192</v>
      </c>
      <c r="B38" s="17" t="s">
        <v>173</v>
      </c>
      <c r="C38" s="17" t="s">
        <v>193</v>
      </c>
      <c r="D38" s="19" t="s">
        <v>194</v>
      </c>
      <c r="E38" s="20" t="s">
        <v>195</v>
      </c>
      <c r="F38" s="21">
        <v>29733.0</v>
      </c>
      <c r="G38" s="14">
        <v>45.0</v>
      </c>
      <c r="H38" s="23" t="s">
        <v>100</v>
      </c>
      <c r="I38" s="24" t="s">
        <v>33</v>
      </c>
      <c r="J38" s="19" t="s">
        <v>68</v>
      </c>
      <c r="K38" s="14">
        <v>29.0</v>
      </c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>
      <c r="A39" s="14" t="s">
        <v>196</v>
      </c>
      <c r="B39" s="17" t="s">
        <v>173</v>
      </c>
      <c r="C39" s="17" t="s">
        <v>197</v>
      </c>
      <c r="D39" s="19" t="s">
        <v>198</v>
      </c>
      <c r="E39" s="20" t="s">
        <v>138</v>
      </c>
      <c r="F39" s="21">
        <v>37201.0</v>
      </c>
      <c r="G39" s="14">
        <v>24.0</v>
      </c>
      <c r="H39" s="23" t="s">
        <v>100</v>
      </c>
      <c r="I39" s="24" t="s">
        <v>27</v>
      </c>
      <c r="J39" s="19" t="s">
        <v>68</v>
      </c>
      <c r="K39" s="14">
        <v>29.0</v>
      </c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>
      <c r="A40" s="14" t="s">
        <v>199</v>
      </c>
      <c r="B40" s="17" t="s">
        <v>173</v>
      </c>
      <c r="C40" s="17" t="s">
        <v>200</v>
      </c>
      <c r="D40" s="19" t="s">
        <v>201</v>
      </c>
      <c r="E40" s="20" t="s">
        <v>138</v>
      </c>
      <c r="F40" s="21">
        <v>38211.0</v>
      </c>
      <c r="G40" s="14">
        <v>22.0</v>
      </c>
      <c r="H40" s="23" t="s">
        <v>100</v>
      </c>
      <c r="I40" s="24" t="s">
        <v>27</v>
      </c>
      <c r="J40" s="19" t="s">
        <v>68</v>
      </c>
      <c r="K40" s="14">
        <v>29.0</v>
      </c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>
      <c r="A41" s="14" t="s">
        <v>202</v>
      </c>
      <c r="B41" s="17" t="s">
        <v>203</v>
      </c>
      <c r="C41" s="17" t="s">
        <v>204</v>
      </c>
      <c r="D41" s="19" t="s">
        <v>205</v>
      </c>
      <c r="E41" s="20" t="s">
        <v>104</v>
      </c>
      <c r="F41" s="21">
        <v>34021.0</v>
      </c>
      <c r="G41" s="14">
        <v>33.0</v>
      </c>
      <c r="H41" s="23" t="s">
        <v>26</v>
      </c>
      <c r="I41" s="24" t="s">
        <v>33</v>
      </c>
      <c r="J41" s="19" t="s">
        <v>206</v>
      </c>
      <c r="K41" s="14">
        <v>4.0</v>
      </c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>
      <c r="A42" s="14" t="s">
        <v>207</v>
      </c>
      <c r="B42" s="17" t="s">
        <v>203</v>
      </c>
      <c r="C42" s="17" t="s">
        <v>208</v>
      </c>
      <c r="D42" s="19" t="s">
        <v>209</v>
      </c>
      <c r="E42" s="20" t="s">
        <v>210</v>
      </c>
      <c r="F42" s="21">
        <v>34865.0</v>
      </c>
      <c r="G42" s="14">
        <v>31.0</v>
      </c>
      <c r="H42" s="23" t="s">
        <v>26</v>
      </c>
      <c r="I42" s="24" t="s">
        <v>27</v>
      </c>
      <c r="J42" s="19" t="s">
        <v>206</v>
      </c>
      <c r="K42" s="14">
        <v>4.0</v>
      </c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>
      <c r="A43" s="14" t="s">
        <v>211</v>
      </c>
      <c r="B43" s="17" t="s">
        <v>212</v>
      </c>
      <c r="C43" s="17" t="s">
        <v>213</v>
      </c>
      <c r="D43" s="19" t="s">
        <v>214</v>
      </c>
      <c r="E43" s="20" t="s">
        <v>215</v>
      </c>
      <c r="F43" s="21">
        <v>39056.0</v>
      </c>
      <c r="G43" s="14">
        <v>19.0</v>
      </c>
      <c r="H43" s="23" t="s">
        <v>100</v>
      </c>
      <c r="I43" s="24" t="s">
        <v>27</v>
      </c>
      <c r="J43" s="19" t="s">
        <v>146</v>
      </c>
      <c r="K43" s="14">
        <v>10.0</v>
      </c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>
      <c r="A44" s="14" t="s">
        <v>216</v>
      </c>
      <c r="B44" s="17" t="s">
        <v>212</v>
      </c>
      <c r="C44" s="17" t="s">
        <v>217</v>
      </c>
      <c r="D44" s="19" t="s">
        <v>218</v>
      </c>
      <c r="E44" s="20" t="s">
        <v>219</v>
      </c>
      <c r="F44" s="21">
        <v>31238.0</v>
      </c>
      <c r="G44" s="14">
        <v>41.0</v>
      </c>
      <c r="H44" s="23" t="s">
        <v>26</v>
      </c>
      <c r="I44" s="24" t="s">
        <v>27</v>
      </c>
      <c r="J44" s="19" t="s">
        <v>146</v>
      </c>
      <c r="K44" s="14">
        <v>10.0</v>
      </c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>
      <c r="A45" s="14" t="s">
        <v>220</v>
      </c>
      <c r="B45" s="17" t="s">
        <v>212</v>
      </c>
      <c r="C45" s="17" t="s">
        <v>221</v>
      </c>
      <c r="D45" s="19" t="s">
        <v>222</v>
      </c>
      <c r="E45" s="20" t="s">
        <v>215</v>
      </c>
      <c r="F45" s="21">
        <v>31670.0</v>
      </c>
      <c r="G45" s="14">
        <v>39.0</v>
      </c>
      <c r="H45" s="23" t="s">
        <v>26</v>
      </c>
      <c r="I45" s="24" t="s">
        <v>33</v>
      </c>
      <c r="J45" s="19" t="s">
        <v>146</v>
      </c>
      <c r="K45" s="14">
        <v>10.0</v>
      </c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>
      <c r="A46" s="14" t="s">
        <v>223</v>
      </c>
      <c r="B46" s="17" t="s">
        <v>224</v>
      </c>
      <c r="C46" s="17" t="s">
        <v>225</v>
      </c>
      <c r="D46" s="19" t="s">
        <v>226</v>
      </c>
      <c r="E46" s="20" t="s">
        <v>227</v>
      </c>
      <c r="F46" s="21">
        <v>32145.0</v>
      </c>
      <c r="G46" s="14">
        <v>38.0</v>
      </c>
      <c r="H46" s="23" t="s">
        <v>26</v>
      </c>
      <c r="I46" s="24" t="s">
        <v>27</v>
      </c>
      <c r="J46" s="19" t="s">
        <v>104</v>
      </c>
      <c r="K46" s="14">
        <v>3.0</v>
      </c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>
      <c r="A47" s="14" t="s">
        <v>228</v>
      </c>
      <c r="B47" s="17" t="s">
        <v>224</v>
      </c>
      <c r="C47" s="17" t="s">
        <v>229</v>
      </c>
      <c r="D47" s="19" t="s">
        <v>230</v>
      </c>
      <c r="E47" s="20" t="s">
        <v>231</v>
      </c>
      <c r="F47" s="27">
        <v>30284.0</v>
      </c>
      <c r="G47" s="14">
        <v>43.0</v>
      </c>
      <c r="H47" s="23" t="s">
        <v>26</v>
      </c>
      <c r="I47" s="24" t="s">
        <v>33</v>
      </c>
      <c r="J47" s="19" t="s">
        <v>104</v>
      </c>
      <c r="K47" s="14">
        <v>3.0</v>
      </c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>
      <c r="A48" s="14" t="s">
        <v>232</v>
      </c>
      <c r="B48" s="17" t="s">
        <v>233</v>
      </c>
      <c r="C48" s="17" t="s">
        <v>234</v>
      </c>
      <c r="D48" s="19" t="s">
        <v>235</v>
      </c>
      <c r="E48" s="20" t="s">
        <v>138</v>
      </c>
      <c r="F48" s="21">
        <v>36396.0</v>
      </c>
      <c r="G48" s="14">
        <v>27.0</v>
      </c>
      <c r="H48" s="23" t="s">
        <v>26</v>
      </c>
      <c r="I48" s="24" t="s">
        <v>27</v>
      </c>
      <c r="J48" s="19" t="s">
        <v>68</v>
      </c>
      <c r="K48" s="14">
        <v>34.0</v>
      </c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>
      <c r="A49" s="14" t="s">
        <v>236</v>
      </c>
      <c r="B49" s="17" t="s">
        <v>237</v>
      </c>
      <c r="C49" s="17" t="s">
        <v>238</v>
      </c>
      <c r="D49" s="19" t="s">
        <v>239</v>
      </c>
      <c r="E49" s="20" t="s">
        <v>240</v>
      </c>
      <c r="F49" s="21">
        <v>31649.0</v>
      </c>
      <c r="G49" s="14">
        <v>40.0</v>
      </c>
      <c r="H49" s="23" t="s">
        <v>27</v>
      </c>
      <c r="I49" s="24" t="s">
        <v>33</v>
      </c>
      <c r="J49" s="19" t="s">
        <v>241</v>
      </c>
      <c r="K49" s="14">
        <v>30.0</v>
      </c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>
      <c r="A50" s="14" t="s">
        <v>242</v>
      </c>
      <c r="B50" s="17" t="s">
        <v>243</v>
      </c>
      <c r="C50" s="17" t="s">
        <v>244</v>
      </c>
      <c r="D50" s="19" t="s">
        <v>245</v>
      </c>
      <c r="E50" s="20" t="s">
        <v>53</v>
      </c>
      <c r="F50" s="21">
        <v>35598.0</v>
      </c>
      <c r="G50" s="14">
        <v>29.0</v>
      </c>
      <c r="H50" s="23" t="s">
        <v>26</v>
      </c>
      <c r="I50" s="24" t="s">
        <v>27</v>
      </c>
      <c r="J50" s="19" t="s">
        <v>53</v>
      </c>
      <c r="K50" s="14">
        <v>5.0</v>
      </c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>
      <c r="A51" s="14" t="s">
        <v>246</v>
      </c>
      <c r="B51" s="17" t="s">
        <v>243</v>
      </c>
      <c r="C51" s="17" t="s">
        <v>247</v>
      </c>
      <c r="D51" s="19" t="s">
        <v>248</v>
      </c>
      <c r="E51" s="20" t="s">
        <v>240</v>
      </c>
      <c r="F51" s="21">
        <v>33624.0</v>
      </c>
      <c r="G51" s="14">
        <v>34.0</v>
      </c>
      <c r="H51" s="23" t="s">
        <v>26</v>
      </c>
      <c r="I51" s="24" t="s">
        <v>33</v>
      </c>
      <c r="J51" s="19" t="s">
        <v>53</v>
      </c>
      <c r="K51" s="14">
        <v>5.0</v>
      </c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>
      <c r="A52" s="14" t="s">
        <v>251</v>
      </c>
      <c r="B52" s="17" t="s">
        <v>252</v>
      </c>
      <c r="C52" s="17" t="s">
        <v>254</v>
      </c>
      <c r="D52" s="19" t="s">
        <v>255</v>
      </c>
      <c r="E52" s="20" t="s">
        <v>256</v>
      </c>
      <c r="F52" s="21">
        <v>28954.0</v>
      </c>
      <c r="G52" s="14">
        <v>47.0</v>
      </c>
      <c r="H52" s="23" t="s">
        <v>26</v>
      </c>
      <c r="I52" s="24" t="s">
        <v>33</v>
      </c>
      <c r="J52" s="19" t="s">
        <v>257</v>
      </c>
      <c r="K52" s="14">
        <v>25.0</v>
      </c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>
      <c r="A53" s="14" t="s">
        <v>258</v>
      </c>
      <c r="B53" s="17" t="s">
        <v>252</v>
      </c>
      <c r="C53" s="17" t="s">
        <v>259</v>
      </c>
      <c r="D53" s="19" t="s">
        <v>260</v>
      </c>
      <c r="E53" s="20" t="s">
        <v>261</v>
      </c>
      <c r="F53" s="21">
        <v>32217.0</v>
      </c>
      <c r="G53" s="14">
        <v>38.0</v>
      </c>
      <c r="H53" s="23" t="s">
        <v>26</v>
      </c>
      <c r="I53" s="24" t="s">
        <v>27</v>
      </c>
      <c r="J53" s="19" t="s">
        <v>257</v>
      </c>
      <c r="K53" s="14">
        <v>25.0</v>
      </c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>
      <c r="A54" s="14" t="s">
        <v>262</v>
      </c>
      <c r="B54" s="17" t="s">
        <v>263</v>
      </c>
      <c r="C54" s="17" t="s">
        <v>264</v>
      </c>
      <c r="D54" s="19" t="s">
        <v>265</v>
      </c>
      <c r="E54" s="20" t="s">
        <v>53</v>
      </c>
      <c r="F54" s="21">
        <v>34038.0</v>
      </c>
      <c r="G54" s="14">
        <v>33.0</v>
      </c>
      <c r="H54" s="23" t="s">
        <v>26</v>
      </c>
      <c r="I54" s="24" t="s">
        <v>27</v>
      </c>
      <c r="J54" s="19" t="s">
        <v>146</v>
      </c>
      <c r="K54" s="14">
        <v>9.0</v>
      </c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>
      <c r="A55" s="14" t="s">
        <v>267</v>
      </c>
      <c r="B55" s="17" t="s">
        <v>263</v>
      </c>
      <c r="C55" s="17" t="s">
        <v>268</v>
      </c>
      <c r="D55" s="19" t="s">
        <v>269</v>
      </c>
      <c r="E55" s="20" t="s">
        <v>138</v>
      </c>
      <c r="F55" s="21">
        <v>32940.0</v>
      </c>
      <c r="G55" s="14">
        <v>36.0</v>
      </c>
      <c r="H55" s="23" t="s">
        <v>26</v>
      </c>
      <c r="I55" s="24" t="s">
        <v>33</v>
      </c>
      <c r="J55" s="19" t="s">
        <v>146</v>
      </c>
      <c r="K55" s="14">
        <v>9.0</v>
      </c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>
      <c r="A56" s="14" t="s">
        <v>270</v>
      </c>
      <c r="B56" s="17" t="s">
        <v>271</v>
      </c>
      <c r="C56" s="17" t="s">
        <v>272</v>
      </c>
      <c r="D56" s="19" t="s">
        <v>273</v>
      </c>
      <c r="E56" s="20" t="s">
        <v>274</v>
      </c>
      <c r="F56" s="21">
        <v>33547.0</v>
      </c>
      <c r="G56" s="14">
        <v>34.0</v>
      </c>
      <c r="H56" s="23" t="s">
        <v>27</v>
      </c>
      <c r="I56" s="24" t="s">
        <v>27</v>
      </c>
      <c r="J56" s="19" t="s">
        <v>275</v>
      </c>
      <c r="K56" s="14">
        <v>9.0</v>
      </c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>
      <c r="A57" s="14" t="s">
        <v>277</v>
      </c>
      <c r="B57" s="17" t="s">
        <v>278</v>
      </c>
      <c r="C57" s="17" t="s">
        <v>279</v>
      </c>
      <c r="D57" s="19" t="s">
        <v>280</v>
      </c>
      <c r="E57" s="20" t="s">
        <v>281</v>
      </c>
      <c r="F57" s="27">
        <v>39043.0</v>
      </c>
      <c r="G57" s="14">
        <v>19.0</v>
      </c>
      <c r="H57" s="23" t="s">
        <v>100</v>
      </c>
      <c r="I57" s="24" t="s">
        <v>27</v>
      </c>
      <c r="J57" s="19" t="s">
        <v>282</v>
      </c>
      <c r="K57" s="14">
        <v>16.0</v>
      </c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>
      <c r="A58" s="14" t="s">
        <v>284</v>
      </c>
      <c r="B58" s="17" t="s">
        <v>278</v>
      </c>
      <c r="C58" s="17" t="s">
        <v>285</v>
      </c>
      <c r="D58" s="19" t="s">
        <v>286</v>
      </c>
      <c r="E58" s="20" t="s">
        <v>138</v>
      </c>
      <c r="F58" s="27">
        <v>29185.0</v>
      </c>
      <c r="G58" s="14">
        <v>46.0</v>
      </c>
      <c r="H58" s="23" t="s">
        <v>26</v>
      </c>
      <c r="I58" s="24" t="s">
        <v>27</v>
      </c>
      <c r="J58" s="19" t="s">
        <v>282</v>
      </c>
      <c r="K58" s="14">
        <v>16.0</v>
      </c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>
      <c r="A59" s="14" t="s">
        <v>287</v>
      </c>
      <c r="B59" s="17" t="s">
        <v>278</v>
      </c>
      <c r="C59" s="17" t="s">
        <v>288</v>
      </c>
      <c r="D59" s="19" t="s">
        <v>289</v>
      </c>
      <c r="E59" s="20" t="s">
        <v>290</v>
      </c>
      <c r="F59" s="21">
        <v>26734.0</v>
      </c>
      <c r="G59" s="14">
        <v>53.0</v>
      </c>
      <c r="H59" s="23" t="s">
        <v>26</v>
      </c>
      <c r="I59" s="24" t="s">
        <v>33</v>
      </c>
      <c r="J59" s="19" t="s">
        <v>282</v>
      </c>
      <c r="K59" s="14">
        <v>16.0</v>
      </c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>
      <c r="A60" s="14" t="s">
        <v>291</v>
      </c>
      <c r="B60" s="17" t="s">
        <v>292</v>
      </c>
      <c r="C60" s="17" t="s">
        <v>293</v>
      </c>
      <c r="D60" s="19" t="s">
        <v>294</v>
      </c>
      <c r="E60" s="20" t="s">
        <v>295</v>
      </c>
      <c r="F60" s="21">
        <v>33839.0</v>
      </c>
      <c r="G60" s="14">
        <v>34.0</v>
      </c>
      <c r="H60" s="23" t="s">
        <v>26</v>
      </c>
      <c r="I60" s="24" t="s">
        <v>33</v>
      </c>
      <c r="J60" s="19" t="s">
        <v>95</v>
      </c>
      <c r="K60" s="14">
        <v>11.0</v>
      </c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>
      <c r="A61" s="14" t="s">
        <v>296</v>
      </c>
      <c r="B61" s="17" t="s">
        <v>292</v>
      </c>
      <c r="C61" s="17" t="s">
        <v>297</v>
      </c>
      <c r="D61" s="19" t="s">
        <v>298</v>
      </c>
      <c r="E61" s="20" t="s">
        <v>104</v>
      </c>
      <c r="F61" s="21">
        <v>35297.0</v>
      </c>
      <c r="G61" s="14">
        <v>30.0</v>
      </c>
      <c r="H61" s="23" t="s">
        <v>26</v>
      </c>
      <c r="I61" s="24" t="s">
        <v>27</v>
      </c>
      <c r="J61" s="19" t="s">
        <v>95</v>
      </c>
      <c r="K61" s="14">
        <v>11.0</v>
      </c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>
      <c r="A62" s="14" t="s">
        <v>299</v>
      </c>
      <c r="B62" s="17" t="s">
        <v>300</v>
      </c>
      <c r="C62" s="17" t="s">
        <v>301</v>
      </c>
      <c r="D62" s="19" t="s">
        <v>302</v>
      </c>
      <c r="E62" s="20" t="s">
        <v>303</v>
      </c>
      <c r="F62" s="21">
        <v>25791.0</v>
      </c>
      <c r="G62" s="14">
        <v>56.0</v>
      </c>
      <c r="H62" s="23" t="s">
        <v>26</v>
      </c>
      <c r="I62" s="24" t="s">
        <v>33</v>
      </c>
      <c r="J62" s="19" t="s">
        <v>95</v>
      </c>
      <c r="K62" s="14">
        <v>13.0</v>
      </c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>
      <c r="A63" s="14" t="s">
        <v>305</v>
      </c>
      <c r="B63" s="17" t="s">
        <v>300</v>
      </c>
      <c r="C63" s="17" t="s">
        <v>306</v>
      </c>
      <c r="D63" s="19" t="s">
        <v>307</v>
      </c>
      <c r="E63" s="20" t="s">
        <v>210</v>
      </c>
      <c r="F63" s="21">
        <v>28298.0</v>
      </c>
      <c r="G63" s="14">
        <v>49.0</v>
      </c>
      <c r="H63" s="23" t="s">
        <v>26</v>
      </c>
      <c r="I63" s="24" t="s">
        <v>27</v>
      </c>
      <c r="J63" s="19" t="s">
        <v>95</v>
      </c>
      <c r="K63" s="14">
        <v>13.0</v>
      </c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>
      <c r="A64" s="14" t="s">
        <v>308</v>
      </c>
      <c r="B64" s="17" t="s">
        <v>309</v>
      </c>
      <c r="C64" s="17" t="s">
        <v>310</v>
      </c>
      <c r="D64" s="19" t="s">
        <v>311</v>
      </c>
      <c r="E64" s="20" t="s">
        <v>210</v>
      </c>
      <c r="F64" s="21">
        <v>34573.0</v>
      </c>
      <c r="G64" s="14">
        <v>32.0</v>
      </c>
      <c r="H64" s="23" t="s">
        <v>26</v>
      </c>
      <c r="I64" s="24" t="s">
        <v>33</v>
      </c>
      <c r="J64" s="19" t="s">
        <v>68</v>
      </c>
      <c r="K64" s="14">
        <v>35.0</v>
      </c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>
      <c r="A65" s="14" t="s">
        <v>312</v>
      </c>
      <c r="B65" s="17" t="s">
        <v>309</v>
      </c>
      <c r="C65" s="17" t="s">
        <v>313</v>
      </c>
      <c r="D65" s="19" t="s">
        <v>314</v>
      </c>
      <c r="E65" s="20" t="s">
        <v>104</v>
      </c>
      <c r="F65" s="21">
        <v>34469.0</v>
      </c>
      <c r="G65" s="14">
        <v>32.0</v>
      </c>
      <c r="H65" s="23" t="s">
        <v>26</v>
      </c>
      <c r="I65" s="24" t="s">
        <v>27</v>
      </c>
      <c r="J65" s="19" t="s">
        <v>68</v>
      </c>
      <c r="K65" s="14">
        <v>35.0</v>
      </c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>
      <c r="A66" s="14" t="s">
        <v>315</v>
      </c>
      <c r="B66" s="17" t="s">
        <v>316</v>
      </c>
      <c r="C66" s="17" t="s">
        <v>317</v>
      </c>
      <c r="D66" s="19" t="s">
        <v>318</v>
      </c>
      <c r="E66" s="20" t="s">
        <v>319</v>
      </c>
      <c r="F66" s="21">
        <v>31634.0</v>
      </c>
      <c r="G66" s="14">
        <v>40.0</v>
      </c>
      <c r="H66" s="23" t="s">
        <v>26</v>
      </c>
      <c r="I66" s="24" t="s">
        <v>33</v>
      </c>
      <c r="J66" s="19" t="s">
        <v>320</v>
      </c>
      <c r="K66" s="14">
        <v>28.0</v>
      </c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>
      <c r="A67" s="14" t="s">
        <v>321</v>
      </c>
      <c r="B67" s="17" t="s">
        <v>316</v>
      </c>
      <c r="C67" s="17" t="s">
        <v>322</v>
      </c>
      <c r="D67" s="19" t="s">
        <v>323</v>
      </c>
      <c r="E67" s="20" t="s">
        <v>104</v>
      </c>
      <c r="F67" s="27">
        <v>34299.0</v>
      </c>
      <c r="G67" s="14">
        <v>32.0</v>
      </c>
      <c r="H67" s="23" t="s">
        <v>26</v>
      </c>
      <c r="I67" s="24" t="s">
        <v>27</v>
      </c>
      <c r="J67" s="19" t="s">
        <v>320</v>
      </c>
      <c r="K67" s="14">
        <v>28.0</v>
      </c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>
      <c r="A68" s="14" t="s">
        <v>324</v>
      </c>
      <c r="B68" s="17" t="s">
        <v>325</v>
      </c>
      <c r="C68" s="17" t="s">
        <v>326</v>
      </c>
      <c r="D68" s="19" t="s">
        <v>327</v>
      </c>
      <c r="E68" s="20" t="s">
        <v>104</v>
      </c>
      <c r="F68" s="21">
        <v>36691.0</v>
      </c>
      <c r="G68" s="14">
        <v>26.0</v>
      </c>
      <c r="H68" s="23" t="s">
        <v>26</v>
      </c>
      <c r="I68" s="24" t="s">
        <v>27</v>
      </c>
      <c r="J68" s="19" t="s">
        <v>328</v>
      </c>
      <c r="K68" s="14">
        <v>21.0</v>
      </c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>
      <c r="A69" s="14" t="s">
        <v>329</v>
      </c>
      <c r="B69" s="17" t="s">
        <v>325</v>
      </c>
      <c r="C69" s="17" t="s">
        <v>330</v>
      </c>
      <c r="D69" s="19" t="s">
        <v>331</v>
      </c>
      <c r="E69" s="20" t="s">
        <v>332</v>
      </c>
      <c r="F69" s="21">
        <v>32949.0</v>
      </c>
      <c r="G69" s="14">
        <v>36.0</v>
      </c>
      <c r="H69" s="23" t="s">
        <v>26</v>
      </c>
      <c r="I69" s="24" t="s">
        <v>33</v>
      </c>
      <c r="J69" s="19" t="s">
        <v>328</v>
      </c>
      <c r="K69" s="14">
        <v>21.0</v>
      </c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>
      <c r="A70" s="14" t="s">
        <v>333</v>
      </c>
      <c r="B70" s="17" t="s">
        <v>334</v>
      </c>
      <c r="C70" s="17" t="s">
        <v>335</v>
      </c>
      <c r="D70" s="19" t="s">
        <v>336</v>
      </c>
      <c r="E70" s="20" t="s">
        <v>337</v>
      </c>
      <c r="F70" s="21">
        <v>36406.0</v>
      </c>
      <c r="G70" s="14">
        <v>26.0</v>
      </c>
      <c r="H70" s="23" t="s">
        <v>26</v>
      </c>
      <c r="I70" s="24" t="s">
        <v>33</v>
      </c>
      <c r="J70" s="19" t="s">
        <v>95</v>
      </c>
      <c r="K70" s="14">
        <v>16.0</v>
      </c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>
      <c r="A71" s="14" t="s">
        <v>338</v>
      </c>
      <c r="B71" s="17" t="s">
        <v>334</v>
      </c>
      <c r="C71" s="17" t="s">
        <v>339</v>
      </c>
      <c r="D71" s="19" t="s">
        <v>340</v>
      </c>
      <c r="E71" s="20" t="s">
        <v>138</v>
      </c>
      <c r="F71" s="21">
        <v>36808.0</v>
      </c>
      <c r="G71" s="14">
        <v>25.0</v>
      </c>
      <c r="H71" s="23" t="s">
        <v>26</v>
      </c>
      <c r="I71" s="24" t="s">
        <v>27</v>
      </c>
      <c r="J71" s="19" t="s">
        <v>95</v>
      </c>
      <c r="K71" s="14">
        <v>16.0</v>
      </c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>
      <c r="A72" s="14" t="s">
        <v>341</v>
      </c>
      <c r="B72" s="17" t="s">
        <v>342</v>
      </c>
      <c r="C72" s="17" t="s">
        <v>343</v>
      </c>
      <c r="D72" s="19" t="s">
        <v>344</v>
      </c>
      <c r="E72" s="20" t="s">
        <v>104</v>
      </c>
      <c r="F72" s="21">
        <v>30415.0</v>
      </c>
      <c r="G72" s="14">
        <v>43.0</v>
      </c>
      <c r="H72" s="23" t="s">
        <v>27</v>
      </c>
      <c r="I72" s="24" t="s">
        <v>33</v>
      </c>
      <c r="J72" s="19" t="s">
        <v>58</v>
      </c>
      <c r="K72" s="14">
        <v>9.0</v>
      </c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>
      <c r="A73" s="14" t="s">
        <v>354</v>
      </c>
      <c r="B73" s="17" t="s">
        <v>355</v>
      </c>
      <c r="C73" s="17" t="s">
        <v>356</v>
      </c>
      <c r="D73" s="19" t="s">
        <v>357</v>
      </c>
      <c r="E73" s="20" t="s">
        <v>240</v>
      </c>
      <c r="F73" s="21">
        <v>29564.0</v>
      </c>
      <c r="G73" s="14">
        <v>45.0</v>
      </c>
      <c r="H73" s="23" t="s">
        <v>26</v>
      </c>
      <c r="I73" s="24" t="s">
        <v>33</v>
      </c>
      <c r="J73" s="19" t="s">
        <v>328</v>
      </c>
      <c r="K73" s="14">
        <v>25.0</v>
      </c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>
      <c r="A74" s="14" t="s">
        <v>359</v>
      </c>
      <c r="B74" s="17" t="s">
        <v>355</v>
      </c>
      <c r="C74" s="17" t="s">
        <v>360</v>
      </c>
      <c r="D74" s="19" t="s">
        <v>361</v>
      </c>
      <c r="E74" s="20" t="s">
        <v>104</v>
      </c>
      <c r="F74" s="21">
        <v>29560.0</v>
      </c>
      <c r="G74" s="14">
        <v>45.0</v>
      </c>
      <c r="H74" s="23" t="s">
        <v>26</v>
      </c>
      <c r="I74" s="24" t="s">
        <v>27</v>
      </c>
      <c r="J74" s="19" t="s">
        <v>362</v>
      </c>
      <c r="K74" s="14">
        <v>25.0</v>
      </c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>
      <c r="A75" s="14" t="s">
        <v>364</v>
      </c>
      <c r="B75" s="17" t="s">
        <v>365</v>
      </c>
      <c r="C75" s="17" t="s">
        <v>366</v>
      </c>
      <c r="D75" s="19" t="s">
        <v>367</v>
      </c>
      <c r="E75" s="20" t="s">
        <v>53</v>
      </c>
      <c r="F75" s="21">
        <v>36987.0</v>
      </c>
      <c r="G75" s="14">
        <v>25.0</v>
      </c>
      <c r="H75" s="23" t="s">
        <v>26</v>
      </c>
      <c r="I75" s="24" t="s">
        <v>27</v>
      </c>
      <c r="J75" s="19" t="s">
        <v>58</v>
      </c>
      <c r="K75" s="14">
        <v>36.0</v>
      </c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>
      <c r="A76" s="14" t="s">
        <v>369</v>
      </c>
      <c r="B76" s="17" t="s">
        <v>365</v>
      </c>
      <c r="C76" s="17" t="s">
        <v>370</v>
      </c>
      <c r="D76" s="19" t="s">
        <v>371</v>
      </c>
      <c r="E76" s="20" t="s">
        <v>372</v>
      </c>
      <c r="F76" s="21">
        <v>36104.0</v>
      </c>
      <c r="G76" s="14">
        <v>27.0</v>
      </c>
      <c r="H76" s="23" t="s">
        <v>26</v>
      </c>
      <c r="I76" s="24" t="s">
        <v>33</v>
      </c>
      <c r="J76" s="19" t="s">
        <v>58</v>
      </c>
      <c r="K76" s="14">
        <v>36.0</v>
      </c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>
      <c r="A77" s="14" t="s">
        <v>373</v>
      </c>
      <c r="B77" s="17" t="s">
        <v>374</v>
      </c>
      <c r="C77" s="17" t="s">
        <v>375</v>
      </c>
      <c r="D77" s="19" t="s">
        <v>376</v>
      </c>
      <c r="E77" s="20" t="s">
        <v>104</v>
      </c>
      <c r="F77" s="21">
        <v>30776.0</v>
      </c>
      <c r="G77" s="14">
        <v>42.0</v>
      </c>
      <c r="H77" s="23" t="s">
        <v>26</v>
      </c>
      <c r="I77" s="24" t="s">
        <v>27</v>
      </c>
      <c r="J77" s="19" t="s">
        <v>53</v>
      </c>
      <c r="K77" s="14">
        <v>20.0</v>
      </c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>
      <c r="A78" s="14" t="s">
        <v>377</v>
      </c>
      <c r="B78" s="17" t="s">
        <v>374</v>
      </c>
      <c r="C78" s="17" t="s">
        <v>378</v>
      </c>
      <c r="D78" s="19" t="s">
        <v>379</v>
      </c>
      <c r="E78" s="20" t="s">
        <v>53</v>
      </c>
      <c r="F78" s="21">
        <v>37674.0</v>
      </c>
      <c r="G78" s="14">
        <v>23.0</v>
      </c>
      <c r="H78" s="23" t="s">
        <v>100</v>
      </c>
      <c r="I78" s="24" t="s">
        <v>27</v>
      </c>
      <c r="J78" s="19" t="s">
        <v>53</v>
      </c>
      <c r="K78" s="14">
        <v>20.0</v>
      </c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>
      <c r="A79" s="14" t="s">
        <v>380</v>
      </c>
      <c r="B79" s="17" t="s">
        <v>374</v>
      </c>
      <c r="C79" s="17" t="s">
        <v>381</v>
      </c>
      <c r="D79" s="19" t="s">
        <v>382</v>
      </c>
      <c r="E79" s="20" t="s">
        <v>104</v>
      </c>
      <c r="F79" s="21">
        <v>29315.0</v>
      </c>
      <c r="G79" s="14">
        <v>46.0</v>
      </c>
      <c r="H79" s="23" t="s">
        <v>26</v>
      </c>
      <c r="I79" s="24" t="s">
        <v>33</v>
      </c>
      <c r="J79" s="19" t="s">
        <v>53</v>
      </c>
      <c r="K79" s="14">
        <v>20.0</v>
      </c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>
      <c r="A80" s="14" t="s">
        <v>383</v>
      </c>
      <c r="B80" s="17" t="s">
        <v>384</v>
      </c>
      <c r="C80" s="17" t="s">
        <v>385</v>
      </c>
      <c r="D80" s="19" t="s">
        <v>386</v>
      </c>
      <c r="E80" s="20" t="s">
        <v>219</v>
      </c>
      <c r="F80" s="27">
        <v>25558.0</v>
      </c>
      <c r="G80" s="14">
        <v>56.0</v>
      </c>
      <c r="H80" s="23" t="s">
        <v>26</v>
      </c>
      <c r="I80" s="24" t="s">
        <v>27</v>
      </c>
      <c r="J80" s="19" t="s">
        <v>68</v>
      </c>
      <c r="K80" s="14">
        <v>32.0</v>
      </c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>
      <c r="A81" s="14" t="s">
        <v>387</v>
      </c>
      <c r="B81" s="17" t="s">
        <v>388</v>
      </c>
      <c r="C81" s="17" t="s">
        <v>389</v>
      </c>
      <c r="D81" s="19" t="s">
        <v>390</v>
      </c>
      <c r="E81" s="20" t="s">
        <v>391</v>
      </c>
      <c r="F81" s="21">
        <v>38019.0</v>
      </c>
      <c r="G81" s="14">
        <v>22.0</v>
      </c>
      <c r="H81" s="23" t="s">
        <v>100</v>
      </c>
      <c r="I81" s="24" t="s">
        <v>33</v>
      </c>
      <c r="J81" s="19" t="s">
        <v>328</v>
      </c>
      <c r="K81" s="14">
        <v>25.0</v>
      </c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>
      <c r="A82" s="14" t="s">
        <v>392</v>
      </c>
      <c r="B82" s="17" t="s">
        <v>388</v>
      </c>
      <c r="C82" s="17" t="s">
        <v>393</v>
      </c>
      <c r="D82" s="19" t="s">
        <v>394</v>
      </c>
      <c r="E82" s="20" t="s">
        <v>104</v>
      </c>
      <c r="F82" s="21">
        <v>29403.0</v>
      </c>
      <c r="G82" s="14">
        <v>46.0</v>
      </c>
      <c r="H82" s="23" t="s">
        <v>26</v>
      </c>
      <c r="I82" s="24" t="s">
        <v>27</v>
      </c>
      <c r="J82" s="19" t="s">
        <v>328</v>
      </c>
      <c r="K82" s="14">
        <v>25.0</v>
      </c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>
      <c r="A83" s="14" t="s">
        <v>395</v>
      </c>
      <c r="B83" s="17" t="s">
        <v>388</v>
      </c>
      <c r="C83" s="17" t="s">
        <v>396</v>
      </c>
      <c r="D83" s="19" t="s">
        <v>397</v>
      </c>
      <c r="E83" s="20" t="s">
        <v>290</v>
      </c>
      <c r="F83" s="27">
        <v>26228.0</v>
      </c>
      <c r="G83" s="14">
        <v>54.0</v>
      </c>
      <c r="H83" s="23" t="s">
        <v>26</v>
      </c>
      <c r="I83" s="24" t="s">
        <v>33</v>
      </c>
      <c r="J83" s="19" t="s">
        <v>328</v>
      </c>
      <c r="K83" s="14">
        <v>25.0</v>
      </c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>
      <c r="A84" s="14" t="s">
        <v>399</v>
      </c>
      <c r="B84" s="17" t="s">
        <v>400</v>
      </c>
      <c r="C84" s="17" t="s">
        <v>401</v>
      </c>
      <c r="D84" s="19" t="s">
        <v>402</v>
      </c>
      <c r="E84" s="20" t="s">
        <v>403</v>
      </c>
      <c r="F84" s="21">
        <v>29414.0</v>
      </c>
      <c r="G84" s="14">
        <v>46.0</v>
      </c>
      <c r="H84" s="23" t="s">
        <v>26</v>
      </c>
      <c r="I84" s="24" t="s">
        <v>33</v>
      </c>
      <c r="J84" s="19" t="s">
        <v>53</v>
      </c>
      <c r="K84" s="14">
        <v>19.0</v>
      </c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>
      <c r="A85" s="14" t="s">
        <v>404</v>
      </c>
      <c r="B85" s="17" t="s">
        <v>400</v>
      </c>
      <c r="C85" s="17" t="s">
        <v>405</v>
      </c>
      <c r="D85" s="19" t="s">
        <v>406</v>
      </c>
      <c r="E85" s="20" t="s">
        <v>104</v>
      </c>
      <c r="F85" s="21">
        <v>31384.0</v>
      </c>
      <c r="G85" s="14">
        <v>40.0</v>
      </c>
      <c r="H85" s="23" t="s">
        <v>26</v>
      </c>
      <c r="I85" s="24" t="s">
        <v>27</v>
      </c>
      <c r="J85" s="19" t="s">
        <v>53</v>
      </c>
      <c r="K85" s="14">
        <v>19.0</v>
      </c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>
      <c r="A86" s="14" t="s">
        <v>407</v>
      </c>
      <c r="B86" s="17" t="s">
        <v>400</v>
      </c>
      <c r="C86" s="17" t="s">
        <v>408</v>
      </c>
      <c r="D86" s="19" t="s">
        <v>409</v>
      </c>
      <c r="E86" s="20" t="s">
        <v>195</v>
      </c>
      <c r="F86" s="21">
        <v>39214.0</v>
      </c>
      <c r="G86" s="14">
        <v>19.0</v>
      </c>
      <c r="H86" s="23" t="s">
        <v>100</v>
      </c>
      <c r="I86" s="24" t="s">
        <v>33</v>
      </c>
      <c r="J86" s="19" t="s">
        <v>53</v>
      </c>
      <c r="K86" s="14">
        <v>19.0</v>
      </c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>
      <c r="A87" s="14" t="s">
        <v>410</v>
      </c>
      <c r="B87" s="17" t="s">
        <v>411</v>
      </c>
      <c r="C87" s="17" t="s">
        <v>412</v>
      </c>
      <c r="D87" s="19" t="s">
        <v>413</v>
      </c>
      <c r="E87" s="20" t="s">
        <v>138</v>
      </c>
      <c r="F87" s="21">
        <v>37844.0</v>
      </c>
      <c r="G87" s="14">
        <v>23.0</v>
      </c>
      <c r="H87" s="23" t="s">
        <v>26</v>
      </c>
      <c r="I87" s="24" t="s">
        <v>27</v>
      </c>
      <c r="J87" s="19" t="s">
        <v>156</v>
      </c>
      <c r="K87" s="14">
        <v>33.0</v>
      </c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>
      <c r="A88" s="14" t="s">
        <v>414</v>
      </c>
      <c r="B88" s="17" t="s">
        <v>411</v>
      </c>
      <c r="C88" s="17" t="s">
        <v>415</v>
      </c>
      <c r="D88" s="19" t="s">
        <v>416</v>
      </c>
      <c r="E88" s="20" t="s">
        <v>219</v>
      </c>
      <c r="F88" s="21">
        <v>34589.0</v>
      </c>
      <c r="G88" s="14">
        <v>31.0</v>
      </c>
      <c r="H88" s="23" t="s">
        <v>26</v>
      </c>
      <c r="I88" s="24" t="s">
        <v>33</v>
      </c>
      <c r="J88" s="19" t="s">
        <v>156</v>
      </c>
      <c r="K88" s="14">
        <v>33.0</v>
      </c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>
      <c r="A89" s="14" t="s">
        <v>417</v>
      </c>
      <c r="B89" s="17" t="s">
        <v>418</v>
      </c>
      <c r="C89" s="17" t="s">
        <v>419</v>
      </c>
      <c r="D89" s="19" t="s">
        <v>420</v>
      </c>
      <c r="E89" s="20" t="s">
        <v>421</v>
      </c>
      <c r="F89" s="21">
        <v>35182.0</v>
      </c>
      <c r="G89" s="14">
        <v>30.0</v>
      </c>
      <c r="H89" s="23" t="s">
        <v>26</v>
      </c>
      <c r="I89" s="24" t="s">
        <v>27</v>
      </c>
      <c r="J89" s="19" t="s">
        <v>282</v>
      </c>
      <c r="K89" s="14">
        <v>18.0</v>
      </c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>
      <c r="A90" s="14" t="s">
        <v>422</v>
      </c>
      <c r="B90" s="17" t="s">
        <v>418</v>
      </c>
      <c r="C90" s="17" t="s">
        <v>423</v>
      </c>
      <c r="D90" s="19" t="s">
        <v>424</v>
      </c>
      <c r="E90" s="20" t="s">
        <v>53</v>
      </c>
      <c r="F90" s="27">
        <v>34268.0</v>
      </c>
      <c r="G90" s="14">
        <v>32.0</v>
      </c>
      <c r="H90" s="23" t="s">
        <v>26</v>
      </c>
      <c r="I90" s="24" t="s">
        <v>33</v>
      </c>
      <c r="J90" s="19" t="s">
        <v>282</v>
      </c>
      <c r="K90" s="14">
        <v>18.0</v>
      </c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>
      <c r="A91" s="14" t="s">
        <v>425</v>
      </c>
      <c r="B91" s="17" t="s">
        <v>426</v>
      </c>
      <c r="C91" s="17" t="s">
        <v>427</v>
      </c>
      <c r="D91" s="19" t="s">
        <v>430</v>
      </c>
      <c r="E91" s="20" t="s">
        <v>429</v>
      </c>
      <c r="F91" s="21">
        <v>25736.0</v>
      </c>
      <c r="G91" s="14">
        <v>56.0</v>
      </c>
      <c r="H91" s="23" t="s">
        <v>26</v>
      </c>
      <c r="I91" s="24" t="s">
        <v>33</v>
      </c>
      <c r="J91" s="19" t="s">
        <v>58</v>
      </c>
      <c r="K91" s="14">
        <v>36.0</v>
      </c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>
      <c r="A92" s="14" t="s">
        <v>431</v>
      </c>
      <c r="B92" s="17" t="s">
        <v>426</v>
      </c>
      <c r="C92" s="17" t="s">
        <v>432</v>
      </c>
      <c r="D92" s="19" t="s">
        <v>433</v>
      </c>
      <c r="E92" s="20" t="s">
        <v>434</v>
      </c>
      <c r="F92" s="21">
        <v>23471.0</v>
      </c>
      <c r="G92" s="14">
        <v>62.0</v>
      </c>
      <c r="H92" s="23" t="s">
        <v>27</v>
      </c>
      <c r="I92" s="24" t="s">
        <v>27</v>
      </c>
      <c r="J92" s="19" t="s">
        <v>58</v>
      </c>
      <c r="K92" s="14">
        <v>36.0</v>
      </c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>
      <c r="A93" s="14" t="s">
        <v>435</v>
      </c>
      <c r="B93" s="17" t="s">
        <v>436</v>
      </c>
      <c r="C93" s="17" t="s">
        <v>437</v>
      </c>
      <c r="D93" s="19" t="s">
        <v>438</v>
      </c>
      <c r="E93" s="20" t="s">
        <v>240</v>
      </c>
      <c r="F93" s="27">
        <v>33570.0</v>
      </c>
      <c r="G93" s="14">
        <v>34.0</v>
      </c>
      <c r="H93" s="23" t="s">
        <v>26</v>
      </c>
      <c r="I93" s="24" t="s">
        <v>33</v>
      </c>
      <c r="J93" s="19" t="s">
        <v>53</v>
      </c>
      <c r="K93" s="14">
        <v>28.0</v>
      </c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>
      <c r="A94" s="14" t="s">
        <v>439</v>
      </c>
      <c r="B94" s="17" t="s">
        <v>436</v>
      </c>
      <c r="C94" s="17" t="s">
        <v>440</v>
      </c>
      <c r="D94" s="19" t="s">
        <v>441</v>
      </c>
      <c r="E94" s="20" t="s">
        <v>53</v>
      </c>
      <c r="F94" s="21">
        <v>33347.0</v>
      </c>
      <c r="G94" s="14">
        <v>35.0</v>
      </c>
      <c r="H94" s="23" t="s">
        <v>26</v>
      </c>
      <c r="I94" s="24" t="s">
        <v>27</v>
      </c>
      <c r="J94" s="19" t="s">
        <v>53</v>
      </c>
      <c r="K94" s="14">
        <v>28.0</v>
      </c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>
      <c r="A95" s="14" t="s">
        <v>442</v>
      </c>
      <c r="B95" s="17" t="s">
        <v>443</v>
      </c>
      <c r="C95" s="17" t="s">
        <v>444</v>
      </c>
      <c r="D95" s="19" t="s">
        <v>445</v>
      </c>
      <c r="E95" s="20" t="s">
        <v>104</v>
      </c>
      <c r="F95" s="21">
        <v>33132.0</v>
      </c>
      <c r="G95" s="14">
        <v>35.0</v>
      </c>
      <c r="H95" s="23" t="s">
        <v>26</v>
      </c>
      <c r="I95" s="24" t="s">
        <v>33</v>
      </c>
      <c r="J95" s="19" t="s">
        <v>446</v>
      </c>
      <c r="K95" s="14">
        <v>31.0</v>
      </c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>
      <c r="A96" s="14" t="s">
        <v>447</v>
      </c>
      <c r="B96" s="17" t="s">
        <v>443</v>
      </c>
      <c r="C96" s="17" t="s">
        <v>448</v>
      </c>
      <c r="D96" s="19" t="s">
        <v>449</v>
      </c>
      <c r="E96" s="20" t="s">
        <v>391</v>
      </c>
      <c r="F96" s="21">
        <v>35076.0</v>
      </c>
      <c r="G96" s="14">
        <v>30.0</v>
      </c>
      <c r="H96" s="23" t="s">
        <v>26</v>
      </c>
      <c r="I96" s="24" t="s">
        <v>27</v>
      </c>
      <c r="J96" s="19" t="s">
        <v>446</v>
      </c>
      <c r="K96" s="14">
        <v>31.0</v>
      </c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>
      <c r="A97" s="14" t="s">
        <v>450</v>
      </c>
      <c r="B97" s="17" t="s">
        <v>451</v>
      </c>
      <c r="C97" s="17" t="s">
        <v>452</v>
      </c>
      <c r="D97" s="19" t="s">
        <v>453</v>
      </c>
      <c r="E97" s="20" t="s">
        <v>150</v>
      </c>
      <c r="F97" s="21">
        <v>34049.0</v>
      </c>
      <c r="G97" s="14">
        <v>33.0</v>
      </c>
      <c r="H97" s="23" t="s">
        <v>26</v>
      </c>
      <c r="I97" s="24" t="s">
        <v>33</v>
      </c>
      <c r="J97" s="19" t="s">
        <v>68</v>
      </c>
      <c r="K97" s="14">
        <v>28.0</v>
      </c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>
      <c r="A98" s="14" t="s">
        <v>454</v>
      </c>
      <c r="B98" s="17" t="s">
        <v>451</v>
      </c>
      <c r="C98" s="17" t="s">
        <v>455</v>
      </c>
      <c r="D98" s="19" t="s">
        <v>456</v>
      </c>
      <c r="E98" s="20" t="s">
        <v>53</v>
      </c>
      <c r="F98" s="27">
        <v>33160.0</v>
      </c>
      <c r="G98" s="14">
        <v>35.0</v>
      </c>
      <c r="H98" s="23" t="s">
        <v>26</v>
      </c>
      <c r="I98" s="24" t="s">
        <v>27</v>
      </c>
      <c r="J98" s="19" t="s">
        <v>68</v>
      </c>
      <c r="K98" s="14">
        <v>28.0</v>
      </c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>
      <c r="A99" s="14" t="s">
        <v>457</v>
      </c>
      <c r="B99" s="17" t="s">
        <v>458</v>
      </c>
      <c r="C99" s="17" t="s">
        <v>459</v>
      </c>
      <c r="D99" s="19" t="s">
        <v>460</v>
      </c>
      <c r="E99" s="20" t="s">
        <v>461</v>
      </c>
      <c r="F99" s="21">
        <v>33741.0</v>
      </c>
      <c r="G99" s="14">
        <v>34.0</v>
      </c>
      <c r="H99" s="23" t="s">
        <v>26</v>
      </c>
      <c r="I99" s="24" t="s">
        <v>33</v>
      </c>
      <c r="J99" s="19" t="s">
        <v>282</v>
      </c>
      <c r="K99" s="14">
        <v>11.0</v>
      </c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>
      <c r="A100" s="14" t="s">
        <v>462</v>
      </c>
      <c r="B100" s="17" t="s">
        <v>458</v>
      </c>
      <c r="C100" s="17" t="s">
        <v>463</v>
      </c>
      <c r="D100" s="19" t="s">
        <v>464</v>
      </c>
      <c r="E100" s="20" t="s">
        <v>210</v>
      </c>
      <c r="F100" s="21">
        <v>30142.0</v>
      </c>
      <c r="G100" s="14">
        <v>44.0</v>
      </c>
      <c r="H100" s="23" t="s">
        <v>26</v>
      </c>
      <c r="I100" s="24" t="s">
        <v>27</v>
      </c>
      <c r="J100" s="19" t="s">
        <v>282</v>
      </c>
      <c r="K100" s="14">
        <v>12.0</v>
      </c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>
      <c r="A101" s="14" t="s">
        <v>465</v>
      </c>
      <c r="B101" s="17" t="s">
        <v>458</v>
      </c>
      <c r="C101" s="17" t="s">
        <v>466</v>
      </c>
      <c r="D101" s="19" t="s">
        <v>467</v>
      </c>
      <c r="E101" s="20" t="s">
        <v>104</v>
      </c>
      <c r="F101" s="21">
        <v>38405.0</v>
      </c>
      <c r="G101" s="14">
        <v>21.0</v>
      </c>
      <c r="H101" s="23" t="s">
        <v>100</v>
      </c>
      <c r="I101" s="24" t="s">
        <v>27</v>
      </c>
      <c r="J101" s="19" t="s">
        <v>282</v>
      </c>
      <c r="K101" s="14">
        <v>12.0</v>
      </c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>
      <c r="A102" s="14" t="s">
        <v>468</v>
      </c>
      <c r="B102" s="17" t="s">
        <v>469</v>
      </c>
      <c r="C102" s="17" t="s">
        <v>470</v>
      </c>
      <c r="D102" s="19" t="s">
        <v>471</v>
      </c>
      <c r="E102" s="20" t="s">
        <v>104</v>
      </c>
      <c r="F102" s="21">
        <v>33493.0</v>
      </c>
      <c r="G102" s="14">
        <v>34.0</v>
      </c>
      <c r="H102" s="23" t="s">
        <v>26</v>
      </c>
      <c r="I102" s="24" t="s">
        <v>33</v>
      </c>
      <c r="J102" s="19" t="s">
        <v>472</v>
      </c>
      <c r="K102" s="14">
        <v>21.0</v>
      </c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>
      <c r="A103" s="14" t="s">
        <v>473</v>
      </c>
      <c r="B103" s="17" t="s">
        <v>469</v>
      </c>
      <c r="C103" s="17" t="s">
        <v>474</v>
      </c>
      <c r="D103" s="19" t="s">
        <v>475</v>
      </c>
      <c r="E103" s="20" t="s">
        <v>104</v>
      </c>
      <c r="F103" s="21">
        <v>33055.0</v>
      </c>
      <c r="G103" s="14">
        <v>36.0</v>
      </c>
      <c r="H103" s="23" t="s">
        <v>26</v>
      </c>
      <c r="I103" s="24" t="s">
        <v>27</v>
      </c>
      <c r="J103" s="19" t="s">
        <v>472</v>
      </c>
      <c r="K103" s="14">
        <v>21.0</v>
      </c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>
      <c r="A104" s="14" t="s">
        <v>476</v>
      </c>
      <c r="B104" s="17" t="s">
        <v>477</v>
      </c>
      <c r="C104" s="17" t="s">
        <v>478</v>
      </c>
      <c r="D104" s="19" t="s">
        <v>479</v>
      </c>
      <c r="E104" s="20" t="s">
        <v>480</v>
      </c>
      <c r="F104" s="21">
        <v>31283.0</v>
      </c>
      <c r="G104" s="14">
        <v>41.0</v>
      </c>
      <c r="H104" s="23" t="s">
        <v>26</v>
      </c>
      <c r="I104" s="24" t="s">
        <v>33</v>
      </c>
      <c r="J104" s="19" t="s">
        <v>362</v>
      </c>
      <c r="K104" s="14">
        <v>26.0</v>
      </c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>
      <c r="A105" s="14" t="s">
        <v>481</v>
      </c>
      <c r="B105" s="17" t="s">
        <v>477</v>
      </c>
      <c r="C105" s="17" t="s">
        <v>482</v>
      </c>
      <c r="D105" s="19" t="s">
        <v>483</v>
      </c>
      <c r="E105" s="20" t="s">
        <v>104</v>
      </c>
      <c r="F105" s="21">
        <v>31503.0</v>
      </c>
      <c r="G105" s="14">
        <v>40.0</v>
      </c>
      <c r="H105" s="23" t="s">
        <v>26</v>
      </c>
      <c r="I105" s="24" t="s">
        <v>27</v>
      </c>
      <c r="J105" s="19" t="s">
        <v>362</v>
      </c>
      <c r="K105" s="14">
        <v>26.0</v>
      </c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>
      <c r="A106" s="14" t="s">
        <v>484</v>
      </c>
      <c r="B106" s="17" t="s">
        <v>477</v>
      </c>
      <c r="C106" s="17" t="s">
        <v>485</v>
      </c>
      <c r="D106" s="19" t="s">
        <v>386</v>
      </c>
      <c r="E106" s="20" t="s">
        <v>486</v>
      </c>
      <c r="F106" s="21">
        <v>21195.0</v>
      </c>
      <c r="G106" s="14">
        <v>68.0</v>
      </c>
      <c r="H106" s="23" t="s">
        <v>27</v>
      </c>
      <c r="I106" s="24" t="s">
        <v>27</v>
      </c>
      <c r="J106" s="19" t="s">
        <v>362</v>
      </c>
      <c r="K106" s="14">
        <v>26.0</v>
      </c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>
      <c r="A107" s="14" t="s">
        <v>487</v>
      </c>
      <c r="B107" s="17" t="s">
        <v>488</v>
      </c>
      <c r="C107" s="17" t="s">
        <v>489</v>
      </c>
      <c r="D107" s="19" t="s">
        <v>490</v>
      </c>
      <c r="E107" s="20" t="s">
        <v>491</v>
      </c>
      <c r="F107" s="21">
        <v>33348.0</v>
      </c>
      <c r="G107" s="14">
        <v>35.0</v>
      </c>
      <c r="H107" s="23" t="s">
        <v>26</v>
      </c>
      <c r="I107" s="24" t="s">
        <v>33</v>
      </c>
      <c r="J107" s="19" t="s">
        <v>282</v>
      </c>
      <c r="K107" s="14">
        <v>13.0</v>
      </c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>
      <c r="A108" s="14" t="s">
        <v>492</v>
      </c>
      <c r="B108" s="17" t="s">
        <v>488</v>
      </c>
      <c r="C108" s="17" t="s">
        <v>493</v>
      </c>
      <c r="D108" s="19" t="s">
        <v>494</v>
      </c>
      <c r="E108" s="20" t="s">
        <v>337</v>
      </c>
      <c r="F108" s="21">
        <v>34479.0</v>
      </c>
      <c r="G108" s="14">
        <v>32.0</v>
      </c>
      <c r="H108" s="23" t="s">
        <v>26</v>
      </c>
      <c r="I108" s="24" t="s">
        <v>27</v>
      </c>
      <c r="J108" s="19" t="s">
        <v>282</v>
      </c>
      <c r="K108" s="14">
        <v>13.0</v>
      </c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>
      <c r="A109" s="14" t="s">
        <v>495</v>
      </c>
      <c r="B109" s="17" t="s">
        <v>496</v>
      </c>
      <c r="C109" s="17" t="s">
        <v>497</v>
      </c>
      <c r="D109" s="19" t="s">
        <v>498</v>
      </c>
      <c r="E109" s="20" t="s">
        <v>53</v>
      </c>
      <c r="F109" s="21">
        <v>33709.0</v>
      </c>
      <c r="G109" s="14">
        <v>34.0</v>
      </c>
      <c r="H109" s="23" t="s">
        <v>26</v>
      </c>
      <c r="I109" s="24" t="s">
        <v>27</v>
      </c>
      <c r="J109" s="19" t="s">
        <v>257</v>
      </c>
      <c r="K109" s="14">
        <v>29.0</v>
      </c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>
      <c r="A110" s="14" t="s">
        <v>499</v>
      </c>
      <c r="B110" s="17" t="s">
        <v>496</v>
      </c>
      <c r="C110" s="17" t="s">
        <v>500</v>
      </c>
      <c r="D110" s="19" t="s">
        <v>501</v>
      </c>
      <c r="E110" s="20" t="s">
        <v>502</v>
      </c>
      <c r="F110" s="27">
        <v>33567.0</v>
      </c>
      <c r="G110" s="14">
        <v>34.0</v>
      </c>
      <c r="H110" s="23" t="s">
        <v>26</v>
      </c>
      <c r="I110" s="24" t="s">
        <v>33</v>
      </c>
      <c r="J110" s="19" t="s">
        <v>257</v>
      </c>
      <c r="K110" s="14">
        <v>29.0</v>
      </c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>
      <c r="A111" s="14" t="s">
        <v>503</v>
      </c>
      <c r="B111" s="17" t="s">
        <v>504</v>
      </c>
      <c r="C111" s="17" t="s">
        <v>505</v>
      </c>
      <c r="D111" s="19" t="s">
        <v>506</v>
      </c>
      <c r="E111" s="20" t="s">
        <v>104</v>
      </c>
      <c r="F111" s="21">
        <v>38806.0</v>
      </c>
      <c r="G111" s="14">
        <v>20.0</v>
      </c>
      <c r="H111" s="23" t="s">
        <v>100</v>
      </c>
      <c r="I111" s="24" t="s">
        <v>27</v>
      </c>
      <c r="J111" s="19" t="s">
        <v>282</v>
      </c>
      <c r="K111" s="14">
        <v>12.0</v>
      </c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>
      <c r="A112" s="14" t="s">
        <v>507</v>
      </c>
      <c r="B112" s="17" t="s">
        <v>504</v>
      </c>
      <c r="C112" s="17" t="s">
        <v>508</v>
      </c>
      <c r="D112" s="19" t="s">
        <v>509</v>
      </c>
      <c r="E112" s="20" t="s">
        <v>53</v>
      </c>
      <c r="F112" s="21">
        <v>31207.0</v>
      </c>
      <c r="G112" s="14">
        <v>41.0</v>
      </c>
      <c r="H112" s="23" t="s">
        <v>26</v>
      </c>
      <c r="I112" s="24" t="s">
        <v>33</v>
      </c>
      <c r="J112" s="19" t="s">
        <v>282</v>
      </c>
      <c r="K112" s="14">
        <v>12.0</v>
      </c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>
      <c r="A113" s="14" t="s">
        <v>510</v>
      </c>
      <c r="B113" s="17" t="s">
        <v>504</v>
      </c>
      <c r="C113" s="17" t="s">
        <v>511</v>
      </c>
      <c r="D113" s="19" t="s">
        <v>512</v>
      </c>
      <c r="E113" s="20" t="s">
        <v>53</v>
      </c>
      <c r="F113" s="21">
        <v>31303.0</v>
      </c>
      <c r="G113" s="14">
        <v>40.0</v>
      </c>
      <c r="H113" s="23" t="s">
        <v>26</v>
      </c>
      <c r="I113" s="24" t="s">
        <v>27</v>
      </c>
      <c r="J113" s="19" t="s">
        <v>282</v>
      </c>
      <c r="K113" s="14">
        <v>12.0</v>
      </c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>
      <c r="A114" s="14" t="s">
        <v>513</v>
      </c>
      <c r="B114" s="17" t="s">
        <v>514</v>
      </c>
      <c r="C114" s="17" t="s">
        <v>515</v>
      </c>
      <c r="D114" s="19" t="s">
        <v>516</v>
      </c>
      <c r="E114" s="20" t="s">
        <v>210</v>
      </c>
      <c r="F114" s="21">
        <v>33376.0</v>
      </c>
      <c r="G114" s="14">
        <v>35.0</v>
      </c>
      <c r="H114" s="23" t="s">
        <v>26</v>
      </c>
      <c r="I114" s="24" t="s">
        <v>33</v>
      </c>
      <c r="J114" s="19" t="s">
        <v>517</v>
      </c>
      <c r="K114" s="14">
        <v>8.0</v>
      </c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>
      <c r="A115" s="14" t="s">
        <v>518</v>
      </c>
      <c r="B115" s="17" t="s">
        <v>514</v>
      </c>
      <c r="C115" s="17" t="s">
        <v>519</v>
      </c>
      <c r="D115" s="19" t="s">
        <v>520</v>
      </c>
      <c r="E115" s="20" t="s">
        <v>53</v>
      </c>
      <c r="F115" s="21">
        <v>35116.0</v>
      </c>
      <c r="G115" s="14">
        <v>30.0</v>
      </c>
      <c r="H115" s="23" t="s">
        <v>26</v>
      </c>
      <c r="I115" s="24" t="s">
        <v>27</v>
      </c>
      <c r="J115" s="19" t="s">
        <v>517</v>
      </c>
      <c r="K115" s="14">
        <v>9.0</v>
      </c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>
      <c r="A116" s="14" t="s">
        <v>521</v>
      </c>
      <c r="B116" s="17" t="s">
        <v>522</v>
      </c>
      <c r="C116" s="17" t="s">
        <v>523</v>
      </c>
      <c r="D116" s="19" t="s">
        <v>524</v>
      </c>
      <c r="E116" s="20" t="s">
        <v>525</v>
      </c>
      <c r="F116" s="21">
        <v>34496.0</v>
      </c>
      <c r="G116" s="14">
        <v>32.0</v>
      </c>
      <c r="H116" s="23" t="s">
        <v>100</v>
      </c>
      <c r="I116" s="24" t="s">
        <v>33</v>
      </c>
      <c r="J116" s="19" t="s">
        <v>58</v>
      </c>
      <c r="K116" s="14">
        <v>9.0</v>
      </c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>
      <c r="A117" s="14" t="s">
        <v>526</v>
      </c>
      <c r="B117" s="17" t="s">
        <v>522</v>
      </c>
      <c r="C117" s="17" t="s">
        <v>527</v>
      </c>
      <c r="D117" s="19" t="s">
        <v>528</v>
      </c>
      <c r="E117" s="20" t="s">
        <v>53</v>
      </c>
      <c r="F117" s="21">
        <v>36465.0</v>
      </c>
      <c r="G117" s="14">
        <v>26.0</v>
      </c>
      <c r="H117" s="23" t="s">
        <v>26</v>
      </c>
      <c r="I117" s="24" t="s">
        <v>27</v>
      </c>
      <c r="J117" s="19" t="s">
        <v>58</v>
      </c>
      <c r="K117" s="14">
        <v>9.0</v>
      </c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>
      <c r="A118" s="14" t="s">
        <v>529</v>
      </c>
      <c r="B118" s="17" t="s">
        <v>530</v>
      </c>
      <c r="C118" s="17" t="s">
        <v>531</v>
      </c>
      <c r="D118" s="19" t="s">
        <v>532</v>
      </c>
      <c r="E118" s="20" t="s">
        <v>104</v>
      </c>
      <c r="F118" s="21">
        <v>31855.0</v>
      </c>
      <c r="G118" s="14">
        <v>39.0</v>
      </c>
      <c r="H118" s="23" t="s">
        <v>26</v>
      </c>
      <c r="I118" s="24" t="s">
        <v>27</v>
      </c>
      <c r="J118" s="19" t="s">
        <v>206</v>
      </c>
      <c r="K118" s="14">
        <v>4.0</v>
      </c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>
      <c r="A119" s="14" t="s">
        <v>533</v>
      </c>
      <c r="B119" s="17" t="s">
        <v>530</v>
      </c>
      <c r="C119" s="17" t="s">
        <v>534</v>
      </c>
      <c r="D119" s="19" t="s">
        <v>535</v>
      </c>
      <c r="E119" s="20" t="s">
        <v>536</v>
      </c>
      <c r="F119" s="21">
        <v>32249.0</v>
      </c>
      <c r="G119" s="14">
        <v>38.0</v>
      </c>
      <c r="H119" s="23" t="s">
        <v>26</v>
      </c>
      <c r="I119" s="24" t="s">
        <v>33</v>
      </c>
      <c r="J119" s="19" t="s">
        <v>206</v>
      </c>
      <c r="K119" s="14">
        <v>4.0</v>
      </c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>
      <c r="A120" s="14" t="s">
        <v>537</v>
      </c>
      <c r="B120" s="17" t="s">
        <v>538</v>
      </c>
      <c r="C120" s="17" t="s">
        <v>539</v>
      </c>
      <c r="D120" s="19" t="s">
        <v>540</v>
      </c>
      <c r="E120" s="20" t="s">
        <v>434</v>
      </c>
      <c r="F120" s="21">
        <v>27033.0</v>
      </c>
      <c r="G120" s="14">
        <v>52.0</v>
      </c>
      <c r="H120" s="23" t="s">
        <v>26</v>
      </c>
      <c r="I120" s="24" t="s">
        <v>33</v>
      </c>
      <c r="J120" s="19" t="s">
        <v>58</v>
      </c>
      <c r="K120" s="14">
        <v>7.0</v>
      </c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>
      <c r="A121" s="14" t="s">
        <v>541</v>
      </c>
      <c r="B121" s="17" t="s">
        <v>538</v>
      </c>
      <c r="C121" s="17" t="s">
        <v>542</v>
      </c>
      <c r="D121" s="19" t="s">
        <v>543</v>
      </c>
      <c r="E121" s="20" t="s">
        <v>544</v>
      </c>
      <c r="F121" s="21">
        <v>27546.0</v>
      </c>
      <c r="G121" s="14">
        <v>51.0</v>
      </c>
      <c r="H121" s="23" t="s">
        <v>26</v>
      </c>
      <c r="I121" s="24" t="s">
        <v>27</v>
      </c>
      <c r="J121" s="19" t="s">
        <v>58</v>
      </c>
      <c r="K121" s="14">
        <v>7.0</v>
      </c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>
      <c r="A122" s="14" t="s">
        <v>545</v>
      </c>
      <c r="B122" s="17" t="s">
        <v>546</v>
      </c>
      <c r="C122" s="17" t="s">
        <v>547</v>
      </c>
      <c r="D122" s="19" t="s">
        <v>548</v>
      </c>
      <c r="E122" s="20" t="s">
        <v>138</v>
      </c>
      <c r="F122" s="21">
        <v>39335.0</v>
      </c>
      <c r="G122" s="14">
        <v>18.0</v>
      </c>
      <c r="H122" s="23" t="s">
        <v>100</v>
      </c>
      <c r="I122" s="24" t="s">
        <v>27</v>
      </c>
      <c r="J122" s="19" t="s">
        <v>517</v>
      </c>
      <c r="K122" s="14">
        <v>8.0</v>
      </c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>
      <c r="A123" s="14" t="s">
        <v>549</v>
      </c>
      <c r="B123" s="17" t="s">
        <v>546</v>
      </c>
      <c r="C123" s="17" t="s">
        <v>550</v>
      </c>
      <c r="D123" s="19" t="s">
        <v>551</v>
      </c>
      <c r="E123" s="20" t="s">
        <v>219</v>
      </c>
      <c r="F123" s="27">
        <v>22930.0</v>
      </c>
      <c r="G123" s="14">
        <v>63.0</v>
      </c>
      <c r="H123" s="23" t="s">
        <v>26</v>
      </c>
      <c r="I123" s="24" t="s">
        <v>33</v>
      </c>
      <c r="J123" s="19" t="s">
        <v>517</v>
      </c>
      <c r="K123" s="14">
        <v>8.0</v>
      </c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>
      <c r="A124" s="14" t="s">
        <v>552</v>
      </c>
      <c r="B124" s="17" t="s">
        <v>546</v>
      </c>
      <c r="C124" s="17" t="s">
        <v>553</v>
      </c>
      <c r="D124" s="19" t="s">
        <v>554</v>
      </c>
      <c r="E124" s="20" t="s">
        <v>434</v>
      </c>
      <c r="F124" s="27">
        <v>26583.0</v>
      </c>
      <c r="G124" s="14">
        <v>53.0</v>
      </c>
      <c r="H124" s="23" t="s">
        <v>26</v>
      </c>
      <c r="I124" s="24" t="s">
        <v>27</v>
      </c>
      <c r="J124" s="19" t="s">
        <v>517</v>
      </c>
      <c r="K124" s="14">
        <v>7.0</v>
      </c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>
      <c r="A125" s="14" t="s">
        <v>555</v>
      </c>
      <c r="B125" s="17" t="s">
        <v>556</v>
      </c>
      <c r="C125" s="17" t="s">
        <v>557</v>
      </c>
      <c r="D125" s="19" t="s">
        <v>558</v>
      </c>
      <c r="E125" s="20" t="s">
        <v>138</v>
      </c>
      <c r="F125" s="21">
        <v>38806.0</v>
      </c>
      <c r="G125" s="14">
        <v>20.0</v>
      </c>
      <c r="H125" s="23" t="s">
        <v>100</v>
      </c>
      <c r="I125" s="24" t="s">
        <v>27</v>
      </c>
      <c r="J125" s="19" t="s">
        <v>58</v>
      </c>
      <c r="K125" s="14">
        <v>7.0</v>
      </c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>
      <c r="A126" s="14" t="s">
        <v>559</v>
      </c>
      <c r="B126" s="17" t="s">
        <v>556</v>
      </c>
      <c r="C126" s="17" t="s">
        <v>560</v>
      </c>
      <c r="D126" s="19" t="s">
        <v>561</v>
      </c>
      <c r="E126" s="20" t="s">
        <v>104</v>
      </c>
      <c r="F126" s="21">
        <v>28675.0</v>
      </c>
      <c r="G126" s="14">
        <v>48.0</v>
      </c>
      <c r="H126" s="23" t="s">
        <v>26</v>
      </c>
      <c r="I126" s="24" t="s">
        <v>33</v>
      </c>
      <c r="J126" s="19" t="s">
        <v>58</v>
      </c>
      <c r="K126" s="14">
        <v>7.0</v>
      </c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>
      <c r="A127" s="14" t="s">
        <v>562</v>
      </c>
      <c r="B127" s="17" t="s">
        <v>556</v>
      </c>
      <c r="C127" s="17" t="s">
        <v>563</v>
      </c>
      <c r="D127" s="19" t="s">
        <v>564</v>
      </c>
      <c r="E127" s="20" t="s">
        <v>231</v>
      </c>
      <c r="F127" s="21">
        <v>29423.0</v>
      </c>
      <c r="G127" s="14">
        <v>46.0</v>
      </c>
      <c r="H127" s="23" t="s">
        <v>26</v>
      </c>
      <c r="I127" s="24" t="s">
        <v>27</v>
      </c>
      <c r="J127" s="19" t="s">
        <v>58</v>
      </c>
      <c r="K127" s="14">
        <v>7.0</v>
      </c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>
      <c r="A128" s="14" t="s">
        <v>565</v>
      </c>
      <c r="B128" s="17" t="s">
        <v>566</v>
      </c>
      <c r="C128" s="17" t="s">
        <v>567</v>
      </c>
      <c r="D128" s="19" t="s">
        <v>568</v>
      </c>
      <c r="E128" s="20" t="s">
        <v>569</v>
      </c>
      <c r="F128" s="27">
        <v>38714.0</v>
      </c>
      <c r="G128" s="14">
        <v>20.0</v>
      </c>
      <c r="H128" s="23" t="s">
        <v>100</v>
      </c>
      <c r="I128" s="24" t="s">
        <v>27</v>
      </c>
      <c r="J128" s="19" t="s">
        <v>58</v>
      </c>
      <c r="K128" s="14">
        <v>5.0</v>
      </c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>
      <c r="A129" s="14" t="s">
        <v>570</v>
      </c>
      <c r="B129" s="17" t="s">
        <v>566</v>
      </c>
      <c r="C129" s="17" t="s">
        <v>571</v>
      </c>
      <c r="D129" s="19" t="s">
        <v>572</v>
      </c>
      <c r="E129" s="20" t="s">
        <v>104</v>
      </c>
      <c r="F129" s="21">
        <v>29085.0</v>
      </c>
      <c r="G129" s="14">
        <v>47.0</v>
      </c>
      <c r="H129" s="23" t="s">
        <v>26</v>
      </c>
      <c r="I129" s="24" t="s">
        <v>33</v>
      </c>
      <c r="J129" s="19" t="s">
        <v>58</v>
      </c>
      <c r="K129" s="14">
        <v>5.0</v>
      </c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>
      <c r="A130" s="14" t="s">
        <v>573</v>
      </c>
      <c r="B130" s="17" t="s">
        <v>566</v>
      </c>
      <c r="C130" s="17" t="s">
        <v>574</v>
      </c>
      <c r="D130" s="19" t="s">
        <v>575</v>
      </c>
      <c r="E130" s="20" t="s">
        <v>104</v>
      </c>
      <c r="F130" s="27">
        <v>31334.0</v>
      </c>
      <c r="G130" s="14">
        <v>40.0</v>
      </c>
      <c r="H130" s="23" t="s">
        <v>26</v>
      </c>
      <c r="I130" s="24" t="s">
        <v>27</v>
      </c>
      <c r="J130" s="19" t="s">
        <v>58</v>
      </c>
      <c r="K130" s="14">
        <v>5.0</v>
      </c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>
      <c r="A131" s="14" t="s">
        <v>576</v>
      </c>
      <c r="B131" s="17" t="s">
        <v>577</v>
      </c>
      <c r="C131" s="17" t="s">
        <v>578</v>
      </c>
      <c r="D131" s="19" t="s">
        <v>579</v>
      </c>
      <c r="E131" s="20" t="s">
        <v>104</v>
      </c>
      <c r="F131" s="21">
        <v>39221.0</v>
      </c>
      <c r="G131" s="14">
        <v>19.0</v>
      </c>
      <c r="H131" s="23" t="s">
        <v>100</v>
      </c>
      <c r="I131" s="24" t="s">
        <v>27</v>
      </c>
      <c r="J131" s="19" t="s">
        <v>58</v>
      </c>
      <c r="K131" s="14">
        <v>8.0</v>
      </c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>
      <c r="A132" s="14" t="s">
        <v>580</v>
      </c>
      <c r="B132" s="17" t="s">
        <v>577</v>
      </c>
      <c r="C132" s="17" t="s">
        <v>581</v>
      </c>
      <c r="D132" s="19" t="s">
        <v>582</v>
      </c>
      <c r="E132" s="20" t="s">
        <v>53</v>
      </c>
      <c r="F132" s="27">
        <v>35764.0</v>
      </c>
      <c r="G132" s="14">
        <v>28.0</v>
      </c>
      <c r="H132" s="23" t="s">
        <v>100</v>
      </c>
      <c r="I132" s="24" t="s">
        <v>33</v>
      </c>
      <c r="J132" s="19" t="s">
        <v>58</v>
      </c>
      <c r="K132" s="14">
        <v>8.0</v>
      </c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>
      <c r="A133" s="14" t="s">
        <v>583</v>
      </c>
      <c r="B133" s="17" t="s">
        <v>577</v>
      </c>
      <c r="C133" s="17" t="s">
        <v>584</v>
      </c>
      <c r="D133" s="19" t="s">
        <v>585</v>
      </c>
      <c r="E133" s="20" t="s">
        <v>104</v>
      </c>
      <c r="F133" s="21">
        <v>36683.0</v>
      </c>
      <c r="G133" s="14">
        <v>26.0</v>
      </c>
      <c r="H133" s="23" t="s">
        <v>100</v>
      </c>
      <c r="I133" s="24" t="s">
        <v>33</v>
      </c>
      <c r="J133" s="19" t="s">
        <v>58</v>
      </c>
      <c r="K133" s="14">
        <v>8.0</v>
      </c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>
      <c r="A134" s="14" t="s">
        <v>586</v>
      </c>
      <c r="B134" s="17" t="s">
        <v>577</v>
      </c>
      <c r="C134" s="17" t="s">
        <v>587</v>
      </c>
      <c r="D134" s="19" t="s">
        <v>588</v>
      </c>
      <c r="E134" s="20" t="s">
        <v>434</v>
      </c>
      <c r="F134" s="21">
        <v>25579.0</v>
      </c>
      <c r="G134" s="14">
        <v>56.0</v>
      </c>
      <c r="H134" s="23" t="s">
        <v>26</v>
      </c>
      <c r="I134" s="24" t="s">
        <v>27</v>
      </c>
      <c r="J134" s="19" t="s">
        <v>58</v>
      </c>
      <c r="K134" s="14">
        <v>8.0</v>
      </c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>
      <c r="A135" s="14" t="s">
        <v>589</v>
      </c>
      <c r="B135" s="17" t="s">
        <v>577</v>
      </c>
      <c r="C135" s="17" t="s">
        <v>590</v>
      </c>
      <c r="D135" s="19" t="s">
        <v>591</v>
      </c>
      <c r="E135" s="20" t="s">
        <v>592</v>
      </c>
      <c r="F135" s="21">
        <v>24738.0</v>
      </c>
      <c r="G135" s="14">
        <v>58.0</v>
      </c>
      <c r="H135" s="23" t="s">
        <v>26</v>
      </c>
      <c r="I135" s="24" t="s">
        <v>33</v>
      </c>
      <c r="J135" s="19" t="s">
        <v>58</v>
      </c>
      <c r="K135" s="14">
        <v>8.0</v>
      </c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>
      <c r="A136" s="14" t="s">
        <v>593</v>
      </c>
      <c r="B136" s="17" t="s">
        <v>594</v>
      </c>
      <c r="C136" s="17" t="s">
        <v>595</v>
      </c>
      <c r="D136" s="19" t="s">
        <v>596</v>
      </c>
      <c r="E136" s="20" t="s">
        <v>104</v>
      </c>
      <c r="F136" s="21">
        <v>34876.0</v>
      </c>
      <c r="G136" s="14">
        <v>31.0</v>
      </c>
      <c r="H136" s="23" t="s">
        <v>26</v>
      </c>
      <c r="I136" s="24" t="s">
        <v>27</v>
      </c>
      <c r="J136" s="19" t="s">
        <v>597</v>
      </c>
      <c r="K136" s="14">
        <v>19.0</v>
      </c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>
      <c r="A137" s="14" t="s">
        <v>598</v>
      </c>
      <c r="B137" s="17" t="s">
        <v>594</v>
      </c>
      <c r="C137" s="17" t="s">
        <v>599</v>
      </c>
      <c r="D137" s="19" t="s">
        <v>600</v>
      </c>
      <c r="E137" s="20" t="s">
        <v>104</v>
      </c>
      <c r="F137" s="21">
        <v>32205.0</v>
      </c>
      <c r="G137" s="14">
        <v>38.0</v>
      </c>
      <c r="H137" s="23" t="s">
        <v>26</v>
      </c>
      <c r="I137" s="24" t="s">
        <v>33</v>
      </c>
      <c r="J137" s="19" t="s">
        <v>597</v>
      </c>
      <c r="K137" s="14">
        <v>19.0</v>
      </c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>
      <c r="A138" s="14" t="s">
        <v>601</v>
      </c>
      <c r="B138" s="17" t="s">
        <v>602</v>
      </c>
      <c r="C138" s="17" t="s">
        <v>603</v>
      </c>
      <c r="D138" s="19" t="s">
        <v>604</v>
      </c>
      <c r="E138" s="20" t="s">
        <v>605</v>
      </c>
      <c r="F138" s="21">
        <v>20326.0</v>
      </c>
      <c r="G138" s="14">
        <v>71.0</v>
      </c>
      <c r="H138" s="23" t="s">
        <v>27</v>
      </c>
      <c r="I138" s="24" t="s">
        <v>27</v>
      </c>
      <c r="J138" s="19" t="s">
        <v>68</v>
      </c>
      <c r="K138" s="14">
        <v>31.0</v>
      </c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>
      <c r="A139" s="14" t="s">
        <v>606</v>
      </c>
      <c r="B139" s="17" t="s">
        <v>607</v>
      </c>
      <c r="C139" s="17" t="s">
        <v>608</v>
      </c>
      <c r="D139" s="19" t="s">
        <v>609</v>
      </c>
      <c r="E139" s="20" t="s">
        <v>138</v>
      </c>
      <c r="F139" s="21">
        <v>34780.0</v>
      </c>
      <c r="G139" s="14">
        <v>31.0</v>
      </c>
      <c r="H139" s="23" t="s">
        <v>26</v>
      </c>
      <c r="I139" s="24" t="s">
        <v>33</v>
      </c>
      <c r="J139" s="19" t="s">
        <v>68</v>
      </c>
      <c r="K139" s="14">
        <v>35.0</v>
      </c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>
      <c r="A140" s="14" t="s">
        <v>610</v>
      </c>
      <c r="B140" s="17" t="s">
        <v>607</v>
      </c>
      <c r="C140" s="17" t="s">
        <v>611</v>
      </c>
      <c r="D140" s="19" t="s">
        <v>612</v>
      </c>
      <c r="E140" s="20" t="s">
        <v>613</v>
      </c>
      <c r="F140" s="21">
        <v>36303.0</v>
      </c>
      <c r="G140" s="14">
        <v>27.0</v>
      </c>
      <c r="H140" s="23" t="s">
        <v>26</v>
      </c>
      <c r="I140" s="24" t="s">
        <v>27</v>
      </c>
      <c r="J140" s="19" t="s">
        <v>68</v>
      </c>
      <c r="K140" s="14">
        <v>35.0</v>
      </c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>
      <c r="A141" s="14" t="s">
        <v>614</v>
      </c>
      <c r="B141" s="17" t="s">
        <v>615</v>
      </c>
      <c r="C141" s="17" t="s">
        <v>616</v>
      </c>
      <c r="D141" s="19" t="s">
        <v>617</v>
      </c>
      <c r="E141" s="20" t="s">
        <v>53</v>
      </c>
      <c r="F141" s="21">
        <v>35371.0</v>
      </c>
      <c r="G141" s="14">
        <v>29.0</v>
      </c>
      <c r="H141" s="23" t="s">
        <v>100</v>
      </c>
      <c r="I141" s="24" t="s">
        <v>33</v>
      </c>
      <c r="J141" s="19" t="s">
        <v>362</v>
      </c>
      <c r="K141" s="14">
        <v>27.0</v>
      </c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>
      <c r="A142" s="14" t="s">
        <v>618</v>
      </c>
      <c r="B142" s="17" t="s">
        <v>615</v>
      </c>
      <c r="C142" s="17" t="s">
        <v>619</v>
      </c>
      <c r="D142" s="19" t="s">
        <v>620</v>
      </c>
      <c r="E142" s="20" t="s">
        <v>138</v>
      </c>
      <c r="F142" s="21">
        <v>39203.0</v>
      </c>
      <c r="G142" s="14">
        <v>19.0</v>
      </c>
      <c r="H142" s="23" t="s">
        <v>100</v>
      </c>
      <c r="I142" s="24" t="s">
        <v>33</v>
      </c>
      <c r="J142" s="19" t="s">
        <v>362</v>
      </c>
      <c r="K142" s="14">
        <v>27.0</v>
      </c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>
      <c r="A143" s="14" t="s">
        <v>621</v>
      </c>
      <c r="B143" s="17" t="s">
        <v>615</v>
      </c>
      <c r="C143" s="17" t="s">
        <v>622</v>
      </c>
      <c r="D143" s="19" t="s">
        <v>623</v>
      </c>
      <c r="E143" s="20" t="s">
        <v>624</v>
      </c>
      <c r="F143" s="21">
        <v>22041.0</v>
      </c>
      <c r="G143" s="14">
        <v>66.0</v>
      </c>
      <c r="H143" s="23" t="s">
        <v>27</v>
      </c>
      <c r="I143" s="24" t="s">
        <v>27</v>
      </c>
      <c r="J143" s="19" t="s">
        <v>362</v>
      </c>
      <c r="K143" s="14">
        <v>27.0</v>
      </c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>
      <c r="A144" s="14" t="s">
        <v>625</v>
      </c>
      <c r="B144" s="17" t="s">
        <v>615</v>
      </c>
      <c r="C144" s="17" t="s">
        <v>626</v>
      </c>
      <c r="D144" s="19" t="s">
        <v>627</v>
      </c>
      <c r="E144" s="20" t="s">
        <v>104</v>
      </c>
      <c r="F144" s="21">
        <v>37753.0</v>
      </c>
      <c r="G144" s="14">
        <v>23.0</v>
      </c>
      <c r="H144" s="23" t="s">
        <v>100</v>
      </c>
      <c r="I144" s="24" t="s">
        <v>33</v>
      </c>
      <c r="J144" s="19" t="s">
        <v>362</v>
      </c>
      <c r="K144" s="14">
        <v>27.0</v>
      </c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>
      <c r="A145" s="14" t="s">
        <v>628</v>
      </c>
      <c r="B145" s="17" t="s">
        <v>629</v>
      </c>
      <c r="C145" s="17" t="s">
        <v>630</v>
      </c>
      <c r="D145" s="19" t="s">
        <v>631</v>
      </c>
      <c r="E145" s="20" t="s">
        <v>632</v>
      </c>
      <c r="F145" s="21">
        <v>23812.0</v>
      </c>
      <c r="G145" s="14">
        <v>61.0</v>
      </c>
      <c r="H145" s="23" t="s">
        <v>26</v>
      </c>
      <c r="I145" s="24" t="s">
        <v>33</v>
      </c>
      <c r="J145" s="19" t="s">
        <v>282</v>
      </c>
      <c r="K145" s="14">
        <v>13.0</v>
      </c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>
      <c r="A146" s="14" t="s">
        <v>633</v>
      </c>
      <c r="B146" s="17" t="s">
        <v>634</v>
      </c>
      <c r="C146" s="17" t="s">
        <v>635</v>
      </c>
      <c r="D146" s="19" t="s">
        <v>636</v>
      </c>
      <c r="E146" s="20" t="s">
        <v>104</v>
      </c>
      <c r="F146" s="21">
        <v>30622.0</v>
      </c>
      <c r="G146" s="14">
        <v>42.0</v>
      </c>
      <c r="H146" s="23" t="s">
        <v>26</v>
      </c>
      <c r="I146" s="24" t="s">
        <v>33</v>
      </c>
      <c r="J146" s="19" t="s">
        <v>517</v>
      </c>
      <c r="K146" s="14">
        <v>9.0</v>
      </c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>
      <c r="A147" s="14" t="s">
        <v>637</v>
      </c>
      <c r="B147" s="17" t="s">
        <v>634</v>
      </c>
      <c r="C147" s="17" t="s">
        <v>638</v>
      </c>
      <c r="D147" s="19" t="s">
        <v>639</v>
      </c>
      <c r="E147" s="20" t="s">
        <v>53</v>
      </c>
      <c r="F147" s="21">
        <v>39126.0</v>
      </c>
      <c r="G147" s="14">
        <v>19.0</v>
      </c>
      <c r="H147" s="23" t="s">
        <v>100</v>
      </c>
      <c r="I147" s="24" t="s">
        <v>27</v>
      </c>
      <c r="J147" s="19" t="s">
        <v>58</v>
      </c>
      <c r="K147" s="14">
        <v>9.0</v>
      </c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>
      <c r="A148" s="14" t="s">
        <v>640</v>
      </c>
      <c r="B148" s="17" t="s">
        <v>634</v>
      </c>
      <c r="C148" s="17" t="s">
        <v>641</v>
      </c>
      <c r="D148" s="19" t="s">
        <v>642</v>
      </c>
      <c r="E148" s="20" t="s">
        <v>53</v>
      </c>
      <c r="F148" s="21">
        <v>31545.0</v>
      </c>
      <c r="G148" s="14">
        <v>40.0</v>
      </c>
      <c r="H148" s="23" t="s">
        <v>26</v>
      </c>
      <c r="I148" s="24" t="s">
        <v>27</v>
      </c>
      <c r="J148" s="19" t="s">
        <v>58</v>
      </c>
      <c r="K148" s="14">
        <v>9.0</v>
      </c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>
      <c r="A149" s="14" t="s">
        <v>643</v>
      </c>
      <c r="B149" s="17" t="s">
        <v>644</v>
      </c>
      <c r="C149" s="17" t="s">
        <v>645</v>
      </c>
      <c r="D149" s="19" t="s">
        <v>646</v>
      </c>
      <c r="E149" s="20" t="s">
        <v>104</v>
      </c>
      <c r="F149" s="21">
        <v>37362.0</v>
      </c>
      <c r="G149" s="14">
        <v>24.0</v>
      </c>
      <c r="H149" s="23" t="s">
        <v>100</v>
      </c>
      <c r="I149" s="24" t="s">
        <v>33</v>
      </c>
      <c r="J149" s="19" t="s">
        <v>328</v>
      </c>
      <c r="K149" s="14">
        <v>23.0</v>
      </c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>
      <c r="A150" s="14" t="s">
        <v>647</v>
      </c>
      <c r="B150" s="17" t="s">
        <v>644</v>
      </c>
      <c r="C150" s="17" t="s">
        <v>648</v>
      </c>
      <c r="D150" s="19" t="s">
        <v>649</v>
      </c>
      <c r="E150" s="20" t="s">
        <v>650</v>
      </c>
      <c r="F150" s="21">
        <v>25262.0</v>
      </c>
      <c r="G150" s="14">
        <v>57.0</v>
      </c>
      <c r="H150" s="23" t="s">
        <v>26</v>
      </c>
      <c r="I150" s="24" t="s">
        <v>33</v>
      </c>
      <c r="J150" s="19" t="s">
        <v>328</v>
      </c>
      <c r="K150" s="14">
        <v>23.0</v>
      </c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>
      <c r="A151" s="14" t="s">
        <v>651</v>
      </c>
      <c r="B151" s="17" t="s">
        <v>644</v>
      </c>
      <c r="C151" s="17" t="s">
        <v>652</v>
      </c>
      <c r="D151" s="19" t="s">
        <v>653</v>
      </c>
      <c r="E151" s="20" t="s">
        <v>654</v>
      </c>
      <c r="F151" s="21">
        <v>26437.0</v>
      </c>
      <c r="G151" s="14">
        <v>54.0</v>
      </c>
      <c r="H151" s="23" t="s">
        <v>26</v>
      </c>
      <c r="I151" s="24" t="s">
        <v>27</v>
      </c>
      <c r="J151" s="19" t="s">
        <v>328</v>
      </c>
      <c r="K151" s="14">
        <v>23.0</v>
      </c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>
      <c r="A152" s="14" t="s">
        <v>655</v>
      </c>
      <c r="B152" s="17" t="s">
        <v>656</v>
      </c>
      <c r="C152" s="17" t="s">
        <v>657</v>
      </c>
      <c r="D152" s="19" t="s">
        <v>658</v>
      </c>
      <c r="E152" s="20" t="s">
        <v>337</v>
      </c>
      <c r="F152" s="21">
        <v>36268.0</v>
      </c>
      <c r="G152" s="14">
        <v>27.0</v>
      </c>
      <c r="H152" s="23" t="s">
        <v>26</v>
      </c>
      <c r="I152" s="24" t="s">
        <v>33</v>
      </c>
      <c r="J152" s="19" t="s">
        <v>58</v>
      </c>
      <c r="K152" s="14">
        <v>8.0</v>
      </c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>
      <c r="A153" s="14" t="s">
        <v>659</v>
      </c>
      <c r="B153" s="17" t="s">
        <v>656</v>
      </c>
      <c r="C153" s="17" t="s">
        <v>660</v>
      </c>
      <c r="D153" s="19" t="s">
        <v>661</v>
      </c>
      <c r="E153" s="20" t="s">
        <v>195</v>
      </c>
      <c r="F153" s="21">
        <v>28315.0</v>
      </c>
      <c r="G153" s="14">
        <v>49.0</v>
      </c>
      <c r="H153" s="23" t="s">
        <v>26</v>
      </c>
      <c r="I153" s="24" t="s">
        <v>27</v>
      </c>
      <c r="J153" s="19" t="s">
        <v>58</v>
      </c>
      <c r="K153" s="14">
        <v>8.0</v>
      </c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>
      <c r="A154" s="14" t="s">
        <v>663</v>
      </c>
      <c r="B154" s="17" t="s">
        <v>656</v>
      </c>
      <c r="C154" s="17" t="s">
        <v>664</v>
      </c>
      <c r="D154" s="19" t="s">
        <v>665</v>
      </c>
      <c r="E154" s="20" t="s">
        <v>666</v>
      </c>
      <c r="F154" s="21">
        <v>26433.0</v>
      </c>
      <c r="G154" s="14">
        <v>54.0</v>
      </c>
      <c r="H154" s="23" t="s">
        <v>26</v>
      </c>
      <c r="I154" s="24" t="s">
        <v>33</v>
      </c>
      <c r="J154" s="19" t="s">
        <v>58</v>
      </c>
      <c r="K154" s="14">
        <v>8.0</v>
      </c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>
      <c r="A155" s="14" t="s">
        <v>667</v>
      </c>
      <c r="B155" s="17" t="s">
        <v>668</v>
      </c>
      <c r="C155" s="17" t="s">
        <v>669</v>
      </c>
      <c r="D155" s="19" t="s">
        <v>670</v>
      </c>
      <c r="E155" s="20" t="s">
        <v>671</v>
      </c>
      <c r="F155" s="21">
        <v>28219.0</v>
      </c>
      <c r="G155" s="14">
        <v>49.0</v>
      </c>
      <c r="H155" s="23" t="s">
        <v>26</v>
      </c>
      <c r="I155" s="24" t="s">
        <v>27</v>
      </c>
      <c r="J155" s="19" t="s">
        <v>146</v>
      </c>
      <c r="K155" s="14">
        <v>5.0</v>
      </c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>
      <c r="A156" s="14" t="s">
        <v>672</v>
      </c>
      <c r="B156" s="17" t="s">
        <v>668</v>
      </c>
      <c r="C156" s="17" t="s">
        <v>673</v>
      </c>
      <c r="D156" s="19" t="s">
        <v>674</v>
      </c>
      <c r="E156" s="20" t="s">
        <v>290</v>
      </c>
      <c r="F156" s="21">
        <v>25821.0</v>
      </c>
      <c r="G156" s="14">
        <v>55.0</v>
      </c>
      <c r="H156" s="23" t="s">
        <v>26</v>
      </c>
      <c r="I156" s="24" t="s">
        <v>33</v>
      </c>
      <c r="J156" s="19" t="s">
        <v>146</v>
      </c>
      <c r="K156" s="14">
        <v>5.0</v>
      </c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>
      <c r="A157" s="14" t="s">
        <v>675</v>
      </c>
      <c r="B157" s="17" t="s">
        <v>668</v>
      </c>
      <c r="C157" s="17" t="s">
        <v>676</v>
      </c>
      <c r="D157" s="19" t="s">
        <v>677</v>
      </c>
      <c r="E157" s="20" t="s">
        <v>195</v>
      </c>
      <c r="F157" s="27">
        <v>37904.0</v>
      </c>
      <c r="G157" s="14">
        <v>22.0</v>
      </c>
      <c r="H157" s="23" t="s">
        <v>100</v>
      </c>
      <c r="I157" s="24" t="s">
        <v>33</v>
      </c>
      <c r="J157" s="19" t="s">
        <v>58</v>
      </c>
      <c r="K157" s="14">
        <v>7.0</v>
      </c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>
      <c r="A158" s="14" t="s">
        <v>678</v>
      </c>
      <c r="B158" s="17" t="s">
        <v>679</v>
      </c>
      <c r="C158" s="17" t="s">
        <v>680</v>
      </c>
      <c r="D158" s="19" t="s">
        <v>681</v>
      </c>
      <c r="E158" s="20" t="s">
        <v>104</v>
      </c>
      <c r="F158" s="21">
        <v>38819.0</v>
      </c>
      <c r="G158" s="14">
        <v>20.0</v>
      </c>
      <c r="H158" s="23" t="s">
        <v>100</v>
      </c>
      <c r="I158" s="24" t="s">
        <v>33</v>
      </c>
      <c r="J158" s="19" t="s">
        <v>146</v>
      </c>
      <c r="K158" s="14">
        <v>9.0</v>
      </c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>
      <c r="A159" s="14" t="s">
        <v>682</v>
      </c>
      <c r="B159" s="17" t="s">
        <v>679</v>
      </c>
      <c r="C159" s="17" t="s">
        <v>683</v>
      </c>
      <c r="D159" s="19" t="s">
        <v>684</v>
      </c>
      <c r="E159" s="20" t="s">
        <v>104</v>
      </c>
      <c r="F159" s="21">
        <v>29101.0</v>
      </c>
      <c r="G159" s="14">
        <v>46.0</v>
      </c>
      <c r="H159" s="23" t="s">
        <v>26</v>
      </c>
      <c r="I159" s="24" t="s">
        <v>33</v>
      </c>
      <c r="J159" s="19" t="s">
        <v>146</v>
      </c>
      <c r="K159" s="14">
        <v>9.0</v>
      </c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>
      <c r="A160" s="14" t="s">
        <v>685</v>
      </c>
      <c r="B160" s="17" t="s">
        <v>679</v>
      </c>
      <c r="C160" s="17" t="s">
        <v>686</v>
      </c>
      <c r="D160" s="19" t="s">
        <v>687</v>
      </c>
      <c r="E160" s="20" t="s">
        <v>104</v>
      </c>
      <c r="F160" s="21">
        <v>29383.0</v>
      </c>
      <c r="G160" s="14">
        <v>46.0</v>
      </c>
      <c r="H160" s="23" t="s">
        <v>26</v>
      </c>
      <c r="I160" s="24" t="s">
        <v>27</v>
      </c>
      <c r="J160" s="19" t="s">
        <v>146</v>
      </c>
      <c r="K160" s="14">
        <v>9.0</v>
      </c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>
      <c r="A161" s="14" t="s">
        <v>688</v>
      </c>
      <c r="B161" s="17" t="s">
        <v>689</v>
      </c>
      <c r="C161" s="17" t="s">
        <v>690</v>
      </c>
      <c r="D161" s="19" t="s">
        <v>691</v>
      </c>
      <c r="E161" s="20" t="s">
        <v>544</v>
      </c>
      <c r="F161" s="21">
        <v>22103.0</v>
      </c>
      <c r="G161" s="14">
        <v>66.0</v>
      </c>
      <c r="H161" s="23" t="s">
        <v>26</v>
      </c>
      <c r="I161" s="24" t="s">
        <v>27</v>
      </c>
      <c r="J161" s="19" t="s">
        <v>146</v>
      </c>
      <c r="K161" s="14">
        <v>5.0</v>
      </c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>
      <c r="A162" s="14" t="s">
        <v>692</v>
      </c>
      <c r="B162" s="17" t="s">
        <v>693</v>
      </c>
      <c r="C162" s="17" t="s">
        <v>694</v>
      </c>
      <c r="D162" s="19" t="s">
        <v>695</v>
      </c>
      <c r="E162" s="20" t="s">
        <v>104</v>
      </c>
      <c r="F162" s="21">
        <v>39276.0</v>
      </c>
      <c r="G162" s="14">
        <v>19.0</v>
      </c>
      <c r="H162" s="23" t="s">
        <v>100</v>
      </c>
      <c r="I162" s="24" t="s">
        <v>27</v>
      </c>
      <c r="J162" s="19" t="s">
        <v>58</v>
      </c>
      <c r="K162" s="14">
        <v>6.0</v>
      </c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>
      <c r="A163" s="14" t="s">
        <v>696</v>
      </c>
      <c r="B163" s="17" t="s">
        <v>693</v>
      </c>
      <c r="C163" s="17" t="s">
        <v>697</v>
      </c>
      <c r="D163" s="19" t="s">
        <v>698</v>
      </c>
      <c r="E163" s="20" t="s">
        <v>104</v>
      </c>
      <c r="F163" s="21">
        <v>27959.0</v>
      </c>
      <c r="G163" s="14">
        <v>50.0</v>
      </c>
      <c r="H163" s="23" t="s">
        <v>26</v>
      </c>
      <c r="I163" s="24" t="s">
        <v>33</v>
      </c>
      <c r="J163" s="19" t="s">
        <v>146</v>
      </c>
      <c r="K163" s="14">
        <v>6.0</v>
      </c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>
      <c r="A164" s="14" t="s">
        <v>699</v>
      </c>
      <c r="B164" s="17" t="s">
        <v>693</v>
      </c>
      <c r="C164" s="17" t="s">
        <v>700</v>
      </c>
      <c r="D164" s="19" t="s">
        <v>701</v>
      </c>
      <c r="E164" s="20" t="s">
        <v>702</v>
      </c>
      <c r="F164" s="21">
        <v>28714.0</v>
      </c>
      <c r="G164" s="14">
        <v>48.0</v>
      </c>
      <c r="H164" s="23" t="s">
        <v>26</v>
      </c>
      <c r="I164" s="24" t="s">
        <v>27</v>
      </c>
      <c r="J164" s="19" t="s">
        <v>146</v>
      </c>
      <c r="K164" s="14">
        <v>6.0</v>
      </c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>
      <c r="A165" s="14" t="s">
        <v>703</v>
      </c>
      <c r="B165" s="17" t="s">
        <v>704</v>
      </c>
      <c r="C165" s="17" t="s">
        <v>705</v>
      </c>
      <c r="D165" s="19" t="s">
        <v>706</v>
      </c>
      <c r="E165" s="20" t="s">
        <v>53</v>
      </c>
      <c r="F165" s="21">
        <v>38168.0</v>
      </c>
      <c r="G165" s="14">
        <v>22.0</v>
      </c>
      <c r="H165" s="23" t="s">
        <v>100</v>
      </c>
      <c r="I165" s="24" t="s">
        <v>33</v>
      </c>
      <c r="J165" s="19" t="s">
        <v>146</v>
      </c>
      <c r="K165" s="14">
        <v>5.0</v>
      </c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>
      <c r="A166" s="14" t="s">
        <v>707</v>
      </c>
      <c r="B166" s="17" t="s">
        <v>704</v>
      </c>
      <c r="C166" s="17" t="s">
        <v>708</v>
      </c>
      <c r="D166" s="19" t="s">
        <v>709</v>
      </c>
      <c r="E166" s="20" t="s">
        <v>544</v>
      </c>
      <c r="F166" s="21">
        <v>27655.0</v>
      </c>
      <c r="G166" s="14">
        <v>50.0</v>
      </c>
      <c r="H166" s="23" t="s">
        <v>26</v>
      </c>
      <c r="I166" s="24" t="s">
        <v>27</v>
      </c>
      <c r="J166" s="19" t="s">
        <v>146</v>
      </c>
      <c r="K166" s="14">
        <v>5.0</v>
      </c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>
      <c r="A167" s="14" t="s">
        <v>710</v>
      </c>
      <c r="B167" s="17" t="s">
        <v>704</v>
      </c>
      <c r="C167" s="17" t="s">
        <v>711</v>
      </c>
      <c r="D167" s="19" t="s">
        <v>712</v>
      </c>
      <c r="E167" s="20" t="s">
        <v>290</v>
      </c>
      <c r="F167" s="21">
        <v>26529.0</v>
      </c>
      <c r="G167" s="14">
        <v>54.0</v>
      </c>
      <c r="H167" s="23" t="s">
        <v>26</v>
      </c>
      <c r="I167" s="24" t="s">
        <v>33</v>
      </c>
      <c r="J167" s="19" t="s">
        <v>146</v>
      </c>
      <c r="K167" s="14">
        <v>5.0</v>
      </c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>
      <c r="A168" s="14" t="s">
        <v>713</v>
      </c>
      <c r="B168" s="17" t="s">
        <v>714</v>
      </c>
      <c r="C168" s="17" t="s">
        <v>715</v>
      </c>
      <c r="D168" s="19" t="s">
        <v>716</v>
      </c>
      <c r="E168" s="20" t="s">
        <v>717</v>
      </c>
      <c r="F168" s="21">
        <v>27896.0</v>
      </c>
      <c r="G168" s="14">
        <v>50.0</v>
      </c>
      <c r="H168" s="23" t="s">
        <v>26</v>
      </c>
      <c r="I168" s="24" t="s">
        <v>27</v>
      </c>
      <c r="J168" s="19" t="s">
        <v>146</v>
      </c>
      <c r="K168" s="14">
        <v>13.0</v>
      </c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>
      <c r="A169" s="14" t="s">
        <v>718</v>
      </c>
      <c r="B169" s="17" t="s">
        <v>714</v>
      </c>
      <c r="C169" s="17" t="s">
        <v>719</v>
      </c>
      <c r="D169" s="19" t="s">
        <v>720</v>
      </c>
      <c r="E169" s="20" t="s">
        <v>721</v>
      </c>
      <c r="F169" s="21">
        <v>25795.0</v>
      </c>
      <c r="G169" s="14">
        <v>56.0</v>
      </c>
      <c r="H169" s="23" t="s">
        <v>26</v>
      </c>
      <c r="I169" s="24" t="s">
        <v>33</v>
      </c>
      <c r="J169" s="19" t="s">
        <v>146</v>
      </c>
      <c r="K169" s="14">
        <v>13.0</v>
      </c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>
      <c r="A170" s="14" t="s">
        <v>722</v>
      </c>
      <c r="B170" s="17" t="s">
        <v>723</v>
      </c>
      <c r="C170" s="17" t="s">
        <v>724</v>
      </c>
      <c r="D170" s="19" t="s">
        <v>725</v>
      </c>
      <c r="E170" s="20" t="s">
        <v>53</v>
      </c>
      <c r="F170" s="27">
        <v>39063.0</v>
      </c>
      <c r="G170" s="14">
        <v>19.0</v>
      </c>
      <c r="H170" s="23" t="s">
        <v>100</v>
      </c>
      <c r="I170" s="24" t="s">
        <v>27</v>
      </c>
      <c r="J170" s="19" t="s">
        <v>726</v>
      </c>
      <c r="K170" s="14">
        <v>13.0</v>
      </c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>
      <c r="A171" s="14" t="s">
        <v>727</v>
      </c>
      <c r="B171" s="17" t="s">
        <v>723</v>
      </c>
      <c r="C171" s="17" t="s">
        <v>728</v>
      </c>
      <c r="D171" s="19" t="s">
        <v>729</v>
      </c>
      <c r="E171" s="20" t="s">
        <v>429</v>
      </c>
      <c r="F171" s="21">
        <v>26086.0</v>
      </c>
      <c r="G171" s="14">
        <v>55.0</v>
      </c>
      <c r="H171" s="23" t="s">
        <v>26</v>
      </c>
      <c r="I171" s="24" t="s">
        <v>33</v>
      </c>
      <c r="J171" s="19" t="s">
        <v>726</v>
      </c>
      <c r="K171" s="14">
        <v>13.0</v>
      </c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>
      <c r="A172" s="14" t="s">
        <v>730</v>
      </c>
      <c r="B172" s="17" t="s">
        <v>723</v>
      </c>
      <c r="C172" s="17" t="s">
        <v>731</v>
      </c>
      <c r="D172" s="19" t="s">
        <v>732</v>
      </c>
      <c r="E172" s="20" t="s">
        <v>138</v>
      </c>
      <c r="F172" s="21">
        <v>27459.0</v>
      </c>
      <c r="G172" s="14">
        <v>51.0</v>
      </c>
      <c r="H172" s="23" t="s">
        <v>26</v>
      </c>
      <c r="I172" s="24" t="s">
        <v>27</v>
      </c>
      <c r="J172" s="19" t="s">
        <v>726</v>
      </c>
      <c r="K172" s="14">
        <v>13.0</v>
      </c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>
      <c r="A173" s="14" t="s">
        <v>733</v>
      </c>
      <c r="B173" s="17" t="s">
        <v>723</v>
      </c>
      <c r="C173" s="17" t="s">
        <v>734</v>
      </c>
      <c r="D173" s="19" t="s">
        <v>735</v>
      </c>
      <c r="E173" s="20" t="s">
        <v>736</v>
      </c>
      <c r="F173" s="21">
        <v>37286.0</v>
      </c>
      <c r="G173" s="14">
        <v>24.0</v>
      </c>
      <c r="H173" s="23" t="s">
        <v>100</v>
      </c>
      <c r="I173" s="24" t="s">
        <v>27</v>
      </c>
      <c r="J173" s="19" t="s">
        <v>726</v>
      </c>
      <c r="K173" s="14">
        <v>13.0</v>
      </c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>
      <c r="A174" s="14" t="s">
        <v>737</v>
      </c>
      <c r="B174" s="17" t="s">
        <v>738</v>
      </c>
      <c r="C174" s="17" t="s">
        <v>739</v>
      </c>
      <c r="D174" s="19" t="s">
        <v>740</v>
      </c>
      <c r="E174" s="20" t="s">
        <v>741</v>
      </c>
      <c r="F174" s="27">
        <v>26224.0</v>
      </c>
      <c r="G174" s="14">
        <v>54.0</v>
      </c>
      <c r="H174" s="23" t="s">
        <v>26</v>
      </c>
      <c r="I174" s="24" t="s">
        <v>27</v>
      </c>
      <c r="J174" s="19" t="s">
        <v>58</v>
      </c>
      <c r="K174" s="14">
        <v>9.0</v>
      </c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>
      <c r="A175" s="14" t="s">
        <v>742</v>
      </c>
      <c r="B175" s="17" t="s">
        <v>738</v>
      </c>
      <c r="C175" s="17" t="s">
        <v>743</v>
      </c>
      <c r="D175" s="19" t="s">
        <v>744</v>
      </c>
      <c r="E175" s="20" t="s">
        <v>654</v>
      </c>
      <c r="F175" s="21">
        <v>24136.0</v>
      </c>
      <c r="G175" s="14">
        <v>60.0</v>
      </c>
      <c r="H175" s="23" t="s">
        <v>26</v>
      </c>
      <c r="I175" s="24" t="s">
        <v>33</v>
      </c>
      <c r="J175" s="19" t="s">
        <v>58</v>
      </c>
      <c r="K175" s="14">
        <v>9.0</v>
      </c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>
      <c r="A176" s="14" t="s">
        <v>745</v>
      </c>
      <c r="B176" s="17" t="s">
        <v>746</v>
      </c>
      <c r="C176" s="17" t="s">
        <v>747</v>
      </c>
      <c r="D176" s="19" t="s">
        <v>748</v>
      </c>
      <c r="E176" s="20" t="s">
        <v>749</v>
      </c>
      <c r="F176" s="21">
        <v>26474.0</v>
      </c>
      <c r="G176" s="14">
        <v>54.0</v>
      </c>
      <c r="H176" s="23" t="s">
        <v>26</v>
      </c>
      <c r="I176" s="24" t="s">
        <v>33</v>
      </c>
      <c r="J176" s="19" t="s">
        <v>146</v>
      </c>
      <c r="K176" s="14">
        <v>9.0</v>
      </c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>
      <c r="A177" s="14" t="s">
        <v>750</v>
      </c>
      <c r="B177" s="17" t="s">
        <v>746</v>
      </c>
      <c r="C177" s="17" t="s">
        <v>751</v>
      </c>
      <c r="D177" s="19" t="s">
        <v>752</v>
      </c>
      <c r="E177" s="20" t="s">
        <v>104</v>
      </c>
      <c r="F177" s="21">
        <v>28378.0</v>
      </c>
      <c r="G177" s="14">
        <v>48.0</v>
      </c>
      <c r="H177" s="23" t="s">
        <v>26</v>
      </c>
      <c r="I177" s="24" t="s">
        <v>27</v>
      </c>
      <c r="J177" s="19" t="s">
        <v>146</v>
      </c>
      <c r="K177" s="14">
        <v>9.0</v>
      </c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>
      <c r="A178" s="14" t="s">
        <v>753</v>
      </c>
      <c r="B178" s="17" t="s">
        <v>754</v>
      </c>
      <c r="C178" s="17" t="s">
        <v>755</v>
      </c>
      <c r="D178" s="19" t="s">
        <v>756</v>
      </c>
      <c r="E178" s="20" t="s">
        <v>104</v>
      </c>
      <c r="F178" s="21">
        <v>38354.0</v>
      </c>
      <c r="G178" s="14">
        <v>21.0</v>
      </c>
      <c r="H178" s="23" t="s">
        <v>100</v>
      </c>
      <c r="I178" s="24" t="s">
        <v>27</v>
      </c>
      <c r="J178" s="19" t="s">
        <v>757</v>
      </c>
      <c r="K178" s="14">
        <v>10.0</v>
      </c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>
      <c r="A179" s="14" t="s">
        <v>758</v>
      </c>
      <c r="B179" s="17" t="s">
        <v>754</v>
      </c>
      <c r="C179" s="17" t="s">
        <v>759</v>
      </c>
      <c r="D179" s="19" t="s">
        <v>760</v>
      </c>
      <c r="E179" s="20" t="s">
        <v>702</v>
      </c>
      <c r="F179" s="21">
        <v>27937.0</v>
      </c>
      <c r="G179" s="14">
        <v>50.0</v>
      </c>
      <c r="H179" s="23" t="s">
        <v>26</v>
      </c>
      <c r="I179" s="24" t="s">
        <v>27</v>
      </c>
      <c r="J179" s="19" t="s">
        <v>757</v>
      </c>
      <c r="K179" s="14">
        <v>10.0</v>
      </c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>
      <c r="A180" s="14" t="s">
        <v>761</v>
      </c>
      <c r="B180" s="17" t="s">
        <v>754</v>
      </c>
      <c r="C180" s="17" t="s">
        <v>762</v>
      </c>
      <c r="D180" s="19" t="s">
        <v>763</v>
      </c>
      <c r="E180" s="20" t="s">
        <v>764</v>
      </c>
      <c r="F180" s="21">
        <v>26824.0</v>
      </c>
      <c r="G180" s="14">
        <v>53.0</v>
      </c>
      <c r="H180" s="23" t="s">
        <v>26</v>
      </c>
      <c r="I180" s="24" t="s">
        <v>33</v>
      </c>
      <c r="J180" s="19" t="s">
        <v>757</v>
      </c>
      <c r="K180" s="14">
        <v>10.0</v>
      </c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>
      <c r="A181" s="14" t="s">
        <v>765</v>
      </c>
      <c r="B181" s="17" t="s">
        <v>766</v>
      </c>
      <c r="C181" s="17" t="s">
        <v>767</v>
      </c>
      <c r="D181" s="19" t="s">
        <v>768</v>
      </c>
      <c r="E181" s="20" t="s">
        <v>769</v>
      </c>
      <c r="F181" s="21">
        <v>37676.0</v>
      </c>
      <c r="G181" s="14">
        <v>23.0</v>
      </c>
      <c r="H181" s="23" t="s">
        <v>100</v>
      </c>
      <c r="I181" s="24" t="s">
        <v>27</v>
      </c>
      <c r="J181" s="19" t="s">
        <v>68</v>
      </c>
      <c r="K181" s="14">
        <v>29.0</v>
      </c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>
      <c r="A182" s="14" t="s">
        <v>770</v>
      </c>
      <c r="B182" s="17" t="s">
        <v>766</v>
      </c>
      <c r="C182" s="17" t="s">
        <v>771</v>
      </c>
      <c r="D182" s="19" t="s">
        <v>772</v>
      </c>
      <c r="E182" s="20" t="s">
        <v>210</v>
      </c>
      <c r="F182" s="21">
        <v>27871.0</v>
      </c>
      <c r="G182" s="14">
        <v>50.0</v>
      </c>
      <c r="H182" s="23" t="s">
        <v>26</v>
      </c>
      <c r="I182" s="24" t="s">
        <v>33</v>
      </c>
      <c r="J182" s="19" t="s">
        <v>68</v>
      </c>
      <c r="K182" s="14">
        <v>29.0</v>
      </c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>
      <c r="A183" s="14" t="s">
        <v>773</v>
      </c>
      <c r="B183" s="17" t="s">
        <v>766</v>
      </c>
      <c r="C183" s="17" t="s">
        <v>774</v>
      </c>
      <c r="D183" s="19" t="s">
        <v>775</v>
      </c>
      <c r="E183" s="20" t="s">
        <v>104</v>
      </c>
      <c r="F183" s="27">
        <v>39010.0</v>
      </c>
      <c r="G183" s="14">
        <v>19.0</v>
      </c>
      <c r="H183" s="23" t="s">
        <v>100</v>
      </c>
      <c r="I183" s="24" t="s">
        <v>27</v>
      </c>
      <c r="J183" s="19" t="s">
        <v>68</v>
      </c>
      <c r="K183" s="14">
        <v>29.0</v>
      </c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>
      <c r="A184" s="14" t="s">
        <v>776</v>
      </c>
      <c r="B184" s="17" t="s">
        <v>766</v>
      </c>
      <c r="C184" s="17" t="s">
        <v>777</v>
      </c>
      <c r="D184" s="19" t="s">
        <v>778</v>
      </c>
      <c r="E184" s="20" t="s">
        <v>104</v>
      </c>
      <c r="F184" s="21">
        <v>29443.0</v>
      </c>
      <c r="G184" s="14">
        <v>46.0</v>
      </c>
      <c r="H184" s="23" t="s">
        <v>26</v>
      </c>
      <c r="I184" s="24" t="s">
        <v>27</v>
      </c>
      <c r="J184" s="19" t="s">
        <v>68</v>
      </c>
      <c r="K184" s="14">
        <v>29.0</v>
      </c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>
      <c r="A185" s="14" t="s">
        <v>779</v>
      </c>
      <c r="B185" s="17" t="s">
        <v>780</v>
      </c>
      <c r="C185" s="17" t="s">
        <v>781</v>
      </c>
      <c r="D185" s="19" t="s">
        <v>782</v>
      </c>
      <c r="E185" s="20" t="s">
        <v>53</v>
      </c>
      <c r="F185" s="21">
        <v>36049.0</v>
      </c>
      <c r="G185" s="14">
        <v>27.0</v>
      </c>
      <c r="H185" s="23" t="s">
        <v>26</v>
      </c>
      <c r="I185" s="24" t="s">
        <v>27</v>
      </c>
      <c r="J185" s="19" t="s">
        <v>783</v>
      </c>
      <c r="K185" s="14">
        <v>20.0</v>
      </c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>
      <c r="A186" s="14" t="s">
        <v>784</v>
      </c>
      <c r="B186" s="17" t="s">
        <v>780</v>
      </c>
      <c r="C186" s="17" t="s">
        <v>785</v>
      </c>
      <c r="D186" s="19" t="s">
        <v>786</v>
      </c>
      <c r="E186" s="20" t="s">
        <v>210</v>
      </c>
      <c r="F186" s="21">
        <v>32564.0</v>
      </c>
      <c r="G186" s="14">
        <v>37.0</v>
      </c>
      <c r="H186" s="23" t="s">
        <v>26</v>
      </c>
      <c r="I186" s="24" t="s">
        <v>33</v>
      </c>
      <c r="J186" s="19" t="s">
        <v>783</v>
      </c>
      <c r="K186" s="14">
        <v>20.0</v>
      </c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>
      <c r="A187" s="14" t="s">
        <v>787</v>
      </c>
      <c r="B187" s="17" t="s">
        <v>788</v>
      </c>
      <c r="C187" s="17" t="s">
        <v>789</v>
      </c>
      <c r="D187" s="19" t="s">
        <v>790</v>
      </c>
      <c r="E187" s="20" t="s">
        <v>403</v>
      </c>
      <c r="F187" s="21">
        <v>29363.0</v>
      </c>
      <c r="G187" s="14">
        <v>46.0</v>
      </c>
      <c r="H187" s="23" t="s">
        <v>26</v>
      </c>
      <c r="I187" s="24" t="s">
        <v>33</v>
      </c>
      <c r="J187" s="19" t="s">
        <v>68</v>
      </c>
      <c r="K187" s="14">
        <v>35.0</v>
      </c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>
      <c r="A188" s="14" t="s">
        <v>791</v>
      </c>
      <c r="B188" s="17" t="s">
        <v>788</v>
      </c>
      <c r="C188" s="17" t="s">
        <v>792</v>
      </c>
      <c r="D188" s="19" t="s">
        <v>793</v>
      </c>
      <c r="E188" s="20" t="s">
        <v>104</v>
      </c>
      <c r="F188" s="21">
        <v>32781.0</v>
      </c>
      <c r="G188" s="14">
        <v>36.0</v>
      </c>
      <c r="H188" s="23" t="s">
        <v>26</v>
      </c>
      <c r="I188" s="24" t="s">
        <v>27</v>
      </c>
      <c r="J188" s="19" t="s">
        <v>68</v>
      </c>
      <c r="K188" s="14">
        <v>35.0</v>
      </c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>
      <c r="A189" s="14" t="s">
        <v>794</v>
      </c>
      <c r="B189" s="17" t="s">
        <v>795</v>
      </c>
      <c r="C189" s="17" t="s">
        <v>796</v>
      </c>
      <c r="D189" s="19" t="s">
        <v>797</v>
      </c>
      <c r="E189" s="20" t="s">
        <v>798</v>
      </c>
      <c r="F189" s="21">
        <v>21858.0</v>
      </c>
      <c r="G189" s="14">
        <v>66.0</v>
      </c>
      <c r="H189" s="23" t="s">
        <v>26</v>
      </c>
      <c r="I189" s="24" t="s">
        <v>33</v>
      </c>
      <c r="J189" s="19" t="s">
        <v>206</v>
      </c>
      <c r="K189" s="14">
        <v>10.0</v>
      </c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>
      <c r="A190" s="14" t="s">
        <v>799</v>
      </c>
      <c r="B190" s="17" t="s">
        <v>795</v>
      </c>
      <c r="C190" s="17" t="s">
        <v>800</v>
      </c>
      <c r="D190" s="19" t="s">
        <v>801</v>
      </c>
      <c r="E190" s="20" t="s">
        <v>802</v>
      </c>
      <c r="F190" s="27">
        <v>21894.0</v>
      </c>
      <c r="G190" s="14">
        <v>66.0</v>
      </c>
      <c r="H190" s="23" t="s">
        <v>26</v>
      </c>
      <c r="I190" s="24" t="s">
        <v>27</v>
      </c>
      <c r="J190" s="19" t="s">
        <v>206</v>
      </c>
      <c r="K190" s="14">
        <v>10.0</v>
      </c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>
      <c r="A191" s="14" t="s">
        <v>803</v>
      </c>
      <c r="B191" s="17" t="s">
        <v>804</v>
      </c>
      <c r="C191" s="17" t="s">
        <v>805</v>
      </c>
      <c r="D191" s="19" t="s">
        <v>806</v>
      </c>
      <c r="E191" s="20" t="s">
        <v>210</v>
      </c>
      <c r="F191" s="21">
        <v>33068.0</v>
      </c>
      <c r="G191" s="14">
        <v>36.0</v>
      </c>
      <c r="H191" s="23" t="s">
        <v>26</v>
      </c>
      <c r="I191" s="24" t="s">
        <v>27</v>
      </c>
      <c r="J191" s="19" t="s">
        <v>68</v>
      </c>
      <c r="K191" s="14">
        <v>32.0</v>
      </c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>
      <c r="A192" s="14" t="s">
        <v>807</v>
      </c>
      <c r="B192" s="17" t="s">
        <v>804</v>
      </c>
      <c r="C192" s="17" t="s">
        <v>808</v>
      </c>
      <c r="D192" s="19" t="s">
        <v>809</v>
      </c>
      <c r="E192" s="20" t="s">
        <v>210</v>
      </c>
      <c r="F192" s="21">
        <v>30046.0</v>
      </c>
      <c r="G192" s="14">
        <v>44.0</v>
      </c>
      <c r="H192" s="23" t="s">
        <v>26</v>
      </c>
      <c r="I192" s="24" t="s">
        <v>33</v>
      </c>
      <c r="J192" s="19" t="s">
        <v>68</v>
      </c>
      <c r="K192" s="14">
        <v>32.0</v>
      </c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>
      <c r="A193" s="14" t="s">
        <v>810</v>
      </c>
      <c r="B193" s="17" t="s">
        <v>811</v>
      </c>
      <c r="C193" s="17" t="s">
        <v>812</v>
      </c>
      <c r="D193" s="19" t="s">
        <v>813</v>
      </c>
      <c r="E193" s="20" t="s">
        <v>814</v>
      </c>
      <c r="F193" s="21">
        <v>35307.0</v>
      </c>
      <c r="G193" s="14">
        <v>30.0</v>
      </c>
      <c r="H193" s="23" t="s">
        <v>26</v>
      </c>
      <c r="I193" s="24" t="s">
        <v>27</v>
      </c>
      <c r="J193" s="19" t="s">
        <v>53</v>
      </c>
      <c r="K193" s="14">
        <v>8.0</v>
      </c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>
      <c r="A194" s="14" t="s">
        <v>815</v>
      </c>
      <c r="B194" s="17" t="s">
        <v>811</v>
      </c>
      <c r="C194" s="17" t="s">
        <v>816</v>
      </c>
      <c r="D194" s="19" t="s">
        <v>817</v>
      </c>
      <c r="E194" s="20" t="s">
        <v>104</v>
      </c>
      <c r="F194" s="21">
        <v>35596.0</v>
      </c>
      <c r="G194" s="14">
        <v>29.0</v>
      </c>
      <c r="H194" s="23" t="s">
        <v>26</v>
      </c>
      <c r="I194" s="24" t="s">
        <v>33</v>
      </c>
      <c r="J194" s="19" t="s">
        <v>53</v>
      </c>
      <c r="K194" s="14">
        <v>8.0</v>
      </c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>
      <c r="A195" s="14" t="s">
        <v>818</v>
      </c>
      <c r="B195" s="17" t="s">
        <v>819</v>
      </c>
      <c r="C195" s="17" t="s">
        <v>820</v>
      </c>
      <c r="D195" s="19" t="s">
        <v>821</v>
      </c>
      <c r="E195" s="20" t="s">
        <v>822</v>
      </c>
      <c r="F195" s="21">
        <v>26826.0</v>
      </c>
      <c r="G195" s="14">
        <v>53.0</v>
      </c>
      <c r="H195" s="23" t="s">
        <v>26</v>
      </c>
      <c r="I195" s="24" t="s">
        <v>33</v>
      </c>
      <c r="J195" s="19" t="s">
        <v>68</v>
      </c>
      <c r="K195" s="14">
        <v>28.0</v>
      </c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>
      <c r="A196" s="14" t="s">
        <v>823</v>
      </c>
      <c r="B196" s="17" t="s">
        <v>819</v>
      </c>
      <c r="C196" s="17" t="s">
        <v>824</v>
      </c>
      <c r="D196" s="19" t="s">
        <v>825</v>
      </c>
      <c r="E196" s="20" t="s">
        <v>502</v>
      </c>
      <c r="F196" s="27">
        <v>29947.0</v>
      </c>
      <c r="G196" s="14">
        <v>44.0</v>
      </c>
      <c r="H196" s="23" t="s">
        <v>26</v>
      </c>
      <c r="I196" s="24" t="s">
        <v>27</v>
      </c>
      <c r="J196" s="19" t="s">
        <v>68</v>
      </c>
      <c r="K196" s="14">
        <v>28.0</v>
      </c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>
      <c r="A197" s="14" t="s">
        <v>826</v>
      </c>
      <c r="B197" s="17" t="s">
        <v>819</v>
      </c>
      <c r="C197" s="17" t="s">
        <v>827</v>
      </c>
      <c r="D197" s="19" t="s">
        <v>828</v>
      </c>
      <c r="E197" s="20" t="s">
        <v>502</v>
      </c>
      <c r="F197" s="21">
        <v>38793.0</v>
      </c>
      <c r="G197" s="14">
        <v>20.0</v>
      </c>
      <c r="H197" s="23" t="s">
        <v>100</v>
      </c>
      <c r="I197" s="24" t="s">
        <v>33</v>
      </c>
      <c r="J197" s="19" t="s">
        <v>68</v>
      </c>
      <c r="K197" s="14">
        <v>28.0</v>
      </c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>
      <c r="A198" s="14" t="s">
        <v>829</v>
      </c>
      <c r="B198" s="17" t="s">
        <v>830</v>
      </c>
      <c r="C198" s="17" t="s">
        <v>831</v>
      </c>
      <c r="D198" s="19" t="s">
        <v>832</v>
      </c>
      <c r="E198" s="20" t="s">
        <v>104</v>
      </c>
      <c r="F198" s="21">
        <v>39210.0</v>
      </c>
      <c r="G198" s="14">
        <v>19.0</v>
      </c>
      <c r="H198" s="23" t="s">
        <v>100</v>
      </c>
      <c r="I198" s="24" t="s">
        <v>27</v>
      </c>
      <c r="J198" s="19" t="s">
        <v>257</v>
      </c>
      <c r="K198" s="14">
        <v>7.0</v>
      </c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>
      <c r="A199" s="14" t="s">
        <v>833</v>
      </c>
      <c r="B199" s="17" t="s">
        <v>830</v>
      </c>
      <c r="C199" s="17" t="s">
        <v>834</v>
      </c>
      <c r="D199" s="19" t="s">
        <v>835</v>
      </c>
      <c r="E199" s="20" t="s">
        <v>836</v>
      </c>
      <c r="F199" s="21">
        <v>29739.0</v>
      </c>
      <c r="G199" s="14">
        <v>45.0</v>
      </c>
      <c r="H199" s="23" t="s">
        <v>26</v>
      </c>
      <c r="I199" s="24" t="s">
        <v>27</v>
      </c>
      <c r="J199" s="19" t="s">
        <v>257</v>
      </c>
      <c r="K199" s="14">
        <v>7.0</v>
      </c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>
      <c r="A200" s="14" t="s">
        <v>837</v>
      </c>
      <c r="B200" s="17" t="s">
        <v>830</v>
      </c>
      <c r="C200" s="17" t="s">
        <v>838</v>
      </c>
      <c r="D200" s="19" t="s">
        <v>839</v>
      </c>
      <c r="E200" s="20" t="s">
        <v>274</v>
      </c>
      <c r="F200" s="21">
        <v>36274.0</v>
      </c>
      <c r="G200" s="14">
        <v>27.0</v>
      </c>
      <c r="H200" s="23" t="s">
        <v>26</v>
      </c>
      <c r="I200" s="24" t="s">
        <v>33</v>
      </c>
      <c r="J200" s="19" t="s">
        <v>257</v>
      </c>
      <c r="K200" s="14">
        <v>7.0</v>
      </c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>
      <c r="A201" s="14" t="s">
        <v>840</v>
      </c>
      <c r="B201" s="17" t="s">
        <v>830</v>
      </c>
      <c r="C201" s="17" t="s">
        <v>841</v>
      </c>
      <c r="D201" s="19" t="s">
        <v>842</v>
      </c>
      <c r="E201" s="20" t="s">
        <v>290</v>
      </c>
      <c r="F201" s="21">
        <v>25797.0</v>
      </c>
      <c r="G201" s="14">
        <v>56.0</v>
      </c>
      <c r="H201" s="23" t="s">
        <v>26</v>
      </c>
      <c r="I201" s="24" t="s">
        <v>33</v>
      </c>
      <c r="J201" s="19" t="s">
        <v>257</v>
      </c>
      <c r="K201" s="14">
        <v>7.0</v>
      </c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>
      <c r="A202" s="14" t="s">
        <v>843</v>
      </c>
      <c r="B202" s="17" t="s">
        <v>830</v>
      </c>
      <c r="C202" s="17" t="s">
        <v>844</v>
      </c>
      <c r="D202" s="19" t="s">
        <v>845</v>
      </c>
      <c r="E202" s="20" t="s">
        <v>846</v>
      </c>
      <c r="F202" s="21">
        <v>37472.0</v>
      </c>
      <c r="G202" s="14">
        <v>24.0</v>
      </c>
      <c r="H202" s="23" t="s">
        <v>100</v>
      </c>
      <c r="I202" s="24" t="s">
        <v>33</v>
      </c>
      <c r="J202" s="19" t="s">
        <v>257</v>
      </c>
      <c r="K202" s="14">
        <v>7.0</v>
      </c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>
      <c r="A203" s="14" t="s">
        <v>847</v>
      </c>
      <c r="B203" s="17" t="s">
        <v>830</v>
      </c>
      <c r="C203" s="17" t="s">
        <v>848</v>
      </c>
      <c r="D203" s="19" t="s">
        <v>849</v>
      </c>
      <c r="E203" s="20" t="s">
        <v>104</v>
      </c>
      <c r="F203" s="21">
        <v>38293.0</v>
      </c>
      <c r="G203" s="14">
        <v>21.0</v>
      </c>
      <c r="H203" s="23" t="s">
        <v>100</v>
      </c>
      <c r="I203" s="24" t="s">
        <v>27</v>
      </c>
      <c r="J203" s="19" t="s">
        <v>257</v>
      </c>
      <c r="K203" s="14">
        <v>7.0</v>
      </c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>
      <c r="A204" s="14" t="s">
        <v>850</v>
      </c>
      <c r="B204" s="17" t="s">
        <v>851</v>
      </c>
      <c r="C204" s="17" t="s">
        <v>852</v>
      </c>
      <c r="D204" s="19" t="s">
        <v>853</v>
      </c>
      <c r="E204" s="20" t="s">
        <v>67</v>
      </c>
      <c r="F204" s="21">
        <v>22170.0</v>
      </c>
      <c r="G204" s="14">
        <v>65.0</v>
      </c>
      <c r="H204" s="23" t="s">
        <v>27</v>
      </c>
      <c r="I204" s="24" t="s">
        <v>27</v>
      </c>
      <c r="J204" s="19" t="s">
        <v>53</v>
      </c>
      <c r="K204" s="14">
        <v>32.0</v>
      </c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>
      <c r="A205" s="14" t="s">
        <v>854</v>
      </c>
      <c r="B205" s="17" t="s">
        <v>855</v>
      </c>
      <c r="C205" s="17" t="s">
        <v>856</v>
      </c>
      <c r="D205" s="19" t="s">
        <v>857</v>
      </c>
      <c r="E205" s="20" t="s">
        <v>858</v>
      </c>
      <c r="F205" s="21">
        <v>38856.0</v>
      </c>
      <c r="G205" s="14">
        <v>20.0</v>
      </c>
      <c r="H205" s="23" t="s">
        <v>100</v>
      </c>
      <c r="I205" s="24" t="s">
        <v>33</v>
      </c>
      <c r="J205" s="19" t="s">
        <v>53</v>
      </c>
      <c r="K205" s="14">
        <v>17.0</v>
      </c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>
      <c r="A206" s="14" t="s">
        <v>859</v>
      </c>
      <c r="B206" s="17" t="s">
        <v>855</v>
      </c>
      <c r="C206" s="17" t="s">
        <v>860</v>
      </c>
      <c r="D206" s="19" t="s">
        <v>861</v>
      </c>
      <c r="E206" s="20" t="s">
        <v>544</v>
      </c>
      <c r="F206" s="21">
        <v>23407.0</v>
      </c>
      <c r="G206" s="14">
        <v>62.0</v>
      </c>
      <c r="H206" s="23" t="s">
        <v>27</v>
      </c>
      <c r="I206" s="24" t="s">
        <v>27</v>
      </c>
      <c r="J206" s="19" t="s">
        <v>53</v>
      </c>
      <c r="K206" s="14">
        <v>17.0</v>
      </c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>
      <c r="A207" s="14" t="s">
        <v>862</v>
      </c>
      <c r="B207" s="17" t="s">
        <v>863</v>
      </c>
      <c r="C207" s="17" t="s">
        <v>864</v>
      </c>
      <c r="D207" s="19" t="s">
        <v>865</v>
      </c>
      <c r="E207" s="20" t="s">
        <v>666</v>
      </c>
      <c r="F207" s="21">
        <v>25028.0</v>
      </c>
      <c r="G207" s="14">
        <v>58.0</v>
      </c>
      <c r="H207" s="23" t="s">
        <v>26</v>
      </c>
      <c r="I207" s="24" t="s">
        <v>33</v>
      </c>
      <c r="J207" s="19" t="s">
        <v>146</v>
      </c>
      <c r="K207" s="14">
        <v>3.0</v>
      </c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>
      <c r="A208" s="14" t="s">
        <v>866</v>
      </c>
      <c r="B208" s="17" t="s">
        <v>863</v>
      </c>
      <c r="C208" s="17" t="s">
        <v>867</v>
      </c>
      <c r="D208" s="19" t="s">
        <v>868</v>
      </c>
      <c r="E208" s="20" t="s">
        <v>53</v>
      </c>
      <c r="F208" s="21">
        <v>37451.0</v>
      </c>
      <c r="G208" s="14">
        <v>24.0</v>
      </c>
      <c r="H208" s="23" t="s">
        <v>100</v>
      </c>
      <c r="I208" s="24" t="s">
        <v>33</v>
      </c>
      <c r="J208" s="19" t="s">
        <v>146</v>
      </c>
      <c r="K208" s="14">
        <v>3.0</v>
      </c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>
      <c r="A209" s="14" t="s">
        <v>869</v>
      </c>
      <c r="B209" s="17" t="s">
        <v>863</v>
      </c>
      <c r="C209" s="17" t="s">
        <v>870</v>
      </c>
      <c r="D209" s="19" t="s">
        <v>871</v>
      </c>
      <c r="E209" s="20" t="s">
        <v>666</v>
      </c>
      <c r="F209" s="21">
        <v>25829.0</v>
      </c>
      <c r="G209" s="14">
        <v>55.0</v>
      </c>
      <c r="H209" s="23" t="s">
        <v>26</v>
      </c>
      <c r="I209" s="24" t="s">
        <v>27</v>
      </c>
      <c r="J209" s="19" t="s">
        <v>146</v>
      </c>
      <c r="K209" s="14">
        <v>3.0</v>
      </c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>
      <c r="A210" s="14" t="s">
        <v>872</v>
      </c>
      <c r="B210" s="17" t="s">
        <v>873</v>
      </c>
      <c r="C210" s="17" t="s">
        <v>874</v>
      </c>
      <c r="D210" s="19" t="s">
        <v>875</v>
      </c>
      <c r="E210" s="20" t="s">
        <v>876</v>
      </c>
      <c r="F210" s="21">
        <v>38242.0</v>
      </c>
      <c r="G210" s="14">
        <v>21.0</v>
      </c>
      <c r="H210" s="23" t="s">
        <v>100</v>
      </c>
      <c r="I210" s="24" t="s">
        <v>27</v>
      </c>
      <c r="J210" s="19" t="s">
        <v>146</v>
      </c>
      <c r="K210" s="14">
        <v>3.0</v>
      </c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>
      <c r="A211" s="14" t="s">
        <v>877</v>
      </c>
      <c r="B211" s="17" t="s">
        <v>873</v>
      </c>
      <c r="C211" s="17" t="s">
        <v>878</v>
      </c>
      <c r="D211" s="19" t="s">
        <v>879</v>
      </c>
      <c r="E211" s="20" t="s">
        <v>880</v>
      </c>
      <c r="F211" s="21">
        <v>23712.0</v>
      </c>
      <c r="G211" s="14">
        <v>61.0</v>
      </c>
      <c r="H211" s="23" t="s">
        <v>26</v>
      </c>
      <c r="I211" s="24" t="s">
        <v>33</v>
      </c>
      <c r="J211" s="19" t="s">
        <v>146</v>
      </c>
      <c r="K211" s="14">
        <v>3.0</v>
      </c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>
      <c r="A212" s="14" t="s">
        <v>881</v>
      </c>
      <c r="B212" s="17" t="s">
        <v>873</v>
      </c>
      <c r="C212" s="17" t="s">
        <v>882</v>
      </c>
      <c r="D212" s="19" t="s">
        <v>883</v>
      </c>
      <c r="E212" s="20" t="s">
        <v>880</v>
      </c>
      <c r="F212" s="21">
        <v>25064.0</v>
      </c>
      <c r="G212" s="14">
        <v>58.0</v>
      </c>
      <c r="H212" s="23" t="s">
        <v>26</v>
      </c>
      <c r="I212" s="24" t="s">
        <v>27</v>
      </c>
      <c r="J212" s="19" t="s">
        <v>146</v>
      </c>
      <c r="K212" s="14">
        <v>3.0</v>
      </c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>
      <c r="A213" s="14" t="s">
        <v>884</v>
      </c>
      <c r="B213" s="17" t="s">
        <v>885</v>
      </c>
      <c r="C213" s="17" t="s">
        <v>886</v>
      </c>
      <c r="D213" s="19" t="s">
        <v>887</v>
      </c>
      <c r="E213" s="20" t="s">
        <v>654</v>
      </c>
      <c r="F213" s="21">
        <v>21681.0</v>
      </c>
      <c r="G213" s="14">
        <v>67.0</v>
      </c>
      <c r="H213" s="23" t="s">
        <v>26</v>
      </c>
      <c r="I213" s="24" t="s">
        <v>33</v>
      </c>
      <c r="J213" s="19" t="s">
        <v>328</v>
      </c>
      <c r="K213" s="14">
        <v>20.0</v>
      </c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>
      <c r="A214" s="14" t="s">
        <v>888</v>
      </c>
      <c r="B214" s="17" t="s">
        <v>885</v>
      </c>
      <c r="C214" s="17" t="s">
        <v>889</v>
      </c>
      <c r="D214" s="19" t="s">
        <v>661</v>
      </c>
      <c r="E214" s="20" t="s">
        <v>890</v>
      </c>
      <c r="F214" s="21">
        <v>24839.0</v>
      </c>
      <c r="G214" s="14">
        <v>58.0</v>
      </c>
      <c r="H214" s="23" t="s">
        <v>26</v>
      </c>
      <c r="I214" s="24" t="s">
        <v>27</v>
      </c>
      <c r="J214" s="19" t="s">
        <v>328</v>
      </c>
      <c r="K214" s="14">
        <v>20.0</v>
      </c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>
      <c r="A215" s="14" t="s">
        <v>891</v>
      </c>
      <c r="B215" s="17" t="s">
        <v>892</v>
      </c>
      <c r="C215" s="17" t="s">
        <v>893</v>
      </c>
      <c r="D215" s="19" t="s">
        <v>894</v>
      </c>
      <c r="E215" s="20" t="s">
        <v>104</v>
      </c>
      <c r="F215" s="27">
        <v>39033.0</v>
      </c>
      <c r="G215" s="14">
        <v>19.0</v>
      </c>
      <c r="H215" s="23" t="s">
        <v>100</v>
      </c>
      <c r="I215" s="24" t="s">
        <v>27</v>
      </c>
      <c r="J215" s="19" t="s">
        <v>895</v>
      </c>
      <c r="K215" s="14">
        <v>21.0</v>
      </c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>
      <c r="A216" s="14" t="s">
        <v>896</v>
      </c>
      <c r="B216" s="17" t="s">
        <v>892</v>
      </c>
      <c r="C216" s="17" t="s">
        <v>897</v>
      </c>
      <c r="D216" s="19" t="s">
        <v>898</v>
      </c>
      <c r="E216" s="20" t="s">
        <v>654</v>
      </c>
      <c r="F216" s="21">
        <v>22098.0</v>
      </c>
      <c r="G216" s="14">
        <v>66.0</v>
      </c>
      <c r="H216" s="23" t="s">
        <v>26</v>
      </c>
      <c r="I216" s="24" t="s">
        <v>27</v>
      </c>
      <c r="J216" s="19" t="s">
        <v>895</v>
      </c>
      <c r="K216" s="14">
        <v>21.0</v>
      </c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>
      <c r="A217" s="14" t="s">
        <v>899</v>
      </c>
      <c r="B217" s="17" t="s">
        <v>892</v>
      </c>
      <c r="C217" s="17" t="s">
        <v>900</v>
      </c>
      <c r="D217" s="19" t="s">
        <v>901</v>
      </c>
      <c r="E217" s="20" t="s">
        <v>654</v>
      </c>
      <c r="F217" s="21">
        <v>20271.0</v>
      </c>
      <c r="G217" s="14">
        <v>71.0</v>
      </c>
      <c r="H217" s="23" t="s">
        <v>26</v>
      </c>
      <c r="I217" s="24" t="s">
        <v>33</v>
      </c>
      <c r="J217" s="19" t="s">
        <v>895</v>
      </c>
      <c r="K217" s="14">
        <v>21.0</v>
      </c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>
      <c r="A218" s="14" t="s">
        <v>902</v>
      </c>
      <c r="B218" s="17" t="s">
        <v>903</v>
      </c>
      <c r="C218" s="17" t="s">
        <v>904</v>
      </c>
      <c r="D218" s="19" t="s">
        <v>905</v>
      </c>
      <c r="E218" s="20" t="s">
        <v>632</v>
      </c>
      <c r="F218" s="21">
        <v>19469.0</v>
      </c>
      <c r="G218" s="14">
        <v>73.0</v>
      </c>
      <c r="H218" s="23" t="s">
        <v>26</v>
      </c>
      <c r="I218" s="24" t="s">
        <v>33</v>
      </c>
      <c r="J218" s="19" t="s">
        <v>328</v>
      </c>
      <c r="K218" s="14">
        <v>22.0</v>
      </c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>
      <c r="A219" s="14" t="s">
        <v>906</v>
      </c>
      <c r="B219" s="17" t="s">
        <v>903</v>
      </c>
      <c r="C219" s="17" t="s">
        <v>907</v>
      </c>
      <c r="D219" s="19" t="s">
        <v>908</v>
      </c>
      <c r="E219" s="20" t="s">
        <v>632</v>
      </c>
      <c r="F219" s="21">
        <v>22408.0</v>
      </c>
      <c r="G219" s="14">
        <v>65.0</v>
      </c>
      <c r="H219" s="23" t="s">
        <v>26</v>
      </c>
      <c r="I219" s="24" t="s">
        <v>27</v>
      </c>
      <c r="J219" s="19" t="s">
        <v>328</v>
      </c>
      <c r="K219" s="14">
        <v>22.0</v>
      </c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>
      <c r="A220" s="14" t="s">
        <v>909</v>
      </c>
      <c r="B220" s="17" t="s">
        <v>910</v>
      </c>
      <c r="C220" s="17" t="s">
        <v>911</v>
      </c>
      <c r="D220" s="19" t="s">
        <v>912</v>
      </c>
      <c r="E220" s="20" t="s">
        <v>104</v>
      </c>
      <c r="F220" s="27">
        <v>34263.0</v>
      </c>
      <c r="G220" s="14">
        <v>32.0</v>
      </c>
      <c r="H220" s="23" t="s">
        <v>26</v>
      </c>
      <c r="I220" s="24" t="s">
        <v>27</v>
      </c>
      <c r="J220" s="19" t="s">
        <v>53</v>
      </c>
      <c r="K220" s="14">
        <v>15.0</v>
      </c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>
      <c r="A221" s="14" t="s">
        <v>913</v>
      </c>
      <c r="B221" s="17" t="s">
        <v>910</v>
      </c>
      <c r="C221" s="17" t="s">
        <v>914</v>
      </c>
      <c r="D221" s="19" t="s">
        <v>915</v>
      </c>
      <c r="E221" s="20" t="s">
        <v>53</v>
      </c>
      <c r="F221" s="21">
        <v>32891.0</v>
      </c>
      <c r="G221" s="14">
        <v>36.0</v>
      </c>
      <c r="H221" s="23" t="s">
        <v>26</v>
      </c>
      <c r="I221" s="24" t="s">
        <v>33</v>
      </c>
      <c r="J221" s="19" t="s">
        <v>53</v>
      </c>
      <c r="K221" s="14">
        <v>15.0</v>
      </c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>
      <c r="A222" s="14" t="s">
        <v>916</v>
      </c>
      <c r="B222" s="17" t="s">
        <v>917</v>
      </c>
      <c r="C222" s="17" t="s">
        <v>918</v>
      </c>
      <c r="D222" s="19" t="s">
        <v>919</v>
      </c>
      <c r="E222" s="20" t="s">
        <v>187</v>
      </c>
      <c r="F222" s="27">
        <v>34692.0</v>
      </c>
      <c r="G222" s="14">
        <v>31.0</v>
      </c>
      <c r="H222" s="23" t="s">
        <v>26</v>
      </c>
      <c r="I222" s="24" t="s">
        <v>33</v>
      </c>
      <c r="J222" s="19" t="s">
        <v>257</v>
      </c>
      <c r="K222" s="14">
        <v>9.0</v>
      </c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>
      <c r="A223" s="14" t="s">
        <v>920</v>
      </c>
      <c r="B223" s="17" t="s">
        <v>917</v>
      </c>
      <c r="C223" s="17" t="s">
        <v>921</v>
      </c>
      <c r="D223" s="19" t="s">
        <v>922</v>
      </c>
      <c r="E223" s="20" t="s">
        <v>923</v>
      </c>
      <c r="F223" s="21">
        <v>35531.0</v>
      </c>
      <c r="G223" s="14">
        <v>29.0</v>
      </c>
      <c r="H223" s="23" t="s">
        <v>26</v>
      </c>
      <c r="I223" s="24" t="s">
        <v>27</v>
      </c>
      <c r="J223" s="19" t="s">
        <v>257</v>
      </c>
      <c r="K223" s="14">
        <v>9.0</v>
      </c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>
      <c r="A224" s="14" t="s">
        <v>924</v>
      </c>
      <c r="B224" s="17" t="s">
        <v>925</v>
      </c>
      <c r="C224" s="17" t="s">
        <v>926</v>
      </c>
      <c r="D224" s="19" t="s">
        <v>927</v>
      </c>
      <c r="E224" s="20" t="s">
        <v>104</v>
      </c>
      <c r="F224" s="27">
        <v>35721.0</v>
      </c>
      <c r="G224" s="14">
        <v>28.0</v>
      </c>
      <c r="H224" s="23" t="s">
        <v>27</v>
      </c>
      <c r="I224" s="24" t="s">
        <v>33</v>
      </c>
      <c r="J224" s="19" t="s">
        <v>68</v>
      </c>
      <c r="K224" s="14">
        <v>30.0</v>
      </c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>
      <c r="A225" s="14" t="s">
        <v>928</v>
      </c>
      <c r="B225" s="17" t="s">
        <v>929</v>
      </c>
      <c r="C225" s="17" t="s">
        <v>930</v>
      </c>
      <c r="D225" s="19" t="s">
        <v>931</v>
      </c>
      <c r="E225" s="20" t="s">
        <v>650</v>
      </c>
      <c r="F225" s="21">
        <v>24305.0</v>
      </c>
      <c r="G225" s="14">
        <v>60.0</v>
      </c>
      <c r="H225" s="23" t="s">
        <v>26</v>
      </c>
      <c r="I225" s="24" t="s">
        <v>33</v>
      </c>
      <c r="J225" s="19" t="s">
        <v>257</v>
      </c>
      <c r="K225" s="14">
        <v>1.0</v>
      </c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>
      <c r="A226" s="14" t="s">
        <v>932</v>
      </c>
      <c r="B226" s="17" t="s">
        <v>929</v>
      </c>
      <c r="C226" s="17" t="s">
        <v>933</v>
      </c>
      <c r="D226" s="19" t="s">
        <v>934</v>
      </c>
      <c r="E226" s="20" t="s">
        <v>104</v>
      </c>
      <c r="F226" s="21">
        <v>29419.0</v>
      </c>
      <c r="G226" s="14">
        <v>46.0</v>
      </c>
      <c r="H226" s="23" t="s">
        <v>26</v>
      </c>
      <c r="I226" s="24" t="s">
        <v>27</v>
      </c>
      <c r="J226" s="19" t="s">
        <v>257</v>
      </c>
      <c r="K226" s="14">
        <v>1.0</v>
      </c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>
      <c r="A227" s="14" t="s">
        <v>935</v>
      </c>
      <c r="B227" s="17" t="s">
        <v>936</v>
      </c>
      <c r="C227" s="17" t="s">
        <v>937</v>
      </c>
      <c r="D227" s="19" t="s">
        <v>938</v>
      </c>
      <c r="E227" s="20" t="s">
        <v>650</v>
      </c>
      <c r="F227" s="21">
        <v>23940.0</v>
      </c>
      <c r="G227" s="14">
        <v>61.0</v>
      </c>
      <c r="H227" s="23" t="s">
        <v>26</v>
      </c>
      <c r="I227" s="24" t="s">
        <v>33</v>
      </c>
      <c r="J227" s="19" t="s">
        <v>939</v>
      </c>
      <c r="K227" s="14">
        <v>7.0</v>
      </c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>
      <c r="A228" s="14" t="s">
        <v>940</v>
      </c>
      <c r="B228" s="17" t="s">
        <v>936</v>
      </c>
      <c r="C228" s="17" t="s">
        <v>941</v>
      </c>
      <c r="D228" s="19" t="s">
        <v>942</v>
      </c>
      <c r="E228" s="20" t="s">
        <v>650</v>
      </c>
      <c r="F228" s="21">
        <v>26862.0</v>
      </c>
      <c r="G228" s="14">
        <v>53.0</v>
      </c>
      <c r="H228" s="23" t="s">
        <v>26</v>
      </c>
      <c r="I228" s="24" t="s">
        <v>27</v>
      </c>
      <c r="J228" s="19" t="s">
        <v>939</v>
      </c>
      <c r="K228" s="14">
        <v>7.0</v>
      </c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>
      <c r="A229" s="14" t="s">
        <v>943</v>
      </c>
      <c r="B229" s="17" t="s">
        <v>944</v>
      </c>
      <c r="C229" s="17" t="s">
        <v>945</v>
      </c>
      <c r="D229" s="19" t="s">
        <v>946</v>
      </c>
      <c r="E229" s="20" t="s">
        <v>290</v>
      </c>
      <c r="F229" s="21">
        <v>17000.0</v>
      </c>
      <c r="G229" s="14">
        <v>80.0</v>
      </c>
      <c r="H229" s="23" t="s">
        <v>26</v>
      </c>
      <c r="I229" s="24" t="s">
        <v>33</v>
      </c>
      <c r="J229" s="19" t="s">
        <v>939</v>
      </c>
      <c r="K229" s="14">
        <v>7.0</v>
      </c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>
      <c r="A230" s="14" t="s">
        <v>948</v>
      </c>
      <c r="B230" s="17" t="s">
        <v>944</v>
      </c>
      <c r="C230" s="17" t="s">
        <v>949</v>
      </c>
      <c r="D230" s="19" t="s">
        <v>950</v>
      </c>
      <c r="E230" s="20" t="s">
        <v>290</v>
      </c>
      <c r="F230" s="21">
        <v>19557.0</v>
      </c>
      <c r="G230" s="14">
        <v>73.0</v>
      </c>
      <c r="H230" s="23" t="s">
        <v>26</v>
      </c>
      <c r="I230" s="24" t="s">
        <v>27</v>
      </c>
      <c r="J230" s="19" t="s">
        <v>939</v>
      </c>
      <c r="K230" s="14">
        <v>7.0</v>
      </c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>
      <c r="A231" s="14" t="s">
        <v>951</v>
      </c>
      <c r="B231" s="17" t="s">
        <v>952</v>
      </c>
      <c r="C231" s="17" t="s">
        <v>953</v>
      </c>
      <c r="D231" s="19" t="s">
        <v>954</v>
      </c>
      <c r="E231" s="20" t="s">
        <v>104</v>
      </c>
      <c r="F231" s="21">
        <v>38035.0</v>
      </c>
      <c r="G231" s="14">
        <v>22.0</v>
      </c>
      <c r="H231" s="23" t="s">
        <v>100</v>
      </c>
      <c r="I231" s="24" t="s">
        <v>27</v>
      </c>
      <c r="J231" s="19" t="s">
        <v>939</v>
      </c>
      <c r="K231" s="14">
        <v>7.0</v>
      </c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>
      <c r="A232" s="14" t="s">
        <v>955</v>
      </c>
      <c r="B232" s="17" t="s">
        <v>952</v>
      </c>
      <c r="C232" s="17" t="s">
        <v>956</v>
      </c>
      <c r="D232" s="19" t="s">
        <v>957</v>
      </c>
      <c r="E232" s="20" t="s">
        <v>104</v>
      </c>
      <c r="F232" s="21">
        <v>28617.0</v>
      </c>
      <c r="G232" s="14">
        <v>48.0</v>
      </c>
      <c r="H232" s="23" t="s">
        <v>26</v>
      </c>
      <c r="I232" s="24" t="s">
        <v>33</v>
      </c>
      <c r="J232" s="19" t="s">
        <v>939</v>
      </c>
      <c r="K232" s="14">
        <v>7.0</v>
      </c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>
      <c r="A233" s="14" t="s">
        <v>958</v>
      </c>
      <c r="B233" s="17" t="s">
        <v>952</v>
      </c>
      <c r="C233" s="17" t="s">
        <v>959</v>
      </c>
      <c r="D233" s="19" t="s">
        <v>960</v>
      </c>
      <c r="E233" s="20" t="s">
        <v>104</v>
      </c>
      <c r="F233" s="21">
        <v>30104.0</v>
      </c>
      <c r="G233" s="14">
        <v>44.0</v>
      </c>
      <c r="H233" s="23" t="s">
        <v>26</v>
      </c>
      <c r="I233" s="24" t="s">
        <v>27</v>
      </c>
      <c r="J233" s="19" t="s">
        <v>939</v>
      </c>
      <c r="K233" s="14">
        <v>7.0</v>
      </c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>
      <c r="A234" s="14" t="s">
        <v>961</v>
      </c>
      <c r="B234" s="17" t="s">
        <v>962</v>
      </c>
      <c r="C234" s="17" t="s">
        <v>963</v>
      </c>
      <c r="D234" s="19" t="s">
        <v>964</v>
      </c>
      <c r="E234" s="20" t="s">
        <v>965</v>
      </c>
      <c r="F234" s="21">
        <v>29082.0</v>
      </c>
      <c r="G234" s="14">
        <v>47.0</v>
      </c>
      <c r="H234" s="23" t="s">
        <v>27</v>
      </c>
      <c r="I234" s="24" t="s">
        <v>27</v>
      </c>
      <c r="J234" s="19" t="s">
        <v>966</v>
      </c>
      <c r="K234" s="14">
        <v>17.0</v>
      </c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>
      <c r="A235" s="14" t="s">
        <v>967</v>
      </c>
      <c r="B235" s="17" t="s">
        <v>962</v>
      </c>
      <c r="C235" s="17" t="s">
        <v>968</v>
      </c>
      <c r="D235" s="19" t="s">
        <v>969</v>
      </c>
      <c r="E235" s="20" t="s">
        <v>104</v>
      </c>
      <c r="F235" s="21">
        <v>38734.0</v>
      </c>
      <c r="G235" s="14">
        <v>20.0</v>
      </c>
      <c r="H235" s="23" t="s">
        <v>100</v>
      </c>
      <c r="I235" s="24" t="s">
        <v>27</v>
      </c>
      <c r="J235" s="19" t="s">
        <v>966</v>
      </c>
      <c r="K235" s="14">
        <v>17.0</v>
      </c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>
      <c r="A236" s="14" t="s">
        <v>970</v>
      </c>
      <c r="B236" s="17" t="s">
        <v>971</v>
      </c>
      <c r="C236" s="17" t="s">
        <v>972</v>
      </c>
      <c r="D236" s="19" t="s">
        <v>460</v>
      </c>
      <c r="E236" s="20" t="s">
        <v>104</v>
      </c>
      <c r="F236" s="27">
        <v>32426.0</v>
      </c>
      <c r="G236" s="14">
        <v>37.0</v>
      </c>
      <c r="H236" s="23" t="s">
        <v>26</v>
      </c>
      <c r="I236" s="24" t="s">
        <v>33</v>
      </c>
      <c r="J236" s="19" t="s">
        <v>282</v>
      </c>
      <c r="K236" s="14">
        <v>12.0</v>
      </c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>
      <c r="A237" s="14" t="s">
        <v>973</v>
      </c>
      <c r="B237" s="17" t="s">
        <v>971</v>
      </c>
      <c r="C237" s="17" t="s">
        <v>974</v>
      </c>
      <c r="D237" s="19" t="s">
        <v>975</v>
      </c>
      <c r="E237" s="20" t="s">
        <v>104</v>
      </c>
      <c r="F237" s="21">
        <v>34168.0</v>
      </c>
      <c r="G237" s="14">
        <v>33.0</v>
      </c>
      <c r="H237" s="23" t="s">
        <v>26</v>
      </c>
      <c r="I237" s="24" t="s">
        <v>27</v>
      </c>
      <c r="J237" s="19" t="s">
        <v>282</v>
      </c>
      <c r="K237" s="14">
        <v>11.0</v>
      </c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>
      <c r="A238" s="14" t="s">
        <v>976</v>
      </c>
      <c r="B238" s="17" t="s">
        <v>977</v>
      </c>
      <c r="C238" s="17" t="s">
        <v>978</v>
      </c>
      <c r="D238" s="19" t="s">
        <v>979</v>
      </c>
      <c r="E238" s="20" t="s">
        <v>749</v>
      </c>
      <c r="F238" s="27">
        <v>24104.0</v>
      </c>
      <c r="G238" s="14">
        <v>60.0</v>
      </c>
      <c r="H238" s="23" t="s">
        <v>27</v>
      </c>
      <c r="I238" s="24" t="s">
        <v>27</v>
      </c>
      <c r="J238" s="19" t="s">
        <v>58</v>
      </c>
      <c r="K238" s="14">
        <v>8.0</v>
      </c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>
      <c r="A239" s="14" t="s">
        <v>980</v>
      </c>
      <c r="B239" s="17" t="s">
        <v>981</v>
      </c>
      <c r="C239" s="17" t="s">
        <v>982</v>
      </c>
      <c r="D239" s="19" t="s">
        <v>983</v>
      </c>
      <c r="E239" s="20" t="s">
        <v>984</v>
      </c>
      <c r="F239" s="27">
        <v>14896.0</v>
      </c>
      <c r="G239" s="14">
        <v>85.0</v>
      </c>
      <c r="H239" s="23" t="s">
        <v>27</v>
      </c>
      <c r="I239" s="24" t="s">
        <v>33</v>
      </c>
      <c r="J239" s="19" t="s">
        <v>58</v>
      </c>
      <c r="K239" s="14">
        <v>8.0</v>
      </c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>
      <c r="A240" s="14" t="s">
        <v>985</v>
      </c>
      <c r="B240" s="17" t="s">
        <v>986</v>
      </c>
      <c r="C240" s="17" t="s">
        <v>987</v>
      </c>
      <c r="D240" s="19" t="s">
        <v>988</v>
      </c>
      <c r="E240" s="20" t="s">
        <v>104</v>
      </c>
      <c r="F240" s="27">
        <v>31742.0</v>
      </c>
      <c r="G240" s="14">
        <v>39.0</v>
      </c>
      <c r="H240" s="23" t="s">
        <v>26</v>
      </c>
      <c r="I240" s="24" t="s">
        <v>27</v>
      </c>
      <c r="J240" s="19" t="s">
        <v>989</v>
      </c>
      <c r="K240" s="14">
        <v>1.0</v>
      </c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>
      <c r="A241" s="14" t="s">
        <v>990</v>
      </c>
      <c r="B241" s="17" t="s">
        <v>986</v>
      </c>
      <c r="C241" s="17" t="s">
        <v>991</v>
      </c>
      <c r="D241" s="19" t="s">
        <v>992</v>
      </c>
      <c r="E241" s="20" t="s">
        <v>993</v>
      </c>
      <c r="F241" s="21">
        <v>30055.0</v>
      </c>
      <c r="G241" s="14">
        <v>44.0</v>
      </c>
      <c r="H241" s="23" t="s">
        <v>26</v>
      </c>
      <c r="I241" s="24" t="s">
        <v>33</v>
      </c>
      <c r="J241" s="19" t="s">
        <v>989</v>
      </c>
      <c r="K241" s="14">
        <v>1.0</v>
      </c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>
      <c r="A242" s="14" t="s">
        <v>994</v>
      </c>
      <c r="B242" s="17" t="s">
        <v>986</v>
      </c>
      <c r="C242" s="17" t="s">
        <v>995</v>
      </c>
      <c r="D242" s="19" t="s">
        <v>996</v>
      </c>
      <c r="E242" s="20" t="s">
        <v>993</v>
      </c>
      <c r="F242" s="21">
        <v>38996.0</v>
      </c>
      <c r="G242" s="14">
        <v>19.0</v>
      </c>
      <c r="H242" s="23" t="s">
        <v>100</v>
      </c>
      <c r="I242" s="24" t="s">
        <v>27</v>
      </c>
      <c r="J242" s="19" t="s">
        <v>989</v>
      </c>
      <c r="K242" s="14">
        <v>1.0</v>
      </c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>
      <c r="A243" s="14" t="s">
        <v>997</v>
      </c>
      <c r="B243" s="17" t="s">
        <v>986</v>
      </c>
      <c r="C243" s="17" t="s">
        <v>998</v>
      </c>
      <c r="D243" s="19" t="s">
        <v>999</v>
      </c>
      <c r="E243" s="20" t="s">
        <v>993</v>
      </c>
      <c r="F243" s="21">
        <v>38996.0</v>
      </c>
      <c r="G243" s="14">
        <v>19.0</v>
      </c>
      <c r="H243" s="23" t="s">
        <v>100</v>
      </c>
      <c r="I243" s="24" t="s">
        <v>33</v>
      </c>
      <c r="J243" s="19" t="s">
        <v>989</v>
      </c>
      <c r="K243" s="14">
        <v>1.0</v>
      </c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>
      <c r="A244" s="14" t="s">
        <v>1000</v>
      </c>
      <c r="B244" s="17" t="s">
        <v>1001</v>
      </c>
      <c r="C244" s="17" t="s">
        <v>1002</v>
      </c>
      <c r="D244" s="19" t="s">
        <v>1003</v>
      </c>
      <c r="E244" s="20" t="s">
        <v>434</v>
      </c>
      <c r="F244" s="21">
        <v>32368.0</v>
      </c>
      <c r="G244" s="14">
        <v>38.0</v>
      </c>
      <c r="H244" s="23" t="s">
        <v>26</v>
      </c>
      <c r="I244" s="24" t="s">
        <v>33</v>
      </c>
      <c r="J244" s="19" t="s">
        <v>1004</v>
      </c>
      <c r="K244" s="14">
        <v>28.0</v>
      </c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>
      <c r="A245" s="14" t="s">
        <v>1005</v>
      </c>
      <c r="B245" s="17" t="s">
        <v>1001</v>
      </c>
      <c r="C245" s="17" t="s">
        <v>1006</v>
      </c>
      <c r="D245" s="19" t="s">
        <v>1007</v>
      </c>
      <c r="E245" s="20" t="s">
        <v>104</v>
      </c>
      <c r="F245" s="21">
        <v>33756.0</v>
      </c>
      <c r="G245" s="14">
        <v>34.0</v>
      </c>
      <c r="H245" s="23" t="s">
        <v>26</v>
      </c>
      <c r="I245" s="24" t="s">
        <v>27</v>
      </c>
      <c r="J245" s="19" t="s">
        <v>1004</v>
      </c>
      <c r="K245" s="14">
        <v>28.0</v>
      </c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>
      <c r="A246" s="14" t="s">
        <v>1008</v>
      </c>
      <c r="B246" s="17" t="s">
        <v>1009</v>
      </c>
      <c r="C246" s="17" t="s">
        <v>1010</v>
      </c>
      <c r="D246" s="19" t="s">
        <v>1011</v>
      </c>
      <c r="E246" s="20" t="s">
        <v>53</v>
      </c>
      <c r="F246" s="27">
        <v>38288.0</v>
      </c>
      <c r="G246" s="14">
        <v>21.0</v>
      </c>
      <c r="H246" s="23" t="s">
        <v>100</v>
      </c>
      <c r="I246" s="24" t="s">
        <v>27</v>
      </c>
      <c r="J246" s="19" t="s">
        <v>517</v>
      </c>
      <c r="K246" s="14">
        <v>8.0</v>
      </c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>
      <c r="A247" s="14" t="s">
        <v>1012</v>
      </c>
      <c r="B247" s="17" t="s">
        <v>1009</v>
      </c>
      <c r="C247" s="17" t="s">
        <v>1013</v>
      </c>
      <c r="D247" s="19" t="s">
        <v>1014</v>
      </c>
      <c r="E247" s="20" t="s">
        <v>195</v>
      </c>
      <c r="F247" s="21">
        <v>26063.0</v>
      </c>
      <c r="G247" s="14">
        <v>55.0</v>
      </c>
      <c r="H247" s="23" t="s">
        <v>26</v>
      </c>
      <c r="I247" s="24" t="s">
        <v>33</v>
      </c>
      <c r="J247" s="19" t="s">
        <v>517</v>
      </c>
      <c r="K247" s="14">
        <v>8.0</v>
      </c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>
      <c r="A248" s="14" t="s">
        <v>1015</v>
      </c>
      <c r="B248" s="17" t="s">
        <v>1009</v>
      </c>
      <c r="C248" s="17" t="s">
        <v>1016</v>
      </c>
      <c r="D248" s="19" t="s">
        <v>1017</v>
      </c>
      <c r="E248" s="20" t="s">
        <v>104</v>
      </c>
      <c r="F248" s="21">
        <v>29738.0</v>
      </c>
      <c r="G248" s="14">
        <v>45.0</v>
      </c>
      <c r="H248" s="23" t="s">
        <v>26</v>
      </c>
      <c r="I248" s="24" t="s">
        <v>27</v>
      </c>
      <c r="J248" s="19" t="s">
        <v>517</v>
      </c>
      <c r="K248" s="14">
        <v>8.0</v>
      </c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>
      <c r="A249" s="14" t="s">
        <v>1018</v>
      </c>
      <c r="B249" s="17" t="s">
        <v>1019</v>
      </c>
      <c r="C249" s="17" t="s">
        <v>1020</v>
      </c>
      <c r="D249" s="19" t="s">
        <v>1021</v>
      </c>
      <c r="E249" s="20" t="s">
        <v>104</v>
      </c>
      <c r="F249" s="21">
        <v>30410.0</v>
      </c>
      <c r="G249" s="14">
        <v>43.0</v>
      </c>
      <c r="H249" s="23" t="s">
        <v>26</v>
      </c>
      <c r="I249" s="24" t="s">
        <v>33</v>
      </c>
      <c r="J249" s="19" t="s">
        <v>53</v>
      </c>
      <c r="K249" s="14">
        <v>28.0</v>
      </c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>
      <c r="A250" s="14" t="s">
        <v>1022</v>
      </c>
      <c r="B250" s="17" t="s">
        <v>1019</v>
      </c>
      <c r="C250" s="17" t="s">
        <v>1023</v>
      </c>
      <c r="D250" s="19" t="s">
        <v>1024</v>
      </c>
      <c r="E250" s="20" t="s">
        <v>176</v>
      </c>
      <c r="F250" s="27">
        <v>32131.0</v>
      </c>
      <c r="G250" s="14">
        <v>38.0</v>
      </c>
      <c r="H250" s="23" t="s">
        <v>26</v>
      </c>
      <c r="I250" s="24" t="s">
        <v>27</v>
      </c>
      <c r="J250" s="19" t="s">
        <v>53</v>
      </c>
      <c r="K250" s="14">
        <v>28.0</v>
      </c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>
      <c r="A251" s="14" t="s">
        <v>1025</v>
      </c>
      <c r="B251" s="17" t="s">
        <v>1026</v>
      </c>
      <c r="C251" s="17" t="s">
        <v>1027</v>
      </c>
      <c r="D251" s="19" t="s">
        <v>1028</v>
      </c>
      <c r="E251" s="20" t="s">
        <v>104</v>
      </c>
      <c r="F251" s="21">
        <v>36551.0</v>
      </c>
      <c r="G251" s="14">
        <v>26.0</v>
      </c>
      <c r="H251" s="23" t="s">
        <v>100</v>
      </c>
      <c r="I251" s="24" t="s">
        <v>33</v>
      </c>
      <c r="J251" s="19" t="s">
        <v>146</v>
      </c>
      <c r="K251" s="14">
        <v>3.0</v>
      </c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>
      <c r="A252" s="14" t="s">
        <v>1029</v>
      </c>
      <c r="B252" s="17" t="s">
        <v>1026</v>
      </c>
      <c r="C252" s="17" t="s">
        <v>1030</v>
      </c>
      <c r="D252" s="19" t="s">
        <v>1031</v>
      </c>
      <c r="E252" s="20" t="s">
        <v>104</v>
      </c>
      <c r="F252" s="21">
        <v>37093.0</v>
      </c>
      <c r="G252" s="14">
        <v>25.0</v>
      </c>
      <c r="H252" s="23" t="s">
        <v>100</v>
      </c>
      <c r="I252" s="24" t="s">
        <v>33</v>
      </c>
      <c r="J252" s="19" t="s">
        <v>146</v>
      </c>
      <c r="K252" s="14">
        <v>3.0</v>
      </c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>
      <c r="A253" s="14" t="s">
        <v>1032</v>
      </c>
      <c r="B253" s="17" t="s">
        <v>1026</v>
      </c>
      <c r="C253" s="17" t="s">
        <v>1033</v>
      </c>
      <c r="D253" s="19" t="s">
        <v>1034</v>
      </c>
      <c r="E253" s="20" t="s">
        <v>624</v>
      </c>
      <c r="F253" s="21">
        <v>22118.0</v>
      </c>
      <c r="G253" s="14">
        <v>66.0</v>
      </c>
      <c r="H253" s="23" t="s">
        <v>26</v>
      </c>
      <c r="I253" s="24" t="s">
        <v>33</v>
      </c>
      <c r="J253" s="19" t="s">
        <v>146</v>
      </c>
      <c r="K253" s="14">
        <v>3.0</v>
      </c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>
      <c r="A254" s="14" t="s">
        <v>1035</v>
      </c>
      <c r="B254" s="17" t="s">
        <v>1026</v>
      </c>
      <c r="C254" s="17" t="s">
        <v>1036</v>
      </c>
      <c r="D254" s="19" t="s">
        <v>1037</v>
      </c>
      <c r="E254" s="20" t="s">
        <v>1038</v>
      </c>
      <c r="F254" s="21">
        <v>24658.0</v>
      </c>
      <c r="G254" s="14">
        <v>59.0</v>
      </c>
      <c r="H254" s="23" t="s">
        <v>26</v>
      </c>
      <c r="I254" s="24" t="s">
        <v>27</v>
      </c>
      <c r="J254" s="19" t="s">
        <v>146</v>
      </c>
      <c r="K254" s="14">
        <v>3.0</v>
      </c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>
      <c r="A255" s="14" t="s">
        <v>1039</v>
      </c>
      <c r="B255" s="17" t="s">
        <v>1040</v>
      </c>
      <c r="C255" s="17" t="s">
        <v>1041</v>
      </c>
      <c r="D255" s="19" t="s">
        <v>1042</v>
      </c>
      <c r="E255" s="20" t="s">
        <v>210</v>
      </c>
      <c r="F255" s="21">
        <v>25434.0</v>
      </c>
      <c r="G255" s="14">
        <v>57.0</v>
      </c>
      <c r="H255" s="23" t="s">
        <v>26</v>
      </c>
      <c r="I255" s="24" t="s">
        <v>33</v>
      </c>
      <c r="J255" s="19" t="s">
        <v>39</v>
      </c>
      <c r="K255" s="14">
        <v>17.0</v>
      </c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>
      <c r="A256" s="14" t="s">
        <v>1043</v>
      </c>
      <c r="B256" s="17" t="s">
        <v>1040</v>
      </c>
      <c r="C256" s="17" t="s">
        <v>1044</v>
      </c>
      <c r="D256" s="19" t="s">
        <v>1045</v>
      </c>
      <c r="E256" s="20" t="s">
        <v>337</v>
      </c>
      <c r="F256" s="21">
        <v>38261.0</v>
      </c>
      <c r="G256" s="14">
        <v>21.0</v>
      </c>
      <c r="H256" s="23" t="s">
        <v>100</v>
      </c>
      <c r="I256" s="24" t="s">
        <v>33</v>
      </c>
      <c r="J256" s="19" t="s">
        <v>39</v>
      </c>
      <c r="K256" s="14">
        <v>17.0</v>
      </c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>
      <c r="A257" s="14" t="s">
        <v>1046</v>
      </c>
      <c r="B257" s="17" t="s">
        <v>1040</v>
      </c>
      <c r="C257" s="17" t="s">
        <v>1047</v>
      </c>
      <c r="D257" s="19" t="s">
        <v>1048</v>
      </c>
      <c r="E257" s="20" t="s">
        <v>1049</v>
      </c>
      <c r="F257" s="21">
        <v>25792.0</v>
      </c>
      <c r="G257" s="14">
        <v>56.0</v>
      </c>
      <c r="H257" s="23" t="s">
        <v>26</v>
      </c>
      <c r="I257" s="24" t="s">
        <v>27</v>
      </c>
      <c r="J257" s="19" t="s">
        <v>39</v>
      </c>
      <c r="K257" s="14">
        <v>17.0</v>
      </c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>
      <c r="A258" s="14" t="s">
        <v>1050</v>
      </c>
      <c r="B258" s="17" t="s">
        <v>1051</v>
      </c>
      <c r="C258" s="17" t="s">
        <v>1052</v>
      </c>
      <c r="D258" s="19" t="s">
        <v>1053</v>
      </c>
      <c r="E258" s="20" t="s">
        <v>1054</v>
      </c>
      <c r="F258" s="27">
        <v>27312.0</v>
      </c>
      <c r="G258" s="14">
        <v>51.0</v>
      </c>
      <c r="H258" s="23" t="s">
        <v>26</v>
      </c>
      <c r="I258" s="24" t="s">
        <v>27</v>
      </c>
      <c r="J258" s="19" t="s">
        <v>95</v>
      </c>
      <c r="K258" s="14">
        <v>17.0</v>
      </c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>
      <c r="A259" s="14" t="s">
        <v>1055</v>
      </c>
      <c r="B259" s="17" t="s">
        <v>1051</v>
      </c>
      <c r="C259" s="17" t="s">
        <v>1056</v>
      </c>
      <c r="D259" s="19" t="s">
        <v>1057</v>
      </c>
      <c r="E259" s="20" t="s">
        <v>1058</v>
      </c>
      <c r="F259" s="21">
        <v>23992.0</v>
      </c>
      <c r="G259" s="14">
        <v>60.0</v>
      </c>
      <c r="H259" s="23" t="s">
        <v>26</v>
      </c>
      <c r="I259" s="24" t="s">
        <v>33</v>
      </c>
      <c r="J259" s="19" t="s">
        <v>95</v>
      </c>
      <c r="K259" s="14">
        <v>17.0</v>
      </c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>
      <c r="A260" s="14" t="s">
        <v>1059</v>
      </c>
      <c r="B260" s="17" t="s">
        <v>1051</v>
      </c>
      <c r="C260" s="17" t="s">
        <v>1060</v>
      </c>
      <c r="D260" s="19" t="s">
        <v>1061</v>
      </c>
      <c r="E260" s="20" t="s">
        <v>104</v>
      </c>
      <c r="F260" s="21">
        <v>38171.0</v>
      </c>
      <c r="G260" s="14">
        <v>22.0</v>
      </c>
      <c r="H260" s="23" t="s">
        <v>100</v>
      </c>
      <c r="I260" s="24" t="s">
        <v>27</v>
      </c>
      <c r="J260" s="19" t="s">
        <v>95</v>
      </c>
      <c r="K260" s="14">
        <v>17.0</v>
      </c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>
      <c r="A261" s="14" t="s">
        <v>1062</v>
      </c>
      <c r="B261" s="17" t="s">
        <v>1051</v>
      </c>
      <c r="C261" s="17" t="s">
        <v>1063</v>
      </c>
      <c r="D261" s="19" t="s">
        <v>1064</v>
      </c>
      <c r="E261" s="20" t="s">
        <v>1054</v>
      </c>
      <c r="F261" s="27">
        <v>34617.0</v>
      </c>
      <c r="G261" s="14">
        <v>31.0</v>
      </c>
      <c r="H261" s="23" t="s">
        <v>100</v>
      </c>
      <c r="I261" s="24" t="s">
        <v>33</v>
      </c>
      <c r="J261" s="19" t="s">
        <v>95</v>
      </c>
      <c r="K261" s="14">
        <v>17.0</v>
      </c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>
      <c r="A262" s="14" t="s">
        <v>1065</v>
      </c>
      <c r="B262" s="17" t="s">
        <v>1066</v>
      </c>
      <c r="C262" s="17" t="s">
        <v>1067</v>
      </c>
      <c r="D262" s="19" t="s">
        <v>1068</v>
      </c>
      <c r="E262" s="20" t="s">
        <v>337</v>
      </c>
      <c r="F262" s="21">
        <v>31995.0</v>
      </c>
      <c r="G262" s="14">
        <v>39.0</v>
      </c>
      <c r="H262" s="23" t="s">
        <v>26</v>
      </c>
      <c r="I262" s="24" t="s">
        <v>27</v>
      </c>
      <c r="J262" s="19" t="s">
        <v>1069</v>
      </c>
      <c r="K262" s="14">
        <v>3.0</v>
      </c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>
      <c r="A263" s="14" t="s">
        <v>1070</v>
      </c>
      <c r="B263" s="17" t="s">
        <v>1066</v>
      </c>
      <c r="C263" s="17" t="s">
        <v>1071</v>
      </c>
      <c r="D263" s="19" t="s">
        <v>1072</v>
      </c>
      <c r="E263" s="20" t="s">
        <v>1073</v>
      </c>
      <c r="F263" s="21">
        <v>30870.0</v>
      </c>
      <c r="G263" s="14">
        <v>42.0</v>
      </c>
      <c r="H263" s="23" t="s">
        <v>26</v>
      </c>
      <c r="I263" s="24" t="s">
        <v>33</v>
      </c>
      <c r="J263" s="19" t="s">
        <v>1069</v>
      </c>
      <c r="K263" s="14">
        <v>3.0</v>
      </c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>
      <c r="A264" s="14" t="s">
        <v>1074</v>
      </c>
      <c r="B264" s="17" t="s">
        <v>1075</v>
      </c>
      <c r="C264" s="17" t="s">
        <v>1076</v>
      </c>
      <c r="D264" s="19" t="s">
        <v>1077</v>
      </c>
      <c r="E264" s="20" t="s">
        <v>53</v>
      </c>
      <c r="F264" s="21">
        <v>28941.0</v>
      </c>
      <c r="G264" s="14">
        <v>47.0</v>
      </c>
      <c r="H264" s="23" t="s">
        <v>26</v>
      </c>
      <c r="I264" s="24" t="s">
        <v>33</v>
      </c>
      <c r="J264" s="19" t="s">
        <v>53</v>
      </c>
      <c r="K264" s="14">
        <v>1.0</v>
      </c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>
      <c r="A265" s="14" t="s">
        <v>1078</v>
      </c>
      <c r="B265" s="17" t="s">
        <v>1075</v>
      </c>
      <c r="C265" s="17" t="s">
        <v>1079</v>
      </c>
      <c r="D265" s="19" t="s">
        <v>1080</v>
      </c>
      <c r="E265" s="20" t="s">
        <v>53</v>
      </c>
      <c r="F265" s="21">
        <v>38869.0</v>
      </c>
      <c r="G265" s="14">
        <v>20.0</v>
      </c>
      <c r="H265" s="23" t="s">
        <v>100</v>
      </c>
      <c r="I265" s="24" t="s">
        <v>33</v>
      </c>
      <c r="J265" s="19" t="s">
        <v>53</v>
      </c>
      <c r="K265" s="14">
        <v>1.0</v>
      </c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>
      <c r="A266" s="14" t="s">
        <v>1081</v>
      </c>
      <c r="B266" s="17" t="s">
        <v>1075</v>
      </c>
      <c r="C266" s="17" t="s">
        <v>1082</v>
      </c>
      <c r="D266" s="19" t="s">
        <v>1083</v>
      </c>
      <c r="E266" s="20" t="s">
        <v>1084</v>
      </c>
      <c r="F266" s="21">
        <v>32247.0</v>
      </c>
      <c r="G266" s="14">
        <v>38.0</v>
      </c>
      <c r="H266" s="23" t="s">
        <v>26</v>
      </c>
      <c r="I266" s="24" t="s">
        <v>27</v>
      </c>
      <c r="J266" s="19" t="s">
        <v>53</v>
      </c>
      <c r="K266" s="14">
        <v>1.0</v>
      </c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>
      <c r="A267" s="14" t="s">
        <v>1085</v>
      </c>
      <c r="B267" s="17" t="s">
        <v>1086</v>
      </c>
      <c r="C267" s="17" t="s">
        <v>1087</v>
      </c>
      <c r="D267" s="19" t="s">
        <v>1088</v>
      </c>
      <c r="E267" s="20" t="s">
        <v>605</v>
      </c>
      <c r="F267" s="27">
        <v>27726.0</v>
      </c>
      <c r="G267" s="14">
        <v>50.0</v>
      </c>
      <c r="H267" s="23" t="s">
        <v>26</v>
      </c>
      <c r="I267" s="24" t="s">
        <v>33</v>
      </c>
      <c r="J267" s="19" t="s">
        <v>757</v>
      </c>
      <c r="K267" s="14">
        <v>2.0</v>
      </c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>
      <c r="A268" s="14" t="s">
        <v>1089</v>
      </c>
      <c r="B268" s="17" t="s">
        <v>1086</v>
      </c>
      <c r="C268" s="17" t="s">
        <v>1090</v>
      </c>
      <c r="D268" s="19" t="s">
        <v>1091</v>
      </c>
      <c r="E268" s="20" t="s">
        <v>138</v>
      </c>
      <c r="F268" s="21">
        <v>39132.0</v>
      </c>
      <c r="G268" s="14">
        <v>19.0</v>
      </c>
      <c r="H268" s="23" t="s">
        <v>100</v>
      </c>
      <c r="I268" s="24" t="s">
        <v>27</v>
      </c>
      <c r="J268" s="19" t="s">
        <v>53</v>
      </c>
      <c r="K268" s="14">
        <v>2.0</v>
      </c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>
      <c r="A269" s="14" t="s">
        <v>1092</v>
      </c>
      <c r="B269" s="17" t="s">
        <v>1086</v>
      </c>
      <c r="C269" s="17" t="s">
        <v>1093</v>
      </c>
      <c r="D269" s="19" t="s">
        <v>1094</v>
      </c>
      <c r="E269" s="20" t="s">
        <v>1095</v>
      </c>
      <c r="F269" s="21">
        <v>29966.0</v>
      </c>
      <c r="G269" s="14">
        <v>44.0</v>
      </c>
      <c r="H269" s="23" t="s">
        <v>26</v>
      </c>
      <c r="I269" s="24" t="s">
        <v>27</v>
      </c>
      <c r="J269" s="19" t="s">
        <v>757</v>
      </c>
      <c r="K269" s="14">
        <v>2.0</v>
      </c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>
      <c r="A270" s="14" t="s">
        <v>1096</v>
      </c>
      <c r="B270" s="17" t="s">
        <v>1097</v>
      </c>
      <c r="C270" s="17" t="s">
        <v>1098</v>
      </c>
      <c r="D270" s="19" t="s">
        <v>1099</v>
      </c>
      <c r="E270" s="20" t="s">
        <v>53</v>
      </c>
      <c r="F270" s="27">
        <v>29537.0</v>
      </c>
      <c r="G270" s="14">
        <v>45.0</v>
      </c>
      <c r="H270" s="23" t="s">
        <v>26</v>
      </c>
      <c r="I270" s="24" t="s">
        <v>27</v>
      </c>
      <c r="J270" s="19" t="s">
        <v>53</v>
      </c>
      <c r="K270" s="14">
        <v>8.0</v>
      </c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>
      <c r="A271" s="14" t="s">
        <v>1100</v>
      </c>
      <c r="B271" s="17" t="s">
        <v>1097</v>
      </c>
      <c r="C271" s="17" t="s">
        <v>1101</v>
      </c>
      <c r="D271" s="19" t="s">
        <v>1102</v>
      </c>
      <c r="E271" s="20" t="s">
        <v>53</v>
      </c>
      <c r="F271" s="21">
        <v>29168.0</v>
      </c>
      <c r="G271" s="14">
        <v>46.0</v>
      </c>
      <c r="H271" s="23" t="s">
        <v>26</v>
      </c>
      <c r="I271" s="24" t="s">
        <v>33</v>
      </c>
      <c r="J271" s="19" t="s">
        <v>53</v>
      </c>
      <c r="K271" s="14">
        <v>8.0</v>
      </c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>
      <c r="A272" s="14" t="s">
        <v>1103</v>
      </c>
      <c r="B272" s="17" t="s">
        <v>1097</v>
      </c>
      <c r="C272" s="17" t="s">
        <v>1104</v>
      </c>
      <c r="D272" s="19" t="s">
        <v>1105</v>
      </c>
      <c r="E272" s="20" t="s">
        <v>53</v>
      </c>
      <c r="F272" s="27">
        <v>37580.0</v>
      </c>
      <c r="G272" s="14">
        <v>23.0</v>
      </c>
      <c r="H272" s="23" t="s">
        <v>100</v>
      </c>
      <c r="I272" s="24" t="s">
        <v>27</v>
      </c>
      <c r="J272" s="19" t="s">
        <v>53</v>
      </c>
      <c r="K272" s="14">
        <v>8.0</v>
      </c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>
      <c r="A273" s="14" t="s">
        <v>1106</v>
      </c>
      <c r="B273" s="17" t="s">
        <v>1107</v>
      </c>
      <c r="C273" s="17" t="s">
        <v>1108</v>
      </c>
      <c r="D273" s="19" t="s">
        <v>1109</v>
      </c>
      <c r="E273" s="20" t="s">
        <v>53</v>
      </c>
      <c r="F273" s="21">
        <v>32230.0</v>
      </c>
      <c r="G273" s="14">
        <v>38.0</v>
      </c>
      <c r="H273" s="23" t="s">
        <v>26</v>
      </c>
      <c r="I273" s="24" t="s">
        <v>27</v>
      </c>
      <c r="J273" s="19" t="s">
        <v>282</v>
      </c>
      <c r="K273" s="14">
        <v>15.0</v>
      </c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>
      <c r="A274" s="14" t="s">
        <v>1110</v>
      </c>
      <c r="B274" s="17" t="s">
        <v>1107</v>
      </c>
      <c r="C274" s="17" t="s">
        <v>1111</v>
      </c>
      <c r="D274" s="19" t="s">
        <v>1112</v>
      </c>
      <c r="E274" s="20" t="s">
        <v>880</v>
      </c>
      <c r="F274" s="21">
        <v>31143.0</v>
      </c>
      <c r="G274" s="14">
        <v>41.0</v>
      </c>
      <c r="H274" s="23" t="s">
        <v>26</v>
      </c>
      <c r="I274" s="24" t="s">
        <v>33</v>
      </c>
      <c r="J274" s="19" t="s">
        <v>282</v>
      </c>
      <c r="K274" s="14">
        <v>15.0</v>
      </c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>
      <c r="A275" s="14" t="s">
        <v>1113</v>
      </c>
      <c r="B275" s="17" t="s">
        <v>1114</v>
      </c>
      <c r="C275" s="17" t="s">
        <v>1115</v>
      </c>
      <c r="D275" s="19" t="s">
        <v>1116</v>
      </c>
      <c r="E275" s="20" t="s">
        <v>434</v>
      </c>
      <c r="F275" s="21">
        <v>22741.0</v>
      </c>
      <c r="G275" s="14">
        <v>64.0</v>
      </c>
      <c r="H275" s="23" t="s">
        <v>27</v>
      </c>
      <c r="I275" s="24" t="s">
        <v>27</v>
      </c>
      <c r="J275" s="19" t="s">
        <v>146</v>
      </c>
      <c r="K275" s="14">
        <v>2.0</v>
      </c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>
      <c r="A276" s="14" t="s">
        <v>1117</v>
      </c>
      <c r="B276" s="17" t="s">
        <v>1118</v>
      </c>
      <c r="C276" s="17" t="s">
        <v>1119</v>
      </c>
      <c r="D276" s="19" t="s">
        <v>1120</v>
      </c>
      <c r="E276" s="20" t="s">
        <v>104</v>
      </c>
      <c r="F276" s="21">
        <v>37127.0</v>
      </c>
      <c r="G276" s="14">
        <v>25.0</v>
      </c>
      <c r="H276" s="23" t="s">
        <v>100</v>
      </c>
      <c r="I276" s="24" t="s">
        <v>33</v>
      </c>
      <c r="J276" s="19" t="s">
        <v>362</v>
      </c>
      <c r="K276" s="14">
        <v>25.0</v>
      </c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>
      <c r="A277" s="14" t="s">
        <v>1121</v>
      </c>
      <c r="B277" s="17" t="s">
        <v>1118</v>
      </c>
      <c r="C277" s="17" t="s">
        <v>1122</v>
      </c>
      <c r="D277" s="19" t="s">
        <v>1123</v>
      </c>
      <c r="E277" s="20" t="s">
        <v>1124</v>
      </c>
      <c r="F277" s="27">
        <v>27317.0</v>
      </c>
      <c r="G277" s="14">
        <v>51.0</v>
      </c>
      <c r="H277" s="23" t="s">
        <v>26</v>
      </c>
      <c r="I277" s="24" t="s">
        <v>33</v>
      </c>
      <c r="J277" s="19" t="s">
        <v>362</v>
      </c>
      <c r="K277" s="14">
        <v>25.0</v>
      </c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>
      <c r="A278" s="14" t="s">
        <v>1125</v>
      </c>
      <c r="B278" s="17" t="s">
        <v>1118</v>
      </c>
      <c r="C278" s="17" t="s">
        <v>1126</v>
      </c>
      <c r="D278" s="19" t="s">
        <v>1127</v>
      </c>
      <c r="E278" s="20" t="s">
        <v>1128</v>
      </c>
      <c r="F278" s="21">
        <v>28380.0</v>
      </c>
      <c r="G278" s="14">
        <v>48.0</v>
      </c>
      <c r="H278" s="23" t="s">
        <v>26</v>
      </c>
      <c r="I278" s="24" t="s">
        <v>27</v>
      </c>
      <c r="J278" s="19" t="s">
        <v>362</v>
      </c>
      <c r="K278" s="14">
        <v>25.0</v>
      </c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>
      <c r="A279" s="14" t="s">
        <v>1130</v>
      </c>
      <c r="B279" s="17" t="s">
        <v>1118</v>
      </c>
      <c r="C279" s="17" t="s">
        <v>1131</v>
      </c>
      <c r="D279" s="19" t="s">
        <v>1132</v>
      </c>
      <c r="E279" s="20" t="s">
        <v>1133</v>
      </c>
      <c r="F279" s="21">
        <v>38751.0</v>
      </c>
      <c r="G279" s="14">
        <v>20.0</v>
      </c>
      <c r="H279" s="23" t="s">
        <v>100</v>
      </c>
      <c r="I279" s="24" t="s">
        <v>27</v>
      </c>
      <c r="J279" s="19" t="s">
        <v>362</v>
      </c>
      <c r="K279" s="14">
        <v>25.0</v>
      </c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>
      <c r="A280" s="14" t="s">
        <v>1134</v>
      </c>
      <c r="B280" s="17" t="s">
        <v>1135</v>
      </c>
      <c r="C280" s="17" t="s">
        <v>1136</v>
      </c>
      <c r="D280" s="19" t="s">
        <v>1137</v>
      </c>
      <c r="E280" s="20" t="s">
        <v>104</v>
      </c>
      <c r="F280" s="27">
        <v>31336.0</v>
      </c>
      <c r="G280" s="14">
        <v>40.0</v>
      </c>
      <c r="H280" s="23" t="s">
        <v>26</v>
      </c>
      <c r="I280" s="24" t="s">
        <v>27</v>
      </c>
      <c r="J280" s="19" t="s">
        <v>53</v>
      </c>
      <c r="K280" s="14">
        <v>30.0</v>
      </c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>
      <c r="A281" s="14" t="s">
        <v>1138</v>
      </c>
      <c r="B281" s="17" t="s">
        <v>1135</v>
      </c>
      <c r="C281" s="17" t="s">
        <v>1139</v>
      </c>
      <c r="D281" s="19" t="s">
        <v>1140</v>
      </c>
      <c r="E281" s="20" t="s">
        <v>104</v>
      </c>
      <c r="F281" s="21">
        <v>38089.0</v>
      </c>
      <c r="G281" s="14">
        <v>22.0</v>
      </c>
      <c r="H281" s="23" t="s">
        <v>100</v>
      </c>
      <c r="I281" s="24" t="s">
        <v>33</v>
      </c>
      <c r="J281" s="19" t="s">
        <v>53</v>
      </c>
      <c r="K281" s="14">
        <v>30.0</v>
      </c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>
      <c r="A282" s="14" t="s">
        <v>1141</v>
      </c>
      <c r="B282" s="17" t="s">
        <v>1135</v>
      </c>
      <c r="C282" s="17" t="s">
        <v>1142</v>
      </c>
      <c r="D282" s="19" t="s">
        <v>1143</v>
      </c>
      <c r="E282" s="20" t="s">
        <v>1058</v>
      </c>
      <c r="F282" s="21">
        <v>29759.0</v>
      </c>
      <c r="G282" s="14">
        <v>45.0</v>
      </c>
      <c r="H282" s="23" t="s">
        <v>26</v>
      </c>
      <c r="I282" s="24" t="s">
        <v>33</v>
      </c>
      <c r="J282" s="19" t="s">
        <v>53</v>
      </c>
      <c r="K282" s="14">
        <v>30.0</v>
      </c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>
      <c r="A283" s="14" t="s">
        <v>1144</v>
      </c>
      <c r="B283" s="17" t="s">
        <v>1145</v>
      </c>
      <c r="C283" s="17" t="s">
        <v>1146</v>
      </c>
      <c r="D283" s="19" t="s">
        <v>1147</v>
      </c>
      <c r="E283" s="20" t="s">
        <v>1148</v>
      </c>
      <c r="F283" s="21">
        <v>24639.0</v>
      </c>
      <c r="G283" s="14">
        <v>59.0</v>
      </c>
      <c r="H283" s="23" t="s">
        <v>26</v>
      </c>
      <c r="I283" s="24" t="s">
        <v>33</v>
      </c>
      <c r="J283" s="19" t="s">
        <v>95</v>
      </c>
      <c r="K283" s="14">
        <v>15.0</v>
      </c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>
      <c r="A284" s="14" t="s">
        <v>1149</v>
      </c>
      <c r="B284" s="17" t="s">
        <v>1145</v>
      </c>
      <c r="C284" s="17" t="s">
        <v>1150</v>
      </c>
      <c r="D284" s="19" t="s">
        <v>1151</v>
      </c>
      <c r="E284" s="20" t="s">
        <v>650</v>
      </c>
      <c r="F284" s="21">
        <v>26068.0</v>
      </c>
      <c r="G284" s="14">
        <v>55.0</v>
      </c>
      <c r="H284" s="23" t="s">
        <v>26</v>
      </c>
      <c r="I284" s="24" t="s">
        <v>27</v>
      </c>
      <c r="J284" s="19" t="s">
        <v>95</v>
      </c>
      <c r="K284" s="14">
        <v>15.0</v>
      </c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>
      <c r="A285" s="14" t="s">
        <v>1152</v>
      </c>
      <c r="B285" s="17" t="s">
        <v>1153</v>
      </c>
      <c r="C285" s="17" t="s">
        <v>1154</v>
      </c>
      <c r="D285" s="19" t="s">
        <v>1155</v>
      </c>
      <c r="E285" s="20" t="s">
        <v>138</v>
      </c>
      <c r="F285" s="21">
        <v>31357.0</v>
      </c>
      <c r="G285" s="14">
        <v>40.0</v>
      </c>
      <c r="H285" s="23" t="s">
        <v>26</v>
      </c>
      <c r="I285" s="24" t="s">
        <v>27</v>
      </c>
      <c r="J285" s="19" t="s">
        <v>1156</v>
      </c>
      <c r="K285" s="14">
        <v>17.0</v>
      </c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>
      <c r="A286" s="14" t="s">
        <v>1157</v>
      </c>
      <c r="B286" s="17" t="s">
        <v>1158</v>
      </c>
      <c r="C286" s="17" t="s">
        <v>1159</v>
      </c>
      <c r="D286" s="19" t="s">
        <v>1160</v>
      </c>
      <c r="E286" s="20" t="s">
        <v>274</v>
      </c>
      <c r="F286" s="21">
        <v>34867.0</v>
      </c>
      <c r="G286" s="14">
        <v>31.0</v>
      </c>
      <c r="H286" s="23" t="s">
        <v>26</v>
      </c>
      <c r="I286" s="24" t="s">
        <v>33</v>
      </c>
      <c r="J286" s="19" t="s">
        <v>282</v>
      </c>
      <c r="K286" s="14">
        <v>11.0</v>
      </c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>
      <c r="A287" s="14" t="s">
        <v>1161</v>
      </c>
      <c r="B287" s="17" t="s">
        <v>1158</v>
      </c>
      <c r="C287" s="17" t="s">
        <v>1162</v>
      </c>
      <c r="D287" s="19" t="s">
        <v>1163</v>
      </c>
      <c r="E287" s="20" t="s">
        <v>104</v>
      </c>
      <c r="F287" s="21">
        <v>34497.0</v>
      </c>
      <c r="G287" s="14">
        <v>32.0</v>
      </c>
      <c r="H287" s="23" t="s">
        <v>26</v>
      </c>
      <c r="I287" s="24" t="s">
        <v>27</v>
      </c>
      <c r="J287" s="19" t="s">
        <v>282</v>
      </c>
      <c r="K287" s="14">
        <v>11.0</v>
      </c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>
      <c r="A288" s="14" t="s">
        <v>1164</v>
      </c>
      <c r="B288" s="17" t="s">
        <v>1165</v>
      </c>
      <c r="C288" s="17" t="s">
        <v>1166</v>
      </c>
      <c r="D288" s="19" t="s">
        <v>1167</v>
      </c>
      <c r="E288" s="20" t="s">
        <v>104</v>
      </c>
      <c r="F288" s="21">
        <v>37019.0</v>
      </c>
      <c r="G288" s="14">
        <v>25.0</v>
      </c>
      <c r="H288" s="23" t="s">
        <v>26</v>
      </c>
      <c r="I288" s="24" t="s">
        <v>33</v>
      </c>
      <c r="J288" s="19" t="s">
        <v>206</v>
      </c>
      <c r="K288" s="14">
        <v>4.0</v>
      </c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>
      <c r="A289" s="14" t="s">
        <v>1168</v>
      </c>
      <c r="B289" s="17" t="s">
        <v>1165</v>
      </c>
      <c r="C289" s="17" t="s">
        <v>1169</v>
      </c>
      <c r="D289" s="19" t="s">
        <v>1170</v>
      </c>
      <c r="E289" s="20" t="s">
        <v>1171</v>
      </c>
      <c r="F289" s="21">
        <v>37513.0</v>
      </c>
      <c r="G289" s="14">
        <v>23.0</v>
      </c>
      <c r="H289" s="23" t="s">
        <v>26</v>
      </c>
      <c r="I289" s="24" t="s">
        <v>27</v>
      </c>
      <c r="J289" s="19" t="s">
        <v>206</v>
      </c>
      <c r="K289" s="14">
        <v>4.0</v>
      </c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>
      <c r="A290" s="14" t="s">
        <v>1172</v>
      </c>
      <c r="B290" s="17" t="s">
        <v>1173</v>
      </c>
      <c r="C290" s="17" t="s">
        <v>1174</v>
      </c>
      <c r="D290" s="19" t="s">
        <v>1175</v>
      </c>
      <c r="E290" s="20" t="s">
        <v>650</v>
      </c>
      <c r="F290" s="21">
        <v>29419.0</v>
      </c>
      <c r="G290" s="14">
        <v>46.0</v>
      </c>
      <c r="H290" s="23" t="s">
        <v>26</v>
      </c>
      <c r="I290" s="24" t="s">
        <v>27</v>
      </c>
      <c r="J290" s="19" t="s">
        <v>206</v>
      </c>
      <c r="K290" s="14">
        <v>4.0</v>
      </c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>
      <c r="A291" s="14" t="s">
        <v>1176</v>
      </c>
      <c r="B291" s="17" t="s">
        <v>1177</v>
      </c>
      <c r="C291" s="17" t="s">
        <v>1178</v>
      </c>
      <c r="D291" s="19" t="s">
        <v>1179</v>
      </c>
      <c r="E291" s="20" t="s">
        <v>53</v>
      </c>
      <c r="F291" s="21">
        <v>39154.0</v>
      </c>
      <c r="G291" s="14">
        <v>19.0</v>
      </c>
      <c r="H291" s="23" t="s">
        <v>100</v>
      </c>
      <c r="I291" s="24" t="s">
        <v>27</v>
      </c>
      <c r="J291" s="19" t="s">
        <v>328</v>
      </c>
      <c r="K291" s="14">
        <v>21.0</v>
      </c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>
      <c r="A292" s="14" t="s">
        <v>1180</v>
      </c>
      <c r="B292" s="17" t="s">
        <v>1177</v>
      </c>
      <c r="C292" s="17" t="s">
        <v>1181</v>
      </c>
      <c r="D292" s="19" t="s">
        <v>1182</v>
      </c>
      <c r="E292" s="20" t="s">
        <v>53</v>
      </c>
      <c r="F292" s="27">
        <v>28415.0</v>
      </c>
      <c r="G292" s="14">
        <v>48.0</v>
      </c>
      <c r="H292" s="23" t="s">
        <v>26</v>
      </c>
      <c r="I292" s="24" t="s">
        <v>33</v>
      </c>
      <c r="J292" s="19" t="s">
        <v>328</v>
      </c>
      <c r="K292" s="14">
        <v>21.0</v>
      </c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>
      <c r="A293" s="14" t="s">
        <v>1183</v>
      </c>
      <c r="B293" s="17" t="s">
        <v>1177</v>
      </c>
      <c r="C293" s="17" t="s">
        <v>1184</v>
      </c>
      <c r="D293" s="19" t="s">
        <v>1185</v>
      </c>
      <c r="E293" s="20" t="s">
        <v>53</v>
      </c>
      <c r="F293" s="27">
        <v>31340.0</v>
      </c>
      <c r="G293" s="14">
        <v>40.0</v>
      </c>
      <c r="H293" s="23" t="s">
        <v>26</v>
      </c>
      <c r="I293" s="24" t="s">
        <v>27</v>
      </c>
      <c r="J293" s="19" t="s">
        <v>328</v>
      </c>
      <c r="K293" s="14">
        <v>21.0</v>
      </c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>
      <c r="A294" s="14" t="s">
        <v>1186</v>
      </c>
      <c r="B294" s="17" t="s">
        <v>1187</v>
      </c>
      <c r="C294" s="17" t="s">
        <v>1188</v>
      </c>
      <c r="D294" s="19" t="s">
        <v>1189</v>
      </c>
      <c r="E294" s="20" t="s">
        <v>632</v>
      </c>
      <c r="F294" s="21">
        <v>31149.0</v>
      </c>
      <c r="G294" s="14">
        <v>41.0</v>
      </c>
      <c r="H294" s="23" t="s">
        <v>27</v>
      </c>
      <c r="I294" s="24" t="s">
        <v>33</v>
      </c>
      <c r="J294" s="19" t="s">
        <v>146</v>
      </c>
      <c r="K294" s="14">
        <v>4.0</v>
      </c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>
      <c r="A295" s="14" t="s">
        <v>1190</v>
      </c>
      <c r="B295" s="17" t="s">
        <v>1191</v>
      </c>
      <c r="C295" s="17" t="s">
        <v>1192</v>
      </c>
      <c r="D295" s="19" t="s">
        <v>1193</v>
      </c>
      <c r="E295" s="20" t="s">
        <v>231</v>
      </c>
      <c r="F295" s="21">
        <v>33678.0</v>
      </c>
      <c r="G295" s="14">
        <v>34.0</v>
      </c>
      <c r="H295" s="23" t="s">
        <v>26</v>
      </c>
      <c r="I295" s="24" t="s">
        <v>33</v>
      </c>
      <c r="J295" s="19" t="s">
        <v>53</v>
      </c>
      <c r="K295" s="14">
        <v>31.0</v>
      </c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>
      <c r="A296" s="14" t="s">
        <v>1194</v>
      </c>
      <c r="B296" s="17" t="s">
        <v>1191</v>
      </c>
      <c r="C296" s="17" t="s">
        <v>1195</v>
      </c>
      <c r="D296" s="19" t="s">
        <v>1196</v>
      </c>
      <c r="E296" s="20" t="s">
        <v>53</v>
      </c>
      <c r="F296" s="21">
        <v>34780.0</v>
      </c>
      <c r="G296" s="14">
        <v>31.0</v>
      </c>
      <c r="H296" s="23" t="s">
        <v>26</v>
      </c>
      <c r="I296" s="24" t="s">
        <v>27</v>
      </c>
      <c r="J296" s="19" t="s">
        <v>53</v>
      </c>
      <c r="K296" s="14">
        <v>31.0</v>
      </c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>
      <c r="A297" s="14" t="s">
        <v>1197</v>
      </c>
      <c r="B297" s="17" t="s">
        <v>1198</v>
      </c>
      <c r="C297" s="17" t="s">
        <v>1199</v>
      </c>
      <c r="D297" s="19" t="s">
        <v>1200</v>
      </c>
      <c r="E297" s="20" t="s">
        <v>337</v>
      </c>
      <c r="F297" s="21">
        <v>35534.0</v>
      </c>
      <c r="G297" s="14">
        <v>29.0</v>
      </c>
      <c r="H297" s="23" t="s">
        <v>26</v>
      </c>
      <c r="I297" s="24" t="s">
        <v>33</v>
      </c>
      <c r="J297" s="19" t="s">
        <v>517</v>
      </c>
      <c r="K297" s="14">
        <v>7.0</v>
      </c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>
      <c r="A298" s="14" t="s">
        <v>1201</v>
      </c>
      <c r="B298" s="17" t="s">
        <v>1198</v>
      </c>
      <c r="C298" s="17" t="s">
        <v>1202</v>
      </c>
      <c r="D298" s="19" t="s">
        <v>1203</v>
      </c>
      <c r="E298" s="20" t="s">
        <v>1204</v>
      </c>
      <c r="F298" s="21">
        <v>36802.0</v>
      </c>
      <c r="G298" s="14">
        <v>25.0</v>
      </c>
      <c r="H298" s="23" t="s">
        <v>26</v>
      </c>
      <c r="I298" s="24" t="s">
        <v>27</v>
      </c>
      <c r="J298" s="19" t="s">
        <v>517</v>
      </c>
      <c r="K298" s="14">
        <v>7.0</v>
      </c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>
      <c r="A299" s="14" t="s">
        <v>1205</v>
      </c>
      <c r="B299" s="17" t="s">
        <v>1206</v>
      </c>
      <c r="C299" s="17" t="s">
        <v>1207</v>
      </c>
      <c r="D299" s="19" t="s">
        <v>1208</v>
      </c>
      <c r="E299" s="20" t="s">
        <v>104</v>
      </c>
      <c r="F299" s="21">
        <v>31246.0</v>
      </c>
      <c r="G299" s="14">
        <v>41.0</v>
      </c>
      <c r="H299" s="23" t="s">
        <v>26</v>
      </c>
      <c r="I299" s="24" t="s">
        <v>33</v>
      </c>
      <c r="J299" s="19" t="s">
        <v>282</v>
      </c>
      <c r="K299" s="14">
        <v>16.0</v>
      </c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>
      <c r="A300" s="14" t="s">
        <v>1209</v>
      </c>
      <c r="B300" s="17" t="s">
        <v>1206</v>
      </c>
      <c r="C300" s="17" t="s">
        <v>1210</v>
      </c>
      <c r="D300" s="19" t="s">
        <v>1048</v>
      </c>
      <c r="E300" s="20" t="s">
        <v>1211</v>
      </c>
      <c r="F300" s="27">
        <v>33521.0</v>
      </c>
      <c r="G300" s="14">
        <v>34.0</v>
      </c>
      <c r="H300" s="23" t="s">
        <v>26</v>
      </c>
      <c r="I300" s="24" t="s">
        <v>27</v>
      </c>
      <c r="J300" s="19" t="s">
        <v>282</v>
      </c>
      <c r="K300" s="14">
        <v>16.0</v>
      </c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>
      <c r="A301" s="14" t="s">
        <v>1212</v>
      </c>
      <c r="B301" s="17" t="s">
        <v>1213</v>
      </c>
      <c r="C301" s="17" t="s">
        <v>1214</v>
      </c>
      <c r="D301" s="19" t="s">
        <v>1215</v>
      </c>
      <c r="E301" s="20" t="s">
        <v>1216</v>
      </c>
      <c r="F301" s="21">
        <v>36927.0</v>
      </c>
      <c r="G301" s="14">
        <v>25.0</v>
      </c>
      <c r="H301" s="23" t="s">
        <v>26</v>
      </c>
      <c r="I301" s="24" t="s">
        <v>27</v>
      </c>
      <c r="J301" s="19" t="s">
        <v>206</v>
      </c>
      <c r="K301" s="14">
        <v>2.0</v>
      </c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>
      <c r="A302" s="14" t="s">
        <v>1217</v>
      </c>
      <c r="B302" s="17" t="s">
        <v>1213</v>
      </c>
      <c r="C302" s="17" t="s">
        <v>1218</v>
      </c>
      <c r="D302" s="19" t="s">
        <v>1219</v>
      </c>
      <c r="E302" s="20" t="s">
        <v>53</v>
      </c>
      <c r="F302" s="27">
        <v>37237.0</v>
      </c>
      <c r="G302" s="14">
        <v>24.0</v>
      </c>
      <c r="H302" s="23" t="s">
        <v>26</v>
      </c>
      <c r="I302" s="24" t="s">
        <v>33</v>
      </c>
      <c r="J302" s="19" t="s">
        <v>206</v>
      </c>
      <c r="K302" s="14">
        <v>2.0</v>
      </c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>
      <c r="A303" s="14" t="s">
        <v>1220</v>
      </c>
      <c r="B303" s="17" t="s">
        <v>1221</v>
      </c>
      <c r="C303" s="17" t="s">
        <v>1222</v>
      </c>
      <c r="D303" s="19" t="s">
        <v>1223</v>
      </c>
      <c r="E303" s="20" t="s">
        <v>104</v>
      </c>
      <c r="F303" s="21">
        <v>36368.0</v>
      </c>
      <c r="G303" s="14">
        <v>27.0</v>
      </c>
      <c r="H303" s="23" t="s">
        <v>26</v>
      </c>
      <c r="I303" s="24" t="s">
        <v>27</v>
      </c>
      <c r="J303" s="19" t="s">
        <v>328</v>
      </c>
      <c r="K303" s="14">
        <v>25.0</v>
      </c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>
      <c r="A304" s="14" t="s">
        <v>1224</v>
      </c>
      <c r="B304" s="17" t="s">
        <v>1221</v>
      </c>
      <c r="C304" s="17" t="s">
        <v>1225</v>
      </c>
      <c r="D304" s="19" t="s">
        <v>1226</v>
      </c>
      <c r="E304" s="20" t="s">
        <v>295</v>
      </c>
      <c r="F304" s="21">
        <v>36382.0</v>
      </c>
      <c r="G304" s="14">
        <v>27.0</v>
      </c>
      <c r="H304" s="23" t="s">
        <v>26</v>
      </c>
      <c r="I304" s="24" t="s">
        <v>33</v>
      </c>
      <c r="J304" s="19" t="s">
        <v>328</v>
      </c>
      <c r="K304" s="14">
        <v>25.0</v>
      </c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>
      <c r="A305" s="14" t="s">
        <v>1227</v>
      </c>
      <c r="B305" s="17" t="s">
        <v>1228</v>
      </c>
      <c r="C305" s="17" t="s">
        <v>1229</v>
      </c>
      <c r="D305" s="19" t="s">
        <v>1230</v>
      </c>
      <c r="E305" s="20" t="s">
        <v>67</v>
      </c>
      <c r="F305" s="21">
        <v>25727.0</v>
      </c>
      <c r="G305" s="14">
        <v>56.0</v>
      </c>
      <c r="H305" s="23" t="s">
        <v>26</v>
      </c>
      <c r="I305" s="24" t="s">
        <v>33</v>
      </c>
      <c r="J305" s="19" t="s">
        <v>362</v>
      </c>
      <c r="K305" s="14">
        <v>24.0</v>
      </c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>
      <c r="A306" s="14" t="s">
        <v>1231</v>
      </c>
      <c r="B306" s="17" t="s">
        <v>1228</v>
      </c>
      <c r="C306" s="17" t="s">
        <v>1232</v>
      </c>
      <c r="D306" s="19" t="s">
        <v>1233</v>
      </c>
      <c r="E306" s="20" t="s">
        <v>138</v>
      </c>
      <c r="F306" s="21">
        <v>38044.0</v>
      </c>
      <c r="G306" s="14">
        <v>22.0</v>
      </c>
      <c r="H306" s="23" t="s">
        <v>100</v>
      </c>
      <c r="I306" s="24" t="s">
        <v>27</v>
      </c>
      <c r="J306" s="19" t="s">
        <v>362</v>
      </c>
      <c r="K306" s="14">
        <v>24.0</v>
      </c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>
      <c r="A307" s="14" t="s">
        <v>1234</v>
      </c>
      <c r="B307" s="17" t="s">
        <v>1228</v>
      </c>
      <c r="C307" s="17" t="s">
        <v>1235</v>
      </c>
      <c r="D307" s="19" t="s">
        <v>1236</v>
      </c>
      <c r="E307" s="20" t="s">
        <v>429</v>
      </c>
      <c r="F307" s="21">
        <v>27211.0</v>
      </c>
      <c r="G307" s="14">
        <v>52.0</v>
      </c>
      <c r="H307" s="23" t="s">
        <v>26</v>
      </c>
      <c r="I307" s="24" t="s">
        <v>27</v>
      </c>
      <c r="J307" s="19" t="s">
        <v>362</v>
      </c>
      <c r="K307" s="14">
        <v>24.0</v>
      </c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>
      <c r="A308" s="14" t="s">
        <v>1237</v>
      </c>
      <c r="B308" s="17" t="s">
        <v>1238</v>
      </c>
      <c r="C308" s="17" t="s">
        <v>1239</v>
      </c>
      <c r="D308" s="19" t="s">
        <v>1240</v>
      </c>
      <c r="E308" s="20" t="s">
        <v>53</v>
      </c>
      <c r="F308" s="21">
        <v>36271.0</v>
      </c>
      <c r="G308" s="14">
        <v>27.0</v>
      </c>
      <c r="H308" s="23" t="s">
        <v>26</v>
      </c>
      <c r="I308" s="24" t="s">
        <v>33</v>
      </c>
      <c r="J308" s="19" t="s">
        <v>95</v>
      </c>
      <c r="K308" s="14">
        <v>11.0</v>
      </c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>
      <c r="A309" s="14" t="s">
        <v>1241</v>
      </c>
      <c r="B309" s="17" t="s">
        <v>1238</v>
      </c>
      <c r="C309" s="17" t="s">
        <v>1242</v>
      </c>
      <c r="D309" s="19" t="s">
        <v>1243</v>
      </c>
      <c r="E309" s="20" t="s">
        <v>1244</v>
      </c>
      <c r="F309" s="21">
        <v>35560.0</v>
      </c>
      <c r="G309" s="14">
        <v>29.0</v>
      </c>
      <c r="H309" s="23" t="s">
        <v>26</v>
      </c>
      <c r="I309" s="24" t="s">
        <v>27</v>
      </c>
      <c r="J309" s="19" t="s">
        <v>95</v>
      </c>
      <c r="K309" s="14">
        <v>11.0</v>
      </c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>
      <c r="A310" s="14" t="s">
        <v>1245</v>
      </c>
      <c r="B310" s="17" t="s">
        <v>1246</v>
      </c>
      <c r="C310" s="17" t="s">
        <v>1247</v>
      </c>
      <c r="D310" s="19" t="s">
        <v>1248</v>
      </c>
      <c r="E310" s="20" t="s">
        <v>53</v>
      </c>
      <c r="F310" s="21">
        <v>34196.0</v>
      </c>
      <c r="G310" s="14">
        <v>33.0</v>
      </c>
      <c r="H310" s="23" t="s">
        <v>26</v>
      </c>
      <c r="I310" s="24" t="s">
        <v>27</v>
      </c>
      <c r="J310" s="19" t="s">
        <v>282</v>
      </c>
      <c r="K310" s="14">
        <v>14.0</v>
      </c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>
      <c r="A311" s="14" t="s">
        <v>1249</v>
      </c>
      <c r="B311" s="17" t="s">
        <v>1246</v>
      </c>
      <c r="C311" s="17" t="s">
        <v>1250</v>
      </c>
      <c r="D311" s="19" t="s">
        <v>1251</v>
      </c>
      <c r="E311" s="20" t="s">
        <v>290</v>
      </c>
      <c r="F311" s="21">
        <v>34216.0</v>
      </c>
      <c r="G311" s="14">
        <v>32.0</v>
      </c>
      <c r="H311" s="23" t="s">
        <v>26</v>
      </c>
      <c r="I311" s="24" t="s">
        <v>33</v>
      </c>
      <c r="J311" s="19" t="s">
        <v>282</v>
      </c>
      <c r="K311" s="14">
        <v>14.0</v>
      </c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>
      <c r="A312" s="14" t="s">
        <v>1252</v>
      </c>
      <c r="B312" s="17" t="s">
        <v>1253</v>
      </c>
      <c r="C312" s="17" t="s">
        <v>1254</v>
      </c>
      <c r="D312" s="19" t="s">
        <v>1255</v>
      </c>
      <c r="E312" s="20" t="s">
        <v>104</v>
      </c>
      <c r="F312" s="21">
        <v>35659.0</v>
      </c>
      <c r="G312" s="14">
        <v>29.0</v>
      </c>
      <c r="H312" s="23" t="s">
        <v>26</v>
      </c>
      <c r="I312" s="24" t="s">
        <v>27</v>
      </c>
      <c r="J312" s="19" t="s">
        <v>68</v>
      </c>
      <c r="K312" s="14">
        <v>33.0</v>
      </c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>
      <c r="A313" s="14" t="s">
        <v>1256</v>
      </c>
      <c r="B313" s="17" t="s">
        <v>1253</v>
      </c>
      <c r="C313" s="17" t="s">
        <v>1257</v>
      </c>
      <c r="D313" s="19" t="s">
        <v>1258</v>
      </c>
      <c r="E313" s="20" t="s">
        <v>104</v>
      </c>
      <c r="F313" s="21">
        <v>35837.0</v>
      </c>
      <c r="G313" s="14">
        <v>28.0</v>
      </c>
      <c r="H313" s="23" t="s">
        <v>26</v>
      </c>
      <c r="I313" s="24" t="s">
        <v>33</v>
      </c>
      <c r="J313" s="19" t="s">
        <v>68</v>
      </c>
      <c r="K313" s="14">
        <v>33.0</v>
      </c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>
      <c r="A314" s="14" t="s">
        <v>1259</v>
      </c>
      <c r="B314" s="17" t="s">
        <v>1260</v>
      </c>
      <c r="C314" s="17" t="s">
        <v>1261</v>
      </c>
      <c r="D314" s="19" t="s">
        <v>1262</v>
      </c>
      <c r="E314" s="20" t="s">
        <v>53</v>
      </c>
      <c r="F314" s="21">
        <v>36233.0</v>
      </c>
      <c r="G314" s="14">
        <v>27.0</v>
      </c>
      <c r="H314" s="23" t="s">
        <v>100</v>
      </c>
      <c r="I314" s="24" t="s">
        <v>33</v>
      </c>
      <c r="J314" s="19" t="s">
        <v>757</v>
      </c>
      <c r="K314" s="14">
        <v>4.0</v>
      </c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>
      <c r="A315" s="14" t="s">
        <v>1263</v>
      </c>
      <c r="B315" s="17" t="s">
        <v>1260</v>
      </c>
      <c r="C315" s="17" t="s">
        <v>1264</v>
      </c>
      <c r="D315" s="19" t="s">
        <v>554</v>
      </c>
      <c r="E315" s="20" t="s">
        <v>187</v>
      </c>
      <c r="F315" s="21">
        <v>30133.0</v>
      </c>
      <c r="G315" s="14">
        <v>44.0</v>
      </c>
      <c r="H315" s="23" t="s">
        <v>27</v>
      </c>
      <c r="I315" s="24" t="s">
        <v>27</v>
      </c>
      <c r="J315" s="19" t="s">
        <v>757</v>
      </c>
      <c r="K315" s="14">
        <v>4.0</v>
      </c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>
      <c r="A316" s="14" t="s">
        <v>1265</v>
      </c>
      <c r="B316" s="17" t="s">
        <v>1266</v>
      </c>
      <c r="C316" s="17" t="s">
        <v>1267</v>
      </c>
      <c r="D316" s="19" t="s">
        <v>1268</v>
      </c>
      <c r="E316" s="20" t="s">
        <v>1269</v>
      </c>
      <c r="F316" s="27">
        <v>34626.0</v>
      </c>
      <c r="G316" s="14">
        <v>31.0</v>
      </c>
      <c r="H316" s="23" t="s">
        <v>26</v>
      </c>
      <c r="I316" s="24" t="s">
        <v>27</v>
      </c>
      <c r="J316" s="19" t="s">
        <v>53</v>
      </c>
      <c r="K316" s="14">
        <v>2.0</v>
      </c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>
      <c r="A317" s="14" t="s">
        <v>1270</v>
      </c>
      <c r="B317" s="17" t="s">
        <v>1266</v>
      </c>
      <c r="C317" s="17" t="s">
        <v>1271</v>
      </c>
      <c r="D317" s="19" t="s">
        <v>1272</v>
      </c>
      <c r="E317" s="20" t="s">
        <v>104</v>
      </c>
      <c r="F317" s="21">
        <v>34387.0</v>
      </c>
      <c r="G317" s="14">
        <v>32.0</v>
      </c>
      <c r="H317" s="23" t="s">
        <v>26</v>
      </c>
      <c r="I317" s="24" t="s">
        <v>33</v>
      </c>
      <c r="J317" s="19" t="s">
        <v>53</v>
      </c>
      <c r="K317" s="14">
        <v>2.0</v>
      </c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>
      <c r="A318" s="14" t="s">
        <v>1273</v>
      </c>
      <c r="B318" s="17" t="s">
        <v>1274</v>
      </c>
      <c r="C318" s="17" t="s">
        <v>1275</v>
      </c>
      <c r="D318" s="19" t="s">
        <v>1276</v>
      </c>
      <c r="E318" s="20" t="s">
        <v>53</v>
      </c>
      <c r="F318" s="21">
        <v>37709.0</v>
      </c>
      <c r="G318" s="14">
        <v>23.0</v>
      </c>
      <c r="H318" s="23" t="s">
        <v>100</v>
      </c>
      <c r="I318" s="24" t="s">
        <v>27</v>
      </c>
      <c r="J318" s="19" t="s">
        <v>362</v>
      </c>
      <c r="K318" s="14">
        <v>27.0</v>
      </c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>
      <c r="A319" s="14" t="s">
        <v>1277</v>
      </c>
      <c r="B319" s="17" t="s">
        <v>1274</v>
      </c>
      <c r="C319" s="17" t="s">
        <v>1278</v>
      </c>
      <c r="D319" s="19" t="s">
        <v>1279</v>
      </c>
      <c r="E319" s="20" t="s">
        <v>104</v>
      </c>
      <c r="F319" s="21">
        <v>31229.0</v>
      </c>
      <c r="G319" s="14">
        <v>41.0</v>
      </c>
      <c r="H319" s="23" t="s">
        <v>26</v>
      </c>
      <c r="I319" s="24" t="s">
        <v>27</v>
      </c>
      <c r="J319" s="19" t="s">
        <v>362</v>
      </c>
      <c r="K319" s="14">
        <v>27.0</v>
      </c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>
      <c r="A320" s="14" t="s">
        <v>1280</v>
      </c>
      <c r="B320" s="17" t="s">
        <v>1274</v>
      </c>
      <c r="C320" s="17" t="s">
        <v>1281</v>
      </c>
      <c r="D320" s="19" t="s">
        <v>1282</v>
      </c>
      <c r="E320" s="20" t="s">
        <v>632</v>
      </c>
      <c r="F320" s="21">
        <v>27496.0</v>
      </c>
      <c r="G320" s="14">
        <v>51.0</v>
      </c>
      <c r="H320" s="23" t="s">
        <v>26</v>
      </c>
      <c r="I320" s="24" t="s">
        <v>33</v>
      </c>
      <c r="J320" s="19" t="s">
        <v>362</v>
      </c>
      <c r="K320" s="14">
        <v>27.0</v>
      </c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>
      <c r="A321" s="14" t="s">
        <v>1283</v>
      </c>
      <c r="B321" s="17" t="s">
        <v>1284</v>
      </c>
      <c r="C321" s="17" t="s">
        <v>1285</v>
      </c>
      <c r="D321" s="19" t="s">
        <v>1286</v>
      </c>
      <c r="E321" s="20" t="s">
        <v>434</v>
      </c>
      <c r="F321" s="27">
        <v>11307.0</v>
      </c>
      <c r="G321" s="14">
        <v>95.0</v>
      </c>
      <c r="H321" s="23" t="s">
        <v>27</v>
      </c>
      <c r="I321" s="24" t="s">
        <v>33</v>
      </c>
      <c r="J321" s="19" t="s">
        <v>68</v>
      </c>
      <c r="K321" s="14">
        <v>35.0</v>
      </c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>
      <c r="A322" s="14" t="s">
        <v>1287</v>
      </c>
      <c r="B322" s="17" t="s">
        <v>1288</v>
      </c>
      <c r="C322" s="17" t="s">
        <v>1289</v>
      </c>
      <c r="D322" s="19" t="s">
        <v>1290</v>
      </c>
      <c r="E322" s="20" t="s">
        <v>1291</v>
      </c>
      <c r="F322" s="21">
        <v>24628.0</v>
      </c>
      <c r="G322" s="14">
        <v>59.0</v>
      </c>
      <c r="H322" s="23" t="s">
        <v>26</v>
      </c>
      <c r="I322" s="24" t="s">
        <v>27</v>
      </c>
      <c r="J322" s="19" t="s">
        <v>328</v>
      </c>
      <c r="K322" s="14">
        <v>22.0</v>
      </c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>
      <c r="A323" s="14" t="s">
        <v>1292</v>
      </c>
      <c r="B323" s="17" t="s">
        <v>1293</v>
      </c>
      <c r="C323" s="17" t="s">
        <v>1294</v>
      </c>
      <c r="D323" s="19" t="s">
        <v>1295</v>
      </c>
      <c r="E323" s="20" t="s">
        <v>1084</v>
      </c>
      <c r="F323" s="21">
        <v>31254.0</v>
      </c>
      <c r="G323" s="14">
        <v>41.0</v>
      </c>
      <c r="H323" s="23" t="s">
        <v>26</v>
      </c>
      <c r="I323" s="24" t="s">
        <v>27</v>
      </c>
      <c r="J323" s="19" t="s">
        <v>1296</v>
      </c>
      <c r="K323" s="14">
        <v>17.0</v>
      </c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>
      <c r="A324" s="14" t="s">
        <v>1297</v>
      </c>
      <c r="B324" s="17" t="s">
        <v>1293</v>
      </c>
      <c r="C324" s="17" t="s">
        <v>1298</v>
      </c>
      <c r="D324" s="19" t="s">
        <v>1299</v>
      </c>
      <c r="E324" s="20" t="s">
        <v>104</v>
      </c>
      <c r="F324" s="21">
        <v>29797.0</v>
      </c>
      <c r="G324" s="14">
        <v>45.0</v>
      </c>
      <c r="H324" s="23" t="s">
        <v>26</v>
      </c>
      <c r="I324" s="24" t="s">
        <v>33</v>
      </c>
      <c r="J324" s="19" t="s">
        <v>1296</v>
      </c>
      <c r="K324" s="14">
        <v>17.0</v>
      </c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>
      <c r="A325" s="14" t="s">
        <v>1300</v>
      </c>
      <c r="B325" s="17" t="s">
        <v>1301</v>
      </c>
      <c r="C325" s="17" t="s">
        <v>1302</v>
      </c>
      <c r="D325" s="19" t="s">
        <v>1303</v>
      </c>
      <c r="E325" s="20" t="s">
        <v>337</v>
      </c>
      <c r="F325" s="21">
        <v>37204.0</v>
      </c>
      <c r="G325" s="14">
        <v>24.0</v>
      </c>
      <c r="H325" s="23" t="s">
        <v>26</v>
      </c>
      <c r="I325" s="24" t="s">
        <v>27</v>
      </c>
      <c r="J325" s="19" t="s">
        <v>156</v>
      </c>
      <c r="K325" s="14">
        <v>33.0</v>
      </c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>
      <c r="A326" s="14" t="s">
        <v>1304</v>
      </c>
      <c r="B326" s="17" t="s">
        <v>1301</v>
      </c>
      <c r="C326" s="17" t="s">
        <v>1305</v>
      </c>
      <c r="D326" s="19" t="s">
        <v>1048</v>
      </c>
      <c r="E326" s="20" t="s">
        <v>67</v>
      </c>
      <c r="F326" s="21">
        <v>27885.0</v>
      </c>
      <c r="G326" s="14">
        <v>50.0</v>
      </c>
      <c r="H326" s="23" t="s">
        <v>26</v>
      </c>
      <c r="I326" s="24" t="s">
        <v>27</v>
      </c>
      <c r="J326" s="19" t="s">
        <v>156</v>
      </c>
      <c r="K326" s="14">
        <v>33.0</v>
      </c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>
      <c r="A327" s="14" t="s">
        <v>1306</v>
      </c>
      <c r="B327" s="17" t="s">
        <v>1301</v>
      </c>
      <c r="C327" s="17" t="s">
        <v>1307</v>
      </c>
      <c r="D327" s="19" t="s">
        <v>1308</v>
      </c>
      <c r="E327" s="20" t="s">
        <v>67</v>
      </c>
      <c r="F327" s="21">
        <v>25692.0</v>
      </c>
      <c r="G327" s="14">
        <v>56.0</v>
      </c>
      <c r="H327" s="23" t="s">
        <v>26</v>
      </c>
      <c r="I327" s="24" t="s">
        <v>33</v>
      </c>
      <c r="J327" s="19" t="s">
        <v>156</v>
      </c>
      <c r="K327" s="14">
        <v>33.0</v>
      </c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>
      <c r="A328" s="14" t="s">
        <v>1309</v>
      </c>
      <c r="B328" s="17" t="s">
        <v>1310</v>
      </c>
      <c r="C328" s="17" t="s">
        <v>1311</v>
      </c>
      <c r="D328" s="19" t="s">
        <v>1312</v>
      </c>
      <c r="E328" s="20" t="s">
        <v>53</v>
      </c>
      <c r="F328" s="21">
        <v>35816.0</v>
      </c>
      <c r="G328" s="14">
        <v>28.0</v>
      </c>
      <c r="H328" s="23" t="s">
        <v>100</v>
      </c>
      <c r="I328" s="24" t="s">
        <v>27</v>
      </c>
      <c r="J328" s="19" t="s">
        <v>328</v>
      </c>
      <c r="K328" s="14">
        <v>22.0</v>
      </c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>
      <c r="A329" s="14" t="s">
        <v>1313</v>
      </c>
      <c r="B329" s="17" t="s">
        <v>1310</v>
      </c>
      <c r="C329" s="17" t="s">
        <v>1314</v>
      </c>
      <c r="D329" s="19" t="s">
        <v>1315</v>
      </c>
      <c r="E329" s="20" t="s">
        <v>632</v>
      </c>
      <c r="F329" s="21">
        <v>23988.0</v>
      </c>
      <c r="G329" s="14">
        <v>60.0</v>
      </c>
      <c r="H329" s="23" t="s">
        <v>26</v>
      </c>
      <c r="I329" s="24" t="s">
        <v>33</v>
      </c>
      <c r="J329" s="19" t="s">
        <v>328</v>
      </c>
      <c r="K329" s="14">
        <v>22.0</v>
      </c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>
      <c r="A330" s="14" t="s">
        <v>1316</v>
      </c>
      <c r="B330" s="17" t="s">
        <v>1310</v>
      </c>
      <c r="C330" s="17" t="s">
        <v>1317</v>
      </c>
      <c r="D330" s="19" t="s">
        <v>1318</v>
      </c>
      <c r="E330" s="20" t="s">
        <v>632</v>
      </c>
      <c r="F330" s="21">
        <v>26485.0</v>
      </c>
      <c r="G330" s="14">
        <v>54.0</v>
      </c>
      <c r="H330" s="23" t="s">
        <v>26</v>
      </c>
      <c r="I330" s="24" t="s">
        <v>27</v>
      </c>
      <c r="J330" s="19" t="s">
        <v>328</v>
      </c>
      <c r="K330" s="14">
        <v>22.0</v>
      </c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>
      <c r="A331" s="14" t="s">
        <v>1320</v>
      </c>
      <c r="B331" s="17" t="s">
        <v>1321</v>
      </c>
      <c r="C331" s="17" t="s">
        <v>1322</v>
      </c>
      <c r="D331" s="19" t="s">
        <v>1323</v>
      </c>
      <c r="E331" s="20" t="s">
        <v>104</v>
      </c>
      <c r="F331" s="21">
        <v>36293.0</v>
      </c>
      <c r="G331" s="14">
        <v>27.0</v>
      </c>
      <c r="H331" s="23" t="s">
        <v>100</v>
      </c>
      <c r="I331" s="24" t="s">
        <v>27</v>
      </c>
      <c r="J331" s="19" t="s">
        <v>53</v>
      </c>
      <c r="K331" s="14">
        <v>22.0</v>
      </c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>
      <c r="A332" s="14" t="s">
        <v>1324</v>
      </c>
      <c r="B332" s="17" t="s">
        <v>1321</v>
      </c>
      <c r="C332" s="17" t="s">
        <v>1325</v>
      </c>
      <c r="D332" s="19" t="s">
        <v>1326</v>
      </c>
      <c r="E332" s="20" t="s">
        <v>632</v>
      </c>
      <c r="F332" s="21">
        <v>23837.0</v>
      </c>
      <c r="G332" s="14">
        <v>61.0</v>
      </c>
      <c r="H332" s="23" t="s">
        <v>26</v>
      </c>
      <c r="I332" s="24" t="s">
        <v>33</v>
      </c>
      <c r="J332" s="19" t="s">
        <v>53</v>
      </c>
      <c r="K332" s="14">
        <v>22.0</v>
      </c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>
      <c r="A333" s="14" t="s">
        <v>1327</v>
      </c>
      <c r="B333" s="17" t="s">
        <v>1321</v>
      </c>
      <c r="C333" s="17" t="s">
        <v>1328</v>
      </c>
      <c r="D333" s="19" t="s">
        <v>1329</v>
      </c>
      <c r="E333" s="20" t="s">
        <v>337</v>
      </c>
      <c r="F333" s="21">
        <v>34138.0</v>
      </c>
      <c r="G333" s="14">
        <v>33.0</v>
      </c>
      <c r="H333" s="23" t="s">
        <v>100</v>
      </c>
      <c r="I333" s="24" t="s">
        <v>33</v>
      </c>
      <c r="J333" s="19" t="s">
        <v>53</v>
      </c>
      <c r="K333" s="14">
        <v>22.0</v>
      </c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>
      <c r="A334" s="14" t="s">
        <v>1331</v>
      </c>
      <c r="B334" s="17" t="s">
        <v>1321</v>
      </c>
      <c r="C334" s="17" t="s">
        <v>1332</v>
      </c>
      <c r="D334" s="19" t="s">
        <v>1333</v>
      </c>
      <c r="E334" s="20" t="s">
        <v>1291</v>
      </c>
      <c r="F334" s="21">
        <v>27198.0</v>
      </c>
      <c r="G334" s="14">
        <v>52.0</v>
      </c>
      <c r="H334" s="23" t="s">
        <v>26</v>
      </c>
      <c r="I334" s="24" t="s">
        <v>27</v>
      </c>
      <c r="J334" s="19" t="s">
        <v>53</v>
      </c>
      <c r="K334" s="14">
        <v>22.0</v>
      </c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>
      <c r="A335" s="14" t="s">
        <v>1334</v>
      </c>
      <c r="B335" s="17" t="s">
        <v>1335</v>
      </c>
      <c r="C335" s="17" t="s">
        <v>1336</v>
      </c>
      <c r="D335" s="19" t="s">
        <v>1337</v>
      </c>
      <c r="E335" s="20" t="s">
        <v>53</v>
      </c>
      <c r="F335" s="27">
        <v>34287.0</v>
      </c>
      <c r="G335" s="14">
        <v>32.0</v>
      </c>
      <c r="H335" s="23" t="s">
        <v>26</v>
      </c>
      <c r="I335" s="24" t="s">
        <v>27</v>
      </c>
      <c r="J335" s="19" t="s">
        <v>1338</v>
      </c>
      <c r="K335" s="14">
        <v>18.0</v>
      </c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>
      <c r="A336" s="14" t="s">
        <v>1339</v>
      </c>
      <c r="B336" s="17" t="s">
        <v>1335</v>
      </c>
      <c r="C336" s="17" t="s">
        <v>1340</v>
      </c>
      <c r="D336" s="19" t="s">
        <v>1341</v>
      </c>
      <c r="E336" s="20" t="s">
        <v>195</v>
      </c>
      <c r="F336" s="21">
        <v>32787.0</v>
      </c>
      <c r="G336" s="14">
        <v>36.0</v>
      </c>
      <c r="H336" s="23" t="s">
        <v>26</v>
      </c>
      <c r="I336" s="24" t="s">
        <v>33</v>
      </c>
      <c r="J336" s="19" t="s">
        <v>1338</v>
      </c>
      <c r="K336" s="14">
        <v>18.0</v>
      </c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>
      <c r="A337" s="14" t="s">
        <v>1342</v>
      </c>
      <c r="B337" s="17" t="s">
        <v>1343</v>
      </c>
      <c r="C337" s="17" t="s">
        <v>1344</v>
      </c>
      <c r="D337" s="19" t="s">
        <v>1345</v>
      </c>
      <c r="E337" s="20" t="s">
        <v>1346</v>
      </c>
      <c r="F337" s="21">
        <v>33755.0</v>
      </c>
      <c r="G337" s="14">
        <v>34.0</v>
      </c>
      <c r="H337" s="23" t="s">
        <v>26</v>
      </c>
      <c r="I337" s="24" t="s">
        <v>27</v>
      </c>
      <c r="J337" s="19" t="s">
        <v>257</v>
      </c>
      <c r="K337" s="14">
        <v>29.0</v>
      </c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>
      <c r="A338" s="14" t="s">
        <v>1347</v>
      </c>
      <c r="B338" s="17" t="s">
        <v>1343</v>
      </c>
      <c r="C338" s="17" t="s">
        <v>1348</v>
      </c>
      <c r="D338" s="19" t="s">
        <v>1349</v>
      </c>
      <c r="E338" s="20" t="s">
        <v>104</v>
      </c>
      <c r="F338" s="21">
        <v>33497.0</v>
      </c>
      <c r="G338" s="14">
        <v>34.0</v>
      </c>
      <c r="H338" s="23" t="s">
        <v>26</v>
      </c>
      <c r="I338" s="24" t="s">
        <v>33</v>
      </c>
      <c r="J338" s="19" t="s">
        <v>257</v>
      </c>
      <c r="K338" s="14">
        <v>29.0</v>
      </c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>
      <c r="A339" s="14" t="s">
        <v>1350</v>
      </c>
      <c r="B339" s="17" t="s">
        <v>1351</v>
      </c>
      <c r="C339" s="17" t="s">
        <v>1352</v>
      </c>
      <c r="D339" s="19" t="s">
        <v>1353</v>
      </c>
      <c r="E339" s="20" t="s">
        <v>112</v>
      </c>
      <c r="F339" s="21">
        <v>31513.0</v>
      </c>
      <c r="G339" s="14">
        <v>40.0</v>
      </c>
      <c r="H339" s="23" t="s">
        <v>26</v>
      </c>
      <c r="I339" s="24" t="s">
        <v>33</v>
      </c>
      <c r="J339" s="19" t="s">
        <v>517</v>
      </c>
      <c r="K339" s="14">
        <v>9.0</v>
      </c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>
      <c r="A340" s="14" t="s">
        <v>1354</v>
      </c>
      <c r="B340" s="17" t="s">
        <v>1351</v>
      </c>
      <c r="C340" s="17" t="s">
        <v>1355</v>
      </c>
      <c r="D340" s="19" t="s">
        <v>1356</v>
      </c>
      <c r="E340" s="20" t="s">
        <v>1357</v>
      </c>
      <c r="F340" s="27">
        <v>34997.0</v>
      </c>
      <c r="G340" s="14">
        <v>30.0</v>
      </c>
      <c r="H340" s="23" t="s">
        <v>26</v>
      </c>
      <c r="I340" s="24" t="s">
        <v>27</v>
      </c>
      <c r="J340" s="19" t="s">
        <v>517</v>
      </c>
      <c r="K340" s="14">
        <v>9.0</v>
      </c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>
      <c r="A341" s="14" t="s">
        <v>1358</v>
      </c>
      <c r="B341" s="17" t="s">
        <v>1359</v>
      </c>
      <c r="C341" s="17" t="s">
        <v>1360</v>
      </c>
      <c r="D341" s="19" t="s">
        <v>1361</v>
      </c>
      <c r="E341" s="20" t="s">
        <v>1362</v>
      </c>
      <c r="F341" s="21">
        <v>35458.0</v>
      </c>
      <c r="G341" s="14">
        <v>29.0</v>
      </c>
      <c r="H341" s="23" t="s">
        <v>26</v>
      </c>
      <c r="I341" s="24" t="s">
        <v>33</v>
      </c>
      <c r="J341" s="19" t="s">
        <v>783</v>
      </c>
      <c r="K341" s="14">
        <v>20.0</v>
      </c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>
      <c r="A342" s="14" t="s">
        <v>1363</v>
      </c>
      <c r="B342" s="17" t="s">
        <v>1359</v>
      </c>
      <c r="C342" s="17" t="s">
        <v>1364</v>
      </c>
      <c r="D342" s="19" t="s">
        <v>1365</v>
      </c>
      <c r="E342" s="20" t="s">
        <v>104</v>
      </c>
      <c r="F342" s="21">
        <v>33770.0</v>
      </c>
      <c r="G342" s="14">
        <v>34.0</v>
      </c>
      <c r="H342" s="23" t="s">
        <v>26</v>
      </c>
      <c r="I342" s="24" t="s">
        <v>27</v>
      </c>
      <c r="J342" s="19" t="s">
        <v>783</v>
      </c>
      <c r="K342" s="14">
        <v>20.0</v>
      </c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>
      <c r="A343" s="14" t="s">
        <v>1366</v>
      </c>
      <c r="B343" s="17" t="s">
        <v>1367</v>
      </c>
      <c r="C343" s="17" t="s">
        <v>1368</v>
      </c>
      <c r="D343" s="19" t="s">
        <v>1369</v>
      </c>
      <c r="E343" s="20" t="s">
        <v>1370</v>
      </c>
      <c r="F343" s="21">
        <v>34893.0</v>
      </c>
      <c r="G343" s="14">
        <v>31.0</v>
      </c>
      <c r="H343" s="23" t="s">
        <v>26</v>
      </c>
      <c r="I343" s="24" t="s">
        <v>27</v>
      </c>
      <c r="J343" s="19" t="s">
        <v>68</v>
      </c>
      <c r="K343" s="14">
        <v>33.0</v>
      </c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>
      <c r="A344" s="14" t="s">
        <v>1371</v>
      </c>
      <c r="B344" s="17" t="s">
        <v>1367</v>
      </c>
      <c r="C344" s="17" t="s">
        <v>1372</v>
      </c>
      <c r="D344" s="19" t="s">
        <v>1373</v>
      </c>
      <c r="E344" s="20" t="s">
        <v>104</v>
      </c>
      <c r="F344" s="21">
        <v>34930.0</v>
      </c>
      <c r="G344" s="14">
        <v>31.0</v>
      </c>
      <c r="H344" s="23" t="s">
        <v>26</v>
      </c>
      <c r="I344" s="24" t="s">
        <v>33</v>
      </c>
      <c r="J344" s="19" t="s">
        <v>68</v>
      </c>
      <c r="K344" s="14">
        <v>33.0</v>
      </c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>
      <c r="A345" s="14" t="s">
        <v>1374</v>
      </c>
      <c r="B345" s="17" t="s">
        <v>1375</v>
      </c>
      <c r="C345" s="17" t="s">
        <v>1376</v>
      </c>
      <c r="D345" s="19" t="s">
        <v>1377</v>
      </c>
      <c r="E345" s="20" t="s">
        <v>104</v>
      </c>
      <c r="F345" s="27">
        <v>35018.0</v>
      </c>
      <c r="G345" s="14">
        <v>30.0</v>
      </c>
      <c r="H345" s="23" t="s">
        <v>26</v>
      </c>
      <c r="I345" s="24" t="s">
        <v>33</v>
      </c>
      <c r="J345" s="19" t="s">
        <v>68</v>
      </c>
      <c r="K345" s="14">
        <v>34.0</v>
      </c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>
      <c r="A346" s="14" t="s">
        <v>1378</v>
      </c>
      <c r="B346" s="17" t="s">
        <v>1375</v>
      </c>
      <c r="C346" s="17" t="s">
        <v>1379</v>
      </c>
      <c r="D346" s="19" t="s">
        <v>1380</v>
      </c>
      <c r="E346" s="20" t="s">
        <v>1381</v>
      </c>
      <c r="F346" s="21">
        <v>36421.0</v>
      </c>
      <c r="G346" s="14">
        <v>26.0</v>
      </c>
      <c r="H346" s="23" t="s">
        <v>26</v>
      </c>
      <c r="I346" s="24" t="s">
        <v>27</v>
      </c>
      <c r="J346" s="19" t="s">
        <v>68</v>
      </c>
      <c r="K346" s="14">
        <v>34.0</v>
      </c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>
      <c r="A347" s="14" t="s">
        <v>1382</v>
      </c>
      <c r="B347" s="17" t="s">
        <v>1383</v>
      </c>
      <c r="C347" s="17" t="s">
        <v>1384</v>
      </c>
      <c r="D347" s="19" t="s">
        <v>1385</v>
      </c>
      <c r="E347" s="20" t="s">
        <v>1386</v>
      </c>
      <c r="F347" s="21">
        <v>29291.0</v>
      </c>
      <c r="G347" s="14">
        <v>46.0</v>
      </c>
      <c r="H347" s="23" t="s">
        <v>26</v>
      </c>
      <c r="I347" s="24" t="s">
        <v>27</v>
      </c>
      <c r="J347" s="19" t="s">
        <v>1387</v>
      </c>
      <c r="K347" s="14">
        <v>6.0</v>
      </c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>
      <c r="A348" s="14" t="s">
        <v>1388</v>
      </c>
      <c r="B348" s="17" t="s">
        <v>1383</v>
      </c>
      <c r="C348" s="17" t="s">
        <v>1389</v>
      </c>
      <c r="D348" s="19" t="s">
        <v>1390</v>
      </c>
      <c r="E348" s="20" t="s">
        <v>104</v>
      </c>
      <c r="F348" s="21">
        <v>29261.0</v>
      </c>
      <c r="G348" s="14">
        <v>46.0</v>
      </c>
      <c r="H348" s="23" t="s">
        <v>26</v>
      </c>
      <c r="I348" s="24" t="s">
        <v>33</v>
      </c>
      <c r="J348" s="19" t="s">
        <v>1387</v>
      </c>
      <c r="K348" s="14">
        <v>6.0</v>
      </c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>
      <c r="A349" s="14" t="s">
        <v>1391</v>
      </c>
      <c r="B349" s="17" t="s">
        <v>1383</v>
      </c>
      <c r="C349" s="17" t="s">
        <v>1392</v>
      </c>
      <c r="D349" s="19" t="s">
        <v>1393</v>
      </c>
      <c r="E349" s="20" t="s">
        <v>104</v>
      </c>
      <c r="F349" s="21">
        <v>35999.0</v>
      </c>
      <c r="G349" s="14">
        <v>28.0</v>
      </c>
      <c r="H349" s="23" t="s">
        <v>100</v>
      </c>
      <c r="I349" s="24" t="s">
        <v>27</v>
      </c>
      <c r="J349" s="19" t="s">
        <v>1387</v>
      </c>
      <c r="K349" s="14">
        <v>6.0</v>
      </c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>
      <c r="A350" s="14" t="s">
        <v>1394</v>
      </c>
      <c r="B350" s="17" t="s">
        <v>1395</v>
      </c>
      <c r="C350" s="17" t="s">
        <v>1396</v>
      </c>
      <c r="D350" s="19" t="s">
        <v>1397</v>
      </c>
      <c r="E350" s="20" t="s">
        <v>219</v>
      </c>
      <c r="F350" s="21">
        <v>31828.0</v>
      </c>
      <c r="G350" s="14">
        <v>39.0</v>
      </c>
      <c r="H350" s="23" t="s">
        <v>26</v>
      </c>
      <c r="I350" s="24" t="s">
        <v>27</v>
      </c>
      <c r="J350" s="19" t="s">
        <v>68</v>
      </c>
      <c r="K350" s="14">
        <v>34.0</v>
      </c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>
      <c r="A351" s="14" t="s">
        <v>1398</v>
      </c>
      <c r="B351" s="17" t="s">
        <v>1399</v>
      </c>
      <c r="C351" s="17" t="s">
        <v>1400</v>
      </c>
      <c r="D351" s="19" t="s">
        <v>1401</v>
      </c>
      <c r="E351" s="20" t="s">
        <v>104</v>
      </c>
      <c r="F351" s="21">
        <v>37811.0</v>
      </c>
      <c r="G351" s="14">
        <v>23.0</v>
      </c>
      <c r="H351" s="23" t="s">
        <v>100</v>
      </c>
      <c r="I351" s="24" t="s">
        <v>27</v>
      </c>
      <c r="J351" s="19" t="s">
        <v>146</v>
      </c>
      <c r="K351" s="14">
        <v>19.0</v>
      </c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>
      <c r="A352" s="14" t="s">
        <v>1402</v>
      </c>
      <c r="B352" s="17" t="s">
        <v>1399</v>
      </c>
      <c r="C352" s="17" t="s">
        <v>1403</v>
      </c>
      <c r="D352" s="19" t="s">
        <v>1404</v>
      </c>
      <c r="E352" s="20" t="s">
        <v>104</v>
      </c>
      <c r="F352" s="21">
        <v>28709.0</v>
      </c>
      <c r="G352" s="14">
        <v>48.0</v>
      </c>
      <c r="H352" s="23" t="s">
        <v>26</v>
      </c>
      <c r="I352" s="24" t="s">
        <v>27</v>
      </c>
      <c r="J352" s="19" t="s">
        <v>146</v>
      </c>
      <c r="K352" s="14">
        <v>19.0</v>
      </c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>
      <c r="A353" s="14" t="s">
        <v>1405</v>
      </c>
      <c r="B353" s="17" t="s">
        <v>1399</v>
      </c>
      <c r="C353" s="17" t="s">
        <v>1406</v>
      </c>
      <c r="D353" s="19" t="s">
        <v>1407</v>
      </c>
      <c r="E353" s="20" t="s">
        <v>1408</v>
      </c>
      <c r="F353" s="21">
        <v>27730.0</v>
      </c>
      <c r="G353" s="14">
        <v>50.0</v>
      </c>
      <c r="H353" s="23" t="s">
        <v>26</v>
      </c>
      <c r="I353" s="24" t="s">
        <v>33</v>
      </c>
      <c r="J353" s="19" t="s">
        <v>146</v>
      </c>
      <c r="K353" s="14">
        <v>19.0</v>
      </c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>
      <c r="A354" s="14" t="s">
        <v>1409</v>
      </c>
      <c r="B354" s="17" t="s">
        <v>1410</v>
      </c>
      <c r="C354" s="17" t="s">
        <v>1411</v>
      </c>
      <c r="D354" s="19" t="s">
        <v>1412</v>
      </c>
      <c r="E354" s="20" t="s">
        <v>1413</v>
      </c>
      <c r="F354" s="21">
        <v>21555.0</v>
      </c>
      <c r="G354" s="14">
        <v>67.0</v>
      </c>
      <c r="H354" s="23" t="s">
        <v>26</v>
      </c>
      <c r="I354" s="24" t="s">
        <v>27</v>
      </c>
      <c r="J354" s="19" t="s">
        <v>146</v>
      </c>
      <c r="K354" s="14">
        <v>10.0</v>
      </c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>
      <c r="A355" s="14" t="s">
        <v>1414</v>
      </c>
      <c r="B355" s="17" t="s">
        <v>1410</v>
      </c>
      <c r="C355" s="17" t="s">
        <v>1415</v>
      </c>
      <c r="D355" s="19" t="s">
        <v>1416</v>
      </c>
      <c r="E355" s="20" t="s">
        <v>1413</v>
      </c>
      <c r="F355" s="21">
        <v>20151.0</v>
      </c>
      <c r="G355" s="14">
        <v>71.0</v>
      </c>
      <c r="H355" s="23" t="s">
        <v>26</v>
      </c>
      <c r="I355" s="24" t="s">
        <v>33</v>
      </c>
      <c r="J355" s="19" t="s">
        <v>146</v>
      </c>
      <c r="K355" s="14">
        <v>10.0</v>
      </c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>
      <c r="A356" s="14" t="s">
        <v>1417</v>
      </c>
      <c r="B356" s="17" t="s">
        <v>1418</v>
      </c>
      <c r="C356" s="17" t="s">
        <v>1419</v>
      </c>
      <c r="D356" s="19" t="s">
        <v>1420</v>
      </c>
      <c r="E356" s="20" t="s">
        <v>632</v>
      </c>
      <c r="F356" s="27">
        <v>24468.0</v>
      </c>
      <c r="G356" s="14">
        <v>59.0</v>
      </c>
      <c r="H356" s="23" t="s">
        <v>26</v>
      </c>
      <c r="I356" s="24" t="s">
        <v>33</v>
      </c>
      <c r="J356" s="19" t="s">
        <v>58</v>
      </c>
      <c r="K356" s="14">
        <v>8.0</v>
      </c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>
      <c r="A357" s="14" t="s">
        <v>1422</v>
      </c>
      <c r="B357" s="17" t="s">
        <v>1418</v>
      </c>
      <c r="C357" s="17" t="s">
        <v>1423</v>
      </c>
      <c r="D357" s="19" t="s">
        <v>1424</v>
      </c>
      <c r="E357" s="20" t="s">
        <v>632</v>
      </c>
      <c r="F357" s="21">
        <v>22350.0</v>
      </c>
      <c r="G357" s="14">
        <v>65.0</v>
      </c>
      <c r="H357" s="23" t="s">
        <v>27</v>
      </c>
      <c r="I357" s="24" t="s">
        <v>27</v>
      </c>
      <c r="J357" s="19" t="s">
        <v>58</v>
      </c>
      <c r="K357" s="14">
        <v>8.0</v>
      </c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>
      <c r="A358" s="14" t="s">
        <v>1426</v>
      </c>
      <c r="B358" s="17" t="s">
        <v>1418</v>
      </c>
      <c r="C358" s="17" t="s">
        <v>1427</v>
      </c>
      <c r="D358" s="19" t="s">
        <v>1428</v>
      </c>
      <c r="E358" s="20" t="s">
        <v>1429</v>
      </c>
      <c r="F358" s="21">
        <v>24994.0</v>
      </c>
      <c r="G358" s="14">
        <v>58.0</v>
      </c>
      <c r="H358" s="23" t="s">
        <v>26</v>
      </c>
      <c r="I358" s="24" t="s">
        <v>27</v>
      </c>
      <c r="J358" s="19" t="s">
        <v>58</v>
      </c>
      <c r="K358" s="14">
        <v>8.0</v>
      </c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>
      <c r="A359" s="14" t="s">
        <v>1430</v>
      </c>
      <c r="B359" s="17" t="s">
        <v>1418</v>
      </c>
      <c r="C359" s="17" t="s">
        <v>1431</v>
      </c>
      <c r="D359" s="19" t="s">
        <v>1432</v>
      </c>
      <c r="E359" s="20" t="s">
        <v>53</v>
      </c>
      <c r="F359" s="21">
        <v>37440.0</v>
      </c>
      <c r="G359" s="14">
        <v>24.0</v>
      </c>
      <c r="H359" s="23" t="s">
        <v>100</v>
      </c>
      <c r="I359" s="24" t="s">
        <v>27</v>
      </c>
      <c r="J359" s="19" t="s">
        <v>58</v>
      </c>
      <c r="K359" s="14">
        <v>8.0</v>
      </c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>
      <c r="A360" s="14" t="s">
        <v>1433</v>
      </c>
      <c r="B360" s="17" t="s">
        <v>1434</v>
      </c>
      <c r="C360" s="17" t="s">
        <v>1435</v>
      </c>
      <c r="D360" s="19" t="s">
        <v>1436</v>
      </c>
      <c r="E360" s="20" t="s">
        <v>624</v>
      </c>
      <c r="F360" s="21">
        <v>30332.0</v>
      </c>
      <c r="G360" s="14">
        <v>43.0</v>
      </c>
      <c r="H360" s="23" t="s">
        <v>26</v>
      </c>
      <c r="I360" s="24" t="s">
        <v>33</v>
      </c>
      <c r="J360" s="19" t="s">
        <v>1437</v>
      </c>
      <c r="K360" s="14">
        <v>28.0</v>
      </c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>
      <c r="A361" s="14" t="s">
        <v>1438</v>
      </c>
      <c r="B361" s="17" t="s">
        <v>1434</v>
      </c>
      <c r="C361" s="17" t="s">
        <v>1439</v>
      </c>
      <c r="D361" s="19" t="s">
        <v>1440</v>
      </c>
      <c r="E361" s="20" t="s">
        <v>104</v>
      </c>
      <c r="F361" s="21">
        <v>28962.0</v>
      </c>
      <c r="G361" s="14">
        <v>47.0</v>
      </c>
      <c r="H361" s="23" t="s">
        <v>26</v>
      </c>
      <c r="I361" s="24" t="s">
        <v>27</v>
      </c>
      <c r="J361" s="19" t="s">
        <v>1437</v>
      </c>
      <c r="K361" s="14">
        <v>28.0</v>
      </c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>
      <c r="A362" s="14" t="s">
        <v>1441</v>
      </c>
      <c r="B362" s="17" t="s">
        <v>1434</v>
      </c>
      <c r="C362" s="17" t="s">
        <v>1442</v>
      </c>
      <c r="D362" s="19" t="s">
        <v>1443</v>
      </c>
      <c r="E362" s="20" t="s">
        <v>104</v>
      </c>
      <c r="F362" s="21">
        <v>37825.0</v>
      </c>
      <c r="G362" s="14">
        <v>23.0</v>
      </c>
      <c r="H362" s="23" t="s">
        <v>100</v>
      </c>
      <c r="I362" s="24" t="s">
        <v>27</v>
      </c>
      <c r="J362" s="19" t="s">
        <v>1437</v>
      </c>
      <c r="K362" s="14">
        <v>28.0</v>
      </c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>
      <c r="A363" s="14" t="s">
        <v>1444</v>
      </c>
      <c r="B363" s="17" t="s">
        <v>1445</v>
      </c>
      <c r="C363" s="17" t="s">
        <v>1446</v>
      </c>
      <c r="D363" s="19" t="s">
        <v>1447</v>
      </c>
      <c r="E363" s="20" t="s">
        <v>434</v>
      </c>
      <c r="F363" s="21">
        <v>28391.0</v>
      </c>
      <c r="G363" s="14">
        <v>48.0</v>
      </c>
      <c r="H363" s="23" t="s">
        <v>26</v>
      </c>
      <c r="I363" s="24" t="s">
        <v>33</v>
      </c>
      <c r="J363" s="19" t="s">
        <v>206</v>
      </c>
      <c r="K363" s="14">
        <v>2.0</v>
      </c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>
      <c r="A364" s="14" t="s">
        <v>1448</v>
      </c>
      <c r="B364" s="17" t="s">
        <v>1445</v>
      </c>
      <c r="C364" s="17" t="s">
        <v>1449</v>
      </c>
      <c r="D364" s="19" t="s">
        <v>1450</v>
      </c>
      <c r="E364" s="20" t="s">
        <v>434</v>
      </c>
      <c r="F364" s="27">
        <v>26599.0</v>
      </c>
      <c r="G364" s="14">
        <v>53.0</v>
      </c>
      <c r="H364" s="23" t="s">
        <v>26</v>
      </c>
      <c r="I364" s="24" t="s">
        <v>27</v>
      </c>
      <c r="J364" s="19" t="s">
        <v>206</v>
      </c>
      <c r="K364" s="14">
        <v>2.0</v>
      </c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>
      <c r="A365" s="14" t="s">
        <v>1451</v>
      </c>
      <c r="B365" s="17" t="s">
        <v>1452</v>
      </c>
      <c r="C365" s="17" t="s">
        <v>1453</v>
      </c>
      <c r="D365" s="19" t="s">
        <v>1454</v>
      </c>
      <c r="E365" s="20" t="s">
        <v>138</v>
      </c>
      <c r="F365" s="21">
        <v>36865.0</v>
      </c>
      <c r="G365" s="14">
        <v>25.0</v>
      </c>
      <c r="H365" s="23" t="s">
        <v>100</v>
      </c>
      <c r="I365" s="24" t="s">
        <v>33</v>
      </c>
      <c r="J365" s="19" t="s">
        <v>53</v>
      </c>
      <c r="K365" s="14">
        <v>6.0</v>
      </c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>
      <c r="A366" s="14" t="s">
        <v>1455</v>
      </c>
      <c r="B366" s="17" t="s">
        <v>1452</v>
      </c>
      <c r="C366" s="17" t="s">
        <v>1456</v>
      </c>
      <c r="D366" s="19" t="s">
        <v>1457</v>
      </c>
      <c r="E366" s="20" t="s">
        <v>434</v>
      </c>
      <c r="F366" s="21">
        <v>27649.0</v>
      </c>
      <c r="G366" s="14">
        <v>50.0</v>
      </c>
      <c r="H366" s="23" t="s">
        <v>26</v>
      </c>
      <c r="I366" s="24" t="s">
        <v>27</v>
      </c>
      <c r="J366" s="19" t="s">
        <v>53</v>
      </c>
      <c r="K366" s="14">
        <v>6.0</v>
      </c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>
      <c r="A367" s="14" t="s">
        <v>1458</v>
      </c>
      <c r="B367" s="17" t="s">
        <v>1452</v>
      </c>
      <c r="C367" s="17" t="s">
        <v>1459</v>
      </c>
      <c r="D367" s="19" t="s">
        <v>1460</v>
      </c>
      <c r="E367" s="20" t="s">
        <v>890</v>
      </c>
      <c r="F367" s="27">
        <v>23728.0</v>
      </c>
      <c r="G367" s="14">
        <v>61.0</v>
      </c>
      <c r="H367" s="23" t="s">
        <v>26</v>
      </c>
      <c r="I367" s="24" t="s">
        <v>33</v>
      </c>
      <c r="J367" s="19" t="s">
        <v>53</v>
      </c>
      <c r="K367" s="14">
        <v>6.0</v>
      </c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>
      <c r="A368" s="14" t="s">
        <v>1461</v>
      </c>
      <c r="B368" s="17" t="s">
        <v>1452</v>
      </c>
      <c r="C368" s="17" t="s">
        <v>1462</v>
      </c>
      <c r="D368" s="19" t="s">
        <v>1463</v>
      </c>
      <c r="E368" s="20" t="s">
        <v>53</v>
      </c>
      <c r="F368" s="21">
        <v>35505.0</v>
      </c>
      <c r="G368" s="14">
        <v>29.0</v>
      </c>
      <c r="H368" s="23" t="s">
        <v>100</v>
      </c>
      <c r="I368" s="24" t="s">
        <v>33</v>
      </c>
      <c r="J368" s="19" t="s">
        <v>53</v>
      </c>
      <c r="K368" s="14">
        <v>6.0</v>
      </c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>
      <c r="A369" s="14" t="s">
        <v>1464</v>
      </c>
      <c r="B369" s="17" t="s">
        <v>1465</v>
      </c>
      <c r="C369" s="17" t="s">
        <v>1466</v>
      </c>
      <c r="D369" s="19" t="s">
        <v>1467</v>
      </c>
      <c r="E369" s="20" t="s">
        <v>1468</v>
      </c>
      <c r="F369" s="21">
        <v>31292.0</v>
      </c>
      <c r="G369" s="14">
        <v>40.0</v>
      </c>
      <c r="H369" s="23" t="s">
        <v>26</v>
      </c>
      <c r="I369" s="24" t="s">
        <v>33</v>
      </c>
      <c r="J369" s="19" t="s">
        <v>53</v>
      </c>
      <c r="K369" s="14">
        <v>2.0</v>
      </c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>
      <c r="A370" s="14" t="s">
        <v>1469</v>
      </c>
      <c r="B370" s="17" t="s">
        <v>1465</v>
      </c>
      <c r="C370" s="17" t="s">
        <v>1470</v>
      </c>
      <c r="D370" s="19" t="s">
        <v>1471</v>
      </c>
      <c r="E370" s="20" t="s">
        <v>1269</v>
      </c>
      <c r="F370" s="21">
        <v>30133.0</v>
      </c>
      <c r="G370" s="14">
        <v>44.0</v>
      </c>
      <c r="H370" s="23" t="s">
        <v>26</v>
      </c>
      <c r="I370" s="24" t="s">
        <v>27</v>
      </c>
      <c r="J370" s="19" t="s">
        <v>53</v>
      </c>
      <c r="K370" s="14">
        <v>2.0</v>
      </c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>
      <c r="A371" s="14" t="s">
        <v>1472</v>
      </c>
      <c r="B371" s="17" t="s">
        <v>1473</v>
      </c>
      <c r="C371" s="17" t="s">
        <v>1474</v>
      </c>
      <c r="D371" s="19" t="s">
        <v>1475</v>
      </c>
      <c r="E371" s="20" t="s">
        <v>104</v>
      </c>
      <c r="F371" s="21">
        <v>30471.0</v>
      </c>
      <c r="G371" s="14">
        <v>43.0</v>
      </c>
      <c r="H371" s="23" t="s">
        <v>26</v>
      </c>
      <c r="I371" s="24" t="s">
        <v>27</v>
      </c>
      <c r="J371" s="19" t="s">
        <v>53</v>
      </c>
      <c r="K371" s="14">
        <v>16.0</v>
      </c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>
      <c r="A372" s="14" t="s">
        <v>1476</v>
      </c>
      <c r="B372" s="17" t="s">
        <v>1473</v>
      </c>
      <c r="C372" s="17" t="s">
        <v>1478</v>
      </c>
      <c r="D372" s="19" t="s">
        <v>1480</v>
      </c>
      <c r="E372" s="20" t="s">
        <v>104</v>
      </c>
      <c r="F372" s="21">
        <v>30233.0</v>
      </c>
      <c r="G372" s="14">
        <v>43.0</v>
      </c>
      <c r="H372" s="23" t="s">
        <v>26</v>
      </c>
      <c r="I372" s="24" t="s">
        <v>33</v>
      </c>
      <c r="J372" s="19" t="s">
        <v>53</v>
      </c>
      <c r="K372" s="14">
        <v>16.0</v>
      </c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>
      <c r="A373" s="14" t="s">
        <v>1484</v>
      </c>
      <c r="B373" s="17" t="s">
        <v>1485</v>
      </c>
      <c r="C373" s="17" t="s">
        <v>1486</v>
      </c>
      <c r="D373" s="19" t="s">
        <v>1487</v>
      </c>
      <c r="E373" s="20" t="s">
        <v>104</v>
      </c>
      <c r="F373" s="21">
        <v>26481.0</v>
      </c>
      <c r="G373" s="14">
        <v>54.0</v>
      </c>
      <c r="H373" s="23" t="s">
        <v>26</v>
      </c>
      <c r="I373" s="24" t="s">
        <v>33</v>
      </c>
      <c r="J373" s="19" t="s">
        <v>517</v>
      </c>
      <c r="K373" s="14">
        <v>6.0</v>
      </c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>
      <c r="A374" s="14" t="s">
        <v>1488</v>
      </c>
      <c r="B374" s="17" t="s">
        <v>1485</v>
      </c>
      <c r="C374" s="17" t="s">
        <v>1489</v>
      </c>
      <c r="D374" s="19" t="s">
        <v>1490</v>
      </c>
      <c r="E374" s="20" t="s">
        <v>104</v>
      </c>
      <c r="F374" s="27">
        <v>32123.0</v>
      </c>
      <c r="G374" s="14">
        <v>38.0</v>
      </c>
      <c r="H374" s="23" t="s">
        <v>26</v>
      </c>
      <c r="I374" s="24" t="s">
        <v>27</v>
      </c>
      <c r="J374" s="19" t="s">
        <v>517</v>
      </c>
      <c r="K374" s="14">
        <v>6.0</v>
      </c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>
      <c r="A375" s="14" t="s">
        <v>1491</v>
      </c>
      <c r="B375" s="17" t="s">
        <v>1492</v>
      </c>
      <c r="C375" s="17" t="s">
        <v>1493</v>
      </c>
      <c r="D375" s="19" t="s">
        <v>1494</v>
      </c>
      <c r="E375" s="20" t="s">
        <v>654</v>
      </c>
      <c r="F375" s="21">
        <v>23879.0</v>
      </c>
      <c r="G375" s="14">
        <v>61.0</v>
      </c>
      <c r="H375" s="23" t="s">
        <v>26</v>
      </c>
      <c r="I375" s="24" t="s">
        <v>27</v>
      </c>
      <c r="J375" s="19" t="s">
        <v>517</v>
      </c>
      <c r="K375" s="14">
        <v>5.0</v>
      </c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>
      <c r="A376" s="14" t="s">
        <v>1495</v>
      </c>
      <c r="B376" s="17" t="s">
        <v>1492</v>
      </c>
      <c r="C376" s="17" t="s">
        <v>1496</v>
      </c>
      <c r="D376" s="19" t="s">
        <v>1497</v>
      </c>
      <c r="E376" s="20" t="s">
        <v>67</v>
      </c>
      <c r="F376" s="27">
        <v>21182.0</v>
      </c>
      <c r="G376" s="14">
        <v>68.0</v>
      </c>
      <c r="H376" s="23" t="s">
        <v>26</v>
      </c>
      <c r="I376" s="24" t="s">
        <v>33</v>
      </c>
      <c r="J376" s="19" t="s">
        <v>517</v>
      </c>
      <c r="K376" s="14">
        <v>5.0</v>
      </c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>
      <c r="A377" s="14" t="s">
        <v>1498</v>
      </c>
      <c r="B377" s="17" t="s">
        <v>1492</v>
      </c>
      <c r="C377" s="17" t="s">
        <v>1499</v>
      </c>
      <c r="D377" s="19" t="s">
        <v>1500</v>
      </c>
      <c r="E377" s="20" t="s">
        <v>654</v>
      </c>
      <c r="F377" s="21">
        <v>17604.0</v>
      </c>
      <c r="G377" s="14">
        <v>78.0</v>
      </c>
      <c r="H377" s="23" t="s">
        <v>27</v>
      </c>
      <c r="I377" s="24" t="s">
        <v>27</v>
      </c>
      <c r="J377" s="19" t="s">
        <v>517</v>
      </c>
      <c r="K377" s="14">
        <v>5.0</v>
      </c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>
      <c r="A378" s="14" t="s">
        <v>1501</v>
      </c>
      <c r="B378" s="17" t="s">
        <v>1502</v>
      </c>
      <c r="C378" s="17" t="s">
        <v>1503</v>
      </c>
      <c r="D378" s="19" t="s">
        <v>1504</v>
      </c>
      <c r="E378" s="20" t="s">
        <v>632</v>
      </c>
      <c r="F378" s="21">
        <v>23272.0</v>
      </c>
      <c r="G378" s="14">
        <v>62.0</v>
      </c>
      <c r="H378" s="23" t="s">
        <v>26</v>
      </c>
      <c r="I378" s="24" t="s">
        <v>33</v>
      </c>
      <c r="J378" s="19" t="s">
        <v>757</v>
      </c>
      <c r="K378" s="14">
        <v>10.0</v>
      </c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>
      <c r="A379" s="14" t="s">
        <v>1505</v>
      </c>
      <c r="B379" s="17" t="s">
        <v>1502</v>
      </c>
      <c r="C379" s="17" t="s">
        <v>1506</v>
      </c>
      <c r="D379" s="19" t="s">
        <v>1507</v>
      </c>
      <c r="E379" s="20" t="s">
        <v>53</v>
      </c>
      <c r="F379" s="21">
        <v>35249.0</v>
      </c>
      <c r="G379" s="14">
        <v>30.0</v>
      </c>
      <c r="H379" s="23" t="s">
        <v>100</v>
      </c>
      <c r="I379" s="24" t="s">
        <v>33</v>
      </c>
      <c r="J379" s="19" t="s">
        <v>757</v>
      </c>
      <c r="K379" s="14">
        <v>10.0</v>
      </c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>
      <c r="A380" s="14" t="s">
        <v>1508</v>
      </c>
      <c r="B380" s="17" t="s">
        <v>1502</v>
      </c>
      <c r="C380" s="17" t="s">
        <v>1509</v>
      </c>
      <c r="D380" s="19" t="s">
        <v>1510</v>
      </c>
      <c r="E380" s="20" t="s">
        <v>290</v>
      </c>
      <c r="F380" s="21">
        <v>25097.0</v>
      </c>
      <c r="G380" s="14">
        <v>57.0</v>
      </c>
      <c r="H380" s="23" t="s">
        <v>26</v>
      </c>
      <c r="I380" s="24" t="s">
        <v>27</v>
      </c>
      <c r="J380" s="19" t="s">
        <v>757</v>
      </c>
      <c r="K380" s="14">
        <v>10.0</v>
      </c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>
      <c r="A381" s="14" t="s">
        <v>1511</v>
      </c>
      <c r="B381" s="17" t="s">
        <v>1512</v>
      </c>
      <c r="C381" s="17" t="s">
        <v>1513</v>
      </c>
      <c r="D381" s="19" t="s">
        <v>1514</v>
      </c>
      <c r="E381" s="20" t="s">
        <v>1515</v>
      </c>
      <c r="F381" s="21">
        <v>31187.0</v>
      </c>
      <c r="G381" s="14">
        <v>41.0</v>
      </c>
      <c r="H381" s="23" t="s">
        <v>26</v>
      </c>
      <c r="I381" s="24" t="s">
        <v>33</v>
      </c>
      <c r="J381" s="19" t="s">
        <v>282</v>
      </c>
      <c r="K381" s="14">
        <v>16.0</v>
      </c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>
      <c r="A382" s="14" t="s">
        <v>1516</v>
      </c>
      <c r="B382" s="17" t="s">
        <v>1512</v>
      </c>
      <c r="C382" s="17" t="s">
        <v>1517</v>
      </c>
      <c r="D382" s="19" t="s">
        <v>1518</v>
      </c>
      <c r="E382" s="20" t="s">
        <v>1519</v>
      </c>
      <c r="F382" s="21">
        <v>31917.0</v>
      </c>
      <c r="G382" s="14">
        <v>39.0</v>
      </c>
      <c r="H382" s="23" t="s">
        <v>26</v>
      </c>
      <c r="I382" s="24" t="s">
        <v>27</v>
      </c>
      <c r="J382" s="19" t="s">
        <v>282</v>
      </c>
      <c r="K382" s="14">
        <v>16.0</v>
      </c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>
      <c r="A383" s="14" t="s">
        <v>1520</v>
      </c>
      <c r="B383" s="17" t="s">
        <v>1521</v>
      </c>
      <c r="C383" s="17" t="s">
        <v>1522</v>
      </c>
      <c r="D383" s="19" t="s">
        <v>1523</v>
      </c>
      <c r="E383" s="20" t="s">
        <v>632</v>
      </c>
      <c r="F383" s="21">
        <v>37325.0</v>
      </c>
      <c r="G383" s="14">
        <v>24.0</v>
      </c>
      <c r="H383" s="23" t="s">
        <v>100</v>
      </c>
      <c r="I383" s="24" t="s">
        <v>33</v>
      </c>
      <c r="J383" s="19" t="s">
        <v>362</v>
      </c>
      <c r="K383" s="14">
        <v>23.0</v>
      </c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>
      <c r="A384" s="14" t="s">
        <v>1524</v>
      </c>
      <c r="B384" s="17" t="s">
        <v>1521</v>
      </c>
      <c r="C384" s="17" t="s">
        <v>1525</v>
      </c>
      <c r="D384" s="19" t="s">
        <v>1526</v>
      </c>
      <c r="E384" s="20" t="s">
        <v>53</v>
      </c>
      <c r="F384" s="21">
        <v>38199.0</v>
      </c>
      <c r="G384" s="14">
        <v>22.0</v>
      </c>
      <c r="H384" s="23" t="s">
        <v>100</v>
      </c>
      <c r="I384" s="24" t="s">
        <v>27</v>
      </c>
      <c r="J384" s="19" t="s">
        <v>362</v>
      </c>
      <c r="K384" s="14">
        <v>23.0</v>
      </c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>
      <c r="A385" s="14" t="s">
        <v>1527</v>
      </c>
      <c r="B385" s="17" t="s">
        <v>1521</v>
      </c>
      <c r="C385" s="17" t="s">
        <v>1528</v>
      </c>
      <c r="D385" s="19" t="s">
        <v>1529</v>
      </c>
      <c r="E385" s="20" t="s">
        <v>104</v>
      </c>
      <c r="F385" s="21">
        <v>29842.0</v>
      </c>
      <c r="G385" s="14">
        <v>44.0</v>
      </c>
      <c r="H385" s="23" t="s">
        <v>27</v>
      </c>
      <c r="I385" s="24" t="s">
        <v>27</v>
      </c>
      <c r="J385" s="19" t="s">
        <v>362</v>
      </c>
      <c r="K385" s="14">
        <v>23.0</v>
      </c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>
      <c r="A386" s="14" t="s">
        <v>1530</v>
      </c>
      <c r="B386" s="17" t="s">
        <v>1531</v>
      </c>
      <c r="C386" s="17" t="s">
        <v>1532</v>
      </c>
      <c r="D386" s="19" t="s">
        <v>1533</v>
      </c>
      <c r="E386" s="20" t="s">
        <v>104</v>
      </c>
      <c r="F386" s="21">
        <v>39258.0</v>
      </c>
      <c r="G386" s="14">
        <v>19.0</v>
      </c>
      <c r="H386" s="23" t="s">
        <v>100</v>
      </c>
      <c r="I386" s="24" t="s">
        <v>27</v>
      </c>
      <c r="J386" s="19" t="s">
        <v>58</v>
      </c>
      <c r="K386" s="14">
        <v>7.0</v>
      </c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>
      <c r="A387" s="14" t="s">
        <v>1534</v>
      </c>
      <c r="B387" s="17" t="s">
        <v>1531</v>
      </c>
      <c r="C387" s="17" t="s">
        <v>1535</v>
      </c>
      <c r="D387" s="19" t="s">
        <v>1536</v>
      </c>
      <c r="E387" s="20" t="s">
        <v>624</v>
      </c>
      <c r="F387" s="21">
        <v>23377.0</v>
      </c>
      <c r="G387" s="14">
        <v>62.0</v>
      </c>
      <c r="H387" s="23" t="s">
        <v>26</v>
      </c>
      <c r="I387" s="24" t="s">
        <v>33</v>
      </c>
      <c r="J387" s="19" t="s">
        <v>58</v>
      </c>
      <c r="K387" s="14">
        <v>7.0</v>
      </c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>
      <c r="A388" s="14" t="s">
        <v>1537</v>
      </c>
      <c r="B388" s="17" t="s">
        <v>1531</v>
      </c>
      <c r="C388" s="17" t="s">
        <v>1538</v>
      </c>
      <c r="D388" s="19" t="s">
        <v>1539</v>
      </c>
      <c r="E388" s="20" t="s">
        <v>434</v>
      </c>
      <c r="F388" s="21">
        <v>26401.0</v>
      </c>
      <c r="G388" s="14">
        <v>54.0</v>
      </c>
      <c r="H388" s="23" t="s">
        <v>26</v>
      </c>
      <c r="I388" s="24" t="s">
        <v>27</v>
      </c>
      <c r="J388" s="19" t="s">
        <v>58</v>
      </c>
      <c r="K388" s="14">
        <v>7.0</v>
      </c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>
      <c r="A389" s="14" t="s">
        <v>1540</v>
      </c>
      <c r="B389" s="17" t="s">
        <v>1541</v>
      </c>
      <c r="C389" s="17" t="s">
        <v>1542</v>
      </c>
      <c r="D389" s="19" t="s">
        <v>1543</v>
      </c>
      <c r="E389" s="20" t="s">
        <v>104</v>
      </c>
      <c r="F389" s="21">
        <v>27559.0</v>
      </c>
      <c r="G389" s="14">
        <v>51.0</v>
      </c>
      <c r="H389" s="23" t="s">
        <v>26</v>
      </c>
      <c r="I389" s="24" t="s">
        <v>33</v>
      </c>
      <c r="J389" s="19" t="s">
        <v>53</v>
      </c>
      <c r="K389" s="14">
        <v>11.0</v>
      </c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>
      <c r="A390" s="14" t="s">
        <v>1544</v>
      </c>
      <c r="B390" s="17" t="s">
        <v>1541</v>
      </c>
      <c r="C390" s="17" t="s">
        <v>1545</v>
      </c>
      <c r="D390" s="19" t="s">
        <v>1546</v>
      </c>
      <c r="E390" s="20" t="s">
        <v>104</v>
      </c>
      <c r="F390" s="21">
        <v>38970.0</v>
      </c>
      <c r="G390" s="14">
        <v>19.0</v>
      </c>
      <c r="H390" s="23" t="s">
        <v>26</v>
      </c>
      <c r="I390" s="24" t="s">
        <v>27</v>
      </c>
      <c r="J390" s="19" t="s">
        <v>53</v>
      </c>
      <c r="K390" s="14">
        <v>11.0</v>
      </c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>
      <c r="A391" s="14" t="s">
        <v>1547</v>
      </c>
      <c r="B391" s="17" t="s">
        <v>1541</v>
      </c>
      <c r="C391" s="17" t="s">
        <v>1548</v>
      </c>
      <c r="D391" s="19" t="s">
        <v>1549</v>
      </c>
      <c r="E391" s="20" t="s">
        <v>1550</v>
      </c>
      <c r="F391" s="21">
        <v>28545.0</v>
      </c>
      <c r="G391" s="14">
        <v>48.0</v>
      </c>
      <c r="H391" s="23" t="s">
        <v>26</v>
      </c>
      <c r="I391" s="24" t="s">
        <v>27</v>
      </c>
      <c r="J391" s="19" t="s">
        <v>282</v>
      </c>
      <c r="K391" s="14">
        <v>13.0</v>
      </c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>
      <c r="A392" s="14" t="s">
        <v>1551</v>
      </c>
      <c r="B392" s="17" t="s">
        <v>1541</v>
      </c>
      <c r="C392" s="17" t="s">
        <v>1552</v>
      </c>
      <c r="D392" s="19" t="s">
        <v>1553</v>
      </c>
      <c r="E392" s="20" t="s">
        <v>104</v>
      </c>
      <c r="F392" s="21">
        <v>36419.0</v>
      </c>
      <c r="G392" s="14">
        <v>26.0</v>
      </c>
      <c r="H392" s="23" t="s">
        <v>100</v>
      </c>
      <c r="I392" s="24" t="s">
        <v>33</v>
      </c>
      <c r="J392" s="19" t="s">
        <v>53</v>
      </c>
      <c r="K392" s="14">
        <v>11.0</v>
      </c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>
      <c r="A393" s="14" t="s">
        <v>1554</v>
      </c>
      <c r="B393" s="17" t="s">
        <v>1555</v>
      </c>
      <c r="C393" s="17" t="s">
        <v>1556</v>
      </c>
      <c r="D393" s="19" t="s">
        <v>1557</v>
      </c>
      <c r="E393" s="20" t="s">
        <v>632</v>
      </c>
      <c r="F393" s="21">
        <v>21380.0</v>
      </c>
      <c r="G393" s="14">
        <v>68.0</v>
      </c>
      <c r="H393" s="23" t="s">
        <v>27</v>
      </c>
      <c r="I393" s="24" t="s">
        <v>33</v>
      </c>
      <c r="J393" s="19" t="s">
        <v>328</v>
      </c>
      <c r="K393" s="14">
        <v>27.0</v>
      </c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>
      <c r="A394" s="14" t="s">
        <v>1558</v>
      </c>
      <c r="B394" s="17" t="s">
        <v>1559</v>
      </c>
      <c r="C394" s="17" t="s">
        <v>1560</v>
      </c>
      <c r="D394" s="19" t="s">
        <v>1561</v>
      </c>
      <c r="E394" s="20" t="s">
        <v>104</v>
      </c>
      <c r="F394" s="21">
        <v>31666.0</v>
      </c>
      <c r="G394" s="14">
        <v>39.0</v>
      </c>
      <c r="H394" s="23" t="s">
        <v>26</v>
      </c>
      <c r="I394" s="24" t="s">
        <v>33</v>
      </c>
      <c r="J394" s="19" t="s">
        <v>39</v>
      </c>
      <c r="K394" s="14">
        <v>16.0</v>
      </c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>
      <c r="A395" s="14" t="s">
        <v>1562</v>
      </c>
      <c r="B395" s="17" t="s">
        <v>1559</v>
      </c>
      <c r="C395" s="17" t="s">
        <v>1563</v>
      </c>
      <c r="D395" s="19" t="s">
        <v>1564</v>
      </c>
      <c r="E395" s="20" t="s">
        <v>138</v>
      </c>
      <c r="F395" s="27">
        <v>35062.0</v>
      </c>
      <c r="G395" s="14">
        <v>30.0</v>
      </c>
      <c r="H395" s="23" t="s">
        <v>26</v>
      </c>
      <c r="I395" s="24" t="s">
        <v>27</v>
      </c>
      <c r="J395" s="19" t="s">
        <v>39</v>
      </c>
      <c r="K395" s="14">
        <v>16.0</v>
      </c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>
      <c r="A396" s="14" t="s">
        <v>1565</v>
      </c>
      <c r="B396" s="17" t="s">
        <v>1566</v>
      </c>
      <c r="C396" s="17" t="s">
        <v>1567</v>
      </c>
      <c r="D396" s="19" t="s">
        <v>1568</v>
      </c>
      <c r="E396" s="20" t="s">
        <v>1569</v>
      </c>
      <c r="F396" s="21">
        <v>28157.0</v>
      </c>
      <c r="G396" s="14">
        <v>49.0</v>
      </c>
      <c r="H396" s="23" t="s">
        <v>26</v>
      </c>
      <c r="I396" s="24" t="s">
        <v>33</v>
      </c>
      <c r="J396" s="19" t="s">
        <v>328</v>
      </c>
      <c r="K396" s="14">
        <v>26.0</v>
      </c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>
      <c r="A397" s="14" t="s">
        <v>1570</v>
      </c>
      <c r="B397" s="17" t="s">
        <v>1566</v>
      </c>
      <c r="C397" s="17" t="s">
        <v>1571</v>
      </c>
      <c r="D397" s="19" t="s">
        <v>1572</v>
      </c>
      <c r="E397" s="20" t="s">
        <v>104</v>
      </c>
      <c r="F397" s="21">
        <v>29137.0</v>
      </c>
      <c r="G397" s="14">
        <v>46.0</v>
      </c>
      <c r="H397" s="23" t="s">
        <v>26</v>
      </c>
      <c r="I397" s="24" t="s">
        <v>27</v>
      </c>
      <c r="J397" s="19" t="s">
        <v>328</v>
      </c>
      <c r="K397" s="14">
        <v>26.0</v>
      </c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>
      <c r="A398" s="14" t="s">
        <v>1573</v>
      </c>
      <c r="B398" s="17" t="s">
        <v>1566</v>
      </c>
      <c r="C398" s="17" t="s">
        <v>1574</v>
      </c>
      <c r="D398" s="19" t="s">
        <v>1575</v>
      </c>
      <c r="E398" s="20" t="s">
        <v>195</v>
      </c>
      <c r="F398" s="21">
        <v>37313.0</v>
      </c>
      <c r="G398" s="14">
        <v>24.0</v>
      </c>
      <c r="H398" s="23" t="s">
        <v>100</v>
      </c>
      <c r="I398" s="24" t="s">
        <v>33</v>
      </c>
      <c r="J398" s="19" t="s">
        <v>328</v>
      </c>
      <c r="K398" s="14">
        <v>26.0</v>
      </c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>
      <c r="A399" s="14" t="s">
        <v>1580</v>
      </c>
      <c r="B399" s="17" t="s">
        <v>1581</v>
      </c>
      <c r="C399" s="17" t="s">
        <v>1582</v>
      </c>
      <c r="D399" s="19" t="s">
        <v>1583</v>
      </c>
      <c r="E399" s="20" t="s">
        <v>337</v>
      </c>
      <c r="F399" s="21">
        <v>37854.0</v>
      </c>
      <c r="G399" s="14">
        <v>23.0</v>
      </c>
      <c r="H399" s="23" t="s">
        <v>100</v>
      </c>
      <c r="I399" s="24" t="s">
        <v>27</v>
      </c>
      <c r="J399" s="19" t="s">
        <v>282</v>
      </c>
      <c r="K399" s="14">
        <v>15.0</v>
      </c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>
      <c r="A400" s="14" t="s">
        <v>1584</v>
      </c>
      <c r="B400" s="17" t="s">
        <v>1581</v>
      </c>
      <c r="C400" s="17" t="s">
        <v>1585</v>
      </c>
      <c r="D400" s="19" t="s">
        <v>1586</v>
      </c>
      <c r="E400" s="20" t="s">
        <v>1587</v>
      </c>
      <c r="F400" s="27">
        <v>36853.0</v>
      </c>
      <c r="G400" s="14">
        <v>25.0</v>
      </c>
      <c r="H400" s="23" t="s">
        <v>100</v>
      </c>
      <c r="I400" s="24" t="s">
        <v>27</v>
      </c>
      <c r="J400" s="19" t="s">
        <v>282</v>
      </c>
      <c r="K400" s="14">
        <v>15.0</v>
      </c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>
      <c r="A401" s="14" t="s">
        <v>1588</v>
      </c>
      <c r="B401" s="17" t="s">
        <v>1581</v>
      </c>
      <c r="C401" s="17" t="s">
        <v>1589</v>
      </c>
      <c r="D401" s="19" t="s">
        <v>1590</v>
      </c>
      <c r="E401" s="20" t="s">
        <v>1049</v>
      </c>
      <c r="F401" s="21">
        <v>24221.0</v>
      </c>
      <c r="G401" s="14">
        <v>60.0</v>
      </c>
      <c r="H401" s="23" t="s">
        <v>27</v>
      </c>
      <c r="I401" s="24" t="s">
        <v>33</v>
      </c>
      <c r="J401" s="19" t="s">
        <v>282</v>
      </c>
      <c r="K401" s="14">
        <v>15.0</v>
      </c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>
      <c r="A402" s="14" t="s">
        <v>1591</v>
      </c>
      <c r="B402" s="17" t="s">
        <v>1592</v>
      </c>
      <c r="C402" s="17" t="s">
        <v>1593</v>
      </c>
      <c r="D402" s="19" t="s">
        <v>1594</v>
      </c>
      <c r="E402" s="20" t="s">
        <v>880</v>
      </c>
      <c r="F402" s="21">
        <v>24876.0</v>
      </c>
      <c r="G402" s="14">
        <v>58.0</v>
      </c>
      <c r="H402" s="23" t="s">
        <v>26</v>
      </c>
      <c r="I402" s="24" t="s">
        <v>33</v>
      </c>
      <c r="J402" s="19" t="s">
        <v>328</v>
      </c>
      <c r="K402" s="14">
        <v>23.0</v>
      </c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>
      <c r="A403" s="14" t="s">
        <v>1595</v>
      </c>
      <c r="B403" s="17" t="s">
        <v>1592</v>
      </c>
      <c r="C403" s="17" t="s">
        <v>1596</v>
      </c>
      <c r="D403" s="19" t="s">
        <v>1597</v>
      </c>
      <c r="E403" s="20" t="s">
        <v>632</v>
      </c>
      <c r="F403" s="27">
        <v>26978.0</v>
      </c>
      <c r="G403" s="14">
        <v>52.0</v>
      </c>
      <c r="H403" s="23" t="s">
        <v>26</v>
      </c>
      <c r="I403" s="24" t="s">
        <v>27</v>
      </c>
      <c r="J403" s="19" t="s">
        <v>328</v>
      </c>
      <c r="K403" s="14">
        <v>23.0</v>
      </c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>
      <c r="A404" s="14" t="s">
        <v>1598</v>
      </c>
      <c r="B404" s="17" t="s">
        <v>1599</v>
      </c>
      <c r="C404" s="17" t="s">
        <v>1600</v>
      </c>
      <c r="D404" s="19" t="s">
        <v>1601</v>
      </c>
      <c r="E404" s="20" t="s">
        <v>632</v>
      </c>
      <c r="F404" s="21">
        <v>23507.0</v>
      </c>
      <c r="G404" s="14">
        <v>62.0</v>
      </c>
      <c r="H404" s="23" t="s">
        <v>26</v>
      </c>
      <c r="I404" s="24" t="s">
        <v>33</v>
      </c>
      <c r="J404" s="19" t="s">
        <v>328</v>
      </c>
      <c r="K404" s="14">
        <v>23.0</v>
      </c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>
      <c r="A405" s="14" t="s">
        <v>1602</v>
      </c>
      <c r="B405" s="17" t="s">
        <v>1599</v>
      </c>
      <c r="C405" s="17" t="s">
        <v>1603</v>
      </c>
      <c r="D405" s="19" t="s">
        <v>1604</v>
      </c>
      <c r="E405" s="20" t="s">
        <v>632</v>
      </c>
      <c r="F405" s="21">
        <v>23898.0</v>
      </c>
      <c r="G405" s="14">
        <v>61.0</v>
      </c>
      <c r="H405" s="23" t="s">
        <v>26</v>
      </c>
      <c r="I405" s="24" t="s">
        <v>27</v>
      </c>
      <c r="J405" s="19" t="s">
        <v>328</v>
      </c>
      <c r="K405" s="14">
        <v>23.0</v>
      </c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>
      <c r="A406" s="14" t="s">
        <v>1605</v>
      </c>
      <c r="B406" s="17" t="s">
        <v>1606</v>
      </c>
      <c r="C406" s="17" t="s">
        <v>1607</v>
      </c>
      <c r="D406" s="19" t="s">
        <v>1608</v>
      </c>
      <c r="E406" s="20" t="s">
        <v>53</v>
      </c>
      <c r="F406" s="21">
        <v>38216.0</v>
      </c>
      <c r="G406" s="14">
        <v>22.0</v>
      </c>
      <c r="H406" s="23" t="s">
        <v>100</v>
      </c>
      <c r="I406" s="24" t="s">
        <v>27</v>
      </c>
      <c r="J406" s="19" t="s">
        <v>146</v>
      </c>
      <c r="K406" s="14">
        <v>3.0</v>
      </c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>
      <c r="A407" s="14" t="s">
        <v>1609</v>
      </c>
      <c r="B407" s="17" t="s">
        <v>1606</v>
      </c>
      <c r="C407" s="17" t="s">
        <v>1610</v>
      </c>
      <c r="D407" s="19" t="s">
        <v>1611</v>
      </c>
      <c r="E407" s="20" t="s">
        <v>880</v>
      </c>
      <c r="F407" s="21">
        <v>24940.0</v>
      </c>
      <c r="G407" s="14">
        <v>58.0</v>
      </c>
      <c r="H407" s="23" t="s">
        <v>26</v>
      </c>
      <c r="I407" s="24" t="s">
        <v>33</v>
      </c>
      <c r="J407" s="19" t="s">
        <v>146</v>
      </c>
      <c r="K407" s="14">
        <v>3.0</v>
      </c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>
      <c r="A408" s="14" t="s">
        <v>1612</v>
      </c>
      <c r="B408" s="17" t="s">
        <v>1606</v>
      </c>
      <c r="C408" s="17" t="s">
        <v>1613</v>
      </c>
      <c r="D408" s="19" t="s">
        <v>1614</v>
      </c>
      <c r="E408" s="20" t="s">
        <v>632</v>
      </c>
      <c r="F408" s="21">
        <v>26161.0</v>
      </c>
      <c r="G408" s="14">
        <v>55.0</v>
      </c>
      <c r="H408" s="23" t="s">
        <v>26</v>
      </c>
      <c r="I408" s="24" t="s">
        <v>27</v>
      </c>
      <c r="J408" s="19" t="s">
        <v>146</v>
      </c>
      <c r="K408" s="14">
        <v>3.0</v>
      </c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>
      <c r="A409" s="14" t="s">
        <v>1615</v>
      </c>
      <c r="B409" s="17" t="s">
        <v>1606</v>
      </c>
      <c r="C409" s="17" t="s">
        <v>1616</v>
      </c>
      <c r="D409" s="19" t="s">
        <v>1617</v>
      </c>
      <c r="E409" s="20" t="s">
        <v>104</v>
      </c>
      <c r="F409" s="27">
        <v>35391.0</v>
      </c>
      <c r="G409" s="14">
        <v>29.0</v>
      </c>
      <c r="H409" s="23" t="s">
        <v>100</v>
      </c>
      <c r="I409" s="24" t="s">
        <v>33</v>
      </c>
      <c r="J409" s="19" t="s">
        <v>146</v>
      </c>
      <c r="K409" s="14">
        <v>3.0</v>
      </c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>
      <c r="A410" s="14" t="s">
        <v>1618</v>
      </c>
      <c r="B410" s="17" t="s">
        <v>1619</v>
      </c>
      <c r="C410" s="17" t="s">
        <v>1620</v>
      </c>
      <c r="D410" s="19" t="s">
        <v>1621</v>
      </c>
      <c r="E410" s="20" t="s">
        <v>1622</v>
      </c>
      <c r="F410" s="21">
        <v>33180.0</v>
      </c>
      <c r="G410" s="14">
        <v>35.0</v>
      </c>
      <c r="H410" s="23" t="s">
        <v>26</v>
      </c>
      <c r="I410" s="24" t="s">
        <v>33</v>
      </c>
      <c r="J410" s="19" t="s">
        <v>726</v>
      </c>
      <c r="K410" s="14">
        <v>16.0</v>
      </c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>
      <c r="A411" s="14" t="s">
        <v>1623</v>
      </c>
      <c r="B411" s="17" t="s">
        <v>1619</v>
      </c>
      <c r="C411" s="17" t="s">
        <v>1624</v>
      </c>
      <c r="D411" s="19" t="s">
        <v>1625</v>
      </c>
      <c r="E411" s="20" t="s">
        <v>1626</v>
      </c>
      <c r="F411" s="21">
        <v>34790.0</v>
      </c>
      <c r="G411" s="14">
        <v>31.0</v>
      </c>
      <c r="H411" s="23" t="s">
        <v>26</v>
      </c>
      <c r="I411" s="24" t="s">
        <v>27</v>
      </c>
      <c r="J411" s="19" t="s">
        <v>726</v>
      </c>
      <c r="K411" s="14">
        <v>16.0</v>
      </c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>
      <c r="A412" s="14" t="s">
        <v>1627</v>
      </c>
      <c r="B412" s="17" t="s">
        <v>1628</v>
      </c>
      <c r="C412" s="17" t="s">
        <v>1629</v>
      </c>
      <c r="D412" s="19" t="s">
        <v>1630</v>
      </c>
      <c r="E412" s="20" t="s">
        <v>138</v>
      </c>
      <c r="F412" s="21">
        <v>35704.0</v>
      </c>
      <c r="G412" s="14">
        <v>28.0</v>
      </c>
      <c r="H412" s="23" t="s">
        <v>26</v>
      </c>
      <c r="I412" s="24" t="s">
        <v>27</v>
      </c>
      <c r="J412" s="19" t="s">
        <v>1631</v>
      </c>
      <c r="K412" s="14">
        <v>3.0</v>
      </c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>
      <c r="A413" s="14" t="s">
        <v>1632</v>
      </c>
      <c r="B413" s="17" t="s">
        <v>1628</v>
      </c>
      <c r="C413" s="17" t="s">
        <v>1633</v>
      </c>
      <c r="D413" s="19" t="s">
        <v>1634</v>
      </c>
      <c r="E413" s="20" t="s">
        <v>138</v>
      </c>
      <c r="F413" s="21">
        <v>36614.0</v>
      </c>
      <c r="G413" s="14">
        <v>26.0</v>
      </c>
      <c r="H413" s="23" t="s">
        <v>26</v>
      </c>
      <c r="I413" s="24" t="s">
        <v>33</v>
      </c>
      <c r="J413" s="19" t="s">
        <v>1631</v>
      </c>
      <c r="K413" s="14">
        <v>3.0</v>
      </c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>
      <c r="A414" s="14" t="s">
        <v>1635</v>
      </c>
      <c r="B414" s="17" t="s">
        <v>1636</v>
      </c>
      <c r="C414" s="17" t="s">
        <v>1637</v>
      </c>
      <c r="D414" s="19" t="s">
        <v>1638</v>
      </c>
      <c r="E414" s="20" t="s">
        <v>1639</v>
      </c>
      <c r="F414" s="21">
        <v>31570.0</v>
      </c>
      <c r="G414" s="14">
        <v>40.0</v>
      </c>
      <c r="H414" s="23" t="s">
        <v>26</v>
      </c>
      <c r="I414" s="24" t="s">
        <v>27</v>
      </c>
      <c r="J414" s="19" t="s">
        <v>68</v>
      </c>
      <c r="K414" s="14">
        <v>29.0</v>
      </c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>
      <c r="A415" s="14" t="s">
        <v>1640</v>
      </c>
      <c r="B415" s="17" t="s">
        <v>1636</v>
      </c>
      <c r="C415" s="17" t="s">
        <v>1641</v>
      </c>
      <c r="D415" s="19" t="s">
        <v>1642</v>
      </c>
      <c r="E415" s="20" t="s">
        <v>1643</v>
      </c>
      <c r="F415" s="21">
        <v>30547.0</v>
      </c>
      <c r="G415" s="14">
        <v>43.0</v>
      </c>
      <c r="H415" s="23" t="s">
        <v>26</v>
      </c>
      <c r="I415" s="24" t="s">
        <v>33</v>
      </c>
      <c r="J415" s="19" t="s">
        <v>68</v>
      </c>
      <c r="K415" s="14">
        <v>29.0</v>
      </c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>
      <c r="A416" s="14" t="s">
        <v>1644</v>
      </c>
      <c r="B416" s="17" t="s">
        <v>1645</v>
      </c>
      <c r="C416" s="17" t="s">
        <v>1646</v>
      </c>
      <c r="D416" s="19" t="s">
        <v>1647</v>
      </c>
      <c r="E416" s="20" t="s">
        <v>1648</v>
      </c>
      <c r="F416" s="27">
        <v>26226.0</v>
      </c>
      <c r="G416" s="14">
        <v>54.0</v>
      </c>
      <c r="H416" s="23" t="s">
        <v>26</v>
      </c>
      <c r="I416" s="24" t="s">
        <v>33</v>
      </c>
      <c r="J416" s="19" t="s">
        <v>282</v>
      </c>
      <c r="K416" s="14">
        <v>13.0</v>
      </c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>
      <c r="A417" s="14" t="s">
        <v>1649</v>
      </c>
      <c r="B417" s="17" t="s">
        <v>1645</v>
      </c>
      <c r="C417" s="17" t="s">
        <v>1650</v>
      </c>
      <c r="D417" s="19" t="s">
        <v>1651</v>
      </c>
      <c r="E417" s="20" t="s">
        <v>1652</v>
      </c>
      <c r="F417" s="21">
        <v>27780.0</v>
      </c>
      <c r="G417" s="14">
        <v>50.0</v>
      </c>
      <c r="H417" s="23" t="s">
        <v>26</v>
      </c>
      <c r="I417" s="24" t="s">
        <v>27</v>
      </c>
      <c r="J417" s="19" t="s">
        <v>282</v>
      </c>
      <c r="K417" s="14">
        <v>13.0</v>
      </c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>
      <c r="A418" s="14" t="s">
        <v>1653</v>
      </c>
      <c r="B418" s="17" t="s">
        <v>1654</v>
      </c>
      <c r="C418" s="17" t="s">
        <v>1655</v>
      </c>
      <c r="D418" s="19" t="s">
        <v>1656</v>
      </c>
      <c r="E418" s="20" t="s">
        <v>112</v>
      </c>
      <c r="F418" s="21">
        <v>22828.0</v>
      </c>
      <c r="G418" s="14">
        <v>64.0</v>
      </c>
      <c r="H418" s="23" t="s">
        <v>27</v>
      </c>
      <c r="I418" s="24" t="s">
        <v>33</v>
      </c>
      <c r="J418" s="19" t="s">
        <v>53</v>
      </c>
      <c r="K418" s="14">
        <v>19.0</v>
      </c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>
      <c r="A419" s="14" t="s">
        <v>1657</v>
      </c>
      <c r="B419" s="17" t="s">
        <v>1658</v>
      </c>
      <c r="C419" s="17" t="s">
        <v>1659</v>
      </c>
      <c r="D419" s="19" t="s">
        <v>1660</v>
      </c>
      <c r="E419" s="20" t="s">
        <v>104</v>
      </c>
      <c r="F419" s="27">
        <v>36489.0</v>
      </c>
      <c r="G419" s="14">
        <v>26.0</v>
      </c>
      <c r="H419" s="23" t="s">
        <v>100</v>
      </c>
      <c r="I419" s="24" t="s">
        <v>27</v>
      </c>
      <c r="J419" s="19" t="s">
        <v>53</v>
      </c>
      <c r="K419" s="14">
        <v>19.0</v>
      </c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>
      <c r="A420" s="14" t="s">
        <v>1661</v>
      </c>
      <c r="B420" s="17" t="s">
        <v>1658</v>
      </c>
      <c r="C420" s="17" t="s">
        <v>1662</v>
      </c>
      <c r="D420" s="19" t="s">
        <v>1663</v>
      </c>
      <c r="E420" s="20" t="s">
        <v>112</v>
      </c>
      <c r="F420" s="21">
        <v>26464.0</v>
      </c>
      <c r="G420" s="14">
        <v>54.0</v>
      </c>
      <c r="H420" s="23" t="s">
        <v>26</v>
      </c>
      <c r="I420" s="24" t="s">
        <v>33</v>
      </c>
      <c r="J420" s="19" t="s">
        <v>53</v>
      </c>
      <c r="K420" s="14">
        <v>19.0</v>
      </c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>
      <c r="A421" s="14" t="s">
        <v>1664</v>
      </c>
      <c r="B421" s="17" t="s">
        <v>1658</v>
      </c>
      <c r="C421" s="17" t="s">
        <v>1665</v>
      </c>
      <c r="D421" s="19" t="s">
        <v>1666</v>
      </c>
      <c r="E421" s="20" t="s">
        <v>112</v>
      </c>
      <c r="F421" s="27">
        <v>29138.0</v>
      </c>
      <c r="G421" s="14">
        <v>46.0</v>
      </c>
      <c r="H421" s="23" t="s">
        <v>26</v>
      </c>
      <c r="I421" s="24" t="s">
        <v>27</v>
      </c>
      <c r="J421" s="19" t="s">
        <v>53</v>
      </c>
      <c r="K421" s="14">
        <v>19.0</v>
      </c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>
      <c r="A422" s="14" t="s">
        <v>1667</v>
      </c>
      <c r="B422" s="17" t="s">
        <v>1668</v>
      </c>
      <c r="C422" s="17" t="s">
        <v>1669</v>
      </c>
      <c r="D422" s="19" t="s">
        <v>1670</v>
      </c>
      <c r="E422" s="20" t="s">
        <v>138</v>
      </c>
      <c r="F422" s="21">
        <v>37879.0</v>
      </c>
      <c r="G422" s="14">
        <v>22.0</v>
      </c>
      <c r="H422" s="23" t="s">
        <v>100</v>
      </c>
      <c r="I422" s="24" t="s">
        <v>33</v>
      </c>
      <c r="J422" s="19" t="s">
        <v>726</v>
      </c>
      <c r="K422" s="14">
        <v>11.0</v>
      </c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>
      <c r="A423" s="14" t="s">
        <v>1671</v>
      </c>
      <c r="B423" s="17" t="s">
        <v>1668</v>
      </c>
      <c r="C423" s="17" t="s">
        <v>1672</v>
      </c>
      <c r="D423" s="19" t="s">
        <v>1673</v>
      </c>
      <c r="E423" s="20" t="s">
        <v>654</v>
      </c>
      <c r="F423" s="21">
        <v>26501.0</v>
      </c>
      <c r="G423" s="14">
        <v>54.0</v>
      </c>
      <c r="H423" s="23" t="s">
        <v>26</v>
      </c>
      <c r="I423" s="24" t="s">
        <v>33</v>
      </c>
      <c r="J423" s="19" t="s">
        <v>726</v>
      </c>
      <c r="K423" s="14">
        <v>11.0</v>
      </c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>
      <c r="A424" s="14" t="s">
        <v>1674</v>
      </c>
      <c r="B424" s="17" t="s">
        <v>1668</v>
      </c>
      <c r="C424" s="17" t="s">
        <v>1675</v>
      </c>
      <c r="D424" s="19" t="s">
        <v>1048</v>
      </c>
      <c r="E424" s="20" t="s">
        <v>104</v>
      </c>
      <c r="F424" s="21">
        <v>29134.0</v>
      </c>
      <c r="G424" s="14">
        <v>46.0</v>
      </c>
      <c r="H424" s="23" t="s">
        <v>26</v>
      </c>
      <c r="I424" s="24" t="s">
        <v>27</v>
      </c>
      <c r="J424" s="19" t="s">
        <v>726</v>
      </c>
      <c r="K424" s="14">
        <v>11.0</v>
      </c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>
      <c r="A425" s="14" t="s">
        <v>1676</v>
      </c>
      <c r="B425" s="17" t="s">
        <v>1677</v>
      </c>
      <c r="C425" s="17" t="s">
        <v>1678</v>
      </c>
      <c r="D425" s="19" t="s">
        <v>1679</v>
      </c>
      <c r="E425" s="20" t="s">
        <v>53</v>
      </c>
      <c r="F425" s="21">
        <v>35474.0</v>
      </c>
      <c r="G425" s="14">
        <v>29.0</v>
      </c>
      <c r="H425" s="23" t="s">
        <v>100</v>
      </c>
      <c r="I425" s="24" t="s">
        <v>27</v>
      </c>
      <c r="J425" s="19" t="s">
        <v>206</v>
      </c>
      <c r="K425" s="14">
        <v>10.0</v>
      </c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>
      <c r="A426" s="14" t="s">
        <v>1680</v>
      </c>
      <c r="B426" s="17" t="s">
        <v>1677</v>
      </c>
      <c r="C426" s="17" t="s">
        <v>1681</v>
      </c>
      <c r="D426" s="19" t="s">
        <v>1682</v>
      </c>
      <c r="E426" s="20" t="s">
        <v>650</v>
      </c>
      <c r="F426" s="21">
        <v>27227.0</v>
      </c>
      <c r="G426" s="14">
        <v>52.0</v>
      </c>
      <c r="H426" s="23" t="s">
        <v>26</v>
      </c>
      <c r="I426" s="24" t="s">
        <v>27</v>
      </c>
      <c r="J426" s="19" t="s">
        <v>206</v>
      </c>
      <c r="K426" s="14">
        <v>10.0</v>
      </c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>
      <c r="A427" s="14" t="s">
        <v>1683</v>
      </c>
      <c r="B427" s="17" t="s">
        <v>1677</v>
      </c>
      <c r="C427" s="17" t="s">
        <v>1684</v>
      </c>
      <c r="D427" s="19" t="s">
        <v>1685</v>
      </c>
      <c r="E427" s="20" t="s">
        <v>210</v>
      </c>
      <c r="F427" s="21">
        <v>25663.0</v>
      </c>
      <c r="G427" s="14">
        <v>56.0</v>
      </c>
      <c r="H427" s="23" t="s">
        <v>26</v>
      </c>
      <c r="I427" s="24" t="s">
        <v>33</v>
      </c>
      <c r="J427" s="19" t="s">
        <v>206</v>
      </c>
      <c r="K427" s="14">
        <v>10.0</v>
      </c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>
      <c r="A428" s="14" t="s">
        <v>1686</v>
      </c>
      <c r="B428" s="17" t="s">
        <v>1687</v>
      </c>
      <c r="C428" s="17" t="s">
        <v>1688</v>
      </c>
      <c r="D428" s="19" t="s">
        <v>1689</v>
      </c>
      <c r="E428" s="20" t="s">
        <v>150</v>
      </c>
      <c r="F428" s="27">
        <v>36885.0</v>
      </c>
      <c r="G428" s="14">
        <v>25.0</v>
      </c>
      <c r="H428" s="23" t="s">
        <v>26</v>
      </c>
      <c r="I428" s="24" t="s">
        <v>33</v>
      </c>
      <c r="J428" s="19" t="s">
        <v>146</v>
      </c>
      <c r="K428" s="14">
        <v>2.0</v>
      </c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>
      <c r="A429" s="14" t="s">
        <v>1691</v>
      </c>
      <c r="B429" s="17" t="s">
        <v>1687</v>
      </c>
      <c r="C429" s="17" t="s">
        <v>1692</v>
      </c>
      <c r="D429" s="19" t="s">
        <v>1693</v>
      </c>
      <c r="E429" s="20" t="s">
        <v>1639</v>
      </c>
      <c r="F429" s="21">
        <v>37670.0</v>
      </c>
      <c r="G429" s="14">
        <v>23.0</v>
      </c>
      <c r="H429" s="23" t="s">
        <v>26</v>
      </c>
      <c r="I429" s="24" t="s">
        <v>27</v>
      </c>
      <c r="J429" s="19" t="s">
        <v>146</v>
      </c>
      <c r="K429" s="14">
        <v>2.0</v>
      </c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>
      <c r="A430" s="14" t="s">
        <v>1694</v>
      </c>
      <c r="B430" s="17" t="s">
        <v>1695</v>
      </c>
      <c r="C430" s="17" t="s">
        <v>1696</v>
      </c>
      <c r="D430" s="19" t="s">
        <v>1697</v>
      </c>
      <c r="E430" s="20" t="s">
        <v>104</v>
      </c>
      <c r="F430" s="21">
        <v>30869.0</v>
      </c>
      <c r="G430" s="14">
        <v>42.0</v>
      </c>
      <c r="H430" s="23" t="s">
        <v>26</v>
      </c>
      <c r="I430" s="24" t="s">
        <v>27</v>
      </c>
      <c r="J430" s="19" t="s">
        <v>53</v>
      </c>
      <c r="K430" s="14">
        <v>10.0</v>
      </c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>
      <c r="A431" s="14" t="s">
        <v>1698</v>
      </c>
      <c r="B431" s="17" t="s">
        <v>1695</v>
      </c>
      <c r="C431" s="17" t="s">
        <v>1699</v>
      </c>
      <c r="D431" s="19" t="s">
        <v>1700</v>
      </c>
      <c r="E431" s="20" t="s">
        <v>104</v>
      </c>
      <c r="F431" s="21">
        <v>37520.0</v>
      </c>
      <c r="G431" s="14">
        <v>23.0</v>
      </c>
      <c r="H431" s="23" t="s">
        <v>100</v>
      </c>
      <c r="I431" s="24" t="s">
        <v>33</v>
      </c>
      <c r="J431" s="19" t="s">
        <v>53</v>
      </c>
      <c r="K431" s="14">
        <v>10.0</v>
      </c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>
      <c r="A432" s="14" t="s">
        <v>1701</v>
      </c>
      <c r="B432" s="17" t="s">
        <v>1702</v>
      </c>
      <c r="C432" s="17" t="s">
        <v>1703</v>
      </c>
      <c r="D432" s="19" t="s">
        <v>1704</v>
      </c>
      <c r="E432" s="20" t="s">
        <v>654</v>
      </c>
      <c r="F432" s="21">
        <v>22463.0</v>
      </c>
      <c r="G432" s="14">
        <v>65.0</v>
      </c>
      <c r="H432" s="23" t="s">
        <v>26</v>
      </c>
      <c r="I432" s="24" t="s">
        <v>33</v>
      </c>
      <c r="J432" s="19" t="s">
        <v>328</v>
      </c>
      <c r="K432" s="14">
        <v>19.0</v>
      </c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>
      <c r="A433" s="14" t="s">
        <v>1705</v>
      </c>
      <c r="B433" s="17" t="s">
        <v>1702</v>
      </c>
      <c r="C433" s="17" t="s">
        <v>1706</v>
      </c>
      <c r="D433" s="19" t="s">
        <v>1707</v>
      </c>
      <c r="E433" s="20" t="s">
        <v>654</v>
      </c>
      <c r="F433" s="21">
        <v>26481.0</v>
      </c>
      <c r="G433" s="14">
        <v>54.0</v>
      </c>
      <c r="H433" s="23" t="s">
        <v>26</v>
      </c>
      <c r="I433" s="24" t="s">
        <v>27</v>
      </c>
      <c r="J433" s="19" t="s">
        <v>328</v>
      </c>
      <c r="K433" s="14">
        <v>19.0</v>
      </c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>
      <c r="A434" s="14" t="s">
        <v>1708</v>
      </c>
      <c r="B434" s="17" t="s">
        <v>1709</v>
      </c>
      <c r="C434" s="17" t="s">
        <v>1710</v>
      </c>
      <c r="D434" s="19" t="s">
        <v>386</v>
      </c>
      <c r="E434" s="20" t="s">
        <v>1049</v>
      </c>
      <c r="F434" s="21">
        <v>17751.0</v>
      </c>
      <c r="G434" s="14">
        <v>78.0</v>
      </c>
      <c r="H434" s="23" t="s">
        <v>27</v>
      </c>
      <c r="I434" s="24" t="s">
        <v>27</v>
      </c>
      <c r="J434" s="19" t="s">
        <v>53</v>
      </c>
      <c r="K434" s="14">
        <v>16.0</v>
      </c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>
      <c r="A435" s="14" t="s">
        <v>1711</v>
      </c>
      <c r="B435" s="17" t="s">
        <v>1709</v>
      </c>
      <c r="C435" s="17" t="s">
        <v>1712</v>
      </c>
      <c r="D435" s="19" t="s">
        <v>1713</v>
      </c>
      <c r="E435" s="20" t="s">
        <v>104</v>
      </c>
      <c r="F435" s="21">
        <v>31237.0</v>
      </c>
      <c r="G435" s="14">
        <v>41.0</v>
      </c>
      <c r="H435" s="23" t="s">
        <v>100</v>
      </c>
      <c r="I435" s="24" t="s">
        <v>33</v>
      </c>
      <c r="J435" s="19" t="s">
        <v>53</v>
      </c>
      <c r="K435" s="14">
        <v>17.0</v>
      </c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>
      <c r="A436" s="14" t="s">
        <v>1714</v>
      </c>
      <c r="B436" s="17" t="s">
        <v>1715</v>
      </c>
      <c r="C436" s="17" t="s">
        <v>1716</v>
      </c>
      <c r="D436" s="19" t="s">
        <v>1717</v>
      </c>
      <c r="E436" s="20" t="s">
        <v>104</v>
      </c>
      <c r="F436" s="21">
        <v>28205.0</v>
      </c>
      <c r="G436" s="14">
        <v>49.0</v>
      </c>
      <c r="H436" s="23" t="s">
        <v>27</v>
      </c>
      <c r="I436" s="24" t="s">
        <v>27</v>
      </c>
      <c r="J436" s="19" t="s">
        <v>53</v>
      </c>
      <c r="K436" s="14">
        <v>17.0</v>
      </c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>
      <c r="A437" s="14" t="s">
        <v>1718</v>
      </c>
      <c r="B437" s="17" t="s">
        <v>1715</v>
      </c>
      <c r="C437" s="17" t="s">
        <v>1719</v>
      </c>
      <c r="D437" s="19" t="s">
        <v>1720</v>
      </c>
      <c r="E437" s="20" t="s">
        <v>104</v>
      </c>
      <c r="F437" s="21">
        <v>39197.0</v>
      </c>
      <c r="G437" s="14">
        <v>19.0</v>
      </c>
      <c r="H437" s="23" t="s">
        <v>100</v>
      </c>
      <c r="I437" s="24" t="s">
        <v>27</v>
      </c>
      <c r="J437" s="19" t="s">
        <v>53</v>
      </c>
      <c r="K437" s="14">
        <v>17.0</v>
      </c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>
      <c r="A438" s="14" t="s">
        <v>1721</v>
      </c>
      <c r="B438" s="17" t="s">
        <v>1722</v>
      </c>
      <c r="C438" s="17" t="s">
        <v>1723</v>
      </c>
      <c r="D438" s="19" t="s">
        <v>1724</v>
      </c>
      <c r="E438" s="20" t="s">
        <v>1725</v>
      </c>
      <c r="F438" s="27">
        <v>29949.0</v>
      </c>
      <c r="G438" s="14">
        <v>44.0</v>
      </c>
      <c r="H438" s="23" t="s">
        <v>26</v>
      </c>
      <c r="I438" s="24" t="s">
        <v>27</v>
      </c>
      <c r="J438" s="19" t="s">
        <v>168</v>
      </c>
      <c r="K438" s="14">
        <v>18.0</v>
      </c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>
      <c r="A439" s="14" t="s">
        <v>1726</v>
      </c>
      <c r="B439" s="17" t="s">
        <v>1722</v>
      </c>
      <c r="C439" s="17" t="s">
        <v>1727</v>
      </c>
      <c r="D439" s="19" t="s">
        <v>1728</v>
      </c>
      <c r="E439" s="20" t="s">
        <v>104</v>
      </c>
      <c r="F439" s="21">
        <v>28355.0</v>
      </c>
      <c r="G439" s="14">
        <v>49.0</v>
      </c>
      <c r="H439" s="23" t="s">
        <v>26</v>
      </c>
      <c r="I439" s="24" t="s">
        <v>33</v>
      </c>
      <c r="J439" s="19" t="s">
        <v>168</v>
      </c>
      <c r="K439" s="14">
        <v>18.0</v>
      </c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>
      <c r="A440" s="14" t="s">
        <v>1729</v>
      </c>
      <c r="B440" s="17" t="s">
        <v>1730</v>
      </c>
      <c r="C440" s="17" t="s">
        <v>1731</v>
      </c>
      <c r="D440" s="19" t="s">
        <v>1732</v>
      </c>
      <c r="E440" s="20" t="s">
        <v>1733</v>
      </c>
      <c r="F440" s="27">
        <v>34269.0</v>
      </c>
      <c r="G440" s="14">
        <v>32.0</v>
      </c>
      <c r="H440" s="23" t="s">
        <v>26</v>
      </c>
      <c r="I440" s="24" t="s">
        <v>33</v>
      </c>
      <c r="J440" s="19" t="s">
        <v>53</v>
      </c>
      <c r="K440" s="14">
        <v>7.0</v>
      </c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>
      <c r="A441" s="14" t="s">
        <v>1734</v>
      </c>
      <c r="B441" s="17" t="s">
        <v>1730</v>
      </c>
      <c r="C441" s="17" t="s">
        <v>1735</v>
      </c>
      <c r="D441" s="19" t="s">
        <v>1736</v>
      </c>
      <c r="E441" s="20" t="s">
        <v>104</v>
      </c>
      <c r="F441" s="21">
        <v>35462.0</v>
      </c>
      <c r="G441" s="14">
        <v>29.0</v>
      </c>
      <c r="H441" s="23" t="s">
        <v>26</v>
      </c>
      <c r="I441" s="24" t="s">
        <v>27</v>
      </c>
      <c r="J441" s="19" t="s">
        <v>53</v>
      </c>
      <c r="K441" s="14">
        <v>7.0</v>
      </c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>
      <c r="A442" s="14" t="s">
        <v>1737</v>
      </c>
      <c r="B442" s="17" t="s">
        <v>1738</v>
      </c>
      <c r="C442" s="17" t="s">
        <v>1739</v>
      </c>
      <c r="D442" s="19" t="s">
        <v>1740</v>
      </c>
      <c r="E442" s="20" t="s">
        <v>1741</v>
      </c>
      <c r="F442" s="21">
        <v>28390.0</v>
      </c>
      <c r="G442" s="14">
        <v>48.0</v>
      </c>
      <c r="H442" s="23" t="s">
        <v>27</v>
      </c>
      <c r="I442" s="24" t="s">
        <v>27</v>
      </c>
      <c r="J442" s="19" t="s">
        <v>53</v>
      </c>
      <c r="K442" s="14">
        <v>29.0</v>
      </c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>
      <c r="A443" s="14" t="s">
        <v>1742</v>
      </c>
      <c r="B443" s="17" t="s">
        <v>1743</v>
      </c>
      <c r="C443" s="17" t="s">
        <v>1744</v>
      </c>
      <c r="D443" s="19" t="s">
        <v>1745</v>
      </c>
      <c r="E443" s="20" t="s">
        <v>67</v>
      </c>
      <c r="F443" s="21">
        <v>28879.0</v>
      </c>
      <c r="G443" s="14">
        <v>47.0</v>
      </c>
      <c r="H443" s="23" t="s">
        <v>26</v>
      </c>
      <c r="I443" s="24" t="s">
        <v>33</v>
      </c>
      <c r="J443" s="19" t="s">
        <v>146</v>
      </c>
      <c r="K443" s="14">
        <v>3.0</v>
      </c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>
      <c r="A444" s="14" t="s">
        <v>1746</v>
      </c>
      <c r="B444" s="17" t="s">
        <v>1743</v>
      </c>
      <c r="C444" s="17" t="s">
        <v>1747</v>
      </c>
      <c r="D444" s="19" t="s">
        <v>1748</v>
      </c>
      <c r="E444" s="20" t="s">
        <v>1749</v>
      </c>
      <c r="F444" s="21">
        <v>34783.0</v>
      </c>
      <c r="G444" s="14">
        <v>31.0</v>
      </c>
      <c r="H444" s="23" t="s">
        <v>26</v>
      </c>
      <c r="I444" s="24" t="s">
        <v>27</v>
      </c>
      <c r="J444" s="19" t="s">
        <v>146</v>
      </c>
      <c r="K444" s="14">
        <v>3.0</v>
      </c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>
      <c r="A445" s="14" t="s">
        <v>1750</v>
      </c>
      <c r="B445" s="17" t="s">
        <v>1751</v>
      </c>
      <c r="C445" s="17" t="s">
        <v>1752</v>
      </c>
      <c r="D445" s="19" t="s">
        <v>1753</v>
      </c>
      <c r="E445" s="20" t="s">
        <v>104</v>
      </c>
      <c r="F445" s="21">
        <v>31754.0</v>
      </c>
      <c r="G445" s="14">
        <v>39.0</v>
      </c>
      <c r="H445" s="23" t="s">
        <v>26</v>
      </c>
      <c r="I445" s="24" t="s">
        <v>33</v>
      </c>
      <c r="J445" s="19" t="s">
        <v>68</v>
      </c>
      <c r="K445" s="14">
        <v>31.0</v>
      </c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>
      <c r="A446" s="14" t="s">
        <v>1754</v>
      </c>
      <c r="B446" s="17" t="s">
        <v>1755</v>
      </c>
      <c r="C446" s="17" t="s">
        <v>1756</v>
      </c>
      <c r="D446" s="19" t="s">
        <v>1757</v>
      </c>
      <c r="E446" s="20" t="s">
        <v>104</v>
      </c>
      <c r="F446" s="21">
        <v>34643.0</v>
      </c>
      <c r="G446" s="14">
        <v>31.0</v>
      </c>
      <c r="H446" s="23" t="s">
        <v>27</v>
      </c>
      <c r="I446" s="24" t="s">
        <v>27</v>
      </c>
      <c r="J446" s="19" t="s">
        <v>68</v>
      </c>
      <c r="K446" s="14">
        <v>34.0</v>
      </c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>
      <c r="A447" s="14" t="s">
        <v>1762</v>
      </c>
      <c r="B447" s="17" t="s">
        <v>1763</v>
      </c>
      <c r="C447" s="17" t="s">
        <v>1764</v>
      </c>
      <c r="D447" s="19" t="s">
        <v>1765</v>
      </c>
      <c r="E447" s="20" t="s">
        <v>1766</v>
      </c>
      <c r="F447" s="21">
        <v>36165.0</v>
      </c>
      <c r="G447" s="14">
        <v>27.0</v>
      </c>
      <c r="H447" s="23" t="s">
        <v>100</v>
      </c>
      <c r="I447" s="24" t="s">
        <v>33</v>
      </c>
      <c r="J447" s="19" t="s">
        <v>146</v>
      </c>
      <c r="K447" s="14">
        <v>3.0</v>
      </c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>
      <c r="A448" s="14" t="s">
        <v>1767</v>
      </c>
      <c r="B448" s="17" t="s">
        <v>1763</v>
      </c>
      <c r="C448" s="17" t="s">
        <v>1768</v>
      </c>
      <c r="D448" s="19" t="s">
        <v>1769</v>
      </c>
      <c r="E448" s="20" t="s">
        <v>544</v>
      </c>
      <c r="F448" s="21">
        <v>26422.0</v>
      </c>
      <c r="G448" s="14">
        <v>54.0</v>
      </c>
      <c r="H448" s="23" t="s">
        <v>26</v>
      </c>
      <c r="I448" s="24" t="s">
        <v>27</v>
      </c>
      <c r="J448" s="19" t="s">
        <v>146</v>
      </c>
      <c r="K448" s="14">
        <v>3.0</v>
      </c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>
      <c r="A449" s="14" t="s">
        <v>1770</v>
      </c>
      <c r="B449" s="17" t="s">
        <v>1763</v>
      </c>
      <c r="C449" s="17" t="s">
        <v>1771</v>
      </c>
      <c r="D449" s="19" t="s">
        <v>1772</v>
      </c>
      <c r="E449" s="20" t="s">
        <v>1773</v>
      </c>
      <c r="F449" s="21">
        <v>24108.0</v>
      </c>
      <c r="G449" s="14">
        <v>60.0</v>
      </c>
      <c r="H449" s="23" t="s">
        <v>26</v>
      </c>
      <c r="I449" s="24" t="s">
        <v>33</v>
      </c>
      <c r="J449" s="19" t="s">
        <v>146</v>
      </c>
      <c r="K449" s="14">
        <v>3.0</v>
      </c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>
      <c r="A450" s="14" t="s">
        <v>1774</v>
      </c>
      <c r="B450" s="17" t="s">
        <v>1775</v>
      </c>
      <c r="C450" s="17" t="s">
        <v>1776</v>
      </c>
      <c r="D450" s="19" t="s">
        <v>1777</v>
      </c>
      <c r="E450" s="20" t="s">
        <v>1778</v>
      </c>
      <c r="F450" s="21">
        <v>38142.0</v>
      </c>
      <c r="G450" s="14">
        <v>22.0</v>
      </c>
      <c r="H450" s="23" t="s">
        <v>100</v>
      </c>
      <c r="I450" s="24" t="s">
        <v>27</v>
      </c>
      <c r="J450" s="19" t="s">
        <v>146</v>
      </c>
      <c r="K450" s="14">
        <v>2.0</v>
      </c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>
      <c r="A451" s="14" t="s">
        <v>1779</v>
      </c>
      <c r="B451" s="17" t="s">
        <v>1775</v>
      </c>
      <c r="C451" s="17" t="s">
        <v>1780</v>
      </c>
      <c r="D451" s="19" t="s">
        <v>1781</v>
      </c>
      <c r="E451" s="20" t="s">
        <v>1782</v>
      </c>
      <c r="F451" s="21">
        <v>27666.0</v>
      </c>
      <c r="G451" s="14">
        <v>50.0</v>
      </c>
      <c r="H451" s="23" t="s">
        <v>26</v>
      </c>
      <c r="I451" s="24" t="s">
        <v>27</v>
      </c>
      <c r="J451" s="19" t="s">
        <v>146</v>
      </c>
      <c r="K451" s="14">
        <v>2.0</v>
      </c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>
      <c r="A452" s="14" t="s">
        <v>1783</v>
      </c>
      <c r="B452" s="17" t="s">
        <v>1775</v>
      </c>
      <c r="C452" s="17" t="s">
        <v>1784</v>
      </c>
      <c r="D452" s="19" t="s">
        <v>1785</v>
      </c>
      <c r="E452" s="20" t="s">
        <v>1786</v>
      </c>
      <c r="F452" s="21">
        <v>26354.0</v>
      </c>
      <c r="G452" s="14">
        <v>54.0</v>
      </c>
      <c r="H452" s="23" t="s">
        <v>26</v>
      </c>
      <c r="I452" s="24" t="s">
        <v>33</v>
      </c>
      <c r="J452" s="19" t="s">
        <v>146</v>
      </c>
      <c r="K452" s="14">
        <v>2.0</v>
      </c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>
      <c r="A453" s="14" t="s">
        <v>1787</v>
      </c>
      <c r="B453" s="17" t="s">
        <v>1788</v>
      </c>
      <c r="C453" s="17" t="s">
        <v>1789</v>
      </c>
      <c r="D453" s="19" t="s">
        <v>1790</v>
      </c>
      <c r="E453" s="20" t="s">
        <v>1791</v>
      </c>
      <c r="F453" s="21">
        <v>33881.0</v>
      </c>
      <c r="G453" s="14">
        <v>33.0</v>
      </c>
      <c r="H453" s="23" t="s">
        <v>26</v>
      </c>
      <c r="I453" s="24" t="s">
        <v>27</v>
      </c>
      <c r="J453" s="19" t="s">
        <v>726</v>
      </c>
      <c r="K453" s="14">
        <v>14.0</v>
      </c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>
      <c r="A454" s="14" t="s">
        <v>1792</v>
      </c>
      <c r="B454" s="17" t="s">
        <v>1788</v>
      </c>
      <c r="C454" s="17" t="s">
        <v>1793</v>
      </c>
      <c r="D454" s="19" t="s">
        <v>1794</v>
      </c>
      <c r="E454" s="20" t="s">
        <v>67</v>
      </c>
      <c r="F454" s="21">
        <v>34977.0</v>
      </c>
      <c r="G454" s="14">
        <v>30.0</v>
      </c>
      <c r="H454" s="23" t="s">
        <v>26</v>
      </c>
      <c r="I454" s="24" t="s">
        <v>33</v>
      </c>
      <c r="J454" s="19" t="s">
        <v>726</v>
      </c>
      <c r="K454" s="14">
        <v>14.0</v>
      </c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>
      <c r="A455" s="14" t="s">
        <v>1795</v>
      </c>
      <c r="B455" s="17" t="s">
        <v>1796</v>
      </c>
      <c r="C455" s="17" t="s">
        <v>1797</v>
      </c>
      <c r="D455" s="19" t="s">
        <v>1798</v>
      </c>
      <c r="E455" s="20" t="s">
        <v>53</v>
      </c>
      <c r="F455" s="21">
        <v>36609.0</v>
      </c>
      <c r="G455" s="14">
        <v>26.0</v>
      </c>
      <c r="H455" s="23" t="s">
        <v>26</v>
      </c>
      <c r="I455" s="24" t="s">
        <v>27</v>
      </c>
      <c r="J455" s="19" t="s">
        <v>328</v>
      </c>
      <c r="K455" s="14">
        <v>23.0</v>
      </c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>
      <c r="A456" s="14" t="s">
        <v>1799</v>
      </c>
      <c r="B456" s="17" t="s">
        <v>1796</v>
      </c>
      <c r="C456" s="17" t="s">
        <v>1800</v>
      </c>
      <c r="D456" s="19" t="s">
        <v>1801</v>
      </c>
      <c r="E456" s="20" t="s">
        <v>104</v>
      </c>
      <c r="F456" s="21">
        <v>36249.0</v>
      </c>
      <c r="G456" s="14">
        <v>27.0</v>
      </c>
      <c r="H456" s="23" t="s">
        <v>26</v>
      </c>
      <c r="I456" s="24" t="s">
        <v>33</v>
      </c>
      <c r="J456" s="19" t="s">
        <v>328</v>
      </c>
      <c r="K456" s="14">
        <v>23.0</v>
      </c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>
      <c r="A457" s="14" t="s">
        <v>1802</v>
      </c>
      <c r="B457" s="17" t="s">
        <v>1803</v>
      </c>
      <c r="C457" s="17" t="s">
        <v>1804</v>
      </c>
      <c r="D457" s="19" t="s">
        <v>1805</v>
      </c>
      <c r="E457" s="20" t="s">
        <v>104</v>
      </c>
      <c r="F457" s="27">
        <v>29139.0</v>
      </c>
      <c r="G457" s="14">
        <v>46.0</v>
      </c>
      <c r="H457" s="23" t="s">
        <v>26</v>
      </c>
      <c r="I457" s="24" t="s">
        <v>33</v>
      </c>
      <c r="J457" s="19" t="s">
        <v>1437</v>
      </c>
      <c r="K457" s="14">
        <v>30.0</v>
      </c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>
      <c r="A458" s="14" t="s">
        <v>1806</v>
      </c>
      <c r="B458" s="17" t="s">
        <v>1803</v>
      </c>
      <c r="C458" s="17" t="s">
        <v>1807</v>
      </c>
      <c r="D458" s="19" t="s">
        <v>1808</v>
      </c>
      <c r="E458" s="20" t="s">
        <v>138</v>
      </c>
      <c r="F458" s="21">
        <v>38628.0</v>
      </c>
      <c r="G458" s="14">
        <v>20.0</v>
      </c>
      <c r="H458" s="23" t="s">
        <v>100</v>
      </c>
      <c r="I458" s="24" t="s">
        <v>33</v>
      </c>
      <c r="J458" s="19" t="s">
        <v>1437</v>
      </c>
      <c r="K458" s="14">
        <v>30.0</v>
      </c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>
      <c r="A459" s="14" t="s">
        <v>1809</v>
      </c>
      <c r="B459" s="17" t="s">
        <v>1803</v>
      </c>
      <c r="C459" s="17" t="s">
        <v>1810</v>
      </c>
      <c r="D459" s="19" t="s">
        <v>1811</v>
      </c>
      <c r="E459" s="20" t="s">
        <v>104</v>
      </c>
      <c r="F459" s="21">
        <v>29649.0</v>
      </c>
      <c r="G459" s="14">
        <v>45.0</v>
      </c>
      <c r="H459" s="23" t="s">
        <v>26</v>
      </c>
      <c r="I459" s="24" t="s">
        <v>27</v>
      </c>
      <c r="J459" s="19" t="s">
        <v>1437</v>
      </c>
      <c r="K459" s="14">
        <v>30.0</v>
      </c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>
      <c r="A460" s="14" t="s">
        <v>1812</v>
      </c>
      <c r="B460" s="17" t="s">
        <v>1813</v>
      </c>
      <c r="C460" s="17" t="s">
        <v>1814</v>
      </c>
      <c r="D460" s="19" t="s">
        <v>1815</v>
      </c>
      <c r="E460" s="20" t="s">
        <v>1816</v>
      </c>
      <c r="F460" s="21">
        <v>24181.0</v>
      </c>
      <c r="G460" s="14">
        <v>60.0</v>
      </c>
      <c r="H460" s="23" t="s">
        <v>26</v>
      </c>
      <c r="I460" s="24" t="s">
        <v>27</v>
      </c>
      <c r="J460" s="19" t="s">
        <v>68</v>
      </c>
      <c r="K460" s="14">
        <v>29.0</v>
      </c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>
      <c r="A461" s="14" t="s">
        <v>1817</v>
      </c>
      <c r="B461" s="17" t="s">
        <v>1813</v>
      </c>
      <c r="C461" s="17" t="s">
        <v>1818</v>
      </c>
      <c r="D461" s="19" t="s">
        <v>1819</v>
      </c>
      <c r="E461" s="20" t="s">
        <v>53</v>
      </c>
      <c r="F461" s="21">
        <v>34896.0</v>
      </c>
      <c r="G461" s="14">
        <v>31.0</v>
      </c>
      <c r="H461" s="23" t="s">
        <v>100</v>
      </c>
      <c r="I461" s="24" t="s">
        <v>33</v>
      </c>
      <c r="J461" s="19" t="s">
        <v>68</v>
      </c>
      <c r="K461" s="14">
        <v>29.0</v>
      </c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>
      <c r="A462" s="14" t="s">
        <v>1820</v>
      </c>
      <c r="B462" s="17" t="s">
        <v>1813</v>
      </c>
      <c r="C462" s="17" t="s">
        <v>1821</v>
      </c>
      <c r="D462" s="19" t="s">
        <v>1822</v>
      </c>
      <c r="E462" s="20" t="s">
        <v>1049</v>
      </c>
      <c r="F462" s="21">
        <v>23193.0</v>
      </c>
      <c r="G462" s="14">
        <v>63.0</v>
      </c>
      <c r="H462" s="23" t="s">
        <v>26</v>
      </c>
      <c r="I462" s="24" t="s">
        <v>33</v>
      </c>
      <c r="J462" s="19" t="s">
        <v>68</v>
      </c>
      <c r="K462" s="14">
        <v>29.0</v>
      </c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>
      <c r="A463" s="14" t="s">
        <v>1823</v>
      </c>
      <c r="B463" s="17" t="s">
        <v>1824</v>
      </c>
      <c r="C463" s="17" t="s">
        <v>1825</v>
      </c>
      <c r="D463" s="19" t="s">
        <v>1193</v>
      </c>
      <c r="E463" s="20" t="s">
        <v>1826</v>
      </c>
      <c r="F463" s="21">
        <v>31285.0</v>
      </c>
      <c r="G463" s="14">
        <v>41.0</v>
      </c>
      <c r="H463" s="23" t="s">
        <v>26</v>
      </c>
      <c r="I463" s="24" t="s">
        <v>33</v>
      </c>
      <c r="J463" s="19" t="s">
        <v>517</v>
      </c>
      <c r="K463" s="14">
        <v>9.0</v>
      </c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>
      <c r="A464" s="14" t="s">
        <v>1827</v>
      </c>
      <c r="B464" s="17" t="s">
        <v>1824</v>
      </c>
      <c r="C464" s="17" t="s">
        <v>1828</v>
      </c>
      <c r="D464" s="19" t="s">
        <v>1829</v>
      </c>
      <c r="E464" s="20" t="s">
        <v>1830</v>
      </c>
      <c r="F464" s="21">
        <v>31594.0</v>
      </c>
      <c r="G464" s="14">
        <v>40.0</v>
      </c>
      <c r="H464" s="23" t="s">
        <v>26</v>
      </c>
      <c r="I464" s="24" t="s">
        <v>27</v>
      </c>
      <c r="J464" s="19" t="s">
        <v>517</v>
      </c>
      <c r="K464" s="14">
        <v>9.0</v>
      </c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>
      <c r="A465" s="14" t="s">
        <v>1832</v>
      </c>
      <c r="B465" s="17" t="s">
        <v>1824</v>
      </c>
      <c r="C465" s="17" t="s">
        <v>1833</v>
      </c>
      <c r="D465" s="19" t="s">
        <v>1834</v>
      </c>
      <c r="E465" s="20" t="s">
        <v>138</v>
      </c>
      <c r="F465" s="21">
        <v>38780.0</v>
      </c>
      <c r="G465" s="14">
        <v>20.0</v>
      </c>
      <c r="H465" s="23" t="s">
        <v>100</v>
      </c>
      <c r="I465" s="24" t="s">
        <v>27</v>
      </c>
      <c r="J465" s="19" t="s">
        <v>517</v>
      </c>
      <c r="K465" s="14">
        <v>9.0</v>
      </c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>
      <c r="A466" s="14" t="s">
        <v>1835</v>
      </c>
      <c r="B466" s="17" t="s">
        <v>1836</v>
      </c>
      <c r="C466" s="17" t="s">
        <v>1837</v>
      </c>
      <c r="D466" s="19" t="s">
        <v>1838</v>
      </c>
      <c r="E466" s="20" t="s">
        <v>138</v>
      </c>
      <c r="F466" s="21">
        <v>36439.0</v>
      </c>
      <c r="G466" s="14">
        <v>26.0</v>
      </c>
      <c r="H466" s="23" t="s">
        <v>26</v>
      </c>
      <c r="I466" s="24" t="s">
        <v>27</v>
      </c>
      <c r="J466" s="19" t="s">
        <v>104</v>
      </c>
      <c r="K466" s="14">
        <v>24.0</v>
      </c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>
      <c r="A467" s="14" t="s">
        <v>1839</v>
      </c>
      <c r="B467" s="17" t="s">
        <v>1836</v>
      </c>
      <c r="C467" s="17" t="s">
        <v>1840</v>
      </c>
      <c r="D467" s="19" t="s">
        <v>1841</v>
      </c>
      <c r="E467" s="20" t="s">
        <v>104</v>
      </c>
      <c r="F467" s="21">
        <v>35103.0</v>
      </c>
      <c r="G467" s="14">
        <v>30.0</v>
      </c>
      <c r="H467" s="23" t="s">
        <v>26</v>
      </c>
      <c r="I467" s="24" t="s">
        <v>33</v>
      </c>
      <c r="J467" s="19" t="s">
        <v>104</v>
      </c>
      <c r="K467" s="14">
        <v>24.0</v>
      </c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>
      <c r="A468" s="14" t="s">
        <v>1842</v>
      </c>
      <c r="B468" s="17" t="s">
        <v>1843</v>
      </c>
      <c r="C468" s="17" t="s">
        <v>1844</v>
      </c>
      <c r="D468" s="19" t="s">
        <v>1845</v>
      </c>
      <c r="E468" s="20" t="s">
        <v>1846</v>
      </c>
      <c r="F468" s="27">
        <v>22960.0</v>
      </c>
      <c r="G468" s="14">
        <v>63.0</v>
      </c>
      <c r="H468" s="23" t="s">
        <v>26</v>
      </c>
      <c r="I468" s="24" t="s">
        <v>33</v>
      </c>
      <c r="J468" s="19" t="s">
        <v>68</v>
      </c>
      <c r="K468" s="14">
        <v>31.0</v>
      </c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>
      <c r="A469" s="14" t="s">
        <v>1847</v>
      </c>
      <c r="B469" s="17" t="s">
        <v>1843</v>
      </c>
      <c r="C469" s="17" t="s">
        <v>1848</v>
      </c>
      <c r="D469" s="19" t="s">
        <v>1849</v>
      </c>
      <c r="E469" s="20" t="s">
        <v>1850</v>
      </c>
      <c r="F469" s="21">
        <v>27133.0</v>
      </c>
      <c r="G469" s="14">
        <v>52.0</v>
      </c>
      <c r="H469" s="23" t="s">
        <v>26</v>
      </c>
      <c r="I469" s="24" t="s">
        <v>27</v>
      </c>
      <c r="J469" s="19" t="s">
        <v>68</v>
      </c>
      <c r="K469" s="14">
        <v>31.0</v>
      </c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>
      <c r="A470" s="14" t="s">
        <v>1851</v>
      </c>
      <c r="B470" s="17" t="s">
        <v>1843</v>
      </c>
      <c r="C470" s="17" t="s">
        <v>1852</v>
      </c>
      <c r="D470" s="19" t="s">
        <v>1853</v>
      </c>
      <c r="E470" s="20" t="s">
        <v>1854</v>
      </c>
      <c r="F470" s="21">
        <v>38811.0</v>
      </c>
      <c r="G470" s="14">
        <v>20.0</v>
      </c>
      <c r="H470" s="23" t="s">
        <v>100</v>
      </c>
      <c r="I470" s="24" t="s">
        <v>33</v>
      </c>
      <c r="J470" s="19" t="s">
        <v>68</v>
      </c>
      <c r="K470" s="14">
        <v>31.0</v>
      </c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>
      <c r="A471" s="14" t="s">
        <v>1855</v>
      </c>
      <c r="B471" s="17" t="s">
        <v>1856</v>
      </c>
      <c r="C471" s="17" t="s">
        <v>1857</v>
      </c>
      <c r="D471" s="19" t="s">
        <v>1858</v>
      </c>
      <c r="E471" s="20" t="s">
        <v>219</v>
      </c>
      <c r="F471" s="21">
        <v>29994.0</v>
      </c>
      <c r="G471" s="14">
        <v>44.0</v>
      </c>
      <c r="H471" s="23" t="s">
        <v>26</v>
      </c>
      <c r="I471" s="24" t="s">
        <v>33</v>
      </c>
      <c r="J471" s="19" t="s">
        <v>53</v>
      </c>
      <c r="K471" s="14">
        <v>17.0</v>
      </c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>
      <c r="A472" s="14" t="s">
        <v>1859</v>
      </c>
      <c r="B472" s="17" t="s">
        <v>1856</v>
      </c>
      <c r="C472" s="17" t="s">
        <v>1860</v>
      </c>
      <c r="D472" s="19" t="s">
        <v>1861</v>
      </c>
      <c r="E472" s="20" t="s">
        <v>104</v>
      </c>
      <c r="F472" s="21">
        <v>30809.0</v>
      </c>
      <c r="G472" s="14">
        <v>42.0</v>
      </c>
      <c r="H472" s="23" t="s">
        <v>26</v>
      </c>
      <c r="I472" s="24" t="s">
        <v>27</v>
      </c>
      <c r="J472" s="19" t="s">
        <v>53</v>
      </c>
      <c r="K472" s="14">
        <v>17.0</v>
      </c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>
      <c r="A473" s="14" t="s">
        <v>1862</v>
      </c>
      <c r="B473" s="17" t="s">
        <v>1863</v>
      </c>
      <c r="C473" s="17" t="s">
        <v>1864</v>
      </c>
      <c r="D473" s="19" t="s">
        <v>1865</v>
      </c>
      <c r="E473" s="20" t="s">
        <v>104</v>
      </c>
      <c r="F473" s="21">
        <v>29619.0</v>
      </c>
      <c r="G473" s="14">
        <v>45.0</v>
      </c>
      <c r="H473" s="23" t="s">
        <v>26</v>
      </c>
      <c r="I473" s="24" t="s">
        <v>33</v>
      </c>
      <c r="J473" s="19" t="s">
        <v>1866</v>
      </c>
      <c r="K473" s="14">
        <v>27.0</v>
      </c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>
      <c r="A474" s="14" t="s">
        <v>1867</v>
      </c>
      <c r="B474" s="17" t="s">
        <v>1863</v>
      </c>
      <c r="C474" s="17" t="s">
        <v>1868</v>
      </c>
      <c r="D474" s="19" t="s">
        <v>1869</v>
      </c>
      <c r="E474" s="20" t="s">
        <v>1870</v>
      </c>
      <c r="F474" s="21">
        <v>38920.0</v>
      </c>
      <c r="G474" s="14">
        <v>20.0</v>
      </c>
      <c r="H474" s="23" t="s">
        <v>100</v>
      </c>
      <c r="I474" s="24" t="s">
        <v>27</v>
      </c>
      <c r="J474" s="19" t="s">
        <v>1866</v>
      </c>
      <c r="K474" s="14">
        <v>27.0</v>
      </c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>
      <c r="A475" s="14" t="s">
        <v>1871</v>
      </c>
      <c r="B475" s="17" t="s">
        <v>1863</v>
      </c>
      <c r="C475" s="17" t="s">
        <v>1872</v>
      </c>
      <c r="D475" s="19" t="s">
        <v>1873</v>
      </c>
      <c r="E475" s="20" t="s">
        <v>104</v>
      </c>
      <c r="F475" s="27">
        <v>29908.0</v>
      </c>
      <c r="G475" s="14">
        <v>44.0</v>
      </c>
      <c r="H475" s="23" t="s">
        <v>26</v>
      </c>
      <c r="I475" s="24" t="s">
        <v>27</v>
      </c>
      <c r="J475" s="19" t="s">
        <v>1874</v>
      </c>
      <c r="K475" s="14">
        <v>27.0</v>
      </c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>
      <c r="A476" s="14" t="s">
        <v>1875</v>
      </c>
      <c r="B476" s="17" t="s">
        <v>1876</v>
      </c>
      <c r="C476" s="17" t="s">
        <v>1877</v>
      </c>
      <c r="D476" s="19" t="s">
        <v>1878</v>
      </c>
      <c r="E476" s="20" t="s">
        <v>632</v>
      </c>
      <c r="F476" s="21">
        <v>35938.0</v>
      </c>
      <c r="G476" s="14">
        <v>28.0</v>
      </c>
      <c r="H476" s="23" t="s">
        <v>100</v>
      </c>
      <c r="I476" s="24" t="s">
        <v>33</v>
      </c>
      <c r="J476" s="19" t="s">
        <v>1879</v>
      </c>
      <c r="K476" s="14">
        <v>24.0</v>
      </c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>
      <c r="A477" s="14" t="s">
        <v>1880</v>
      </c>
      <c r="B477" s="17" t="s">
        <v>1876</v>
      </c>
      <c r="C477" s="17" t="s">
        <v>1881</v>
      </c>
      <c r="D477" s="19" t="s">
        <v>1882</v>
      </c>
      <c r="E477" s="20" t="s">
        <v>632</v>
      </c>
      <c r="F477" s="27">
        <v>23726.0</v>
      </c>
      <c r="G477" s="14">
        <v>61.0</v>
      </c>
      <c r="H477" s="23" t="s">
        <v>26</v>
      </c>
      <c r="I477" s="24" t="s">
        <v>33</v>
      </c>
      <c r="J477" s="19" t="s">
        <v>328</v>
      </c>
      <c r="K477" s="14">
        <v>25.0</v>
      </c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>
      <c r="A478" s="14" t="s">
        <v>1883</v>
      </c>
      <c r="B478" s="17" t="s">
        <v>1876</v>
      </c>
      <c r="C478" s="17" t="s">
        <v>1884</v>
      </c>
      <c r="D478" s="19" t="s">
        <v>1885</v>
      </c>
      <c r="E478" s="20" t="s">
        <v>880</v>
      </c>
      <c r="F478" s="21">
        <v>26917.0</v>
      </c>
      <c r="G478" s="14">
        <v>52.0</v>
      </c>
      <c r="H478" s="23" t="s">
        <v>26</v>
      </c>
      <c r="I478" s="24" t="s">
        <v>27</v>
      </c>
      <c r="J478" s="19" t="s">
        <v>1879</v>
      </c>
      <c r="K478" s="14">
        <v>24.0</v>
      </c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>
      <c r="A479" s="14" t="s">
        <v>1886</v>
      </c>
      <c r="B479" s="17" t="s">
        <v>1887</v>
      </c>
      <c r="C479" s="17" t="s">
        <v>1888</v>
      </c>
      <c r="D479" s="19" t="s">
        <v>1889</v>
      </c>
      <c r="E479" s="20" t="s">
        <v>231</v>
      </c>
      <c r="F479" s="21">
        <v>35215.0</v>
      </c>
      <c r="G479" s="14">
        <v>30.0</v>
      </c>
      <c r="H479" s="23" t="s">
        <v>26</v>
      </c>
      <c r="I479" s="24" t="s">
        <v>33</v>
      </c>
      <c r="J479" s="19" t="s">
        <v>282</v>
      </c>
      <c r="K479" s="14">
        <v>13.0</v>
      </c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>
      <c r="A480" s="14" t="s">
        <v>1890</v>
      </c>
      <c r="B480" s="17" t="s">
        <v>1887</v>
      </c>
      <c r="C480" s="17" t="s">
        <v>1891</v>
      </c>
      <c r="D480" s="19" t="s">
        <v>1892</v>
      </c>
      <c r="E480" s="20" t="s">
        <v>104</v>
      </c>
      <c r="F480" s="21">
        <v>37028.0</v>
      </c>
      <c r="G480" s="14">
        <v>25.0</v>
      </c>
      <c r="H480" s="23" t="s">
        <v>26</v>
      </c>
      <c r="I480" s="24" t="s">
        <v>27</v>
      </c>
      <c r="J480" s="19" t="s">
        <v>282</v>
      </c>
      <c r="K480" s="14">
        <v>13.0</v>
      </c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>
      <c r="A481" s="14" t="s">
        <v>1893</v>
      </c>
      <c r="B481" s="17" t="s">
        <v>1894</v>
      </c>
      <c r="C481" s="17" t="s">
        <v>1895</v>
      </c>
      <c r="D481" s="19" t="s">
        <v>1896</v>
      </c>
      <c r="E481" s="20" t="s">
        <v>210</v>
      </c>
      <c r="F481" s="21">
        <v>26528.0</v>
      </c>
      <c r="G481" s="14">
        <v>54.0</v>
      </c>
      <c r="H481" s="23" t="s">
        <v>26</v>
      </c>
      <c r="I481" s="24" t="s">
        <v>27</v>
      </c>
      <c r="J481" s="19" t="s">
        <v>95</v>
      </c>
      <c r="K481" s="14">
        <v>11.0</v>
      </c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>
      <c r="A482" s="14" t="s">
        <v>1897</v>
      </c>
      <c r="B482" s="17" t="s">
        <v>1894</v>
      </c>
      <c r="C482" s="17" t="s">
        <v>1898</v>
      </c>
      <c r="D482" s="19" t="s">
        <v>1899</v>
      </c>
      <c r="E482" s="20" t="s">
        <v>53</v>
      </c>
      <c r="F482" s="21">
        <v>34457.0</v>
      </c>
      <c r="G482" s="14">
        <v>32.0</v>
      </c>
      <c r="H482" s="23" t="s">
        <v>100</v>
      </c>
      <c r="I482" s="24" t="s">
        <v>33</v>
      </c>
      <c r="J482" s="19" t="s">
        <v>95</v>
      </c>
      <c r="K482" s="14">
        <v>11.0</v>
      </c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>
      <c r="A483" s="14" t="s">
        <v>1900</v>
      </c>
      <c r="B483" s="17" t="s">
        <v>1894</v>
      </c>
      <c r="C483" s="17" t="s">
        <v>1901</v>
      </c>
      <c r="D483" s="19" t="s">
        <v>1902</v>
      </c>
      <c r="E483" s="20" t="s">
        <v>1903</v>
      </c>
      <c r="F483" s="27">
        <v>24824.0</v>
      </c>
      <c r="G483" s="14">
        <v>58.0</v>
      </c>
      <c r="H483" s="23" t="s">
        <v>26</v>
      </c>
      <c r="I483" s="24" t="s">
        <v>33</v>
      </c>
      <c r="J483" s="19" t="s">
        <v>95</v>
      </c>
      <c r="K483" s="14">
        <v>11.0</v>
      </c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>
      <c r="A484" s="14" t="s">
        <v>1904</v>
      </c>
      <c r="B484" s="17" t="s">
        <v>1905</v>
      </c>
      <c r="C484" s="17" t="s">
        <v>1906</v>
      </c>
      <c r="D484" s="19" t="s">
        <v>1907</v>
      </c>
      <c r="E484" s="20" t="s">
        <v>1908</v>
      </c>
      <c r="F484" s="21">
        <v>25388.0</v>
      </c>
      <c r="G484" s="14">
        <v>57.0</v>
      </c>
      <c r="H484" s="23" t="s">
        <v>26</v>
      </c>
      <c r="I484" s="24" t="s">
        <v>33</v>
      </c>
      <c r="J484" s="19" t="s">
        <v>726</v>
      </c>
      <c r="K484" s="14">
        <v>11.0</v>
      </c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>
      <c r="A485" s="14" t="s">
        <v>1909</v>
      </c>
      <c r="B485" s="17" t="s">
        <v>1905</v>
      </c>
      <c r="C485" s="17" t="s">
        <v>1910</v>
      </c>
      <c r="D485" s="19" t="s">
        <v>1048</v>
      </c>
      <c r="E485" s="20" t="s">
        <v>429</v>
      </c>
      <c r="F485" s="21">
        <v>27549.0</v>
      </c>
      <c r="G485" s="14">
        <v>51.0</v>
      </c>
      <c r="H485" s="23" t="s">
        <v>26</v>
      </c>
      <c r="I485" s="24" t="s">
        <v>27</v>
      </c>
      <c r="J485" s="19" t="s">
        <v>726</v>
      </c>
      <c r="K485" s="14">
        <v>11.0</v>
      </c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>
      <c r="A486" s="14" t="s">
        <v>1911</v>
      </c>
      <c r="B486" s="17" t="s">
        <v>1912</v>
      </c>
      <c r="C486" s="17" t="s">
        <v>1913</v>
      </c>
      <c r="D486" s="19" t="s">
        <v>1914</v>
      </c>
      <c r="E486" s="20" t="s">
        <v>624</v>
      </c>
      <c r="F486" s="21">
        <v>23941.0</v>
      </c>
      <c r="G486" s="14">
        <v>61.0</v>
      </c>
      <c r="H486" s="23" t="s">
        <v>26</v>
      </c>
      <c r="I486" s="24" t="s">
        <v>27</v>
      </c>
      <c r="J486" s="19" t="s">
        <v>1915</v>
      </c>
      <c r="K486" s="14">
        <v>11.0</v>
      </c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>
      <c r="A487" s="14" t="s">
        <v>1916</v>
      </c>
      <c r="B487" s="17" t="s">
        <v>1917</v>
      </c>
      <c r="C487" s="17" t="s">
        <v>1918</v>
      </c>
      <c r="D487" s="19" t="s">
        <v>1919</v>
      </c>
      <c r="E487" s="20" t="s">
        <v>53</v>
      </c>
      <c r="F487" s="21">
        <v>38389.0</v>
      </c>
      <c r="G487" s="14">
        <v>21.0</v>
      </c>
      <c r="H487" s="23" t="s">
        <v>100</v>
      </c>
      <c r="I487" s="24" t="s">
        <v>33</v>
      </c>
      <c r="J487" s="19" t="s">
        <v>1915</v>
      </c>
      <c r="K487" s="14">
        <v>11.0</v>
      </c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>
      <c r="A488" s="14" t="s">
        <v>1920</v>
      </c>
      <c r="B488" s="17" t="s">
        <v>1917</v>
      </c>
      <c r="C488" s="17" t="s">
        <v>1921</v>
      </c>
      <c r="D488" s="19" t="s">
        <v>1922</v>
      </c>
      <c r="E488" s="20" t="s">
        <v>195</v>
      </c>
      <c r="F488" s="21">
        <v>35684.0</v>
      </c>
      <c r="G488" s="14">
        <v>28.0</v>
      </c>
      <c r="H488" s="23" t="s">
        <v>100</v>
      </c>
      <c r="I488" s="24" t="s">
        <v>33</v>
      </c>
      <c r="J488" s="19" t="s">
        <v>1915</v>
      </c>
      <c r="K488" s="14">
        <v>11.0</v>
      </c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>
      <c r="A489" s="14" t="s">
        <v>1923</v>
      </c>
      <c r="B489" s="17" t="s">
        <v>1917</v>
      </c>
      <c r="C489" s="17" t="s">
        <v>1924</v>
      </c>
      <c r="D489" s="19" t="s">
        <v>1925</v>
      </c>
      <c r="E489" s="20" t="s">
        <v>210</v>
      </c>
      <c r="F489" s="21">
        <v>27621.0</v>
      </c>
      <c r="G489" s="14">
        <v>51.0</v>
      </c>
      <c r="H489" s="23" t="s">
        <v>26</v>
      </c>
      <c r="I489" s="24" t="s">
        <v>27</v>
      </c>
      <c r="J489" s="19" t="s">
        <v>146</v>
      </c>
      <c r="K489" s="14">
        <v>10.0</v>
      </c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>
      <c r="A490" s="14" t="s">
        <v>1926</v>
      </c>
      <c r="B490" s="17" t="s">
        <v>1917</v>
      </c>
      <c r="C490" s="17" t="s">
        <v>1927</v>
      </c>
      <c r="D490" s="19" t="s">
        <v>1928</v>
      </c>
      <c r="E490" s="20" t="s">
        <v>1929</v>
      </c>
      <c r="F490" s="21">
        <v>26461.0</v>
      </c>
      <c r="G490" s="14">
        <v>54.0</v>
      </c>
      <c r="H490" s="23" t="s">
        <v>26</v>
      </c>
      <c r="I490" s="24" t="s">
        <v>33</v>
      </c>
      <c r="J490" s="19" t="s">
        <v>1915</v>
      </c>
      <c r="K490" s="14">
        <v>11.0</v>
      </c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>
      <c r="A491" s="14" t="s">
        <v>1930</v>
      </c>
      <c r="B491" s="17" t="s">
        <v>1931</v>
      </c>
      <c r="C491" s="17" t="s">
        <v>1932</v>
      </c>
      <c r="D491" s="19" t="s">
        <v>1933</v>
      </c>
      <c r="E491" s="20" t="s">
        <v>1934</v>
      </c>
      <c r="F491" s="21">
        <v>25359.0</v>
      </c>
      <c r="G491" s="14">
        <v>57.0</v>
      </c>
      <c r="H491" s="23" t="s">
        <v>26</v>
      </c>
      <c r="I491" s="24" t="s">
        <v>33</v>
      </c>
      <c r="J491" s="19" t="s">
        <v>282</v>
      </c>
      <c r="K491" s="14">
        <v>11.0</v>
      </c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>
      <c r="A492" s="14" t="s">
        <v>1935</v>
      </c>
      <c r="B492" s="17" t="s">
        <v>1931</v>
      </c>
      <c r="C492" s="17" t="s">
        <v>1936</v>
      </c>
      <c r="D492" s="19" t="s">
        <v>1937</v>
      </c>
      <c r="E492" s="20" t="s">
        <v>231</v>
      </c>
      <c r="F492" s="21">
        <v>26831.0</v>
      </c>
      <c r="G492" s="14">
        <v>53.0</v>
      </c>
      <c r="H492" s="23" t="s">
        <v>26</v>
      </c>
      <c r="I492" s="24" t="s">
        <v>27</v>
      </c>
      <c r="J492" s="19" t="s">
        <v>282</v>
      </c>
      <c r="K492" s="14">
        <v>11.0</v>
      </c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>
      <c r="A493" s="14" t="s">
        <v>1938</v>
      </c>
      <c r="B493" s="17" t="s">
        <v>1939</v>
      </c>
      <c r="C493" s="17" t="s">
        <v>1940</v>
      </c>
      <c r="D493" s="19" t="s">
        <v>1941</v>
      </c>
      <c r="E493" s="20" t="s">
        <v>104</v>
      </c>
      <c r="F493" s="21">
        <v>33546.0</v>
      </c>
      <c r="G493" s="14">
        <v>34.0</v>
      </c>
      <c r="H493" s="23" t="s">
        <v>100</v>
      </c>
      <c r="I493" s="24" t="s">
        <v>27</v>
      </c>
      <c r="J493" s="19" t="s">
        <v>1915</v>
      </c>
      <c r="K493" s="14">
        <v>11.0</v>
      </c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>
      <c r="A494" s="14" t="s">
        <v>1942</v>
      </c>
      <c r="B494" s="17" t="s">
        <v>1939</v>
      </c>
      <c r="C494" s="17" t="s">
        <v>1943</v>
      </c>
      <c r="D494" s="19" t="s">
        <v>1944</v>
      </c>
      <c r="E494" s="20" t="s">
        <v>1550</v>
      </c>
      <c r="F494" s="21">
        <v>27040.0</v>
      </c>
      <c r="G494" s="14">
        <v>52.0</v>
      </c>
      <c r="H494" s="23" t="s">
        <v>26</v>
      </c>
      <c r="I494" s="24" t="s">
        <v>27</v>
      </c>
      <c r="J494" s="19" t="s">
        <v>1915</v>
      </c>
      <c r="K494" s="14">
        <v>11.0</v>
      </c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>
      <c r="A495" s="14" t="s">
        <v>1945</v>
      </c>
      <c r="B495" s="17" t="s">
        <v>1939</v>
      </c>
      <c r="C495" s="17" t="s">
        <v>1946</v>
      </c>
      <c r="D495" s="19" t="s">
        <v>1947</v>
      </c>
      <c r="E495" s="20" t="s">
        <v>1903</v>
      </c>
      <c r="F495" s="21">
        <v>24504.0</v>
      </c>
      <c r="G495" s="14">
        <v>59.0</v>
      </c>
      <c r="H495" s="23" t="s">
        <v>26</v>
      </c>
      <c r="I495" s="24" t="s">
        <v>33</v>
      </c>
      <c r="J495" s="19" t="s">
        <v>1915</v>
      </c>
      <c r="K495" s="14">
        <v>11.0</v>
      </c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>
      <c r="A496" s="14" t="s">
        <v>1948</v>
      </c>
      <c r="B496" s="17" t="s">
        <v>1949</v>
      </c>
      <c r="C496" s="17" t="s">
        <v>1950</v>
      </c>
      <c r="D496" s="19" t="s">
        <v>1951</v>
      </c>
      <c r="E496" s="20" t="s">
        <v>650</v>
      </c>
      <c r="F496" s="21">
        <v>23575.0</v>
      </c>
      <c r="G496" s="14">
        <v>62.0</v>
      </c>
      <c r="H496" s="23" t="s">
        <v>26</v>
      </c>
      <c r="I496" s="24" t="s">
        <v>27</v>
      </c>
      <c r="J496" s="19" t="s">
        <v>1952</v>
      </c>
      <c r="K496" s="14">
        <v>36.0</v>
      </c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>
      <c r="A497" s="14" t="s">
        <v>1953</v>
      </c>
      <c r="B497" s="17" t="s">
        <v>1949</v>
      </c>
      <c r="C497" s="17" t="s">
        <v>1954</v>
      </c>
      <c r="D497" s="19" t="s">
        <v>1955</v>
      </c>
      <c r="E497" s="20" t="s">
        <v>1903</v>
      </c>
      <c r="F497" s="21">
        <v>22754.0</v>
      </c>
      <c r="G497" s="14">
        <v>64.0</v>
      </c>
      <c r="H497" s="23" t="s">
        <v>26</v>
      </c>
      <c r="I497" s="24" t="s">
        <v>33</v>
      </c>
      <c r="J497" s="19" t="s">
        <v>1952</v>
      </c>
      <c r="K497" s="14">
        <v>36.0</v>
      </c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>
      <c r="A498" s="14" t="s">
        <v>1956</v>
      </c>
      <c r="B498" s="17" t="s">
        <v>1957</v>
      </c>
      <c r="C498" s="17" t="s">
        <v>1958</v>
      </c>
      <c r="D498" s="19" t="s">
        <v>1959</v>
      </c>
      <c r="E498" s="20" t="s">
        <v>1370</v>
      </c>
      <c r="F498" s="21">
        <v>16205.0</v>
      </c>
      <c r="G498" s="14">
        <v>82.0</v>
      </c>
      <c r="H498" s="23" t="s">
        <v>26</v>
      </c>
      <c r="I498" s="24" t="s">
        <v>33</v>
      </c>
      <c r="J498" s="19" t="s">
        <v>1960</v>
      </c>
      <c r="K498" s="14">
        <v>11.0</v>
      </c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>
      <c r="A499" s="14" t="s">
        <v>1961</v>
      </c>
      <c r="B499" s="17" t="s">
        <v>1957</v>
      </c>
      <c r="C499" s="17" t="s">
        <v>1962</v>
      </c>
      <c r="D499" s="19" t="s">
        <v>1963</v>
      </c>
      <c r="E499" s="20" t="s">
        <v>1370</v>
      </c>
      <c r="F499" s="27">
        <v>22947.0</v>
      </c>
      <c r="G499" s="14">
        <v>63.0</v>
      </c>
      <c r="H499" s="23" t="s">
        <v>26</v>
      </c>
      <c r="I499" s="24" t="s">
        <v>27</v>
      </c>
      <c r="J499" s="19" t="s">
        <v>1960</v>
      </c>
      <c r="K499" s="14">
        <v>11.0</v>
      </c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>
      <c r="A500" s="14" t="s">
        <v>1964</v>
      </c>
      <c r="B500" s="17" t="s">
        <v>1957</v>
      </c>
      <c r="C500" s="17" t="s">
        <v>1965</v>
      </c>
      <c r="D500" s="19" t="s">
        <v>1966</v>
      </c>
      <c r="E500" s="20" t="s">
        <v>104</v>
      </c>
      <c r="F500" s="21">
        <v>37019.0</v>
      </c>
      <c r="G500" s="14">
        <v>25.0</v>
      </c>
      <c r="H500" s="23" t="s">
        <v>100</v>
      </c>
      <c r="I500" s="24" t="s">
        <v>33</v>
      </c>
      <c r="J500" s="19" t="s">
        <v>1960</v>
      </c>
      <c r="K500" s="14">
        <v>11.0</v>
      </c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>
      <c r="A501" s="14" t="s">
        <v>1967</v>
      </c>
      <c r="B501" s="17" t="s">
        <v>1968</v>
      </c>
      <c r="C501" s="17" t="s">
        <v>1969</v>
      </c>
      <c r="D501" s="19" t="s">
        <v>1970</v>
      </c>
      <c r="E501" s="20" t="s">
        <v>104</v>
      </c>
      <c r="F501" s="21">
        <v>29264.0</v>
      </c>
      <c r="G501" s="14">
        <v>46.0</v>
      </c>
      <c r="H501" s="23" t="s">
        <v>26</v>
      </c>
      <c r="I501" s="24" t="s">
        <v>27</v>
      </c>
      <c r="J501" s="19" t="s">
        <v>1915</v>
      </c>
      <c r="K501" s="14">
        <v>11.0</v>
      </c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>
      <c r="A502" s="14" t="s">
        <v>1971</v>
      </c>
      <c r="B502" s="17" t="s">
        <v>1968</v>
      </c>
      <c r="C502" s="17" t="s">
        <v>1972</v>
      </c>
      <c r="D502" s="19" t="s">
        <v>1973</v>
      </c>
      <c r="E502" s="20" t="s">
        <v>1049</v>
      </c>
      <c r="F502" s="21">
        <v>27410.0</v>
      </c>
      <c r="G502" s="14">
        <v>51.0</v>
      </c>
      <c r="H502" s="23" t="s">
        <v>26</v>
      </c>
      <c r="I502" s="24" t="s">
        <v>33</v>
      </c>
      <c r="J502" s="19" t="s">
        <v>1915</v>
      </c>
      <c r="K502" s="14">
        <v>11.0</v>
      </c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>
      <c r="A503" s="14" t="s">
        <v>1974</v>
      </c>
      <c r="B503" s="17" t="s">
        <v>1968</v>
      </c>
      <c r="C503" s="17" t="s">
        <v>1975</v>
      </c>
      <c r="D503" s="19" t="s">
        <v>1976</v>
      </c>
      <c r="E503" s="20" t="s">
        <v>337</v>
      </c>
      <c r="F503" s="21">
        <v>37686.0</v>
      </c>
      <c r="G503" s="14">
        <v>23.0</v>
      </c>
      <c r="H503" s="23" t="s">
        <v>100</v>
      </c>
      <c r="I503" s="24" t="s">
        <v>33</v>
      </c>
      <c r="J503" s="19" t="s">
        <v>1915</v>
      </c>
      <c r="K503" s="14">
        <v>11.0</v>
      </c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>
      <c r="A504" s="14" t="s">
        <v>1977</v>
      </c>
      <c r="B504" s="17" t="s">
        <v>1968</v>
      </c>
      <c r="C504" s="17" t="s">
        <v>1978</v>
      </c>
      <c r="D504" s="19" t="s">
        <v>1979</v>
      </c>
      <c r="E504" s="20" t="s">
        <v>53</v>
      </c>
      <c r="F504" s="21">
        <v>38790.0</v>
      </c>
      <c r="G504" s="14">
        <v>20.0</v>
      </c>
      <c r="H504" s="23" t="s">
        <v>100</v>
      </c>
      <c r="I504" s="24" t="s">
        <v>33</v>
      </c>
      <c r="J504" s="19" t="s">
        <v>1915</v>
      </c>
      <c r="K504" s="14">
        <v>11.0</v>
      </c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>
      <c r="A505" s="14" t="s">
        <v>1980</v>
      </c>
      <c r="B505" s="17" t="s">
        <v>1981</v>
      </c>
      <c r="C505" s="17" t="s">
        <v>1982</v>
      </c>
      <c r="D505" s="19" t="s">
        <v>1983</v>
      </c>
      <c r="E505" s="20" t="s">
        <v>104</v>
      </c>
      <c r="F505" s="27">
        <v>31408.0</v>
      </c>
      <c r="G505" s="14">
        <v>40.0</v>
      </c>
      <c r="H505" s="23" t="s">
        <v>26</v>
      </c>
      <c r="I505" s="24" t="s">
        <v>27</v>
      </c>
      <c r="J505" s="19" t="s">
        <v>53</v>
      </c>
      <c r="K505" s="14">
        <v>30.0</v>
      </c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>
      <c r="A506" s="14" t="s">
        <v>1984</v>
      </c>
      <c r="B506" s="17" t="s">
        <v>1981</v>
      </c>
      <c r="C506" s="17" t="s">
        <v>1985</v>
      </c>
      <c r="D506" s="19" t="s">
        <v>1986</v>
      </c>
      <c r="E506" s="20" t="s">
        <v>104</v>
      </c>
      <c r="F506" s="21">
        <v>30434.0</v>
      </c>
      <c r="G506" s="14">
        <v>43.0</v>
      </c>
      <c r="H506" s="23" t="s">
        <v>26</v>
      </c>
      <c r="I506" s="24" t="s">
        <v>33</v>
      </c>
      <c r="J506" s="19" t="s">
        <v>53</v>
      </c>
      <c r="K506" s="14">
        <v>30.0</v>
      </c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>
      <c r="A507" s="14" t="s">
        <v>1987</v>
      </c>
      <c r="B507" s="17" t="s">
        <v>1988</v>
      </c>
      <c r="C507" s="17" t="s">
        <v>1989</v>
      </c>
      <c r="D507" s="19" t="s">
        <v>1990</v>
      </c>
      <c r="E507" s="20" t="s">
        <v>337</v>
      </c>
      <c r="F507" s="27">
        <v>38273.0</v>
      </c>
      <c r="G507" s="14">
        <v>21.0</v>
      </c>
      <c r="H507" s="23" t="s">
        <v>100</v>
      </c>
      <c r="I507" s="24" t="s">
        <v>27</v>
      </c>
      <c r="J507" s="19" t="s">
        <v>156</v>
      </c>
      <c r="K507" s="14">
        <v>29.0</v>
      </c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>
      <c r="A508" s="14" t="s">
        <v>1991</v>
      </c>
      <c r="B508" s="17" t="s">
        <v>1988</v>
      </c>
      <c r="C508" s="17" t="s">
        <v>1992</v>
      </c>
      <c r="D508" s="19" t="s">
        <v>1993</v>
      </c>
      <c r="E508" s="20" t="s">
        <v>1741</v>
      </c>
      <c r="F508" s="21">
        <v>26456.0</v>
      </c>
      <c r="G508" s="14">
        <v>54.0</v>
      </c>
      <c r="H508" s="23" t="s">
        <v>26</v>
      </c>
      <c r="I508" s="24" t="s">
        <v>27</v>
      </c>
      <c r="J508" s="19" t="s">
        <v>156</v>
      </c>
      <c r="K508" s="14">
        <v>29.0</v>
      </c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>
      <c r="A509" s="14" t="s">
        <v>1994</v>
      </c>
      <c r="B509" s="17" t="s">
        <v>1988</v>
      </c>
      <c r="C509" s="17" t="s">
        <v>1995</v>
      </c>
      <c r="D509" s="19" t="s">
        <v>1996</v>
      </c>
      <c r="E509" s="20" t="s">
        <v>104</v>
      </c>
      <c r="F509" s="27">
        <v>35430.0</v>
      </c>
      <c r="G509" s="14">
        <v>29.0</v>
      </c>
      <c r="H509" s="23" t="s">
        <v>100</v>
      </c>
      <c r="I509" s="24" t="s">
        <v>33</v>
      </c>
      <c r="J509" s="19" t="s">
        <v>156</v>
      </c>
      <c r="K509" s="14">
        <v>29.0</v>
      </c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>
      <c r="A510" s="14" t="s">
        <v>1997</v>
      </c>
      <c r="B510" s="17" t="s">
        <v>1988</v>
      </c>
      <c r="C510" s="17" t="s">
        <v>1998</v>
      </c>
      <c r="D510" s="19" t="s">
        <v>1999</v>
      </c>
      <c r="E510" s="20" t="s">
        <v>2000</v>
      </c>
      <c r="F510" s="21">
        <v>25443.0</v>
      </c>
      <c r="G510" s="14">
        <v>57.0</v>
      </c>
      <c r="H510" s="23" t="s">
        <v>26</v>
      </c>
      <c r="I510" s="24" t="s">
        <v>33</v>
      </c>
      <c r="J510" s="19" t="s">
        <v>156</v>
      </c>
      <c r="K510" s="14">
        <v>29.0</v>
      </c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>
      <c r="A511" s="14" t="s">
        <v>2001</v>
      </c>
      <c r="B511" s="17" t="s">
        <v>2002</v>
      </c>
      <c r="C511" s="17" t="s">
        <v>2003</v>
      </c>
      <c r="D511" s="19" t="s">
        <v>1268</v>
      </c>
      <c r="E511" s="20" t="s">
        <v>654</v>
      </c>
      <c r="F511" s="21">
        <v>25477.0</v>
      </c>
      <c r="G511" s="14">
        <v>56.0</v>
      </c>
      <c r="H511" s="23" t="s">
        <v>26</v>
      </c>
      <c r="I511" s="24" t="s">
        <v>27</v>
      </c>
      <c r="J511" s="19" t="s">
        <v>328</v>
      </c>
      <c r="K511" s="14">
        <v>25.0</v>
      </c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>
      <c r="A512" s="14" t="s">
        <v>2004</v>
      </c>
      <c r="B512" s="17" t="s">
        <v>2002</v>
      </c>
      <c r="C512" s="17" t="s">
        <v>2005</v>
      </c>
      <c r="D512" s="19" t="s">
        <v>2006</v>
      </c>
      <c r="E512" s="20" t="s">
        <v>1291</v>
      </c>
      <c r="F512" s="27">
        <v>24802.0</v>
      </c>
      <c r="G512" s="14">
        <v>58.0</v>
      </c>
      <c r="H512" s="23" t="s">
        <v>26</v>
      </c>
      <c r="I512" s="24" t="s">
        <v>33</v>
      </c>
      <c r="J512" s="19" t="s">
        <v>156</v>
      </c>
      <c r="K512" s="14">
        <v>35.0</v>
      </c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>
      <c r="A513" s="14" t="s">
        <v>2007</v>
      </c>
      <c r="B513" s="17" t="s">
        <v>2008</v>
      </c>
      <c r="C513" s="17" t="s">
        <v>2009</v>
      </c>
      <c r="D513" s="19" t="s">
        <v>2010</v>
      </c>
      <c r="E513" s="20" t="s">
        <v>104</v>
      </c>
      <c r="F513" s="21">
        <v>28551.0</v>
      </c>
      <c r="G513" s="14">
        <v>48.0</v>
      </c>
      <c r="H513" s="23" t="s">
        <v>26</v>
      </c>
      <c r="I513" s="24" t="s">
        <v>33</v>
      </c>
      <c r="J513" s="19" t="s">
        <v>146</v>
      </c>
      <c r="K513" s="14">
        <v>10.0</v>
      </c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>
      <c r="A514" s="14" t="s">
        <v>2011</v>
      </c>
      <c r="B514" s="17" t="s">
        <v>2008</v>
      </c>
      <c r="C514" s="17" t="s">
        <v>2012</v>
      </c>
      <c r="D514" s="19" t="s">
        <v>2013</v>
      </c>
      <c r="E514" s="20" t="s">
        <v>2014</v>
      </c>
      <c r="F514" s="21">
        <v>32766.0</v>
      </c>
      <c r="G514" s="14">
        <v>36.0</v>
      </c>
      <c r="H514" s="23" t="s">
        <v>26</v>
      </c>
      <c r="I514" s="24" t="s">
        <v>27</v>
      </c>
      <c r="J514" s="19" t="s">
        <v>146</v>
      </c>
      <c r="K514" s="14">
        <v>10.0</v>
      </c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>
      <c r="A515" s="14" t="s">
        <v>2015</v>
      </c>
      <c r="B515" s="17" t="s">
        <v>2016</v>
      </c>
      <c r="C515" s="17" t="s">
        <v>2017</v>
      </c>
      <c r="D515" s="19" t="s">
        <v>2018</v>
      </c>
      <c r="E515" s="20" t="s">
        <v>104</v>
      </c>
      <c r="F515" s="21">
        <v>35891.0</v>
      </c>
      <c r="G515" s="14">
        <v>28.0</v>
      </c>
      <c r="H515" s="23" t="s">
        <v>26</v>
      </c>
      <c r="I515" s="24" t="s">
        <v>33</v>
      </c>
      <c r="J515" s="19" t="s">
        <v>2019</v>
      </c>
      <c r="K515" s="14">
        <v>5.0</v>
      </c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>
      <c r="A516" s="14" t="s">
        <v>2020</v>
      </c>
      <c r="B516" s="17" t="s">
        <v>2016</v>
      </c>
      <c r="C516" s="17" t="s">
        <v>2021</v>
      </c>
      <c r="D516" s="19" t="s">
        <v>2022</v>
      </c>
      <c r="E516" s="20" t="s">
        <v>2023</v>
      </c>
      <c r="F516" s="21">
        <v>37129.0</v>
      </c>
      <c r="G516" s="14">
        <v>25.0</v>
      </c>
      <c r="H516" s="23" t="s">
        <v>26</v>
      </c>
      <c r="I516" s="24" t="s">
        <v>27</v>
      </c>
      <c r="J516" s="19" t="s">
        <v>2019</v>
      </c>
      <c r="K516" s="14">
        <v>5.0</v>
      </c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>
      <c r="A517" s="14" t="s">
        <v>2025</v>
      </c>
      <c r="B517" s="17" t="s">
        <v>2026</v>
      </c>
      <c r="C517" s="17" t="s">
        <v>2027</v>
      </c>
      <c r="D517" s="19" t="s">
        <v>2028</v>
      </c>
      <c r="E517" s="20" t="s">
        <v>2029</v>
      </c>
      <c r="F517" s="21">
        <v>29998.0</v>
      </c>
      <c r="G517" s="14">
        <v>44.0</v>
      </c>
      <c r="H517" s="23" t="s">
        <v>26</v>
      </c>
      <c r="I517" s="24" t="s">
        <v>33</v>
      </c>
      <c r="J517" s="19" t="s">
        <v>53</v>
      </c>
      <c r="K517" s="14">
        <v>28.0</v>
      </c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>
      <c r="A518" s="14" t="s">
        <v>2030</v>
      </c>
      <c r="B518" s="17" t="s">
        <v>2026</v>
      </c>
      <c r="C518" s="17" t="s">
        <v>2031</v>
      </c>
      <c r="D518" s="19" t="s">
        <v>2032</v>
      </c>
      <c r="E518" s="20" t="s">
        <v>104</v>
      </c>
      <c r="F518" s="21">
        <v>33295.0</v>
      </c>
      <c r="G518" s="14">
        <v>35.0</v>
      </c>
      <c r="H518" s="23" t="s">
        <v>26</v>
      </c>
      <c r="I518" s="24" t="s">
        <v>27</v>
      </c>
      <c r="J518" s="19" t="s">
        <v>53</v>
      </c>
      <c r="K518" s="14">
        <v>28.0</v>
      </c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>
      <c r="A519" s="14" t="s">
        <v>2033</v>
      </c>
      <c r="B519" s="17" t="s">
        <v>2034</v>
      </c>
      <c r="C519" s="17" t="s">
        <v>2035</v>
      </c>
      <c r="D519" s="19" t="s">
        <v>2036</v>
      </c>
      <c r="E519" s="20" t="s">
        <v>2037</v>
      </c>
      <c r="F519" s="27">
        <v>39384.0</v>
      </c>
      <c r="G519" s="14">
        <v>18.0</v>
      </c>
      <c r="H519" s="23" t="s">
        <v>100</v>
      </c>
      <c r="I519" s="24" t="s">
        <v>33</v>
      </c>
      <c r="J519" s="19" t="s">
        <v>2038</v>
      </c>
      <c r="K519" s="14">
        <v>9.0</v>
      </c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>
      <c r="A520" s="14" t="s">
        <v>2039</v>
      </c>
      <c r="B520" s="17" t="s">
        <v>2034</v>
      </c>
      <c r="C520" s="17" t="s">
        <v>2040</v>
      </c>
      <c r="D520" s="19" t="s">
        <v>2041</v>
      </c>
      <c r="E520" s="20" t="s">
        <v>231</v>
      </c>
      <c r="F520" s="21">
        <v>27154.0</v>
      </c>
      <c r="G520" s="14">
        <v>52.0</v>
      </c>
      <c r="H520" s="23" t="s">
        <v>26</v>
      </c>
      <c r="I520" s="24" t="s">
        <v>33</v>
      </c>
      <c r="J520" s="19" t="s">
        <v>2038</v>
      </c>
      <c r="K520" s="14">
        <v>9.0</v>
      </c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>
      <c r="A521" s="14" t="s">
        <v>2042</v>
      </c>
      <c r="B521" s="17" t="s">
        <v>2034</v>
      </c>
      <c r="C521" s="17" t="s">
        <v>2043</v>
      </c>
      <c r="D521" s="19" t="s">
        <v>2044</v>
      </c>
      <c r="E521" s="20" t="s">
        <v>231</v>
      </c>
      <c r="F521" s="21">
        <v>27619.0</v>
      </c>
      <c r="G521" s="14">
        <v>51.0</v>
      </c>
      <c r="H521" s="23" t="s">
        <v>26</v>
      </c>
      <c r="I521" s="24" t="s">
        <v>27</v>
      </c>
      <c r="J521" s="19" t="s">
        <v>2038</v>
      </c>
      <c r="K521" s="14">
        <v>9.0</v>
      </c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>
      <c r="A522" s="14" t="s">
        <v>2045</v>
      </c>
      <c r="B522" s="17" t="s">
        <v>2046</v>
      </c>
      <c r="C522" s="17" t="s">
        <v>2047</v>
      </c>
      <c r="D522" s="19" t="s">
        <v>2048</v>
      </c>
      <c r="E522" s="20" t="s">
        <v>2049</v>
      </c>
      <c r="F522" s="21">
        <v>37438.0</v>
      </c>
      <c r="G522" s="14">
        <v>24.0</v>
      </c>
      <c r="H522" s="23" t="s">
        <v>26</v>
      </c>
      <c r="I522" s="24" t="s">
        <v>27</v>
      </c>
      <c r="J522" s="19" t="s">
        <v>446</v>
      </c>
      <c r="K522" s="14">
        <v>33.0</v>
      </c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>
      <c r="A523" s="14" t="s">
        <v>2050</v>
      </c>
      <c r="B523" s="17" t="s">
        <v>2046</v>
      </c>
      <c r="C523" s="17" t="s">
        <v>2051</v>
      </c>
      <c r="D523" s="19" t="s">
        <v>2052</v>
      </c>
      <c r="E523" s="20" t="s">
        <v>104</v>
      </c>
      <c r="F523" s="21">
        <v>37063.0</v>
      </c>
      <c r="G523" s="14">
        <v>25.0</v>
      </c>
      <c r="H523" s="23" t="s">
        <v>26</v>
      </c>
      <c r="I523" s="24" t="s">
        <v>33</v>
      </c>
      <c r="J523" s="19" t="s">
        <v>446</v>
      </c>
      <c r="K523" s="14">
        <v>33.0</v>
      </c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>
      <c r="A524" s="14" t="s">
        <v>2053</v>
      </c>
      <c r="B524" s="17" t="s">
        <v>2054</v>
      </c>
      <c r="C524" s="17" t="s">
        <v>2055</v>
      </c>
      <c r="D524" s="19" t="s">
        <v>2056</v>
      </c>
      <c r="E524" s="20" t="s">
        <v>2057</v>
      </c>
      <c r="F524" s="21">
        <v>38369.0</v>
      </c>
      <c r="G524" s="14">
        <v>21.0</v>
      </c>
      <c r="H524" s="23" t="s">
        <v>100</v>
      </c>
      <c r="I524" s="24" t="s">
        <v>27</v>
      </c>
      <c r="J524" s="19" t="s">
        <v>328</v>
      </c>
      <c r="K524" s="14">
        <v>22.0</v>
      </c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>
      <c r="A525" s="14" t="s">
        <v>2058</v>
      </c>
      <c r="B525" s="17" t="s">
        <v>2054</v>
      </c>
      <c r="C525" s="17" t="s">
        <v>2059</v>
      </c>
      <c r="D525" s="19" t="s">
        <v>2060</v>
      </c>
      <c r="E525" s="20" t="s">
        <v>104</v>
      </c>
      <c r="F525" s="21">
        <v>29783.0</v>
      </c>
      <c r="G525" s="14">
        <v>45.0</v>
      </c>
      <c r="H525" s="23" t="s">
        <v>26</v>
      </c>
      <c r="I525" s="24" t="s">
        <v>27</v>
      </c>
      <c r="J525" s="19" t="s">
        <v>328</v>
      </c>
      <c r="K525" s="14">
        <v>22.0</v>
      </c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>
      <c r="A526" s="14" t="s">
        <v>2061</v>
      </c>
      <c r="B526" s="17" t="s">
        <v>2054</v>
      </c>
      <c r="C526" s="17" t="s">
        <v>2062</v>
      </c>
      <c r="D526" s="19" t="s">
        <v>1986</v>
      </c>
      <c r="E526" s="20" t="s">
        <v>187</v>
      </c>
      <c r="F526" s="21">
        <v>29046.0</v>
      </c>
      <c r="G526" s="14">
        <v>47.0</v>
      </c>
      <c r="H526" s="23" t="s">
        <v>26</v>
      </c>
      <c r="I526" s="24" t="s">
        <v>33</v>
      </c>
      <c r="J526" s="19" t="s">
        <v>53</v>
      </c>
      <c r="K526" s="14">
        <v>12.0</v>
      </c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>
      <c r="A527" s="14" t="s">
        <v>2063</v>
      </c>
      <c r="B527" s="17" t="s">
        <v>2064</v>
      </c>
      <c r="C527" s="17" t="s">
        <v>2065</v>
      </c>
      <c r="D527" s="19" t="s">
        <v>2066</v>
      </c>
      <c r="E527" s="20" t="s">
        <v>1095</v>
      </c>
      <c r="F527" s="21">
        <v>37371.0</v>
      </c>
      <c r="G527" s="14">
        <v>24.0</v>
      </c>
      <c r="H527" s="23" t="s">
        <v>100</v>
      </c>
      <c r="I527" s="24" t="s">
        <v>33</v>
      </c>
      <c r="J527" s="19" t="s">
        <v>146</v>
      </c>
      <c r="K527" s="14">
        <v>10.0</v>
      </c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>
      <c r="A528" s="14" t="s">
        <v>2067</v>
      </c>
      <c r="B528" s="17" t="s">
        <v>2064</v>
      </c>
      <c r="C528" s="17" t="s">
        <v>2068</v>
      </c>
      <c r="D528" s="19" t="s">
        <v>2069</v>
      </c>
      <c r="E528" s="20" t="s">
        <v>1095</v>
      </c>
      <c r="F528" s="21">
        <v>36051.0</v>
      </c>
      <c r="G528" s="14">
        <v>27.0</v>
      </c>
      <c r="H528" s="23" t="s">
        <v>100</v>
      </c>
      <c r="I528" s="24" t="s">
        <v>33</v>
      </c>
      <c r="J528" s="19" t="s">
        <v>146</v>
      </c>
      <c r="K528" s="14">
        <v>10.0</v>
      </c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>
      <c r="A529" s="14" t="s">
        <v>2070</v>
      </c>
      <c r="B529" s="17" t="s">
        <v>2064</v>
      </c>
      <c r="C529" s="17" t="s">
        <v>2071</v>
      </c>
      <c r="D529" s="19" t="s">
        <v>1642</v>
      </c>
      <c r="E529" s="20" t="s">
        <v>372</v>
      </c>
      <c r="F529" s="21">
        <v>26373.0</v>
      </c>
      <c r="G529" s="14">
        <v>54.0</v>
      </c>
      <c r="H529" s="23" t="s">
        <v>26</v>
      </c>
      <c r="I529" s="24" t="s">
        <v>33</v>
      </c>
      <c r="J529" s="19" t="s">
        <v>146</v>
      </c>
      <c r="K529" s="14">
        <v>10.0</v>
      </c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>
      <c r="A530" s="14" t="s">
        <v>2072</v>
      </c>
      <c r="B530" s="17" t="s">
        <v>2064</v>
      </c>
      <c r="C530" s="17" t="s">
        <v>2073</v>
      </c>
      <c r="D530" s="19" t="s">
        <v>2074</v>
      </c>
      <c r="E530" s="20" t="s">
        <v>231</v>
      </c>
      <c r="F530" s="21">
        <v>27617.0</v>
      </c>
      <c r="G530" s="14">
        <v>51.0</v>
      </c>
      <c r="H530" s="23" t="s">
        <v>26</v>
      </c>
      <c r="I530" s="24" t="s">
        <v>27</v>
      </c>
      <c r="J530" s="19" t="s">
        <v>53</v>
      </c>
      <c r="K530" s="14">
        <v>11.0</v>
      </c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>
      <c r="A531" s="14" t="s">
        <v>2075</v>
      </c>
      <c r="B531" s="17" t="s">
        <v>2076</v>
      </c>
      <c r="C531" s="17" t="s">
        <v>2077</v>
      </c>
      <c r="D531" s="19" t="s">
        <v>2078</v>
      </c>
      <c r="E531" s="20" t="s">
        <v>2079</v>
      </c>
      <c r="F531" s="21">
        <v>32117.0</v>
      </c>
      <c r="G531" s="14">
        <v>38.0</v>
      </c>
      <c r="H531" s="23" t="s">
        <v>26</v>
      </c>
      <c r="I531" s="24" t="s">
        <v>27</v>
      </c>
      <c r="J531" s="19" t="s">
        <v>146</v>
      </c>
      <c r="K531" s="14">
        <v>5.0</v>
      </c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>
      <c r="A532" s="14" t="s">
        <v>2080</v>
      </c>
      <c r="B532" s="17" t="s">
        <v>2076</v>
      </c>
      <c r="C532" s="17" t="s">
        <v>2081</v>
      </c>
      <c r="D532" s="19" t="s">
        <v>2082</v>
      </c>
      <c r="E532" s="20" t="s">
        <v>104</v>
      </c>
      <c r="F532" s="21">
        <v>28323.0</v>
      </c>
      <c r="G532" s="14">
        <v>49.0</v>
      </c>
      <c r="H532" s="23" t="s">
        <v>26</v>
      </c>
      <c r="I532" s="24" t="s">
        <v>33</v>
      </c>
      <c r="J532" s="19" t="s">
        <v>146</v>
      </c>
      <c r="K532" s="14">
        <v>5.0</v>
      </c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>
      <c r="A533" s="14" t="s">
        <v>2083</v>
      </c>
      <c r="B533" s="17" t="s">
        <v>2084</v>
      </c>
      <c r="C533" s="17" t="s">
        <v>2085</v>
      </c>
      <c r="D533" s="19" t="s">
        <v>2086</v>
      </c>
      <c r="E533" s="20" t="s">
        <v>1291</v>
      </c>
      <c r="F533" s="21">
        <v>24267.0</v>
      </c>
      <c r="G533" s="14">
        <v>60.0</v>
      </c>
      <c r="H533" s="23" t="s">
        <v>26</v>
      </c>
      <c r="I533" s="24" t="s">
        <v>33</v>
      </c>
      <c r="J533" s="19" t="s">
        <v>257</v>
      </c>
      <c r="K533" s="14">
        <v>32.0</v>
      </c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>
      <c r="A534" s="14" t="s">
        <v>2087</v>
      </c>
      <c r="B534" s="17" t="s">
        <v>2084</v>
      </c>
      <c r="C534" s="17" t="s">
        <v>2088</v>
      </c>
      <c r="D534" s="19" t="s">
        <v>2089</v>
      </c>
      <c r="E534" s="20" t="s">
        <v>53</v>
      </c>
      <c r="F534" s="21">
        <v>37838.0</v>
      </c>
      <c r="G534" s="14">
        <v>23.0</v>
      </c>
      <c r="H534" s="23" t="s">
        <v>100</v>
      </c>
      <c r="I534" s="24" t="s">
        <v>33</v>
      </c>
      <c r="J534" s="19" t="s">
        <v>257</v>
      </c>
      <c r="K534" s="14">
        <v>32.0</v>
      </c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>
      <c r="A535" s="14" t="s">
        <v>2090</v>
      </c>
      <c r="B535" s="17" t="s">
        <v>2084</v>
      </c>
      <c r="C535" s="17" t="s">
        <v>2091</v>
      </c>
      <c r="D535" s="19" t="s">
        <v>2092</v>
      </c>
      <c r="E535" s="20" t="s">
        <v>104</v>
      </c>
      <c r="F535" s="27">
        <v>38641.0</v>
      </c>
      <c r="G535" s="14">
        <v>20.0</v>
      </c>
      <c r="H535" s="23" t="s">
        <v>100</v>
      </c>
      <c r="I535" s="24" t="s">
        <v>27</v>
      </c>
      <c r="J535" s="19" t="s">
        <v>257</v>
      </c>
      <c r="K535" s="14">
        <v>32.0</v>
      </c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>
      <c r="A536" s="14" t="s">
        <v>2093</v>
      </c>
      <c r="B536" s="17" t="s">
        <v>2084</v>
      </c>
      <c r="C536" s="17" t="s">
        <v>2094</v>
      </c>
      <c r="D536" s="19" t="s">
        <v>2095</v>
      </c>
      <c r="E536" s="20" t="s">
        <v>67</v>
      </c>
      <c r="F536" s="27">
        <v>26626.0</v>
      </c>
      <c r="G536" s="14">
        <v>53.0</v>
      </c>
      <c r="H536" s="23" t="s">
        <v>26</v>
      </c>
      <c r="I536" s="24" t="s">
        <v>27</v>
      </c>
      <c r="J536" s="19" t="s">
        <v>257</v>
      </c>
      <c r="K536" s="14">
        <v>32.0</v>
      </c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>
      <c r="A537" s="14" t="s">
        <v>2096</v>
      </c>
      <c r="B537" s="17" t="s">
        <v>2097</v>
      </c>
      <c r="C537" s="17" t="s">
        <v>2098</v>
      </c>
      <c r="D537" s="19" t="s">
        <v>2099</v>
      </c>
      <c r="E537" s="20" t="s">
        <v>290</v>
      </c>
      <c r="F537" s="21">
        <v>15888.0</v>
      </c>
      <c r="G537" s="14">
        <v>83.0</v>
      </c>
      <c r="H537" s="23" t="s">
        <v>26</v>
      </c>
      <c r="I537" s="24" t="s">
        <v>33</v>
      </c>
      <c r="J537" s="19" t="s">
        <v>257</v>
      </c>
      <c r="K537" s="14">
        <v>5.0</v>
      </c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>
      <c r="A538" s="14" t="s">
        <v>2100</v>
      </c>
      <c r="B538" s="17" t="s">
        <v>2097</v>
      </c>
      <c r="C538" s="17" t="s">
        <v>2101</v>
      </c>
      <c r="D538" s="19" t="s">
        <v>2102</v>
      </c>
      <c r="E538" s="20" t="s">
        <v>544</v>
      </c>
      <c r="F538" s="21">
        <v>19791.0</v>
      </c>
      <c r="G538" s="14">
        <v>72.0</v>
      </c>
      <c r="H538" s="23" t="s">
        <v>26</v>
      </c>
      <c r="I538" s="24" t="s">
        <v>27</v>
      </c>
      <c r="J538" s="19" t="s">
        <v>257</v>
      </c>
      <c r="K538" s="14">
        <v>5.0</v>
      </c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>
      <c r="A539" s="14" t="s">
        <v>2103</v>
      </c>
      <c r="B539" s="17" t="s">
        <v>2104</v>
      </c>
      <c r="C539" s="17" t="s">
        <v>2105</v>
      </c>
      <c r="D539" s="19" t="s">
        <v>2106</v>
      </c>
      <c r="E539" s="20" t="s">
        <v>195</v>
      </c>
      <c r="F539" s="21">
        <v>36314.0</v>
      </c>
      <c r="G539" s="14">
        <v>27.0</v>
      </c>
      <c r="H539" s="23" t="s">
        <v>100</v>
      </c>
      <c r="I539" s="24" t="s">
        <v>27</v>
      </c>
      <c r="J539" s="19" t="s">
        <v>328</v>
      </c>
      <c r="K539" s="14">
        <v>26.0</v>
      </c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>
      <c r="A540" s="14" t="s">
        <v>2107</v>
      </c>
      <c r="B540" s="17" t="s">
        <v>2104</v>
      </c>
      <c r="C540" s="17" t="s">
        <v>2108</v>
      </c>
      <c r="D540" s="19" t="s">
        <v>2109</v>
      </c>
      <c r="E540" s="20" t="s">
        <v>195</v>
      </c>
      <c r="F540" s="21">
        <v>26678.0</v>
      </c>
      <c r="G540" s="14">
        <v>53.0</v>
      </c>
      <c r="H540" s="23" t="s">
        <v>26</v>
      </c>
      <c r="I540" s="24" t="s">
        <v>27</v>
      </c>
      <c r="J540" s="19" t="s">
        <v>328</v>
      </c>
      <c r="K540" s="14">
        <v>26.0</v>
      </c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>
      <c r="A541" s="14" t="s">
        <v>2110</v>
      </c>
      <c r="B541" s="17" t="s">
        <v>2104</v>
      </c>
      <c r="C541" s="17" t="s">
        <v>2111</v>
      </c>
      <c r="D541" s="19" t="s">
        <v>2112</v>
      </c>
      <c r="E541" s="20" t="s">
        <v>2113</v>
      </c>
      <c r="F541" s="21">
        <v>26092.0</v>
      </c>
      <c r="G541" s="14">
        <v>55.0</v>
      </c>
      <c r="H541" s="23" t="s">
        <v>26</v>
      </c>
      <c r="I541" s="24" t="s">
        <v>33</v>
      </c>
      <c r="J541" s="19" t="s">
        <v>328</v>
      </c>
      <c r="K541" s="14">
        <v>26.0</v>
      </c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>
      <c r="A542" s="14" t="s">
        <v>2114</v>
      </c>
      <c r="B542" s="17" t="s">
        <v>2104</v>
      </c>
      <c r="C542" s="17" t="s">
        <v>2115</v>
      </c>
      <c r="D542" s="19" t="s">
        <v>2116</v>
      </c>
      <c r="E542" s="20" t="s">
        <v>337</v>
      </c>
      <c r="F542" s="21">
        <v>37698.0</v>
      </c>
      <c r="G542" s="14">
        <v>23.0</v>
      </c>
      <c r="H542" s="23" t="s">
        <v>100</v>
      </c>
      <c r="I542" s="24" t="s">
        <v>33</v>
      </c>
      <c r="J542" s="19" t="s">
        <v>328</v>
      </c>
      <c r="K542" s="14">
        <v>26.0</v>
      </c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>
      <c r="A543" s="14" t="s">
        <v>2117</v>
      </c>
      <c r="B543" s="17" t="s">
        <v>2118</v>
      </c>
      <c r="C543" s="17" t="s">
        <v>2119</v>
      </c>
      <c r="D543" s="19" t="s">
        <v>2120</v>
      </c>
      <c r="E543" s="20" t="s">
        <v>104</v>
      </c>
      <c r="F543" s="21">
        <v>32549.0</v>
      </c>
      <c r="G543" s="14">
        <v>37.0</v>
      </c>
      <c r="H543" s="23" t="s">
        <v>26</v>
      </c>
      <c r="I543" s="24" t="s">
        <v>27</v>
      </c>
      <c r="J543" s="19" t="s">
        <v>282</v>
      </c>
      <c r="K543" s="14">
        <v>12.0</v>
      </c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>
      <c r="A544" s="14" t="s">
        <v>2121</v>
      </c>
      <c r="B544" s="17" t="s">
        <v>2118</v>
      </c>
      <c r="C544" s="17" t="s">
        <v>2122</v>
      </c>
      <c r="D544" s="19" t="s">
        <v>2123</v>
      </c>
      <c r="E544" s="20" t="s">
        <v>736</v>
      </c>
      <c r="F544" s="21">
        <v>32213.0</v>
      </c>
      <c r="G544" s="14">
        <v>38.0</v>
      </c>
      <c r="H544" s="23" t="s">
        <v>26</v>
      </c>
      <c r="I544" s="24" t="s">
        <v>33</v>
      </c>
      <c r="J544" s="19" t="s">
        <v>39</v>
      </c>
      <c r="K544" s="14">
        <v>13.0</v>
      </c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>
      <c r="A545" s="14" t="s">
        <v>2124</v>
      </c>
      <c r="B545" s="17" t="s">
        <v>2125</v>
      </c>
      <c r="C545" s="17" t="s">
        <v>2126</v>
      </c>
      <c r="D545" s="19" t="s">
        <v>2127</v>
      </c>
      <c r="E545" s="20" t="s">
        <v>53</v>
      </c>
      <c r="F545" s="21">
        <v>28312.0</v>
      </c>
      <c r="G545" s="14">
        <v>49.0</v>
      </c>
      <c r="H545" s="23" t="s">
        <v>26</v>
      </c>
      <c r="I545" s="24" t="s">
        <v>27</v>
      </c>
      <c r="J545" s="19" t="s">
        <v>362</v>
      </c>
      <c r="K545" s="14">
        <v>25.0</v>
      </c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>
      <c r="A546" s="14" t="s">
        <v>2128</v>
      </c>
      <c r="B546" s="17" t="s">
        <v>2125</v>
      </c>
      <c r="C546" s="17" t="s">
        <v>2129</v>
      </c>
      <c r="D546" s="19" t="s">
        <v>2130</v>
      </c>
      <c r="E546" s="20" t="s">
        <v>2131</v>
      </c>
      <c r="F546" s="21">
        <v>36722.0</v>
      </c>
      <c r="G546" s="14">
        <v>26.0</v>
      </c>
      <c r="H546" s="23" t="s">
        <v>100</v>
      </c>
      <c r="I546" s="24" t="s">
        <v>27</v>
      </c>
      <c r="J546" s="19" t="s">
        <v>362</v>
      </c>
      <c r="K546" s="14">
        <v>25.0</v>
      </c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>
      <c r="A547" s="14" t="s">
        <v>2132</v>
      </c>
      <c r="B547" s="17" t="s">
        <v>2125</v>
      </c>
      <c r="C547" s="17" t="s">
        <v>2133</v>
      </c>
      <c r="D547" s="19" t="s">
        <v>2134</v>
      </c>
      <c r="E547" s="20" t="s">
        <v>2135</v>
      </c>
      <c r="F547" s="27">
        <v>27750.0</v>
      </c>
      <c r="G547" s="14">
        <v>50.0</v>
      </c>
      <c r="H547" s="23" t="s">
        <v>26</v>
      </c>
      <c r="I547" s="24" t="s">
        <v>33</v>
      </c>
      <c r="J547" s="19" t="s">
        <v>362</v>
      </c>
      <c r="K547" s="14">
        <v>25.0</v>
      </c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>
      <c r="A548" s="14" t="s">
        <v>2136</v>
      </c>
      <c r="B548" s="17" t="s">
        <v>2137</v>
      </c>
      <c r="C548" s="17" t="s">
        <v>2138</v>
      </c>
      <c r="D548" s="19" t="s">
        <v>2139</v>
      </c>
      <c r="E548" s="20" t="s">
        <v>1413</v>
      </c>
      <c r="F548" s="21">
        <v>18464.0</v>
      </c>
      <c r="G548" s="14">
        <v>76.0</v>
      </c>
      <c r="H548" s="23" t="s">
        <v>27</v>
      </c>
      <c r="I548" s="24" t="s">
        <v>27</v>
      </c>
      <c r="J548" s="19" t="s">
        <v>146</v>
      </c>
      <c r="K548" s="14">
        <v>9.0</v>
      </c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>
      <c r="A549" s="14" t="s">
        <v>2140</v>
      </c>
      <c r="B549" s="17" t="s">
        <v>2141</v>
      </c>
      <c r="C549" s="17" t="s">
        <v>2142</v>
      </c>
      <c r="D549" s="19" t="s">
        <v>2143</v>
      </c>
      <c r="E549" s="20" t="s">
        <v>2144</v>
      </c>
      <c r="F549" s="27">
        <v>27377.0</v>
      </c>
      <c r="G549" s="14">
        <v>51.0</v>
      </c>
      <c r="H549" s="23" t="s">
        <v>27</v>
      </c>
      <c r="I549" s="24" t="s">
        <v>27</v>
      </c>
      <c r="J549" s="19" t="s">
        <v>68</v>
      </c>
      <c r="K549" s="14">
        <v>33.0</v>
      </c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>
      <c r="A550" s="14" t="s">
        <v>2145</v>
      </c>
      <c r="B550" s="17" t="s">
        <v>2141</v>
      </c>
      <c r="C550" s="17" t="s">
        <v>2146</v>
      </c>
      <c r="D550" s="19" t="s">
        <v>2147</v>
      </c>
      <c r="E550" s="20" t="s">
        <v>2148</v>
      </c>
      <c r="F550" s="21">
        <v>37844.0</v>
      </c>
      <c r="G550" s="14">
        <v>23.0</v>
      </c>
      <c r="H550" s="23" t="s">
        <v>100</v>
      </c>
      <c r="I550" s="24" t="s">
        <v>33</v>
      </c>
      <c r="J550" s="19" t="s">
        <v>68</v>
      </c>
      <c r="K550" s="14">
        <v>33.0</v>
      </c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>
      <c r="A551" s="14" t="s">
        <v>2149</v>
      </c>
      <c r="B551" s="17" t="s">
        <v>2150</v>
      </c>
      <c r="C551" s="17" t="s">
        <v>2151</v>
      </c>
      <c r="D551" s="19" t="s">
        <v>2152</v>
      </c>
      <c r="E551" s="20" t="s">
        <v>104</v>
      </c>
      <c r="F551" s="21">
        <v>30784.0</v>
      </c>
      <c r="G551" s="14">
        <v>42.0</v>
      </c>
      <c r="H551" s="23" t="s">
        <v>26</v>
      </c>
      <c r="I551" s="24" t="s">
        <v>33</v>
      </c>
      <c r="J551" s="19" t="s">
        <v>146</v>
      </c>
      <c r="K551" s="14">
        <v>5.0</v>
      </c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>
      <c r="A552" s="14" t="s">
        <v>2153</v>
      </c>
      <c r="B552" s="17" t="s">
        <v>2150</v>
      </c>
      <c r="C552" s="17" t="s">
        <v>2154</v>
      </c>
      <c r="D552" s="19" t="s">
        <v>2155</v>
      </c>
      <c r="E552" s="20" t="s">
        <v>104</v>
      </c>
      <c r="F552" s="21">
        <v>32615.0</v>
      </c>
      <c r="G552" s="14">
        <v>37.0</v>
      </c>
      <c r="H552" s="23" t="s">
        <v>26</v>
      </c>
      <c r="I552" s="24" t="s">
        <v>27</v>
      </c>
      <c r="J552" s="19" t="s">
        <v>146</v>
      </c>
      <c r="K552" s="14">
        <v>5.0</v>
      </c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>
      <c r="A553" s="14" t="s">
        <v>2157</v>
      </c>
      <c r="B553" s="17" t="s">
        <v>2158</v>
      </c>
      <c r="C553" s="17" t="s">
        <v>2159</v>
      </c>
      <c r="D553" s="19" t="s">
        <v>2160</v>
      </c>
      <c r="E553" s="20" t="s">
        <v>104</v>
      </c>
      <c r="F553" s="27">
        <v>35016.0</v>
      </c>
      <c r="G553" s="14">
        <v>30.0</v>
      </c>
      <c r="H553" s="23" t="s">
        <v>26</v>
      </c>
      <c r="I553" s="24" t="s">
        <v>27</v>
      </c>
      <c r="J553" s="19" t="s">
        <v>726</v>
      </c>
      <c r="K553" s="14">
        <v>14.0</v>
      </c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>
      <c r="A554" s="14" t="s">
        <v>2161</v>
      </c>
      <c r="B554" s="17" t="s">
        <v>2158</v>
      </c>
      <c r="C554" s="17" t="s">
        <v>2162</v>
      </c>
      <c r="D554" s="19" t="s">
        <v>2163</v>
      </c>
      <c r="E554" s="20" t="s">
        <v>2164</v>
      </c>
      <c r="F554" s="27">
        <v>33234.0</v>
      </c>
      <c r="G554" s="14">
        <v>35.0</v>
      </c>
      <c r="H554" s="23" t="s">
        <v>26</v>
      </c>
      <c r="I554" s="24" t="s">
        <v>33</v>
      </c>
      <c r="J554" s="19" t="s">
        <v>726</v>
      </c>
      <c r="K554" s="14">
        <v>14.0</v>
      </c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>
      <c r="A555" s="14" t="s">
        <v>2165</v>
      </c>
      <c r="B555" s="17" t="s">
        <v>2166</v>
      </c>
      <c r="C555" s="17" t="s">
        <v>2167</v>
      </c>
      <c r="D555" s="19" t="s">
        <v>2168</v>
      </c>
      <c r="E555" s="20" t="s">
        <v>231</v>
      </c>
      <c r="F555" s="21">
        <v>30502.0</v>
      </c>
      <c r="G555" s="14">
        <v>43.0</v>
      </c>
      <c r="H555" s="23" t="s">
        <v>27</v>
      </c>
      <c r="I555" s="24" t="s">
        <v>27</v>
      </c>
      <c r="J555" s="19" t="s">
        <v>257</v>
      </c>
      <c r="K555" s="14">
        <v>8.0</v>
      </c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>
      <c r="A556" s="14" t="s">
        <v>2169</v>
      </c>
      <c r="B556" s="17" t="s">
        <v>2170</v>
      </c>
      <c r="C556" s="17" t="s">
        <v>2171</v>
      </c>
      <c r="D556" s="19" t="s">
        <v>2172</v>
      </c>
      <c r="E556" s="20" t="s">
        <v>2173</v>
      </c>
      <c r="F556" s="21">
        <v>28553.0</v>
      </c>
      <c r="G556" s="14">
        <v>48.0</v>
      </c>
      <c r="H556" s="23" t="s">
        <v>26</v>
      </c>
      <c r="I556" s="24" t="s">
        <v>33</v>
      </c>
      <c r="J556" s="19" t="s">
        <v>257</v>
      </c>
      <c r="K556" s="14">
        <v>28.0</v>
      </c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>
      <c r="A557" s="14" t="s">
        <v>2175</v>
      </c>
      <c r="B557" s="17" t="s">
        <v>2170</v>
      </c>
      <c r="C557" s="17" t="s">
        <v>2176</v>
      </c>
      <c r="D557" s="19" t="s">
        <v>2177</v>
      </c>
      <c r="E557" s="20" t="s">
        <v>53</v>
      </c>
      <c r="F557" s="21">
        <v>30692.0</v>
      </c>
      <c r="G557" s="14">
        <v>42.0</v>
      </c>
      <c r="H557" s="23" t="s">
        <v>26</v>
      </c>
      <c r="I557" s="24" t="s">
        <v>27</v>
      </c>
      <c r="J557" s="19" t="s">
        <v>257</v>
      </c>
      <c r="K557" s="14">
        <v>28.0</v>
      </c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>
      <c r="A558" s="14" t="s">
        <v>2178</v>
      </c>
      <c r="B558" s="17" t="s">
        <v>2179</v>
      </c>
      <c r="C558" s="17" t="s">
        <v>2180</v>
      </c>
      <c r="D558" s="19" t="s">
        <v>2181</v>
      </c>
      <c r="E558" s="20" t="s">
        <v>104</v>
      </c>
      <c r="F558" s="21">
        <v>35222.0</v>
      </c>
      <c r="G558" s="14">
        <v>30.0</v>
      </c>
      <c r="H558" s="23" t="s">
        <v>26</v>
      </c>
      <c r="I558" s="24" t="s">
        <v>27</v>
      </c>
      <c r="J558" s="19" t="s">
        <v>206</v>
      </c>
      <c r="K558" s="14">
        <v>1.0</v>
      </c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>
      <c r="A559" s="14" t="s">
        <v>2182</v>
      </c>
      <c r="B559" s="17" t="s">
        <v>2179</v>
      </c>
      <c r="C559" s="17" t="s">
        <v>2183</v>
      </c>
      <c r="D559" s="19" t="s">
        <v>2184</v>
      </c>
      <c r="E559" s="20" t="s">
        <v>2185</v>
      </c>
      <c r="F559" s="21">
        <v>34573.0</v>
      </c>
      <c r="G559" s="14">
        <v>32.0</v>
      </c>
      <c r="H559" s="23" t="s">
        <v>26</v>
      </c>
      <c r="I559" s="24" t="s">
        <v>33</v>
      </c>
      <c r="J559" s="19" t="s">
        <v>206</v>
      </c>
      <c r="K559" s="14">
        <v>1.0</v>
      </c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>
      <c r="A560" s="14" t="s">
        <v>2186</v>
      </c>
      <c r="B560" s="17" t="s">
        <v>2187</v>
      </c>
      <c r="C560" s="17" t="s">
        <v>2188</v>
      </c>
      <c r="D560" s="19" t="s">
        <v>2189</v>
      </c>
      <c r="E560" s="20" t="s">
        <v>104</v>
      </c>
      <c r="F560" s="21">
        <v>33660.0</v>
      </c>
      <c r="G560" s="14">
        <v>34.0</v>
      </c>
      <c r="H560" s="23" t="s">
        <v>26</v>
      </c>
      <c r="I560" s="24" t="s">
        <v>33</v>
      </c>
      <c r="J560" s="19" t="s">
        <v>53</v>
      </c>
      <c r="K560" s="14">
        <v>13.0</v>
      </c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>
      <c r="A561" s="14" t="s">
        <v>2190</v>
      </c>
      <c r="B561" s="17" t="s">
        <v>2187</v>
      </c>
      <c r="C561" s="17" t="s">
        <v>2191</v>
      </c>
      <c r="D561" s="19" t="s">
        <v>2192</v>
      </c>
      <c r="E561" s="20" t="s">
        <v>104</v>
      </c>
      <c r="F561" s="21">
        <v>34382.0</v>
      </c>
      <c r="G561" s="14">
        <v>32.0</v>
      </c>
      <c r="H561" s="23" t="s">
        <v>26</v>
      </c>
      <c r="I561" s="24" t="s">
        <v>27</v>
      </c>
      <c r="J561" s="19" t="s">
        <v>53</v>
      </c>
      <c r="K561" s="14">
        <v>13.0</v>
      </c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>
      <c r="A562" s="14" t="s">
        <v>2193</v>
      </c>
      <c r="B562" s="17" t="s">
        <v>2194</v>
      </c>
      <c r="C562" s="17" t="s">
        <v>2195</v>
      </c>
      <c r="D562" s="19" t="s">
        <v>1471</v>
      </c>
      <c r="E562" s="20" t="s">
        <v>53</v>
      </c>
      <c r="F562" s="21">
        <v>28038.0</v>
      </c>
      <c r="G562" s="14">
        <v>49.0</v>
      </c>
      <c r="H562" s="23" t="s">
        <v>26</v>
      </c>
      <c r="I562" s="24" t="s">
        <v>27</v>
      </c>
      <c r="J562" s="19" t="s">
        <v>2196</v>
      </c>
      <c r="K562" s="14">
        <v>15.0</v>
      </c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>
      <c r="A563" s="14" t="s">
        <v>2197</v>
      </c>
      <c r="B563" s="17" t="s">
        <v>2194</v>
      </c>
      <c r="C563" s="17" t="s">
        <v>2198</v>
      </c>
      <c r="D563" s="19" t="s">
        <v>2199</v>
      </c>
      <c r="E563" s="20" t="s">
        <v>2200</v>
      </c>
      <c r="F563" s="21">
        <v>26894.0</v>
      </c>
      <c r="G563" s="14">
        <v>53.0</v>
      </c>
      <c r="H563" s="23" t="s">
        <v>26</v>
      </c>
      <c r="I563" s="24" t="s">
        <v>33</v>
      </c>
      <c r="J563" s="19" t="s">
        <v>282</v>
      </c>
      <c r="K563" s="14">
        <v>17.0</v>
      </c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>
      <c r="A564" s="14" t="s">
        <v>2201</v>
      </c>
      <c r="B564" s="17" t="s">
        <v>2202</v>
      </c>
      <c r="C564" s="17" t="s">
        <v>2203</v>
      </c>
      <c r="D564" s="19" t="s">
        <v>2204</v>
      </c>
      <c r="E564" s="20" t="s">
        <v>53</v>
      </c>
      <c r="F564" s="21">
        <v>33604.0</v>
      </c>
      <c r="G564" s="14">
        <v>34.0</v>
      </c>
      <c r="H564" s="23" t="s">
        <v>100</v>
      </c>
      <c r="I564" s="24" t="s">
        <v>33</v>
      </c>
      <c r="J564" s="19" t="s">
        <v>53</v>
      </c>
      <c r="K564" s="14">
        <v>14.0</v>
      </c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>
      <c r="A565" s="14" t="s">
        <v>2205</v>
      </c>
      <c r="B565" s="17" t="s">
        <v>2202</v>
      </c>
      <c r="C565" s="17" t="s">
        <v>2206</v>
      </c>
      <c r="D565" s="19" t="s">
        <v>2207</v>
      </c>
      <c r="E565" s="20" t="s">
        <v>53</v>
      </c>
      <c r="F565" s="21">
        <v>38826.0</v>
      </c>
      <c r="G565" s="14">
        <v>20.0</v>
      </c>
      <c r="H565" s="23" t="s">
        <v>100</v>
      </c>
      <c r="I565" s="24" t="s">
        <v>27</v>
      </c>
      <c r="J565" s="19" t="s">
        <v>53</v>
      </c>
      <c r="K565" s="14">
        <v>14.0</v>
      </c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>
      <c r="A566" s="14" t="s">
        <v>2208</v>
      </c>
      <c r="B566" s="17" t="s">
        <v>2202</v>
      </c>
      <c r="C566" s="17" t="s">
        <v>2209</v>
      </c>
      <c r="D566" s="19" t="s">
        <v>2210</v>
      </c>
      <c r="E566" s="20" t="s">
        <v>1038</v>
      </c>
      <c r="F566" s="21">
        <v>26299.0</v>
      </c>
      <c r="G566" s="14">
        <v>54.0</v>
      </c>
      <c r="H566" s="23" t="s">
        <v>26</v>
      </c>
      <c r="I566" s="24" t="s">
        <v>27</v>
      </c>
      <c r="J566" s="19" t="s">
        <v>53</v>
      </c>
      <c r="K566" s="14">
        <v>14.0</v>
      </c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>
      <c r="A567" s="14" t="s">
        <v>2211</v>
      </c>
      <c r="B567" s="17" t="s">
        <v>2202</v>
      </c>
      <c r="C567" s="17" t="s">
        <v>2212</v>
      </c>
      <c r="D567" s="19" t="s">
        <v>2213</v>
      </c>
      <c r="E567" s="20" t="s">
        <v>1038</v>
      </c>
      <c r="F567" s="21">
        <v>24938.0</v>
      </c>
      <c r="G567" s="14">
        <v>58.0</v>
      </c>
      <c r="H567" s="23" t="s">
        <v>26</v>
      </c>
      <c r="I567" s="24" t="s">
        <v>33</v>
      </c>
      <c r="J567" s="19" t="s">
        <v>53</v>
      </c>
      <c r="K567" s="14">
        <v>14.0</v>
      </c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>
      <c r="A568" s="14" t="s">
        <v>2214</v>
      </c>
      <c r="B568" s="17" t="s">
        <v>2215</v>
      </c>
      <c r="C568" s="17" t="s">
        <v>2216</v>
      </c>
      <c r="D568" s="19" t="s">
        <v>2217</v>
      </c>
      <c r="E568" s="20" t="s">
        <v>210</v>
      </c>
      <c r="F568" s="27">
        <v>32866.0</v>
      </c>
      <c r="G568" s="14">
        <v>36.0</v>
      </c>
      <c r="H568" s="23" t="s">
        <v>26</v>
      </c>
      <c r="I568" s="24" t="s">
        <v>27</v>
      </c>
      <c r="J568" s="19" t="s">
        <v>53</v>
      </c>
      <c r="K568" s="14">
        <v>29.0</v>
      </c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>
      <c r="A569" s="14" t="s">
        <v>2218</v>
      </c>
      <c r="B569" s="17" t="s">
        <v>2215</v>
      </c>
      <c r="C569" s="17" t="s">
        <v>2219</v>
      </c>
      <c r="D569" s="19" t="s">
        <v>2220</v>
      </c>
      <c r="E569" s="20" t="s">
        <v>53</v>
      </c>
      <c r="F569" s="21">
        <v>31164.0</v>
      </c>
      <c r="G569" s="14">
        <v>41.0</v>
      </c>
      <c r="H569" s="23" t="s">
        <v>26</v>
      </c>
      <c r="I569" s="24" t="s">
        <v>33</v>
      </c>
      <c r="J569" s="19" t="s">
        <v>53</v>
      </c>
      <c r="K569" s="14">
        <v>29.0</v>
      </c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>
      <c r="A570" s="14" t="s">
        <v>2221</v>
      </c>
      <c r="B570" s="17" t="s">
        <v>2222</v>
      </c>
      <c r="C570" s="17" t="s">
        <v>2223</v>
      </c>
      <c r="D570" s="19" t="s">
        <v>2224</v>
      </c>
      <c r="E570" s="20" t="s">
        <v>104</v>
      </c>
      <c r="F570" s="27">
        <v>29536.0</v>
      </c>
      <c r="G570" s="14">
        <v>45.0</v>
      </c>
      <c r="H570" s="23" t="s">
        <v>26</v>
      </c>
      <c r="I570" s="24" t="s">
        <v>27</v>
      </c>
      <c r="J570" s="19" t="s">
        <v>362</v>
      </c>
      <c r="K570" s="14">
        <v>23.0</v>
      </c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>
      <c r="A571" s="14" t="s">
        <v>2226</v>
      </c>
      <c r="B571" s="17" t="s">
        <v>2222</v>
      </c>
      <c r="C571" s="17" t="s">
        <v>2227</v>
      </c>
      <c r="D571" s="19" t="s">
        <v>2228</v>
      </c>
      <c r="E571" s="20" t="s">
        <v>536</v>
      </c>
      <c r="F571" s="21">
        <v>36983.0</v>
      </c>
      <c r="G571" s="14">
        <v>25.0</v>
      </c>
      <c r="H571" s="23" t="s">
        <v>100</v>
      </c>
      <c r="I571" s="24" t="s">
        <v>27</v>
      </c>
      <c r="J571" s="19" t="s">
        <v>362</v>
      </c>
      <c r="K571" s="14">
        <v>23.0</v>
      </c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>
      <c r="A572" s="14" t="s">
        <v>2229</v>
      </c>
      <c r="B572" s="17" t="s">
        <v>2222</v>
      </c>
      <c r="C572" s="17" t="s">
        <v>2230</v>
      </c>
      <c r="D572" s="19" t="s">
        <v>2231</v>
      </c>
      <c r="E572" s="20" t="s">
        <v>53</v>
      </c>
      <c r="F572" s="21">
        <v>37769.0</v>
      </c>
      <c r="G572" s="14">
        <v>23.0</v>
      </c>
      <c r="H572" s="23" t="s">
        <v>100</v>
      </c>
      <c r="I572" s="24" t="s">
        <v>33</v>
      </c>
      <c r="J572" s="19" t="s">
        <v>362</v>
      </c>
      <c r="K572" s="14">
        <v>23.0</v>
      </c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>
      <c r="A573" s="14" t="s">
        <v>2232</v>
      </c>
      <c r="B573" s="17" t="s">
        <v>2222</v>
      </c>
      <c r="C573" s="17" t="s">
        <v>2233</v>
      </c>
      <c r="D573" s="19" t="s">
        <v>2234</v>
      </c>
      <c r="E573" s="20" t="s">
        <v>632</v>
      </c>
      <c r="F573" s="21">
        <v>23377.0</v>
      </c>
      <c r="G573" s="14">
        <v>62.0</v>
      </c>
      <c r="H573" s="23" t="s">
        <v>26</v>
      </c>
      <c r="I573" s="24" t="s">
        <v>33</v>
      </c>
      <c r="J573" s="19" t="s">
        <v>362</v>
      </c>
      <c r="K573" s="14">
        <v>23.0</v>
      </c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>
      <c r="A574" s="14" t="s">
        <v>2235</v>
      </c>
      <c r="B574" s="17" t="s">
        <v>2236</v>
      </c>
      <c r="C574" s="17" t="s">
        <v>2237</v>
      </c>
      <c r="D574" s="19" t="s">
        <v>2238</v>
      </c>
      <c r="E574" s="20" t="s">
        <v>434</v>
      </c>
      <c r="F574" s="21">
        <v>26062.0</v>
      </c>
      <c r="G574" s="14">
        <v>55.0</v>
      </c>
      <c r="H574" s="23" t="s">
        <v>27</v>
      </c>
      <c r="I574" s="24" t="s">
        <v>27</v>
      </c>
      <c r="J574" s="19" t="s">
        <v>206</v>
      </c>
      <c r="K574" s="14">
        <v>2.0</v>
      </c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>
      <c r="A575" s="14" t="s">
        <v>2239</v>
      </c>
      <c r="B575" s="17" t="s">
        <v>2240</v>
      </c>
      <c r="C575" s="17" t="s">
        <v>2241</v>
      </c>
      <c r="D575" s="19" t="s">
        <v>2242</v>
      </c>
      <c r="E575" s="20" t="s">
        <v>104</v>
      </c>
      <c r="F575" s="21">
        <v>35925.0</v>
      </c>
      <c r="G575" s="14">
        <v>28.0</v>
      </c>
      <c r="H575" s="23" t="s">
        <v>26</v>
      </c>
      <c r="I575" s="24" t="s">
        <v>27</v>
      </c>
      <c r="J575" s="19" t="s">
        <v>1387</v>
      </c>
      <c r="K575" s="14">
        <v>4.0</v>
      </c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>
      <c r="A576" s="14" t="s">
        <v>2243</v>
      </c>
      <c r="B576" s="17" t="s">
        <v>2240</v>
      </c>
      <c r="C576" s="17" t="s">
        <v>2244</v>
      </c>
      <c r="D576" s="19" t="s">
        <v>2245</v>
      </c>
      <c r="E576" s="20" t="s">
        <v>2246</v>
      </c>
      <c r="F576" s="21">
        <v>34078.0</v>
      </c>
      <c r="G576" s="14">
        <v>33.0</v>
      </c>
      <c r="H576" s="23" t="s">
        <v>26</v>
      </c>
      <c r="I576" s="24" t="s">
        <v>33</v>
      </c>
      <c r="J576" s="19" t="s">
        <v>1387</v>
      </c>
      <c r="K576" s="14">
        <v>4.0</v>
      </c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>
      <c r="A577" s="14" t="s">
        <v>2247</v>
      </c>
      <c r="B577" s="17" t="s">
        <v>2248</v>
      </c>
      <c r="C577" s="17" t="s">
        <v>2249</v>
      </c>
      <c r="D577" s="19" t="s">
        <v>2250</v>
      </c>
      <c r="E577" s="20" t="s">
        <v>104</v>
      </c>
      <c r="F577" s="21">
        <v>36671.0</v>
      </c>
      <c r="G577" s="14">
        <v>26.0</v>
      </c>
      <c r="H577" s="23" t="s">
        <v>100</v>
      </c>
      <c r="I577" s="24" t="s">
        <v>33</v>
      </c>
      <c r="J577" s="19" t="s">
        <v>68</v>
      </c>
      <c r="K577" s="14">
        <v>28.0</v>
      </c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>
      <c r="A578" s="14" t="s">
        <v>2251</v>
      </c>
      <c r="B578" s="17" t="s">
        <v>2248</v>
      </c>
      <c r="C578" s="17" t="s">
        <v>2252</v>
      </c>
      <c r="D578" s="19" t="s">
        <v>2253</v>
      </c>
      <c r="E578" s="20" t="s">
        <v>2254</v>
      </c>
      <c r="F578" s="21">
        <v>29498.0</v>
      </c>
      <c r="G578" s="14">
        <v>45.0</v>
      </c>
      <c r="H578" s="23" t="s">
        <v>26</v>
      </c>
      <c r="I578" s="24" t="s">
        <v>27</v>
      </c>
      <c r="J578" s="19" t="s">
        <v>68</v>
      </c>
      <c r="K578" s="14">
        <v>28.0</v>
      </c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>
      <c r="A579" s="14" t="s">
        <v>2255</v>
      </c>
      <c r="B579" s="17" t="s">
        <v>2248</v>
      </c>
      <c r="C579" s="17" t="s">
        <v>2256</v>
      </c>
      <c r="D579" s="19" t="s">
        <v>2257</v>
      </c>
      <c r="E579" s="20" t="s">
        <v>195</v>
      </c>
      <c r="F579" s="21">
        <v>27211.0</v>
      </c>
      <c r="G579" s="14">
        <v>52.0</v>
      </c>
      <c r="H579" s="23" t="s">
        <v>26</v>
      </c>
      <c r="I579" s="24" t="s">
        <v>33</v>
      </c>
      <c r="J579" s="19" t="s">
        <v>68</v>
      </c>
      <c r="K579" s="14">
        <v>28.0</v>
      </c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>
      <c r="A580" s="14" t="s">
        <v>2258</v>
      </c>
      <c r="B580" s="17" t="s">
        <v>2248</v>
      </c>
      <c r="C580" s="17" t="s">
        <v>2259</v>
      </c>
      <c r="D580" s="19" t="s">
        <v>554</v>
      </c>
      <c r="E580" s="20" t="s">
        <v>654</v>
      </c>
      <c r="F580" s="21">
        <v>22732.0</v>
      </c>
      <c r="G580" s="14">
        <v>64.0</v>
      </c>
      <c r="H580" s="23" t="s">
        <v>100</v>
      </c>
      <c r="I580" s="24" t="s">
        <v>27</v>
      </c>
      <c r="J580" s="19" t="s">
        <v>68</v>
      </c>
      <c r="K580" s="14">
        <v>28.0</v>
      </c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>
      <c r="A581" s="14" t="s">
        <v>2260</v>
      </c>
      <c r="B581" s="17" t="s">
        <v>2261</v>
      </c>
      <c r="C581" s="17" t="s">
        <v>2262</v>
      </c>
      <c r="D581" s="19" t="s">
        <v>887</v>
      </c>
      <c r="E581" s="20" t="s">
        <v>53</v>
      </c>
      <c r="F581" s="21">
        <v>30118.0</v>
      </c>
      <c r="G581" s="14">
        <v>44.0</v>
      </c>
      <c r="H581" s="23" t="s">
        <v>26</v>
      </c>
      <c r="I581" s="24" t="s">
        <v>33</v>
      </c>
      <c r="J581" s="19" t="s">
        <v>328</v>
      </c>
      <c r="K581" s="14">
        <v>25.0</v>
      </c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>
      <c r="A582" s="14" t="s">
        <v>2263</v>
      </c>
      <c r="B582" s="17" t="s">
        <v>2261</v>
      </c>
      <c r="C582" s="17" t="s">
        <v>2264</v>
      </c>
      <c r="D582" s="19" t="s">
        <v>2265</v>
      </c>
      <c r="E582" s="20" t="s">
        <v>53</v>
      </c>
      <c r="F582" s="21">
        <v>32638.0</v>
      </c>
      <c r="G582" s="14">
        <v>37.0</v>
      </c>
      <c r="H582" s="23" t="s">
        <v>26</v>
      </c>
      <c r="I582" s="24" t="s">
        <v>27</v>
      </c>
      <c r="J582" s="19" t="s">
        <v>328</v>
      </c>
      <c r="K582" s="14">
        <v>25.0</v>
      </c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>
      <c r="A583" s="14" t="s">
        <v>2266</v>
      </c>
      <c r="B583" s="17" t="s">
        <v>2267</v>
      </c>
      <c r="C583" s="17" t="s">
        <v>2268</v>
      </c>
      <c r="D583" s="19" t="s">
        <v>2269</v>
      </c>
      <c r="E583" s="20" t="s">
        <v>104</v>
      </c>
      <c r="F583" s="21">
        <v>30355.0</v>
      </c>
      <c r="G583" s="14">
        <v>43.0</v>
      </c>
      <c r="H583" s="23" t="s">
        <v>26</v>
      </c>
      <c r="I583" s="24" t="s">
        <v>33</v>
      </c>
      <c r="J583" s="19" t="s">
        <v>68</v>
      </c>
      <c r="K583" s="14">
        <v>34.0</v>
      </c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>
      <c r="A584" s="14" t="s">
        <v>2270</v>
      </c>
      <c r="B584" s="17" t="s">
        <v>2267</v>
      </c>
      <c r="C584" s="17" t="s">
        <v>2271</v>
      </c>
      <c r="D584" s="19" t="s">
        <v>2272</v>
      </c>
      <c r="E584" s="20" t="s">
        <v>104</v>
      </c>
      <c r="F584" s="21">
        <v>32525.0</v>
      </c>
      <c r="G584" s="14">
        <v>37.0</v>
      </c>
      <c r="H584" s="23" t="s">
        <v>26</v>
      </c>
      <c r="I584" s="24" t="s">
        <v>27</v>
      </c>
      <c r="J584" s="19" t="s">
        <v>68</v>
      </c>
      <c r="K584" s="14">
        <v>34.0</v>
      </c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>
      <c r="A585" s="14" t="s">
        <v>2273</v>
      </c>
      <c r="B585" s="17" t="s">
        <v>2274</v>
      </c>
      <c r="C585" s="17" t="s">
        <v>2275</v>
      </c>
      <c r="D585" s="19" t="s">
        <v>2276</v>
      </c>
      <c r="E585" s="20" t="s">
        <v>195</v>
      </c>
      <c r="F585" s="21">
        <v>32113.0</v>
      </c>
      <c r="G585" s="14">
        <v>38.0</v>
      </c>
      <c r="H585" s="23" t="s">
        <v>26</v>
      </c>
      <c r="I585" s="24" t="s">
        <v>33</v>
      </c>
      <c r="J585" s="19" t="s">
        <v>53</v>
      </c>
      <c r="K585" s="14">
        <v>29.0</v>
      </c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>
      <c r="A586" s="14" t="s">
        <v>2277</v>
      </c>
      <c r="B586" s="17" t="s">
        <v>2274</v>
      </c>
      <c r="C586" s="17" t="s">
        <v>2278</v>
      </c>
      <c r="D586" s="19" t="s">
        <v>2279</v>
      </c>
      <c r="E586" s="20" t="s">
        <v>2280</v>
      </c>
      <c r="F586" s="21">
        <v>34192.0</v>
      </c>
      <c r="G586" s="14">
        <v>33.0</v>
      </c>
      <c r="H586" s="23" t="s">
        <v>26</v>
      </c>
      <c r="I586" s="24" t="s">
        <v>27</v>
      </c>
      <c r="J586" s="19" t="s">
        <v>53</v>
      </c>
      <c r="K586" s="14">
        <v>29.0</v>
      </c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>
      <c r="A587" s="14" t="s">
        <v>2281</v>
      </c>
      <c r="B587" s="17" t="s">
        <v>2282</v>
      </c>
      <c r="C587" s="17" t="s">
        <v>2283</v>
      </c>
      <c r="D587" s="19" t="s">
        <v>2284</v>
      </c>
      <c r="E587" s="20" t="s">
        <v>138</v>
      </c>
      <c r="F587" s="21">
        <v>35601.0</v>
      </c>
      <c r="G587" s="14">
        <v>29.0</v>
      </c>
      <c r="H587" s="23" t="s">
        <v>26</v>
      </c>
      <c r="I587" s="24" t="s">
        <v>33</v>
      </c>
      <c r="J587" s="19" t="s">
        <v>146</v>
      </c>
      <c r="K587" s="14">
        <v>1.0</v>
      </c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>
      <c r="A588" s="14" t="s">
        <v>2285</v>
      </c>
      <c r="B588" s="17" t="s">
        <v>2282</v>
      </c>
      <c r="C588" s="17" t="s">
        <v>2286</v>
      </c>
      <c r="D588" s="19" t="s">
        <v>2287</v>
      </c>
      <c r="E588" s="20" t="s">
        <v>138</v>
      </c>
      <c r="F588" s="21">
        <v>35620.0</v>
      </c>
      <c r="G588" s="14">
        <v>29.0</v>
      </c>
      <c r="H588" s="23" t="s">
        <v>26</v>
      </c>
      <c r="I588" s="24" t="s">
        <v>27</v>
      </c>
      <c r="J588" s="19" t="s">
        <v>146</v>
      </c>
      <c r="K588" s="14">
        <v>1.0</v>
      </c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>
      <c r="A589" s="14" t="s">
        <v>2288</v>
      </c>
      <c r="B589" s="17" t="s">
        <v>2289</v>
      </c>
      <c r="C589" s="17" t="s">
        <v>2290</v>
      </c>
      <c r="D589" s="19" t="s">
        <v>2291</v>
      </c>
      <c r="E589" s="20" t="s">
        <v>53</v>
      </c>
      <c r="F589" s="21">
        <v>34549.0</v>
      </c>
      <c r="G589" s="14">
        <v>32.0</v>
      </c>
      <c r="H589" s="23" t="s">
        <v>26</v>
      </c>
      <c r="I589" s="24" t="s">
        <v>33</v>
      </c>
      <c r="J589" s="19" t="s">
        <v>53</v>
      </c>
      <c r="K589" s="14">
        <v>26.0</v>
      </c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>
      <c r="A590" s="14" t="s">
        <v>2292</v>
      </c>
      <c r="B590" s="17" t="s">
        <v>2289</v>
      </c>
      <c r="C590" s="17" t="s">
        <v>2293</v>
      </c>
      <c r="D590" s="19" t="s">
        <v>2294</v>
      </c>
      <c r="E590" s="20" t="s">
        <v>2295</v>
      </c>
      <c r="F590" s="21">
        <v>34596.0</v>
      </c>
      <c r="G590" s="14">
        <v>31.0</v>
      </c>
      <c r="H590" s="23" t="s">
        <v>26</v>
      </c>
      <c r="I590" s="24" t="s">
        <v>27</v>
      </c>
      <c r="J590" s="19" t="s">
        <v>53</v>
      </c>
      <c r="K590" s="14">
        <v>26.0</v>
      </c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>
      <c r="A591" s="14" t="s">
        <v>2296</v>
      </c>
      <c r="B591" s="17" t="s">
        <v>2297</v>
      </c>
      <c r="C591" s="17" t="s">
        <v>2298</v>
      </c>
      <c r="D591" s="19" t="s">
        <v>2299</v>
      </c>
      <c r="E591" s="20" t="s">
        <v>104</v>
      </c>
      <c r="F591" s="21">
        <v>32375.0</v>
      </c>
      <c r="G591" s="14">
        <v>38.0</v>
      </c>
      <c r="H591" s="23" t="s">
        <v>26</v>
      </c>
      <c r="I591" s="24" t="s">
        <v>27</v>
      </c>
      <c r="J591" s="19" t="s">
        <v>206</v>
      </c>
      <c r="K591" s="14">
        <v>2.0</v>
      </c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>
      <c r="A592" s="14" t="s">
        <v>2300</v>
      </c>
      <c r="B592" s="17" t="s">
        <v>2297</v>
      </c>
      <c r="C592" s="17" t="s">
        <v>2301</v>
      </c>
      <c r="D592" s="19" t="s">
        <v>2302</v>
      </c>
      <c r="E592" s="20" t="s">
        <v>2303</v>
      </c>
      <c r="F592" s="21">
        <v>31562.0</v>
      </c>
      <c r="G592" s="14">
        <v>40.0</v>
      </c>
      <c r="H592" s="23" t="s">
        <v>26</v>
      </c>
      <c r="I592" s="24" t="s">
        <v>33</v>
      </c>
      <c r="J592" s="19" t="s">
        <v>206</v>
      </c>
      <c r="K592" s="14">
        <v>2.0</v>
      </c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>
      <c r="A593" s="14" t="s">
        <v>2304</v>
      </c>
      <c r="B593" s="17" t="s">
        <v>2305</v>
      </c>
      <c r="C593" s="17" t="s">
        <v>2306</v>
      </c>
      <c r="D593" s="19" t="s">
        <v>2307</v>
      </c>
      <c r="E593" s="20" t="s">
        <v>654</v>
      </c>
      <c r="F593" s="21">
        <v>22828.0</v>
      </c>
      <c r="G593" s="14">
        <v>64.0</v>
      </c>
      <c r="H593" s="23" t="s">
        <v>27</v>
      </c>
      <c r="I593" s="24" t="s">
        <v>27</v>
      </c>
      <c r="J593" s="19" t="s">
        <v>939</v>
      </c>
      <c r="K593" s="14">
        <v>25.0</v>
      </c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>
      <c r="A594" s="14" t="s">
        <v>2308</v>
      </c>
      <c r="B594" s="17" t="s">
        <v>2309</v>
      </c>
      <c r="C594" s="17" t="s">
        <v>2310</v>
      </c>
      <c r="D594" s="19" t="s">
        <v>2311</v>
      </c>
      <c r="E594" s="20" t="s">
        <v>1291</v>
      </c>
      <c r="F594" s="21">
        <v>26337.0</v>
      </c>
      <c r="G594" s="14">
        <v>54.0</v>
      </c>
      <c r="H594" s="23" t="s">
        <v>26</v>
      </c>
      <c r="I594" s="24" t="s">
        <v>33</v>
      </c>
      <c r="J594" s="19" t="s">
        <v>282</v>
      </c>
      <c r="K594" s="14">
        <v>14.0</v>
      </c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>
      <c r="A595" s="14" t="s">
        <v>2312</v>
      </c>
      <c r="B595" s="17" t="s">
        <v>2309</v>
      </c>
      <c r="C595" s="17" t="s">
        <v>2313</v>
      </c>
      <c r="D595" s="19" t="s">
        <v>2314</v>
      </c>
      <c r="E595" s="20" t="s">
        <v>1291</v>
      </c>
      <c r="F595" s="21">
        <v>27227.0</v>
      </c>
      <c r="G595" s="14">
        <v>52.0</v>
      </c>
      <c r="H595" s="23" t="s">
        <v>26</v>
      </c>
      <c r="I595" s="24" t="s">
        <v>27</v>
      </c>
      <c r="J595" s="19" t="s">
        <v>282</v>
      </c>
      <c r="K595" s="14">
        <v>14.0</v>
      </c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>
      <c r="A596" s="14" t="s">
        <v>2315</v>
      </c>
      <c r="B596" s="17" t="s">
        <v>2316</v>
      </c>
      <c r="C596" s="17" t="s">
        <v>2317</v>
      </c>
      <c r="D596" s="19" t="s">
        <v>2318</v>
      </c>
      <c r="E596" s="20" t="s">
        <v>210</v>
      </c>
      <c r="F596" s="27">
        <v>25860.0</v>
      </c>
      <c r="G596" s="14">
        <v>55.0</v>
      </c>
      <c r="H596" s="23" t="s">
        <v>26</v>
      </c>
      <c r="I596" s="24" t="s">
        <v>33</v>
      </c>
      <c r="J596" s="19" t="s">
        <v>939</v>
      </c>
      <c r="K596" s="14">
        <v>25.0</v>
      </c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>
      <c r="A597" s="14" t="s">
        <v>2319</v>
      </c>
      <c r="B597" s="17" t="s">
        <v>2316</v>
      </c>
      <c r="C597" s="17" t="s">
        <v>2320</v>
      </c>
      <c r="D597" s="19" t="s">
        <v>2321</v>
      </c>
      <c r="E597" s="20" t="s">
        <v>112</v>
      </c>
      <c r="F597" s="27">
        <v>25519.0</v>
      </c>
      <c r="G597" s="14">
        <v>56.0</v>
      </c>
      <c r="H597" s="23" t="s">
        <v>26</v>
      </c>
      <c r="I597" s="24" t="s">
        <v>27</v>
      </c>
      <c r="J597" s="19" t="s">
        <v>939</v>
      </c>
      <c r="K597" s="14">
        <v>25.0</v>
      </c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>
      <c r="A598" s="14" t="s">
        <v>2322</v>
      </c>
      <c r="B598" s="17" t="s">
        <v>2323</v>
      </c>
      <c r="C598" s="17" t="s">
        <v>2324</v>
      </c>
      <c r="D598" s="19" t="s">
        <v>2325</v>
      </c>
      <c r="E598" s="20" t="s">
        <v>53</v>
      </c>
      <c r="F598" s="27">
        <v>39009.0</v>
      </c>
      <c r="G598" s="14">
        <v>19.0</v>
      </c>
      <c r="H598" s="23" t="s">
        <v>100</v>
      </c>
      <c r="I598" s="24" t="s">
        <v>27</v>
      </c>
      <c r="J598" s="19" t="s">
        <v>362</v>
      </c>
      <c r="K598" s="14">
        <v>23.0</v>
      </c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>
      <c r="A599" s="14" t="s">
        <v>2326</v>
      </c>
      <c r="B599" s="17" t="s">
        <v>2323</v>
      </c>
      <c r="C599" s="17" t="s">
        <v>2327</v>
      </c>
      <c r="D599" s="19" t="s">
        <v>2328</v>
      </c>
      <c r="E599" s="20" t="s">
        <v>104</v>
      </c>
      <c r="F599" s="21">
        <v>31511.0</v>
      </c>
      <c r="G599" s="14">
        <v>40.0</v>
      </c>
      <c r="H599" s="23" t="s">
        <v>26</v>
      </c>
      <c r="I599" s="24" t="s">
        <v>27</v>
      </c>
      <c r="J599" s="19" t="s">
        <v>337</v>
      </c>
      <c r="K599" s="14">
        <v>24.0</v>
      </c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>
      <c r="A600" s="14" t="s">
        <v>2329</v>
      </c>
      <c r="B600" s="17" t="s">
        <v>2323</v>
      </c>
      <c r="C600" s="17" t="s">
        <v>2330</v>
      </c>
      <c r="D600" s="19" t="s">
        <v>2331</v>
      </c>
      <c r="E600" s="20" t="s">
        <v>2332</v>
      </c>
      <c r="F600" s="21">
        <v>28953.0</v>
      </c>
      <c r="G600" s="14">
        <v>47.0</v>
      </c>
      <c r="H600" s="23" t="s">
        <v>26</v>
      </c>
      <c r="I600" s="24" t="s">
        <v>33</v>
      </c>
      <c r="J600" s="19" t="s">
        <v>337</v>
      </c>
      <c r="K600" s="14">
        <v>24.0</v>
      </c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>
      <c r="A601" s="14" t="s">
        <v>2333</v>
      </c>
      <c r="B601" s="17" t="s">
        <v>2334</v>
      </c>
      <c r="C601" s="17" t="s">
        <v>2335</v>
      </c>
      <c r="D601" s="19" t="s">
        <v>1951</v>
      </c>
      <c r="E601" s="20" t="s">
        <v>434</v>
      </c>
      <c r="F601" s="27">
        <v>24400.0</v>
      </c>
      <c r="G601" s="14">
        <v>59.0</v>
      </c>
      <c r="H601" s="23" t="s">
        <v>26</v>
      </c>
      <c r="I601" s="24" t="s">
        <v>27</v>
      </c>
      <c r="J601" s="19" t="s">
        <v>2336</v>
      </c>
      <c r="K601" s="14">
        <v>20.0</v>
      </c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>
      <c r="A602" s="14" t="s">
        <v>2337</v>
      </c>
      <c r="B602" s="17" t="s">
        <v>2334</v>
      </c>
      <c r="C602" s="17" t="s">
        <v>2338</v>
      </c>
      <c r="D602" s="19" t="s">
        <v>2339</v>
      </c>
      <c r="E602" s="20" t="s">
        <v>632</v>
      </c>
      <c r="F602" s="21">
        <v>19952.0</v>
      </c>
      <c r="G602" s="14">
        <v>72.0</v>
      </c>
      <c r="H602" s="23" t="s">
        <v>26</v>
      </c>
      <c r="I602" s="24" t="s">
        <v>33</v>
      </c>
      <c r="J602" s="19" t="s">
        <v>2336</v>
      </c>
      <c r="K602" s="14">
        <v>20.0</v>
      </c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>
      <c r="A603" s="14" t="s">
        <v>2340</v>
      </c>
      <c r="B603" s="17" t="s">
        <v>2341</v>
      </c>
      <c r="C603" s="17" t="s">
        <v>2342</v>
      </c>
      <c r="D603" s="19" t="s">
        <v>2343</v>
      </c>
      <c r="E603" s="20" t="s">
        <v>1038</v>
      </c>
      <c r="F603" s="21">
        <v>16848.0</v>
      </c>
      <c r="G603" s="14">
        <v>80.0</v>
      </c>
      <c r="H603" s="23" t="s">
        <v>27</v>
      </c>
      <c r="I603" s="24" t="s">
        <v>27</v>
      </c>
      <c r="J603" s="19" t="s">
        <v>2344</v>
      </c>
      <c r="K603" s="14">
        <v>7.0</v>
      </c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>
      <c r="A604" s="14" t="s">
        <v>2345</v>
      </c>
      <c r="B604" s="17" t="s">
        <v>2346</v>
      </c>
      <c r="C604" s="17" t="s">
        <v>2347</v>
      </c>
      <c r="D604" s="19" t="s">
        <v>2348</v>
      </c>
      <c r="E604" s="20" t="s">
        <v>2349</v>
      </c>
      <c r="F604" s="27">
        <v>35746.0</v>
      </c>
      <c r="G604" s="14">
        <v>28.0</v>
      </c>
      <c r="H604" s="23" t="s">
        <v>26</v>
      </c>
      <c r="I604" s="24" t="s">
        <v>33</v>
      </c>
      <c r="J604" s="19" t="s">
        <v>146</v>
      </c>
      <c r="K604" s="14">
        <v>2.0</v>
      </c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>
      <c r="A605" s="14" t="s">
        <v>2350</v>
      </c>
      <c r="B605" s="17" t="s">
        <v>2346</v>
      </c>
      <c r="C605" s="17" t="s">
        <v>2351</v>
      </c>
      <c r="D605" s="19" t="s">
        <v>2352</v>
      </c>
      <c r="E605" s="20" t="s">
        <v>2353</v>
      </c>
      <c r="F605" s="27">
        <v>37571.0</v>
      </c>
      <c r="G605" s="14">
        <v>23.0</v>
      </c>
      <c r="H605" s="23" t="s">
        <v>26</v>
      </c>
      <c r="I605" s="24" t="s">
        <v>27</v>
      </c>
      <c r="J605" s="19" t="s">
        <v>146</v>
      </c>
      <c r="K605" s="14">
        <v>2.0</v>
      </c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>
      <c r="A606" s="14" t="s">
        <v>2354</v>
      </c>
      <c r="B606" s="17" t="s">
        <v>2355</v>
      </c>
      <c r="C606" s="17" t="s">
        <v>2356</v>
      </c>
      <c r="D606" s="19" t="s">
        <v>2357</v>
      </c>
      <c r="E606" s="20" t="s">
        <v>53</v>
      </c>
      <c r="F606" s="21">
        <v>35859.0</v>
      </c>
      <c r="G606" s="14">
        <v>28.0</v>
      </c>
      <c r="H606" s="23" t="s">
        <v>100</v>
      </c>
      <c r="I606" s="24" t="s">
        <v>27</v>
      </c>
      <c r="J606" s="19" t="s">
        <v>53</v>
      </c>
      <c r="K606" s="14">
        <v>5.0</v>
      </c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>
      <c r="A607" s="14" t="s">
        <v>2358</v>
      </c>
      <c r="B607" s="17" t="s">
        <v>2355</v>
      </c>
      <c r="C607" s="17" t="s">
        <v>2359</v>
      </c>
      <c r="D607" s="19" t="s">
        <v>2360</v>
      </c>
      <c r="E607" s="20" t="s">
        <v>104</v>
      </c>
      <c r="F607" s="21">
        <v>28717.0</v>
      </c>
      <c r="G607" s="14">
        <v>48.0</v>
      </c>
      <c r="H607" s="23" t="s">
        <v>26</v>
      </c>
      <c r="I607" s="24" t="s">
        <v>27</v>
      </c>
      <c r="J607" s="19" t="s">
        <v>53</v>
      </c>
      <c r="K607" s="14">
        <v>5.0</v>
      </c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>
      <c r="A608" s="14" t="s">
        <v>2361</v>
      </c>
      <c r="B608" s="17" t="s">
        <v>2355</v>
      </c>
      <c r="C608" s="17" t="s">
        <v>2362</v>
      </c>
      <c r="D608" s="19" t="s">
        <v>2363</v>
      </c>
      <c r="E608" s="20" t="s">
        <v>632</v>
      </c>
      <c r="F608" s="21">
        <v>24283.0</v>
      </c>
      <c r="G608" s="14">
        <v>60.0</v>
      </c>
      <c r="H608" s="23" t="s">
        <v>26</v>
      </c>
      <c r="I608" s="24" t="s">
        <v>33</v>
      </c>
      <c r="J608" s="19" t="s">
        <v>53</v>
      </c>
      <c r="K608" s="14">
        <v>5.0</v>
      </c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>
      <c r="A609" s="14" t="s">
        <v>2364</v>
      </c>
      <c r="B609" s="17" t="s">
        <v>2365</v>
      </c>
      <c r="C609" s="17" t="s">
        <v>2366</v>
      </c>
      <c r="D609" s="19" t="s">
        <v>2367</v>
      </c>
      <c r="E609" s="20" t="s">
        <v>150</v>
      </c>
      <c r="F609" s="21">
        <v>37430.0</v>
      </c>
      <c r="G609" s="14">
        <v>24.0</v>
      </c>
      <c r="H609" s="23" t="s">
        <v>100</v>
      </c>
      <c r="I609" s="24" t="s">
        <v>33</v>
      </c>
      <c r="J609" s="19" t="s">
        <v>146</v>
      </c>
      <c r="K609" s="14">
        <v>10.0</v>
      </c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>
      <c r="A610" s="14" t="s">
        <v>2368</v>
      </c>
      <c r="B610" s="17" t="s">
        <v>2365</v>
      </c>
      <c r="C610" s="17" t="s">
        <v>2369</v>
      </c>
      <c r="D610" s="19" t="s">
        <v>2370</v>
      </c>
      <c r="E610" s="20" t="s">
        <v>2371</v>
      </c>
      <c r="F610" s="21">
        <v>26041.0</v>
      </c>
      <c r="G610" s="14">
        <v>55.0</v>
      </c>
      <c r="H610" s="23" t="s">
        <v>26</v>
      </c>
      <c r="I610" s="24" t="s">
        <v>33</v>
      </c>
      <c r="J610" s="19" t="s">
        <v>146</v>
      </c>
      <c r="K610" s="14">
        <v>10.0</v>
      </c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>
      <c r="A611" s="14" t="s">
        <v>2372</v>
      </c>
      <c r="B611" s="17" t="s">
        <v>2365</v>
      </c>
      <c r="C611" s="17" t="s">
        <v>2373</v>
      </c>
      <c r="D611" s="19" t="s">
        <v>2374</v>
      </c>
      <c r="E611" s="20" t="s">
        <v>632</v>
      </c>
      <c r="F611" s="21">
        <v>26194.0</v>
      </c>
      <c r="G611" s="14">
        <v>54.0</v>
      </c>
      <c r="H611" s="23" t="s">
        <v>26</v>
      </c>
      <c r="I611" s="24" t="s">
        <v>27</v>
      </c>
      <c r="J611" s="19" t="s">
        <v>146</v>
      </c>
      <c r="K611" s="14">
        <v>10.0</v>
      </c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>
      <c r="A612" s="14" t="s">
        <v>2375</v>
      </c>
      <c r="B612" s="17" t="s">
        <v>2376</v>
      </c>
      <c r="C612" s="17" t="s">
        <v>2377</v>
      </c>
      <c r="D612" s="19" t="s">
        <v>2378</v>
      </c>
      <c r="E612" s="20" t="s">
        <v>53</v>
      </c>
      <c r="F612" s="21">
        <v>36367.0</v>
      </c>
      <c r="G612" s="14">
        <v>27.0</v>
      </c>
      <c r="H612" s="23" t="s">
        <v>100</v>
      </c>
      <c r="I612" s="24" t="s">
        <v>33</v>
      </c>
      <c r="J612" s="19" t="s">
        <v>53</v>
      </c>
      <c r="K612" s="14">
        <v>8.0</v>
      </c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>
      <c r="A613" s="14" t="s">
        <v>2379</v>
      </c>
      <c r="B613" s="17" t="s">
        <v>2376</v>
      </c>
      <c r="C613" s="17" t="s">
        <v>2380</v>
      </c>
      <c r="D613" s="19" t="s">
        <v>2381</v>
      </c>
      <c r="E613" s="20" t="s">
        <v>53</v>
      </c>
      <c r="F613" s="21">
        <v>30112.0</v>
      </c>
      <c r="G613" s="14">
        <v>44.0</v>
      </c>
      <c r="H613" s="23" t="s">
        <v>26</v>
      </c>
      <c r="I613" s="24" t="s">
        <v>27</v>
      </c>
      <c r="J613" s="19" t="s">
        <v>53</v>
      </c>
      <c r="K613" s="14">
        <v>8.0</v>
      </c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>
      <c r="A614" s="14" t="s">
        <v>2382</v>
      </c>
      <c r="B614" s="17" t="s">
        <v>2376</v>
      </c>
      <c r="C614" s="17" t="s">
        <v>2383</v>
      </c>
      <c r="D614" s="19" t="s">
        <v>2384</v>
      </c>
      <c r="E614" s="20" t="s">
        <v>231</v>
      </c>
      <c r="F614" s="21">
        <v>28436.0</v>
      </c>
      <c r="G614" s="14">
        <v>48.0</v>
      </c>
      <c r="H614" s="23" t="s">
        <v>26</v>
      </c>
      <c r="I614" s="24" t="s">
        <v>33</v>
      </c>
      <c r="J614" s="19" t="s">
        <v>53</v>
      </c>
      <c r="K614" s="14">
        <v>8.0</v>
      </c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>
      <c r="A615" s="14" t="s">
        <v>2385</v>
      </c>
      <c r="B615" s="17" t="s">
        <v>2386</v>
      </c>
      <c r="C615" s="17" t="s">
        <v>2387</v>
      </c>
      <c r="D615" s="19" t="s">
        <v>2388</v>
      </c>
      <c r="E615" s="20" t="s">
        <v>104</v>
      </c>
      <c r="F615" s="21">
        <v>36938.0</v>
      </c>
      <c r="G615" s="14">
        <v>25.0</v>
      </c>
      <c r="H615" s="23" t="s">
        <v>100</v>
      </c>
      <c r="I615" s="24" t="s">
        <v>33</v>
      </c>
      <c r="J615" s="19" t="s">
        <v>2389</v>
      </c>
      <c r="K615" s="14">
        <v>1.0</v>
      </c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>
      <c r="A616" s="14" t="s">
        <v>2390</v>
      </c>
      <c r="B616" s="17" t="s">
        <v>2386</v>
      </c>
      <c r="C616" s="17" t="s">
        <v>2391</v>
      </c>
      <c r="D616" s="19" t="s">
        <v>2392</v>
      </c>
      <c r="E616" s="20" t="s">
        <v>2393</v>
      </c>
      <c r="F616" s="21">
        <v>27257.0</v>
      </c>
      <c r="G616" s="14">
        <v>52.0</v>
      </c>
      <c r="H616" s="23" t="s">
        <v>26</v>
      </c>
      <c r="I616" s="24" t="s">
        <v>27</v>
      </c>
      <c r="J616" s="19" t="s">
        <v>2389</v>
      </c>
      <c r="K616" s="14">
        <v>1.0</v>
      </c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>
      <c r="A617" s="14" t="s">
        <v>2394</v>
      </c>
      <c r="B617" s="17" t="s">
        <v>2386</v>
      </c>
      <c r="C617" s="17" t="s">
        <v>2395</v>
      </c>
      <c r="D617" s="19" t="s">
        <v>2396</v>
      </c>
      <c r="E617" s="20" t="s">
        <v>434</v>
      </c>
      <c r="F617" s="21">
        <v>25434.0</v>
      </c>
      <c r="G617" s="14">
        <v>57.0</v>
      </c>
      <c r="H617" s="23" t="s">
        <v>26</v>
      </c>
      <c r="I617" s="24" t="s">
        <v>33</v>
      </c>
      <c r="J617" s="19" t="s">
        <v>2389</v>
      </c>
      <c r="K617" s="14">
        <v>1.0</v>
      </c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>
      <c r="A618" s="14" t="s">
        <v>2397</v>
      </c>
      <c r="B618" s="17" t="s">
        <v>2398</v>
      </c>
      <c r="C618" s="17" t="s">
        <v>2399</v>
      </c>
      <c r="D618" s="19" t="s">
        <v>2400</v>
      </c>
      <c r="E618" s="20" t="s">
        <v>53</v>
      </c>
      <c r="F618" s="21">
        <v>38728.0</v>
      </c>
      <c r="G618" s="14">
        <v>20.0</v>
      </c>
      <c r="H618" s="23" t="s">
        <v>100</v>
      </c>
      <c r="I618" s="24" t="s">
        <v>33</v>
      </c>
      <c r="J618" s="19" t="s">
        <v>282</v>
      </c>
      <c r="K618" s="14">
        <v>13.0</v>
      </c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>
      <c r="A619" s="14" t="s">
        <v>2401</v>
      </c>
      <c r="B619" s="17" t="s">
        <v>2398</v>
      </c>
      <c r="C619" s="17" t="s">
        <v>2402</v>
      </c>
      <c r="D619" s="19" t="s">
        <v>2403</v>
      </c>
      <c r="E619" s="20" t="s">
        <v>2404</v>
      </c>
      <c r="F619" s="27">
        <v>31696.0</v>
      </c>
      <c r="G619" s="14">
        <v>39.0</v>
      </c>
      <c r="H619" s="23" t="s">
        <v>26</v>
      </c>
      <c r="I619" s="24" t="s">
        <v>27</v>
      </c>
      <c r="J619" s="19" t="s">
        <v>282</v>
      </c>
      <c r="K619" s="14">
        <v>13.0</v>
      </c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>
      <c r="A620" s="14" t="s">
        <v>2405</v>
      </c>
      <c r="B620" s="17" t="s">
        <v>2398</v>
      </c>
      <c r="C620" s="17" t="s">
        <v>2406</v>
      </c>
      <c r="D620" s="19" t="s">
        <v>2407</v>
      </c>
      <c r="E620" s="20" t="s">
        <v>53</v>
      </c>
      <c r="F620" s="21">
        <v>29773.0</v>
      </c>
      <c r="G620" s="14">
        <v>45.0</v>
      </c>
      <c r="H620" s="23" t="s">
        <v>26</v>
      </c>
      <c r="I620" s="24" t="s">
        <v>33</v>
      </c>
      <c r="J620" s="19" t="s">
        <v>282</v>
      </c>
      <c r="K620" s="14">
        <v>13.0</v>
      </c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>
      <c r="A621" s="14" t="s">
        <v>2408</v>
      </c>
      <c r="B621" s="17" t="s">
        <v>2409</v>
      </c>
      <c r="C621" s="17" t="s">
        <v>2410</v>
      </c>
      <c r="D621" s="19" t="s">
        <v>2411</v>
      </c>
      <c r="E621" s="20" t="s">
        <v>104</v>
      </c>
      <c r="F621" s="27">
        <v>33226.0</v>
      </c>
      <c r="G621" s="14">
        <v>35.0</v>
      </c>
      <c r="H621" s="23" t="s">
        <v>26</v>
      </c>
      <c r="I621" s="24" t="s">
        <v>27</v>
      </c>
      <c r="J621" s="19" t="s">
        <v>757</v>
      </c>
      <c r="K621" s="14">
        <v>10.0</v>
      </c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>
      <c r="A622" s="14" t="s">
        <v>2412</v>
      </c>
      <c r="B622" s="17" t="s">
        <v>2409</v>
      </c>
      <c r="C622" s="17" t="s">
        <v>2413</v>
      </c>
      <c r="D622" s="19" t="s">
        <v>2414</v>
      </c>
      <c r="E622" s="20" t="s">
        <v>53</v>
      </c>
      <c r="F622" s="27">
        <v>33522.0</v>
      </c>
      <c r="G622" s="14">
        <v>34.0</v>
      </c>
      <c r="H622" s="23" t="s">
        <v>26</v>
      </c>
      <c r="I622" s="24" t="s">
        <v>33</v>
      </c>
      <c r="J622" s="19" t="s">
        <v>757</v>
      </c>
      <c r="K622" s="14">
        <v>10.0</v>
      </c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>
      <c r="A623" s="14" t="s">
        <v>2415</v>
      </c>
      <c r="B623" s="17" t="s">
        <v>2416</v>
      </c>
      <c r="C623" s="17" t="s">
        <v>2417</v>
      </c>
      <c r="D623" s="19" t="s">
        <v>2418</v>
      </c>
      <c r="E623" s="20" t="s">
        <v>736</v>
      </c>
      <c r="F623" s="21">
        <v>37628.0</v>
      </c>
      <c r="G623" s="14">
        <v>23.0</v>
      </c>
      <c r="H623" s="23" t="s">
        <v>100</v>
      </c>
      <c r="I623" s="24" t="s">
        <v>27</v>
      </c>
      <c r="J623" s="19" t="s">
        <v>146</v>
      </c>
      <c r="K623" s="14">
        <v>2.0</v>
      </c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>
      <c r="A624" s="14" t="s">
        <v>2419</v>
      </c>
      <c r="B624" s="17" t="s">
        <v>2420</v>
      </c>
      <c r="C624" s="17" t="s">
        <v>2421</v>
      </c>
      <c r="D624" s="19" t="s">
        <v>2422</v>
      </c>
      <c r="E624" s="20" t="s">
        <v>104</v>
      </c>
      <c r="F624" s="21">
        <v>34562.0</v>
      </c>
      <c r="G624" s="14">
        <v>32.0</v>
      </c>
      <c r="H624" s="23" t="s">
        <v>26</v>
      </c>
      <c r="I624" s="24" t="s">
        <v>33</v>
      </c>
      <c r="J624" s="19" t="s">
        <v>282</v>
      </c>
      <c r="K624" s="14">
        <v>13.0</v>
      </c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>
      <c r="A625" s="14" t="s">
        <v>2423</v>
      </c>
      <c r="B625" s="17" t="s">
        <v>2420</v>
      </c>
      <c r="C625" s="17" t="s">
        <v>2424</v>
      </c>
      <c r="D625" s="19" t="s">
        <v>2425</v>
      </c>
      <c r="E625" s="20" t="s">
        <v>112</v>
      </c>
      <c r="F625" s="21">
        <v>34505.0</v>
      </c>
      <c r="G625" s="14">
        <v>32.0</v>
      </c>
      <c r="H625" s="23" t="s">
        <v>26</v>
      </c>
      <c r="I625" s="24" t="s">
        <v>27</v>
      </c>
      <c r="J625" s="19" t="s">
        <v>282</v>
      </c>
      <c r="K625" s="14">
        <v>13.0</v>
      </c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>
      <c r="A626" s="14" t="s">
        <v>1477</v>
      </c>
      <c r="B626" s="17" t="s">
        <v>2420</v>
      </c>
      <c r="C626" s="17" t="s">
        <v>1479</v>
      </c>
      <c r="D626" s="19" t="s">
        <v>1481</v>
      </c>
      <c r="E626" s="20" t="s">
        <v>1482</v>
      </c>
      <c r="F626" s="21">
        <v>35223.0</v>
      </c>
      <c r="G626" s="14">
        <v>30.0</v>
      </c>
      <c r="H626" s="23" t="s">
        <v>26</v>
      </c>
      <c r="I626" s="24" t="s">
        <v>33</v>
      </c>
      <c r="J626" s="19" t="s">
        <v>206</v>
      </c>
      <c r="K626" s="14">
        <v>2.0</v>
      </c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>
      <c r="A627" s="14" t="s">
        <v>2426</v>
      </c>
      <c r="B627" s="17" t="s">
        <v>2427</v>
      </c>
      <c r="C627" s="17" t="s">
        <v>2428</v>
      </c>
      <c r="D627" s="19" t="s">
        <v>2429</v>
      </c>
      <c r="E627" s="20" t="s">
        <v>2430</v>
      </c>
      <c r="F627" s="21">
        <v>21554.0</v>
      </c>
      <c r="G627" s="14">
        <v>67.0</v>
      </c>
      <c r="H627" s="23" t="s">
        <v>27</v>
      </c>
      <c r="I627" s="24" t="s">
        <v>33</v>
      </c>
      <c r="J627" s="19" t="s">
        <v>2431</v>
      </c>
      <c r="K627" s="14">
        <v>1.0</v>
      </c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>
      <c r="A628" s="14" t="s">
        <v>2432</v>
      </c>
      <c r="B628" s="17" t="s">
        <v>2433</v>
      </c>
      <c r="C628" s="17" t="s">
        <v>2434</v>
      </c>
      <c r="D628" s="19" t="s">
        <v>2435</v>
      </c>
      <c r="E628" s="20" t="s">
        <v>104</v>
      </c>
      <c r="F628" s="21">
        <v>38730.0</v>
      </c>
      <c r="G628" s="14">
        <v>20.0</v>
      </c>
      <c r="H628" s="23" t="s">
        <v>100</v>
      </c>
      <c r="I628" s="24" t="s">
        <v>33</v>
      </c>
      <c r="J628" s="19" t="s">
        <v>726</v>
      </c>
      <c r="K628" s="14">
        <v>16.0</v>
      </c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>
      <c r="A629" s="14" t="s">
        <v>2436</v>
      </c>
      <c r="B629" s="17" t="s">
        <v>2433</v>
      </c>
      <c r="C629" s="17" t="s">
        <v>2437</v>
      </c>
      <c r="D629" s="19" t="s">
        <v>2438</v>
      </c>
      <c r="E629" s="20" t="s">
        <v>2439</v>
      </c>
      <c r="F629" s="21">
        <v>30405.0</v>
      </c>
      <c r="G629" s="14">
        <v>43.0</v>
      </c>
      <c r="H629" s="23" t="s">
        <v>26</v>
      </c>
      <c r="I629" s="24" t="s">
        <v>27</v>
      </c>
      <c r="J629" s="19" t="s">
        <v>726</v>
      </c>
      <c r="K629" s="14">
        <v>16.0</v>
      </c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>
      <c r="A630" s="14" t="s">
        <v>2440</v>
      </c>
      <c r="B630" s="17" t="s">
        <v>2433</v>
      </c>
      <c r="C630" s="17" t="s">
        <v>2441</v>
      </c>
      <c r="D630" s="19" t="s">
        <v>2442</v>
      </c>
      <c r="E630" s="20" t="s">
        <v>210</v>
      </c>
      <c r="F630" s="21">
        <v>29625.0</v>
      </c>
      <c r="G630" s="14">
        <v>45.0</v>
      </c>
      <c r="H630" s="23" t="s">
        <v>26</v>
      </c>
      <c r="I630" s="24" t="s">
        <v>33</v>
      </c>
      <c r="J630" s="19" t="s">
        <v>726</v>
      </c>
      <c r="K630" s="14">
        <v>16.0</v>
      </c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>
      <c r="A631" s="14" t="s">
        <v>2443</v>
      </c>
      <c r="B631" s="17" t="s">
        <v>2444</v>
      </c>
      <c r="C631" s="17" t="s">
        <v>2445</v>
      </c>
      <c r="D631" s="19" t="s">
        <v>2446</v>
      </c>
      <c r="E631" s="20" t="s">
        <v>210</v>
      </c>
      <c r="F631" s="21">
        <v>38026.0</v>
      </c>
      <c r="G631" s="14">
        <v>22.0</v>
      </c>
      <c r="H631" s="23" t="s">
        <v>100</v>
      </c>
      <c r="I631" s="24" t="s">
        <v>33</v>
      </c>
      <c r="J631" s="19" t="s">
        <v>328</v>
      </c>
      <c r="K631" s="14">
        <v>25.0</v>
      </c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>
      <c r="A632" s="14" t="s">
        <v>2447</v>
      </c>
      <c r="B632" s="17" t="s">
        <v>2444</v>
      </c>
      <c r="C632" s="17" t="s">
        <v>2448</v>
      </c>
      <c r="D632" s="19" t="s">
        <v>2449</v>
      </c>
      <c r="E632" s="20" t="s">
        <v>210</v>
      </c>
      <c r="F632" s="21">
        <v>25952.0</v>
      </c>
      <c r="G632" s="14">
        <v>55.0</v>
      </c>
      <c r="H632" s="23" t="s">
        <v>26</v>
      </c>
      <c r="I632" s="24" t="s">
        <v>33</v>
      </c>
      <c r="J632" s="19" t="s">
        <v>328</v>
      </c>
      <c r="K632" s="14">
        <v>25.0</v>
      </c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>
      <c r="A633" s="14" t="s">
        <v>2450</v>
      </c>
      <c r="B633" s="17" t="s">
        <v>2444</v>
      </c>
      <c r="C633" s="17" t="s">
        <v>2451</v>
      </c>
      <c r="D633" s="19" t="s">
        <v>2452</v>
      </c>
      <c r="E633" s="20" t="s">
        <v>210</v>
      </c>
      <c r="F633" s="21">
        <v>29346.0</v>
      </c>
      <c r="G633" s="14">
        <v>46.0</v>
      </c>
      <c r="H633" s="23" t="s">
        <v>26</v>
      </c>
      <c r="I633" s="24" t="s">
        <v>27</v>
      </c>
      <c r="J633" s="19" t="s">
        <v>328</v>
      </c>
      <c r="K633" s="14">
        <v>25.0</v>
      </c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>
      <c r="A634" s="14" t="s">
        <v>2453</v>
      </c>
      <c r="B634" s="17" t="s">
        <v>2454</v>
      </c>
      <c r="C634" s="17" t="s">
        <v>2455</v>
      </c>
      <c r="D634" s="19" t="s">
        <v>2456</v>
      </c>
      <c r="E634" s="20" t="s">
        <v>104</v>
      </c>
      <c r="F634" s="21">
        <v>33311.0</v>
      </c>
      <c r="G634" s="14">
        <v>35.0</v>
      </c>
      <c r="H634" s="23" t="s">
        <v>26</v>
      </c>
      <c r="I634" s="24" t="s">
        <v>27</v>
      </c>
      <c r="J634" s="19" t="s">
        <v>328</v>
      </c>
      <c r="K634" s="14">
        <v>20.0</v>
      </c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>
      <c r="A635" s="14" t="s">
        <v>2457</v>
      </c>
      <c r="B635" s="17" t="s">
        <v>2454</v>
      </c>
      <c r="C635" s="17" t="s">
        <v>2458</v>
      </c>
      <c r="D635" s="19" t="s">
        <v>2459</v>
      </c>
      <c r="E635" s="20" t="s">
        <v>1148</v>
      </c>
      <c r="F635" s="21">
        <v>31582.0</v>
      </c>
      <c r="G635" s="14">
        <v>40.0</v>
      </c>
      <c r="H635" s="23" t="s">
        <v>26</v>
      </c>
      <c r="I635" s="24" t="s">
        <v>33</v>
      </c>
      <c r="J635" s="19" t="s">
        <v>1915</v>
      </c>
      <c r="K635" s="14">
        <v>12.0</v>
      </c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>
      <c r="A636" s="14" t="s">
        <v>2460</v>
      </c>
      <c r="B636" s="17" t="s">
        <v>2461</v>
      </c>
      <c r="C636" s="17" t="s">
        <v>2462</v>
      </c>
      <c r="D636" s="19" t="s">
        <v>2463</v>
      </c>
      <c r="E636" s="20" t="s">
        <v>104</v>
      </c>
      <c r="F636" s="27">
        <v>30617.0</v>
      </c>
      <c r="G636" s="14">
        <v>42.0</v>
      </c>
      <c r="H636" s="23" t="s">
        <v>26</v>
      </c>
      <c r="I636" s="24" t="s">
        <v>27</v>
      </c>
      <c r="J636" s="19" t="s">
        <v>53</v>
      </c>
      <c r="K636" s="14">
        <v>10.0</v>
      </c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>
      <c r="A637" s="14" t="s">
        <v>2464</v>
      </c>
      <c r="B637" s="17" t="s">
        <v>2461</v>
      </c>
      <c r="C637" s="17" t="s">
        <v>2465</v>
      </c>
      <c r="D637" s="19" t="s">
        <v>2213</v>
      </c>
      <c r="E637" s="20" t="s">
        <v>104</v>
      </c>
      <c r="F637" s="21">
        <v>30000.0</v>
      </c>
      <c r="G637" s="14">
        <v>44.0</v>
      </c>
      <c r="H637" s="23" t="s">
        <v>26</v>
      </c>
      <c r="I637" s="24" t="s">
        <v>33</v>
      </c>
      <c r="J637" s="19" t="s">
        <v>53</v>
      </c>
      <c r="K637" s="14">
        <v>10.0</v>
      </c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>
      <c r="A638" s="14" t="s">
        <v>2466</v>
      </c>
      <c r="B638" s="17" t="s">
        <v>2467</v>
      </c>
      <c r="C638" s="17" t="s">
        <v>2468</v>
      </c>
      <c r="D638" s="19" t="s">
        <v>2469</v>
      </c>
      <c r="E638" s="20" t="s">
        <v>104</v>
      </c>
      <c r="F638" s="21">
        <v>35969.0</v>
      </c>
      <c r="G638" s="14">
        <v>28.0</v>
      </c>
      <c r="H638" s="23" t="s">
        <v>26</v>
      </c>
      <c r="I638" s="24" t="s">
        <v>27</v>
      </c>
      <c r="J638" s="19" t="s">
        <v>53</v>
      </c>
      <c r="K638" s="14">
        <v>14.0</v>
      </c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>
      <c r="A639" s="14" t="s">
        <v>2470</v>
      </c>
      <c r="B639" s="17" t="s">
        <v>2467</v>
      </c>
      <c r="C639" s="17" t="s">
        <v>2471</v>
      </c>
      <c r="D639" s="19" t="s">
        <v>2472</v>
      </c>
      <c r="E639" s="20" t="s">
        <v>2473</v>
      </c>
      <c r="F639" s="21">
        <v>33884.0</v>
      </c>
      <c r="G639" s="14">
        <v>33.0</v>
      </c>
      <c r="H639" s="23" t="s">
        <v>26</v>
      </c>
      <c r="I639" s="24" t="s">
        <v>33</v>
      </c>
      <c r="J639" s="19" t="s">
        <v>53</v>
      </c>
      <c r="K639" s="14">
        <v>14.0</v>
      </c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>
      <c r="A640" s="14" t="s">
        <v>2474</v>
      </c>
      <c r="B640" s="17" t="s">
        <v>2475</v>
      </c>
      <c r="C640" s="17" t="s">
        <v>2476</v>
      </c>
      <c r="D640" s="19" t="s">
        <v>2477</v>
      </c>
      <c r="E640" s="20" t="s">
        <v>1095</v>
      </c>
      <c r="F640" s="21">
        <v>33819.0</v>
      </c>
      <c r="G640" s="14">
        <v>34.0</v>
      </c>
      <c r="H640" s="23" t="s">
        <v>26</v>
      </c>
      <c r="I640" s="24" t="s">
        <v>27</v>
      </c>
      <c r="J640" s="19" t="s">
        <v>39</v>
      </c>
      <c r="K640" s="14">
        <v>11.0</v>
      </c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>
      <c r="A641" s="14" t="s">
        <v>2478</v>
      </c>
      <c r="B641" s="17" t="s">
        <v>2475</v>
      </c>
      <c r="C641" s="17" t="s">
        <v>2479</v>
      </c>
      <c r="D641" s="19" t="s">
        <v>2480</v>
      </c>
      <c r="E641" s="20" t="s">
        <v>2481</v>
      </c>
      <c r="F641" s="27">
        <v>33164.0</v>
      </c>
      <c r="G641" s="14">
        <v>35.0</v>
      </c>
      <c r="H641" s="23" t="s">
        <v>26</v>
      </c>
      <c r="I641" s="24" t="s">
        <v>33</v>
      </c>
      <c r="J641" s="19" t="s">
        <v>39</v>
      </c>
      <c r="K641" s="14">
        <v>11.0</v>
      </c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>
      <c r="A642" s="14" t="s">
        <v>2482</v>
      </c>
      <c r="B642" s="17" t="s">
        <v>2483</v>
      </c>
      <c r="C642" s="17" t="s">
        <v>2484</v>
      </c>
      <c r="D642" s="19" t="s">
        <v>2485</v>
      </c>
      <c r="E642" s="20" t="s">
        <v>2486</v>
      </c>
      <c r="F642" s="21">
        <v>30420.0</v>
      </c>
      <c r="G642" s="14">
        <v>43.0</v>
      </c>
      <c r="H642" s="23" t="s">
        <v>26</v>
      </c>
      <c r="I642" s="24" t="s">
        <v>33</v>
      </c>
      <c r="J642" s="19" t="s">
        <v>2487</v>
      </c>
      <c r="K642" s="14">
        <v>9.0</v>
      </c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>
      <c r="A643" s="14" t="s">
        <v>2488</v>
      </c>
      <c r="B643" s="17" t="s">
        <v>2483</v>
      </c>
      <c r="C643" s="17" t="s">
        <v>2489</v>
      </c>
      <c r="D643" s="19" t="s">
        <v>2490</v>
      </c>
      <c r="E643" s="20" t="s">
        <v>2491</v>
      </c>
      <c r="F643" s="21">
        <v>33088.0</v>
      </c>
      <c r="G643" s="14">
        <v>36.0</v>
      </c>
      <c r="H643" s="23" t="s">
        <v>26</v>
      </c>
      <c r="I643" s="24" t="s">
        <v>27</v>
      </c>
      <c r="J643" s="19" t="s">
        <v>2487</v>
      </c>
      <c r="K643" s="14">
        <v>9.0</v>
      </c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>
      <c r="A644" s="14" t="s">
        <v>2492</v>
      </c>
      <c r="B644" s="17" t="s">
        <v>2493</v>
      </c>
      <c r="C644" s="17" t="s">
        <v>2494</v>
      </c>
      <c r="D644" s="19" t="s">
        <v>2495</v>
      </c>
      <c r="E644" s="20" t="s">
        <v>2496</v>
      </c>
      <c r="F644" s="21">
        <v>38762.0</v>
      </c>
      <c r="G644" s="14">
        <v>20.0</v>
      </c>
      <c r="H644" s="23" t="s">
        <v>100</v>
      </c>
      <c r="I644" s="24" t="s">
        <v>27</v>
      </c>
      <c r="J644" s="19" t="s">
        <v>2497</v>
      </c>
      <c r="K644" s="14">
        <v>3.0</v>
      </c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>
      <c r="A645" s="14" t="s">
        <v>2498</v>
      </c>
      <c r="B645" s="17" t="s">
        <v>2493</v>
      </c>
      <c r="C645" s="17" t="s">
        <v>2499</v>
      </c>
      <c r="D645" s="19" t="s">
        <v>2500</v>
      </c>
      <c r="E645" s="20" t="s">
        <v>2501</v>
      </c>
      <c r="F645" s="21">
        <v>28175.0</v>
      </c>
      <c r="G645" s="14">
        <v>49.0</v>
      </c>
      <c r="H645" s="23" t="s">
        <v>26</v>
      </c>
      <c r="I645" s="24" t="s">
        <v>33</v>
      </c>
      <c r="J645" s="19" t="s">
        <v>2497</v>
      </c>
      <c r="K645" s="14">
        <v>3.0</v>
      </c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>
      <c r="A646" s="14" t="s">
        <v>2502</v>
      </c>
      <c r="B646" s="17" t="s">
        <v>2493</v>
      </c>
      <c r="C646" s="17" t="s">
        <v>2503</v>
      </c>
      <c r="D646" s="19" t="s">
        <v>2504</v>
      </c>
      <c r="E646" s="20" t="s">
        <v>2505</v>
      </c>
      <c r="F646" s="21">
        <v>37683.0</v>
      </c>
      <c r="G646" s="14">
        <v>23.0</v>
      </c>
      <c r="H646" s="23" t="s">
        <v>100</v>
      </c>
      <c r="I646" s="24" t="s">
        <v>33</v>
      </c>
      <c r="J646" s="19" t="s">
        <v>2497</v>
      </c>
      <c r="K646" s="14">
        <v>3.0</v>
      </c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>
      <c r="A647" s="14" t="s">
        <v>2506</v>
      </c>
      <c r="B647" s="17" t="s">
        <v>2493</v>
      </c>
      <c r="C647" s="17" t="s">
        <v>2507</v>
      </c>
      <c r="D647" s="19" t="s">
        <v>2508</v>
      </c>
      <c r="E647" s="20" t="s">
        <v>2509</v>
      </c>
      <c r="F647" s="21">
        <v>28655.0</v>
      </c>
      <c r="G647" s="14">
        <v>48.0</v>
      </c>
      <c r="H647" s="23" t="s">
        <v>26</v>
      </c>
      <c r="I647" s="24" t="s">
        <v>27</v>
      </c>
      <c r="J647" s="19" t="s">
        <v>2497</v>
      </c>
      <c r="K647" s="14">
        <v>3.0</v>
      </c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>
      <c r="A648" s="14" t="s">
        <v>2510</v>
      </c>
      <c r="B648" s="17" t="s">
        <v>2511</v>
      </c>
      <c r="C648" s="17" t="s">
        <v>2512</v>
      </c>
      <c r="D648" s="19" t="s">
        <v>2513</v>
      </c>
      <c r="E648" s="20" t="s">
        <v>2514</v>
      </c>
      <c r="F648" s="21">
        <v>24049.0</v>
      </c>
      <c r="G648" s="14">
        <v>60.0</v>
      </c>
      <c r="H648" s="23" t="s">
        <v>27</v>
      </c>
      <c r="I648" s="24" t="s">
        <v>27</v>
      </c>
      <c r="J648" s="19" t="s">
        <v>53</v>
      </c>
      <c r="K648" s="14">
        <v>35.0</v>
      </c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>
      <c r="A649" s="14" t="s">
        <v>2515</v>
      </c>
      <c r="B649" s="17" t="s">
        <v>2516</v>
      </c>
      <c r="C649" s="17" t="s">
        <v>2517</v>
      </c>
      <c r="D649" s="19" t="s">
        <v>2518</v>
      </c>
      <c r="E649" s="20" t="s">
        <v>104</v>
      </c>
      <c r="F649" s="21">
        <v>36592.0</v>
      </c>
      <c r="G649" s="14">
        <v>26.0</v>
      </c>
      <c r="H649" s="23" t="s">
        <v>100</v>
      </c>
      <c r="I649" s="24" t="s">
        <v>33</v>
      </c>
      <c r="J649" s="19" t="s">
        <v>282</v>
      </c>
      <c r="K649" s="14">
        <v>16.0</v>
      </c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>
      <c r="A650" s="14" t="s">
        <v>2519</v>
      </c>
      <c r="B650" s="17" t="s">
        <v>2516</v>
      </c>
      <c r="C650" s="17" t="s">
        <v>2520</v>
      </c>
      <c r="D650" s="19" t="s">
        <v>2521</v>
      </c>
      <c r="E650" s="20" t="s">
        <v>104</v>
      </c>
      <c r="F650" s="21">
        <v>38616.0</v>
      </c>
      <c r="G650" s="14">
        <v>20.0</v>
      </c>
      <c r="H650" s="23" t="s">
        <v>100</v>
      </c>
      <c r="I650" s="24" t="s">
        <v>33</v>
      </c>
      <c r="J650" s="19" t="s">
        <v>282</v>
      </c>
      <c r="K650" s="14">
        <v>16.0</v>
      </c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>
      <c r="A651" s="14" t="s">
        <v>2522</v>
      </c>
      <c r="B651" s="17" t="s">
        <v>2516</v>
      </c>
      <c r="C651" s="17" t="s">
        <v>2523</v>
      </c>
      <c r="D651" s="19" t="s">
        <v>2524</v>
      </c>
      <c r="E651" s="20" t="s">
        <v>104</v>
      </c>
      <c r="F651" s="27">
        <v>28773.0</v>
      </c>
      <c r="G651" s="14">
        <v>47.0</v>
      </c>
      <c r="H651" s="23" t="s">
        <v>26</v>
      </c>
      <c r="I651" s="24" t="s">
        <v>33</v>
      </c>
      <c r="J651" s="19" t="s">
        <v>282</v>
      </c>
      <c r="K651" s="14">
        <v>16.0</v>
      </c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>
      <c r="A652" s="14" t="s">
        <v>2525</v>
      </c>
      <c r="B652" s="17" t="s">
        <v>2516</v>
      </c>
      <c r="C652" s="17" t="s">
        <v>2526</v>
      </c>
      <c r="D652" s="19" t="s">
        <v>2527</v>
      </c>
      <c r="E652" s="20" t="s">
        <v>1058</v>
      </c>
      <c r="F652" s="21">
        <v>29422.0</v>
      </c>
      <c r="G652" s="14">
        <v>46.0</v>
      </c>
      <c r="H652" s="23" t="s">
        <v>26</v>
      </c>
      <c r="I652" s="24" t="s">
        <v>27</v>
      </c>
      <c r="J652" s="19" t="s">
        <v>282</v>
      </c>
      <c r="K652" s="14">
        <v>16.0</v>
      </c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>
      <c r="A653" s="14" t="s">
        <v>2528</v>
      </c>
      <c r="B653" s="17" t="s">
        <v>2529</v>
      </c>
      <c r="C653" s="17" t="s">
        <v>2530</v>
      </c>
      <c r="D653" s="19" t="s">
        <v>2531</v>
      </c>
      <c r="E653" s="20" t="s">
        <v>104</v>
      </c>
      <c r="F653" s="21">
        <v>33047.0</v>
      </c>
      <c r="G653" s="14">
        <v>36.0</v>
      </c>
      <c r="H653" s="23" t="s">
        <v>26</v>
      </c>
      <c r="I653" s="24" t="s">
        <v>33</v>
      </c>
      <c r="J653" s="19" t="s">
        <v>517</v>
      </c>
      <c r="K653" s="14">
        <v>8.0</v>
      </c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>
      <c r="A654" s="14" t="s">
        <v>2532</v>
      </c>
      <c r="B654" s="17" t="s">
        <v>2533</v>
      </c>
      <c r="C654" s="17" t="s">
        <v>2534</v>
      </c>
      <c r="D654" s="19" t="s">
        <v>2535</v>
      </c>
      <c r="E654" s="20" t="s">
        <v>2536</v>
      </c>
      <c r="F654" s="21">
        <v>28704.0</v>
      </c>
      <c r="G654" s="14">
        <v>48.0</v>
      </c>
      <c r="H654" s="23" t="s">
        <v>26</v>
      </c>
      <c r="I654" s="24" t="s">
        <v>33</v>
      </c>
      <c r="J654" s="19" t="s">
        <v>156</v>
      </c>
      <c r="K654" s="14">
        <v>30.0</v>
      </c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>
      <c r="A655" s="14" t="s">
        <v>2537</v>
      </c>
      <c r="B655" s="17" t="s">
        <v>2533</v>
      </c>
      <c r="C655" s="17" t="s">
        <v>2538</v>
      </c>
      <c r="D655" s="19" t="s">
        <v>2539</v>
      </c>
      <c r="E655" s="20" t="s">
        <v>2540</v>
      </c>
      <c r="F655" s="21">
        <v>28316.0</v>
      </c>
      <c r="G655" s="14">
        <v>49.0</v>
      </c>
      <c r="H655" s="23" t="s">
        <v>26</v>
      </c>
      <c r="I655" s="24" t="s">
        <v>27</v>
      </c>
      <c r="J655" s="19" t="s">
        <v>156</v>
      </c>
      <c r="K655" s="14">
        <v>30.0</v>
      </c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>
      <c r="A656" s="14" t="s">
        <v>2541</v>
      </c>
      <c r="B656" s="17" t="s">
        <v>2533</v>
      </c>
      <c r="C656" s="17" t="s">
        <v>2542</v>
      </c>
      <c r="D656" s="19" t="s">
        <v>2543</v>
      </c>
      <c r="E656" s="20" t="s">
        <v>219</v>
      </c>
      <c r="F656" s="21">
        <v>37878.0</v>
      </c>
      <c r="G656" s="14">
        <v>22.0</v>
      </c>
      <c r="H656" s="23" t="s">
        <v>100</v>
      </c>
      <c r="I656" s="24" t="s">
        <v>33</v>
      </c>
      <c r="J656" s="19" t="s">
        <v>156</v>
      </c>
      <c r="K656" s="14">
        <v>30.0</v>
      </c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>
      <c r="A657" s="14" t="s">
        <v>2544</v>
      </c>
      <c r="B657" s="17" t="s">
        <v>2545</v>
      </c>
      <c r="C657" s="17" t="s">
        <v>2546</v>
      </c>
      <c r="D657" s="19" t="s">
        <v>2547</v>
      </c>
      <c r="E657" s="20" t="s">
        <v>195</v>
      </c>
      <c r="F657" s="21">
        <v>23140.0</v>
      </c>
      <c r="G657" s="14">
        <v>63.0</v>
      </c>
      <c r="H657" s="23" t="s">
        <v>27</v>
      </c>
      <c r="I657" s="24" t="s">
        <v>27</v>
      </c>
      <c r="J657" s="19" t="s">
        <v>68</v>
      </c>
      <c r="K657" s="14">
        <v>30.0</v>
      </c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>
      <c r="A658" s="14" t="s">
        <v>2548</v>
      </c>
      <c r="B658" s="17" t="s">
        <v>2545</v>
      </c>
      <c r="C658" s="17" t="s">
        <v>2549</v>
      </c>
      <c r="D658" s="19" t="s">
        <v>2550</v>
      </c>
      <c r="E658" s="20" t="s">
        <v>2551</v>
      </c>
      <c r="F658" s="27">
        <v>36479.0</v>
      </c>
      <c r="G658" s="14">
        <v>26.0</v>
      </c>
      <c r="H658" s="23" t="s">
        <v>26</v>
      </c>
      <c r="I658" s="24" t="s">
        <v>27</v>
      </c>
      <c r="J658" s="19" t="s">
        <v>68</v>
      </c>
      <c r="K658" s="14">
        <v>30.0</v>
      </c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>
      <c r="A659" s="14" t="s">
        <v>2552</v>
      </c>
      <c r="B659" s="17" t="s">
        <v>2545</v>
      </c>
      <c r="C659" s="17" t="s">
        <v>2553</v>
      </c>
      <c r="D659" s="19" t="s">
        <v>2554</v>
      </c>
      <c r="E659" s="20" t="s">
        <v>104</v>
      </c>
      <c r="F659" s="21">
        <v>35074.0</v>
      </c>
      <c r="G659" s="14">
        <v>30.0</v>
      </c>
      <c r="H659" s="23" t="s">
        <v>26</v>
      </c>
      <c r="I659" s="24" t="s">
        <v>33</v>
      </c>
      <c r="J659" s="19" t="s">
        <v>68</v>
      </c>
      <c r="K659" s="14">
        <v>30.0</v>
      </c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>
      <c r="A660" s="14" t="s">
        <v>2555</v>
      </c>
      <c r="B660" s="17" t="s">
        <v>2556</v>
      </c>
      <c r="C660" s="17" t="s">
        <v>2557</v>
      </c>
      <c r="D660" s="19" t="s">
        <v>2558</v>
      </c>
      <c r="E660" s="20" t="s">
        <v>2559</v>
      </c>
      <c r="F660" s="21">
        <v>34080.0</v>
      </c>
      <c r="G660" s="14">
        <v>33.0</v>
      </c>
      <c r="H660" s="23" t="s">
        <v>26</v>
      </c>
      <c r="I660" s="24" t="s">
        <v>27</v>
      </c>
      <c r="J660" s="19" t="s">
        <v>206</v>
      </c>
      <c r="K660" s="14">
        <v>4.0</v>
      </c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>
      <c r="A661" s="14" t="s">
        <v>2560</v>
      </c>
      <c r="B661" s="17" t="s">
        <v>2556</v>
      </c>
      <c r="C661" s="17" t="s">
        <v>2561</v>
      </c>
      <c r="D661" s="19" t="s">
        <v>2562</v>
      </c>
      <c r="E661" s="20" t="s">
        <v>104</v>
      </c>
      <c r="F661" s="21">
        <v>31975.0</v>
      </c>
      <c r="G661" s="14">
        <v>39.0</v>
      </c>
      <c r="H661" s="23" t="s">
        <v>26</v>
      </c>
      <c r="I661" s="24" t="s">
        <v>33</v>
      </c>
      <c r="J661" s="19" t="s">
        <v>206</v>
      </c>
      <c r="K661" s="14">
        <v>4.0</v>
      </c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>
      <c r="A662" s="14" t="s">
        <v>2563</v>
      </c>
      <c r="B662" s="17" t="s">
        <v>2564</v>
      </c>
      <c r="C662" s="17" t="s">
        <v>2565</v>
      </c>
      <c r="D662" s="19" t="s">
        <v>2566</v>
      </c>
      <c r="E662" s="20" t="s">
        <v>624</v>
      </c>
      <c r="F662" s="27">
        <v>20740.0</v>
      </c>
      <c r="G662" s="14">
        <v>69.0</v>
      </c>
      <c r="H662" s="23" t="s">
        <v>27</v>
      </c>
      <c r="I662" s="24" t="s">
        <v>27</v>
      </c>
      <c r="J662" s="19" t="s">
        <v>1915</v>
      </c>
      <c r="K662" s="14">
        <v>11.0</v>
      </c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>
      <c r="A663" s="14" t="s">
        <v>2567</v>
      </c>
      <c r="B663" s="17" t="s">
        <v>2568</v>
      </c>
      <c r="C663" s="17" t="s">
        <v>2569</v>
      </c>
      <c r="D663" s="19" t="s">
        <v>2570</v>
      </c>
      <c r="E663" s="20" t="s">
        <v>53</v>
      </c>
      <c r="F663" s="21">
        <v>39053.0</v>
      </c>
      <c r="G663" s="14">
        <v>19.0</v>
      </c>
      <c r="H663" s="23" t="s">
        <v>100</v>
      </c>
      <c r="I663" s="24" t="s">
        <v>33</v>
      </c>
      <c r="J663" s="19" t="s">
        <v>146</v>
      </c>
      <c r="K663" s="14">
        <v>10.0</v>
      </c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>
      <c r="A664" s="14" t="s">
        <v>2571</v>
      </c>
      <c r="B664" s="17" t="s">
        <v>2568</v>
      </c>
      <c r="C664" s="17" t="s">
        <v>2572</v>
      </c>
      <c r="D664" s="19" t="s">
        <v>2573</v>
      </c>
      <c r="E664" s="20" t="s">
        <v>104</v>
      </c>
      <c r="F664" s="21">
        <v>35106.0</v>
      </c>
      <c r="G664" s="14">
        <v>30.0</v>
      </c>
      <c r="H664" s="23" t="s">
        <v>100</v>
      </c>
      <c r="I664" s="24" t="s">
        <v>33</v>
      </c>
      <c r="J664" s="19" t="s">
        <v>146</v>
      </c>
      <c r="K664" s="14">
        <v>10.0</v>
      </c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>
      <c r="A665" s="14" t="s">
        <v>2574</v>
      </c>
      <c r="B665" s="17" t="s">
        <v>2568</v>
      </c>
      <c r="C665" s="17" t="s">
        <v>2575</v>
      </c>
      <c r="D665" s="19" t="s">
        <v>2576</v>
      </c>
      <c r="E665" s="20" t="s">
        <v>53</v>
      </c>
      <c r="F665" s="21">
        <v>35953.0</v>
      </c>
      <c r="G665" s="14">
        <v>28.0</v>
      </c>
      <c r="H665" s="23" t="s">
        <v>100</v>
      </c>
      <c r="I665" s="24" t="s">
        <v>33</v>
      </c>
      <c r="J665" s="19" t="s">
        <v>146</v>
      </c>
      <c r="K665" s="14">
        <v>10.0</v>
      </c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>
      <c r="A666" s="14" t="s">
        <v>2577</v>
      </c>
      <c r="B666" s="17" t="s">
        <v>2568</v>
      </c>
      <c r="C666" s="17" t="s">
        <v>2578</v>
      </c>
      <c r="D666" s="19" t="s">
        <v>2579</v>
      </c>
      <c r="E666" s="20" t="s">
        <v>104</v>
      </c>
      <c r="F666" s="21">
        <v>37691.0</v>
      </c>
      <c r="G666" s="14">
        <v>23.0</v>
      </c>
      <c r="H666" s="23" t="s">
        <v>100</v>
      </c>
      <c r="I666" s="24" t="s">
        <v>27</v>
      </c>
      <c r="J666" s="19" t="s">
        <v>146</v>
      </c>
      <c r="K666" s="14">
        <v>10.0</v>
      </c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>
      <c r="A667" s="14" t="s">
        <v>2580</v>
      </c>
      <c r="B667" s="17" t="s">
        <v>2568</v>
      </c>
      <c r="C667" s="17" t="s">
        <v>2581</v>
      </c>
      <c r="D667" s="19" t="s">
        <v>2582</v>
      </c>
      <c r="E667" s="20" t="s">
        <v>2583</v>
      </c>
      <c r="F667" s="21">
        <v>25333.0</v>
      </c>
      <c r="G667" s="14">
        <v>57.0</v>
      </c>
      <c r="H667" s="23" t="s">
        <v>26</v>
      </c>
      <c r="I667" s="24" t="s">
        <v>33</v>
      </c>
      <c r="J667" s="19" t="s">
        <v>146</v>
      </c>
      <c r="K667" s="14">
        <v>10.0</v>
      </c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>
      <c r="A668" s="14" t="s">
        <v>2584</v>
      </c>
      <c r="B668" s="17" t="s">
        <v>2568</v>
      </c>
      <c r="C668" s="17" t="s">
        <v>2585</v>
      </c>
      <c r="D668" s="19" t="s">
        <v>2586</v>
      </c>
      <c r="E668" s="20" t="s">
        <v>53</v>
      </c>
      <c r="F668" s="27">
        <v>28450.0</v>
      </c>
      <c r="G668" s="14">
        <v>48.0</v>
      </c>
      <c r="H668" s="23" t="s">
        <v>26</v>
      </c>
      <c r="I668" s="24" t="s">
        <v>27</v>
      </c>
      <c r="J668" s="19" t="s">
        <v>146</v>
      </c>
      <c r="K668" s="14">
        <v>10.0</v>
      </c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>
      <c r="A669" s="14" t="s">
        <v>2587</v>
      </c>
      <c r="B669" s="17" t="s">
        <v>2588</v>
      </c>
      <c r="C669" s="17" t="s">
        <v>2589</v>
      </c>
      <c r="D669" s="19" t="s">
        <v>2590</v>
      </c>
      <c r="E669" s="20" t="s">
        <v>138</v>
      </c>
      <c r="F669" s="27">
        <v>38714.0</v>
      </c>
      <c r="G669" s="14">
        <v>20.0</v>
      </c>
      <c r="H669" s="23" t="s">
        <v>100</v>
      </c>
      <c r="I669" s="24" t="s">
        <v>27</v>
      </c>
      <c r="J669" s="19" t="s">
        <v>53</v>
      </c>
      <c r="K669" s="14">
        <v>29.0</v>
      </c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>
      <c r="A670" s="14" t="s">
        <v>2591</v>
      </c>
      <c r="B670" s="17" t="s">
        <v>2588</v>
      </c>
      <c r="C670" s="17" t="s">
        <v>2592</v>
      </c>
      <c r="D670" s="19" t="s">
        <v>2593</v>
      </c>
      <c r="E670" s="20" t="s">
        <v>2594</v>
      </c>
      <c r="F670" s="27">
        <v>19642.0</v>
      </c>
      <c r="G670" s="14">
        <v>72.0</v>
      </c>
      <c r="H670" s="23" t="s">
        <v>27</v>
      </c>
      <c r="I670" s="24" t="s">
        <v>27</v>
      </c>
      <c r="J670" s="19" t="s">
        <v>53</v>
      </c>
      <c r="K670" s="14">
        <v>29.0</v>
      </c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>
      <c r="A671" s="14" t="s">
        <v>2595</v>
      </c>
      <c r="B671" s="17" t="s">
        <v>2588</v>
      </c>
      <c r="C671" s="17" t="s">
        <v>2596</v>
      </c>
      <c r="D671" s="19" t="s">
        <v>2597</v>
      </c>
      <c r="E671" s="20" t="s">
        <v>104</v>
      </c>
      <c r="F671" s="21">
        <v>30785.0</v>
      </c>
      <c r="G671" s="14">
        <v>42.0</v>
      </c>
      <c r="H671" s="23" t="s">
        <v>26</v>
      </c>
      <c r="I671" s="24" t="s">
        <v>27</v>
      </c>
      <c r="J671" s="19" t="s">
        <v>53</v>
      </c>
      <c r="K671" s="14">
        <v>29.0</v>
      </c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>
      <c r="A672" s="14" t="s">
        <v>2598</v>
      </c>
      <c r="B672" s="17" t="s">
        <v>2599</v>
      </c>
      <c r="C672" s="17" t="s">
        <v>2600</v>
      </c>
      <c r="D672" s="19" t="s">
        <v>2601</v>
      </c>
      <c r="E672" s="20" t="s">
        <v>53</v>
      </c>
      <c r="F672" s="21">
        <v>33994.0</v>
      </c>
      <c r="G672" s="14">
        <v>33.0</v>
      </c>
      <c r="H672" s="23" t="s">
        <v>100</v>
      </c>
      <c r="I672" s="24" t="s">
        <v>27</v>
      </c>
      <c r="J672" s="19" t="s">
        <v>328</v>
      </c>
      <c r="K672" s="14">
        <v>22.0</v>
      </c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>
      <c r="A673" s="14" t="s">
        <v>2602</v>
      </c>
      <c r="B673" s="17" t="s">
        <v>2603</v>
      </c>
      <c r="C673" s="17" t="s">
        <v>2604</v>
      </c>
      <c r="D673" s="19" t="s">
        <v>2605</v>
      </c>
      <c r="E673" s="20" t="s">
        <v>2606</v>
      </c>
      <c r="F673" s="27">
        <v>36160.0</v>
      </c>
      <c r="G673" s="14">
        <v>27.0</v>
      </c>
      <c r="H673" s="23" t="s">
        <v>26</v>
      </c>
      <c r="I673" s="24" t="s">
        <v>27</v>
      </c>
      <c r="J673" s="19" t="s">
        <v>362</v>
      </c>
      <c r="K673" s="14">
        <v>22.0</v>
      </c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>
      <c r="A674" s="14" t="s">
        <v>2607</v>
      </c>
      <c r="B674" s="17" t="s">
        <v>2603</v>
      </c>
      <c r="C674" s="17" t="s">
        <v>2608</v>
      </c>
      <c r="D674" s="19" t="s">
        <v>2609</v>
      </c>
      <c r="E674" s="20" t="s">
        <v>104</v>
      </c>
      <c r="F674" s="21">
        <v>35089.0</v>
      </c>
      <c r="G674" s="14">
        <v>30.0</v>
      </c>
      <c r="H674" s="23" t="s">
        <v>26</v>
      </c>
      <c r="I674" s="24" t="s">
        <v>33</v>
      </c>
      <c r="J674" s="19" t="s">
        <v>362</v>
      </c>
      <c r="K674" s="14">
        <v>22.0</v>
      </c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>
      <c r="A675" s="14" t="s">
        <v>2610</v>
      </c>
      <c r="B675" s="17" t="s">
        <v>2611</v>
      </c>
      <c r="C675" s="17" t="s">
        <v>2612</v>
      </c>
      <c r="D675" s="19" t="s">
        <v>1899</v>
      </c>
      <c r="E675" s="20" t="s">
        <v>2393</v>
      </c>
      <c r="F675" s="21">
        <v>20952.0</v>
      </c>
      <c r="G675" s="14">
        <v>69.0</v>
      </c>
      <c r="H675" s="23" t="s">
        <v>26</v>
      </c>
      <c r="I675" s="24" t="s">
        <v>33</v>
      </c>
      <c r="J675" s="19" t="s">
        <v>53</v>
      </c>
      <c r="K675" s="14">
        <v>29.0</v>
      </c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>
      <c r="A676" s="14" t="s">
        <v>2613</v>
      </c>
      <c r="B676" s="17" t="s">
        <v>2611</v>
      </c>
      <c r="C676" s="17" t="s">
        <v>2614</v>
      </c>
      <c r="D676" s="19" t="s">
        <v>2615</v>
      </c>
      <c r="E676" s="20" t="s">
        <v>1816</v>
      </c>
      <c r="F676" s="27">
        <v>21851.0</v>
      </c>
      <c r="G676" s="14">
        <v>66.0</v>
      </c>
      <c r="H676" s="23" t="s">
        <v>26</v>
      </c>
      <c r="I676" s="24" t="s">
        <v>27</v>
      </c>
      <c r="J676" s="19" t="s">
        <v>53</v>
      </c>
      <c r="K676" s="14">
        <v>29.0</v>
      </c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>
      <c r="A677" s="14" t="s">
        <v>2616</v>
      </c>
      <c r="B677" s="17" t="s">
        <v>2617</v>
      </c>
      <c r="C677" s="17" t="s">
        <v>2618</v>
      </c>
      <c r="D677" s="19" t="s">
        <v>2619</v>
      </c>
      <c r="E677" s="20" t="s">
        <v>632</v>
      </c>
      <c r="F677" s="21">
        <v>21200.0</v>
      </c>
      <c r="G677" s="14">
        <v>68.0</v>
      </c>
      <c r="H677" s="23" t="s">
        <v>26</v>
      </c>
      <c r="I677" s="24" t="s">
        <v>27</v>
      </c>
      <c r="J677" s="19" t="s">
        <v>2620</v>
      </c>
      <c r="K677" s="14">
        <v>22.0</v>
      </c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>
      <c r="A678" s="14" t="s">
        <v>2621</v>
      </c>
      <c r="B678" s="17" t="s">
        <v>2622</v>
      </c>
      <c r="C678" s="17" t="s">
        <v>2623</v>
      </c>
      <c r="D678" s="19" t="s">
        <v>2624</v>
      </c>
      <c r="E678" s="20" t="s">
        <v>2038</v>
      </c>
      <c r="F678" s="21">
        <v>35634.0</v>
      </c>
      <c r="G678" s="14">
        <v>29.0</v>
      </c>
      <c r="H678" s="23" t="s">
        <v>27</v>
      </c>
      <c r="I678" s="24" t="s">
        <v>27</v>
      </c>
      <c r="J678" s="19" t="s">
        <v>146</v>
      </c>
      <c r="K678" s="14">
        <v>9.0</v>
      </c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>
      <c r="A679" s="14" t="s">
        <v>2625</v>
      </c>
      <c r="B679" s="17" t="s">
        <v>2622</v>
      </c>
      <c r="C679" s="17" t="s">
        <v>2626</v>
      </c>
      <c r="D679" s="19" t="s">
        <v>1127</v>
      </c>
      <c r="E679" s="20" t="s">
        <v>749</v>
      </c>
      <c r="F679" s="27">
        <v>21913.0</v>
      </c>
      <c r="G679" s="14">
        <v>66.0</v>
      </c>
      <c r="H679" s="23" t="s">
        <v>26</v>
      </c>
      <c r="I679" s="24" t="s">
        <v>27</v>
      </c>
      <c r="J679" s="19" t="s">
        <v>146</v>
      </c>
      <c r="K679" s="14">
        <v>9.0</v>
      </c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>
      <c r="A680" s="14" t="s">
        <v>2627</v>
      </c>
      <c r="B680" s="17" t="s">
        <v>2622</v>
      </c>
      <c r="C680" s="17" t="s">
        <v>2628</v>
      </c>
      <c r="D680" s="19" t="s">
        <v>2629</v>
      </c>
      <c r="E680" s="20" t="s">
        <v>1049</v>
      </c>
      <c r="F680" s="21">
        <v>23924.0</v>
      </c>
      <c r="G680" s="14">
        <v>61.0</v>
      </c>
      <c r="H680" s="23" t="s">
        <v>26</v>
      </c>
      <c r="I680" s="24" t="s">
        <v>33</v>
      </c>
      <c r="J680" s="19" t="s">
        <v>146</v>
      </c>
      <c r="K680" s="14">
        <v>9.0</v>
      </c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>
      <c r="A681" s="14" t="s">
        <v>2630</v>
      </c>
      <c r="B681" s="17" t="s">
        <v>2631</v>
      </c>
      <c r="C681" s="17" t="s">
        <v>2632</v>
      </c>
      <c r="D681" s="19" t="s">
        <v>2633</v>
      </c>
      <c r="E681" s="20" t="s">
        <v>303</v>
      </c>
      <c r="F681" s="21">
        <v>20903.0</v>
      </c>
      <c r="G681" s="14">
        <v>69.0</v>
      </c>
      <c r="H681" s="23" t="s">
        <v>26</v>
      </c>
      <c r="I681" s="24" t="s">
        <v>27</v>
      </c>
      <c r="J681" s="19" t="s">
        <v>282</v>
      </c>
      <c r="K681" s="14">
        <v>18.0</v>
      </c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>
      <c r="A682" s="14" t="s">
        <v>2634</v>
      </c>
      <c r="B682" s="17" t="s">
        <v>2631</v>
      </c>
      <c r="C682" s="17" t="s">
        <v>2635</v>
      </c>
      <c r="D682" s="19" t="s">
        <v>2636</v>
      </c>
      <c r="E682" s="20" t="s">
        <v>67</v>
      </c>
      <c r="F682" s="21">
        <v>18629.0</v>
      </c>
      <c r="G682" s="14">
        <v>75.0</v>
      </c>
      <c r="H682" s="23" t="s">
        <v>26</v>
      </c>
      <c r="I682" s="24" t="s">
        <v>33</v>
      </c>
      <c r="J682" s="19" t="s">
        <v>282</v>
      </c>
      <c r="K682" s="14">
        <v>18.0</v>
      </c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>
      <c r="A683" s="14" t="s">
        <v>2637</v>
      </c>
      <c r="B683" s="17" t="s">
        <v>2638</v>
      </c>
      <c r="C683" s="17" t="s">
        <v>2639</v>
      </c>
      <c r="D683" s="19" t="s">
        <v>2640</v>
      </c>
      <c r="E683" s="20" t="s">
        <v>632</v>
      </c>
      <c r="F683" s="21">
        <v>19911.0</v>
      </c>
      <c r="G683" s="14">
        <v>72.0</v>
      </c>
      <c r="H683" s="23" t="s">
        <v>26</v>
      </c>
      <c r="I683" s="24" t="s">
        <v>27</v>
      </c>
      <c r="J683" s="19" t="s">
        <v>104</v>
      </c>
      <c r="K683" s="14">
        <v>23.0</v>
      </c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>
      <c r="A684" s="14" t="s">
        <v>2641</v>
      </c>
      <c r="B684" s="17" t="s">
        <v>2642</v>
      </c>
      <c r="C684" s="17" t="s">
        <v>2643</v>
      </c>
      <c r="D684" s="19" t="s">
        <v>2644</v>
      </c>
      <c r="E684" s="20" t="s">
        <v>104</v>
      </c>
      <c r="F684" s="21">
        <v>34070.0</v>
      </c>
      <c r="G684" s="14">
        <v>33.0</v>
      </c>
      <c r="H684" s="23" t="s">
        <v>26</v>
      </c>
      <c r="I684" s="24" t="s">
        <v>27</v>
      </c>
      <c r="J684" s="19" t="s">
        <v>146</v>
      </c>
      <c r="K684" s="14">
        <v>7.0</v>
      </c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>
      <c r="A685" s="14" t="s">
        <v>2645</v>
      </c>
      <c r="B685" s="17" t="s">
        <v>2642</v>
      </c>
      <c r="C685" s="17" t="s">
        <v>2646</v>
      </c>
      <c r="D685" s="19" t="s">
        <v>2647</v>
      </c>
      <c r="E685" s="20" t="s">
        <v>104</v>
      </c>
      <c r="F685" s="21">
        <v>32555.0</v>
      </c>
      <c r="G685" s="14">
        <v>37.0</v>
      </c>
      <c r="H685" s="23" t="s">
        <v>26</v>
      </c>
      <c r="I685" s="24" t="s">
        <v>33</v>
      </c>
      <c r="J685" s="19" t="s">
        <v>146</v>
      </c>
      <c r="K685" s="14">
        <v>7.0</v>
      </c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>
      <c r="A686" s="14" t="s">
        <v>2648</v>
      </c>
      <c r="B686" s="17" t="s">
        <v>2649</v>
      </c>
      <c r="C686" s="17" t="s">
        <v>2650</v>
      </c>
      <c r="D686" s="19" t="s">
        <v>2651</v>
      </c>
      <c r="E686" s="20" t="s">
        <v>104</v>
      </c>
      <c r="F686" s="21">
        <v>37454.0</v>
      </c>
      <c r="G686" s="14">
        <v>24.0</v>
      </c>
      <c r="H686" s="23" t="s">
        <v>100</v>
      </c>
      <c r="I686" s="24" t="s">
        <v>33</v>
      </c>
      <c r="J686" s="19" t="s">
        <v>282</v>
      </c>
      <c r="K686" s="14">
        <v>11.0</v>
      </c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>
      <c r="A687" s="14" t="s">
        <v>2652</v>
      </c>
      <c r="B687" s="17" t="s">
        <v>2649</v>
      </c>
      <c r="C687" s="17" t="s">
        <v>2653</v>
      </c>
      <c r="D687" s="19" t="s">
        <v>2654</v>
      </c>
      <c r="E687" s="20" t="s">
        <v>53</v>
      </c>
      <c r="F687" s="21">
        <v>29993.0</v>
      </c>
      <c r="G687" s="14">
        <v>44.0</v>
      </c>
      <c r="H687" s="23" t="s">
        <v>26</v>
      </c>
      <c r="I687" s="24" t="s">
        <v>27</v>
      </c>
      <c r="J687" s="19" t="s">
        <v>282</v>
      </c>
      <c r="K687" s="14">
        <v>11.0</v>
      </c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>
      <c r="A688" s="14" t="s">
        <v>2655</v>
      </c>
      <c r="B688" s="17" t="s">
        <v>2649</v>
      </c>
      <c r="C688" s="17" t="s">
        <v>2656</v>
      </c>
      <c r="D688" s="19" t="s">
        <v>2657</v>
      </c>
      <c r="E688" s="20" t="s">
        <v>702</v>
      </c>
      <c r="F688" s="21">
        <v>27861.0</v>
      </c>
      <c r="G688" s="14">
        <v>50.0</v>
      </c>
      <c r="H688" s="23" t="s">
        <v>26</v>
      </c>
      <c r="I688" s="24" t="s">
        <v>33</v>
      </c>
      <c r="J688" s="19" t="s">
        <v>257</v>
      </c>
      <c r="K688" s="14">
        <v>10.0</v>
      </c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>
      <c r="A689" s="14" t="s">
        <v>2658</v>
      </c>
      <c r="B689" s="17" t="s">
        <v>2659</v>
      </c>
      <c r="C689" s="17" t="s">
        <v>2660</v>
      </c>
      <c r="D689" s="19" t="s">
        <v>2661</v>
      </c>
      <c r="E689" s="20" t="s">
        <v>2113</v>
      </c>
      <c r="F689" s="21">
        <v>28349.0</v>
      </c>
      <c r="G689" s="14">
        <v>49.0</v>
      </c>
      <c r="H689" s="23" t="s">
        <v>26</v>
      </c>
      <c r="I689" s="24" t="s">
        <v>27</v>
      </c>
      <c r="J689" s="19" t="s">
        <v>282</v>
      </c>
      <c r="K689" s="14">
        <v>16.0</v>
      </c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>
      <c r="A690" s="14" t="s">
        <v>2662</v>
      </c>
      <c r="B690" s="17" t="s">
        <v>2659</v>
      </c>
      <c r="C690" s="17" t="s">
        <v>2663</v>
      </c>
      <c r="D690" s="19" t="s">
        <v>2664</v>
      </c>
      <c r="E690" s="20" t="s">
        <v>53</v>
      </c>
      <c r="F690" s="21">
        <v>38108.0</v>
      </c>
      <c r="G690" s="14">
        <v>22.0</v>
      </c>
      <c r="H690" s="23" t="s">
        <v>100</v>
      </c>
      <c r="I690" s="24" t="s">
        <v>33</v>
      </c>
      <c r="J690" s="19" t="s">
        <v>282</v>
      </c>
      <c r="K690" s="14">
        <v>16.0</v>
      </c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>
      <c r="A691" s="14" t="s">
        <v>2665</v>
      </c>
      <c r="B691" s="17" t="s">
        <v>2659</v>
      </c>
      <c r="C691" s="17" t="s">
        <v>2666</v>
      </c>
      <c r="D691" s="19" t="s">
        <v>2667</v>
      </c>
      <c r="E691" s="20" t="s">
        <v>544</v>
      </c>
      <c r="F691" s="21">
        <v>25763.0</v>
      </c>
      <c r="G691" s="14">
        <v>56.0</v>
      </c>
      <c r="H691" s="23" t="s">
        <v>26</v>
      </c>
      <c r="I691" s="24" t="s">
        <v>33</v>
      </c>
      <c r="J691" s="19" t="s">
        <v>282</v>
      </c>
      <c r="K691" s="14">
        <v>16.0</v>
      </c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>
      <c r="A692" s="14" t="s">
        <v>2668</v>
      </c>
      <c r="B692" s="17" t="s">
        <v>2669</v>
      </c>
      <c r="C692" s="17" t="s">
        <v>2670</v>
      </c>
      <c r="D692" s="19" t="s">
        <v>2671</v>
      </c>
      <c r="E692" s="20" t="s">
        <v>2672</v>
      </c>
      <c r="F692" s="21">
        <v>33752.0</v>
      </c>
      <c r="G692" s="14">
        <v>34.0</v>
      </c>
      <c r="H692" s="23" t="s">
        <v>26</v>
      </c>
      <c r="I692" s="24" t="s">
        <v>33</v>
      </c>
      <c r="J692" s="19" t="s">
        <v>257</v>
      </c>
      <c r="K692" s="14">
        <v>17.0</v>
      </c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>
      <c r="A693" s="14" t="s">
        <v>2673</v>
      </c>
      <c r="B693" s="17" t="s">
        <v>2669</v>
      </c>
      <c r="C693" s="17" t="s">
        <v>2674</v>
      </c>
      <c r="D693" s="19" t="s">
        <v>2675</v>
      </c>
      <c r="E693" s="20" t="s">
        <v>104</v>
      </c>
      <c r="F693" s="21">
        <v>35872.0</v>
      </c>
      <c r="G693" s="14">
        <v>28.0</v>
      </c>
      <c r="H693" s="23" t="s">
        <v>26</v>
      </c>
      <c r="I693" s="24" t="s">
        <v>27</v>
      </c>
      <c r="J693" s="19" t="s">
        <v>257</v>
      </c>
      <c r="K693" s="14">
        <v>17.0</v>
      </c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>
      <c r="A694" s="14" t="s">
        <v>2676</v>
      </c>
      <c r="B694" s="17" t="s">
        <v>2677</v>
      </c>
      <c r="C694" s="17" t="s">
        <v>2678</v>
      </c>
      <c r="D694" s="19" t="s">
        <v>2679</v>
      </c>
      <c r="E694" s="20" t="s">
        <v>2680</v>
      </c>
      <c r="F694" s="21">
        <v>33755.0</v>
      </c>
      <c r="G694" s="14">
        <v>34.0</v>
      </c>
      <c r="H694" s="23" t="s">
        <v>27</v>
      </c>
      <c r="I694" s="24" t="s">
        <v>27</v>
      </c>
      <c r="J694" s="19" t="s">
        <v>68</v>
      </c>
      <c r="K694" s="14">
        <v>29.0</v>
      </c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>
      <c r="A695" s="14" t="s">
        <v>2681</v>
      </c>
      <c r="B695" s="17" t="s">
        <v>2682</v>
      </c>
      <c r="C695" s="17" t="s">
        <v>2683</v>
      </c>
      <c r="D695" s="19" t="s">
        <v>2684</v>
      </c>
      <c r="E695" s="20" t="s">
        <v>2672</v>
      </c>
      <c r="F695" s="21">
        <v>23778.0</v>
      </c>
      <c r="G695" s="14">
        <v>61.0</v>
      </c>
      <c r="H695" s="23" t="s">
        <v>27</v>
      </c>
      <c r="I695" s="24" t="s">
        <v>27</v>
      </c>
      <c r="J695" s="19" t="s">
        <v>2038</v>
      </c>
      <c r="K695" s="14">
        <v>2.0</v>
      </c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>
      <c r="A696" s="14" t="s">
        <v>2685</v>
      </c>
      <c r="B696" s="17" t="s">
        <v>2686</v>
      </c>
      <c r="C696" s="17" t="s">
        <v>2687</v>
      </c>
      <c r="D696" s="19" t="s">
        <v>2688</v>
      </c>
      <c r="E696" s="20" t="s">
        <v>2689</v>
      </c>
      <c r="F696" s="21">
        <v>22885.0</v>
      </c>
      <c r="G696" s="14">
        <v>64.0</v>
      </c>
      <c r="H696" s="23" t="s">
        <v>26</v>
      </c>
      <c r="I696" s="24" t="s">
        <v>33</v>
      </c>
      <c r="J696" s="19" t="s">
        <v>68</v>
      </c>
      <c r="K696" s="14">
        <v>29.0</v>
      </c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>
      <c r="A697" s="14" t="s">
        <v>2690</v>
      </c>
      <c r="B697" s="17" t="s">
        <v>2686</v>
      </c>
      <c r="C697" s="17" t="s">
        <v>2691</v>
      </c>
      <c r="D697" s="19" t="s">
        <v>2692</v>
      </c>
      <c r="E697" s="20" t="s">
        <v>429</v>
      </c>
      <c r="F697" s="21">
        <v>26788.0</v>
      </c>
      <c r="G697" s="14">
        <v>53.0</v>
      </c>
      <c r="H697" s="23" t="s">
        <v>26</v>
      </c>
      <c r="I697" s="24" t="s">
        <v>27</v>
      </c>
      <c r="J697" s="19" t="s">
        <v>68</v>
      </c>
      <c r="K697" s="14">
        <v>29.0</v>
      </c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>
      <c r="A698" s="14" t="s">
        <v>2693</v>
      </c>
      <c r="B698" s="17" t="s">
        <v>2694</v>
      </c>
      <c r="C698" s="17" t="s">
        <v>2695</v>
      </c>
      <c r="D698" s="19" t="s">
        <v>2696</v>
      </c>
      <c r="E698" s="20" t="s">
        <v>104</v>
      </c>
      <c r="F698" s="21">
        <v>33332.0</v>
      </c>
      <c r="G698" s="14">
        <v>35.0</v>
      </c>
      <c r="H698" s="23" t="s">
        <v>26</v>
      </c>
      <c r="I698" s="24" t="s">
        <v>27</v>
      </c>
      <c r="J698" s="19" t="s">
        <v>39</v>
      </c>
      <c r="K698" s="14">
        <v>15.0</v>
      </c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>
      <c r="A699" s="14" t="s">
        <v>2697</v>
      </c>
      <c r="B699" s="17" t="s">
        <v>2694</v>
      </c>
      <c r="C699" s="17" t="s">
        <v>2698</v>
      </c>
      <c r="D699" s="19" t="s">
        <v>2699</v>
      </c>
      <c r="E699" s="20" t="s">
        <v>2700</v>
      </c>
      <c r="F699" s="27">
        <v>30270.0</v>
      </c>
      <c r="G699" s="14">
        <v>43.0</v>
      </c>
      <c r="H699" s="23" t="s">
        <v>26</v>
      </c>
      <c r="I699" s="24" t="s">
        <v>33</v>
      </c>
      <c r="J699" s="19" t="s">
        <v>39</v>
      </c>
      <c r="K699" s="14">
        <v>15.0</v>
      </c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>
      <c r="A700" s="14" t="s">
        <v>2701</v>
      </c>
      <c r="B700" s="17" t="s">
        <v>2702</v>
      </c>
      <c r="C700" s="17" t="s">
        <v>2703</v>
      </c>
      <c r="D700" s="19" t="s">
        <v>2704</v>
      </c>
      <c r="E700" s="20" t="s">
        <v>104</v>
      </c>
      <c r="F700" s="21">
        <v>31644.0</v>
      </c>
      <c r="G700" s="14">
        <v>40.0</v>
      </c>
      <c r="H700" s="23" t="s">
        <v>26</v>
      </c>
      <c r="I700" s="24" t="s">
        <v>27</v>
      </c>
      <c r="J700" s="19" t="s">
        <v>726</v>
      </c>
      <c r="K700" s="14">
        <v>11.0</v>
      </c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>
      <c r="A701" s="14" t="s">
        <v>2705</v>
      </c>
      <c r="B701" s="17" t="s">
        <v>2702</v>
      </c>
      <c r="C701" s="17" t="s">
        <v>2742</v>
      </c>
      <c r="D701" s="19" t="s">
        <v>2707</v>
      </c>
      <c r="E701" s="20" t="s">
        <v>337</v>
      </c>
      <c r="F701" s="21">
        <v>38722.0</v>
      </c>
      <c r="G701" s="14">
        <v>20.0</v>
      </c>
      <c r="H701" s="23" t="s">
        <v>100</v>
      </c>
      <c r="I701" s="24" t="s">
        <v>27</v>
      </c>
      <c r="J701" s="19" t="s">
        <v>726</v>
      </c>
      <c r="K701" s="14">
        <v>11.0</v>
      </c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>
      <c r="A702" s="14" t="s">
        <v>2708</v>
      </c>
      <c r="B702" s="17" t="s">
        <v>2702</v>
      </c>
      <c r="C702" s="17" t="s">
        <v>2747</v>
      </c>
      <c r="D702" s="19" t="s">
        <v>2710</v>
      </c>
      <c r="E702" s="20" t="s">
        <v>104</v>
      </c>
      <c r="F702" s="21">
        <v>30930.0</v>
      </c>
      <c r="G702" s="14">
        <v>41.0</v>
      </c>
      <c r="H702" s="23" t="s">
        <v>26</v>
      </c>
      <c r="I702" s="24" t="s">
        <v>33</v>
      </c>
      <c r="J702" s="19" t="s">
        <v>726</v>
      </c>
      <c r="K702" s="14">
        <v>11.0</v>
      </c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>
      <c r="A703" s="14" t="s">
        <v>2711</v>
      </c>
      <c r="B703" s="17" t="s">
        <v>2712</v>
      </c>
      <c r="C703" s="17" t="s">
        <v>2713</v>
      </c>
      <c r="D703" s="19" t="s">
        <v>2714</v>
      </c>
      <c r="E703" s="20" t="s">
        <v>104</v>
      </c>
      <c r="F703" s="21">
        <v>37165.0</v>
      </c>
      <c r="G703" s="14">
        <v>24.0</v>
      </c>
      <c r="H703" s="23" t="s">
        <v>100</v>
      </c>
      <c r="I703" s="24" t="s">
        <v>33</v>
      </c>
      <c r="J703" s="19" t="s">
        <v>53</v>
      </c>
      <c r="K703" s="14">
        <v>15.0</v>
      </c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>
      <c r="A704" s="14" t="s">
        <v>2715</v>
      </c>
      <c r="B704" s="17" t="s">
        <v>2712</v>
      </c>
      <c r="C704" s="17" t="s">
        <v>2716</v>
      </c>
      <c r="D704" s="19" t="s">
        <v>2717</v>
      </c>
      <c r="E704" s="20" t="s">
        <v>2718</v>
      </c>
      <c r="F704" s="21">
        <v>28345.0</v>
      </c>
      <c r="G704" s="14">
        <v>49.0</v>
      </c>
      <c r="H704" s="23" t="s">
        <v>26</v>
      </c>
      <c r="I704" s="24" t="s">
        <v>33</v>
      </c>
      <c r="J704" s="19" t="s">
        <v>53</v>
      </c>
      <c r="K704" s="14">
        <v>15.0</v>
      </c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>
      <c r="A705" s="14" t="s">
        <v>2719</v>
      </c>
      <c r="B705" s="17" t="s">
        <v>2712</v>
      </c>
      <c r="C705" s="17" t="s">
        <v>2720</v>
      </c>
      <c r="D705" s="19" t="s">
        <v>2721</v>
      </c>
      <c r="E705" s="20" t="s">
        <v>104</v>
      </c>
      <c r="F705" s="27">
        <v>30295.0</v>
      </c>
      <c r="G705" s="14">
        <v>43.0</v>
      </c>
      <c r="H705" s="23" t="s">
        <v>26</v>
      </c>
      <c r="I705" s="24" t="s">
        <v>27</v>
      </c>
      <c r="J705" s="19" t="s">
        <v>53</v>
      </c>
      <c r="K705" s="14">
        <v>15.0</v>
      </c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>
      <c r="A706" s="14" t="s">
        <v>2722</v>
      </c>
      <c r="B706" s="17" t="s">
        <v>2723</v>
      </c>
      <c r="C706" s="17" t="s">
        <v>2724</v>
      </c>
      <c r="D706" s="19" t="s">
        <v>2725</v>
      </c>
      <c r="E706" s="20" t="s">
        <v>1370</v>
      </c>
      <c r="F706" s="21">
        <v>20255.0</v>
      </c>
      <c r="G706" s="14">
        <v>71.0</v>
      </c>
      <c r="H706" s="23" t="s">
        <v>27</v>
      </c>
      <c r="I706" s="24" t="s">
        <v>27</v>
      </c>
      <c r="J706" s="19" t="s">
        <v>726</v>
      </c>
      <c r="K706" s="14">
        <v>11.0</v>
      </c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>
      <c r="A707" s="14" t="s">
        <v>2726</v>
      </c>
      <c r="B707" s="17" t="s">
        <v>2727</v>
      </c>
      <c r="C707" s="17" t="s">
        <v>2728</v>
      </c>
      <c r="D707" s="19" t="s">
        <v>2729</v>
      </c>
      <c r="E707" s="20" t="s">
        <v>2730</v>
      </c>
      <c r="F707" s="21">
        <v>32816.0</v>
      </c>
      <c r="G707" s="14">
        <v>36.0</v>
      </c>
      <c r="H707" s="23" t="s">
        <v>26</v>
      </c>
      <c r="I707" s="24" t="s">
        <v>33</v>
      </c>
      <c r="J707" s="19" t="s">
        <v>53</v>
      </c>
      <c r="K707" s="14">
        <v>3.0</v>
      </c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>
      <c r="A708" s="14" t="s">
        <v>2731</v>
      </c>
      <c r="B708" s="17" t="s">
        <v>2727</v>
      </c>
      <c r="C708" s="17" t="s">
        <v>2732</v>
      </c>
      <c r="D708" s="19" t="s">
        <v>2733</v>
      </c>
      <c r="E708" s="20" t="s">
        <v>2734</v>
      </c>
      <c r="F708" s="21">
        <v>33138.0</v>
      </c>
      <c r="G708" s="14">
        <v>35.0</v>
      </c>
      <c r="H708" s="23" t="s">
        <v>26</v>
      </c>
      <c r="I708" s="24" t="s">
        <v>27</v>
      </c>
      <c r="J708" s="19" t="s">
        <v>53</v>
      </c>
      <c r="K708" s="14">
        <v>3.0</v>
      </c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>
      <c r="A709" s="14" t="s">
        <v>2735</v>
      </c>
      <c r="B709" s="17" t="s">
        <v>2736</v>
      </c>
      <c r="C709" s="17" t="s">
        <v>2737</v>
      </c>
      <c r="D709" s="19" t="s">
        <v>2738</v>
      </c>
      <c r="E709" s="20" t="s">
        <v>53</v>
      </c>
      <c r="F709" s="21">
        <v>34973.0</v>
      </c>
      <c r="G709" s="14">
        <v>30.0</v>
      </c>
      <c r="H709" s="23" t="s">
        <v>26</v>
      </c>
      <c r="I709" s="24" t="s">
        <v>27</v>
      </c>
      <c r="J709" s="19" t="s">
        <v>68</v>
      </c>
      <c r="K709" s="14">
        <v>28.0</v>
      </c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>
      <c r="A710" s="14" t="s">
        <v>2739</v>
      </c>
      <c r="B710" s="17" t="s">
        <v>2736</v>
      </c>
      <c r="C710" s="17" t="s">
        <v>2740</v>
      </c>
      <c r="D710" s="19" t="s">
        <v>2741</v>
      </c>
      <c r="E710" s="20" t="s">
        <v>632</v>
      </c>
      <c r="F710" s="21">
        <v>31690.0</v>
      </c>
      <c r="G710" s="14">
        <v>39.0</v>
      </c>
      <c r="H710" s="23" t="s">
        <v>26</v>
      </c>
      <c r="I710" s="24" t="s">
        <v>33</v>
      </c>
      <c r="J710" s="19" t="s">
        <v>68</v>
      </c>
      <c r="K710" s="14">
        <v>28.0</v>
      </c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>
      <c r="A711" s="14" t="s">
        <v>2743</v>
      </c>
      <c r="B711" s="17" t="s">
        <v>2744</v>
      </c>
      <c r="C711" s="17" t="s">
        <v>2745</v>
      </c>
      <c r="D711" s="19" t="s">
        <v>2746</v>
      </c>
      <c r="E711" s="20" t="s">
        <v>274</v>
      </c>
      <c r="F711" s="21">
        <v>32330.0</v>
      </c>
      <c r="G711" s="14">
        <v>38.0</v>
      </c>
      <c r="H711" s="23" t="s">
        <v>26</v>
      </c>
      <c r="I711" s="24" t="s">
        <v>33</v>
      </c>
      <c r="J711" s="19" t="s">
        <v>362</v>
      </c>
      <c r="K711" s="14">
        <v>22.0</v>
      </c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>
      <c r="A712" s="14" t="s">
        <v>2748</v>
      </c>
      <c r="B712" s="17" t="s">
        <v>2744</v>
      </c>
      <c r="C712" s="17" t="s">
        <v>2749</v>
      </c>
      <c r="D712" s="19" t="s">
        <v>2750</v>
      </c>
      <c r="E712" s="20" t="s">
        <v>104</v>
      </c>
      <c r="F712" s="21">
        <v>34192.0</v>
      </c>
      <c r="G712" s="14">
        <v>33.0</v>
      </c>
      <c r="H712" s="23" t="s">
        <v>26</v>
      </c>
      <c r="I712" s="24" t="s">
        <v>27</v>
      </c>
      <c r="J712" s="19" t="s">
        <v>362</v>
      </c>
      <c r="K712" s="14">
        <v>22.0</v>
      </c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>
      <c r="A713" s="14" t="s">
        <v>2751</v>
      </c>
      <c r="B713" s="17" t="s">
        <v>2752</v>
      </c>
      <c r="C713" s="17" t="s">
        <v>2753</v>
      </c>
      <c r="D713" s="19" t="s">
        <v>2754</v>
      </c>
      <c r="E713" s="20" t="s">
        <v>104</v>
      </c>
      <c r="F713" s="21">
        <v>30716.0</v>
      </c>
      <c r="G713" s="14">
        <v>42.0</v>
      </c>
      <c r="H713" s="23" t="s">
        <v>26</v>
      </c>
      <c r="I713" s="24" t="s">
        <v>33</v>
      </c>
      <c r="J713" s="19" t="s">
        <v>362</v>
      </c>
      <c r="K713" s="14">
        <v>27.0</v>
      </c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>
      <c r="A714" s="14" t="s">
        <v>2755</v>
      </c>
      <c r="B714" s="17" t="s">
        <v>2752</v>
      </c>
      <c r="C714" s="17" t="s">
        <v>2756</v>
      </c>
      <c r="D714" s="19" t="s">
        <v>2757</v>
      </c>
      <c r="E714" s="20" t="s">
        <v>104</v>
      </c>
      <c r="F714" s="21">
        <v>29266.0</v>
      </c>
      <c r="G714" s="14">
        <v>46.0</v>
      </c>
      <c r="H714" s="23" t="s">
        <v>26</v>
      </c>
      <c r="I714" s="24" t="s">
        <v>27</v>
      </c>
      <c r="J714" s="19" t="s">
        <v>362</v>
      </c>
      <c r="K714" s="14">
        <v>27.0</v>
      </c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>
      <c r="A715" s="14" t="s">
        <v>2758</v>
      </c>
      <c r="B715" s="17" t="s">
        <v>2759</v>
      </c>
      <c r="C715" s="17" t="s">
        <v>2760</v>
      </c>
      <c r="D715" s="19" t="s">
        <v>2761</v>
      </c>
      <c r="E715" s="20" t="s">
        <v>337</v>
      </c>
      <c r="F715" s="21">
        <v>37459.0</v>
      </c>
      <c r="G715" s="14">
        <v>24.0</v>
      </c>
      <c r="H715" s="23" t="s">
        <v>26</v>
      </c>
      <c r="I715" s="24" t="s">
        <v>27</v>
      </c>
      <c r="J715" s="19" t="s">
        <v>2762</v>
      </c>
      <c r="K715" s="14">
        <v>11.0</v>
      </c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>
      <c r="A716" s="14" t="s">
        <v>2763</v>
      </c>
      <c r="B716" s="17" t="s">
        <v>2759</v>
      </c>
      <c r="C716" s="17" t="s">
        <v>2764</v>
      </c>
      <c r="D716" s="19" t="s">
        <v>2765</v>
      </c>
      <c r="E716" s="20" t="s">
        <v>104</v>
      </c>
      <c r="F716" s="21">
        <v>37061.0</v>
      </c>
      <c r="G716" s="14">
        <v>25.0</v>
      </c>
      <c r="H716" s="23" t="s">
        <v>26</v>
      </c>
      <c r="I716" s="24" t="s">
        <v>33</v>
      </c>
      <c r="J716" s="19" t="s">
        <v>2762</v>
      </c>
      <c r="K716" s="14">
        <v>11.0</v>
      </c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>
      <c r="A717" s="14" t="s">
        <v>2766</v>
      </c>
      <c r="B717" s="17" t="s">
        <v>2767</v>
      </c>
      <c r="C717" s="17" t="s">
        <v>2768</v>
      </c>
      <c r="D717" s="19" t="s">
        <v>2769</v>
      </c>
      <c r="E717" s="20" t="s">
        <v>274</v>
      </c>
      <c r="F717" s="21">
        <v>34402.0</v>
      </c>
      <c r="G717" s="14">
        <v>32.0</v>
      </c>
      <c r="H717" s="23" t="s">
        <v>26</v>
      </c>
      <c r="I717" s="24" t="s">
        <v>33</v>
      </c>
      <c r="J717" s="19" t="s">
        <v>282</v>
      </c>
      <c r="K717" s="14">
        <v>16.0</v>
      </c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>
      <c r="A718" s="14" t="s">
        <v>2770</v>
      </c>
      <c r="B718" s="17" t="s">
        <v>2767</v>
      </c>
      <c r="C718" s="17" t="s">
        <v>2771</v>
      </c>
      <c r="D718" s="19" t="s">
        <v>2772</v>
      </c>
      <c r="E718" s="20" t="s">
        <v>2773</v>
      </c>
      <c r="F718" s="21">
        <v>34907.0</v>
      </c>
      <c r="G718" s="14">
        <v>31.0</v>
      </c>
      <c r="H718" s="23" t="s">
        <v>26</v>
      </c>
      <c r="I718" s="24" t="s">
        <v>27</v>
      </c>
      <c r="J718" s="19" t="s">
        <v>282</v>
      </c>
      <c r="K718" s="14">
        <v>16.0</v>
      </c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>
      <c r="A719" s="14" t="s">
        <v>2774</v>
      </c>
      <c r="B719" s="17" t="s">
        <v>2775</v>
      </c>
      <c r="C719" s="17" t="s">
        <v>2776</v>
      </c>
      <c r="D719" s="19" t="s">
        <v>2777</v>
      </c>
      <c r="E719" s="20" t="s">
        <v>2778</v>
      </c>
      <c r="F719" s="27">
        <v>39075.0</v>
      </c>
      <c r="G719" s="14">
        <v>19.0</v>
      </c>
      <c r="H719" s="23" t="s">
        <v>100</v>
      </c>
      <c r="I719" s="24" t="s">
        <v>27</v>
      </c>
      <c r="J719" s="19" t="s">
        <v>68</v>
      </c>
      <c r="K719" s="14">
        <v>32.0</v>
      </c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>
      <c r="A720" s="14" t="s">
        <v>2779</v>
      </c>
      <c r="B720" s="17" t="s">
        <v>2775</v>
      </c>
      <c r="C720" s="17" t="s">
        <v>2780</v>
      </c>
      <c r="D720" s="19" t="s">
        <v>2781</v>
      </c>
      <c r="E720" s="20" t="s">
        <v>104</v>
      </c>
      <c r="F720" s="21">
        <v>30900.0</v>
      </c>
      <c r="G720" s="14">
        <v>42.0</v>
      </c>
      <c r="H720" s="23" t="s">
        <v>26</v>
      </c>
      <c r="I720" s="24" t="s">
        <v>33</v>
      </c>
      <c r="J720" s="19" t="s">
        <v>68</v>
      </c>
      <c r="K720" s="14">
        <v>32.0</v>
      </c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>
      <c r="A721" s="14" t="s">
        <v>2782</v>
      </c>
      <c r="B721" s="17" t="s">
        <v>2775</v>
      </c>
      <c r="C721" s="17" t="s">
        <v>2783</v>
      </c>
      <c r="D721" s="19" t="s">
        <v>2784</v>
      </c>
      <c r="E721" s="20" t="s">
        <v>2778</v>
      </c>
      <c r="F721" s="21">
        <v>31138.0</v>
      </c>
      <c r="G721" s="14">
        <v>41.0</v>
      </c>
      <c r="H721" s="23" t="s">
        <v>26</v>
      </c>
      <c r="I721" s="24" t="s">
        <v>27</v>
      </c>
      <c r="J721" s="19" t="s">
        <v>68</v>
      </c>
      <c r="K721" s="14">
        <v>32.0</v>
      </c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>
      <c r="A722" s="14" t="s">
        <v>2785</v>
      </c>
      <c r="B722" s="17" t="s">
        <v>2786</v>
      </c>
      <c r="C722" s="17" t="s">
        <v>2787</v>
      </c>
      <c r="D722" s="19" t="s">
        <v>2788</v>
      </c>
      <c r="E722" s="20" t="s">
        <v>337</v>
      </c>
      <c r="F722" s="27">
        <v>37973.0</v>
      </c>
      <c r="G722" s="14">
        <v>22.0</v>
      </c>
      <c r="H722" s="23" t="s">
        <v>100</v>
      </c>
      <c r="I722" s="24" t="s">
        <v>27</v>
      </c>
      <c r="J722" s="19" t="s">
        <v>53</v>
      </c>
      <c r="K722" s="14">
        <v>28.0</v>
      </c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>
      <c r="A723" s="14" t="s">
        <v>2789</v>
      </c>
      <c r="B723" s="17" t="s">
        <v>2786</v>
      </c>
      <c r="C723" s="17" t="s">
        <v>2790</v>
      </c>
      <c r="D723" s="19" t="s">
        <v>2791</v>
      </c>
      <c r="E723" s="20" t="s">
        <v>337</v>
      </c>
      <c r="F723" s="27">
        <v>36483.0</v>
      </c>
      <c r="G723" s="14">
        <v>26.0</v>
      </c>
      <c r="H723" s="23" t="s">
        <v>100</v>
      </c>
      <c r="I723" s="24" t="s">
        <v>33</v>
      </c>
      <c r="J723" s="19" t="s">
        <v>53</v>
      </c>
      <c r="K723" s="14">
        <v>28.0</v>
      </c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>
      <c r="A724" s="14" t="s">
        <v>2792</v>
      </c>
      <c r="B724" s="17" t="s">
        <v>2786</v>
      </c>
      <c r="C724" s="17" t="s">
        <v>2793</v>
      </c>
      <c r="D724" s="19" t="s">
        <v>2794</v>
      </c>
      <c r="E724" s="20" t="s">
        <v>2795</v>
      </c>
      <c r="F724" s="21">
        <v>27299.0</v>
      </c>
      <c r="G724" s="14">
        <v>51.0</v>
      </c>
      <c r="H724" s="23" t="s">
        <v>26</v>
      </c>
      <c r="I724" s="24" t="s">
        <v>33</v>
      </c>
      <c r="J724" s="19" t="s">
        <v>53</v>
      </c>
      <c r="K724" s="14">
        <v>28.0</v>
      </c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>
      <c r="A725" s="14" t="s">
        <v>2796</v>
      </c>
      <c r="B725" s="17" t="s">
        <v>2786</v>
      </c>
      <c r="C725" s="17" t="s">
        <v>2797</v>
      </c>
      <c r="D725" s="19" t="s">
        <v>2798</v>
      </c>
      <c r="E725" s="20" t="s">
        <v>104</v>
      </c>
      <c r="F725" s="21">
        <v>27518.0</v>
      </c>
      <c r="G725" s="14">
        <v>51.0</v>
      </c>
      <c r="H725" s="23" t="s">
        <v>26</v>
      </c>
      <c r="I725" s="24" t="s">
        <v>27</v>
      </c>
      <c r="J725" s="19" t="s">
        <v>53</v>
      </c>
      <c r="K725" s="14">
        <v>28.0</v>
      </c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>
      <c r="A726" s="14" t="s">
        <v>2799</v>
      </c>
      <c r="B726" s="17" t="s">
        <v>2800</v>
      </c>
      <c r="C726" s="17" t="s">
        <v>2801</v>
      </c>
      <c r="D726" s="19" t="s">
        <v>2802</v>
      </c>
      <c r="E726" s="20" t="s">
        <v>632</v>
      </c>
      <c r="F726" s="21">
        <v>24014.0</v>
      </c>
      <c r="G726" s="14">
        <v>60.0</v>
      </c>
      <c r="H726" s="23" t="s">
        <v>26</v>
      </c>
      <c r="I726" s="24" t="s">
        <v>27</v>
      </c>
      <c r="J726" s="19" t="s">
        <v>328</v>
      </c>
      <c r="K726" s="14">
        <v>20.0</v>
      </c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>
      <c r="A727" s="14" t="s">
        <v>2803</v>
      </c>
      <c r="B727" s="17" t="s">
        <v>2800</v>
      </c>
      <c r="C727" s="17" t="s">
        <v>2804</v>
      </c>
      <c r="D727" s="19" t="s">
        <v>2805</v>
      </c>
      <c r="E727" s="20" t="s">
        <v>632</v>
      </c>
      <c r="F727" s="21">
        <v>22020.0</v>
      </c>
      <c r="G727" s="14">
        <v>66.0</v>
      </c>
      <c r="H727" s="23" t="s">
        <v>26</v>
      </c>
      <c r="I727" s="24" t="s">
        <v>33</v>
      </c>
      <c r="J727" s="19" t="s">
        <v>328</v>
      </c>
      <c r="K727" s="14">
        <v>20.0</v>
      </c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>
      <c r="A728" s="14" t="s">
        <v>2806</v>
      </c>
      <c r="B728" s="17" t="s">
        <v>2807</v>
      </c>
      <c r="C728" s="17" t="s">
        <v>2808</v>
      </c>
      <c r="D728" s="19" t="s">
        <v>2809</v>
      </c>
      <c r="E728" s="20" t="s">
        <v>666</v>
      </c>
      <c r="F728" s="21">
        <v>26842.0</v>
      </c>
      <c r="G728" s="14">
        <v>53.0</v>
      </c>
      <c r="H728" s="23" t="s">
        <v>26</v>
      </c>
      <c r="I728" s="24" t="s">
        <v>33</v>
      </c>
      <c r="J728" s="19" t="s">
        <v>58</v>
      </c>
      <c r="K728" s="14">
        <v>8.0</v>
      </c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>
      <c r="A729" s="14" t="s">
        <v>2810</v>
      </c>
      <c r="B729" s="17" t="s">
        <v>2807</v>
      </c>
      <c r="C729" s="17" t="s">
        <v>2811</v>
      </c>
      <c r="D729" s="19" t="s">
        <v>2812</v>
      </c>
      <c r="E729" s="20" t="s">
        <v>138</v>
      </c>
      <c r="F729" s="21">
        <v>29741.0</v>
      </c>
      <c r="G729" s="14">
        <v>45.0</v>
      </c>
      <c r="H729" s="23" t="s">
        <v>26</v>
      </c>
      <c r="I729" s="24" t="s">
        <v>27</v>
      </c>
      <c r="J729" s="19" t="s">
        <v>58</v>
      </c>
      <c r="K729" s="14">
        <v>8.0</v>
      </c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>
      <c r="A730" s="14" t="s">
        <v>2813</v>
      </c>
      <c r="B730" s="17" t="s">
        <v>2807</v>
      </c>
      <c r="C730" s="17" t="s">
        <v>2814</v>
      </c>
      <c r="D730" s="19" t="s">
        <v>2815</v>
      </c>
      <c r="E730" s="20" t="s">
        <v>53</v>
      </c>
      <c r="F730" s="21">
        <v>37666.0</v>
      </c>
      <c r="G730" s="14">
        <v>23.0</v>
      </c>
      <c r="H730" s="23" t="s">
        <v>100</v>
      </c>
      <c r="I730" s="24" t="s">
        <v>33</v>
      </c>
      <c r="J730" s="19" t="s">
        <v>58</v>
      </c>
      <c r="K730" s="14">
        <v>8.0</v>
      </c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>
      <c r="A731" s="14" t="s">
        <v>2816</v>
      </c>
      <c r="B731" s="17" t="s">
        <v>2817</v>
      </c>
      <c r="C731" s="17" t="s">
        <v>2818</v>
      </c>
      <c r="D731" s="19" t="s">
        <v>2819</v>
      </c>
      <c r="E731" s="20" t="s">
        <v>2393</v>
      </c>
      <c r="F731" s="27">
        <v>27726.0</v>
      </c>
      <c r="G731" s="14">
        <v>50.0</v>
      </c>
      <c r="H731" s="23" t="s">
        <v>26</v>
      </c>
      <c r="I731" s="24" t="s">
        <v>33</v>
      </c>
      <c r="J731" s="19" t="s">
        <v>53</v>
      </c>
      <c r="K731" s="14">
        <v>16.0</v>
      </c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>
      <c r="A732" s="14" t="s">
        <v>2820</v>
      </c>
      <c r="B732" s="17" t="s">
        <v>2817</v>
      </c>
      <c r="C732" s="17" t="s">
        <v>2821</v>
      </c>
      <c r="D732" s="19" t="s">
        <v>2822</v>
      </c>
      <c r="E732" s="20" t="s">
        <v>104</v>
      </c>
      <c r="F732" s="27">
        <v>36507.0</v>
      </c>
      <c r="G732" s="14">
        <v>26.0</v>
      </c>
      <c r="H732" s="23" t="s">
        <v>100</v>
      </c>
      <c r="I732" s="24" t="s">
        <v>33</v>
      </c>
      <c r="J732" s="19" t="s">
        <v>53</v>
      </c>
      <c r="K732" s="14">
        <v>16.0</v>
      </c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>
      <c r="A733" s="14" t="s">
        <v>2823</v>
      </c>
      <c r="B733" s="17" t="s">
        <v>2817</v>
      </c>
      <c r="C733" s="17" t="s">
        <v>2824</v>
      </c>
      <c r="D733" s="19" t="s">
        <v>2825</v>
      </c>
      <c r="E733" s="20" t="s">
        <v>104</v>
      </c>
      <c r="F733" s="21">
        <v>29896.0</v>
      </c>
      <c r="G733" s="14">
        <v>44.0</v>
      </c>
      <c r="H733" s="23" t="s">
        <v>26</v>
      </c>
      <c r="I733" s="24" t="s">
        <v>27</v>
      </c>
      <c r="J733" s="19" t="s">
        <v>53</v>
      </c>
      <c r="K733" s="14">
        <v>16.0</v>
      </c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>
      <c r="A734" s="14" t="s">
        <v>2826</v>
      </c>
      <c r="B734" s="17" t="s">
        <v>2827</v>
      </c>
      <c r="C734" s="17" t="s">
        <v>2828</v>
      </c>
      <c r="D734" s="19" t="s">
        <v>2829</v>
      </c>
      <c r="E734" s="20" t="s">
        <v>53</v>
      </c>
      <c r="F734" s="21">
        <v>29492.0</v>
      </c>
      <c r="G734" s="14">
        <v>45.0</v>
      </c>
      <c r="H734" s="23" t="s">
        <v>26</v>
      </c>
      <c r="I734" s="24" t="s">
        <v>33</v>
      </c>
      <c r="J734" s="19" t="s">
        <v>362</v>
      </c>
      <c r="K734" s="14">
        <v>19.0</v>
      </c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>
      <c r="A735" s="14" t="s">
        <v>2830</v>
      </c>
      <c r="B735" s="17" t="s">
        <v>2827</v>
      </c>
      <c r="C735" s="17" t="s">
        <v>2831</v>
      </c>
      <c r="D735" s="19" t="s">
        <v>2832</v>
      </c>
      <c r="E735" s="20" t="s">
        <v>53</v>
      </c>
      <c r="F735" s="21">
        <v>39336.0</v>
      </c>
      <c r="G735" s="14">
        <v>18.0</v>
      </c>
      <c r="H735" s="23" t="s">
        <v>100</v>
      </c>
      <c r="I735" s="24" t="s">
        <v>33</v>
      </c>
      <c r="J735" s="19" t="s">
        <v>362</v>
      </c>
      <c r="K735" s="14">
        <v>19.0</v>
      </c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>
      <c r="A736" s="14" t="s">
        <v>2833</v>
      </c>
      <c r="B736" s="17" t="s">
        <v>2827</v>
      </c>
      <c r="C736" s="17" t="s">
        <v>2834</v>
      </c>
      <c r="D736" s="19" t="s">
        <v>2835</v>
      </c>
      <c r="E736" s="20" t="s">
        <v>1058</v>
      </c>
      <c r="F736" s="21">
        <v>31283.0</v>
      </c>
      <c r="G736" s="14">
        <v>41.0</v>
      </c>
      <c r="H736" s="23" t="s">
        <v>26</v>
      </c>
      <c r="I736" s="24" t="s">
        <v>27</v>
      </c>
      <c r="J736" s="19" t="s">
        <v>362</v>
      </c>
      <c r="K736" s="14">
        <v>19.0</v>
      </c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>
      <c r="A737" s="14" t="s">
        <v>2836</v>
      </c>
      <c r="B737" s="17" t="s">
        <v>2837</v>
      </c>
      <c r="C737" s="17" t="s">
        <v>2838</v>
      </c>
      <c r="D737" s="19" t="s">
        <v>2839</v>
      </c>
      <c r="E737" s="20" t="s">
        <v>53</v>
      </c>
      <c r="F737" s="21">
        <v>28801.0</v>
      </c>
      <c r="G737" s="14">
        <v>47.0</v>
      </c>
      <c r="H737" s="23" t="s">
        <v>26</v>
      </c>
      <c r="I737" s="24" t="s">
        <v>33</v>
      </c>
      <c r="J737" s="19" t="s">
        <v>53</v>
      </c>
      <c r="K737" s="14">
        <v>21.0</v>
      </c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>
      <c r="A738" s="14" t="s">
        <v>2840</v>
      </c>
      <c r="B738" s="17" t="s">
        <v>2837</v>
      </c>
      <c r="C738" s="17" t="s">
        <v>2841</v>
      </c>
      <c r="D738" s="19" t="s">
        <v>2842</v>
      </c>
      <c r="E738" s="20" t="s">
        <v>53</v>
      </c>
      <c r="F738" s="21">
        <v>38373.0</v>
      </c>
      <c r="G738" s="14">
        <v>21.0</v>
      </c>
      <c r="H738" s="23" t="s">
        <v>100</v>
      </c>
      <c r="I738" s="24" t="s">
        <v>27</v>
      </c>
      <c r="J738" s="19" t="s">
        <v>53</v>
      </c>
      <c r="K738" s="14">
        <v>21.0</v>
      </c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>
      <c r="A739" s="14" t="s">
        <v>2843</v>
      </c>
      <c r="B739" s="17" t="s">
        <v>2837</v>
      </c>
      <c r="C739" s="17" t="s">
        <v>2844</v>
      </c>
      <c r="D739" s="19" t="s">
        <v>2845</v>
      </c>
      <c r="E739" s="20" t="s">
        <v>53</v>
      </c>
      <c r="F739" s="21">
        <v>30487.0</v>
      </c>
      <c r="G739" s="14">
        <v>43.0</v>
      </c>
      <c r="H739" s="23" t="s">
        <v>26</v>
      </c>
      <c r="I739" s="24" t="s">
        <v>27</v>
      </c>
      <c r="J739" s="19" t="s">
        <v>53</v>
      </c>
      <c r="K739" s="14">
        <v>21.0</v>
      </c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>
      <c r="A740" s="14" t="s">
        <v>2846</v>
      </c>
      <c r="B740" s="17" t="s">
        <v>2847</v>
      </c>
      <c r="C740" s="17" t="s">
        <v>2848</v>
      </c>
      <c r="D740" s="19" t="s">
        <v>2849</v>
      </c>
      <c r="E740" s="20" t="s">
        <v>53</v>
      </c>
      <c r="F740" s="21">
        <v>37786.0</v>
      </c>
      <c r="G740" s="14">
        <v>23.0</v>
      </c>
      <c r="H740" s="23" t="s">
        <v>100</v>
      </c>
      <c r="I740" s="24" t="s">
        <v>33</v>
      </c>
      <c r="J740" s="19" t="s">
        <v>328</v>
      </c>
      <c r="K740" s="14">
        <v>20.0</v>
      </c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>
      <c r="A741" s="14" t="s">
        <v>2850</v>
      </c>
      <c r="B741" s="17" t="s">
        <v>2847</v>
      </c>
      <c r="C741" s="17" t="s">
        <v>2851</v>
      </c>
      <c r="D741" s="19" t="s">
        <v>2852</v>
      </c>
      <c r="E741" s="20" t="s">
        <v>53</v>
      </c>
      <c r="F741" s="27">
        <v>29904.0</v>
      </c>
      <c r="G741" s="14">
        <v>44.0</v>
      </c>
      <c r="H741" s="23" t="s">
        <v>26</v>
      </c>
      <c r="I741" s="24" t="s">
        <v>27</v>
      </c>
      <c r="J741" s="19" t="s">
        <v>328</v>
      </c>
      <c r="K741" s="14">
        <v>20.0</v>
      </c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>
      <c r="A742" s="14" t="s">
        <v>2853</v>
      </c>
      <c r="B742" s="17" t="s">
        <v>2847</v>
      </c>
      <c r="C742" s="17" t="s">
        <v>2854</v>
      </c>
      <c r="D742" s="19" t="s">
        <v>1193</v>
      </c>
      <c r="E742" s="20" t="s">
        <v>1038</v>
      </c>
      <c r="F742" s="21">
        <v>28000.0</v>
      </c>
      <c r="G742" s="14">
        <v>50.0</v>
      </c>
      <c r="H742" s="23" t="s">
        <v>26</v>
      </c>
      <c r="I742" s="24" t="s">
        <v>33</v>
      </c>
      <c r="J742" s="19" t="s">
        <v>328</v>
      </c>
      <c r="K742" s="14">
        <v>20.0</v>
      </c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>
      <c r="A743" s="14" t="s">
        <v>2855</v>
      </c>
      <c r="B743" s="17" t="s">
        <v>2856</v>
      </c>
      <c r="C743" s="17" t="s">
        <v>2857</v>
      </c>
      <c r="D743" s="19" t="s">
        <v>2858</v>
      </c>
      <c r="E743" s="20" t="s">
        <v>104</v>
      </c>
      <c r="F743" s="21">
        <v>31664.0</v>
      </c>
      <c r="G743" s="14">
        <v>39.0</v>
      </c>
      <c r="H743" s="23" t="s">
        <v>26</v>
      </c>
      <c r="I743" s="24" t="s">
        <v>33</v>
      </c>
      <c r="J743" s="19" t="s">
        <v>53</v>
      </c>
      <c r="K743" s="14">
        <v>20.0</v>
      </c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>
      <c r="A744" s="14" t="s">
        <v>2859</v>
      </c>
      <c r="B744" s="17" t="s">
        <v>2856</v>
      </c>
      <c r="C744" s="17" t="s">
        <v>2860</v>
      </c>
      <c r="D744" s="19" t="s">
        <v>2861</v>
      </c>
      <c r="E744" s="20" t="s">
        <v>104</v>
      </c>
      <c r="F744" s="21">
        <v>32672.0</v>
      </c>
      <c r="G744" s="14">
        <v>37.0</v>
      </c>
      <c r="H744" s="23" t="s">
        <v>26</v>
      </c>
      <c r="I744" s="24" t="s">
        <v>27</v>
      </c>
      <c r="J744" s="19" t="s">
        <v>53</v>
      </c>
      <c r="K744" s="14">
        <v>20.0</v>
      </c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>
      <c r="A745" s="14" t="s">
        <v>2862</v>
      </c>
      <c r="B745" s="17" t="s">
        <v>2863</v>
      </c>
      <c r="C745" s="17" t="s">
        <v>2864</v>
      </c>
      <c r="D745" s="19" t="s">
        <v>2865</v>
      </c>
      <c r="E745" s="20" t="s">
        <v>1058</v>
      </c>
      <c r="F745" s="27">
        <v>26287.0</v>
      </c>
      <c r="G745" s="14">
        <v>54.0</v>
      </c>
      <c r="H745" s="23" t="s">
        <v>26</v>
      </c>
      <c r="I745" s="24" t="s">
        <v>33</v>
      </c>
      <c r="J745" s="19" t="s">
        <v>53</v>
      </c>
      <c r="K745" s="14">
        <v>18.0</v>
      </c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>
      <c r="A746" s="14" t="s">
        <v>2866</v>
      </c>
      <c r="B746" s="17" t="s">
        <v>2863</v>
      </c>
      <c r="C746" s="17" t="s">
        <v>2867</v>
      </c>
      <c r="D746" s="19" t="s">
        <v>2868</v>
      </c>
      <c r="E746" s="20" t="s">
        <v>1816</v>
      </c>
      <c r="F746" s="27">
        <v>27726.0</v>
      </c>
      <c r="G746" s="14">
        <v>50.0</v>
      </c>
      <c r="H746" s="23" t="s">
        <v>26</v>
      </c>
      <c r="I746" s="24" t="s">
        <v>27</v>
      </c>
      <c r="J746" s="19" t="s">
        <v>53</v>
      </c>
      <c r="K746" s="14">
        <v>18.0</v>
      </c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>
      <c r="A747" s="14" t="s">
        <v>2869</v>
      </c>
      <c r="B747" s="17" t="s">
        <v>2870</v>
      </c>
      <c r="C747" s="17" t="s">
        <v>2871</v>
      </c>
      <c r="D747" s="19" t="s">
        <v>1673</v>
      </c>
      <c r="E747" s="20" t="s">
        <v>429</v>
      </c>
      <c r="F747" s="21">
        <v>18148.0</v>
      </c>
      <c r="G747" s="14">
        <v>76.0</v>
      </c>
      <c r="H747" s="23" t="s">
        <v>26</v>
      </c>
      <c r="I747" s="24" t="s">
        <v>33</v>
      </c>
      <c r="J747" s="19" t="s">
        <v>53</v>
      </c>
      <c r="K747" s="14">
        <v>21.0</v>
      </c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>
      <c r="A748" s="14" t="s">
        <v>2872</v>
      </c>
      <c r="B748" s="17" t="s">
        <v>2870</v>
      </c>
      <c r="C748" s="17" t="s">
        <v>2873</v>
      </c>
      <c r="D748" s="19" t="s">
        <v>2874</v>
      </c>
      <c r="E748" s="20" t="s">
        <v>429</v>
      </c>
      <c r="F748" s="21">
        <v>20199.0</v>
      </c>
      <c r="G748" s="14">
        <v>71.0</v>
      </c>
      <c r="H748" s="23" t="s">
        <v>26</v>
      </c>
      <c r="I748" s="24" t="s">
        <v>27</v>
      </c>
      <c r="J748" s="19" t="s">
        <v>53</v>
      </c>
      <c r="K748" s="14">
        <v>21.0</v>
      </c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>
      <c r="A749" s="14" t="s">
        <v>2875</v>
      </c>
      <c r="B749" s="17" t="s">
        <v>2876</v>
      </c>
      <c r="C749" s="17" t="s">
        <v>2877</v>
      </c>
      <c r="D749" s="19" t="s">
        <v>2878</v>
      </c>
      <c r="E749" s="20" t="s">
        <v>2879</v>
      </c>
      <c r="F749" s="21">
        <v>26733.0</v>
      </c>
      <c r="G749" s="14">
        <v>53.0</v>
      </c>
      <c r="H749" s="23" t="s">
        <v>26</v>
      </c>
      <c r="I749" s="24" t="s">
        <v>27</v>
      </c>
      <c r="J749" s="19" t="s">
        <v>95</v>
      </c>
      <c r="K749" s="14">
        <v>17.0</v>
      </c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>
      <c r="A750" s="14" t="s">
        <v>2880</v>
      </c>
      <c r="B750" s="17" t="s">
        <v>2876</v>
      </c>
      <c r="C750" s="17" t="s">
        <v>2881</v>
      </c>
      <c r="D750" s="19" t="s">
        <v>2882</v>
      </c>
      <c r="E750" s="20" t="s">
        <v>1049</v>
      </c>
      <c r="F750" s="21">
        <v>25740.0</v>
      </c>
      <c r="G750" s="14">
        <v>56.0</v>
      </c>
      <c r="H750" s="23" t="s">
        <v>26</v>
      </c>
      <c r="I750" s="24" t="s">
        <v>33</v>
      </c>
      <c r="J750" s="19" t="s">
        <v>95</v>
      </c>
      <c r="K750" s="14">
        <v>17.0</v>
      </c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>
      <c r="A751" s="14" t="s">
        <v>2883</v>
      </c>
      <c r="B751" s="17" t="s">
        <v>2884</v>
      </c>
      <c r="C751" s="17" t="s">
        <v>2885</v>
      </c>
      <c r="D751" s="19" t="s">
        <v>2886</v>
      </c>
      <c r="E751" s="20" t="s">
        <v>624</v>
      </c>
      <c r="F751" s="21">
        <v>26046.0</v>
      </c>
      <c r="G751" s="14">
        <v>55.0</v>
      </c>
      <c r="H751" s="23" t="s">
        <v>26</v>
      </c>
      <c r="I751" s="24" t="s">
        <v>33</v>
      </c>
      <c r="J751" s="19" t="s">
        <v>328</v>
      </c>
      <c r="K751" s="14">
        <v>25.0</v>
      </c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>
      <c r="A752" s="14" t="s">
        <v>2887</v>
      </c>
      <c r="B752" s="17" t="s">
        <v>2884</v>
      </c>
      <c r="C752" s="17" t="s">
        <v>2888</v>
      </c>
      <c r="D752" s="19" t="s">
        <v>2889</v>
      </c>
      <c r="E752" s="20" t="s">
        <v>104</v>
      </c>
      <c r="F752" s="21">
        <v>29409.0</v>
      </c>
      <c r="G752" s="14">
        <v>46.0</v>
      </c>
      <c r="H752" s="23" t="s">
        <v>26</v>
      </c>
      <c r="I752" s="24" t="s">
        <v>27</v>
      </c>
      <c r="J752" s="19" t="s">
        <v>328</v>
      </c>
      <c r="K752" s="14">
        <v>25.0</v>
      </c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>
      <c r="A753" s="14" t="s">
        <v>2890</v>
      </c>
      <c r="B753" s="17" t="s">
        <v>2884</v>
      </c>
      <c r="C753" s="17" t="s">
        <v>2891</v>
      </c>
      <c r="D753" s="19" t="s">
        <v>2892</v>
      </c>
      <c r="E753" s="20" t="s">
        <v>53</v>
      </c>
      <c r="F753" s="21">
        <v>37653.0</v>
      </c>
      <c r="G753" s="14">
        <v>23.0</v>
      </c>
      <c r="H753" s="23" t="s">
        <v>100</v>
      </c>
      <c r="I753" s="24" t="s">
        <v>33</v>
      </c>
      <c r="J753" s="19" t="s">
        <v>328</v>
      </c>
      <c r="K753" s="14">
        <v>25.0</v>
      </c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>
      <c r="A754" s="14" t="s">
        <v>2893</v>
      </c>
      <c r="B754" s="17" t="s">
        <v>2884</v>
      </c>
      <c r="C754" s="17" t="s">
        <v>2894</v>
      </c>
      <c r="D754" s="19" t="s">
        <v>2895</v>
      </c>
      <c r="E754" s="20" t="s">
        <v>104</v>
      </c>
      <c r="F754" s="21">
        <v>35911.0</v>
      </c>
      <c r="G754" s="14">
        <v>28.0</v>
      </c>
      <c r="H754" s="23" t="s">
        <v>100</v>
      </c>
      <c r="I754" s="24" t="s">
        <v>33</v>
      </c>
      <c r="J754" s="19" t="s">
        <v>328</v>
      </c>
      <c r="K754" s="14">
        <v>25.0</v>
      </c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>
      <c r="A755" s="14" t="s">
        <v>2896</v>
      </c>
      <c r="B755" s="17" t="s">
        <v>2897</v>
      </c>
      <c r="C755" s="17" t="s">
        <v>2898</v>
      </c>
      <c r="D755" s="19" t="s">
        <v>2547</v>
      </c>
      <c r="E755" s="20" t="s">
        <v>1058</v>
      </c>
      <c r="F755" s="21">
        <v>33335.0</v>
      </c>
      <c r="G755" s="14">
        <v>35.0</v>
      </c>
      <c r="H755" s="23" t="s">
        <v>26</v>
      </c>
      <c r="I755" s="24" t="s">
        <v>27</v>
      </c>
      <c r="J755" s="19" t="s">
        <v>156</v>
      </c>
      <c r="K755" s="14">
        <v>35.0</v>
      </c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>
      <c r="A756" s="14" t="s">
        <v>2899</v>
      </c>
      <c r="B756" s="17" t="s">
        <v>2897</v>
      </c>
      <c r="C756" s="17" t="s">
        <v>2900</v>
      </c>
      <c r="D756" s="19" t="s">
        <v>2901</v>
      </c>
      <c r="E756" s="20" t="s">
        <v>104</v>
      </c>
      <c r="F756" s="21">
        <v>29984.0</v>
      </c>
      <c r="G756" s="14">
        <v>44.0</v>
      </c>
      <c r="H756" s="23" t="s">
        <v>26</v>
      </c>
      <c r="I756" s="24" t="s">
        <v>33</v>
      </c>
      <c r="J756" s="19" t="s">
        <v>156</v>
      </c>
      <c r="K756" s="14">
        <v>35.0</v>
      </c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>
      <c r="A757" s="14" t="s">
        <v>2902</v>
      </c>
      <c r="B757" s="17" t="s">
        <v>2903</v>
      </c>
      <c r="C757" s="17" t="s">
        <v>2904</v>
      </c>
      <c r="D757" s="19" t="s">
        <v>2905</v>
      </c>
      <c r="E757" s="20" t="s">
        <v>104</v>
      </c>
      <c r="F757" s="27">
        <v>39040.0</v>
      </c>
      <c r="G757" s="14">
        <v>19.0</v>
      </c>
      <c r="H757" s="23" t="s">
        <v>100</v>
      </c>
      <c r="I757" s="24" t="s">
        <v>27</v>
      </c>
      <c r="J757" s="19" t="s">
        <v>53</v>
      </c>
      <c r="K757" s="14">
        <v>6.0</v>
      </c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>
      <c r="A758" s="14" t="s">
        <v>2906</v>
      </c>
      <c r="B758" s="17" t="s">
        <v>2903</v>
      </c>
      <c r="C758" s="17" t="s">
        <v>2907</v>
      </c>
      <c r="D758" s="19" t="s">
        <v>2908</v>
      </c>
      <c r="E758" s="20" t="s">
        <v>544</v>
      </c>
      <c r="F758" s="21">
        <v>27461.0</v>
      </c>
      <c r="G758" s="14">
        <v>51.0</v>
      </c>
      <c r="H758" s="23" t="s">
        <v>26</v>
      </c>
      <c r="I758" s="24" t="s">
        <v>33</v>
      </c>
      <c r="J758" s="19" t="s">
        <v>53</v>
      </c>
      <c r="K758" s="14">
        <v>6.0</v>
      </c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>
      <c r="A759" s="14" t="s">
        <v>2909</v>
      </c>
      <c r="B759" s="17" t="s">
        <v>2903</v>
      </c>
      <c r="C759" s="17" t="s">
        <v>2910</v>
      </c>
      <c r="D759" s="19" t="s">
        <v>2911</v>
      </c>
      <c r="E759" s="20" t="s">
        <v>210</v>
      </c>
      <c r="F759" s="21">
        <v>27855.0</v>
      </c>
      <c r="G759" s="14">
        <v>50.0</v>
      </c>
      <c r="H759" s="23" t="s">
        <v>26</v>
      </c>
      <c r="I759" s="24" t="s">
        <v>27</v>
      </c>
      <c r="J759" s="19" t="s">
        <v>53</v>
      </c>
      <c r="K759" s="14">
        <v>6.0</v>
      </c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>
      <c r="A760" s="14" t="s">
        <v>2912</v>
      </c>
      <c r="B760" s="17" t="s">
        <v>2913</v>
      </c>
      <c r="C760" s="17" t="s">
        <v>2914</v>
      </c>
      <c r="D760" s="19" t="s">
        <v>2915</v>
      </c>
      <c r="E760" s="20" t="s">
        <v>434</v>
      </c>
      <c r="F760" s="27">
        <v>25184.0</v>
      </c>
      <c r="G760" s="14">
        <v>57.0</v>
      </c>
      <c r="H760" s="23" t="s">
        <v>27</v>
      </c>
      <c r="I760" s="24" t="s">
        <v>33</v>
      </c>
      <c r="J760" s="19" t="s">
        <v>989</v>
      </c>
      <c r="K760" s="14">
        <v>28.0</v>
      </c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>
      <c r="A761" s="14" t="s">
        <v>2916</v>
      </c>
      <c r="B761" s="17" t="s">
        <v>2917</v>
      </c>
      <c r="C761" s="17" t="s">
        <v>2918</v>
      </c>
      <c r="D761" s="19" t="s">
        <v>2919</v>
      </c>
      <c r="E761" s="20" t="s">
        <v>138</v>
      </c>
      <c r="F761" s="21">
        <v>33443.0</v>
      </c>
      <c r="G761" s="14">
        <v>35.0</v>
      </c>
      <c r="H761" s="23" t="s">
        <v>26</v>
      </c>
      <c r="I761" s="24" t="s">
        <v>27</v>
      </c>
      <c r="J761" s="19" t="s">
        <v>146</v>
      </c>
      <c r="K761" s="14">
        <v>6.0</v>
      </c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>
      <c r="A762" s="14" t="s">
        <v>2920</v>
      </c>
      <c r="B762" s="17" t="s">
        <v>2917</v>
      </c>
      <c r="C762" s="17" t="s">
        <v>2921</v>
      </c>
      <c r="D762" s="19" t="s">
        <v>2922</v>
      </c>
      <c r="E762" s="20" t="s">
        <v>2038</v>
      </c>
      <c r="F762" s="27">
        <v>37235.0</v>
      </c>
      <c r="G762" s="14">
        <v>24.0</v>
      </c>
      <c r="H762" s="23" t="s">
        <v>100</v>
      </c>
      <c r="I762" s="24" t="s">
        <v>33</v>
      </c>
      <c r="J762" s="19" t="s">
        <v>146</v>
      </c>
      <c r="K762" s="14">
        <v>6.0</v>
      </c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>
      <c r="A763" s="14" t="s">
        <v>2923</v>
      </c>
      <c r="B763" s="17" t="s">
        <v>2917</v>
      </c>
      <c r="C763" s="17" t="s">
        <v>2924</v>
      </c>
      <c r="D763" s="19" t="s">
        <v>2472</v>
      </c>
      <c r="E763" s="20" t="s">
        <v>210</v>
      </c>
      <c r="F763" s="21">
        <v>27068.0</v>
      </c>
      <c r="G763" s="14">
        <v>52.0</v>
      </c>
      <c r="H763" s="23" t="s">
        <v>26</v>
      </c>
      <c r="I763" s="24" t="s">
        <v>33</v>
      </c>
      <c r="J763" s="19" t="s">
        <v>146</v>
      </c>
      <c r="K763" s="14">
        <v>6.0</v>
      </c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>
      <c r="A764" s="14" t="s">
        <v>2925</v>
      </c>
      <c r="B764" s="17" t="s">
        <v>2926</v>
      </c>
      <c r="C764" s="17" t="s">
        <v>2927</v>
      </c>
      <c r="D764" s="19" t="s">
        <v>2928</v>
      </c>
      <c r="E764" s="20" t="s">
        <v>544</v>
      </c>
      <c r="F764" s="21">
        <v>23118.0</v>
      </c>
      <c r="G764" s="14">
        <v>63.0</v>
      </c>
      <c r="H764" s="23" t="s">
        <v>26</v>
      </c>
      <c r="I764" s="24" t="s">
        <v>27</v>
      </c>
      <c r="J764" s="19" t="s">
        <v>517</v>
      </c>
      <c r="K764" s="14">
        <v>6.0</v>
      </c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>
      <c r="A765" s="14" t="s">
        <v>2929</v>
      </c>
      <c r="B765" s="17" t="s">
        <v>2926</v>
      </c>
      <c r="C765" s="17" t="s">
        <v>2930</v>
      </c>
      <c r="D765" s="19" t="s">
        <v>2931</v>
      </c>
      <c r="E765" s="20" t="s">
        <v>544</v>
      </c>
      <c r="F765" s="21">
        <v>22112.0</v>
      </c>
      <c r="G765" s="14">
        <v>66.0</v>
      </c>
      <c r="H765" s="23" t="s">
        <v>26</v>
      </c>
      <c r="I765" s="24" t="s">
        <v>33</v>
      </c>
      <c r="J765" s="19" t="s">
        <v>517</v>
      </c>
      <c r="K765" s="14">
        <v>6.0</v>
      </c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>
      <c r="A766" s="14" t="s">
        <v>2932</v>
      </c>
      <c r="B766" s="17" t="s">
        <v>2933</v>
      </c>
      <c r="C766" s="17" t="s">
        <v>2934</v>
      </c>
      <c r="D766" s="19" t="s">
        <v>2935</v>
      </c>
      <c r="E766" s="20" t="s">
        <v>104</v>
      </c>
      <c r="F766" s="21">
        <v>34806.0</v>
      </c>
      <c r="G766" s="14">
        <v>31.0</v>
      </c>
      <c r="H766" s="23" t="s">
        <v>26</v>
      </c>
      <c r="I766" s="24" t="s">
        <v>33</v>
      </c>
      <c r="J766" s="19" t="s">
        <v>2936</v>
      </c>
      <c r="K766" s="14">
        <v>33.0</v>
      </c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>
      <c r="A767" s="14" t="s">
        <v>2937</v>
      </c>
      <c r="B767" s="17" t="s">
        <v>2933</v>
      </c>
      <c r="C767" s="17" t="s">
        <v>2938</v>
      </c>
      <c r="D767" s="19" t="s">
        <v>2939</v>
      </c>
      <c r="E767" s="20" t="s">
        <v>104</v>
      </c>
      <c r="F767" s="21">
        <v>34548.0</v>
      </c>
      <c r="G767" s="14">
        <v>32.0</v>
      </c>
      <c r="H767" s="23" t="s">
        <v>26</v>
      </c>
      <c r="I767" s="24" t="s">
        <v>27</v>
      </c>
      <c r="J767" s="19" t="s">
        <v>2936</v>
      </c>
      <c r="K767" s="14">
        <v>33.0</v>
      </c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>
      <c r="A768" s="14" t="s">
        <v>2940</v>
      </c>
      <c r="B768" s="17" t="s">
        <v>2941</v>
      </c>
      <c r="C768" s="17" t="s">
        <v>2942</v>
      </c>
      <c r="D768" s="19" t="s">
        <v>2943</v>
      </c>
      <c r="E768" s="20" t="s">
        <v>1791</v>
      </c>
      <c r="F768" s="21">
        <v>33698.0</v>
      </c>
      <c r="G768" s="14">
        <v>34.0</v>
      </c>
      <c r="H768" s="23" t="s">
        <v>26</v>
      </c>
      <c r="I768" s="24" t="s">
        <v>33</v>
      </c>
      <c r="J768" s="19" t="s">
        <v>53</v>
      </c>
      <c r="K768" s="14">
        <v>32.0</v>
      </c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>
      <c r="A769" s="14" t="s">
        <v>2944</v>
      </c>
      <c r="B769" s="17" t="s">
        <v>2941</v>
      </c>
      <c r="C769" s="17" t="s">
        <v>2945</v>
      </c>
      <c r="D769" s="19" t="s">
        <v>2946</v>
      </c>
      <c r="E769" s="20" t="s">
        <v>53</v>
      </c>
      <c r="F769" s="27">
        <v>35029.0</v>
      </c>
      <c r="G769" s="14">
        <v>30.0</v>
      </c>
      <c r="H769" s="23" t="s">
        <v>26</v>
      </c>
      <c r="I769" s="24" t="s">
        <v>27</v>
      </c>
      <c r="J769" s="19" t="s">
        <v>53</v>
      </c>
      <c r="K769" s="14">
        <v>32.0</v>
      </c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>
      <c r="A770" s="14" t="s">
        <v>2947</v>
      </c>
      <c r="B770" s="17" t="s">
        <v>2948</v>
      </c>
      <c r="C770" s="17" t="s">
        <v>2949</v>
      </c>
      <c r="D770" s="19" t="s">
        <v>2950</v>
      </c>
      <c r="E770" s="20" t="s">
        <v>104</v>
      </c>
      <c r="F770" s="21">
        <v>27931.0</v>
      </c>
      <c r="G770" s="14">
        <v>50.0</v>
      </c>
      <c r="H770" s="23" t="s">
        <v>26</v>
      </c>
      <c r="I770" s="24" t="s">
        <v>33</v>
      </c>
      <c r="J770" s="19" t="s">
        <v>68</v>
      </c>
      <c r="K770" s="14">
        <v>35.0</v>
      </c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>
      <c r="A771" s="14" t="s">
        <v>2951</v>
      </c>
      <c r="B771" s="17" t="s">
        <v>2948</v>
      </c>
      <c r="C771" s="17" t="s">
        <v>2952</v>
      </c>
      <c r="D771" s="19" t="s">
        <v>2953</v>
      </c>
      <c r="E771" s="20" t="s">
        <v>104</v>
      </c>
      <c r="F771" s="21">
        <v>30519.0</v>
      </c>
      <c r="G771" s="14">
        <v>43.0</v>
      </c>
      <c r="H771" s="23" t="s">
        <v>26</v>
      </c>
      <c r="I771" s="24" t="s">
        <v>27</v>
      </c>
      <c r="J771" s="19" t="s">
        <v>68</v>
      </c>
      <c r="K771" s="14">
        <v>35.0</v>
      </c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>
      <c r="A772" s="14" t="s">
        <v>2954</v>
      </c>
      <c r="B772" s="17" t="s">
        <v>2955</v>
      </c>
      <c r="C772" s="17" t="s">
        <v>2956</v>
      </c>
      <c r="D772" s="19" t="s">
        <v>2957</v>
      </c>
      <c r="E772" s="20" t="s">
        <v>104</v>
      </c>
      <c r="F772" s="21">
        <v>38995.0</v>
      </c>
      <c r="G772" s="14">
        <v>19.0</v>
      </c>
      <c r="H772" s="23" t="s">
        <v>100</v>
      </c>
      <c r="I772" s="24" t="s">
        <v>27</v>
      </c>
      <c r="J772" s="19" t="s">
        <v>68</v>
      </c>
      <c r="K772" s="14">
        <v>34.0</v>
      </c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>
      <c r="A773" s="14" t="s">
        <v>2958</v>
      </c>
      <c r="B773" s="17" t="s">
        <v>2955</v>
      </c>
      <c r="C773" s="17" t="s">
        <v>2959</v>
      </c>
      <c r="D773" s="19" t="s">
        <v>2960</v>
      </c>
      <c r="E773" s="20" t="s">
        <v>104</v>
      </c>
      <c r="F773" s="21">
        <v>32029.0</v>
      </c>
      <c r="G773" s="14">
        <v>38.0</v>
      </c>
      <c r="H773" s="23" t="s">
        <v>26</v>
      </c>
      <c r="I773" s="24" t="s">
        <v>27</v>
      </c>
      <c r="J773" s="19" t="s">
        <v>68</v>
      </c>
      <c r="K773" s="14">
        <v>34.0</v>
      </c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>
      <c r="A774" s="14" t="s">
        <v>2961</v>
      </c>
      <c r="B774" s="17" t="s">
        <v>2955</v>
      </c>
      <c r="C774" s="17" t="s">
        <v>2962</v>
      </c>
      <c r="D774" s="19" t="s">
        <v>2963</v>
      </c>
      <c r="E774" s="20" t="s">
        <v>104</v>
      </c>
      <c r="F774" s="21">
        <v>30221.0</v>
      </c>
      <c r="G774" s="14">
        <v>43.0</v>
      </c>
      <c r="H774" s="23" t="s">
        <v>26</v>
      </c>
      <c r="I774" s="24" t="s">
        <v>33</v>
      </c>
      <c r="J774" s="19" t="s">
        <v>68</v>
      </c>
      <c r="K774" s="14">
        <v>34.0</v>
      </c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>
      <c r="A775" s="14" t="s">
        <v>2964</v>
      </c>
      <c r="B775" s="17" t="s">
        <v>2965</v>
      </c>
      <c r="C775" s="17" t="s">
        <v>2966</v>
      </c>
      <c r="D775" s="19" t="s">
        <v>2204</v>
      </c>
      <c r="E775" s="20" t="s">
        <v>53</v>
      </c>
      <c r="F775" s="27">
        <v>35049.0</v>
      </c>
      <c r="G775" s="14">
        <v>30.0</v>
      </c>
      <c r="H775" s="23" t="s">
        <v>100</v>
      </c>
      <c r="I775" s="24" t="s">
        <v>33</v>
      </c>
      <c r="J775" s="19" t="s">
        <v>68</v>
      </c>
      <c r="K775" s="14">
        <v>35.0</v>
      </c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>
      <c r="A776" s="14" t="s">
        <v>2967</v>
      </c>
      <c r="B776" s="17" t="s">
        <v>2965</v>
      </c>
      <c r="C776" s="17" t="s">
        <v>2968</v>
      </c>
      <c r="D776" s="19" t="s">
        <v>2969</v>
      </c>
      <c r="E776" s="20" t="s">
        <v>984</v>
      </c>
      <c r="F776" s="27">
        <v>28044.0</v>
      </c>
      <c r="G776" s="14">
        <v>49.0</v>
      </c>
      <c r="H776" s="23" t="s">
        <v>26</v>
      </c>
      <c r="I776" s="24" t="s">
        <v>27</v>
      </c>
      <c r="J776" s="19" t="s">
        <v>68</v>
      </c>
      <c r="K776" s="14">
        <v>35.0</v>
      </c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>
      <c r="A777" s="14" t="s">
        <v>2970</v>
      </c>
      <c r="B777" s="17" t="s">
        <v>2965</v>
      </c>
      <c r="C777" s="17" t="s">
        <v>2971</v>
      </c>
      <c r="D777" s="19" t="s">
        <v>2972</v>
      </c>
      <c r="E777" s="20" t="s">
        <v>67</v>
      </c>
      <c r="F777" s="21">
        <v>27006.0</v>
      </c>
      <c r="G777" s="14">
        <v>52.0</v>
      </c>
      <c r="H777" s="23" t="s">
        <v>26</v>
      </c>
      <c r="I777" s="24" t="s">
        <v>33</v>
      </c>
      <c r="J777" s="19" t="s">
        <v>68</v>
      </c>
      <c r="K777" s="14">
        <v>35.0</v>
      </c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>
      <c r="A778" s="14" t="s">
        <v>2973</v>
      </c>
      <c r="B778" s="17" t="s">
        <v>2974</v>
      </c>
      <c r="C778" s="17" t="s">
        <v>2975</v>
      </c>
      <c r="D778" s="19" t="s">
        <v>2976</v>
      </c>
      <c r="E778" s="20" t="s">
        <v>434</v>
      </c>
      <c r="F778" s="21">
        <v>31246.0</v>
      </c>
      <c r="G778" s="14">
        <v>41.0</v>
      </c>
      <c r="H778" s="23" t="s">
        <v>26</v>
      </c>
      <c r="I778" s="24" t="s">
        <v>33</v>
      </c>
      <c r="J778" s="19" t="s">
        <v>146</v>
      </c>
      <c r="K778" s="14">
        <v>2.0</v>
      </c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>
      <c r="A779" s="14" t="s">
        <v>2977</v>
      </c>
      <c r="B779" s="17" t="s">
        <v>2974</v>
      </c>
      <c r="C779" s="17" t="s">
        <v>2978</v>
      </c>
      <c r="D779" s="19" t="s">
        <v>2979</v>
      </c>
      <c r="E779" s="20" t="s">
        <v>2980</v>
      </c>
      <c r="F779" s="27">
        <v>34664.0</v>
      </c>
      <c r="G779" s="14">
        <v>31.0</v>
      </c>
      <c r="H779" s="23" t="s">
        <v>26</v>
      </c>
      <c r="I779" s="24" t="s">
        <v>27</v>
      </c>
      <c r="J779" s="19" t="s">
        <v>146</v>
      </c>
      <c r="K779" s="14">
        <v>2.0</v>
      </c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>
      <c r="A780" s="14" t="s">
        <v>2981</v>
      </c>
      <c r="B780" s="17" t="s">
        <v>2982</v>
      </c>
      <c r="C780" s="17" t="s">
        <v>2983</v>
      </c>
      <c r="D780" s="19" t="s">
        <v>2984</v>
      </c>
      <c r="E780" s="20" t="s">
        <v>2038</v>
      </c>
      <c r="F780" s="21">
        <v>35446.0</v>
      </c>
      <c r="G780" s="14">
        <v>29.0</v>
      </c>
      <c r="H780" s="23" t="s">
        <v>26</v>
      </c>
      <c r="I780" s="24" t="s">
        <v>27</v>
      </c>
      <c r="J780" s="19" t="s">
        <v>53</v>
      </c>
      <c r="K780" s="14">
        <v>17.0</v>
      </c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>
      <c r="A781" s="14" t="s">
        <v>2985</v>
      </c>
      <c r="B781" s="17" t="s">
        <v>2982</v>
      </c>
      <c r="C781" s="17" t="s">
        <v>2986</v>
      </c>
      <c r="D781" s="19" t="s">
        <v>2987</v>
      </c>
      <c r="E781" s="20" t="s">
        <v>2038</v>
      </c>
      <c r="F781" s="21">
        <v>33795.0</v>
      </c>
      <c r="G781" s="14">
        <v>34.0</v>
      </c>
      <c r="H781" s="23" t="s">
        <v>26</v>
      </c>
      <c r="I781" s="24" t="s">
        <v>33</v>
      </c>
      <c r="J781" s="19" t="s">
        <v>53</v>
      </c>
      <c r="K781" s="14">
        <v>17.0</v>
      </c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>
      <c r="A782" s="14" t="s">
        <v>2988</v>
      </c>
      <c r="B782" s="17" t="s">
        <v>2989</v>
      </c>
      <c r="C782" s="17" t="s">
        <v>2990</v>
      </c>
      <c r="D782" s="19" t="s">
        <v>2991</v>
      </c>
      <c r="E782" s="20" t="s">
        <v>104</v>
      </c>
      <c r="F782" s="21">
        <v>37326.0</v>
      </c>
      <c r="G782" s="14">
        <v>24.0</v>
      </c>
      <c r="H782" s="23" t="s">
        <v>26</v>
      </c>
      <c r="I782" s="24" t="s">
        <v>27</v>
      </c>
      <c r="J782" s="19" t="s">
        <v>1866</v>
      </c>
      <c r="K782" s="14">
        <v>20.0</v>
      </c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>
      <c r="A783" s="14" t="s">
        <v>2992</v>
      </c>
      <c r="B783" s="17" t="s">
        <v>2989</v>
      </c>
      <c r="C783" s="17" t="s">
        <v>2993</v>
      </c>
      <c r="D783" s="19" t="s">
        <v>2994</v>
      </c>
      <c r="E783" s="20" t="s">
        <v>2995</v>
      </c>
      <c r="F783" s="21">
        <v>34468.0</v>
      </c>
      <c r="G783" s="14">
        <v>32.0</v>
      </c>
      <c r="H783" s="23" t="s">
        <v>26</v>
      </c>
      <c r="I783" s="24" t="s">
        <v>33</v>
      </c>
      <c r="J783" s="19" t="s">
        <v>1866</v>
      </c>
      <c r="K783" s="14">
        <v>20.0</v>
      </c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>
      <c r="A784" s="14" t="s">
        <v>2996</v>
      </c>
      <c r="B784" s="17" t="s">
        <v>2997</v>
      </c>
      <c r="C784" s="17" t="s">
        <v>2998</v>
      </c>
      <c r="D784" s="19" t="s">
        <v>2999</v>
      </c>
      <c r="E784" s="20" t="s">
        <v>650</v>
      </c>
      <c r="F784" s="21">
        <v>27427.0</v>
      </c>
      <c r="G784" s="14">
        <v>51.0</v>
      </c>
      <c r="H784" s="23" t="s">
        <v>26</v>
      </c>
      <c r="I784" s="24" t="s">
        <v>33</v>
      </c>
      <c r="J784" s="19" t="s">
        <v>517</v>
      </c>
      <c r="K784" s="14">
        <v>9.0</v>
      </c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>
      <c r="A785" s="14" t="s">
        <v>3000</v>
      </c>
      <c r="B785" s="17" t="s">
        <v>2997</v>
      </c>
      <c r="C785" s="17" t="s">
        <v>3001</v>
      </c>
      <c r="D785" s="19" t="s">
        <v>3002</v>
      </c>
      <c r="E785" s="20" t="s">
        <v>3003</v>
      </c>
      <c r="F785" s="21">
        <v>38769.0</v>
      </c>
      <c r="G785" s="14">
        <v>20.0</v>
      </c>
      <c r="H785" s="23" t="s">
        <v>100</v>
      </c>
      <c r="I785" s="24" t="s">
        <v>27</v>
      </c>
      <c r="J785" s="19" t="s">
        <v>517</v>
      </c>
      <c r="K785" s="14">
        <v>9.0</v>
      </c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>
      <c r="A786" s="14" t="s">
        <v>3004</v>
      </c>
      <c r="B786" s="17" t="s">
        <v>2997</v>
      </c>
      <c r="C786" s="17" t="s">
        <v>3005</v>
      </c>
      <c r="D786" s="19" t="s">
        <v>3006</v>
      </c>
      <c r="E786" s="20" t="s">
        <v>3007</v>
      </c>
      <c r="F786" s="21">
        <v>27085.0</v>
      </c>
      <c r="G786" s="14">
        <v>52.0</v>
      </c>
      <c r="H786" s="23" t="s">
        <v>26</v>
      </c>
      <c r="I786" s="24" t="s">
        <v>27</v>
      </c>
      <c r="J786" s="19" t="s">
        <v>517</v>
      </c>
      <c r="K786" s="14">
        <v>9.0</v>
      </c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>
      <c r="A787" s="14" t="s">
        <v>3008</v>
      </c>
      <c r="B787" s="17" t="s">
        <v>3009</v>
      </c>
      <c r="C787" s="17" t="s">
        <v>3010</v>
      </c>
      <c r="D787" s="19" t="s">
        <v>3011</v>
      </c>
      <c r="E787" s="20" t="s">
        <v>53</v>
      </c>
      <c r="F787" s="21">
        <v>36431.0</v>
      </c>
      <c r="G787" s="14">
        <v>26.0</v>
      </c>
      <c r="H787" s="23" t="s">
        <v>26</v>
      </c>
      <c r="I787" s="24" t="s">
        <v>33</v>
      </c>
      <c r="J787" s="19" t="s">
        <v>328</v>
      </c>
      <c r="K787" s="14">
        <v>26.0</v>
      </c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>
      <c r="A788" s="14" t="s">
        <v>3012</v>
      </c>
      <c r="B788" s="17" t="s">
        <v>3009</v>
      </c>
      <c r="C788" s="17" t="s">
        <v>3013</v>
      </c>
      <c r="D788" s="19" t="s">
        <v>3014</v>
      </c>
      <c r="E788" s="20" t="s">
        <v>104</v>
      </c>
      <c r="F788" s="21">
        <v>36412.0</v>
      </c>
      <c r="G788" s="14">
        <v>26.0</v>
      </c>
      <c r="H788" s="23" t="s">
        <v>26</v>
      </c>
      <c r="I788" s="24" t="s">
        <v>27</v>
      </c>
      <c r="J788" s="19" t="s">
        <v>328</v>
      </c>
      <c r="K788" s="14">
        <v>26.0</v>
      </c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>
      <c r="A789" s="14" t="s">
        <v>3015</v>
      </c>
      <c r="B789" s="17" t="s">
        <v>3016</v>
      </c>
      <c r="C789" s="17" t="s">
        <v>3017</v>
      </c>
      <c r="D789" s="19" t="s">
        <v>3018</v>
      </c>
      <c r="E789" s="20" t="s">
        <v>337</v>
      </c>
      <c r="F789" s="27">
        <v>33957.0</v>
      </c>
      <c r="G789" s="14">
        <v>33.0</v>
      </c>
      <c r="H789" s="23" t="s">
        <v>27</v>
      </c>
      <c r="I789" s="24" t="s">
        <v>27</v>
      </c>
      <c r="J789" s="19" t="s">
        <v>146</v>
      </c>
      <c r="K789" s="14">
        <v>10.0</v>
      </c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>
      <c r="A790" s="14" t="s">
        <v>3019</v>
      </c>
      <c r="B790" s="17" t="s">
        <v>3016</v>
      </c>
      <c r="C790" s="17" t="s">
        <v>3020</v>
      </c>
      <c r="D790" s="19" t="s">
        <v>3021</v>
      </c>
      <c r="E790" s="20" t="s">
        <v>736</v>
      </c>
      <c r="F790" s="21">
        <v>34734.0</v>
      </c>
      <c r="G790" s="14">
        <v>31.0</v>
      </c>
      <c r="H790" s="23" t="s">
        <v>26</v>
      </c>
      <c r="I790" s="24" t="s">
        <v>33</v>
      </c>
      <c r="J790" s="19" t="s">
        <v>757</v>
      </c>
      <c r="K790" s="14">
        <v>10.0</v>
      </c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>
      <c r="A791" s="14" t="s">
        <v>3022</v>
      </c>
      <c r="B791" s="17" t="s">
        <v>3023</v>
      </c>
      <c r="C791" s="17" t="s">
        <v>3024</v>
      </c>
      <c r="D791" s="19" t="s">
        <v>3025</v>
      </c>
      <c r="E791" s="20" t="s">
        <v>195</v>
      </c>
      <c r="F791" s="21">
        <v>34369.0</v>
      </c>
      <c r="G791" s="14">
        <v>32.0</v>
      </c>
      <c r="H791" s="23" t="s">
        <v>26</v>
      </c>
      <c r="I791" s="24" t="s">
        <v>27</v>
      </c>
      <c r="J791" s="19" t="s">
        <v>68</v>
      </c>
      <c r="K791" s="14">
        <v>31.0</v>
      </c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>
      <c r="A792" s="14" t="s">
        <v>3026</v>
      </c>
      <c r="B792" s="17" t="s">
        <v>3023</v>
      </c>
      <c r="C792" s="17" t="s">
        <v>3027</v>
      </c>
      <c r="D792" s="19" t="s">
        <v>3028</v>
      </c>
      <c r="E792" s="20" t="s">
        <v>3029</v>
      </c>
      <c r="F792" s="21">
        <v>33845.0</v>
      </c>
      <c r="G792" s="14">
        <v>34.0</v>
      </c>
      <c r="H792" s="23" t="s">
        <v>26</v>
      </c>
      <c r="I792" s="24" t="s">
        <v>33</v>
      </c>
      <c r="J792" s="19" t="s">
        <v>68</v>
      </c>
      <c r="K792" s="14">
        <v>31.0</v>
      </c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>
      <c r="A793" s="14" t="s">
        <v>3030</v>
      </c>
      <c r="B793" s="17" t="s">
        <v>3031</v>
      </c>
      <c r="C793" s="17" t="s">
        <v>3032</v>
      </c>
      <c r="D793" s="19" t="s">
        <v>3033</v>
      </c>
      <c r="E793" s="20" t="s">
        <v>104</v>
      </c>
      <c r="F793" s="21">
        <v>28539.0</v>
      </c>
      <c r="G793" s="14">
        <v>48.0</v>
      </c>
      <c r="H793" s="23" t="s">
        <v>27</v>
      </c>
      <c r="I793" s="24" t="s">
        <v>27</v>
      </c>
      <c r="J793" s="19" t="s">
        <v>53</v>
      </c>
      <c r="K793" s="14">
        <v>32.0</v>
      </c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>
      <c r="A794" s="14" t="s">
        <v>3034</v>
      </c>
      <c r="B794" s="17" t="s">
        <v>3035</v>
      </c>
      <c r="C794" s="17" t="s">
        <v>3036</v>
      </c>
      <c r="D794" s="19" t="s">
        <v>3037</v>
      </c>
      <c r="E794" s="20" t="s">
        <v>138</v>
      </c>
      <c r="F794" s="21">
        <v>34922.0</v>
      </c>
      <c r="G794" s="14">
        <v>31.0</v>
      </c>
      <c r="H794" s="23" t="s">
        <v>26</v>
      </c>
      <c r="I794" s="24" t="s">
        <v>33</v>
      </c>
      <c r="J794" s="19" t="s">
        <v>146</v>
      </c>
      <c r="K794" s="14">
        <v>3.0</v>
      </c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>
      <c r="A795" s="14" t="s">
        <v>3038</v>
      </c>
      <c r="B795" s="17" t="s">
        <v>3035</v>
      </c>
      <c r="C795" s="17" t="s">
        <v>3039</v>
      </c>
      <c r="D795" s="19" t="s">
        <v>3040</v>
      </c>
      <c r="E795" s="20" t="s">
        <v>53</v>
      </c>
      <c r="F795" s="21">
        <v>34371.0</v>
      </c>
      <c r="G795" s="14">
        <v>32.0</v>
      </c>
      <c r="H795" s="23" t="s">
        <v>26</v>
      </c>
      <c r="I795" s="24" t="s">
        <v>27</v>
      </c>
      <c r="J795" s="19" t="s">
        <v>146</v>
      </c>
      <c r="K795" s="14">
        <v>3.0</v>
      </c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>
      <c r="A796" s="14" t="s">
        <v>3041</v>
      </c>
      <c r="B796" s="17" t="s">
        <v>3042</v>
      </c>
      <c r="C796" s="17" t="s">
        <v>3043</v>
      </c>
      <c r="D796" s="19" t="s">
        <v>3044</v>
      </c>
      <c r="E796" s="20" t="s">
        <v>104</v>
      </c>
      <c r="F796" s="21">
        <v>35690.0</v>
      </c>
      <c r="G796" s="14">
        <v>28.0</v>
      </c>
      <c r="H796" s="23" t="s">
        <v>100</v>
      </c>
      <c r="I796" s="24" t="s">
        <v>27</v>
      </c>
      <c r="J796" s="19" t="s">
        <v>517</v>
      </c>
      <c r="K796" s="14">
        <v>9.0</v>
      </c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>
      <c r="A797" s="14" t="s">
        <v>3045</v>
      </c>
      <c r="B797" s="17" t="s">
        <v>3042</v>
      </c>
      <c r="C797" s="17" t="s">
        <v>3046</v>
      </c>
      <c r="D797" s="19" t="s">
        <v>520</v>
      </c>
      <c r="E797" s="20" t="s">
        <v>3047</v>
      </c>
      <c r="F797" s="21">
        <v>28395.0</v>
      </c>
      <c r="G797" s="14">
        <v>48.0</v>
      </c>
      <c r="H797" s="23" t="s">
        <v>26</v>
      </c>
      <c r="I797" s="24" t="s">
        <v>27</v>
      </c>
      <c r="J797" s="19" t="s">
        <v>517</v>
      </c>
      <c r="K797" s="14">
        <v>9.0</v>
      </c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>
      <c r="A798" s="14" t="s">
        <v>3048</v>
      </c>
      <c r="B798" s="17" t="s">
        <v>3042</v>
      </c>
      <c r="C798" s="17" t="s">
        <v>3049</v>
      </c>
      <c r="D798" s="19" t="s">
        <v>636</v>
      </c>
      <c r="E798" s="20" t="s">
        <v>429</v>
      </c>
      <c r="F798" s="21">
        <v>26095.0</v>
      </c>
      <c r="G798" s="14">
        <v>55.0</v>
      </c>
      <c r="H798" s="23" t="s">
        <v>26</v>
      </c>
      <c r="I798" s="24" t="s">
        <v>33</v>
      </c>
      <c r="J798" s="19" t="s">
        <v>58</v>
      </c>
      <c r="K798" s="14">
        <v>9.0</v>
      </c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>
      <c r="A799" s="14" t="s">
        <v>3050</v>
      </c>
      <c r="B799" s="17" t="s">
        <v>3051</v>
      </c>
      <c r="C799" s="17" t="s">
        <v>3052</v>
      </c>
      <c r="D799" s="19" t="s">
        <v>3053</v>
      </c>
      <c r="E799" s="20" t="s">
        <v>434</v>
      </c>
      <c r="F799" s="21">
        <v>26854.0</v>
      </c>
      <c r="G799" s="14">
        <v>53.0</v>
      </c>
      <c r="H799" s="23" t="s">
        <v>26</v>
      </c>
      <c r="I799" s="24" t="s">
        <v>33</v>
      </c>
      <c r="J799" s="19" t="s">
        <v>58</v>
      </c>
      <c r="K799" s="14">
        <v>9.0</v>
      </c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>
      <c r="A800" s="14" t="s">
        <v>3054</v>
      </c>
      <c r="B800" s="17" t="s">
        <v>3051</v>
      </c>
      <c r="C800" s="17" t="s">
        <v>3055</v>
      </c>
      <c r="D800" s="19" t="s">
        <v>3056</v>
      </c>
      <c r="E800" s="20" t="s">
        <v>53</v>
      </c>
      <c r="F800" s="21">
        <v>30464.0</v>
      </c>
      <c r="G800" s="14">
        <v>43.0</v>
      </c>
      <c r="H800" s="23" t="s">
        <v>26</v>
      </c>
      <c r="I800" s="24" t="s">
        <v>27</v>
      </c>
      <c r="J800" s="19" t="s">
        <v>58</v>
      </c>
      <c r="K800" s="14">
        <v>9.0</v>
      </c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>
      <c r="A801" s="14" t="s">
        <v>3057</v>
      </c>
      <c r="B801" s="17" t="s">
        <v>3058</v>
      </c>
      <c r="C801" s="17" t="s">
        <v>3059</v>
      </c>
      <c r="D801" s="19" t="s">
        <v>3060</v>
      </c>
      <c r="E801" s="20" t="s">
        <v>1816</v>
      </c>
      <c r="F801" s="21">
        <v>34110.0</v>
      </c>
      <c r="G801" s="14">
        <v>33.0</v>
      </c>
      <c r="H801" s="23" t="s">
        <v>26</v>
      </c>
      <c r="I801" s="24" t="s">
        <v>27</v>
      </c>
      <c r="J801" s="19" t="s">
        <v>726</v>
      </c>
      <c r="K801" s="14">
        <v>17.0</v>
      </c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>
      <c r="A802" s="14" t="s">
        <v>3061</v>
      </c>
      <c r="B802" s="17" t="s">
        <v>3062</v>
      </c>
      <c r="C802" s="17" t="s">
        <v>3063</v>
      </c>
      <c r="D802" s="19" t="s">
        <v>3064</v>
      </c>
      <c r="E802" s="20" t="s">
        <v>650</v>
      </c>
      <c r="F802" s="21">
        <v>25841.0</v>
      </c>
      <c r="G802" s="14">
        <v>55.0</v>
      </c>
      <c r="H802" s="23" t="s">
        <v>26</v>
      </c>
      <c r="I802" s="24" t="s">
        <v>33</v>
      </c>
      <c r="J802" s="19" t="s">
        <v>726</v>
      </c>
      <c r="K802" s="14">
        <v>17.0</v>
      </c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>
      <c r="A803" s="14" t="s">
        <v>3065</v>
      </c>
      <c r="B803" s="17" t="s">
        <v>3062</v>
      </c>
      <c r="C803" s="17" t="s">
        <v>3066</v>
      </c>
      <c r="D803" s="19" t="s">
        <v>687</v>
      </c>
      <c r="E803" s="20" t="s">
        <v>53</v>
      </c>
      <c r="F803" s="21">
        <v>35568.0</v>
      </c>
      <c r="G803" s="14">
        <v>29.0</v>
      </c>
      <c r="H803" s="23" t="s">
        <v>100</v>
      </c>
      <c r="I803" s="24" t="s">
        <v>27</v>
      </c>
      <c r="J803" s="19" t="s">
        <v>726</v>
      </c>
      <c r="K803" s="14">
        <v>17.0</v>
      </c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>
      <c r="A804" s="14" t="s">
        <v>3068</v>
      </c>
      <c r="B804" s="17" t="s">
        <v>3062</v>
      </c>
      <c r="C804" s="17" t="s">
        <v>3069</v>
      </c>
      <c r="D804" s="19" t="s">
        <v>3070</v>
      </c>
      <c r="E804" s="20" t="s">
        <v>3071</v>
      </c>
      <c r="F804" s="21">
        <v>23087.0</v>
      </c>
      <c r="G804" s="14">
        <v>63.0</v>
      </c>
      <c r="H804" s="23" t="s">
        <v>26</v>
      </c>
      <c r="I804" s="24" t="s">
        <v>27</v>
      </c>
      <c r="J804" s="19" t="s">
        <v>726</v>
      </c>
      <c r="K804" s="14">
        <v>17.0</v>
      </c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>
      <c r="A805" s="14" t="s">
        <v>3072</v>
      </c>
      <c r="B805" s="17" t="s">
        <v>3073</v>
      </c>
      <c r="C805" s="17" t="s">
        <v>3074</v>
      </c>
      <c r="D805" s="19" t="s">
        <v>3075</v>
      </c>
      <c r="E805" s="20" t="s">
        <v>274</v>
      </c>
      <c r="F805" s="21">
        <v>35097.0</v>
      </c>
      <c r="G805" s="14">
        <v>30.0</v>
      </c>
      <c r="H805" s="23" t="s">
        <v>26</v>
      </c>
      <c r="I805" s="24" t="s">
        <v>27</v>
      </c>
      <c r="J805" s="19" t="s">
        <v>3076</v>
      </c>
      <c r="K805" s="14">
        <v>8.0</v>
      </c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>
      <c r="A806" s="14" t="s">
        <v>3077</v>
      </c>
      <c r="B806" s="17" t="s">
        <v>3073</v>
      </c>
      <c r="C806" s="17" t="s">
        <v>3078</v>
      </c>
      <c r="D806" s="19" t="s">
        <v>3079</v>
      </c>
      <c r="E806" s="20" t="s">
        <v>104</v>
      </c>
      <c r="F806" s="21">
        <v>34441.0</v>
      </c>
      <c r="G806" s="14">
        <v>32.0</v>
      </c>
      <c r="H806" s="23" t="s">
        <v>26</v>
      </c>
      <c r="I806" s="24" t="s">
        <v>33</v>
      </c>
      <c r="J806" s="19" t="s">
        <v>3076</v>
      </c>
      <c r="K806" s="14">
        <v>8.0</v>
      </c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>
      <c r="A807" s="14" t="s">
        <v>3080</v>
      </c>
      <c r="B807" s="17" t="s">
        <v>3081</v>
      </c>
      <c r="C807" s="17" t="s">
        <v>3082</v>
      </c>
      <c r="D807" s="19" t="s">
        <v>3083</v>
      </c>
      <c r="E807" s="20" t="s">
        <v>3084</v>
      </c>
      <c r="F807" s="21">
        <v>15169.0</v>
      </c>
      <c r="G807" s="14">
        <v>85.0</v>
      </c>
      <c r="H807" s="23" t="s">
        <v>27</v>
      </c>
      <c r="I807" s="24" t="s">
        <v>27</v>
      </c>
      <c r="J807" s="19" t="s">
        <v>362</v>
      </c>
      <c r="K807" s="14">
        <v>24.0</v>
      </c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>
      <c r="A808" s="14" t="s">
        <v>3085</v>
      </c>
      <c r="B808" s="17" t="s">
        <v>3081</v>
      </c>
      <c r="C808" s="17" t="s">
        <v>3086</v>
      </c>
      <c r="D808" s="19" t="s">
        <v>3087</v>
      </c>
      <c r="E808" s="20" t="s">
        <v>1370</v>
      </c>
      <c r="F808" s="21">
        <v>28432.0</v>
      </c>
      <c r="G808" s="14">
        <v>48.0</v>
      </c>
      <c r="H808" s="23" t="s">
        <v>100</v>
      </c>
      <c r="I808" s="24" t="s">
        <v>33</v>
      </c>
      <c r="J808" s="19" t="s">
        <v>362</v>
      </c>
      <c r="K808" s="14">
        <v>24.0</v>
      </c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>
      <c r="A809" s="14" t="s">
        <v>3088</v>
      </c>
      <c r="B809" s="17" t="s">
        <v>3089</v>
      </c>
      <c r="C809" s="17" t="s">
        <v>3090</v>
      </c>
      <c r="D809" s="19" t="s">
        <v>3091</v>
      </c>
      <c r="E809" s="20" t="s">
        <v>654</v>
      </c>
      <c r="F809" s="27">
        <v>15629.0</v>
      </c>
      <c r="G809" s="14">
        <v>83.0</v>
      </c>
      <c r="H809" s="23" t="s">
        <v>26</v>
      </c>
      <c r="I809" s="24" t="s">
        <v>27</v>
      </c>
      <c r="J809" s="19" t="s">
        <v>68</v>
      </c>
      <c r="K809" s="14">
        <v>30.0</v>
      </c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>
      <c r="A810" s="14" t="s">
        <v>3092</v>
      </c>
      <c r="B810" s="17" t="s">
        <v>3093</v>
      </c>
      <c r="C810" s="17" t="s">
        <v>3094</v>
      </c>
      <c r="D810" s="19" t="s">
        <v>3095</v>
      </c>
      <c r="E810" s="20" t="s">
        <v>53</v>
      </c>
      <c r="F810" s="21">
        <v>33730.0</v>
      </c>
      <c r="G810" s="14">
        <v>34.0</v>
      </c>
      <c r="H810" s="23" t="s">
        <v>100</v>
      </c>
      <c r="I810" s="24" t="s">
        <v>27</v>
      </c>
      <c r="J810" s="19" t="s">
        <v>68</v>
      </c>
      <c r="K810" s="14">
        <v>35.0</v>
      </c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>
      <c r="A811" s="14" t="s">
        <v>3096</v>
      </c>
      <c r="B811" s="17" t="s">
        <v>3093</v>
      </c>
      <c r="C811" s="17" t="s">
        <v>3097</v>
      </c>
      <c r="D811" s="19" t="s">
        <v>3098</v>
      </c>
      <c r="E811" s="20" t="s">
        <v>53</v>
      </c>
      <c r="F811" s="21">
        <v>32960.0</v>
      </c>
      <c r="G811" s="14">
        <v>36.0</v>
      </c>
      <c r="H811" s="23" t="s">
        <v>100</v>
      </c>
      <c r="I811" s="24" t="s">
        <v>27</v>
      </c>
      <c r="J811" s="19" t="s">
        <v>68</v>
      </c>
      <c r="K811" s="14">
        <v>35.0</v>
      </c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>
      <c r="A812" s="14" t="s">
        <v>3099</v>
      </c>
      <c r="B812" s="17" t="s">
        <v>3093</v>
      </c>
      <c r="C812" s="17" t="s">
        <v>3100</v>
      </c>
      <c r="D812" s="19" t="s">
        <v>2527</v>
      </c>
      <c r="E812" s="20" t="s">
        <v>3101</v>
      </c>
      <c r="F812" s="27">
        <v>21550.0</v>
      </c>
      <c r="G812" s="14">
        <v>67.0</v>
      </c>
      <c r="H812" s="23" t="s">
        <v>27</v>
      </c>
      <c r="I812" s="24" t="s">
        <v>27</v>
      </c>
      <c r="J812" s="19" t="s">
        <v>68</v>
      </c>
      <c r="K812" s="14">
        <v>35.0</v>
      </c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>
      <c r="A813" s="14" t="s">
        <v>3102</v>
      </c>
      <c r="B813" s="17" t="s">
        <v>3103</v>
      </c>
      <c r="C813" s="17" t="s">
        <v>3104</v>
      </c>
      <c r="D813" s="19" t="s">
        <v>3105</v>
      </c>
      <c r="E813" s="20" t="s">
        <v>3106</v>
      </c>
      <c r="F813" s="21">
        <v>21583.0</v>
      </c>
      <c r="G813" s="14">
        <v>67.0</v>
      </c>
      <c r="H813" s="23" t="s">
        <v>27</v>
      </c>
      <c r="I813" s="24" t="s">
        <v>27</v>
      </c>
      <c r="J813" s="19" t="s">
        <v>362</v>
      </c>
      <c r="K813" s="14">
        <v>14.0</v>
      </c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>
      <c r="A814" s="14" t="s">
        <v>3107</v>
      </c>
      <c r="B814" s="17" t="s">
        <v>3108</v>
      </c>
      <c r="C814" s="17" t="s">
        <v>3109</v>
      </c>
      <c r="D814" s="19" t="s">
        <v>3110</v>
      </c>
      <c r="E814" s="20" t="s">
        <v>984</v>
      </c>
      <c r="F814" s="21">
        <v>24972.0</v>
      </c>
      <c r="G814" s="14">
        <v>58.0</v>
      </c>
      <c r="H814" s="23" t="s">
        <v>26</v>
      </c>
      <c r="I814" s="24" t="s">
        <v>27</v>
      </c>
      <c r="J814" s="19" t="s">
        <v>282</v>
      </c>
      <c r="K814" s="14">
        <v>12.0</v>
      </c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>
      <c r="A815" s="14" t="s">
        <v>3111</v>
      </c>
      <c r="B815" s="17" t="s">
        <v>3112</v>
      </c>
      <c r="C815" s="17" t="s">
        <v>3113</v>
      </c>
      <c r="D815" s="19" t="s">
        <v>3114</v>
      </c>
      <c r="E815" s="20" t="s">
        <v>112</v>
      </c>
      <c r="F815" s="21">
        <v>26000.0</v>
      </c>
      <c r="G815" s="14">
        <v>55.0</v>
      </c>
      <c r="H815" s="23" t="s">
        <v>26</v>
      </c>
      <c r="I815" s="24" t="s">
        <v>27</v>
      </c>
      <c r="J815" s="19" t="s">
        <v>328</v>
      </c>
      <c r="K815" s="14">
        <v>19.0</v>
      </c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>
      <c r="A816" s="14" t="s">
        <v>3115</v>
      </c>
      <c r="B816" s="17" t="s">
        <v>3116</v>
      </c>
      <c r="C816" s="17" t="s">
        <v>3117</v>
      </c>
      <c r="D816" s="19" t="s">
        <v>3118</v>
      </c>
      <c r="E816" s="20" t="s">
        <v>632</v>
      </c>
      <c r="F816" s="21">
        <v>23203.0</v>
      </c>
      <c r="G816" s="14">
        <v>63.0</v>
      </c>
      <c r="H816" s="23" t="s">
        <v>26</v>
      </c>
      <c r="I816" s="24" t="s">
        <v>27</v>
      </c>
      <c r="J816" s="19" t="s">
        <v>517</v>
      </c>
      <c r="K816" s="14">
        <v>8.0</v>
      </c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>
      <c r="A817" s="14" t="s">
        <v>3119</v>
      </c>
      <c r="B817" s="17" t="s">
        <v>3120</v>
      </c>
      <c r="C817" s="17" t="s">
        <v>3121</v>
      </c>
      <c r="D817" s="19" t="s">
        <v>3122</v>
      </c>
      <c r="E817" s="20" t="s">
        <v>632</v>
      </c>
      <c r="F817" s="21">
        <v>25750.0</v>
      </c>
      <c r="G817" s="14">
        <v>56.0</v>
      </c>
      <c r="H817" s="23" t="s">
        <v>27</v>
      </c>
      <c r="I817" s="24" t="s">
        <v>27</v>
      </c>
      <c r="J817" s="19" t="s">
        <v>53</v>
      </c>
      <c r="K817" s="14">
        <v>18.0</v>
      </c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>
      <c r="A818" s="14" t="s">
        <v>3123</v>
      </c>
      <c r="B818" s="17" t="s">
        <v>3124</v>
      </c>
      <c r="C818" s="17" t="s">
        <v>3125</v>
      </c>
      <c r="D818" s="19" t="s">
        <v>3126</v>
      </c>
      <c r="E818" s="20" t="s">
        <v>3127</v>
      </c>
      <c r="F818" s="21">
        <v>25335.0</v>
      </c>
      <c r="G818" s="14">
        <v>57.0</v>
      </c>
      <c r="H818" s="23" t="s">
        <v>27</v>
      </c>
      <c r="I818" s="24" t="s">
        <v>27</v>
      </c>
      <c r="J818" s="19" t="s">
        <v>3128</v>
      </c>
      <c r="K818" s="14">
        <v>14.0</v>
      </c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>
      <c r="A819" s="14" t="s">
        <v>3129</v>
      </c>
      <c r="B819" s="17" t="s">
        <v>3130</v>
      </c>
      <c r="C819" s="17" t="s">
        <v>3131</v>
      </c>
      <c r="D819" s="19" t="s">
        <v>3132</v>
      </c>
      <c r="E819" s="20" t="s">
        <v>104</v>
      </c>
      <c r="F819" s="21">
        <v>36754.0</v>
      </c>
      <c r="G819" s="14">
        <v>26.0</v>
      </c>
      <c r="H819" s="23" t="s">
        <v>26</v>
      </c>
      <c r="I819" s="24" t="s">
        <v>33</v>
      </c>
      <c r="J819" s="19" t="s">
        <v>53</v>
      </c>
      <c r="K819" s="14">
        <v>24.0</v>
      </c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>
      <c r="A820" s="14" t="s">
        <v>3133</v>
      </c>
      <c r="B820" s="17" t="s">
        <v>3130</v>
      </c>
      <c r="C820" s="17" t="s">
        <v>3134</v>
      </c>
      <c r="D820" s="19" t="s">
        <v>3135</v>
      </c>
      <c r="E820" s="20" t="s">
        <v>989</v>
      </c>
      <c r="F820" s="21">
        <v>36353.0</v>
      </c>
      <c r="G820" s="14">
        <v>27.0</v>
      </c>
      <c r="H820" s="23" t="s">
        <v>26</v>
      </c>
      <c r="I820" s="24" t="s">
        <v>27</v>
      </c>
      <c r="J820" s="19" t="s">
        <v>53</v>
      </c>
      <c r="K820" s="14">
        <v>24.0</v>
      </c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>
      <c r="A821" s="14" t="s">
        <v>3136</v>
      </c>
      <c r="B821" s="17" t="s">
        <v>3137</v>
      </c>
      <c r="C821" s="17" t="s">
        <v>3138</v>
      </c>
      <c r="D821" s="19" t="s">
        <v>3139</v>
      </c>
      <c r="E821" s="20" t="s">
        <v>1291</v>
      </c>
      <c r="F821" s="21">
        <v>20133.0</v>
      </c>
      <c r="G821" s="14">
        <v>71.0</v>
      </c>
      <c r="H821" s="23" t="s">
        <v>27</v>
      </c>
      <c r="I821" s="24" t="s">
        <v>27</v>
      </c>
      <c r="J821" s="19" t="s">
        <v>58</v>
      </c>
      <c r="K821" s="14">
        <v>36.0</v>
      </c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>
      <c r="A822" s="14" t="s">
        <v>3140</v>
      </c>
      <c r="B822" s="17" t="s">
        <v>3141</v>
      </c>
      <c r="C822" s="17" t="s">
        <v>3142</v>
      </c>
      <c r="D822" s="19" t="s">
        <v>3143</v>
      </c>
      <c r="E822" s="20" t="s">
        <v>3144</v>
      </c>
      <c r="F822" s="21">
        <v>32665.0</v>
      </c>
      <c r="G822" s="14">
        <v>37.0</v>
      </c>
      <c r="H822" s="23" t="s">
        <v>26</v>
      </c>
      <c r="I822" s="24" t="s">
        <v>33</v>
      </c>
      <c r="J822" s="19" t="s">
        <v>282</v>
      </c>
      <c r="K822" s="14">
        <v>13.0</v>
      </c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>
      <c r="A823" s="14" t="s">
        <v>3145</v>
      </c>
      <c r="B823" s="17" t="s">
        <v>3141</v>
      </c>
      <c r="C823" s="17" t="s">
        <v>3146</v>
      </c>
      <c r="D823" s="19" t="s">
        <v>3147</v>
      </c>
      <c r="E823" s="20" t="s">
        <v>104</v>
      </c>
      <c r="F823" s="27">
        <v>32808.0</v>
      </c>
      <c r="G823" s="14">
        <v>36.0</v>
      </c>
      <c r="H823" s="23" t="s">
        <v>26</v>
      </c>
      <c r="I823" s="24" t="s">
        <v>27</v>
      </c>
      <c r="J823" s="19" t="s">
        <v>282</v>
      </c>
      <c r="K823" s="14">
        <v>13.0</v>
      </c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>
      <c r="A824" s="14" t="s">
        <v>3148</v>
      </c>
      <c r="B824" s="17" t="s">
        <v>3149</v>
      </c>
      <c r="C824" s="17" t="s">
        <v>3150</v>
      </c>
      <c r="D824" s="19" t="s">
        <v>3151</v>
      </c>
      <c r="E824" s="20" t="s">
        <v>53</v>
      </c>
      <c r="F824" s="21">
        <v>37034.0</v>
      </c>
      <c r="G824" s="14">
        <v>25.0</v>
      </c>
      <c r="H824" s="23" t="s">
        <v>26</v>
      </c>
      <c r="I824" s="24" t="s">
        <v>27</v>
      </c>
      <c r="J824" s="19" t="s">
        <v>156</v>
      </c>
      <c r="K824" s="14">
        <v>28.0</v>
      </c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>
      <c r="A825" s="14" t="s">
        <v>3152</v>
      </c>
      <c r="B825" s="17" t="s">
        <v>3149</v>
      </c>
      <c r="C825" s="17" t="s">
        <v>3153</v>
      </c>
      <c r="D825" s="19" t="s">
        <v>3154</v>
      </c>
      <c r="E825" s="20" t="s">
        <v>858</v>
      </c>
      <c r="F825" s="21">
        <v>36839.0</v>
      </c>
      <c r="G825" s="14">
        <v>25.0</v>
      </c>
      <c r="H825" s="23" t="s">
        <v>26</v>
      </c>
      <c r="I825" s="24" t="s">
        <v>33</v>
      </c>
      <c r="J825" s="19" t="s">
        <v>156</v>
      </c>
      <c r="K825" s="14">
        <v>28.0</v>
      </c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>
      <c r="A826" s="14" t="s">
        <v>3155</v>
      </c>
      <c r="B826" s="17" t="s">
        <v>3156</v>
      </c>
      <c r="C826" s="17" t="s">
        <v>3157</v>
      </c>
      <c r="D826" s="19" t="s">
        <v>3158</v>
      </c>
      <c r="E826" s="20" t="s">
        <v>1854</v>
      </c>
      <c r="F826" s="21">
        <v>37496.0</v>
      </c>
      <c r="G826" s="14">
        <v>24.0</v>
      </c>
      <c r="H826" s="23" t="s">
        <v>26</v>
      </c>
      <c r="I826" s="24" t="s">
        <v>33</v>
      </c>
      <c r="J826" s="19" t="s">
        <v>95</v>
      </c>
      <c r="K826" s="14">
        <v>15.0</v>
      </c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>
      <c r="A827" s="14" t="s">
        <v>3159</v>
      </c>
      <c r="B827" s="17" t="s">
        <v>3156</v>
      </c>
      <c r="C827" s="17" t="s">
        <v>3160</v>
      </c>
      <c r="D827" s="19" t="s">
        <v>3161</v>
      </c>
      <c r="E827" s="20" t="s">
        <v>3162</v>
      </c>
      <c r="F827" s="21">
        <v>39618.0</v>
      </c>
      <c r="G827" s="14">
        <v>18.0</v>
      </c>
      <c r="H827" s="23" t="s">
        <v>26</v>
      </c>
      <c r="I827" s="24" t="s">
        <v>27</v>
      </c>
      <c r="J827" s="19" t="s">
        <v>328</v>
      </c>
      <c r="K827" s="14">
        <v>13.0</v>
      </c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>
      <c r="A828" s="14" t="s">
        <v>3163</v>
      </c>
      <c r="B828" s="17" t="s">
        <v>3164</v>
      </c>
      <c r="C828" s="17" t="s">
        <v>3165</v>
      </c>
      <c r="D828" s="19" t="s">
        <v>3166</v>
      </c>
      <c r="E828" s="20" t="s">
        <v>104</v>
      </c>
      <c r="F828" s="21">
        <v>38391.0</v>
      </c>
      <c r="G828" s="14">
        <v>21.0</v>
      </c>
      <c r="H828" s="23" t="s">
        <v>100</v>
      </c>
      <c r="I828" s="24" t="s">
        <v>33</v>
      </c>
      <c r="J828" s="19" t="s">
        <v>3167</v>
      </c>
      <c r="K828" s="14">
        <v>20.0</v>
      </c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>
      <c r="A829" s="14" t="s">
        <v>3168</v>
      </c>
      <c r="B829" s="17" t="s">
        <v>3164</v>
      </c>
      <c r="C829" s="17" t="s">
        <v>3169</v>
      </c>
      <c r="D829" s="19" t="s">
        <v>3170</v>
      </c>
      <c r="E829" s="20" t="s">
        <v>104</v>
      </c>
      <c r="F829" s="27">
        <v>36511.0</v>
      </c>
      <c r="G829" s="14">
        <v>26.0</v>
      </c>
      <c r="H829" s="23" t="s">
        <v>100</v>
      </c>
      <c r="I829" s="24" t="s">
        <v>27</v>
      </c>
      <c r="J829" s="19" t="s">
        <v>3167</v>
      </c>
      <c r="K829" s="14">
        <v>20.0</v>
      </c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>
      <c r="A830" s="14" t="s">
        <v>3171</v>
      </c>
      <c r="B830" s="17" t="s">
        <v>3164</v>
      </c>
      <c r="C830" s="17" t="s">
        <v>3172</v>
      </c>
      <c r="D830" s="19" t="s">
        <v>3173</v>
      </c>
      <c r="E830" s="20" t="s">
        <v>544</v>
      </c>
      <c r="F830" s="27">
        <v>27710.0</v>
      </c>
      <c r="G830" s="14">
        <v>50.0</v>
      </c>
      <c r="H830" s="23" t="s">
        <v>26</v>
      </c>
      <c r="I830" s="24" t="s">
        <v>33</v>
      </c>
      <c r="J830" s="19" t="s">
        <v>3167</v>
      </c>
      <c r="K830" s="14">
        <v>20.0</v>
      </c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>
      <c r="A831" s="14" t="s">
        <v>3174</v>
      </c>
      <c r="B831" s="17" t="s">
        <v>3164</v>
      </c>
      <c r="C831" s="17" t="s">
        <v>3175</v>
      </c>
      <c r="D831" s="19" t="s">
        <v>3176</v>
      </c>
      <c r="E831" s="20" t="s">
        <v>104</v>
      </c>
      <c r="F831" s="21">
        <v>29804.0</v>
      </c>
      <c r="G831" s="14">
        <v>45.0</v>
      </c>
      <c r="H831" s="23" t="s">
        <v>26</v>
      </c>
      <c r="I831" s="24" t="s">
        <v>27</v>
      </c>
      <c r="J831" s="19" t="s">
        <v>3167</v>
      </c>
      <c r="K831" s="14">
        <v>20.0</v>
      </c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>
      <c r="A832" s="14" t="s">
        <v>3177</v>
      </c>
      <c r="B832" s="17" t="s">
        <v>3178</v>
      </c>
      <c r="C832" s="17" t="s">
        <v>3179</v>
      </c>
      <c r="D832" s="19" t="s">
        <v>3180</v>
      </c>
      <c r="E832" s="20" t="s">
        <v>650</v>
      </c>
      <c r="F832" s="21">
        <v>19541.0</v>
      </c>
      <c r="G832" s="14">
        <v>73.0</v>
      </c>
      <c r="H832" s="23" t="s">
        <v>26</v>
      </c>
      <c r="I832" s="24" t="s">
        <v>27</v>
      </c>
      <c r="J832" s="19" t="s">
        <v>597</v>
      </c>
      <c r="K832" s="14">
        <v>20.0</v>
      </c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>
      <c r="A833" s="14" t="s">
        <v>3181</v>
      </c>
      <c r="B833" s="17" t="s">
        <v>3182</v>
      </c>
      <c r="C833" s="17" t="s">
        <v>3183</v>
      </c>
      <c r="D833" s="19" t="s">
        <v>3184</v>
      </c>
      <c r="E833" s="20" t="s">
        <v>104</v>
      </c>
      <c r="F833" s="21">
        <v>34947.0</v>
      </c>
      <c r="G833" s="14">
        <v>30.0</v>
      </c>
      <c r="H833" s="23" t="s">
        <v>26</v>
      </c>
      <c r="I833" s="24" t="s">
        <v>27</v>
      </c>
      <c r="J833" s="19" t="s">
        <v>282</v>
      </c>
      <c r="K833" s="14">
        <v>18.0</v>
      </c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>
      <c r="A834" s="14" t="s">
        <v>3185</v>
      </c>
      <c r="B834" s="17" t="s">
        <v>3182</v>
      </c>
      <c r="C834" s="17" t="s">
        <v>3186</v>
      </c>
      <c r="D834" s="19" t="s">
        <v>3187</v>
      </c>
      <c r="E834" s="20" t="s">
        <v>104</v>
      </c>
      <c r="F834" s="21">
        <v>32556.0</v>
      </c>
      <c r="G834" s="14">
        <v>37.0</v>
      </c>
      <c r="H834" s="23" t="s">
        <v>26</v>
      </c>
      <c r="I834" s="24" t="s">
        <v>33</v>
      </c>
      <c r="J834" s="19" t="s">
        <v>282</v>
      </c>
      <c r="K834" s="14">
        <v>18.0</v>
      </c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>
      <c r="A835" s="14" t="s">
        <v>3188</v>
      </c>
      <c r="B835" s="17" t="s">
        <v>3189</v>
      </c>
      <c r="C835" s="17" t="s">
        <v>3190</v>
      </c>
      <c r="D835" s="19" t="s">
        <v>3191</v>
      </c>
      <c r="E835" s="20" t="s">
        <v>1782</v>
      </c>
      <c r="F835" s="21">
        <v>38372.0</v>
      </c>
      <c r="G835" s="14">
        <v>21.0</v>
      </c>
      <c r="H835" s="23" t="s">
        <v>100</v>
      </c>
      <c r="I835" s="24" t="s">
        <v>27</v>
      </c>
      <c r="J835" s="19" t="s">
        <v>726</v>
      </c>
      <c r="K835" s="14">
        <v>16.0</v>
      </c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>
      <c r="A836" s="14" t="s">
        <v>3192</v>
      </c>
      <c r="B836" s="17" t="s">
        <v>3189</v>
      </c>
      <c r="C836" s="17" t="s">
        <v>3193</v>
      </c>
      <c r="D836" s="19" t="s">
        <v>3194</v>
      </c>
      <c r="E836" s="20" t="s">
        <v>67</v>
      </c>
      <c r="F836" s="27">
        <v>25862.0</v>
      </c>
      <c r="G836" s="14">
        <v>55.0</v>
      </c>
      <c r="H836" s="23" t="s">
        <v>26</v>
      </c>
      <c r="I836" s="24" t="s">
        <v>33</v>
      </c>
      <c r="J836" s="19" t="s">
        <v>726</v>
      </c>
      <c r="K836" s="14">
        <v>16.0</v>
      </c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>
      <c r="A837" s="14" t="s">
        <v>3195</v>
      </c>
      <c r="B837" s="17" t="s">
        <v>3189</v>
      </c>
      <c r="C837" s="17" t="s">
        <v>3196</v>
      </c>
      <c r="D837" s="19" t="s">
        <v>3197</v>
      </c>
      <c r="E837" s="20" t="s">
        <v>67</v>
      </c>
      <c r="F837" s="27">
        <v>29220.0</v>
      </c>
      <c r="G837" s="14">
        <v>46.0</v>
      </c>
      <c r="H837" s="23" t="s">
        <v>26</v>
      </c>
      <c r="I837" s="24" t="s">
        <v>27</v>
      </c>
      <c r="J837" s="19" t="s">
        <v>726</v>
      </c>
      <c r="K837" s="14">
        <v>16.0</v>
      </c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>
      <c r="A838" s="14" t="s">
        <v>3198</v>
      </c>
      <c r="B838" s="17" t="s">
        <v>3199</v>
      </c>
      <c r="C838" s="17" t="s">
        <v>3200</v>
      </c>
      <c r="D838" s="19" t="s">
        <v>3201</v>
      </c>
      <c r="E838" s="20" t="s">
        <v>3202</v>
      </c>
      <c r="F838" s="21">
        <v>34608.0</v>
      </c>
      <c r="G838" s="14">
        <v>31.0</v>
      </c>
      <c r="H838" s="23" t="s">
        <v>26</v>
      </c>
      <c r="I838" s="24" t="s">
        <v>33</v>
      </c>
      <c r="J838" s="19" t="s">
        <v>53</v>
      </c>
      <c r="K838" s="14">
        <v>10.0</v>
      </c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>
      <c r="A839" s="14" t="s">
        <v>3203</v>
      </c>
      <c r="B839" s="17" t="s">
        <v>3199</v>
      </c>
      <c r="C839" s="17" t="s">
        <v>3204</v>
      </c>
      <c r="D839" s="19" t="s">
        <v>3205</v>
      </c>
      <c r="E839" s="20" t="s">
        <v>104</v>
      </c>
      <c r="F839" s="21">
        <v>36306.0</v>
      </c>
      <c r="G839" s="14">
        <v>27.0</v>
      </c>
      <c r="H839" s="23" t="s">
        <v>26</v>
      </c>
      <c r="I839" s="24" t="s">
        <v>27</v>
      </c>
      <c r="J839" s="19" t="s">
        <v>53</v>
      </c>
      <c r="K839" s="14">
        <v>10.0</v>
      </c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>
      <c r="A840" s="14" t="s">
        <v>3206</v>
      </c>
      <c r="B840" s="17" t="s">
        <v>3207</v>
      </c>
      <c r="C840" s="17" t="s">
        <v>3208</v>
      </c>
      <c r="D840" s="19" t="s">
        <v>3209</v>
      </c>
      <c r="E840" s="20" t="s">
        <v>3210</v>
      </c>
      <c r="F840" s="21">
        <v>20133.0</v>
      </c>
      <c r="G840" s="14">
        <v>71.0</v>
      </c>
      <c r="H840" s="23" t="s">
        <v>26</v>
      </c>
      <c r="I840" s="24" t="s">
        <v>27</v>
      </c>
      <c r="J840" s="19" t="s">
        <v>3211</v>
      </c>
      <c r="K840" s="14">
        <v>26.0</v>
      </c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>
      <c r="A841" s="14" t="s">
        <v>3212</v>
      </c>
      <c r="B841" s="17" t="s">
        <v>3207</v>
      </c>
      <c r="C841" s="17" t="s">
        <v>3213</v>
      </c>
      <c r="D841" s="19" t="s">
        <v>3214</v>
      </c>
      <c r="E841" s="20" t="s">
        <v>3215</v>
      </c>
      <c r="F841" s="21">
        <v>18314.0</v>
      </c>
      <c r="G841" s="14">
        <v>76.0</v>
      </c>
      <c r="H841" s="23" t="s">
        <v>26</v>
      </c>
      <c r="I841" s="24" t="s">
        <v>33</v>
      </c>
      <c r="J841" s="19" t="s">
        <v>3211</v>
      </c>
      <c r="K841" s="14">
        <v>26.0</v>
      </c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>
      <c r="A842" s="14" t="s">
        <v>3216</v>
      </c>
      <c r="B842" s="17" t="s">
        <v>3217</v>
      </c>
      <c r="C842" s="17" t="s">
        <v>3218</v>
      </c>
      <c r="D842" s="19" t="s">
        <v>3219</v>
      </c>
      <c r="E842" s="20" t="s">
        <v>3220</v>
      </c>
      <c r="F842" s="21">
        <v>20367.0</v>
      </c>
      <c r="G842" s="14">
        <v>70.0</v>
      </c>
      <c r="H842" s="23" t="s">
        <v>26</v>
      </c>
      <c r="I842" s="24" t="s">
        <v>27</v>
      </c>
      <c r="J842" s="19" t="s">
        <v>58</v>
      </c>
      <c r="K842" s="14">
        <v>9.0</v>
      </c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>
      <c r="A843" s="14" t="s">
        <v>3221</v>
      </c>
      <c r="B843" s="17" t="s">
        <v>3217</v>
      </c>
      <c r="C843" s="17" t="s">
        <v>3222</v>
      </c>
      <c r="D843" s="19" t="s">
        <v>3223</v>
      </c>
      <c r="E843" s="20" t="s">
        <v>104</v>
      </c>
      <c r="F843" s="21">
        <v>38993.0</v>
      </c>
      <c r="G843" s="14">
        <v>19.0</v>
      </c>
      <c r="H843" s="23" t="s">
        <v>100</v>
      </c>
      <c r="I843" s="24" t="s">
        <v>33</v>
      </c>
      <c r="J843" s="19" t="s">
        <v>3224</v>
      </c>
      <c r="K843" s="14">
        <v>10.0</v>
      </c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>
      <c r="A844" s="14" t="s">
        <v>3225</v>
      </c>
      <c r="B844" s="17" t="s">
        <v>3217</v>
      </c>
      <c r="C844" s="17" t="s">
        <v>3226</v>
      </c>
      <c r="D844" s="19" t="s">
        <v>3227</v>
      </c>
      <c r="E844" s="20" t="s">
        <v>372</v>
      </c>
      <c r="F844" s="21">
        <v>21346.0</v>
      </c>
      <c r="G844" s="14">
        <v>68.0</v>
      </c>
      <c r="H844" s="23" t="s">
        <v>26</v>
      </c>
      <c r="I844" s="24" t="s">
        <v>33</v>
      </c>
      <c r="J844" s="19" t="s">
        <v>3224</v>
      </c>
      <c r="K844" s="14">
        <v>10.0</v>
      </c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>
      <c r="A845" s="14" t="s">
        <v>3228</v>
      </c>
      <c r="B845" s="17" t="s">
        <v>3229</v>
      </c>
      <c r="C845" s="17" t="s">
        <v>3230</v>
      </c>
      <c r="D845" s="19" t="s">
        <v>3231</v>
      </c>
      <c r="E845" s="20" t="s">
        <v>3232</v>
      </c>
      <c r="F845" s="21">
        <v>34920.0</v>
      </c>
      <c r="G845" s="14">
        <v>31.0</v>
      </c>
      <c r="H845" s="23" t="s">
        <v>26</v>
      </c>
      <c r="I845" s="24" t="s">
        <v>33</v>
      </c>
      <c r="J845" s="19" t="s">
        <v>53</v>
      </c>
      <c r="K845" s="14">
        <v>25.0</v>
      </c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>
      <c r="A846" s="14" t="s">
        <v>3233</v>
      </c>
      <c r="B846" s="17" t="s">
        <v>3229</v>
      </c>
      <c r="C846" s="17" t="s">
        <v>3234</v>
      </c>
      <c r="D846" s="19" t="s">
        <v>3235</v>
      </c>
      <c r="E846" s="20" t="s">
        <v>3236</v>
      </c>
      <c r="F846" s="21">
        <v>36341.0</v>
      </c>
      <c r="G846" s="14">
        <v>27.0</v>
      </c>
      <c r="H846" s="23" t="s">
        <v>26</v>
      </c>
      <c r="I846" s="24" t="s">
        <v>27</v>
      </c>
      <c r="J846" s="19" t="s">
        <v>53</v>
      </c>
      <c r="K846" s="14">
        <v>25.0</v>
      </c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>
      <c r="A847" s="14" t="s">
        <v>3237</v>
      </c>
      <c r="B847" s="17" t="s">
        <v>3238</v>
      </c>
      <c r="C847" s="17" t="s">
        <v>3239</v>
      </c>
      <c r="D847" s="19" t="s">
        <v>1390</v>
      </c>
      <c r="E847" s="20" t="s">
        <v>544</v>
      </c>
      <c r="F847" s="21">
        <v>25301.0</v>
      </c>
      <c r="G847" s="14">
        <v>57.0</v>
      </c>
      <c r="H847" s="23" t="s">
        <v>26</v>
      </c>
      <c r="I847" s="24" t="s">
        <v>33</v>
      </c>
      <c r="J847" s="19" t="s">
        <v>362</v>
      </c>
      <c r="K847" s="14">
        <v>27.0</v>
      </c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>
      <c r="A848" s="14" t="s">
        <v>3240</v>
      </c>
      <c r="B848" s="17" t="s">
        <v>3238</v>
      </c>
      <c r="C848" s="17" t="s">
        <v>3241</v>
      </c>
      <c r="D848" s="19" t="s">
        <v>3242</v>
      </c>
      <c r="E848" s="20" t="s">
        <v>138</v>
      </c>
      <c r="F848" s="21">
        <v>38621.0</v>
      </c>
      <c r="G848" s="14">
        <v>20.0</v>
      </c>
      <c r="H848" s="23" t="s">
        <v>100</v>
      </c>
      <c r="I848" s="24" t="s">
        <v>27</v>
      </c>
      <c r="J848" s="19" t="s">
        <v>362</v>
      </c>
      <c r="K848" s="14">
        <v>27.0</v>
      </c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>
      <c r="A849" s="14" t="s">
        <v>3243</v>
      </c>
      <c r="B849" s="17" t="s">
        <v>3238</v>
      </c>
      <c r="C849" s="17" t="s">
        <v>3244</v>
      </c>
      <c r="D849" s="19" t="s">
        <v>3245</v>
      </c>
      <c r="E849" s="20" t="s">
        <v>632</v>
      </c>
      <c r="F849" s="21">
        <v>28307.0</v>
      </c>
      <c r="G849" s="14">
        <v>49.0</v>
      </c>
      <c r="H849" s="23" t="s">
        <v>26</v>
      </c>
      <c r="I849" s="24" t="s">
        <v>27</v>
      </c>
      <c r="J849" s="19" t="s">
        <v>362</v>
      </c>
      <c r="K849" s="14">
        <v>27.0</v>
      </c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>
      <c r="A850" s="14" t="s">
        <v>3246</v>
      </c>
      <c r="B850" s="17" t="s">
        <v>3247</v>
      </c>
      <c r="C850" s="17" t="s">
        <v>3248</v>
      </c>
      <c r="D850" s="19" t="s">
        <v>3249</v>
      </c>
      <c r="E850" s="20" t="s">
        <v>632</v>
      </c>
      <c r="F850" s="21">
        <v>21927.0</v>
      </c>
      <c r="G850" s="14">
        <v>66.0</v>
      </c>
      <c r="H850" s="23" t="s">
        <v>26</v>
      </c>
      <c r="I850" s="24" t="s">
        <v>33</v>
      </c>
      <c r="J850" s="19" t="s">
        <v>328</v>
      </c>
      <c r="K850" s="14">
        <v>20.0</v>
      </c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>
      <c r="A851" s="14" t="s">
        <v>3250</v>
      </c>
      <c r="B851" s="17" t="s">
        <v>3247</v>
      </c>
      <c r="C851" s="17" t="s">
        <v>3251</v>
      </c>
      <c r="D851" s="19" t="s">
        <v>3252</v>
      </c>
      <c r="E851" s="20" t="s">
        <v>632</v>
      </c>
      <c r="F851" s="21">
        <v>23879.0</v>
      </c>
      <c r="G851" s="14">
        <v>61.0</v>
      </c>
      <c r="H851" s="23" t="s">
        <v>26</v>
      </c>
      <c r="I851" s="24" t="s">
        <v>27</v>
      </c>
      <c r="J851" s="19" t="s">
        <v>328</v>
      </c>
      <c r="K851" s="14">
        <v>20.0</v>
      </c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>
      <c r="A852" s="14" t="s">
        <v>3253</v>
      </c>
      <c r="B852" s="17" t="s">
        <v>3254</v>
      </c>
      <c r="C852" s="17" t="s">
        <v>3255</v>
      </c>
      <c r="D852" s="19" t="s">
        <v>3256</v>
      </c>
      <c r="E852" s="20" t="s">
        <v>104</v>
      </c>
      <c r="F852" s="21">
        <v>34133.0</v>
      </c>
      <c r="G852" s="14">
        <v>33.0</v>
      </c>
      <c r="H852" s="23" t="s">
        <v>100</v>
      </c>
      <c r="I852" s="24" t="s">
        <v>33</v>
      </c>
      <c r="J852" s="19" t="s">
        <v>328</v>
      </c>
      <c r="K852" s="14">
        <v>21.0</v>
      </c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>
      <c r="A853" s="14" t="s">
        <v>3257</v>
      </c>
      <c r="B853" s="17" t="s">
        <v>3254</v>
      </c>
      <c r="C853" s="17" t="s">
        <v>3258</v>
      </c>
      <c r="D853" s="19" t="s">
        <v>3259</v>
      </c>
      <c r="E853" s="20" t="s">
        <v>1291</v>
      </c>
      <c r="F853" s="21">
        <v>19887.0</v>
      </c>
      <c r="G853" s="14">
        <v>72.0</v>
      </c>
      <c r="H853" s="23" t="s">
        <v>26</v>
      </c>
      <c r="I853" s="24" t="s">
        <v>33</v>
      </c>
      <c r="J853" s="19" t="s">
        <v>328</v>
      </c>
      <c r="K853" s="14">
        <v>21.0</v>
      </c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>
      <c r="A854" s="14" t="s">
        <v>3260</v>
      </c>
      <c r="B854" s="17" t="s">
        <v>3254</v>
      </c>
      <c r="C854" s="17" t="s">
        <v>3261</v>
      </c>
      <c r="D854" s="19" t="s">
        <v>3262</v>
      </c>
      <c r="E854" s="20" t="s">
        <v>3263</v>
      </c>
      <c r="F854" s="21">
        <v>22103.0</v>
      </c>
      <c r="G854" s="14">
        <v>66.0</v>
      </c>
      <c r="H854" s="23" t="s">
        <v>26</v>
      </c>
      <c r="I854" s="24" t="s">
        <v>27</v>
      </c>
      <c r="J854" s="19" t="s">
        <v>328</v>
      </c>
      <c r="K854" s="14">
        <v>21.0</v>
      </c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>
      <c r="A855" s="14" t="s">
        <v>3264</v>
      </c>
      <c r="B855" s="17" t="s">
        <v>3265</v>
      </c>
      <c r="C855" s="17" t="s">
        <v>3266</v>
      </c>
      <c r="D855" s="19" t="s">
        <v>3267</v>
      </c>
      <c r="E855" s="20" t="s">
        <v>624</v>
      </c>
      <c r="F855" s="27">
        <v>29553.0</v>
      </c>
      <c r="G855" s="14">
        <v>45.0</v>
      </c>
      <c r="H855" s="23" t="s">
        <v>26</v>
      </c>
      <c r="I855" s="24" t="s">
        <v>27</v>
      </c>
      <c r="J855" s="19" t="s">
        <v>53</v>
      </c>
      <c r="K855" s="14">
        <v>15.0</v>
      </c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>
      <c r="A856" s="14" t="s">
        <v>3268</v>
      </c>
      <c r="B856" s="17" t="s">
        <v>3265</v>
      </c>
      <c r="C856" s="17" t="s">
        <v>3269</v>
      </c>
      <c r="D856" s="19" t="s">
        <v>3270</v>
      </c>
      <c r="E856" s="20" t="s">
        <v>624</v>
      </c>
      <c r="F856" s="21">
        <v>29827.0</v>
      </c>
      <c r="G856" s="14">
        <v>45.0</v>
      </c>
      <c r="H856" s="23" t="s">
        <v>26</v>
      </c>
      <c r="I856" s="24" t="s">
        <v>33</v>
      </c>
      <c r="J856" s="19" t="s">
        <v>53</v>
      </c>
      <c r="K856" s="14">
        <v>15.0</v>
      </c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>
      <c r="A857" s="14" t="s">
        <v>3271</v>
      </c>
      <c r="B857" s="17" t="s">
        <v>3272</v>
      </c>
      <c r="C857" s="17" t="s">
        <v>3273</v>
      </c>
      <c r="D857" s="19" t="s">
        <v>3274</v>
      </c>
      <c r="E857" s="20" t="s">
        <v>632</v>
      </c>
      <c r="F857" s="21">
        <v>21770.0</v>
      </c>
      <c r="G857" s="14">
        <v>67.0</v>
      </c>
      <c r="H857" s="23" t="s">
        <v>26</v>
      </c>
      <c r="I857" s="24" t="s">
        <v>27</v>
      </c>
      <c r="J857" s="19" t="s">
        <v>328</v>
      </c>
      <c r="K857" s="14">
        <v>20.0</v>
      </c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>
      <c r="A858" s="14" t="s">
        <v>3275</v>
      </c>
      <c r="B858" s="17" t="s">
        <v>3272</v>
      </c>
      <c r="C858" s="17" t="s">
        <v>3276</v>
      </c>
      <c r="D858" s="19" t="s">
        <v>3277</v>
      </c>
      <c r="E858" s="20" t="s">
        <v>632</v>
      </c>
      <c r="F858" s="21">
        <v>18426.0</v>
      </c>
      <c r="G858" s="14">
        <v>76.0</v>
      </c>
      <c r="H858" s="23" t="s">
        <v>26</v>
      </c>
      <c r="I858" s="24" t="s">
        <v>33</v>
      </c>
      <c r="J858" s="19" t="s">
        <v>328</v>
      </c>
      <c r="K858" s="14">
        <v>20.0</v>
      </c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>
      <c r="A859" s="14" t="s">
        <v>3278</v>
      </c>
      <c r="B859" s="17" t="s">
        <v>3279</v>
      </c>
      <c r="C859" s="17" t="s">
        <v>3280</v>
      </c>
      <c r="D859" s="19" t="s">
        <v>3281</v>
      </c>
      <c r="E859" s="20" t="s">
        <v>3282</v>
      </c>
      <c r="F859" s="21">
        <v>29395.0</v>
      </c>
      <c r="G859" s="14">
        <v>46.0</v>
      </c>
      <c r="H859" s="23" t="s">
        <v>26</v>
      </c>
      <c r="I859" s="24" t="s">
        <v>33</v>
      </c>
      <c r="J859" s="19" t="s">
        <v>53</v>
      </c>
      <c r="K859" s="14">
        <v>16.0</v>
      </c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>
      <c r="A860" s="14" t="s">
        <v>3283</v>
      </c>
      <c r="B860" s="17" t="s">
        <v>3279</v>
      </c>
      <c r="C860" s="17" t="s">
        <v>3284</v>
      </c>
      <c r="D860" s="19" t="s">
        <v>3285</v>
      </c>
      <c r="E860" s="20" t="s">
        <v>104</v>
      </c>
      <c r="F860" s="27">
        <v>30297.0</v>
      </c>
      <c r="G860" s="14">
        <v>43.0</v>
      </c>
      <c r="H860" s="23" t="s">
        <v>26</v>
      </c>
      <c r="I860" s="24" t="s">
        <v>27</v>
      </c>
      <c r="J860" s="19" t="s">
        <v>53</v>
      </c>
      <c r="K860" s="14">
        <v>16.0</v>
      </c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>
      <c r="A861" s="14" t="s">
        <v>3287</v>
      </c>
      <c r="B861" s="17" t="s">
        <v>3288</v>
      </c>
      <c r="C861" s="17" t="s">
        <v>3289</v>
      </c>
      <c r="D861" s="19" t="s">
        <v>3290</v>
      </c>
      <c r="E861" s="20" t="s">
        <v>104</v>
      </c>
      <c r="F861" s="21">
        <v>29308.0</v>
      </c>
      <c r="G861" s="14">
        <v>46.0</v>
      </c>
      <c r="H861" s="23" t="s">
        <v>26</v>
      </c>
      <c r="I861" s="24" t="s">
        <v>27</v>
      </c>
      <c r="J861" s="19" t="s">
        <v>3291</v>
      </c>
      <c r="K861" s="14">
        <v>27.0</v>
      </c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>
      <c r="A862" s="14" t="s">
        <v>3292</v>
      </c>
      <c r="B862" s="17" t="s">
        <v>3288</v>
      </c>
      <c r="C862" s="17" t="s">
        <v>3293</v>
      </c>
      <c r="D862" s="19" t="s">
        <v>3294</v>
      </c>
      <c r="E862" s="20" t="s">
        <v>3295</v>
      </c>
      <c r="F862" s="21">
        <v>38209.0</v>
      </c>
      <c r="G862" s="14">
        <v>22.0</v>
      </c>
      <c r="H862" s="23" t="s">
        <v>100</v>
      </c>
      <c r="I862" s="24" t="s">
        <v>33</v>
      </c>
      <c r="J862" s="19" t="s">
        <v>3291</v>
      </c>
      <c r="K862" s="14">
        <v>27.0</v>
      </c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>
      <c r="A863" s="14" t="s">
        <v>3296</v>
      </c>
      <c r="B863" s="17" t="s">
        <v>3288</v>
      </c>
      <c r="C863" s="17" t="s">
        <v>3297</v>
      </c>
      <c r="D863" s="19" t="s">
        <v>3298</v>
      </c>
      <c r="E863" s="20" t="s">
        <v>67</v>
      </c>
      <c r="F863" s="21">
        <v>25269.0</v>
      </c>
      <c r="G863" s="14">
        <v>57.0</v>
      </c>
      <c r="H863" s="23" t="s">
        <v>26</v>
      </c>
      <c r="I863" s="24" t="s">
        <v>33</v>
      </c>
      <c r="J863" s="19" t="s">
        <v>3291</v>
      </c>
      <c r="K863" s="14">
        <v>27.0</v>
      </c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>
      <c r="A864" s="14" t="s">
        <v>3299</v>
      </c>
      <c r="B864" s="17" t="s">
        <v>3300</v>
      </c>
      <c r="C864" s="17" t="s">
        <v>3301</v>
      </c>
      <c r="D864" s="19" t="s">
        <v>3302</v>
      </c>
      <c r="E864" s="20" t="s">
        <v>3303</v>
      </c>
      <c r="F864" s="21">
        <v>37282.0</v>
      </c>
      <c r="G864" s="14">
        <v>24.0</v>
      </c>
      <c r="H864" s="23" t="s">
        <v>100</v>
      </c>
      <c r="I864" s="24" t="s">
        <v>33</v>
      </c>
      <c r="J864" s="19" t="s">
        <v>362</v>
      </c>
      <c r="K864" s="14">
        <v>22.0</v>
      </c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>
      <c r="A865" s="14" t="s">
        <v>3304</v>
      </c>
      <c r="B865" s="17" t="s">
        <v>3300</v>
      </c>
      <c r="C865" s="17" t="s">
        <v>3305</v>
      </c>
      <c r="D865" s="19" t="s">
        <v>3306</v>
      </c>
      <c r="E865" s="20" t="s">
        <v>187</v>
      </c>
      <c r="F865" s="21">
        <v>25662.0</v>
      </c>
      <c r="G865" s="14">
        <v>56.0</v>
      </c>
      <c r="H865" s="23" t="s">
        <v>26</v>
      </c>
      <c r="I865" s="24" t="s">
        <v>33</v>
      </c>
      <c r="J865" s="19" t="s">
        <v>362</v>
      </c>
      <c r="K865" s="14">
        <v>22.0</v>
      </c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>
      <c r="A866" s="14" t="s">
        <v>3307</v>
      </c>
      <c r="B866" s="17" t="s">
        <v>3308</v>
      </c>
      <c r="C866" s="17" t="s">
        <v>3309</v>
      </c>
      <c r="D866" s="19" t="s">
        <v>3310</v>
      </c>
      <c r="E866" s="20" t="s">
        <v>53</v>
      </c>
      <c r="F866" s="21">
        <v>38382.0</v>
      </c>
      <c r="G866" s="14">
        <v>21.0</v>
      </c>
      <c r="H866" s="23" t="s">
        <v>100</v>
      </c>
      <c r="I866" s="24" t="s">
        <v>27</v>
      </c>
      <c r="J866" s="19" t="s">
        <v>58</v>
      </c>
      <c r="K866" s="14">
        <v>9.0</v>
      </c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>
      <c r="A867" s="14" t="s">
        <v>3311</v>
      </c>
      <c r="B867" s="17" t="s">
        <v>3308</v>
      </c>
      <c r="C867" s="17" t="s">
        <v>3312</v>
      </c>
      <c r="D867" s="19" t="s">
        <v>3313</v>
      </c>
      <c r="E867" s="20" t="s">
        <v>429</v>
      </c>
      <c r="F867" s="21">
        <v>27215.0</v>
      </c>
      <c r="G867" s="14">
        <v>52.0</v>
      </c>
      <c r="H867" s="23" t="s">
        <v>26</v>
      </c>
      <c r="I867" s="24" t="s">
        <v>27</v>
      </c>
      <c r="J867" s="19" t="s">
        <v>58</v>
      </c>
      <c r="K867" s="14">
        <v>9.0</v>
      </c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>
      <c r="A868" s="14" t="s">
        <v>3314</v>
      </c>
      <c r="B868" s="17" t="s">
        <v>3308</v>
      </c>
      <c r="C868" s="17" t="s">
        <v>3315</v>
      </c>
      <c r="D868" s="19" t="s">
        <v>3214</v>
      </c>
      <c r="E868" s="20" t="s">
        <v>3101</v>
      </c>
      <c r="F868" s="21">
        <v>25485.0</v>
      </c>
      <c r="G868" s="14">
        <v>56.0</v>
      </c>
      <c r="H868" s="23" t="s">
        <v>26</v>
      </c>
      <c r="I868" s="24" t="s">
        <v>33</v>
      </c>
      <c r="J868" s="19" t="s">
        <v>58</v>
      </c>
      <c r="K868" s="14">
        <v>9.0</v>
      </c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>
      <c r="A869" s="14" t="s">
        <v>3316</v>
      </c>
      <c r="B869" s="17" t="s">
        <v>3317</v>
      </c>
      <c r="C869" s="17" t="s">
        <v>3318</v>
      </c>
      <c r="D869" s="19" t="s">
        <v>554</v>
      </c>
      <c r="E869" s="20" t="s">
        <v>605</v>
      </c>
      <c r="F869" s="21">
        <v>21129.0</v>
      </c>
      <c r="G869" s="14">
        <v>68.0</v>
      </c>
      <c r="H869" s="23" t="s">
        <v>26</v>
      </c>
      <c r="I869" s="24" t="s">
        <v>27</v>
      </c>
      <c r="J869" s="19" t="s">
        <v>726</v>
      </c>
      <c r="K869" s="14">
        <v>12.0</v>
      </c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>
      <c r="A870" s="14" t="s">
        <v>3319</v>
      </c>
      <c r="B870" s="17" t="s">
        <v>3317</v>
      </c>
      <c r="C870" s="17" t="s">
        <v>3320</v>
      </c>
      <c r="D870" s="19" t="s">
        <v>3321</v>
      </c>
      <c r="E870" s="20" t="s">
        <v>984</v>
      </c>
      <c r="F870" s="21">
        <v>20677.0</v>
      </c>
      <c r="G870" s="14">
        <v>70.0</v>
      </c>
      <c r="H870" s="23" t="s">
        <v>26</v>
      </c>
      <c r="I870" s="24" t="s">
        <v>33</v>
      </c>
      <c r="J870" s="19" t="s">
        <v>53</v>
      </c>
      <c r="K870" s="14">
        <v>19.0</v>
      </c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>
      <c r="A871" s="14" t="s">
        <v>3322</v>
      </c>
      <c r="B871" s="17" t="s">
        <v>3323</v>
      </c>
      <c r="C871" s="17" t="s">
        <v>3324</v>
      </c>
      <c r="D871" s="19" t="s">
        <v>3325</v>
      </c>
      <c r="E871" s="20" t="s">
        <v>274</v>
      </c>
      <c r="F871" s="21">
        <v>33015.0</v>
      </c>
      <c r="G871" s="14">
        <v>36.0</v>
      </c>
      <c r="H871" s="23" t="s">
        <v>26</v>
      </c>
      <c r="I871" s="24" t="s">
        <v>27</v>
      </c>
      <c r="J871" s="19" t="s">
        <v>939</v>
      </c>
      <c r="K871" s="14">
        <v>19.0</v>
      </c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>
      <c r="A872" s="14" t="s">
        <v>3326</v>
      </c>
      <c r="B872" s="17" t="s">
        <v>3323</v>
      </c>
      <c r="C872" s="17" t="s">
        <v>3327</v>
      </c>
      <c r="D872" s="19" t="s">
        <v>3328</v>
      </c>
      <c r="E872" s="20" t="s">
        <v>112</v>
      </c>
      <c r="F872" s="21">
        <v>32721.0</v>
      </c>
      <c r="G872" s="14">
        <v>37.0</v>
      </c>
      <c r="H872" s="23" t="s">
        <v>26</v>
      </c>
      <c r="I872" s="24" t="s">
        <v>33</v>
      </c>
      <c r="J872" s="19" t="s">
        <v>939</v>
      </c>
      <c r="K872" s="14">
        <v>19.0</v>
      </c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>
      <c r="A873" s="14" t="s">
        <v>3329</v>
      </c>
      <c r="B873" s="17" t="s">
        <v>3330</v>
      </c>
      <c r="C873" s="17" t="s">
        <v>3331</v>
      </c>
      <c r="D873" s="19" t="s">
        <v>3332</v>
      </c>
      <c r="E873" s="20" t="s">
        <v>104</v>
      </c>
      <c r="F873" s="21">
        <v>33366.0</v>
      </c>
      <c r="G873" s="14">
        <v>35.0</v>
      </c>
      <c r="H873" s="23" t="s">
        <v>26</v>
      </c>
      <c r="I873" s="24" t="s">
        <v>33</v>
      </c>
      <c r="J873" s="19" t="s">
        <v>156</v>
      </c>
      <c r="K873" s="14">
        <v>30.0</v>
      </c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>
      <c r="A874" s="14" t="s">
        <v>3333</v>
      </c>
      <c r="B874" s="17" t="s">
        <v>3330</v>
      </c>
      <c r="C874" s="17" t="s">
        <v>3334</v>
      </c>
      <c r="D874" s="19" t="s">
        <v>2074</v>
      </c>
      <c r="E874" s="20" t="s">
        <v>104</v>
      </c>
      <c r="F874" s="21">
        <v>33318.0</v>
      </c>
      <c r="G874" s="14">
        <v>35.0</v>
      </c>
      <c r="H874" s="23" t="s">
        <v>26</v>
      </c>
      <c r="I874" s="24" t="s">
        <v>27</v>
      </c>
      <c r="J874" s="19" t="s">
        <v>156</v>
      </c>
      <c r="K874" s="14">
        <v>30.0</v>
      </c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>
      <c r="A875" s="14" t="s">
        <v>3335</v>
      </c>
      <c r="B875" s="17" t="s">
        <v>3336</v>
      </c>
      <c r="C875" s="17" t="s">
        <v>3337</v>
      </c>
      <c r="D875" s="19" t="s">
        <v>3338</v>
      </c>
      <c r="E875" s="20" t="s">
        <v>104</v>
      </c>
      <c r="F875" s="21">
        <v>29294.0</v>
      </c>
      <c r="G875" s="14">
        <v>46.0</v>
      </c>
      <c r="H875" s="23" t="s">
        <v>26</v>
      </c>
      <c r="I875" s="24" t="s">
        <v>27</v>
      </c>
      <c r="J875" s="19" t="s">
        <v>726</v>
      </c>
      <c r="K875" s="14">
        <v>17.0</v>
      </c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>
      <c r="A876" s="14" t="s">
        <v>3339</v>
      </c>
      <c r="B876" s="17" t="s">
        <v>3336</v>
      </c>
      <c r="C876" s="17" t="s">
        <v>3340</v>
      </c>
      <c r="D876" s="19" t="s">
        <v>269</v>
      </c>
      <c r="E876" s="20" t="s">
        <v>104</v>
      </c>
      <c r="F876" s="21">
        <v>28986.0</v>
      </c>
      <c r="G876" s="14">
        <v>47.0</v>
      </c>
      <c r="H876" s="23" t="s">
        <v>26</v>
      </c>
      <c r="I876" s="24" t="s">
        <v>33</v>
      </c>
      <c r="J876" s="19" t="s">
        <v>726</v>
      </c>
      <c r="K876" s="14">
        <v>17.0</v>
      </c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>
      <c r="A877" s="14" t="s">
        <v>3341</v>
      </c>
      <c r="B877" s="17" t="s">
        <v>3342</v>
      </c>
      <c r="C877" s="17" t="s">
        <v>3343</v>
      </c>
      <c r="D877" s="19" t="s">
        <v>3344</v>
      </c>
      <c r="E877" s="20" t="s">
        <v>3345</v>
      </c>
      <c r="F877" s="21">
        <v>32917.0</v>
      </c>
      <c r="G877" s="14">
        <v>36.0</v>
      </c>
      <c r="H877" s="23" t="s">
        <v>26</v>
      </c>
      <c r="I877" s="24" t="s">
        <v>33</v>
      </c>
      <c r="J877" s="19" t="s">
        <v>3291</v>
      </c>
      <c r="K877" s="14">
        <v>25.0</v>
      </c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>
      <c r="A878" s="14" t="s">
        <v>3346</v>
      </c>
      <c r="B878" s="17" t="s">
        <v>3347</v>
      </c>
      <c r="C878" s="17" t="s">
        <v>3348</v>
      </c>
      <c r="D878" s="19" t="s">
        <v>3349</v>
      </c>
      <c r="E878" s="20" t="s">
        <v>53</v>
      </c>
      <c r="F878" s="21">
        <v>37445.0</v>
      </c>
      <c r="G878" s="14">
        <v>24.0</v>
      </c>
      <c r="H878" s="23" t="s">
        <v>100</v>
      </c>
      <c r="I878" s="24" t="s">
        <v>33</v>
      </c>
      <c r="J878" s="19" t="s">
        <v>362</v>
      </c>
      <c r="K878" s="14">
        <v>25.0</v>
      </c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>
      <c r="A879" s="14" t="s">
        <v>3350</v>
      </c>
      <c r="B879" s="17" t="s">
        <v>3347</v>
      </c>
      <c r="C879" s="17" t="s">
        <v>3351</v>
      </c>
      <c r="D879" s="19" t="s">
        <v>3352</v>
      </c>
      <c r="E879" s="20" t="s">
        <v>3353</v>
      </c>
      <c r="F879" s="21">
        <v>30471.0</v>
      </c>
      <c r="G879" s="14">
        <v>43.0</v>
      </c>
      <c r="H879" s="23" t="s">
        <v>26</v>
      </c>
      <c r="I879" s="24" t="s">
        <v>27</v>
      </c>
      <c r="J879" s="19" t="s">
        <v>362</v>
      </c>
      <c r="K879" s="14">
        <v>25.0</v>
      </c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>
      <c r="A880" s="14" t="s">
        <v>3354</v>
      </c>
      <c r="B880" s="17" t="s">
        <v>3347</v>
      </c>
      <c r="C880" s="17" t="s">
        <v>3355</v>
      </c>
      <c r="D880" s="19" t="s">
        <v>3356</v>
      </c>
      <c r="E880" s="20" t="s">
        <v>3357</v>
      </c>
      <c r="F880" s="21">
        <v>28227.0</v>
      </c>
      <c r="G880" s="14">
        <v>49.0</v>
      </c>
      <c r="H880" s="23" t="s">
        <v>26</v>
      </c>
      <c r="I880" s="24" t="s">
        <v>33</v>
      </c>
      <c r="J880" s="19" t="s">
        <v>362</v>
      </c>
      <c r="K880" s="14">
        <v>25.0</v>
      </c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>
      <c r="A881" s="14" t="s">
        <v>3358</v>
      </c>
      <c r="B881" s="17" t="s">
        <v>3347</v>
      </c>
      <c r="C881" s="17" t="s">
        <v>3359</v>
      </c>
      <c r="D881" s="19" t="s">
        <v>3360</v>
      </c>
      <c r="E881" s="20" t="s">
        <v>3353</v>
      </c>
      <c r="F881" s="21">
        <v>39340.0</v>
      </c>
      <c r="G881" s="14">
        <v>18.0</v>
      </c>
      <c r="H881" s="23" t="s">
        <v>100</v>
      </c>
      <c r="I881" s="24" t="s">
        <v>33</v>
      </c>
      <c r="J881" s="19" t="s">
        <v>362</v>
      </c>
      <c r="K881" s="14">
        <v>25.0</v>
      </c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>
      <c r="A882" s="14" t="s">
        <v>3361</v>
      </c>
      <c r="B882" s="17" t="s">
        <v>3362</v>
      </c>
      <c r="C882" s="17" t="s">
        <v>3363</v>
      </c>
      <c r="D882" s="19" t="s">
        <v>3364</v>
      </c>
      <c r="E882" s="20" t="s">
        <v>1095</v>
      </c>
      <c r="F882" s="21">
        <v>35975.0</v>
      </c>
      <c r="G882" s="14">
        <v>28.0</v>
      </c>
      <c r="H882" s="23" t="s">
        <v>26</v>
      </c>
      <c r="I882" s="24" t="s">
        <v>27</v>
      </c>
      <c r="J882" s="19" t="s">
        <v>146</v>
      </c>
      <c r="K882" s="14">
        <v>5.0</v>
      </c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>
      <c r="A883" s="14" t="s">
        <v>3365</v>
      </c>
      <c r="B883" s="17" t="s">
        <v>3362</v>
      </c>
      <c r="C883" s="17" t="s">
        <v>3366</v>
      </c>
      <c r="D883" s="19" t="s">
        <v>3367</v>
      </c>
      <c r="E883" s="20" t="s">
        <v>104</v>
      </c>
      <c r="F883" s="21">
        <v>35954.0</v>
      </c>
      <c r="G883" s="14">
        <v>28.0</v>
      </c>
      <c r="H883" s="23" t="s">
        <v>26</v>
      </c>
      <c r="I883" s="24" t="s">
        <v>33</v>
      </c>
      <c r="J883" s="19" t="s">
        <v>146</v>
      </c>
      <c r="K883" s="14">
        <v>5.0</v>
      </c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>
      <c r="A884" s="14" t="s">
        <v>3368</v>
      </c>
      <c r="B884" s="17" t="s">
        <v>3369</v>
      </c>
      <c r="C884" s="17" t="s">
        <v>3370</v>
      </c>
      <c r="D884" s="19" t="s">
        <v>3371</v>
      </c>
      <c r="E884" s="20" t="s">
        <v>1291</v>
      </c>
      <c r="F884" s="21">
        <v>22837.0</v>
      </c>
      <c r="G884" s="14">
        <v>64.0</v>
      </c>
      <c r="H884" s="23" t="s">
        <v>26</v>
      </c>
      <c r="I884" s="24" t="s">
        <v>27</v>
      </c>
      <c r="J884" s="19" t="s">
        <v>156</v>
      </c>
      <c r="K884" s="14">
        <v>35.0</v>
      </c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>
      <c r="A885" s="14" t="s">
        <v>3372</v>
      </c>
      <c r="B885" s="17" t="s">
        <v>3373</v>
      </c>
      <c r="C885" s="17" t="s">
        <v>3374</v>
      </c>
      <c r="D885" s="19" t="s">
        <v>3375</v>
      </c>
      <c r="E885" s="20" t="s">
        <v>104</v>
      </c>
      <c r="F885" s="21">
        <v>20271.0</v>
      </c>
      <c r="G885" s="14">
        <v>71.0</v>
      </c>
      <c r="H885" s="23" t="s">
        <v>27</v>
      </c>
      <c r="I885" s="24" t="s">
        <v>27</v>
      </c>
      <c r="J885" s="19" t="s">
        <v>328</v>
      </c>
      <c r="K885" s="14">
        <v>20.0</v>
      </c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>
      <c r="A886" s="14" t="s">
        <v>3376</v>
      </c>
      <c r="B886" s="17" t="s">
        <v>3377</v>
      </c>
      <c r="C886" s="17" t="s">
        <v>3378</v>
      </c>
      <c r="D886" s="19" t="s">
        <v>3379</v>
      </c>
      <c r="E886" s="20" t="s">
        <v>2144</v>
      </c>
      <c r="F886" s="21">
        <v>34802.0</v>
      </c>
      <c r="G886" s="14">
        <v>31.0</v>
      </c>
      <c r="H886" s="23" t="s">
        <v>26</v>
      </c>
      <c r="I886" s="24" t="s">
        <v>27</v>
      </c>
      <c r="J886" s="19" t="s">
        <v>68</v>
      </c>
      <c r="K886" s="14">
        <v>33.0</v>
      </c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>
      <c r="A887" s="14" t="s">
        <v>3380</v>
      </c>
      <c r="B887" s="17" t="s">
        <v>3377</v>
      </c>
      <c r="C887" s="17" t="s">
        <v>3381</v>
      </c>
      <c r="D887" s="19" t="s">
        <v>3382</v>
      </c>
      <c r="E887" s="20" t="s">
        <v>2332</v>
      </c>
      <c r="F887" s="21">
        <v>33707.0</v>
      </c>
      <c r="G887" s="14">
        <v>34.0</v>
      </c>
      <c r="H887" s="23" t="s">
        <v>26</v>
      </c>
      <c r="I887" s="24" t="s">
        <v>33</v>
      </c>
      <c r="J887" s="19" t="s">
        <v>68</v>
      </c>
      <c r="K887" s="14">
        <v>33.0</v>
      </c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>
      <c r="A888" s="14" t="s">
        <v>3383</v>
      </c>
      <c r="B888" s="17" t="s">
        <v>3384</v>
      </c>
      <c r="C888" s="17" t="s">
        <v>3385</v>
      </c>
      <c r="D888" s="19" t="s">
        <v>3386</v>
      </c>
      <c r="E888" s="20" t="s">
        <v>1370</v>
      </c>
      <c r="F888" s="21">
        <v>16969.0</v>
      </c>
      <c r="G888" s="14">
        <v>80.0</v>
      </c>
      <c r="H888" s="23" t="s">
        <v>27</v>
      </c>
      <c r="I888" s="24" t="s">
        <v>27</v>
      </c>
      <c r="J888" s="19" t="s">
        <v>3387</v>
      </c>
      <c r="K888" s="14">
        <v>36.0</v>
      </c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>
      <c r="A889" s="14" t="s">
        <v>3388</v>
      </c>
      <c r="B889" s="17" t="s">
        <v>3389</v>
      </c>
      <c r="C889" s="17" t="s">
        <v>3390</v>
      </c>
      <c r="D889" s="19" t="s">
        <v>3391</v>
      </c>
      <c r="E889" s="20" t="s">
        <v>274</v>
      </c>
      <c r="F889" s="21">
        <v>34388.0</v>
      </c>
      <c r="G889" s="14">
        <v>32.0</v>
      </c>
      <c r="H889" s="23" t="s">
        <v>26</v>
      </c>
      <c r="I889" s="24" t="s">
        <v>33</v>
      </c>
      <c r="J889" s="19" t="s">
        <v>1915</v>
      </c>
      <c r="K889" s="14">
        <v>11.0</v>
      </c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>
      <c r="A890" s="14" t="s">
        <v>3392</v>
      </c>
      <c r="B890" s="17" t="s">
        <v>3389</v>
      </c>
      <c r="C890" s="17" t="s">
        <v>3393</v>
      </c>
      <c r="D890" s="19" t="s">
        <v>3394</v>
      </c>
      <c r="E890" s="20" t="s">
        <v>3395</v>
      </c>
      <c r="F890" s="21">
        <v>35629.0</v>
      </c>
      <c r="G890" s="14">
        <v>29.0</v>
      </c>
      <c r="H890" s="23" t="s">
        <v>26</v>
      </c>
      <c r="I890" s="24" t="s">
        <v>27</v>
      </c>
      <c r="J890" s="19" t="s">
        <v>1915</v>
      </c>
      <c r="K890" s="14">
        <v>11.0</v>
      </c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>
      <c r="A891" s="14" t="s">
        <v>3396</v>
      </c>
      <c r="B891" s="17" t="s">
        <v>3397</v>
      </c>
      <c r="C891" s="17" t="s">
        <v>3398</v>
      </c>
      <c r="D891" s="19" t="s">
        <v>3399</v>
      </c>
      <c r="E891" s="20" t="s">
        <v>104</v>
      </c>
      <c r="F891" s="21">
        <v>32325.0</v>
      </c>
      <c r="G891" s="14">
        <v>38.0</v>
      </c>
      <c r="H891" s="23" t="s">
        <v>26</v>
      </c>
      <c r="I891" s="24" t="s">
        <v>27</v>
      </c>
      <c r="J891" s="19" t="s">
        <v>68</v>
      </c>
      <c r="K891" s="14">
        <v>31.0</v>
      </c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>
      <c r="A892" s="14" t="s">
        <v>3400</v>
      </c>
      <c r="B892" s="17" t="s">
        <v>3397</v>
      </c>
      <c r="C892" s="17" t="s">
        <v>3401</v>
      </c>
      <c r="D892" s="19" t="s">
        <v>3402</v>
      </c>
      <c r="E892" s="20" t="s">
        <v>2038</v>
      </c>
      <c r="F892" s="21">
        <v>33615.0</v>
      </c>
      <c r="G892" s="14">
        <v>34.0</v>
      </c>
      <c r="H892" s="23" t="s">
        <v>26</v>
      </c>
      <c r="I892" s="24" t="s">
        <v>33</v>
      </c>
      <c r="J892" s="19" t="s">
        <v>68</v>
      </c>
      <c r="K892" s="14">
        <v>31.0</v>
      </c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>
      <c r="A893" s="14" t="s">
        <v>3403</v>
      </c>
      <c r="B893" s="17" t="s">
        <v>3404</v>
      </c>
      <c r="C893" s="17" t="s">
        <v>3405</v>
      </c>
      <c r="D893" s="19" t="s">
        <v>3406</v>
      </c>
      <c r="E893" s="20" t="s">
        <v>53</v>
      </c>
      <c r="F893" s="21">
        <v>34509.0</v>
      </c>
      <c r="G893" s="14">
        <v>32.0</v>
      </c>
      <c r="H893" s="23" t="s">
        <v>26</v>
      </c>
      <c r="I893" s="24" t="s">
        <v>27</v>
      </c>
      <c r="J893" s="19" t="s">
        <v>3407</v>
      </c>
      <c r="K893" s="14">
        <v>11.0</v>
      </c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>
      <c r="A894" s="14" t="s">
        <v>3408</v>
      </c>
      <c r="B894" s="17" t="s">
        <v>3404</v>
      </c>
      <c r="C894" s="17" t="s">
        <v>3409</v>
      </c>
      <c r="D894" s="19" t="s">
        <v>2754</v>
      </c>
      <c r="E894" s="20" t="s">
        <v>104</v>
      </c>
      <c r="F894" s="21">
        <v>32879.0</v>
      </c>
      <c r="G894" s="14">
        <v>36.0</v>
      </c>
      <c r="H894" s="23" t="s">
        <v>26</v>
      </c>
      <c r="I894" s="24" t="s">
        <v>33</v>
      </c>
      <c r="J894" s="19" t="s">
        <v>3407</v>
      </c>
      <c r="K894" s="14">
        <v>11.0</v>
      </c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>
      <c r="A895" s="14" t="s">
        <v>3410</v>
      </c>
      <c r="B895" s="17" t="s">
        <v>3411</v>
      </c>
      <c r="C895" s="17" t="s">
        <v>3412</v>
      </c>
      <c r="D895" s="19" t="s">
        <v>3413</v>
      </c>
      <c r="E895" s="20" t="s">
        <v>3414</v>
      </c>
      <c r="F895" s="21">
        <v>36311.0</v>
      </c>
      <c r="G895" s="14">
        <v>27.0</v>
      </c>
      <c r="H895" s="23" t="s">
        <v>26</v>
      </c>
      <c r="I895" s="24" t="s">
        <v>27</v>
      </c>
      <c r="J895" s="19" t="s">
        <v>146</v>
      </c>
      <c r="K895" s="14">
        <v>10.0</v>
      </c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>
      <c r="A896" s="14" t="s">
        <v>3415</v>
      </c>
      <c r="B896" s="17" t="s">
        <v>3411</v>
      </c>
      <c r="C896" s="17" t="s">
        <v>3416</v>
      </c>
      <c r="D896" s="19" t="s">
        <v>3417</v>
      </c>
      <c r="E896" s="20" t="s">
        <v>2332</v>
      </c>
      <c r="F896" s="21">
        <v>35103.0</v>
      </c>
      <c r="G896" s="14">
        <v>30.0</v>
      </c>
      <c r="H896" s="23" t="s">
        <v>26</v>
      </c>
      <c r="I896" s="24" t="s">
        <v>33</v>
      </c>
      <c r="J896" s="19" t="s">
        <v>146</v>
      </c>
      <c r="K896" s="14">
        <v>10.0</v>
      </c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>
      <c r="A897" s="14" t="s">
        <v>3418</v>
      </c>
      <c r="B897" s="17" t="s">
        <v>3419</v>
      </c>
      <c r="C897" s="17" t="s">
        <v>3420</v>
      </c>
      <c r="D897" s="19" t="s">
        <v>3421</v>
      </c>
      <c r="E897" s="20" t="s">
        <v>2505</v>
      </c>
      <c r="F897" s="21">
        <v>32579.0</v>
      </c>
      <c r="G897" s="14">
        <v>37.0</v>
      </c>
      <c r="H897" s="23" t="s">
        <v>26</v>
      </c>
      <c r="I897" s="24" t="s">
        <v>33</v>
      </c>
      <c r="J897" s="19" t="s">
        <v>95</v>
      </c>
      <c r="K897" s="14">
        <v>13.0</v>
      </c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>
      <c r="A898" s="14" t="s">
        <v>3422</v>
      </c>
      <c r="B898" s="17" t="s">
        <v>3419</v>
      </c>
      <c r="C898" s="17" t="s">
        <v>3423</v>
      </c>
      <c r="D898" s="19" t="s">
        <v>3424</v>
      </c>
      <c r="E898" s="20" t="s">
        <v>53</v>
      </c>
      <c r="F898" s="21">
        <v>34135.0</v>
      </c>
      <c r="G898" s="14">
        <v>33.0</v>
      </c>
      <c r="H898" s="23" t="s">
        <v>26</v>
      </c>
      <c r="I898" s="24" t="s">
        <v>27</v>
      </c>
      <c r="J898" s="19" t="s">
        <v>95</v>
      </c>
      <c r="K898" s="14">
        <v>13.0</v>
      </c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>
      <c r="A899" s="14" t="s">
        <v>3425</v>
      </c>
      <c r="B899" s="17" t="s">
        <v>3426</v>
      </c>
      <c r="C899" s="17" t="s">
        <v>3427</v>
      </c>
      <c r="D899" s="19" t="s">
        <v>3428</v>
      </c>
      <c r="E899" s="20" t="s">
        <v>210</v>
      </c>
      <c r="F899" s="21">
        <v>29130.0</v>
      </c>
      <c r="G899" s="14">
        <v>46.0</v>
      </c>
      <c r="H899" s="23" t="s">
        <v>26</v>
      </c>
      <c r="I899" s="24" t="s">
        <v>27</v>
      </c>
      <c r="J899" s="19" t="s">
        <v>362</v>
      </c>
      <c r="K899" s="14">
        <v>23.0</v>
      </c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>
      <c r="A900" s="14" t="s">
        <v>3429</v>
      </c>
      <c r="B900" s="17" t="s">
        <v>3426</v>
      </c>
      <c r="C900" s="17" t="s">
        <v>3430</v>
      </c>
      <c r="D900" s="19" t="s">
        <v>3431</v>
      </c>
      <c r="E900" s="20" t="s">
        <v>2038</v>
      </c>
      <c r="F900" s="21">
        <v>38507.0</v>
      </c>
      <c r="G900" s="14">
        <v>21.0</v>
      </c>
      <c r="H900" s="23" t="s">
        <v>100</v>
      </c>
      <c r="I900" s="24" t="s">
        <v>33</v>
      </c>
      <c r="J900" s="19" t="s">
        <v>362</v>
      </c>
      <c r="K900" s="14">
        <v>23.0</v>
      </c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>
      <c r="A901" s="14" t="s">
        <v>3432</v>
      </c>
      <c r="B901" s="17" t="s">
        <v>3426</v>
      </c>
      <c r="C901" s="17" t="s">
        <v>3433</v>
      </c>
      <c r="D901" s="19" t="s">
        <v>3434</v>
      </c>
      <c r="E901" s="20" t="s">
        <v>650</v>
      </c>
      <c r="F901" s="21">
        <v>27401.0</v>
      </c>
      <c r="G901" s="14">
        <v>51.0</v>
      </c>
      <c r="H901" s="23" t="s">
        <v>26</v>
      </c>
      <c r="I901" s="24" t="s">
        <v>33</v>
      </c>
      <c r="J901" s="19" t="s">
        <v>362</v>
      </c>
      <c r="K901" s="14">
        <v>23.0</v>
      </c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>
      <c r="A902" s="14" t="s">
        <v>3435</v>
      </c>
      <c r="B902" s="17" t="s">
        <v>3426</v>
      </c>
      <c r="C902" s="17" t="s">
        <v>3436</v>
      </c>
      <c r="D902" s="19" t="s">
        <v>3437</v>
      </c>
      <c r="E902" s="20" t="s">
        <v>3438</v>
      </c>
      <c r="F902" s="21">
        <v>36745.0</v>
      </c>
      <c r="G902" s="14">
        <v>26.0</v>
      </c>
      <c r="H902" s="23" t="s">
        <v>100</v>
      </c>
      <c r="I902" s="24" t="s">
        <v>27</v>
      </c>
      <c r="J902" s="19" t="s">
        <v>362</v>
      </c>
      <c r="K902" s="14">
        <v>23.0</v>
      </c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>
      <c r="A903" s="14" t="s">
        <v>3439</v>
      </c>
      <c r="B903" s="17" t="s">
        <v>3440</v>
      </c>
      <c r="C903" s="17" t="s">
        <v>3441</v>
      </c>
      <c r="D903" s="19" t="s">
        <v>1815</v>
      </c>
      <c r="E903" s="20" t="s">
        <v>654</v>
      </c>
      <c r="F903" s="21">
        <v>26481.0</v>
      </c>
      <c r="G903" s="14">
        <v>54.0</v>
      </c>
      <c r="H903" s="23" t="s">
        <v>26</v>
      </c>
      <c r="I903" s="24" t="s">
        <v>27</v>
      </c>
      <c r="J903" s="19" t="s">
        <v>895</v>
      </c>
      <c r="K903" s="14">
        <v>19.0</v>
      </c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>
      <c r="A904" s="14" t="s">
        <v>3442</v>
      </c>
      <c r="B904" s="17" t="s">
        <v>3443</v>
      </c>
      <c r="C904" s="17" t="s">
        <v>3444</v>
      </c>
      <c r="D904" s="19" t="s">
        <v>3445</v>
      </c>
      <c r="E904" s="20" t="s">
        <v>104</v>
      </c>
      <c r="F904" s="21">
        <v>39303.0</v>
      </c>
      <c r="G904" s="14">
        <v>19.0</v>
      </c>
      <c r="H904" s="23" t="s">
        <v>100</v>
      </c>
      <c r="I904" s="24" t="s">
        <v>33</v>
      </c>
      <c r="J904" s="19" t="s">
        <v>156</v>
      </c>
      <c r="K904" s="14">
        <v>34.0</v>
      </c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>
      <c r="A905" s="14" t="s">
        <v>3446</v>
      </c>
      <c r="B905" s="17" t="s">
        <v>3443</v>
      </c>
      <c r="C905" s="17" t="s">
        <v>3447</v>
      </c>
      <c r="D905" s="19" t="s">
        <v>3448</v>
      </c>
      <c r="E905" s="20" t="s">
        <v>104</v>
      </c>
      <c r="F905" s="21">
        <v>33006.0</v>
      </c>
      <c r="G905" s="14">
        <v>36.0</v>
      </c>
      <c r="H905" s="23" t="s">
        <v>26</v>
      </c>
      <c r="I905" s="24" t="s">
        <v>27</v>
      </c>
      <c r="J905" s="19" t="s">
        <v>156</v>
      </c>
      <c r="K905" s="14">
        <v>34.0</v>
      </c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>
      <c r="A906" s="14" t="s">
        <v>3449</v>
      </c>
      <c r="B906" s="17" t="s">
        <v>3443</v>
      </c>
      <c r="C906" s="17" t="s">
        <v>3450</v>
      </c>
      <c r="D906" s="19" t="s">
        <v>3451</v>
      </c>
      <c r="E906" s="20" t="s">
        <v>104</v>
      </c>
      <c r="F906" s="21">
        <v>30725.0</v>
      </c>
      <c r="G906" s="14">
        <v>42.0</v>
      </c>
      <c r="H906" s="23" t="s">
        <v>26</v>
      </c>
      <c r="I906" s="24" t="s">
        <v>33</v>
      </c>
      <c r="J906" s="19" t="s">
        <v>1437</v>
      </c>
      <c r="K906" s="14">
        <v>32.0</v>
      </c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>
      <c r="A907" s="14" t="s">
        <v>3452</v>
      </c>
      <c r="B907" s="17" t="s">
        <v>3459</v>
      </c>
      <c r="C907" s="17" t="s">
        <v>3454</v>
      </c>
      <c r="D907" s="19" t="s">
        <v>3455</v>
      </c>
      <c r="E907" s="20" t="s">
        <v>104</v>
      </c>
      <c r="F907" s="21">
        <v>35442.0</v>
      </c>
      <c r="G907" s="14">
        <v>29.0</v>
      </c>
      <c r="H907" s="23" t="s">
        <v>100</v>
      </c>
      <c r="I907" s="24" t="s">
        <v>27</v>
      </c>
      <c r="J907" s="19" t="s">
        <v>68</v>
      </c>
      <c r="K907" s="14">
        <v>28.0</v>
      </c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>
      <c r="A908" s="14" t="s">
        <v>3458</v>
      </c>
      <c r="B908" s="17" t="s">
        <v>3459</v>
      </c>
      <c r="C908" s="17" t="s">
        <v>3460</v>
      </c>
      <c r="D908" s="19" t="s">
        <v>3461</v>
      </c>
      <c r="E908" s="20" t="s">
        <v>53</v>
      </c>
      <c r="F908" s="21">
        <v>38608.0</v>
      </c>
      <c r="G908" s="14">
        <v>20.0</v>
      </c>
      <c r="H908" s="23" t="s">
        <v>100</v>
      </c>
      <c r="I908" s="24" t="s">
        <v>33</v>
      </c>
      <c r="J908" s="19" t="s">
        <v>68</v>
      </c>
      <c r="K908" s="14">
        <v>28.0</v>
      </c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>
      <c r="A909" s="14" t="s">
        <v>3462</v>
      </c>
      <c r="B909" s="17" t="s">
        <v>3459</v>
      </c>
      <c r="C909" s="17" t="s">
        <v>3463</v>
      </c>
      <c r="D909" s="19" t="s">
        <v>3464</v>
      </c>
      <c r="E909" s="20" t="s">
        <v>1816</v>
      </c>
      <c r="F909" s="21">
        <v>25460.0</v>
      </c>
      <c r="G909" s="14">
        <v>56.0</v>
      </c>
      <c r="H909" s="23" t="s">
        <v>26</v>
      </c>
      <c r="I909" s="24" t="s">
        <v>27</v>
      </c>
      <c r="J909" s="19" t="s">
        <v>68</v>
      </c>
      <c r="K909" s="14">
        <v>28.0</v>
      </c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>
      <c r="A910" s="14" t="s">
        <v>3465</v>
      </c>
      <c r="B910" s="17" t="s">
        <v>3459</v>
      </c>
      <c r="C910" s="17" t="s">
        <v>3466</v>
      </c>
      <c r="D910" s="19" t="s">
        <v>3467</v>
      </c>
      <c r="E910" s="20" t="s">
        <v>3468</v>
      </c>
      <c r="F910" s="21">
        <v>23743.0</v>
      </c>
      <c r="G910" s="14">
        <v>61.0</v>
      </c>
      <c r="H910" s="23" t="s">
        <v>26</v>
      </c>
      <c r="I910" s="24" t="s">
        <v>33</v>
      </c>
      <c r="J910" s="19" t="s">
        <v>68</v>
      </c>
      <c r="K910" s="14">
        <v>28.0</v>
      </c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>
      <c r="A911" s="14" t="s">
        <v>3469</v>
      </c>
      <c r="B911" s="17" t="s">
        <v>3470</v>
      </c>
      <c r="C911" s="17" t="s">
        <v>3471</v>
      </c>
      <c r="D911" s="19" t="s">
        <v>3472</v>
      </c>
      <c r="E911" s="20" t="s">
        <v>290</v>
      </c>
      <c r="F911" s="21">
        <v>19974.0</v>
      </c>
      <c r="G911" s="14">
        <v>71.0</v>
      </c>
      <c r="H911" s="23" t="s">
        <v>26</v>
      </c>
      <c r="I911" s="24" t="s">
        <v>33</v>
      </c>
      <c r="J911" s="19" t="s">
        <v>517</v>
      </c>
      <c r="K911" s="14">
        <v>6.0</v>
      </c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>
      <c r="A912" s="14" t="s">
        <v>3473</v>
      </c>
      <c r="B912" s="17" t="s">
        <v>3474</v>
      </c>
      <c r="C912" s="17" t="s">
        <v>3475</v>
      </c>
      <c r="D912" s="19" t="s">
        <v>3476</v>
      </c>
      <c r="E912" s="20" t="s">
        <v>654</v>
      </c>
      <c r="F912" s="21">
        <v>31820.0</v>
      </c>
      <c r="G912" s="14">
        <v>39.0</v>
      </c>
      <c r="H912" s="23" t="s">
        <v>100</v>
      </c>
      <c r="I912" s="24" t="s">
        <v>33</v>
      </c>
      <c r="J912" s="19" t="s">
        <v>517</v>
      </c>
      <c r="K912" s="14">
        <v>5.0</v>
      </c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>
      <c r="A913" s="14" t="s">
        <v>3477</v>
      </c>
      <c r="B913" s="17" t="s">
        <v>3474</v>
      </c>
      <c r="C913" s="17" t="s">
        <v>3478</v>
      </c>
      <c r="D913" s="19" t="s">
        <v>3479</v>
      </c>
      <c r="E913" s="20" t="s">
        <v>138</v>
      </c>
      <c r="F913" s="21">
        <v>38589.0</v>
      </c>
      <c r="G913" s="14">
        <v>21.0</v>
      </c>
      <c r="H913" s="23" t="s">
        <v>100</v>
      </c>
      <c r="I913" s="24" t="s">
        <v>33</v>
      </c>
      <c r="J913" s="19" t="s">
        <v>517</v>
      </c>
      <c r="K913" s="14">
        <v>5.0</v>
      </c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>
      <c r="A914" s="14" t="s">
        <v>3480</v>
      </c>
      <c r="B914" s="17" t="s">
        <v>3474</v>
      </c>
      <c r="C914" s="17" t="s">
        <v>3481</v>
      </c>
      <c r="D914" s="19" t="s">
        <v>3482</v>
      </c>
      <c r="E914" s="20" t="s">
        <v>138</v>
      </c>
      <c r="F914" s="21">
        <v>36238.0</v>
      </c>
      <c r="G914" s="14">
        <v>27.0</v>
      </c>
      <c r="H914" s="23" t="s">
        <v>100</v>
      </c>
      <c r="I914" s="24" t="s">
        <v>33</v>
      </c>
      <c r="J914" s="19" t="s">
        <v>517</v>
      </c>
      <c r="K914" s="14">
        <v>5.0</v>
      </c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>
      <c r="A915" s="14" t="s">
        <v>3483</v>
      </c>
      <c r="B915" s="17" t="s">
        <v>3474</v>
      </c>
      <c r="C915" s="17" t="s">
        <v>3484</v>
      </c>
      <c r="D915" s="19" t="s">
        <v>3485</v>
      </c>
      <c r="E915" s="20" t="s">
        <v>138</v>
      </c>
      <c r="F915" s="21">
        <v>30149.0</v>
      </c>
      <c r="G915" s="14">
        <v>44.0</v>
      </c>
      <c r="H915" s="23" t="s">
        <v>26</v>
      </c>
      <c r="I915" s="24" t="s">
        <v>27</v>
      </c>
      <c r="J915" s="19" t="s">
        <v>517</v>
      </c>
      <c r="K915" s="14">
        <v>5.0</v>
      </c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>
      <c r="A916" s="14" t="s">
        <v>3486</v>
      </c>
      <c r="B916" s="17" t="s">
        <v>3474</v>
      </c>
      <c r="C916" s="17" t="s">
        <v>3487</v>
      </c>
      <c r="D916" s="19" t="s">
        <v>3488</v>
      </c>
      <c r="E916" s="20" t="s">
        <v>654</v>
      </c>
      <c r="F916" s="21">
        <v>27263.0</v>
      </c>
      <c r="G916" s="14">
        <v>52.0</v>
      </c>
      <c r="H916" s="23" t="s">
        <v>26</v>
      </c>
      <c r="I916" s="24" t="s">
        <v>33</v>
      </c>
      <c r="J916" s="19" t="s">
        <v>517</v>
      </c>
      <c r="K916" s="14">
        <v>5.0</v>
      </c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>
      <c r="A917" s="14" t="s">
        <v>3489</v>
      </c>
      <c r="B917" s="17" t="s">
        <v>3490</v>
      </c>
      <c r="C917" s="17" t="s">
        <v>3491</v>
      </c>
      <c r="D917" s="19" t="s">
        <v>3492</v>
      </c>
      <c r="E917" s="20" t="s">
        <v>104</v>
      </c>
      <c r="F917" s="21">
        <v>31508.0</v>
      </c>
      <c r="G917" s="14">
        <v>40.0</v>
      </c>
      <c r="H917" s="23" t="s">
        <v>26</v>
      </c>
      <c r="I917" s="24" t="s">
        <v>33</v>
      </c>
      <c r="J917" s="19" t="s">
        <v>3493</v>
      </c>
      <c r="K917" s="14">
        <v>1.0</v>
      </c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>
      <c r="A918" s="14" t="s">
        <v>3494</v>
      </c>
      <c r="B918" s="17" t="s">
        <v>3490</v>
      </c>
      <c r="C918" s="17" t="s">
        <v>3495</v>
      </c>
      <c r="D918" s="19" t="s">
        <v>3496</v>
      </c>
      <c r="E918" s="20" t="s">
        <v>104</v>
      </c>
      <c r="F918" s="21">
        <v>32556.0</v>
      </c>
      <c r="G918" s="14">
        <v>37.0</v>
      </c>
      <c r="H918" s="23" t="s">
        <v>26</v>
      </c>
      <c r="I918" s="24" t="s">
        <v>27</v>
      </c>
      <c r="J918" s="19" t="s">
        <v>3493</v>
      </c>
      <c r="K918" s="14">
        <v>1.0</v>
      </c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>
      <c r="A919" s="14" t="s">
        <v>3497</v>
      </c>
      <c r="B919" s="17" t="s">
        <v>3498</v>
      </c>
      <c r="C919" s="17" t="s">
        <v>3499</v>
      </c>
      <c r="D919" s="19" t="s">
        <v>3500</v>
      </c>
      <c r="E919" s="20" t="s">
        <v>53</v>
      </c>
      <c r="F919" s="21">
        <v>32661.0</v>
      </c>
      <c r="G919" s="14">
        <v>37.0</v>
      </c>
      <c r="H919" s="23" t="s">
        <v>100</v>
      </c>
      <c r="I919" s="24" t="s">
        <v>33</v>
      </c>
      <c r="J919" s="19" t="s">
        <v>3387</v>
      </c>
      <c r="K919" s="14">
        <v>7.0</v>
      </c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>
      <c r="A920" s="14" t="s">
        <v>3501</v>
      </c>
      <c r="B920" s="17" t="s">
        <v>3498</v>
      </c>
      <c r="C920" s="17" t="s">
        <v>3502</v>
      </c>
      <c r="D920" s="19" t="s">
        <v>1494</v>
      </c>
      <c r="E920" s="20" t="s">
        <v>290</v>
      </c>
      <c r="F920" s="21">
        <v>27122.0</v>
      </c>
      <c r="G920" s="14">
        <v>52.0</v>
      </c>
      <c r="H920" s="23" t="s">
        <v>27</v>
      </c>
      <c r="I920" s="24" t="s">
        <v>27</v>
      </c>
      <c r="J920" s="19" t="s">
        <v>3387</v>
      </c>
      <c r="K920" s="14">
        <v>7.0</v>
      </c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>
      <c r="A921" s="14" t="s">
        <v>3503</v>
      </c>
      <c r="B921" s="17" t="s">
        <v>3504</v>
      </c>
      <c r="C921" s="17" t="s">
        <v>3505</v>
      </c>
      <c r="D921" s="19" t="s">
        <v>3506</v>
      </c>
      <c r="E921" s="20" t="s">
        <v>104</v>
      </c>
      <c r="F921" s="21">
        <v>29651.0</v>
      </c>
      <c r="G921" s="14">
        <v>45.0</v>
      </c>
      <c r="H921" s="23" t="s">
        <v>26</v>
      </c>
      <c r="I921" s="24" t="s">
        <v>33</v>
      </c>
      <c r="J921" s="19" t="s">
        <v>328</v>
      </c>
      <c r="K921" s="14">
        <v>27.0</v>
      </c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>
      <c r="A922" s="14" t="s">
        <v>3507</v>
      </c>
      <c r="B922" s="17" t="s">
        <v>3504</v>
      </c>
      <c r="C922" s="17" t="s">
        <v>3508</v>
      </c>
      <c r="D922" s="19" t="s">
        <v>3509</v>
      </c>
      <c r="E922" s="20" t="s">
        <v>3510</v>
      </c>
      <c r="F922" s="21">
        <v>31672.0</v>
      </c>
      <c r="G922" s="14">
        <v>39.0</v>
      </c>
      <c r="H922" s="23" t="s">
        <v>26</v>
      </c>
      <c r="I922" s="24" t="s">
        <v>27</v>
      </c>
      <c r="J922" s="19" t="s">
        <v>328</v>
      </c>
      <c r="K922" s="14">
        <v>27.0</v>
      </c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>
      <c r="A923" s="14" t="s">
        <v>3511</v>
      </c>
      <c r="B923" s="17" t="s">
        <v>3512</v>
      </c>
      <c r="C923" s="17" t="s">
        <v>3513</v>
      </c>
      <c r="D923" s="19" t="s">
        <v>760</v>
      </c>
      <c r="E923" s="20" t="s">
        <v>650</v>
      </c>
      <c r="F923" s="21">
        <v>23514.0</v>
      </c>
      <c r="G923" s="14">
        <v>62.0</v>
      </c>
      <c r="H923" s="23" t="s">
        <v>26</v>
      </c>
      <c r="I923" s="24" t="s">
        <v>27</v>
      </c>
      <c r="J923" s="19" t="s">
        <v>328</v>
      </c>
      <c r="K923" s="14">
        <v>27.0</v>
      </c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>
      <c r="A924" s="14" t="s">
        <v>3514</v>
      </c>
      <c r="B924" s="17" t="s">
        <v>3512</v>
      </c>
      <c r="C924" s="17" t="s">
        <v>3515</v>
      </c>
      <c r="D924" s="19" t="s">
        <v>3434</v>
      </c>
      <c r="E924" s="20" t="s">
        <v>1038</v>
      </c>
      <c r="F924" s="21">
        <v>21996.0</v>
      </c>
      <c r="G924" s="14">
        <v>66.0</v>
      </c>
      <c r="H924" s="23" t="s">
        <v>26</v>
      </c>
      <c r="I924" s="24" t="s">
        <v>33</v>
      </c>
      <c r="J924" s="19" t="s">
        <v>328</v>
      </c>
      <c r="K924" s="14">
        <v>27.0</v>
      </c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>
      <c r="A925" s="14" t="s">
        <v>3516</v>
      </c>
      <c r="B925" s="17" t="s">
        <v>3517</v>
      </c>
      <c r="C925" s="17" t="s">
        <v>3518</v>
      </c>
      <c r="D925" s="19" t="s">
        <v>3519</v>
      </c>
      <c r="E925" s="20" t="s">
        <v>138</v>
      </c>
      <c r="F925" s="21">
        <v>36238.0</v>
      </c>
      <c r="G925" s="14">
        <v>27.0</v>
      </c>
      <c r="H925" s="23" t="s">
        <v>26</v>
      </c>
      <c r="I925" s="24" t="s">
        <v>33</v>
      </c>
      <c r="J925" s="19" t="s">
        <v>337</v>
      </c>
      <c r="K925" s="14">
        <v>1.0</v>
      </c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>
      <c r="A926" s="14" t="s">
        <v>3520</v>
      </c>
      <c r="B926" s="17" t="s">
        <v>3517</v>
      </c>
      <c r="C926" s="17" t="s">
        <v>3521</v>
      </c>
      <c r="D926" s="19" t="s">
        <v>3522</v>
      </c>
      <c r="E926" s="20" t="s">
        <v>104</v>
      </c>
      <c r="F926" s="21">
        <v>36439.0</v>
      </c>
      <c r="G926" s="14">
        <v>26.0</v>
      </c>
      <c r="H926" s="23" t="s">
        <v>26</v>
      </c>
      <c r="I926" s="24" t="s">
        <v>27</v>
      </c>
      <c r="J926" s="19" t="s">
        <v>337</v>
      </c>
      <c r="K926" s="14">
        <v>1.0</v>
      </c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>
      <c r="A927" s="14" t="s">
        <v>3523</v>
      </c>
      <c r="B927" s="17" t="s">
        <v>3524</v>
      </c>
      <c r="C927" s="17" t="s">
        <v>3525</v>
      </c>
      <c r="D927" s="19" t="s">
        <v>3526</v>
      </c>
      <c r="E927" s="20" t="s">
        <v>2980</v>
      </c>
      <c r="F927" s="27">
        <v>34618.0</v>
      </c>
      <c r="G927" s="14">
        <v>31.0</v>
      </c>
      <c r="H927" s="23" t="s">
        <v>26</v>
      </c>
      <c r="I927" s="24" t="s">
        <v>33</v>
      </c>
      <c r="J927" s="19" t="s">
        <v>68</v>
      </c>
      <c r="K927" s="14">
        <v>31.0</v>
      </c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>
      <c r="A928" s="14" t="s">
        <v>3527</v>
      </c>
      <c r="B928" s="17" t="s">
        <v>3524</v>
      </c>
      <c r="C928" s="17" t="s">
        <v>3528</v>
      </c>
      <c r="D928" s="19" t="s">
        <v>3529</v>
      </c>
      <c r="E928" s="20" t="s">
        <v>219</v>
      </c>
      <c r="F928" s="21">
        <v>34951.0</v>
      </c>
      <c r="G928" s="14">
        <v>30.0</v>
      </c>
      <c r="H928" s="23" t="s">
        <v>26</v>
      </c>
      <c r="I928" s="24" t="s">
        <v>27</v>
      </c>
      <c r="J928" s="19" t="s">
        <v>68</v>
      </c>
      <c r="K928" s="14">
        <v>31.0</v>
      </c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>
      <c r="A929" s="14" t="s">
        <v>3530</v>
      </c>
      <c r="B929" s="17" t="s">
        <v>3531</v>
      </c>
      <c r="C929" s="17" t="s">
        <v>3532</v>
      </c>
      <c r="D929" s="19" t="s">
        <v>3533</v>
      </c>
      <c r="E929" s="20" t="s">
        <v>654</v>
      </c>
      <c r="F929" s="21">
        <v>26471.0</v>
      </c>
      <c r="G929" s="14">
        <v>54.0</v>
      </c>
      <c r="H929" s="23" t="s">
        <v>26</v>
      </c>
      <c r="I929" s="24" t="s">
        <v>27</v>
      </c>
      <c r="J929" s="19" t="s">
        <v>68</v>
      </c>
      <c r="K929" s="14">
        <v>30.0</v>
      </c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>
      <c r="A930" s="14" t="s">
        <v>3534</v>
      </c>
      <c r="B930" s="17" t="s">
        <v>3535</v>
      </c>
      <c r="C930" s="17" t="s">
        <v>3536</v>
      </c>
      <c r="D930" s="19" t="s">
        <v>3537</v>
      </c>
      <c r="E930" s="20" t="s">
        <v>104</v>
      </c>
      <c r="F930" s="21">
        <v>37294.0</v>
      </c>
      <c r="G930" s="14">
        <v>24.0</v>
      </c>
      <c r="H930" s="23" t="s">
        <v>100</v>
      </c>
      <c r="I930" s="24" t="s">
        <v>33</v>
      </c>
      <c r="J930" s="19" t="s">
        <v>3538</v>
      </c>
      <c r="K930" s="14">
        <v>22.0</v>
      </c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>
      <c r="A931" s="14" t="s">
        <v>3540</v>
      </c>
      <c r="B931" s="17" t="s">
        <v>3541</v>
      </c>
      <c r="C931" s="17" t="s">
        <v>3542</v>
      </c>
      <c r="D931" s="19" t="s">
        <v>3543</v>
      </c>
      <c r="E931" s="20" t="s">
        <v>3544</v>
      </c>
      <c r="F931" s="27">
        <v>33204.0</v>
      </c>
      <c r="G931" s="14">
        <v>35.0</v>
      </c>
      <c r="H931" s="23" t="s">
        <v>26</v>
      </c>
      <c r="I931" s="24" t="s">
        <v>27</v>
      </c>
      <c r="J931" s="19" t="s">
        <v>282</v>
      </c>
      <c r="K931" s="14">
        <v>15.0</v>
      </c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>
      <c r="A932" s="14" t="s">
        <v>3545</v>
      </c>
      <c r="B932" s="17" t="s">
        <v>3541</v>
      </c>
      <c r="C932" s="17" t="s">
        <v>3546</v>
      </c>
      <c r="D932" s="19" t="s">
        <v>3547</v>
      </c>
      <c r="E932" s="20" t="s">
        <v>3210</v>
      </c>
      <c r="F932" s="21">
        <v>27583.0</v>
      </c>
      <c r="G932" s="14">
        <v>51.0</v>
      </c>
      <c r="H932" s="23" t="s">
        <v>26</v>
      </c>
      <c r="I932" s="24" t="s">
        <v>33</v>
      </c>
      <c r="J932" s="19" t="s">
        <v>282</v>
      </c>
      <c r="K932" s="14">
        <v>15.0</v>
      </c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>
      <c r="A933" s="14" t="s">
        <v>3548</v>
      </c>
      <c r="B933" s="17" t="s">
        <v>3549</v>
      </c>
      <c r="C933" s="17" t="s">
        <v>3550</v>
      </c>
      <c r="D933" s="19" t="s">
        <v>3551</v>
      </c>
      <c r="E933" s="20" t="s">
        <v>3552</v>
      </c>
      <c r="F933" s="21">
        <v>34438.0</v>
      </c>
      <c r="G933" s="14">
        <v>32.0</v>
      </c>
      <c r="H933" s="23" t="s">
        <v>26</v>
      </c>
      <c r="I933" s="24" t="s">
        <v>27</v>
      </c>
      <c r="J933" s="19" t="s">
        <v>68</v>
      </c>
      <c r="K933" s="14">
        <v>28.0</v>
      </c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>
      <c r="A934" s="14" t="s">
        <v>3553</v>
      </c>
      <c r="B934" s="17" t="s">
        <v>3549</v>
      </c>
      <c r="C934" s="17" t="s">
        <v>3554</v>
      </c>
      <c r="D934" s="19" t="s">
        <v>3555</v>
      </c>
      <c r="E934" s="20" t="s">
        <v>104</v>
      </c>
      <c r="F934" s="21">
        <v>31812.0</v>
      </c>
      <c r="G934" s="14">
        <v>39.0</v>
      </c>
      <c r="H934" s="23" t="s">
        <v>26</v>
      </c>
      <c r="I934" s="24" t="s">
        <v>33</v>
      </c>
      <c r="J934" s="19" t="s">
        <v>68</v>
      </c>
      <c r="K934" s="14">
        <v>28.0</v>
      </c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>
      <c r="A935" s="14" t="s">
        <v>3556</v>
      </c>
      <c r="B935" s="17" t="s">
        <v>3557</v>
      </c>
      <c r="C935" s="17" t="s">
        <v>3558</v>
      </c>
      <c r="D935" s="19" t="s">
        <v>3559</v>
      </c>
      <c r="E935" s="20" t="s">
        <v>53</v>
      </c>
      <c r="F935" s="21">
        <v>37697.0</v>
      </c>
      <c r="G935" s="14">
        <v>23.0</v>
      </c>
      <c r="H935" s="23" t="s">
        <v>100</v>
      </c>
      <c r="I935" s="24" t="s">
        <v>33</v>
      </c>
      <c r="J935" s="19" t="s">
        <v>3560</v>
      </c>
      <c r="K935" s="14">
        <v>33.0</v>
      </c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>
      <c r="A936" s="14" t="s">
        <v>3561</v>
      </c>
      <c r="B936" s="17" t="s">
        <v>3557</v>
      </c>
      <c r="C936" s="17" t="s">
        <v>3562</v>
      </c>
      <c r="D936" s="19" t="s">
        <v>3563</v>
      </c>
      <c r="E936" s="20" t="s">
        <v>3564</v>
      </c>
      <c r="F936" s="21">
        <v>31144.0</v>
      </c>
      <c r="G936" s="14">
        <v>41.0</v>
      </c>
      <c r="H936" s="23" t="s">
        <v>26</v>
      </c>
      <c r="I936" s="24" t="s">
        <v>33</v>
      </c>
      <c r="J936" s="19" t="s">
        <v>3565</v>
      </c>
      <c r="K936" s="14">
        <v>33.0</v>
      </c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>
      <c r="A937" s="14" t="s">
        <v>3566</v>
      </c>
      <c r="B937" s="17" t="s">
        <v>3557</v>
      </c>
      <c r="C937" s="17" t="s">
        <v>3567</v>
      </c>
      <c r="D937" s="19" t="s">
        <v>3568</v>
      </c>
      <c r="E937" s="20" t="s">
        <v>53</v>
      </c>
      <c r="F937" s="21">
        <v>30385.0</v>
      </c>
      <c r="G937" s="14">
        <v>43.0</v>
      </c>
      <c r="H937" s="23" t="s">
        <v>26</v>
      </c>
      <c r="I937" s="24" t="s">
        <v>27</v>
      </c>
      <c r="J937" s="19" t="s">
        <v>3565</v>
      </c>
      <c r="K937" s="14">
        <v>33.0</v>
      </c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>
      <c r="A938" s="14" t="s">
        <v>3569</v>
      </c>
      <c r="B938" s="17" t="s">
        <v>3570</v>
      </c>
      <c r="C938" s="17" t="s">
        <v>3571</v>
      </c>
      <c r="D938" s="19" t="s">
        <v>3572</v>
      </c>
      <c r="E938" s="20" t="s">
        <v>104</v>
      </c>
      <c r="F938" s="21">
        <v>33631.0</v>
      </c>
      <c r="G938" s="14">
        <v>34.0</v>
      </c>
      <c r="H938" s="23" t="s">
        <v>26</v>
      </c>
      <c r="I938" s="24" t="s">
        <v>33</v>
      </c>
      <c r="J938" s="19" t="s">
        <v>328</v>
      </c>
      <c r="K938" s="14">
        <v>24.0</v>
      </c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>
      <c r="A939" s="14" t="s">
        <v>3573</v>
      </c>
      <c r="B939" s="17" t="s">
        <v>3570</v>
      </c>
      <c r="C939" s="17" t="s">
        <v>3574</v>
      </c>
      <c r="D939" s="19" t="s">
        <v>3575</v>
      </c>
      <c r="E939" s="20" t="s">
        <v>3576</v>
      </c>
      <c r="F939" s="21">
        <v>35531.0</v>
      </c>
      <c r="G939" s="14">
        <v>29.0</v>
      </c>
      <c r="H939" s="23" t="s">
        <v>26</v>
      </c>
      <c r="I939" s="24" t="s">
        <v>27</v>
      </c>
      <c r="J939" s="19" t="s">
        <v>328</v>
      </c>
      <c r="K939" s="14">
        <v>24.0</v>
      </c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>
      <c r="A940" s="14" t="s">
        <v>3577</v>
      </c>
      <c r="B940" s="17" t="s">
        <v>3578</v>
      </c>
      <c r="C940" s="17" t="s">
        <v>3579</v>
      </c>
      <c r="D940" s="19" t="s">
        <v>3580</v>
      </c>
      <c r="E940" s="20" t="s">
        <v>53</v>
      </c>
      <c r="F940" s="21">
        <v>37861.0</v>
      </c>
      <c r="G940" s="14">
        <v>23.0</v>
      </c>
      <c r="H940" s="23" t="s">
        <v>100</v>
      </c>
      <c r="I940" s="24" t="s">
        <v>27</v>
      </c>
      <c r="J940" s="19" t="s">
        <v>2336</v>
      </c>
      <c r="K940" s="14">
        <v>24.0</v>
      </c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>
      <c r="A941" s="14" t="s">
        <v>3581</v>
      </c>
      <c r="B941" s="17" t="s">
        <v>3578</v>
      </c>
      <c r="C941" s="17" t="s">
        <v>3582</v>
      </c>
      <c r="D941" s="19" t="s">
        <v>3583</v>
      </c>
      <c r="E941" s="20" t="s">
        <v>2505</v>
      </c>
      <c r="F941" s="21">
        <v>26238.0</v>
      </c>
      <c r="G941" s="14">
        <v>54.0</v>
      </c>
      <c r="H941" s="23" t="s">
        <v>26</v>
      </c>
      <c r="I941" s="24" t="s">
        <v>27</v>
      </c>
      <c r="J941" s="19" t="s">
        <v>2336</v>
      </c>
      <c r="K941" s="14">
        <v>24.0</v>
      </c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>
      <c r="A942" s="14" t="s">
        <v>3584</v>
      </c>
      <c r="B942" s="17" t="s">
        <v>3578</v>
      </c>
      <c r="C942" s="17" t="s">
        <v>3585</v>
      </c>
      <c r="D942" s="19" t="s">
        <v>3586</v>
      </c>
      <c r="E942" s="20" t="s">
        <v>3587</v>
      </c>
      <c r="F942" s="21">
        <v>24808.0</v>
      </c>
      <c r="G942" s="14">
        <v>58.0</v>
      </c>
      <c r="H942" s="23" t="s">
        <v>26</v>
      </c>
      <c r="I942" s="24" t="s">
        <v>33</v>
      </c>
      <c r="J942" s="19" t="s">
        <v>2336</v>
      </c>
      <c r="K942" s="14">
        <v>24.0</v>
      </c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>
      <c r="A943" s="14" t="s">
        <v>3588</v>
      </c>
      <c r="B943" s="17" t="s">
        <v>3589</v>
      </c>
      <c r="C943" s="17" t="s">
        <v>3590</v>
      </c>
      <c r="D943" s="19" t="s">
        <v>3591</v>
      </c>
      <c r="E943" s="20" t="s">
        <v>1791</v>
      </c>
      <c r="F943" s="27">
        <v>32489.0</v>
      </c>
      <c r="G943" s="14">
        <v>37.0</v>
      </c>
      <c r="H943" s="23" t="s">
        <v>26</v>
      </c>
      <c r="I943" s="24" t="s">
        <v>33</v>
      </c>
      <c r="J943" s="19" t="s">
        <v>3592</v>
      </c>
      <c r="K943" s="14">
        <v>15.0</v>
      </c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>
      <c r="A944" s="14" t="s">
        <v>3593</v>
      </c>
      <c r="B944" s="17" t="s">
        <v>3589</v>
      </c>
      <c r="C944" s="17" t="s">
        <v>3594</v>
      </c>
      <c r="D944" s="19" t="s">
        <v>3595</v>
      </c>
      <c r="E944" s="20" t="s">
        <v>104</v>
      </c>
      <c r="F944" s="21">
        <v>33074.0</v>
      </c>
      <c r="G944" s="14">
        <v>36.0</v>
      </c>
      <c r="H944" s="23" t="s">
        <v>26</v>
      </c>
      <c r="I944" s="24" t="s">
        <v>27</v>
      </c>
      <c r="J944" s="19" t="s">
        <v>3592</v>
      </c>
      <c r="K944" s="14">
        <v>15.0</v>
      </c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>
      <c r="A945" s="14" t="s">
        <v>3596</v>
      </c>
      <c r="B945" s="17" t="s">
        <v>3597</v>
      </c>
      <c r="C945" s="17" t="s">
        <v>3598</v>
      </c>
      <c r="D945" s="19" t="s">
        <v>3599</v>
      </c>
      <c r="E945" s="20" t="s">
        <v>104</v>
      </c>
      <c r="F945" s="21">
        <v>33785.0</v>
      </c>
      <c r="G945" s="14">
        <v>34.0</v>
      </c>
      <c r="H945" s="23" t="s">
        <v>26</v>
      </c>
      <c r="I945" s="24" t="s">
        <v>33</v>
      </c>
      <c r="J945" s="19" t="s">
        <v>3600</v>
      </c>
      <c r="K945" s="14">
        <v>30.0</v>
      </c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>
      <c r="A946" s="14" t="s">
        <v>3601</v>
      </c>
      <c r="B946" s="17" t="s">
        <v>3597</v>
      </c>
      <c r="C946" s="17" t="s">
        <v>3602</v>
      </c>
      <c r="D946" s="19" t="s">
        <v>3603</v>
      </c>
      <c r="E946" s="20" t="s">
        <v>3604</v>
      </c>
      <c r="F946" s="27">
        <v>34334.0</v>
      </c>
      <c r="G946" s="14">
        <v>32.0</v>
      </c>
      <c r="H946" s="23" t="s">
        <v>26</v>
      </c>
      <c r="I946" s="24" t="s">
        <v>27</v>
      </c>
      <c r="J946" s="19" t="s">
        <v>3600</v>
      </c>
      <c r="K946" s="14">
        <v>30.0</v>
      </c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>
      <c r="A947" s="14" t="s">
        <v>3605</v>
      </c>
      <c r="B947" s="17" t="s">
        <v>3606</v>
      </c>
      <c r="C947" s="17" t="s">
        <v>3607</v>
      </c>
      <c r="D947" s="19" t="s">
        <v>3608</v>
      </c>
      <c r="E947" s="20" t="s">
        <v>3609</v>
      </c>
      <c r="F947" s="21">
        <v>33375.0</v>
      </c>
      <c r="G947" s="14">
        <v>35.0</v>
      </c>
      <c r="H947" s="23" t="s">
        <v>26</v>
      </c>
      <c r="I947" s="24" t="s">
        <v>27</v>
      </c>
      <c r="J947" s="19" t="s">
        <v>53</v>
      </c>
      <c r="K947" s="14">
        <v>26.0</v>
      </c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>
      <c r="A948" s="14" t="s">
        <v>3611</v>
      </c>
      <c r="B948" s="17" t="s">
        <v>3606</v>
      </c>
      <c r="C948" s="17" t="s">
        <v>3612</v>
      </c>
      <c r="D948" s="19" t="s">
        <v>3613</v>
      </c>
      <c r="E948" s="20" t="s">
        <v>3614</v>
      </c>
      <c r="F948" s="21">
        <v>32609.0</v>
      </c>
      <c r="G948" s="14">
        <v>37.0</v>
      </c>
      <c r="H948" s="23" t="s">
        <v>26</v>
      </c>
      <c r="I948" s="24" t="s">
        <v>33</v>
      </c>
      <c r="J948" s="19" t="s">
        <v>53</v>
      </c>
      <c r="K948" s="14">
        <v>26.0</v>
      </c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>
      <c r="A949" s="14" t="s">
        <v>3615</v>
      </c>
      <c r="B949" s="17" t="s">
        <v>3616</v>
      </c>
      <c r="C949" s="17" t="s">
        <v>3617</v>
      </c>
      <c r="D949" s="19" t="s">
        <v>3618</v>
      </c>
      <c r="E949" s="20" t="s">
        <v>112</v>
      </c>
      <c r="F949" s="21">
        <v>23012.0</v>
      </c>
      <c r="G949" s="14">
        <v>63.0</v>
      </c>
      <c r="H949" s="23" t="s">
        <v>26</v>
      </c>
      <c r="I949" s="24" t="s">
        <v>33</v>
      </c>
      <c r="J949" s="19" t="s">
        <v>282</v>
      </c>
      <c r="K949" s="14">
        <v>19.0</v>
      </c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>
      <c r="A950" s="14" t="s">
        <v>3619</v>
      </c>
      <c r="B950" s="17" t="s">
        <v>3616</v>
      </c>
      <c r="C950" s="17" t="s">
        <v>3620</v>
      </c>
      <c r="D950" s="19" t="s">
        <v>3621</v>
      </c>
      <c r="E950" s="20" t="s">
        <v>1148</v>
      </c>
      <c r="F950" s="21">
        <v>24994.0</v>
      </c>
      <c r="G950" s="14">
        <v>58.0</v>
      </c>
      <c r="H950" s="23" t="s">
        <v>26</v>
      </c>
      <c r="I950" s="24" t="s">
        <v>27</v>
      </c>
      <c r="J950" s="19" t="s">
        <v>282</v>
      </c>
      <c r="K950" s="14">
        <v>19.0</v>
      </c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>
      <c r="A951" s="14" t="s">
        <v>3622</v>
      </c>
      <c r="B951" s="17" t="s">
        <v>3623</v>
      </c>
      <c r="C951" s="17" t="s">
        <v>3624</v>
      </c>
      <c r="D951" s="19" t="s">
        <v>3625</v>
      </c>
      <c r="E951" s="20" t="s">
        <v>1791</v>
      </c>
      <c r="F951" s="21">
        <v>35691.0</v>
      </c>
      <c r="G951" s="14">
        <v>28.0</v>
      </c>
      <c r="H951" s="23" t="s">
        <v>26</v>
      </c>
      <c r="I951" s="24" t="s">
        <v>27</v>
      </c>
      <c r="J951" s="19" t="s">
        <v>3387</v>
      </c>
      <c r="K951" s="14">
        <v>9.0</v>
      </c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>
      <c r="A952" s="14" t="s">
        <v>3626</v>
      </c>
      <c r="B952" s="17" t="s">
        <v>3623</v>
      </c>
      <c r="C952" s="17" t="s">
        <v>3627</v>
      </c>
      <c r="D952" s="19" t="s">
        <v>3628</v>
      </c>
      <c r="E952" s="20" t="s">
        <v>104</v>
      </c>
      <c r="F952" s="21">
        <v>33714.0</v>
      </c>
      <c r="G952" s="14">
        <v>34.0</v>
      </c>
      <c r="H952" s="23" t="s">
        <v>26</v>
      </c>
      <c r="I952" s="24" t="s">
        <v>33</v>
      </c>
      <c r="J952" s="19" t="s">
        <v>3387</v>
      </c>
      <c r="K952" s="14">
        <v>9.0</v>
      </c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>
      <c r="A953" s="14" t="s">
        <v>3629</v>
      </c>
      <c r="B953" s="17" t="s">
        <v>3630</v>
      </c>
      <c r="C953" s="17" t="s">
        <v>3631</v>
      </c>
      <c r="D953" s="19" t="s">
        <v>3632</v>
      </c>
      <c r="E953" s="20" t="s">
        <v>104</v>
      </c>
      <c r="F953" s="21">
        <v>30261.0</v>
      </c>
      <c r="G953" s="14">
        <v>43.0</v>
      </c>
      <c r="H953" s="23" t="s">
        <v>26</v>
      </c>
      <c r="I953" s="24" t="s">
        <v>27</v>
      </c>
      <c r="J953" s="19" t="s">
        <v>328</v>
      </c>
      <c r="K953" s="14">
        <v>23.0</v>
      </c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>
      <c r="A954" s="14" t="s">
        <v>3633</v>
      </c>
      <c r="B954" s="17" t="s">
        <v>3630</v>
      </c>
      <c r="C954" s="17" t="s">
        <v>3634</v>
      </c>
      <c r="D954" s="19" t="s">
        <v>3635</v>
      </c>
      <c r="E954" s="20" t="s">
        <v>290</v>
      </c>
      <c r="F954" s="21">
        <v>33462.0</v>
      </c>
      <c r="G954" s="14">
        <v>35.0</v>
      </c>
      <c r="H954" s="23" t="s">
        <v>26</v>
      </c>
      <c r="I954" s="24" t="s">
        <v>33</v>
      </c>
      <c r="J954" s="19" t="s">
        <v>328</v>
      </c>
      <c r="K954" s="14">
        <v>23.0</v>
      </c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>
      <c r="A955" s="14" t="s">
        <v>3636</v>
      </c>
      <c r="B955" s="17" t="s">
        <v>3630</v>
      </c>
      <c r="C955" s="17" t="s">
        <v>3637</v>
      </c>
      <c r="D955" s="19" t="s">
        <v>3638</v>
      </c>
      <c r="E955" s="20" t="s">
        <v>53</v>
      </c>
      <c r="F955" s="21">
        <v>37698.0</v>
      </c>
      <c r="G955" s="14">
        <v>23.0</v>
      </c>
      <c r="H955" s="23" t="s">
        <v>100</v>
      </c>
      <c r="I955" s="24" t="s">
        <v>33</v>
      </c>
      <c r="J955" s="19" t="s">
        <v>362</v>
      </c>
      <c r="K955" s="14">
        <v>23.0</v>
      </c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>
      <c r="A956" s="14" t="s">
        <v>3639</v>
      </c>
      <c r="B956" s="17" t="s">
        <v>3640</v>
      </c>
      <c r="C956" s="17" t="s">
        <v>3641</v>
      </c>
      <c r="D956" s="19" t="s">
        <v>3642</v>
      </c>
      <c r="E956" s="20" t="s">
        <v>104</v>
      </c>
      <c r="F956" s="21">
        <v>28223.0</v>
      </c>
      <c r="G956" s="14">
        <v>49.0</v>
      </c>
      <c r="H956" s="23" t="s">
        <v>26</v>
      </c>
      <c r="I956" s="24" t="s">
        <v>33</v>
      </c>
      <c r="J956" s="19" t="s">
        <v>597</v>
      </c>
      <c r="K956" s="14">
        <v>20.0</v>
      </c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>
      <c r="A957" s="14" t="s">
        <v>3643</v>
      </c>
      <c r="B957" s="17" t="s">
        <v>3640</v>
      </c>
      <c r="C957" s="17" t="s">
        <v>3644</v>
      </c>
      <c r="D957" s="19" t="s">
        <v>3645</v>
      </c>
      <c r="E957" s="20" t="s">
        <v>104</v>
      </c>
      <c r="F957" s="21">
        <v>37711.0</v>
      </c>
      <c r="G957" s="14">
        <v>23.0</v>
      </c>
      <c r="H957" s="23" t="s">
        <v>100</v>
      </c>
      <c r="I957" s="24" t="s">
        <v>27</v>
      </c>
      <c r="J957" s="19" t="s">
        <v>597</v>
      </c>
      <c r="K957" s="14">
        <v>20.0</v>
      </c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>
      <c r="A958" s="14" t="s">
        <v>3646</v>
      </c>
      <c r="B958" s="17" t="s">
        <v>3640</v>
      </c>
      <c r="C958" s="17" t="s">
        <v>3647</v>
      </c>
      <c r="D958" s="19" t="s">
        <v>3648</v>
      </c>
      <c r="E958" s="20" t="s">
        <v>104</v>
      </c>
      <c r="F958" s="21">
        <v>28863.0</v>
      </c>
      <c r="G958" s="14">
        <v>47.0</v>
      </c>
      <c r="H958" s="23" t="s">
        <v>26</v>
      </c>
      <c r="I958" s="24" t="s">
        <v>27</v>
      </c>
      <c r="J958" s="19" t="s">
        <v>597</v>
      </c>
      <c r="K958" s="14">
        <v>20.0</v>
      </c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>
      <c r="A959" s="14" t="s">
        <v>3649</v>
      </c>
      <c r="B959" s="17" t="s">
        <v>3650</v>
      </c>
      <c r="C959" s="17" t="s">
        <v>3651</v>
      </c>
      <c r="D959" s="19" t="s">
        <v>3652</v>
      </c>
      <c r="E959" s="20" t="s">
        <v>104</v>
      </c>
      <c r="F959" s="21">
        <v>39184.0</v>
      </c>
      <c r="G959" s="14">
        <v>19.0</v>
      </c>
      <c r="H959" s="23" t="s">
        <v>100</v>
      </c>
      <c r="I959" s="24" t="s">
        <v>33</v>
      </c>
      <c r="J959" s="19" t="s">
        <v>3538</v>
      </c>
      <c r="K959" s="14">
        <v>20.0</v>
      </c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>
      <c r="A960" s="14" t="s">
        <v>3653</v>
      </c>
      <c r="B960" s="17" t="s">
        <v>3650</v>
      </c>
      <c r="C960" s="17" t="s">
        <v>3654</v>
      </c>
      <c r="D960" s="19" t="s">
        <v>3655</v>
      </c>
      <c r="E960" s="20" t="s">
        <v>104</v>
      </c>
      <c r="F960" s="21">
        <v>29494.0</v>
      </c>
      <c r="G960" s="14">
        <v>45.0</v>
      </c>
      <c r="H960" s="23" t="s">
        <v>26</v>
      </c>
      <c r="I960" s="24" t="s">
        <v>33</v>
      </c>
      <c r="J960" s="19" t="s">
        <v>3538</v>
      </c>
      <c r="K960" s="14">
        <v>20.0</v>
      </c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>
      <c r="A961" s="14" t="s">
        <v>3656</v>
      </c>
      <c r="B961" s="17" t="s">
        <v>3650</v>
      </c>
      <c r="C961" s="17" t="s">
        <v>3657</v>
      </c>
      <c r="D961" s="19" t="s">
        <v>3658</v>
      </c>
      <c r="E961" s="20" t="s">
        <v>104</v>
      </c>
      <c r="F961" s="21">
        <v>30133.0</v>
      </c>
      <c r="G961" s="14">
        <v>44.0</v>
      </c>
      <c r="H961" s="23" t="s">
        <v>26</v>
      </c>
      <c r="I961" s="24" t="s">
        <v>27</v>
      </c>
      <c r="J961" s="19" t="s">
        <v>3538</v>
      </c>
      <c r="K961" s="14">
        <v>20.0</v>
      </c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>
      <c r="A962" s="14" t="s">
        <v>3659</v>
      </c>
      <c r="B962" s="17" t="s">
        <v>3660</v>
      </c>
      <c r="C962" s="17" t="s">
        <v>3661</v>
      </c>
      <c r="D962" s="19" t="s">
        <v>3662</v>
      </c>
      <c r="E962" s="20" t="s">
        <v>650</v>
      </c>
      <c r="F962" s="21">
        <v>19541.0</v>
      </c>
      <c r="G962" s="14">
        <v>73.0</v>
      </c>
      <c r="H962" s="23" t="s">
        <v>26</v>
      </c>
      <c r="I962" s="24" t="s">
        <v>33</v>
      </c>
      <c r="J962" s="19" t="s">
        <v>53</v>
      </c>
      <c r="K962" s="14">
        <v>13.0</v>
      </c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>
      <c r="A963" s="14" t="s">
        <v>3663</v>
      </c>
      <c r="B963" s="17" t="s">
        <v>3664</v>
      </c>
      <c r="C963" s="17" t="s">
        <v>3665</v>
      </c>
      <c r="D963" s="19" t="s">
        <v>3666</v>
      </c>
      <c r="E963" s="20" t="s">
        <v>104</v>
      </c>
      <c r="F963" s="21">
        <v>38227.0</v>
      </c>
      <c r="G963" s="14">
        <v>22.0</v>
      </c>
      <c r="H963" s="23" t="s">
        <v>100</v>
      </c>
      <c r="I963" s="24" t="s">
        <v>33</v>
      </c>
      <c r="J963" s="19" t="s">
        <v>3167</v>
      </c>
      <c r="K963" s="14">
        <v>19.0</v>
      </c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>
      <c r="A964" s="14" t="s">
        <v>3667</v>
      </c>
      <c r="B964" s="17" t="s">
        <v>3664</v>
      </c>
      <c r="C964" s="17" t="s">
        <v>3668</v>
      </c>
      <c r="D964" s="19" t="s">
        <v>3669</v>
      </c>
      <c r="E964" s="20" t="s">
        <v>112</v>
      </c>
      <c r="F964" s="21">
        <v>26410.0</v>
      </c>
      <c r="G964" s="14">
        <v>54.0</v>
      </c>
      <c r="H964" s="23" t="s">
        <v>26</v>
      </c>
      <c r="I964" s="24" t="s">
        <v>33</v>
      </c>
      <c r="J964" s="19" t="s">
        <v>3167</v>
      </c>
      <c r="K964" s="14">
        <v>19.0</v>
      </c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>
      <c r="A965" s="14" t="s">
        <v>3670</v>
      </c>
      <c r="B965" s="17" t="s">
        <v>3664</v>
      </c>
      <c r="C965" s="17" t="s">
        <v>3671</v>
      </c>
      <c r="D965" s="19" t="s">
        <v>3672</v>
      </c>
      <c r="E965" s="20" t="s">
        <v>1291</v>
      </c>
      <c r="F965" s="21">
        <v>29164.0</v>
      </c>
      <c r="G965" s="14">
        <v>46.0</v>
      </c>
      <c r="H965" s="23" t="s">
        <v>26</v>
      </c>
      <c r="I965" s="24" t="s">
        <v>27</v>
      </c>
      <c r="J965" s="19" t="s">
        <v>3167</v>
      </c>
      <c r="K965" s="14">
        <v>19.0</v>
      </c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>
      <c r="A966" s="14" t="s">
        <v>3673</v>
      </c>
      <c r="B966" s="17" t="s">
        <v>3664</v>
      </c>
      <c r="C966" s="17" t="s">
        <v>3674</v>
      </c>
      <c r="D966" s="19" t="s">
        <v>3675</v>
      </c>
      <c r="E966" s="20" t="s">
        <v>53</v>
      </c>
      <c r="F966" s="21">
        <v>36580.0</v>
      </c>
      <c r="G966" s="14">
        <v>26.0</v>
      </c>
      <c r="H966" s="23" t="s">
        <v>100</v>
      </c>
      <c r="I966" s="24" t="s">
        <v>33</v>
      </c>
      <c r="J966" s="19" t="s">
        <v>3167</v>
      </c>
      <c r="K966" s="14">
        <v>19.0</v>
      </c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>
      <c r="A967" s="14" t="s">
        <v>3676</v>
      </c>
      <c r="B967" s="17" t="s">
        <v>3677</v>
      </c>
      <c r="C967" s="17" t="s">
        <v>3678</v>
      </c>
      <c r="D967" s="19" t="s">
        <v>3679</v>
      </c>
      <c r="E967" s="20" t="s">
        <v>104</v>
      </c>
      <c r="F967" s="27">
        <v>39402.0</v>
      </c>
      <c r="G967" s="14">
        <v>18.0</v>
      </c>
      <c r="H967" s="23" t="s">
        <v>100</v>
      </c>
      <c r="I967" s="24" t="s">
        <v>27</v>
      </c>
      <c r="J967" s="19" t="s">
        <v>3680</v>
      </c>
      <c r="K967" s="14">
        <v>19.0</v>
      </c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>
      <c r="A968" s="14" t="s">
        <v>3681</v>
      </c>
      <c r="B968" s="17" t="s">
        <v>3677</v>
      </c>
      <c r="C968" s="17" t="s">
        <v>3682</v>
      </c>
      <c r="D968" s="19" t="s">
        <v>3683</v>
      </c>
      <c r="E968" s="20" t="s">
        <v>104</v>
      </c>
      <c r="F968" s="21">
        <v>38907.0</v>
      </c>
      <c r="G968" s="14">
        <v>20.0</v>
      </c>
      <c r="H968" s="23" t="s">
        <v>100</v>
      </c>
      <c r="I968" s="24" t="s">
        <v>33</v>
      </c>
      <c r="J968" s="19" t="s">
        <v>3680</v>
      </c>
      <c r="K968" s="14">
        <v>19.0</v>
      </c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>
      <c r="A969" s="14" t="s">
        <v>3684</v>
      </c>
      <c r="B969" s="17" t="s">
        <v>3677</v>
      </c>
      <c r="C969" s="17" t="s">
        <v>3685</v>
      </c>
      <c r="D969" s="19" t="s">
        <v>3686</v>
      </c>
      <c r="E969" s="20" t="s">
        <v>1639</v>
      </c>
      <c r="F969" s="21">
        <v>26846.0</v>
      </c>
      <c r="G969" s="14">
        <v>53.0</v>
      </c>
      <c r="H969" s="23" t="s">
        <v>26</v>
      </c>
      <c r="I969" s="24" t="s">
        <v>27</v>
      </c>
      <c r="J969" s="19" t="s">
        <v>3680</v>
      </c>
      <c r="K969" s="14">
        <v>19.0</v>
      </c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>
      <c r="A970" s="14" t="s">
        <v>3687</v>
      </c>
      <c r="B970" s="17" t="s">
        <v>3677</v>
      </c>
      <c r="C970" s="17" t="s">
        <v>3688</v>
      </c>
      <c r="D970" s="19" t="s">
        <v>3689</v>
      </c>
      <c r="E970" s="20" t="s">
        <v>654</v>
      </c>
      <c r="F970" s="21">
        <v>25750.0</v>
      </c>
      <c r="G970" s="14">
        <v>56.0</v>
      </c>
      <c r="H970" s="23" t="s">
        <v>26</v>
      </c>
      <c r="I970" s="24" t="s">
        <v>33</v>
      </c>
      <c r="J970" s="19" t="s">
        <v>3680</v>
      </c>
      <c r="K970" s="14">
        <v>19.0</v>
      </c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>
      <c r="A971" s="14" t="s">
        <v>3690</v>
      </c>
      <c r="B971" s="17" t="s">
        <v>3691</v>
      </c>
      <c r="C971" s="17" t="s">
        <v>3692</v>
      </c>
      <c r="D971" s="19" t="s">
        <v>3693</v>
      </c>
      <c r="E971" s="20" t="s">
        <v>502</v>
      </c>
      <c r="F971" s="21">
        <v>30117.0</v>
      </c>
      <c r="G971" s="14">
        <v>44.0</v>
      </c>
      <c r="H971" s="23" t="s">
        <v>26</v>
      </c>
      <c r="I971" s="24" t="s">
        <v>33</v>
      </c>
      <c r="J971" s="19" t="s">
        <v>3694</v>
      </c>
      <c r="K971" s="14">
        <v>16.0</v>
      </c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>
      <c r="A972" s="14" t="s">
        <v>3695</v>
      </c>
      <c r="B972" s="17" t="s">
        <v>3691</v>
      </c>
      <c r="C972" s="17" t="s">
        <v>3696</v>
      </c>
      <c r="D972" s="19" t="s">
        <v>3697</v>
      </c>
      <c r="E972" s="20" t="s">
        <v>104</v>
      </c>
      <c r="F972" s="27">
        <v>31701.0</v>
      </c>
      <c r="G972" s="14">
        <v>39.0</v>
      </c>
      <c r="H972" s="23" t="s">
        <v>26</v>
      </c>
      <c r="I972" s="24" t="s">
        <v>27</v>
      </c>
      <c r="J972" s="19" t="s">
        <v>3694</v>
      </c>
      <c r="K972" s="14">
        <v>16.0</v>
      </c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>
      <c r="A973" s="14" t="s">
        <v>3698</v>
      </c>
      <c r="B973" s="17" t="s">
        <v>3699</v>
      </c>
      <c r="C973" s="17" t="s">
        <v>3700</v>
      </c>
      <c r="D973" s="19" t="s">
        <v>2671</v>
      </c>
      <c r="E973" s="20" t="s">
        <v>138</v>
      </c>
      <c r="F973" s="21">
        <v>27100.0</v>
      </c>
      <c r="G973" s="14">
        <v>52.0</v>
      </c>
      <c r="H973" s="23" t="s">
        <v>26</v>
      </c>
      <c r="I973" s="24" t="s">
        <v>33</v>
      </c>
      <c r="J973" s="19" t="s">
        <v>726</v>
      </c>
      <c r="K973" s="14">
        <v>15.0</v>
      </c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>
      <c r="A974" s="14" t="s">
        <v>3701</v>
      </c>
      <c r="B974" s="17" t="s">
        <v>3702</v>
      </c>
      <c r="C974" s="17" t="s">
        <v>3703</v>
      </c>
      <c r="D974" s="19" t="s">
        <v>3704</v>
      </c>
      <c r="E974" s="20" t="s">
        <v>138</v>
      </c>
      <c r="F974" s="21">
        <v>30069.0</v>
      </c>
      <c r="G974" s="14">
        <v>44.0</v>
      </c>
      <c r="H974" s="23" t="s">
        <v>26</v>
      </c>
      <c r="I974" s="24" t="s">
        <v>33</v>
      </c>
      <c r="J974" s="19" t="s">
        <v>53</v>
      </c>
      <c r="K974" s="14">
        <v>15.0</v>
      </c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>
      <c r="A975" s="14" t="s">
        <v>3705</v>
      </c>
      <c r="B975" s="17" t="s">
        <v>3702</v>
      </c>
      <c r="C975" s="17" t="s">
        <v>3706</v>
      </c>
      <c r="D975" s="19" t="s">
        <v>3707</v>
      </c>
      <c r="E975" s="20" t="s">
        <v>1058</v>
      </c>
      <c r="F975" s="27">
        <v>32061.0</v>
      </c>
      <c r="G975" s="14">
        <v>38.0</v>
      </c>
      <c r="H975" s="23" t="s">
        <v>26</v>
      </c>
      <c r="I975" s="24" t="s">
        <v>27</v>
      </c>
      <c r="J975" s="19" t="s">
        <v>53</v>
      </c>
      <c r="K975" s="14">
        <v>15.0</v>
      </c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>
      <c r="A976" s="14" t="s">
        <v>3708</v>
      </c>
      <c r="B976" s="17" t="s">
        <v>3709</v>
      </c>
      <c r="C976" s="17" t="s">
        <v>3710</v>
      </c>
      <c r="D976" s="19" t="s">
        <v>3711</v>
      </c>
      <c r="E976" s="20" t="s">
        <v>1058</v>
      </c>
      <c r="F976" s="27">
        <v>30973.0</v>
      </c>
      <c r="G976" s="14">
        <v>41.0</v>
      </c>
      <c r="H976" s="23" t="s">
        <v>26</v>
      </c>
      <c r="I976" s="24" t="s">
        <v>27</v>
      </c>
      <c r="J976" s="19" t="s">
        <v>726</v>
      </c>
      <c r="K976" s="14">
        <v>16.0</v>
      </c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>
      <c r="A977" s="14" t="s">
        <v>3712</v>
      </c>
      <c r="B977" s="17" t="s">
        <v>3709</v>
      </c>
      <c r="C977" s="17" t="s">
        <v>3713</v>
      </c>
      <c r="D977" s="19" t="s">
        <v>3714</v>
      </c>
      <c r="E977" s="20" t="s">
        <v>138</v>
      </c>
      <c r="F977" s="21">
        <v>38193.0</v>
      </c>
      <c r="G977" s="14">
        <v>22.0</v>
      </c>
      <c r="H977" s="23" t="s">
        <v>100</v>
      </c>
      <c r="I977" s="24" t="s">
        <v>27</v>
      </c>
      <c r="J977" s="19" t="s">
        <v>726</v>
      </c>
      <c r="K977" s="14">
        <v>16.0</v>
      </c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>
      <c r="A978" s="14" t="s">
        <v>3715</v>
      </c>
      <c r="B978" s="17" t="s">
        <v>3709</v>
      </c>
      <c r="C978" s="17" t="s">
        <v>3716</v>
      </c>
      <c r="D978" s="19" t="s">
        <v>3717</v>
      </c>
      <c r="E978" s="20" t="s">
        <v>3718</v>
      </c>
      <c r="F978" s="21">
        <v>27984.0</v>
      </c>
      <c r="G978" s="14">
        <v>50.0</v>
      </c>
      <c r="H978" s="23" t="s">
        <v>26</v>
      </c>
      <c r="I978" s="24" t="s">
        <v>33</v>
      </c>
      <c r="J978" s="19" t="s">
        <v>726</v>
      </c>
      <c r="K978" s="14">
        <v>16.0</v>
      </c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>
      <c r="A979" s="14" t="s">
        <v>3719</v>
      </c>
      <c r="B979" s="17" t="s">
        <v>3720</v>
      </c>
      <c r="C979" s="17" t="s">
        <v>3721</v>
      </c>
      <c r="D979" s="19" t="s">
        <v>3722</v>
      </c>
      <c r="E979" s="20" t="s">
        <v>104</v>
      </c>
      <c r="F979" s="27">
        <v>38270.0</v>
      </c>
      <c r="G979" s="14">
        <v>21.0</v>
      </c>
      <c r="H979" s="23" t="s">
        <v>100</v>
      </c>
      <c r="I979" s="24" t="s">
        <v>27</v>
      </c>
      <c r="J979" s="19" t="s">
        <v>3723</v>
      </c>
      <c r="K979" s="14">
        <v>15.0</v>
      </c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>
      <c r="A980" s="14" t="s">
        <v>3724</v>
      </c>
      <c r="B980" s="17" t="s">
        <v>3720</v>
      </c>
      <c r="C980" s="17" t="s">
        <v>3725</v>
      </c>
      <c r="D980" s="19" t="s">
        <v>3726</v>
      </c>
      <c r="E980" s="20" t="s">
        <v>53</v>
      </c>
      <c r="F980" s="21">
        <v>36760.0</v>
      </c>
      <c r="G980" s="14">
        <v>26.0</v>
      </c>
      <c r="H980" s="23" t="s">
        <v>100</v>
      </c>
      <c r="I980" s="24" t="s">
        <v>33</v>
      </c>
      <c r="J980" s="19" t="s">
        <v>3723</v>
      </c>
      <c r="K980" s="14">
        <v>15.0</v>
      </c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>
      <c r="A981" s="14" t="s">
        <v>3727</v>
      </c>
      <c r="B981" s="17" t="s">
        <v>3720</v>
      </c>
      <c r="C981" s="17" t="s">
        <v>3728</v>
      </c>
      <c r="D981" s="19" t="s">
        <v>3729</v>
      </c>
      <c r="E981" s="20" t="s">
        <v>3730</v>
      </c>
      <c r="F981" s="21">
        <v>26303.0</v>
      </c>
      <c r="G981" s="14">
        <v>54.0</v>
      </c>
      <c r="H981" s="23" t="s">
        <v>26</v>
      </c>
      <c r="I981" s="24" t="s">
        <v>27</v>
      </c>
      <c r="J981" s="19" t="s">
        <v>3723</v>
      </c>
      <c r="K981" s="14">
        <v>15.0</v>
      </c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>
      <c r="A982" s="14" t="s">
        <v>3731</v>
      </c>
      <c r="B982" s="17" t="s">
        <v>3720</v>
      </c>
      <c r="C982" s="17" t="s">
        <v>3732</v>
      </c>
      <c r="D982" s="19" t="s">
        <v>3733</v>
      </c>
      <c r="E982" s="20" t="s">
        <v>1370</v>
      </c>
      <c r="F982" s="21">
        <v>24002.0</v>
      </c>
      <c r="G982" s="14">
        <v>60.0</v>
      </c>
      <c r="H982" s="23" t="s">
        <v>26</v>
      </c>
      <c r="I982" s="24" t="s">
        <v>33</v>
      </c>
      <c r="J982" s="19" t="s">
        <v>3723</v>
      </c>
      <c r="K982" s="14">
        <v>15.0</v>
      </c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>
      <c r="A983" s="14" t="s">
        <v>3734</v>
      </c>
      <c r="B983" s="17" t="s">
        <v>3735</v>
      </c>
      <c r="C983" s="17" t="s">
        <v>3736</v>
      </c>
      <c r="D983" s="19" t="s">
        <v>3737</v>
      </c>
      <c r="E983" s="20" t="s">
        <v>104</v>
      </c>
      <c r="F983" s="21">
        <v>39113.0</v>
      </c>
      <c r="G983" s="14">
        <v>19.0</v>
      </c>
      <c r="H983" s="23" t="s">
        <v>100</v>
      </c>
      <c r="I983" s="24" t="s">
        <v>27</v>
      </c>
      <c r="J983" s="19" t="s">
        <v>53</v>
      </c>
      <c r="K983" s="14">
        <v>15.0</v>
      </c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>
      <c r="A984" s="14" t="s">
        <v>3738</v>
      </c>
      <c r="B984" s="17" t="s">
        <v>3735</v>
      </c>
      <c r="C984" s="17" t="s">
        <v>3739</v>
      </c>
      <c r="D984" s="19" t="s">
        <v>3740</v>
      </c>
      <c r="E984" s="20" t="s">
        <v>104</v>
      </c>
      <c r="F984" s="21">
        <v>28667.0</v>
      </c>
      <c r="G984" s="14">
        <v>48.0</v>
      </c>
      <c r="H984" s="23" t="s">
        <v>26</v>
      </c>
      <c r="I984" s="24" t="s">
        <v>27</v>
      </c>
      <c r="J984" s="19" t="s">
        <v>53</v>
      </c>
      <c r="K984" s="14">
        <v>15.0</v>
      </c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>
      <c r="A985" s="14" t="s">
        <v>3741</v>
      </c>
      <c r="B985" s="17" t="s">
        <v>3735</v>
      </c>
      <c r="C985" s="17" t="s">
        <v>3742</v>
      </c>
      <c r="D985" s="19" t="s">
        <v>3743</v>
      </c>
      <c r="E985" s="20" t="s">
        <v>104</v>
      </c>
      <c r="F985" s="21">
        <v>27998.0</v>
      </c>
      <c r="G985" s="14">
        <v>50.0</v>
      </c>
      <c r="H985" s="23" t="s">
        <v>26</v>
      </c>
      <c r="I985" s="24" t="s">
        <v>33</v>
      </c>
      <c r="J985" s="19" t="s">
        <v>53</v>
      </c>
      <c r="K985" s="14">
        <v>15.0</v>
      </c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>
      <c r="A986" s="14" t="s">
        <v>3744</v>
      </c>
      <c r="B986" s="17" t="s">
        <v>3745</v>
      </c>
      <c r="C986" s="17" t="s">
        <v>3746</v>
      </c>
      <c r="D986" s="19" t="s">
        <v>3747</v>
      </c>
      <c r="E986" s="20" t="s">
        <v>337</v>
      </c>
      <c r="F986" s="21">
        <v>38632.0</v>
      </c>
      <c r="G986" s="14">
        <v>20.0</v>
      </c>
      <c r="H986" s="23" t="s">
        <v>100</v>
      </c>
      <c r="I986" s="24" t="s">
        <v>27</v>
      </c>
      <c r="J986" s="19" t="s">
        <v>3723</v>
      </c>
      <c r="K986" s="14">
        <v>12.0</v>
      </c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>
      <c r="A987" s="14" t="s">
        <v>3748</v>
      </c>
      <c r="B987" s="17" t="s">
        <v>3745</v>
      </c>
      <c r="C987" s="17" t="s">
        <v>3749</v>
      </c>
      <c r="D987" s="19" t="s">
        <v>3750</v>
      </c>
      <c r="E987" s="20" t="s">
        <v>624</v>
      </c>
      <c r="F987" s="21">
        <v>25305.0</v>
      </c>
      <c r="G987" s="14">
        <v>57.0</v>
      </c>
      <c r="H987" s="23" t="s">
        <v>26</v>
      </c>
      <c r="I987" s="24" t="s">
        <v>33</v>
      </c>
      <c r="J987" s="19" t="s">
        <v>3723</v>
      </c>
      <c r="K987" s="14">
        <v>12.0</v>
      </c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>
      <c r="A988" s="14" t="s">
        <v>3751</v>
      </c>
      <c r="B988" s="17" t="s">
        <v>3745</v>
      </c>
      <c r="C988" s="17" t="s">
        <v>3752</v>
      </c>
      <c r="D988" s="19" t="s">
        <v>2374</v>
      </c>
      <c r="E988" s="20" t="s">
        <v>104</v>
      </c>
      <c r="F988" s="21">
        <v>27980.0</v>
      </c>
      <c r="G988" s="14">
        <v>50.0</v>
      </c>
      <c r="H988" s="23" t="s">
        <v>26</v>
      </c>
      <c r="I988" s="24" t="s">
        <v>27</v>
      </c>
      <c r="J988" s="19" t="s">
        <v>3723</v>
      </c>
      <c r="K988" s="14">
        <v>12.0</v>
      </c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>
      <c r="A989" s="14" t="s">
        <v>3753</v>
      </c>
      <c r="B989" s="17" t="s">
        <v>3754</v>
      </c>
      <c r="C989" s="17" t="s">
        <v>3755</v>
      </c>
      <c r="D989" s="19" t="s">
        <v>3756</v>
      </c>
      <c r="E989" s="20" t="s">
        <v>1049</v>
      </c>
      <c r="F989" s="21">
        <v>23105.0</v>
      </c>
      <c r="G989" s="14">
        <v>63.0</v>
      </c>
      <c r="H989" s="23" t="s">
        <v>26</v>
      </c>
      <c r="I989" s="24" t="s">
        <v>33</v>
      </c>
      <c r="J989" s="19" t="s">
        <v>282</v>
      </c>
      <c r="K989" s="14">
        <v>16.0</v>
      </c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>
      <c r="A990" s="14" t="s">
        <v>3757</v>
      </c>
      <c r="B990" s="17" t="s">
        <v>3754</v>
      </c>
      <c r="C990" s="17" t="s">
        <v>3758</v>
      </c>
      <c r="D990" s="19" t="s">
        <v>3759</v>
      </c>
      <c r="E990" s="20" t="s">
        <v>3760</v>
      </c>
      <c r="F990" s="21">
        <v>24782.0</v>
      </c>
      <c r="G990" s="14">
        <v>58.0</v>
      </c>
      <c r="H990" s="23" t="s">
        <v>26</v>
      </c>
      <c r="I990" s="24" t="s">
        <v>27</v>
      </c>
      <c r="J990" s="19" t="s">
        <v>282</v>
      </c>
      <c r="K990" s="14">
        <v>16.0</v>
      </c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>
      <c r="A991" s="14" t="s">
        <v>3761</v>
      </c>
      <c r="B991" s="17" t="s">
        <v>3762</v>
      </c>
      <c r="C991" s="17" t="s">
        <v>3763</v>
      </c>
      <c r="D991" s="19" t="s">
        <v>3764</v>
      </c>
      <c r="E991" s="20" t="s">
        <v>104</v>
      </c>
      <c r="F991" s="21">
        <v>39147.0</v>
      </c>
      <c r="G991" s="14">
        <v>19.0</v>
      </c>
      <c r="H991" s="23" t="s">
        <v>100</v>
      </c>
      <c r="I991" s="24" t="s">
        <v>33</v>
      </c>
      <c r="J991" s="19" t="s">
        <v>53</v>
      </c>
      <c r="K991" s="14">
        <v>1.0</v>
      </c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>
      <c r="A992" s="14" t="s">
        <v>3765</v>
      </c>
      <c r="B992" s="17" t="s">
        <v>3762</v>
      </c>
      <c r="C992" s="17" t="s">
        <v>3766</v>
      </c>
      <c r="D992" s="19" t="s">
        <v>3767</v>
      </c>
      <c r="E992" s="20" t="s">
        <v>3768</v>
      </c>
      <c r="F992" s="21">
        <v>35988.0</v>
      </c>
      <c r="G992" s="14">
        <v>28.0</v>
      </c>
      <c r="H992" s="23" t="s">
        <v>100</v>
      </c>
      <c r="I992" s="24" t="s">
        <v>33</v>
      </c>
      <c r="J992" s="19" t="s">
        <v>53</v>
      </c>
      <c r="K992" s="14">
        <v>1.0</v>
      </c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>
      <c r="A993" s="14" t="s">
        <v>3769</v>
      </c>
      <c r="B993" s="17" t="s">
        <v>3762</v>
      </c>
      <c r="C993" s="17" t="s">
        <v>3770</v>
      </c>
      <c r="D993" s="19" t="s">
        <v>3771</v>
      </c>
      <c r="E993" s="20" t="s">
        <v>104</v>
      </c>
      <c r="F993" s="21">
        <v>28923.0</v>
      </c>
      <c r="G993" s="14">
        <v>47.0</v>
      </c>
      <c r="H993" s="23" t="s">
        <v>26</v>
      </c>
      <c r="I993" s="24" t="s">
        <v>27</v>
      </c>
      <c r="J993" s="19" t="s">
        <v>53</v>
      </c>
      <c r="K993" s="14">
        <v>1.0</v>
      </c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>
      <c r="A994" s="14" t="s">
        <v>3772</v>
      </c>
      <c r="B994" s="17" t="s">
        <v>3762</v>
      </c>
      <c r="C994" s="17" t="s">
        <v>3773</v>
      </c>
      <c r="D994" s="19" t="s">
        <v>3774</v>
      </c>
      <c r="E994" s="20" t="s">
        <v>104</v>
      </c>
      <c r="F994" s="21">
        <v>28674.0</v>
      </c>
      <c r="G994" s="14">
        <v>48.0</v>
      </c>
      <c r="H994" s="23" t="s">
        <v>26</v>
      </c>
      <c r="I994" s="24" t="s">
        <v>33</v>
      </c>
      <c r="J994" s="19" t="s">
        <v>53</v>
      </c>
      <c r="K994" s="14">
        <v>1.0</v>
      </c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>
      <c r="A995" s="14" t="s">
        <v>3776</v>
      </c>
      <c r="B995" s="17" t="s">
        <v>3777</v>
      </c>
      <c r="C995" s="17" t="s">
        <v>3778</v>
      </c>
      <c r="D995" s="19" t="s">
        <v>3779</v>
      </c>
      <c r="E995" s="20" t="s">
        <v>434</v>
      </c>
      <c r="F995" s="21">
        <v>18342.0</v>
      </c>
      <c r="G995" s="14">
        <v>76.0</v>
      </c>
      <c r="H995" s="23" t="s">
        <v>27</v>
      </c>
      <c r="I995" s="24" t="s">
        <v>33</v>
      </c>
      <c r="J995" s="19" t="s">
        <v>3723</v>
      </c>
      <c r="K995" s="14">
        <v>1.0</v>
      </c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>
      <c r="A996" s="14" t="s">
        <v>3780</v>
      </c>
      <c r="B996" s="17" t="s">
        <v>3781</v>
      </c>
      <c r="C996" s="17" t="s">
        <v>3782</v>
      </c>
      <c r="D996" s="19" t="s">
        <v>3783</v>
      </c>
      <c r="E996" s="20" t="s">
        <v>434</v>
      </c>
      <c r="F996" s="21">
        <v>27301.0</v>
      </c>
      <c r="G996" s="14">
        <v>51.0</v>
      </c>
      <c r="H996" s="23" t="s">
        <v>26</v>
      </c>
      <c r="I996" s="24" t="s">
        <v>33</v>
      </c>
      <c r="J996" s="19" t="s">
        <v>206</v>
      </c>
      <c r="K996" s="14">
        <v>1.0</v>
      </c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>
      <c r="A997" s="14" t="s">
        <v>3784</v>
      </c>
      <c r="B997" s="17" t="s">
        <v>3781</v>
      </c>
      <c r="C997" s="17" t="s">
        <v>3785</v>
      </c>
      <c r="D997" s="19" t="s">
        <v>3786</v>
      </c>
      <c r="E997" s="20" t="s">
        <v>138</v>
      </c>
      <c r="F997" s="21">
        <v>37407.0</v>
      </c>
      <c r="G997" s="14">
        <v>24.0</v>
      </c>
      <c r="H997" s="23" t="s">
        <v>100</v>
      </c>
      <c r="I997" s="24" t="s">
        <v>27</v>
      </c>
      <c r="J997" s="19" t="s">
        <v>3128</v>
      </c>
      <c r="K997" s="14">
        <v>1.0</v>
      </c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>
      <c r="A998" s="14" t="s">
        <v>3787</v>
      </c>
      <c r="B998" s="17" t="s">
        <v>3781</v>
      </c>
      <c r="C998" s="17" t="s">
        <v>3788</v>
      </c>
      <c r="D998" s="19" t="s">
        <v>3789</v>
      </c>
      <c r="E998" s="20" t="s">
        <v>104</v>
      </c>
      <c r="F998" s="21">
        <v>28623.0</v>
      </c>
      <c r="G998" s="14">
        <v>48.0</v>
      </c>
      <c r="H998" s="23" t="s">
        <v>26</v>
      </c>
      <c r="I998" s="24" t="s">
        <v>27</v>
      </c>
      <c r="J998" s="19" t="s">
        <v>3128</v>
      </c>
      <c r="K998" s="14">
        <v>1.0</v>
      </c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>
      <c r="A999" s="14" t="s">
        <v>3790</v>
      </c>
      <c r="B999" s="17" t="s">
        <v>3791</v>
      </c>
      <c r="C999" s="17" t="s">
        <v>3792</v>
      </c>
      <c r="D999" s="19" t="s">
        <v>3793</v>
      </c>
      <c r="E999" s="20" t="s">
        <v>3794</v>
      </c>
      <c r="F999" s="21">
        <v>27592.0</v>
      </c>
      <c r="G999" s="14">
        <v>51.0</v>
      </c>
      <c r="H999" s="23" t="s">
        <v>26</v>
      </c>
      <c r="I999" s="24" t="s">
        <v>33</v>
      </c>
      <c r="J999" s="19" t="s">
        <v>68</v>
      </c>
      <c r="K999" s="14">
        <v>32.0</v>
      </c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>
      <c r="A1000" s="14" t="s">
        <v>3795</v>
      </c>
      <c r="B1000" s="17" t="s">
        <v>3791</v>
      </c>
      <c r="C1000" s="17" t="s">
        <v>3796</v>
      </c>
      <c r="D1000" s="19" t="s">
        <v>3797</v>
      </c>
      <c r="E1000" s="20" t="s">
        <v>104</v>
      </c>
      <c r="F1000" s="21">
        <v>30118.0</v>
      </c>
      <c r="G1000" s="14">
        <v>44.0</v>
      </c>
      <c r="H1000" s="23" t="s">
        <v>26</v>
      </c>
      <c r="I1000" s="24" t="s">
        <v>27</v>
      </c>
      <c r="J1000" s="19" t="s">
        <v>68</v>
      </c>
      <c r="K1000" s="14">
        <v>32.0</v>
      </c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  <row r="1001">
      <c r="A1001" s="14" t="s">
        <v>3798</v>
      </c>
      <c r="B1001" s="17" t="s">
        <v>3791</v>
      </c>
      <c r="C1001" s="17" t="s">
        <v>3799</v>
      </c>
      <c r="D1001" s="19" t="s">
        <v>372</v>
      </c>
      <c r="E1001" s="20" t="s">
        <v>3800</v>
      </c>
      <c r="F1001" s="21">
        <v>36967.0</v>
      </c>
      <c r="G1001" s="14">
        <v>25.0</v>
      </c>
      <c r="H1001" s="23" t="s">
        <v>100</v>
      </c>
      <c r="I1001" s="24" t="s">
        <v>33</v>
      </c>
      <c r="J1001" s="19" t="s">
        <v>68</v>
      </c>
      <c r="K1001" s="14">
        <v>32.0</v>
      </c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</row>
    <row r="1002">
      <c r="A1002" s="14" t="s">
        <v>3801</v>
      </c>
      <c r="B1002" s="17" t="s">
        <v>3802</v>
      </c>
      <c r="C1002" s="17" t="s">
        <v>3803</v>
      </c>
      <c r="D1002" s="19" t="s">
        <v>3804</v>
      </c>
      <c r="E1002" s="20" t="s">
        <v>104</v>
      </c>
      <c r="F1002" s="21">
        <v>38190.0</v>
      </c>
      <c r="G1002" s="14">
        <v>22.0</v>
      </c>
      <c r="H1002" s="23" t="s">
        <v>100</v>
      </c>
      <c r="I1002" s="24" t="s">
        <v>27</v>
      </c>
      <c r="J1002" s="19" t="s">
        <v>517</v>
      </c>
      <c r="K1002" s="14">
        <v>6.0</v>
      </c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</row>
    <row r="1003">
      <c r="A1003" s="14" t="s">
        <v>3805</v>
      </c>
      <c r="B1003" s="17" t="s">
        <v>3802</v>
      </c>
      <c r="C1003" s="17" t="s">
        <v>3806</v>
      </c>
      <c r="D1003" s="19" t="s">
        <v>3807</v>
      </c>
      <c r="E1003" s="20" t="s">
        <v>104</v>
      </c>
      <c r="F1003" s="21">
        <v>31575.0</v>
      </c>
      <c r="G1003" s="14">
        <v>40.0</v>
      </c>
      <c r="H1003" s="23" t="s">
        <v>26</v>
      </c>
      <c r="I1003" s="24" t="s">
        <v>27</v>
      </c>
      <c r="J1003" s="19" t="s">
        <v>517</v>
      </c>
      <c r="K1003" s="14">
        <v>6.0</v>
      </c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</row>
    <row r="1004">
      <c r="A1004" s="14" t="s">
        <v>3808</v>
      </c>
      <c r="B1004" s="17" t="s">
        <v>3802</v>
      </c>
      <c r="C1004" s="17" t="s">
        <v>3809</v>
      </c>
      <c r="D1004" s="19" t="s">
        <v>3810</v>
      </c>
      <c r="E1004" s="20" t="s">
        <v>3811</v>
      </c>
      <c r="F1004" s="27">
        <v>29143.0</v>
      </c>
      <c r="G1004" s="14">
        <v>46.0</v>
      </c>
      <c r="H1004" s="23" t="s">
        <v>26</v>
      </c>
      <c r="I1004" s="24" t="s">
        <v>33</v>
      </c>
      <c r="J1004" s="19" t="s">
        <v>517</v>
      </c>
      <c r="K1004" s="14">
        <v>6.0</v>
      </c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</row>
    <row r="1005">
      <c r="A1005" s="14" t="s">
        <v>3812</v>
      </c>
      <c r="B1005" s="17" t="s">
        <v>3813</v>
      </c>
      <c r="C1005" s="17" t="s">
        <v>3814</v>
      </c>
      <c r="D1005" s="19" t="s">
        <v>3815</v>
      </c>
      <c r="E1005" s="20" t="s">
        <v>104</v>
      </c>
      <c r="F1005" s="21">
        <v>33479.0</v>
      </c>
      <c r="G1005" s="14">
        <v>35.0</v>
      </c>
      <c r="H1005" s="23" t="s">
        <v>26</v>
      </c>
      <c r="I1005" s="24" t="s">
        <v>33</v>
      </c>
      <c r="J1005" s="19" t="s">
        <v>895</v>
      </c>
      <c r="K1005" s="14">
        <v>27.0</v>
      </c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</row>
    <row r="1006">
      <c r="A1006" s="14" t="s">
        <v>3816</v>
      </c>
      <c r="B1006" s="17" t="s">
        <v>3813</v>
      </c>
      <c r="C1006" s="17" t="s">
        <v>3817</v>
      </c>
      <c r="D1006" s="19" t="s">
        <v>3818</v>
      </c>
      <c r="E1006" s="20" t="s">
        <v>104</v>
      </c>
      <c r="F1006" s="21">
        <v>33132.0</v>
      </c>
      <c r="G1006" s="14">
        <v>35.0</v>
      </c>
      <c r="H1006" s="23" t="s">
        <v>26</v>
      </c>
      <c r="I1006" s="24" t="s">
        <v>27</v>
      </c>
      <c r="J1006" s="19" t="s">
        <v>895</v>
      </c>
      <c r="K1006" s="14">
        <v>27.0</v>
      </c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</row>
    <row r="1007">
      <c r="A1007" s="14" t="s">
        <v>3819</v>
      </c>
      <c r="B1007" s="17" t="s">
        <v>3820</v>
      </c>
      <c r="C1007" s="17" t="s">
        <v>3821</v>
      </c>
      <c r="D1007" s="19" t="s">
        <v>3822</v>
      </c>
      <c r="E1007" s="20" t="s">
        <v>337</v>
      </c>
      <c r="F1007" s="27">
        <v>35054.0</v>
      </c>
      <c r="G1007" s="14">
        <v>30.0</v>
      </c>
      <c r="H1007" s="23" t="s">
        <v>100</v>
      </c>
      <c r="I1007" s="24" t="s">
        <v>33</v>
      </c>
      <c r="J1007" s="19" t="s">
        <v>53</v>
      </c>
      <c r="K1007" s="14">
        <v>10.0</v>
      </c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</row>
    <row r="1008">
      <c r="A1008" s="14" t="s">
        <v>3823</v>
      </c>
      <c r="B1008" s="17" t="s">
        <v>3820</v>
      </c>
      <c r="C1008" s="17" t="s">
        <v>3824</v>
      </c>
      <c r="D1008" s="19" t="s">
        <v>3825</v>
      </c>
      <c r="E1008" s="20" t="s">
        <v>654</v>
      </c>
      <c r="F1008" s="21">
        <v>20271.0</v>
      </c>
      <c r="G1008" s="14">
        <v>71.0</v>
      </c>
      <c r="H1008" s="23" t="s">
        <v>27</v>
      </c>
      <c r="I1008" s="24" t="s">
        <v>27</v>
      </c>
      <c r="J1008" s="19" t="s">
        <v>53</v>
      </c>
      <c r="K1008" s="14">
        <v>10.0</v>
      </c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</row>
    <row r="1009">
      <c r="A1009" s="14" t="s">
        <v>3826</v>
      </c>
      <c r="B1009" s="17" t="s">
        <v>3827</v>
      </c>
      <c r="C1009" s="17" t="s">
        <v>3828</v>
      </c>
      <c r="D1009" s="19" t="s">
        <v>3829</v>
      </c>
      <c r="E1009" s="20" t="s">
        <v>138</v>
      </c>
      <c r="F1009" s="27">
        <v>36113.0</v>
      </c>
      <c r="G1009" s="14">
        <v>27.0</v>
      </c>
      <c r="H1009" s="23" t="s">
        <v>26</v>
      </c>
      <c r="I1009" s="24" t="s">
        <v>27</v>
      </c>
      <c r="J1009" s="19" t="s">
        <v>726</v>
      </c>
      <c r="K1009" s="14">
        <v>11.0</v>
      </c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</row>
    <row r="1010">
      <c r="A1010" s="14" t="s">
        <v>3830</v>
      </c>
      <c r="B1010" s="17" t="s">
        <v>3827</v>
      </c>
      <c r="C1010" s="17" t="s">
        <v>3831</v>
      </c>
      <c r="D1010" s="19" t="s">
        <v>3832</v>
      </c>
      <c r="E1010" s="20" t="s">
        <v>1095</v>
      </c>
      <c r="F1010" s="21">
        <v>35944.0</v>
      </c>
      <c r="G1010" s="14">
        <v>28.0</v>
      </c>
      <c r="H1010" s="23" t="s">
        <v>26</v>
      </c>
      <c r="I1010" s="24" t="s">
        <v>33</v>
      </c>
      <c r="J1010" s="19" t="s">
        <v>726</v>
      </c>
      <c r="K1010" s="14">
        <v>11.0</v>
      </c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</row>
    <row r="1011">
      <c r="A1011" s="14" t="s">
        <v>3833</v>
      </c>
      <c r="B1011" s="17" t="s">
        <v>3834</v>
      </c>
      <c r="C1011" s="17" t="s">
        <v>3835</v>
      </c>
      <c r="D1011" s="19" t="s">
        <v>3836</v>
      </c>
      <c r="E1011" s="20" t="s">
        <v>112</v>
      </c>
      <c r="F1011" s="21">
        <v>37041.0</v>
      </c>
      <c r="G1011" s="14">
        <v>25.0</v>
      </c>
      <c r="H1011" s="23" t="s">
        <v>100</v>
      </c>
      <c r="I1011" s="24" t="s">
        <v>27</v>
      </c>
      <c r="J1011" s="19" t="s">
        <v>53</v>
      </c>
      <c r="K1011" s="14">
        <v>13.0</v>
      </c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</row>
    <row r="1012">
      <c r="A1012" s="14" t="s">
        <v>3837</v>
      </c>
      <c r="B1012" s="17" t="s">
        <v>3834</v>
      </c>
      <c r="C1012" s="17" t="s">
        <v>3838</v>
      </c>
      <c r="D1012" s="19" t="s">
        <v>3839</v>
      </c>
      <c r="E1012" s="20" t="s">
        <v>112</v>
      </c>
      <c r="F1012" s="27">
        <v>38305.0</v>
      </c>
      <c r="G1012" s="14">
        <v>21.0</v>
      </c>
      <c r="H1012" s="23" t="s">
        <v>100</v>
      </c>
      <c r="I1012" s="24" t="s">
        <v>27</v>
      </c>
      <c r="J1012" s="19" t="s">
        <v>53</v>
      </c>
      <c r="K1012" s="14">
        <v>13.0</v>
      </c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</row>
    <row r="1013">
      <c r="A1013" s="14" t="s">
        <v>3840</v>
      </c>
      <c r="B1013" s="17" t="s">
        <v>3834</v>
      </c>
      <c r="C1013" s="17" t="s">
        <v>3841</v>
      </c>
      <c r="D1013" s="19" t="s">
        <v>3842</v>
      </c>
      <c r="E1013" s="20" t="s">
        <v>3843</v>
      </c>
      <c r="F1013" s="21">
        <v>28735.0</v>
      </c>
      <c r="G1013" s="14">
        <v>47.0</v>
      </c>
      <c r="H1013" s="23" t="s">
        <v>26</v>
      </c>
      <c r="I1013" s="24" t="s">
        <v>33</v>
      </c>
      <c r="J1013" s="19" t="s">
        <v>53</v>
      </c>
      <c r="K1013" s="14">
        <v>13.0</v>
      </c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</row>
    <row r="1014">
      <c r="A1014" s="14" t="s">
        <v>3844</v>
      </c>
      <c r="B1014" s="17" t="s">
        <v>3834</v>
      </c>
      <c r="C1014" s="17" t="s">
        <v>3845</v>
      </c>
      <c r="D1014" s="19" t="s">
        <v>3846</v>
      </c>
      <c r="E1014" s="20" t="s">
        <v>112</v>
      </c>
      <c r="F1014" s="21">
        <v>29023.0</v>
      </c>
      <c r="G1014" s="14">
        <v>47.0</v>
      </c>
      <c r="H1014" s="23" t="s">
        <v>26</v>
      </c>
      <c r="I1014" s="24" t="s">
        <v>27</v>
      </c>
      <c r="J1014" s="19" t="s">
        <v>53</v>
      </c>
      <c r="K1014" s="14">
        <v>13.0</v>
      </c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</row>
    <row r="1015">
      <c r="A1015" s="14" t="s">
        <v>3847</v>
      </c>
      <c r="B1015" s="17" t="s">
        <v>3848</v>
      </c>
      <c r="C1015" s="17" t="s">
        <v>3850</v>
      </c>
      <c r="D1015" s="19" t="s">
        <v>3851</v>
      </c>
      <c r="E1015" s="20" t="s">
        <v>210</v>
      </c>
      <c r="F1015" s="21">
        <v>36919.0</v>
      </c>
      <c r="G1015" s="14">
        <v>25.0</v>
      </c>
      <c r="H1015" s="23" t="s">
        <v>100</v>
      </c>
      <c r="I1015" s="24" t="s">
        <v>27</v>
      </c>
      <c r="J1015" s="19" t="s">
        <v>282</v>
      </c>
      <c r="K1015" s="14">
        <v>11.0</v>
      </c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</row>
    <row r="1016">
      <c r="A1016" s="14" t="s">
        <v>3852</v>
      </c>
      <c r="B1016" s="17" t="s">
        <v>3848</v>
      </c>
      <c r="C1016" s="17" t="s">
        <v>3853</v>
      </c>
      <c r="D1016" s="19" t="s">
        <v>3854</v>
      </c>
      <c r="E1016" s="20" t="s">
        <v>195</v>
      </c>
      <c r="F1016" s="27">
        <v>26622.0</v>
      </c>
      <c r="G1016" s="14">
        <v>53.0</v>
      </c>
      <c r="H1016" s="23" t="s">
        <v>26</v>
      </c>
      <c r="I1016" s="24" t="s">
        <v>33</v>
      </c>
      <c r="J1016" s="19" t="s">
        <v>282</v>
      </c>
      <c r="K1016" s="14">
        <v>11.0</v>
      </c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</row>
    <row r="1017">
      <c r="A1017" s="14" t="s">
        <v>3855</v>
      </c>
      <c r="B1017" s="17" t="s">
        <v>3848</v>
      </c>
      <c r="C1017" s="17" t="s">
        <v>3856</v>
      </c>
      <c r="D1017" s="19" t="s">
        <v>3857</v>
      </c>
      <c r="E1017" s="20" t="s">
        <v>3858</v>
      </c>
      <c r="F1017" s="21">
        <v>25722.0</v>
      </c>
      <c r="G1017" s="14">
        <v>56.0</v>
      </c>
      <c r="H1017" s="23" t="s">
        <v>26</v>
      </c>
      <c r="I1017" s="24" t="s">
        <v>27</v>
      </c>
      <c r="J1017" s="19" t="s">
        <v>282</v>
      </c>
      <c r="K1017" s="14">
        <v>11.0</v>
      </c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</row>
    <row r="1018">
      <c r="A1018" s="14" t="s">
        <v>3859</v>
      </c>
      <c r="B1018" s="17" t="s">
        <v>3860</v>
      </c>
      <c r="C1018" s="17" t="s">
        <v>3861</v>
      </c>
      <c r="D1018" s="19" t="s">
        <v>3862</v>
      </c>
      <c r="E1018" s="20" t="s">
        <v>3863</v>
      </c>
      <c r="F1018" s="27">
        <v>35013.0</v>
      </c>
      <c r="G1018" s="14">
        <v>30.0</v>
      </c>
      <c r="H1018" s="23" t="s">
        <v>26</v>
      </c>
      <c r="I1018" s="24" t="s">
        <v>27</v>
      </c>
      <c r="J1018" s="19" t="s">
        <v>53</v>
      </c>
      <c r="K1018" s="14">
        <v>24.0</v>
      </c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</row>
    <row r="1019">
      <c r="A1019" s="14" t="s">
        <v>3864</v>
      </c>
      <c r="B1019" s="17" t="s">
        <v>3860</v>
      </c>
      <c r="C1019" s="17" t="s">
        <v>3865</v>
      </c>
      <c r="D1019" s="19" t="s">
        <v>3866</v>
      </c>
      <c r="E1019" s="20" t="s">
        <v>3867</v>
      </c>
      <c r="F1019" s="21">
        <v>30754.0</v>
      </c>
      <c r="G1019" s="14">
        <v>42.0</v>
      </c>
      <c r="H1019" s="23" t="s">
        <v>26</v>
      </c>
      <c r="I1019" s="24" t="s">
        <v>33</v>
      </c>
      <c r="J1019" s="19" t="s">
        <v>53</v>
      </c>
      <c r="K1019" s="14">
        <v>24.0</v>
      </c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</row>
    <row r="1020">
      <c r="A1020" s="14" t="s">
        <v>3869</v>
      </c>
      <c r="B1020" s="17" t="s">
        <v>3870</v>
      </c>
      <c r="C1020" s="17" t="s">
        <v>3871</v>
      </c>
      <c r="D1020" s="19" t="s">
        <v>3872</v>
      </c>
      <c r="E1020" s="20" t="s">
        <v>104</v>
      </c>
      <c r="F1020" s="21">
        <v>37130.0</v>
      </c>
      <c r="G1020" s="14">
        <v>25.0</v>
      </c>
      <c r="H1020" s="23" t="s">
        <v>100</v>
      </c>
      <c r="I1020" s="24" t="s">
        <v>33</v>
      </c>
      <c r="J1020" s="19" t="s">
        <v>257</v>
      </c>
      <c r="K1020" s="14">
        <v>11.0</v>
      </c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</row>
    <row r="1021">
      <c r="A1021" s="14" t="s">
        <v>3873</v>
      </c>
      <c r="B1021" s="17" t="s">
        <v>3870</v>
      </c>
      <c r="C1021" s="17" t="s">
        <v>3874</v>
      </c>
      <c r="D1021" s="19" t="s">
        <v>3875</v>
      </c>
      <c r="E1021" s="20" t="s">
        <v>434</v>
      </c>
      <c r="F1021" s="21">
        <v>26485.0</v>
      </c>
      <c r="G1021" s="14">
        <v>54.0</v>
      </c>
      <c r="H1021" s="23" t="s">
        <v>26</v>
      </c>
      <c r="I1021" s="24" t="s">
        <v>27</v>
      </c>
      <c r="J1021" s="19" t="s">
        <v>257</v>
      </c>
      <c r="K1021" s="14">
        <v>11.0</v>
      </c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</row>
    <row r="1022">
      <c r="A1022" s="14" t="s">
        <v>3876</v>
      </c>
      <c r="B1022" s="17" t="s">
        <v>3870</v>
      </c>
      <c r="C1022" s="17" t="s">
        <v>3877</v>
      </c>
      <c r="D1022" s="19" t="s">
        <v>3878</v>
      </c>
      <c r="E1022" s="20" t="s">
        <v>195</v>
      </c>
      <c r="F1022" s="21">
        <v>23935.0</v>
      </c>
      <c r="G1022" s="14">
        <v>61.0</v>
      </c>
      <c r="H1022" s="23" t="s">
        <v>26</v>
      </c>
      <c r="I1022" s="24" t="s">
        <v>33</v>
      </c>
      <c r="J1022" s="19" t="s">
        <v>257</v>
      </c>
      <c r="K1022" s="14">
        <v>11.0</v>
      </c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</row>
    <row r="1023">
      <c r="A1023" s="14" t="s">
        <v>3879</v>
      </c>
      <c r="B1023" s="17" t="s">
        <v>3880</v>
      </c>
      <c r="C1023" s="17" t="s">
        <v>3881</v>
      </c>
      <c r="D1023" s="19" t="s">
        <v>3882</v>
      </c>
      <c r="E1023" s="20" t="s">
        <v>1049</v>
      </c>
      <c r="F1023" s="21">
        <v>27217.0</v>
      </c>
      <c r="G1023" s="14">
        <v>52.0</v>
      </c>
      <c r="H1023" s="23" t="s">
        <v>26</v>
      </c>
      <c r="I1023" s="24" t="s">
        <v>27</v>
      </c>
      <c r="J1023" s="19" t="s">
        <v>3883</v>
      </c>
      <c r="K1023" s="14">
        <v>29.0</v>
      </c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</row>
    <row r="1024">
      <c r="A1024" s="14" t="s">
        <v>3884</v>
      </c>
      <c r="B1024" s="17" t="s">
        <v>3880</v>
      </c>
      <c r="C1024" s="17" t="s">
        <v>3885</v>
      </c>
      <c r="D1024" s="19" t="s">
        <v>3886</v>
      </c>
      <c r="E1024" s="20" t="s">
        <v>1058</v>
      </c>
      <c r="F1024" s="21">
        <v>24970.0</v>
      </c>
      <c r="G1024" s="14">
        <v>58.0</v>
      </c>
      <c r="H1024" s="23" t="s">
        <v>26</v>
      </c>
      <c r="I1024" s="24" t="s">
        <v>33</v>
      </c>
      <c r="J1024" s="19" t="s">
        <v>3883</v>
      </c>
      <c r="K1024" s="14">
        <v>29.0</v>
      </c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</row>
    <row r="1025">
      <c r="A1025" s="14" t="s">
        <v>3887</v>
      </c>
      <c r="B1025" s="17" t="s">
        <v>3880</v>
      </c>
      <c r="C1025" s="17" t="s">
        <v>3888</v>
      </c>
      <c r="D1025" s="19" t="s">
        <v>3889</v>
      </c>
      <c r="E1025" s="20" t="s">
        <v>337</v>
      </c>
      <c r="F1025" s="21">
        <v>38251.0</v>
      </c>
      <c r="G1025" s="14">
        <v>21.0</v>
      </c>
      <c r="H1025" s="23" t="s">
        <v>100</v>
      </c>
      <c r="I1025" s="24" t="s">
        <v>33</v>
      </c>
      <c r="J1025" s="19" t="s">
        <v>3883</v>
      </c>
      <c r="K1025" s="14">
        <v>29.0</v>
      </c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</row>
    <row r="1026">
      <c r="A1026" s="14" t="s">
        <v>3891</v>
      </c>
      <c r="B1026" s="17" t="s">
        <v>3892</v>
      </c>
      <c r="C1026" s="17" t="s">
        <v>3893</v>
      </c>
      <c r="D1026" s="19" t="s">
        <v>3894</v>
      </c>
      <c r="E1026" s="20" t="s">
        <v>67</v>
      </c>
      <c r="F1026" s="21">
        <v>16693.0</v>
      </c>
      <c r="G1026" s="14">
        <v>80.0</v>
      </c>
      <c r="H1026" s="23" t="s">
        <v>27</v>
      </c>
      <c r="I1026" s="24" t="s">
        <v>27</v>
      </c>
      <c r="J1026" s="19" t="s">
        <v>3883</v>
      </c>
      <c r="K1026" s="14">
        <v>28.0</v>
      </c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</row>
    <row r="1027">
      <c r="A1027" s="14" t="s">
        <v>3895</v>
      </c>
      <c r="B1027" s="17" t="s">
        <v>3896</v>
      </c>
      <c r="C1027" s="17" t="s">
        <v>3897</v>
      </c>
      <c r="D1027" s="19" t="s">
        <v>3898</v>
      </c>
      <c r="E1027" s="20" t="s">
        <v>671</v>
      </c>
      <c r="F1027" s="21">
        <v>27135.0</v>
      </c>
      <c r="G1027" s="14">
        <v>52.0</v>
      </c>
      <c r="H1027" s="23" t="s">
        <v>27</v>
      </c>
      <c r="I1027" s="24" t="s">
        <v>33</v>
      </c>
      <c r="J1027" s="19" t="s">
        <v>3899</v>
      </c>
      <c r="K1027" s="14">
        <v>29.0</v>
      </c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</row>
    <row r="1028">
      <c r="A1028" s="14" t="s">
        <v>3900</v>
      </c>
      <c r="B1028" s="17" t="s">
        <v>3901</v>
      </c>
      <c r="C1028" s="17" t="s">
        <v>3902</v>
      </c>
      <c r="D1028" s="19" t="s">
        <v>3903</v>
      </c>
      <c r="E1028" s="20" t="s">
        <v>3904</v>
      </c>
      <c r="F1028" s="21">
        <v>32392.0</v>
      </c>
      <c r="G1028" s="14">
        <v>37.0</v>
      </c>
      <c r="H1028" s="23" t="s">
        <v>26</v>
      </c>
      <c r="I1028" s="24" t="s">
        <v>33</v>
      </c>
      <c r="J1028" s="19" t="s">
        <v>146</v>
      </c>
      <c r="K1028" s="14">
        <v>1.0</v>
      </c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</row>
    <row r="1029">
      <c r="A1029" s="14" t="s">
        <v>3905</v>
      </c>
      <c r="B1029" s="17" t="s">
        <v>3901</v>
      </c>
      <c r="C1029" s="17" t="s">
        <v>3906</v>
      </c>
      <c r="D1029" s="19" t="s">
        <v>3907</v>
      </c>
      <c r="E1029" s="20" t="s">
        <v>53</v>
      </c>
      <c r="F1029" s="21">
        <v>32615.0</v>
      </c>
      <c r="G1029" s="14">
        <v>37.0</v>
      </c>
      <c r="H1029" s="23" t="s">
        <v>26</v>
      </c>
      <c r="I1029" s="24" t="s">
        <v>27</v>
      </c>
      <c r="J1029" s="19" t="s">
        <v>146</v>
      </c>
      <c r="K1029" s="14">
        <v>1.0</v>
      </c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</row>
    <row r="1030">
      <c r="A1030" s="14" t="s">
        <v>3908</v>
      </c>
      <c r="B1030" s="17" t="s">
        <v>3909</v>
      </c>
      <c r="C1030" s="17" t="s">
        <v>3910</v>
      </c>
      <c r="D1030" s="19" t="s">
        <v>3911</v>
      </c>
      <c r="E1030" s="20" t="s">
        <v>104</v>
      </c>
      <c r="F1030" s="21">
        <v>32880.0</v>
      </c>
      <c r="G1030" s="14">
        <v>36.0</v>
      </c>
      <c r="H1030" s="23" t="s">
        <v>26</v>
      </c>
      <c r="I1030" s="24" t="s">
        <v>33</v>
      </c>
      <c r="J1030" s="19" t="s">
        <v>2019</v>
      </c>
      <c r="K1030" s="14">
        <v>4.0</v>
      </c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</row>
    <row r="1031">
      <c r="A1031" s="14" t="s">
        <v>3912</v>
      </c>
      <c r="B1031" s="17" t="s">
        <v>3909</v>
      </c>
      <c r="C1031" s="17" t="s">
        <v>3913</v>
      </c>
      <c r="D1031" s="19" t="s">
        <v>3914</v>
      </c>
      <c r="E1031" s="20" t="s">
        <v>104</v>
      </c>
      <c r="F1031" s="21">
        <v>35885.0</v>
      </c>
      <c r="G1031" s="14">
        <v>28.0</v>
      </c>
      <c r="H1031" s="23" t="s">
        <v>26</v>
      </c>
      <c r="I1031" s="24" t="s">
        <v>27</v>
      </c>
      <c r="J1031" s="19" t="s">
        <v>2019</v>
      </c>
      <c r="K1031" s="14">
        <v>4.0</v>
      </c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</row>
    <row r="1032">
      <c r="A1032" s="14" t="s">
        <v>3915</v>
      </c>
      <c r="B1032" s="17" t="s">
        <v>3916</v>
      </c>
      <c r="C1032" s="17" t="s">
        <v>3917</v>
      </c>
      <c r="D1032" s="19" t="s">
        <v>3918</v>
      </c>
      <c r="E1032" s="20" t="s">
        <v>219</v>
      </c>
      <c r="F1032" s="21">
        <v>36333.0</v>
      </c>
      <c r="G1032" s="14">
        <v>27.0</v>
      </c>
      <c r="H1032" s="23" t="s">
        <v>100</v>
      </c>
      <c r="I1032" s="24" t="s">
        <v>33</v>
      </c>
      <c r="J1032" s="19" t="s">
        <v>206</v>
      </c>
      <c r="K1032" s="14">
        <v>3.0</v>
      </c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</row>
    <row r="1033">
      <c r="A1033" s="14" t="s">
        <v>3919</v>
      </c>
      <c r="B1033" s="17" t="s">
        <v>3916</v>
      </c>
      <c r="C1033" s="17" t="s">
        <v>3920</v>
      </c>
      <c r="D1033" s="19" t="s">
        <v>3921</v>
      </c>
      <c r="E1033" s="20" t="s">
        <v>219</v>
      </c>
      <c r="F1033" s="27">
        <v>27745.0</v>
      </c>
      <c r="G1033" s="14">
        <v>50.0</v>
      </c>
      <c r="H1033" s="23" t="s">
        <v>26</v>
      </c>
      <c r="I1033" s="24" t="s">
        <v>27</v>
      </c>
      <c r="J1033" s="19" t="s">
        <v>206</v>
      </c>
      <c r="K1033" s="14">
        <v>3.0</v>
      </c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</row>
    <row r="1034">
      <c r="A1034" s="14" t="s">
        <v>3922</v>
      </c>
      <c r="B1034" s="17" t="s">
        <v>3916</v>
      </c>
      <c r="C1034" s="17" t="s">
        <v>3923</v>
      </c>
      <c r="D1034" s="19" t="s">
        <v>3924</v>
      </c>
      <c r="E1034" s="20" t="s">
        <v>219</v>
      </c>
      <c r="F1034" s="27">
        <v>23741.0</v>
      </c>
      <c r="G1034" s="14">
        <v>61.0</v>
      </c>
      <c r="H1034" s="23" t="s">
        <v>26</v>
      </c>
      <c r="I1034" s="24" t="s">
        <v>33</v>
      </c>
      <c r="J1034" s="19" t="s">
        <v>206</v>
      </c>
      <c r="K1034" s="14">
        <v>3.0</v>
      </c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</row>
    <row r="1035">
      <c r="A1035" s="14" t="s">
        <v>3925</v>
      </c>
      <c r="B1035" s="17" t="s">
        <v>3926</v>
      </c>
      <c r="C1035" s="17" t="s">
        <v>3927</v>
      </c>
      <c r="D1035" s="19" t="s">
        <v>3928</v>
      </c>
      <c r="E1035" s="20" t="s">
        <v>104</v>
      </c>
      <c r="F1035" s="21">
        <v>28745.0</v>
      </c>
      <c r="G1035" s="14">
        <v>47.0</v>
      </c>
      <c r="H1035" s="23" t="s">
        <v>26</v>
      </c>
      <c r="I1035" s="24" t="s">
        <v>33</v>
      </c>
      <c r="J1035" s="19" t="s">
        <v>328</v>
      </c>
      <c r="K1035" s="14">
        <v>21.0</v>
      </c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</row>
    <row r="1036">
      <c r="A1036" s="14" t="s">
        <v>3929</v>
      </c>
      <c r="B1036" s="17" t="s">
        <v>3926</v>
      </c>
      <c r="C1036" s="17" t="s">
        <v>3930</v>
      </c>
      <c r="D1036" s="19" t="s">
        <v>2772</v>
      </c>
      <c r="E1036" s="20" t="s">
        <v>3931</v>
      </c>
      <c r="F1036" s="21">
        <v>28627.0</v>
      </c>
      <c r="G1036" s="14">
        <v>48.0</v>
      </c>
      <c r="H1036" s="23" t="s">
        <v>26</v>
      </c>
      <c r="I1036" s="24" t="s">
        <v>27</v>
      </c>
      <c r="J1036" s="19" t="s">
        <v>328</v>
      </c>
      <c r="K1036" s="14">
        <v>21.0</v>
      </c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</row>
    <row r="1037">
      <c r="A1037" s="14" t="s">
        <v>3932</v>
      </c>
      <c r="B1037" s="17" t="s">
        <v>3933</v>
      </c>
      <c r="C1037" s="17" t="s">
        <v>3934</v>
      </c>
      <c r="D1037" s="19" t="s">
        <v>3935</v>
      </c>
      <c r="E1037" s="20" t="s">
        <v>536</v>
      </c>
      <c r="F1037" s="21">
        <v>36392.0</v>
      </c>
      <c r="G1037" s="14">
        <v>27.0</v>
      </c>
      <c r="H1037" s="23" t="s">
        <v>26</v>
      </c>
      <c r="I1037" s="24" t="s">
        <v>33</v>
      </c>
      <c r="J1037" s="19" t="s">
        <v>68</v>
      </c>
      <c r="K1037" s="14">
        <v>30.0</v>
      </c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</row>
    <row r="1038">
      <c r="A1038" s="14" t="s">
        <v>3936</v>
      </c>
      <c r="B1038" s="17" t="s">
        <v>3933</v>
      </c>
      <c r="C1038" s="17" t="s">
        <v>3937</v>
      </c>
      <c r="D1038" s="19" t="s">
        <v>3938</v>
      </c>
      <c r="E1038" s="20" t="s">
        <v>337</v>
      </c>
      <c r="F1038" s="21">
        <v>36256.0</v>
      </c>
      <c r="G1038" s="14">
        <v>27.0</v>
      </c>
      <c r="H1038" s="23" t="s">
        <v>26</v>
      </c>
      <c r="I1038" s="24" t="s">
        <v>27</v>
      </c>
      <c r="J1038" s="19" t="s">
        <v>68</v>
      </c>
      <c r="K1038" s="14">
        <v>30.0</v>
      </c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</row>
    <row r="1039">
      <c r="A1039" s="14" t="s">
        <v>3939</v>
      </c>
      <c r="B1039" s="17" t="s">
        <v>3940</v>
      </c>
      <c r="C1039" s="17" t="s">
        <v>3941</v>
      </c>
      <c r="D1039" s="19" t="s">
        <v>3942</v>
      </c>
      <c r="E1039" s="20" t="s">
        <v>67</v>
      </c>
      <c r="F1039" s="21">
        <v>27206.0</v>
      </c>
      <c r="G1039" s="14">
        <v>52.0</v>
      </c>
      <c r="H1039" s="23" t="s">
        <v>26</v>
      </c>
      <c r="I1039" s="24" t="s">
        <v>27</v>
      </c>
      <c r="J1039" s="19" t="s">
        <v>68</v>
      </c>
      <c r="K1039" s="14">
        <v>35.0</v>
      </c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</row>
    <row r="1040">
      <c r="A1040" s="14" t="s">
        <v>3943</v>
      </c>
      <c r="B1040" s="17" t="s">
        <v>3940</v>
      </c>
      <c r="C1040" s="17" t="s">
        <v>3944</v>
      </c>
      <c r="D1040" s="19" t="s">
        <v>3945</v>
      </c>
      <c r="E1040" s="20" t="s">
        <v>67</v>
      </c>
      <c r="F1040" s="21">
        <v>25455.0</v>
      </c>
      <c r="G1040" s="14">
        <v>56.0</v>
      </c>
      <c r="H1040" s="23" t="s">
        <v>26</v>
      </c>
      <c r="I1040" s="24" t="s">
        <v>33</v>
      </c>
      <c r="J1040" s="19" t="s">
        <v>68</v>
      </c>
      <c r="K1040" s="14">
        <v>35.0</v>
      </c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</row>
    <row r="1041">
      <c r="A1041" s="14" t="s">
        <v>3946</v>
      </c>
      <c r="B1041" s="17" t="s">
        <v>3940</v>
      </c>
      <c r="C1041" s="17" t="s">
        <v>3947</v>
      </c>
      <c r="D1041" s="19" t="s">
        <v>3948</v>
      </c>
      <c r="E1041" s="20" t="s">
        <v>2038</v>
      </c>
      <c r="F1041" s="21">
        <v>37884.0</v>
      </c>
      <c r="G1041" s="14">
        <v>22.0</v>
      </c>
      <c r="H1041" s="23" t="s">
        <v>100</v>
      </c>
      <c r="I1041" s="24" t="s">
        <v>27</v>
      </c>
      <c r="J1041" s="19" t="s">
        <v>68</v>
      </c>
      <c r="K1041" s="14">
        <v>35.0</v>
      </c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</row>
    <row r="1042">
      <c r="A1042" s="14" t="s">
        <v>3949</v>
      </c>
      <c r="B1042" s="17" t="s">
        <v>3950</v>
      </c>
      <c r="C1042" s="17" t="s">
        <v>3951</v>
      </c>
      <c r="D1042" s="19" t="s">
        <v>3952</v>
      </c>
      <c r="E1042" s="20" t="s">
        <v>53</v>
      </c>
      <c r="F1042" s="21">
        <v>35844.0</v>
      </c>
      <c r="G1042" s="14">
        <v>28.0</v>
      </c>
      <c r="H1042" s="23" t="s">
        <v>26</v>
      </c>
      <c r="I1042" s="24" t="s">
        <v>27</v>
      </c>
      <c r="J1042" s="19" t="s">
        <v>146</v>
      </c>
      <c r="K1042" s="14">
        <v>2.0</v>
      </c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</row>
    <row r="1043">
      <c r="A1043" s="14" t="s">
        <v>3953</v>
      </c>
      <c r="B1043" s="17" t="s">
        <v>3950</v>
      </c>
      <c r="C1043" s="17" t="s">
        <v>3954</v>
      </c>
      <c r="D1043" s="19" t="s">
        <v>3955</v>
      </c>
      <c r="E1043" s="20" t="s">
        <v>210</v>
      </c>
      <c r="F1043" s="21">
        <v>36342.0</v>
      </c>
      <c r="G1043" s="14">
        <v>27.0</v>
      </c>
      <c r="H1043" s="23" t="s">
        <v>26</v>
      </c>
      <c r="I1043" s="24" t="s">
        <v>33</v>
      </c>
      <c r="J1043" s="19" t="s">
        <v>146</v>
      </c>
      <c r="K1043" s="14">
        <v>2.0</v>
      </c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</row>
    <row r="1044">
      <c r="A1044" s="14" t="s">
        <v>3956</v>
      </c>
      <c r="B1044" s="17" t="s">
        <v>3957</v>
      </c>
      <c r="C1044" s="17" t="s">
        <v>3958</v>
      </c>
      <c r="D1044" s="19" t="s">
        <v>3959</v>
      </c>
      <c r="E1044" s="20" t="s">
        <v>53</v>
      </c>
      <c r="F1044" s="21">
        <v>36728.0</v>
      </c>
      <c r="G1044" s="14">
        <v>26.0</v>
      </c>
      <c r="H1044" s="23" t="s">
        <v>26</v>
      </c>
      <c r="I1044" s="24" t="s">
        <v>33</v>
      </c>
      <c r="J1044" s="19" t="s">
        <v>58</v>
      </c>
      <c r="K1044" s="14">
        <v>7.0</v>
      </c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</row>
    <row r="1045">
      <c r="A1045" s="14" t="s">
        <v>3960</v>
      </c>
      <c r="B1045" s="17" t="s">
        <v>3957</v>
      </c>
      <c r="C1045" s="17" t="s">
        <v>3961</v>
      </c>
      <c r="D1045" s="19" t="s">
        <v>3962</v>
      </c>
      <c r="E1045" s="20" t="s">
        <v>736</v>
      </c>
      <c r="F1045" s="21">
        <v>37358.0</v>
      </c>
      <c r="G1045" s="14">
        <v>24.0</v>
      </c>
      <c r="H1045" s="23" t="s">
        <v>26</v>
      </c>
      <c r="I1045" s="24" t="s">
        <v>27</v>
      </c>
      <c r="J1045" s="19" t="s">
        <v>58</v>
      </c>
      <c r="K1045" s="14">
        <v>7.0</v>
      </c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</row>
    <row r="1046">
      <c r="A1046" s="14" t="s">
        <v>3963</v>
      </c>
      <c r="B1046" s="17" t="s">
        <v>3964</v>
      </c>
      <c r="C1046" s="17" t="s">
        <v>3965</v>
      </c>
      <c r="D1046" s="19" t="s">
        <v>3966</v>
      </c>
      <c r="E1046" s="20" t="s">
        <v>2680</v>
      </c>
      <c r="F1046" s="21">
        <v>31307.0</v>
      </c>
      <c r="G1046" s="14">
        <v>40.0</v>
      </c>
      <c r="H1046" s="23" t="s">
        <v>26</v>
      </c>
      <c r="I1046" s="24" t="s">
        <v>27</v>
      </c>
      <c r="J1046" s="19" t="s">
        <v>53</v>
      </c>
      <c r="K1046" s="14">
        <v>10.0</v>
      </c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</row>
    <row r="1047">
      <c r="A1047" s="14" t="s">
        <v>3967</v>
      </c>
      <c r="B1047" s="17" t="s">
        <v>3964</v>
      </c>
      <c r="C1047" s="17" t="s">
        <v>3968</v>
      </c>
      <c r="D1047" s="19" t="s">
        <v>3969</v>
      </c>
      <c r="E1047" s="20" t="s">
        <v>1622</v>
      </c>
      <c r="F1047" s="21">
        <v>31541.0</v>
      </c>
      <c r="G1047" s="14">
        <v>40.0</v>
      </c>
      <c r="H1047" s="23" t="s">
        <v>26</v>
      </c>
      <c r="I1047" s="24" t="s">
        <v>33</v>
      </c>
      <c r="J1047" s="19" t="s">
        <v>53</v>
      </c>
      <c r="K1047" s="14">
        <v>10.0</v>
      </c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</row>
    <row r="1048">
      <c r="A1048" s="14" t="s">
        <v>3970</v>
      </c>
      <c r="B1048" s="17" t="s">
        <v>3971</v>
      </c>
      <c r="C1048" s="17" t="s">
        <v>3972</v>
      </c>
      <c r="D1048" s="19" t="s">
        <v>3973</v>
      </c>
      <c r="E1048" s="20" t="s">
        <v>632</v>
      </c>
      <c r="F1048" s="21">
        <v>33986.0</v>
      </c>
      <c r="G1048" s="14">
        <v>33.0</v>
      </c>
      <c r="H1048" s="23" t="s">
        <v>26</v>
      </c>
      <c r="I1048" s="24" t="s">
        <v>33</v>
      </c>
      <c r="J1048" s="19" t="s">
        <v>362</v>
      </c>
      <c r="K1048" s="14">
        <v>26.0</v>
      </c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</row>
    <row r="1049">
      <c r="A1049" s="14" t="s">
        <v>3974</v>
      </c>
      <c r="B1049" s="17" t="s">
        <v>3971</v>
      </c>
      <c r="C1049" s="17" t="s">
        <v>3975</v>
      </c>
      <c r="D1049" s="19" t="s">
        <v>3976</v>
      </c>
      <c r="E1049" s="20" t="s">
        <v>53</v>
      </c>
      <c r="F1049" s="21">
        <v>35977.0</v>
      </c>
      <c r="G1049" s="14">
        <v>28.0</v>
      </c>
      <c r="H1049" s="23" t="s">
        <v>26</v>
      </c>
      <c r="I1049" s="24" t="s">
        <v>27</v>
      </c>
      <c r="J1049" s="19" t="s">
        <v>362</v>
      </c>
      <c r="K1049" s="14">
        <v>26.0</v>
      </c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</row>
    <row r="1050">
      <c r="A1050" s="14" t="s">
        <v>3977</v>
      </c>
      <c r="B1050" s="17" t="s">
        <v>3978</v>
      </c>
      <c r="C1050" s="17" t="s">
        <v>3979</v>
      </c>
      <c r="D1050" s="19" t="s">
        <v>3980</v>
      </c>
      <c r="E1050" s="20" t="s">
        <v>536</v>
      </c>
      <c r="F1050" s="21">
        <v>34341.0</v>
      </c>
      <c r="G1050" s="14">
        <v>32.0</v>
      </c>
      <c r="H1050" s="23" t="s">
        <v>26</v>
      </c>
      <c r="I1050" s="24" t="s">
        <v>33</v>
      </c>
      <c r="J1050" s="19" t="s">
        <v>282</v>
      </c>
      <c r="K1050" s="14">
        <v>15.0</v>
      </c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</row>
    <row r="1051">
      <c r="A1051" s="14" t="s">
        <v>3981</v>
      </c>
      <c r="B1051" s="17" t="s">
        <v>3978</v>
      </c>
      <c r="C1051" s="17" t="s">
        <v>3982</v>
      </c>
      <c r="D1051" s="19" t="s">
        <v>3983</v>
      </c>
      <c r="E1051" s="20" t="s">
        <v>858</v>
      </c>
      <c r="F1051" s="21">
        <v>36292.0</v>
      </c>
      <c r="G1051" s="14">
        <v>27.0</v>
      </c>
      <c r="H1051" s="23" t="s">
        <v>26</v>
      </c>
      <c r="I1051" s="24" t="s">
        <v>27</v>
      </c>
      <c r="J1051" s="19" t="s">
        <v>282</v>
      </c>
      <c r="K1051" s="14">
        <v>15.0</v>
      </c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</row>
    <row r="1052">
      <c r="A1052" s="14" t="s">
        <v>3984</v>
      </c>
      <c r="B1052" s="17" t="s">
        <v>3985</v>
      </c>
      <c r="C1052" s="17" t="s">
        <v>3986</v>
      </c>
      <c r="D1052" s="19" t="s">
        <v>3987</v>
      </c>
      <c r="E1052" s="20" t="s">
        <v>85</v>
      </c>
      <c r="F1052" s="21">
        <v>33708.0</v>
      </c>
      <c r="G1052" s="14">
        <v>34.0</v>
      </c>
      <c r="H1052" s="23" t="s">
        <v>26</v>
      </c>
      <c r="I1052" s="24" t="s">
        <v>33</v>
      </c>
      <c r="J1052" s="19" t="s">
        <v>1296</v>
      </c>
      <c r="K1052" s="14">
        <v>3.0</v>
      </c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</row>
    <row r="1053">
      <c r="A1053" s="14" t="s">
        <v>3988</v>
      </c>
      <c r="B1053" s="17" t="s">
        <v>3985</v>
      </c>
      <c r="C1053" s="17" t="s">
        <v>3989</v>
      </c>
      <c r="D1053" s="19" t="s">
        <v>3990</v>
      </c>
      <c r="E1053" s="20" t="s">
        <v>2730</v>
      </c>
      <c r="F1053" s="21">
        <v>36034.0</v>
      </c>
      <c r="G1053" s="14">
        <v>28.0</v>
      </c>
      <c r="H1053" s="23" t="s">
        <v>26</v>
      </c>
      <c r="I1053" s="24" t="s">
        <v>27</v>
      </c>
      <c r="J1053" s="19" t="s">
        <v>1296</v>
      </c>
      <c r="K1053" s="14">
        <v>3.0</v>
      </c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</row>
    <row r="1054">
      <c r="A1054" s="14" t="s">
        <v>3991</v>
      </c>
      <c r="B1054" s="17" t="s">
        <v>3992</v>
      </c>
      <c r="C1054" s="17" t="s">
        <v>3993</v>
      </c>
      <c r="D1054" s="19" t="s">
        <v>3994</v>
      </c>
      <c r="E1054" s="20" t="s">
        <v>104</v>
      </c>
      <c r="F1054" s="21">
        <v>35311.0</v>
      </c>
      <c r="G1054" s="14">
        <v>29.0</v>
      </c>
      <c r="H1054" s="23" t="s">
        <v>26</v>
      </c>
      <c r="I1054" s="24" t="s">
        <v>33</v>
      </c>
      <c r="J1054" s="19" t="s">
        <v>53</v>
      </c>
      <c r="K1054" s="14">
        <v>18.0</v>
      </c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</row>
    <row r="1055">
      <c r="A1055" s="14" t="s">
        <v>3995</v>
      </c>
      <c r="B1055" s="17" t="s">
        <v>3992</v>
      </c>
      <c r="C1055" s="17" t="s">
        <v>3996</v>
      </c>
      <c r="D1055" s="19" t="s">
        <v>3997</v>
      </c>
      <c r="E1055" s="20" t="s">
        <v>53</v>
      </c>
      <c r="F1055" s="21">
        <v>36038.0</v>
      </c>
      <c r="G1055" s="14">
        <v>28.0</v>
      </c>
      <c r="H1055" s="23" t="s">
        <v>26</v>
      </c>
      <c r="I1055" s="24" t="s">
        <v>27</v>
      </c>
      <c r="J1055" s="19" t="s">
        <v>53</v>
      </c>
      <c r="K1055" s="14">
        <v>18.0</v>
      </c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</row>
    <row r="1056">
      <c r="A1056" s="14" t="s">
        <v>3998</v>
      </c>
      <c r="B1056" s="17" t="s">
        <v>3999</v>
      </c>
      <c r="C1056" s="17" t="s">
        <v>4000</v>
      </c>
      <c r="D1056" s="19" t="s">
        <v>4001</v>
      </c>
      <c r="E1056" s="20" t="s">
        <v>104</v>
      </c>
      <c r="F1056" s="27">
        <v>32793.0</v>
      </c>
      <c r="G1056" s="14">
        <v>36.0</v>
      </c>
      <c r="H1056" s="23" t="s">
        <v>26</v>
      </c>
      <c r="I1056" s="24" t="s">
        <v>33</v>
      </c>
      <c r="J1056" s="19" t="s">
        <v>282</v>
      </c>
      <c r="K1056" s="14">
        <v>15.0</v>
      </c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</row>
    <row r="1057">
      <c r="A1057" s="14" t="s">
        <v>4002</v>
      </c>
      <c r="B1057" s="17" t="s">
        <v>3999</v>
      </c>
      <c r="C1057" s="17" t="s">
        <v>4003</v>
      </c>
      <c r="D1057" s="19" t="s">
        <v>4004</v>
      </c>
      <c r="E1057" s="20" t="s">
        <v>104</v>
      </c>
      <c r="F1057" s="21">
        <v>35139.0</v>
      </c>
      <c r="G1057" s="14">
        <v>30.0</v>
      </c>
      <c r="H1057" s="23" t="s">
        <v>26</v>
      </c>
      <c r="I1057" s="24" t="s">
        <v>27</v>
      </c>
      <c r="J1057" s="19" t="s">
        <v>282</v>
      </c>
      <c r="K1057" s="14">
        <v>15.0</v>
      </c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</row>
    <row r="1058">
      <c r="A1058" s="14" t="s">
        <v>4005</v>
      </c>
      <c r="B1058" s="17" t="s">
        <v>4006</v>
      </c>
      <c r="C1058" s="17" t="s">
        <v>4007</v>
      </c>
      <c r="D1058" s="19" t="s">
        <v>4008</v>
      </c>
      <c r="E1058" s="20" t="s">
        <v>104</v>
      </c>
      <c r="F1058" s="27">
        <v>34620.0</v>
      </c>
      <c r="G1058" s="14">
        <v>31.0</v>
      </c>
      <c r="H1058" s="23" t="s">
        <v>100</v>
      </c>
      <c r="I1058" s="24" t="s">
        <v>27</v>
      </c>
      <c r="J1058" s="19" t="s">
        <v>2038</v>
      </c>
      <c r="K1058" s="14">
        <v>10.0</v>
      </c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</row>
    <row r="1059">
      <c r="A1059" s="14" t="s">
        <v>4009</v>
      </c>
      <c r="B1059" s="17" t="s">
        <v>4006</v>
      </c>
      <c r="C1059" s="17" t="s">
        <v>4010</v>
      </c>
      <c r="D1059" s="19" t="s">
        <v>4011</v>
      </c>
      <c r="E1059" s="20" t="s">
        <v>104</v>
      </c>
      <c r="F1059" s="21">
        <v>38630.0</v>
      </c>
      <c r="G1059" s="14">
        <v>20.0</v>
      </c>
      <c r="H1059" s="23" t="s">
        <v>100</v>
      </c>
      <c r="I1059" s="24" t="s">
        <v>33</v>
      </c>
      <c r="J1059" s="19" t="s">
        <v>2038</v>
      </c>
      <c r="K1059" s="14">
        <v>10.0</v>
      </c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</row>
    <row r="1060">
      <c r="A1060" s="14" t="s">
        <v>4012</v>
      </c>
      <c r="B1060" s="17" t="s">
        <v>4013</v>
      </c>
      <c r="C1060" s="17" t="s">
        <v>4014</v>
      </c>
      <c r="D1060" s="19" t="s">
        <v>2928</v>
      </c>
      <c r="E1060" s="20" t="s">
        <v>1816</v>
      </c>
      <c r="F1060" s="21">
        <v>17725.0</v>
      </c>
      <c r="G1060" s="14">
        <v>78.0</v>
      </c>
      <c r="H1060" s="23" t="s">
        <v>27</v>
      </c>
      <c r="I1060" s="24" t="s">
        <v>27</v>
      </c>
      <c r="J1060" s="19" t="s">
        <v>68</v>
      </c>
      <c r="K1060" s="14">
        <v>29.0</v>
      </c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</row>
    <row r="1061">
      <c r="A1061" s="14" t="s">
        <v>4015</v>
      </c>
      <c r="B1061" s="17" t="s">
        <v>4016</v>
      </c>
      <c r="C1061" s="17" t="s">
        <v>4017</v>
      </c>
      <c r="D1061" s="19" t="s">
        <v>4018</v>
      </c>
      <c r="E1061" s="20" t="s">
        <v>650</v>
      </c>
      <c r="F1061" s="21">
        <v>20271.0</v>
      </c>
      <c r="G1061" s="14">
        <v>71.0</v>
      </c>
      <c r="H1061" s="23" t="s">
        <v>27</v>
      </c>
      <c r="I1061" s="24" t="s">
        <v>27</v>
      </c>
      <c r="J1061" s="19" t="s">
        <v>4020</v>
      </c>
      <c r="K1061" s="14">
        <v>23.0</v>
      </c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</row>
    <row r="1062">
      <c r="A1062" s="14" t="s">
        <v>4021</v>
      </c>
      <c r="B1062" s="17" t="s">
        <v>4022</v>
      </c>
      <c r="C1062" s="17" t="s">
        <v>4023</v>
      </c>
      <c r="D1062" s="19" t="s">
        <v>188</v>
      </c>
      <c r="E1062" s="20" t="s">
        <v>654</v>
      </c>
      <c r="F1062" s="21">
        <v>25285.0</v>
      </c>
      <c r="G1062" s="14">
        <v>57.0</v>
      </c>
      <c r="H1062" s="23" t="s">
        <v>26</v>
      </c>
      <c r="I1062" s="24" t="s">
        <v>33</v>
      </c>
      <c r="J1062" s="19" t="s">
        <v>4020</v>
      </c>
      <c r="K1062" s="14">
        <v>25.0</v>
      </c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</row>
    <row r="1063">
      <c r="A1063" s="14" t="s">
        <v>4024</v>
      </c>
      <c r="B1063" s="17" t="s">
        <v>4022</v>
      </c>
      <c r="C1063" s="17" t="s">
        <v>4025</v>
      </c>
      <c r="D1063" s="19" t="s">
        <v>4026</v>
      </c>
      <c r="E1063" s="20" t="s">
        <v>53</v>
      </c>
      <c r="F1063" s="27">
        <v>39072.0</v>
      </c>
      <c r="G1063" s="14">
        <v>19.0</v>
      </c>
      <c r="H1063" s="23" t="s">
        <v>100</v>
      </c>
      <c r="I1063" s="24" t="s">
        <v>33</v>
      </c>
      <c r="J1063" s="19" t="s">
        <v>4020</v>
      </c>
      <c r="K1063" s="14">
        <v>25.0</v>
      </c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</row>
    <row r="1064">
      <c r="A1064" s="14" t="s">
        <v>4027</v>
      </c>
      <c r="B1064" s="17" t="s">
        <v>4022</v>
      </c>
      <c r="C1064" s="17" t="s">
        <v>4028</v>
      </c>
      <c r="D1064" s="19" t="s">
        <v>4029</v>
      </c>
      <c r="E1064" s="20" t="s">
        <v>104</v>
      </c>
      <c r="F1064" s="27">
        <v>34681.0</v>
      </c>
      <c r="G1064" s="14">
        <v>31.0</v>
      </c>
      <c r="H1064" s="23" t="s">
        <v>100</v>
      </c>
      <c r="I1064" s="24" t="s">
        <v>33</v>
      </c>
      <c r="J1064" s="19" t="s">
        <v>4020</v>
      </c>
      <c r="K1064" s="14">
        <v>25.0</v>
      </c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</row>
    <row r="1065">
      <c r="A1065" s="14" t="s">
        <v>4030</v>
      </c>
      <c r="B1065" s="17" t="s">
        <v>4022</v>
      </c>
      <c r="C1065" s="17" t="s">
        <v>4031</v>
      </c>
      <c r="D1065" s="19" t="s">
        <v>4032</v>
      </c>
      <c r="E1065" s="20" t="s">
        <v>654</v>
      </c>
      <c r="F1065" s="21">
        <v>26301.0</v>
      </c>
      <c r="G1065" s="14">
        <v>54.0</v>
      </c>
      <c r="H1065" s="23" t="s">
        <v>26</v>
      </c>
      <c r="I1065" s="24" t="s">
        <v>27</v>
      </c>
      <c r="J1065" s="19" t="s">
        <v>4020</v>
      </c>
      <c r="K1065" s="14">
        <v>25.0</v>
      </c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</row>
    <row r="1066">
      <c r="A1066" s="14" t="s">
        <v>4033</v>
      </c>
      <c r="B1066" s="17" t="s">
        <v>4022</v>
      </c>
      <c r="C1066" s="17" t="s">
        <v>4034</v>
      </c>
      <c r="D1066" s="19" t="s">
        <v>4035</v>
      </c>
      <c r="E1066" s="20" t="s">
        <v>104</v>
      </c>
      <c r="F1066" s="21">
        <v>37093.0</v>
      </c>
      <c r="G1066" s="14">
        <v>25.0</v>
      </c>
      <c r="H1066" s="23" t="s">
        <v>100</v>
      </c>
      <c r="I1066" s="24" t="s">
        <v>33</v>
      </c>
      <c r="J1066" s="19" t="s">
        <v>4020</v>
      </c>
      <c r="K1066" s="14">
        <v>25.0</v>
      </c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</row>
    <row r="1067">
      <c r="A1067" s="14" t="s">
        <v>4036</v>
      </c>
      <c r="B1067" s="17" t="s">
        <v>4022</v>
      </c>
      <c r="C1067" s="17" t="s">
        <v>4037</v>
      </c>
      <c r="D1067" s="19" t="s">
        <v>4038</v>
      </c>
      <c r="E1067" s="20" t="s">
        <v>104</v>
      </c>
      <c r="F1067" s="21">
        <v>37093.0</v>
      </c>
      <c r="G1067" s="14">
        <v>25.0</v>
      </c>
      <c r="H1067" s="23" t="s">
        <v>100</v>
      </c>
      <c r="I1067" s="24" t="s">
        <v>33</v>
      </c>
      <c r="J1067" s="19" t="s">
        <v>4020</v>
      </c>
      <c r="K1067" s="14">
        <v>25.0</v>
      </c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</row>
    <row r="1068">
      <c r="A1068" s="14" t="s">
        <v>4039</v>
      </c>
      <c r="B1068" s="17" t="s">
        <v>4040</v>
      </c>
      <c r="C1068" s="17" t="s">
        <v>4041</v>
      </c>
      <c r="D1068" s="19" t="s">
        <v>4042</v>
      </c>
      <c r="E1068" s="20" t="s">
        <v>4043</v>
      </c>
      <c r="F1068" s="21">
        <v>17761.0</v>
      </c>
      <c r="G1068" s="14">
        <v>78.0</v>
      </c>
      <c r="H1068" s="23" t="s">
        <v>26</v>
      </c>
      <c r="I1068" s="24" t="s">
        <v>27</v>
      </c>
      <c r="J1068" s="19" t="s">
        <v>362</v>
      </c>
      <c r="K1068" s="14">
        <v>21.0</v>
      </c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</row>
    <row r="1069">
      <c r="A1069" s="14" t="s">
        <v>4044</v>
      </c>
      <c r="B1069" s="17" t="s">
        <v>4045</v>
      </c>
      <c r="C1069" s="17" t="s">
        <v>4046</v>
      </c>
      <c r="D1069" s="19" t="s">
        <v>4047</v>
      </c>
      <c r="E1069" s="20" t="s">
        <v>53</v>
      </c>
      <c r="F1069" s="21">
        <v>36370.0</v>
      </c>
      <c r="G1069" s="14">
        <v>27.0</v>
      </c>
      <c r="H1069" s="23" t="s">
        <v>100</v>
      </c>
      <c r="I1069" s="24" t="s">
        <v>33</v>
      </c>
      <c r="J1069" s="19" t="s">
        <v>362</v>
      </c>
      <c r="K1069" s="14">
        <v>21.0</v>
      </c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</row>
    <row r="1070">
      <c r="A1070" s="14" t="s">
        <v>4048</v>
      </c>
      <c r="B1070" s="17" t="s">
        <v>4045</v>
      </c>
      <c r="C1070" s="17" t="s">
        <v>4049</v>
      </c>
      <c r="D1070" s="19" t="s">
        <v>4050</v>
      </c>
      <c r="E1070" s="20" t="s">
        <v>650</v>
      </c>
      <c r="F1070" s="21">
        <v>21443.0</v>
      </c>
      <c r="G1070" s="14">
        <v>67.0</v>
      </c>
      <c r="H1070" s="23" t="s">
        <v>26</v>
      </c>
      <c r="I1070" s="24" t="s">
        <v>33</v>
      </c>
      <c r="J1070" s="19" t="s">
        <v>362</v>
      </c>
      <c r="K1070" s="14">
        <v>21.0</v>
      </c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</row>
    <row r="1071">
      <c r="A1071" s="14" t="s">
        <v>4051</v>
      </c>
      <c r="B1071" s="17" t="s">
        <v>4045</v>
      </c>
      <c r="C1071" s="17" t="s">
        <v>4052</v>
      </c>
      <c r="D1071" s="19" t="s">
        <v>4053</v>
      </c>
      <c r="E1071" s="20" t="s">
        <v>650</v>
      </c>
      <c r="F1071" s="21">
        <v>23924.0</v>
      </c>
      <c r="G1071" s="14">
        <v>61.0</v>
      </c>
      <c r="H1071" s="23" t="s">
        <v>26</v>
      </c>
      <c r="I1071" s="24" t="s">
        <v>27</v>
      </c>
      <c r="J1071" s="19" t="s">
        <v>362</v>
      </c>
      <c r="K1071" s="14">
        <v>21.0</v>
      </c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</row>
    <row r="1072">
      <c r="A1072" s="14" t="s">
        <v>4054</v>
      </c>
      <c r="B1072" s="17" t="s">
        <v>4045</v>
      </c>
      <c r="C1072" s="17" t="s">
        <v>4055</v>
      </c>
      <c r="D1072" s="19" t="s">
        <v>4056</v>
      </c>
      <c r="E1072" s="20" t="s">
        <v>104</v>
      </c>
      <c r="F1072" s="21">
        <v>38561.0</v>
      </c>
      <c r="G1072" s="14">
        <v>21.0</v>
      </c>
      <c r="H1072" s="23" t="s">
        <v>100</v>
      </c>
      <c r="I1072" s="24" t="s">
        <v>27</v>
      </c>
      <c r="J1072" s="19" t="s">
        <v>362</v>
      </c>
      <c r="K1072" s="14">
        <v>21.0</v>
      </c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</row>
    <row r="1073">
      <c r="A1073" s="14" t="s">
        <v>4057</v>
      </c>
      <c r="B1073" s="17" t="s">
        <v>4058</v>
      </c>
      <c r="C1073" s="17" t="s">
        <v>4059</v>
      </c>
      <c r="D1073" s="19" t="s">
        <v>93</v>
      </c>
      <c r="E1073" s="20" t="s">
        <v>632</v>
      </c>
      <c r="F1073" s="21">
        <v>23566.0</v>
      </c>
      <c r="G1073" s="14">
        <v>62.0</v>
      </c>
      <c r="H1073" s="23" t="s">
        <v>26</v>
      </c>
      <c r="I1073" s="24" t="s">
        <v>33</v>
      </c>
      <c r="J1073" s="19" t="s">
        <v>328</v>
      </c>
      <c r="K1073" s="14">
        <v>21.0</v>
      </c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</row>
    <row r="1074">
      <c r="A1074" s="14" t="s">
        <v>4060</v>
      </c>
      <c r="B1074" s="17" t="s">
        <v>4058</v>
      </c>
      <c r="C1074" s="17" t="s">
        <v>4061</v>
      </c>
      <c r="D1074" s="19" t="s">
        <v>4062</v>
      </c>
      <c r="E1074" s="20" t="s">
        <v>632</v>
      </c>
      <c r="F1074" s="21">
        <v>19369.0</v>
      </c>
      <c r="G1074" s="14">
        <v>73.0</v>
      </c>
      <c r="H1074" s="23" t="s">
        <v>26</v>
      </c>
      <c r="I1074" s="24" t="s">
        <v>27</v>
      </c>
      <c r="J1074" s="19" t="s">
        <v>328</v>
      </c>
      <c r="K1074" s="14">
        <v>21.0</v>
      </c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</row>
    <row r="1075">
      <c r="A1075" s="14" t="s">
        <v>4063</v>
      </c>
      <c r="B1075" s="17" t="s">
        <v>4058</v>
      </c>
      <c r="C1075" s="17" t="s">
        <v>4064</v>
      </c>
      <c r="D1075" s="19" t="s">
        <v>4065</v>
      </c>
      <c r="E1075" s="20" t="s">
        <v>104</v>
      </c>
      <c r="F1075" s="27">
        <v>33963.0</v>
      </c>
      <c r="G1075" s="14">
        <v>33.0</v>
      </c>
      <c r="H1075" s="23" t="s">
        <v>100</v>
      </c>
      <c r="I1075" s="24" t="s">
        <v>33</v>
      </c>
      <c r="J1075" s="19" t="s">
        <v>328</v>
      </c>
      <c r="K1075" s="14">
        <v>21.0</v>
      </c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</row>
    <row r="1076">
      <c r="A1076" s="14" t="s">
        <v>4066</v>
      </c>
      <c r="B1076" s="17" t="s">
        <v>4067</v>
      </c>
      <c r="C1076" s="17" t="s">
        <v>4068</v>
      </c>
      <c r="D1076" s="19" t="s">
        <v>4069</v>
      </c>
      <c r="E1076" s="20" t="s">
        <v>195</v>
      </c>
      <c r="F1076" s="21">
        <v>29260.0</v>
      </c>
      <c r="G1076" s="14">
        <v>46.0</v>
      </c>
      <c r="H1076" s="23" t="s">
        <v>26</v>
      </c>
      <c r="I1076" s="24" t="s">
        <v>33</v>
      </c>
      <c r="J1076" s="19" t="s">
        <v>328</v>
      </c>
      <c r="K1076" s="14">
        <v>21.0</v>
      </c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</row>
    <row r="1077">
      <c r="A1077" s="14" t="s">
        <v>4070</v>
      </c>
      <c r="B1077" s="17" t="s">
        <v>4067</v>
      </c>
      <c r="C1077" s="17" t="s">
        <v>4071</v>
      </c>
      <c r="D1077" s="19" t="s">
        <v>4072</v>
      </c>
      <c r="E1077" s="20" t="s">
        <v>104</v>
      </c>
      <c r="F1077" s="27">
        <v>38642.0</v>
      </c>
      <c r="G1077" s="14">
        <v>20.0</v>
      </c>
      <c r="H1077" s="23" t="s">
        <v>100</v>
      </c>
      <c r="I1077" s="24" t="s">
        <v>33</v>
      </c>
      <c r="J1077" s="19" t="s">
        <v>328</v>
      </c>
      <c r="K1077" s="14">
        <v>21.0</v>
      </c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</row>
    <row r="1078">
      <c r="A1078" s="14" t="s">
        <v>4073</v>
      </c>
      <c r="B1078" s="17" t="s">
        <v>4067</v>
      </c>
      <c r="C1078" s="17" t="s">
        <v>4074</v>
      </c>
      <c r="D1078" s="19" t="s">
        <v>4075</v>
      </c>
      <c r="E1078" s="20" t="s">
        <v>104</v>
      </c>
      <c r="F1078" s="21">
        <v>31063.0</v>
      </c>
      <c r="G1078" s="14">
        <v>41.0</v>
      </c>
      <c r="H1078" s="23" t="s">
        <v>26</v>
      </c>
      <c r="I1078" s="24" t="s">
        <v>27</v>
      </c>
      <c r="J1078" s="19" t="s">
        <v>328</v>
      </c>
      <c r="K1078" s="14">
        <v>21.0</v>
      </c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</row>
    <row r="1079">
      <c r="A1079" s="14" t="s">
        <v>4076</v>
      </c>
      <c r="B1079" s="17" t="s">
        <v>4077</v>
      </c>
      <c r="C1079" s="17" t="s">
        <v>4078</v>
      </c>
      <c r="D1079" s="19" t="s">
        <v>318</v>
      </c>
      <c r="E1079" s="20" t="s">
        <v>1291</v>
      </c>
      <c r="F1079" s="21">
        <v>23902.0</v>
      </c>
      <c r="G1079" s="14">
        <v>61.0</v>
      </c>
      <c r="H1079" s="23" t="s">
        <v>26</v>
      </c>
      <c r="I1079" s="24" t="s">
        <v>33</v>
      </c>
      <c r="J1079" s="19" t="s">
        <v>4079</v>
      </c>
      <c r="K1079" s="14">
        <v>27.0</v>
      </c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</row>
    <row r="1080">
      <c r="A1080" s="14" t="s">
        <v>4080</v>
      </c>
      <c r="B1080" s="17" t="s">
        <v>4077</v>
      </c>
      <c r="C1080" s="17" t="s">
        <v>4081</v>
      </c>
      <c r="D1080" s="19" t="s">
        <v>4082</v>
      </c>
      <c r="E1080" s="20" t="s">
        <v>624</v>
      </c>
      <c r="F1080" s="21">
        <v>24606.0</v>
      </c>
      <c r="G1080" s="14">
        <v>59.0</v>
      </c>
      <c r="H1080" s="23" t="s">
        <v>26</v>
      </c>
      <c r="I1080" s="24" t="s">
        <v>27</v>
      </c>
      <c r="J1080" s="19" t="s">
        <v>4079</v>
      </c>
      <c r="K1080" s="14">
        <v>27.0</v>
      </c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</row>
    <row r="1081">
      <c r="A1081" s="14" t="s">
        <v>4083</v>
      </c>
      <c r="B1081" s="17" t="s">
        <v>4084</v>
      </c>
      <c r="C1081" s="17" t="s">
        <v>4085</v>
      </c>
      <c r="D1081" s="19" t="s">
        <v>4086</v>
      </c>
      <c r="E1081" s="20" t="s">
        <v>632</v>
      </c>
      <c r="F1081" s="21">
        <v>25782.0</v>
      </c>
      <c r="G1081" s="14">
        <v>56.0</v>
      </c>
      <c r="H1081" s="23" t="s">
        <v>26</v>
      </c>
      <c r="I1081" s="24" t="s">
        <v>27</v>
      </c>
      <c r="J1081" s="19" t="s">
        <v>328</v>
      </c>
      <c r="K1081" s="14">
        <v>27.0</v>
      </c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</row>
    <row r="1082">
      <c r="A1082" s="14" t="s">
        <v>4087</v>
      </c>
      <c r="B1082" s="17" t="s">
        <v>4084</v>
      </c>
      <c r="C1082" s="17" t="s">
        <v>4088</v>
      </c>
      <c r="D1082" s="19" t="s">
        <v>4089</v>
      </c>
      <c r="E1082" s="20" t="s">
        <v>632</v>
      </c>
      <c r="F1082" s="21">
        <v>19739.0</v>
      </c>
      <c r="G1082" s="14">
        <v>72.0</v>
      </c>
      <c r="H1082" s="23" t="s">
        <v>26</v>
      </c>
      <c r="I1082" s="24" t="s">
        <v>33</v>
      </c>
      <c r="J1082" s="19" t="s">
        <v>328</v>
      </c>
      <c r="K1082" s="14">
        <v>27.0</v>
      </c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</row>
    <row r="1083">
      <c r="A1083" s="14" t="s">
        <v>4091</v>
      </c>
      <c r="B1083" s="17" t="s">
        <v>4092</v>
      </c>
      <c r="C1083" s="17" t="s">
        <v>4093</v>
      </c>
      <c r="D1083" s="19" t="s">
        <v>4094</v>
      </c>
      <c r="E1083" s="20" t="s">
        <v>53</v>
      </c>
      <c r="F1083" s="21">
        <v>35871.0</v>
      </c>
      <c r="G1083" s="14">
        <v>28.0</v>
      </c>
      <c r="H1083" s="23" t="s">
        <v>26</v>
      </c>
      <c r="I1083" s="24" t="s">
        <v>27</v>
      </c>
      <c r="J1083" s="19" t="s">
        <v>726</v>
      </c>
      <c r="K1083" s="14">
        <v>16.0</v>
      </c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</row>
    <row r="1084">
      <c r="A1084" s="14" t="s">
        <v>4095</v>
      </c>
      <c r="B1084" s="17" t="s">
        <v>4092</v>
      </c>
      <c r="C1084" s="17" t="s">
        <v>4096</v>
      </c>
      <c r="D1084" s="19" t="s">
        <v>171</v>
      </c>
      <c r="E1084" s="20" t="s">
        <v>4097</v>
      </c>
      <c r="F1084" s="21">
        <v>32331.0</v>
      </c>
      <c r="G1084" s="14">
        <v>38.0</v>
      </c>
      <c r="H1084" s="23" t="s">
        <v>26</v>
      </c>
      <c r="I1084" s="24" t="s">
        <v>33</v>
      </c>
      <c r="J1084" s="19" t="s">
        <v>726</v>
      </c>
      <c r="K1084" s="14">
        <v>16.0</v>
      </c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</row>
    <row r="1085">
      <c r="A1085" s="14" t="s">
        <v>4101</v>
      </c>
      <c r="B1085" s="17" t="s">
        <v>4102</v>
      </c>
      <c r="C1085" s="17" t="s">
        <v>4103</v>
      </c>
      <c r="D1085" s="19" t="s">
        <v>4104</v>
      </c>
      <c r="E1085" s="20" t="s">
        <v>4105</v>
      </c>
      <c r="F1085" s="21">
        <v>34440.0</v>
      </c>
      <c r="G1085" s="14">
        <v>32.0</v>
      </c>
      <c r="H1085" s="23" t="s">
        <v>26</v>
      </c>
      <c r="I1085" s="24" t="s">
        <v>33</v>
      </c>
      <c r="J1085" s="19" t="s">
        <v>68</v>
      </c>
      <c r="K1085" s="14">
        <v>28.0</v>
      </c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</row>
    <row r="1086">
      <c r="A1086" s="14" t="s">
        <v>4106</v>
      </c>
      <c r="B1086" s="17" t="s">
        <v>4102</v>
      </c>
      <c r="C1086" s="17" t="s">
        <v>4107</v>
      </c>
      <c r="D1086" s="19" t="s">
        <v>4108</v>
      </c>
      <c r="E1086" s="20" t="s">
        <v>391</v>
      </c>
      <c r="F1086" s="21">
        <v>35501.0</v>
      </c>
      <c r="G1086" s="14">
        <v>29.0</v>
      </c>
      <c r="H1086" s="23" t="s">
        <v>26</v>
      </c>
      <c r="I1086" s="24" t="s">
        <v>27</v>
      </c>
      <c r="J1086" s="19" t="s">
        <v>68</v>
      </c>
      <c r="K1086" s="14">
        <v>28.0</v>
      </c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</row>
    <row r="1087">
      <c r="A1087" s="14" t="s">
        <v>4109</v>
      </c>
      <c r="B1087" s="17" t="s">
        <v>4110</v>
      </c>
      <c r="C1087" s="17" t="s">
        <v>4111</v>
      </c>
      <c r="D1087" s="19" t="s">
        <v>4112</v>
      </c>
      <c r="E1087" s="20" t="s">
        <v>138</v>
      </c>
      <c r="F1087" s="27">
        <v>36873.0</v>
      </c>
      <c r="G1087" s="14">
        <v>25.0</v>
      </c>
      <c r="H1087" s="23" t="s">
        <v>26</v>
      </c>
      <c r="I1087" s="24" t="s">
        <v>27</v>
      </c>
      <c r="J1087" s="19" t="s">
        <v>282</v>
      </c>
      <c r="K1087" s="14">
        <v>14.0</v>
      </c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</row>
    <row r="1088">
      <c r="A1088" s="14" t="s">
        <v>4113</v>
      </c>
      <c r="B1088" s="17" t="s">
        <v>4110</v>
      </c>
      <c r="C1088" s="17" t="s">
        <v>4114</v>
      </c>
      <c r="D1088" s="19" t="s">
        <v>4115</v>
      </c>
      <c r="E1088" s="20" t="s">
        <v>138</v>
      </c>
      <c r="F1088" s="21">
        <v>36497.0</v>
      </c>
      <c r="G1088" s="14">
        <v>26.0</v>
      </c>
      <c r="H1088" s="23" t="s">
        <v>26</v>
      </c>
      <c r="I1088" s="24" t="s">
        <v>33</v>
      </c>
      <c r="J1088" s="19" t="s">
        <v>282</v>
      </c>
      <c r="K1088" s="14">
        <v>14.0</v>
      </c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</row>
    <row r="1089">
      <c r="A1089" s="14" t="s">
        <v>4116</v>
      </c>
      <c r="B1089" s="17" t="s">
        <v>4117</v>
      </c>
      <c r="C1089" s="17" t="s">
        <v>4118</v>
      </c>
      <c r="D1089" s="19" t="s">
        <v>4119</v>
      </c>
      <c r="E1089" s="20" t="s">
        <v>104</v>
      </c>
      <c r="F1089" s="27">
        <v>29935.0</v>
      </c>
      <c r="G1089" s="14">
        <v>44.0</v>
      </c>
      <c r="H1089" s="23" t="s">
        <v>26</v>
      </c>
      <c r="I1089" s="24" t="s">
        <v>27</v>
      </c>
      <c r="J1089" s="19" t="s">
        <v>206</v>
      </c>
      <c r="K1089" s="14">
        <v>4.0</v>
      </c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</row>
    <row r="1090">
      <c r="A1090" s="14" t="s">
        <v>4120</v>
      </c>
      <c r="B1090" s="17" t="s">
        <v>4117</v>
      </c>
      <c r="C1090" s="17" t="s">
        <v>4121</v>
      </c>
      <c r="D1090" s="19" t="s">
        <v>4122</v>
      </c>
      <c r="E1090" s="20" t="s">
        <v>53</v>
      </c>
      <c r="F1090" s="21">
        <v>37018.0</v>
      </c>
      <c r="G1090" s="14">
        <v>25.0</v>
      </c>
      <c r="H1090" s="23" t="s">
        <v>100</v>
      </c>
      <c r="I1090" s="24" t="s">
        <v>33</v>
      </c>
      <c r="J1090" s="19" t="s">
        <v>206</v>
      </c>
      <c r="K1090" s="14">
        <v>4.0</v>
      </c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</row>
    <row r="1091">
      <c r="A1091" s="14" t="s">
        <v>4123</v>
      </c>
      <c r="B1091" s="17" t="s">
        <v>4117</v>
      </c>
      <c r="C1091" s="17" t="s">
        <v>4124</v>
      </c>
      <c r="D1091" s="19" t="s">
        <v>4125</v>
      </c>
      <c r="E1091" s="20" t="s">
        <v>650</v>
      </c>
      <c r="F1091" s="21">
        <v>27923.0</v>
      </c>
      <c r="G1091" s="14">
        <v>50.0</v>
      </c>
      <c r="H1091" s="23" t="s">
        <v>26</v>
      </c>
      <c r="I1091" s="24" t="s">
        <v>33</v>
      </c>
      <c r="J1091" s="19" t="s">
        <v>53</v>
      </c>
      <c r="K1091" s="14">
        <v>4.0</v>
      </c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</row>
    <row r="1092">
      <c r="A1092" s="14" t="s">
        <v>4126</v>
      </c>
      <c r="B1092" s="17" t="s">
        <v>4127</v>
      </c>
      <c r="C1092" s="17" t="s">
        <v>4128</v>
      </c>
      <c r="D1092" s="19" t="s">
        <v>4129</v>
      </c>
      <c r="E1092" s="20" t="s">
        <v>104</v>
      </c>
      <c r="F1092" s="27">
        <v>36152.0</v>
      </c>
      <c r="G1092" s="14">
        <v>27.0</v>
      </c>
      <c r="H1092" s="23" t="s">
        <v>100</v>
      </c>
      <c r="I1092" s="24" t="s">
        <v>27</v>
      </c>
      <c r="J1092" s="19" t="s">
        <v>2019</v>
      </c>
      <c r="K1092" s="14">
        <v>4.0</v>
      </c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</row>
    <row r="1093">
      <c r="A1093" s="14" t="s">
        <v>4130</v>
      </c>
      <c r="B1093" s="17" t="s">
        <v>4127</v>
      </c>
      <c r="C1093" s="17" t="s">
        <v>4131</v>
      </c>
      <c r="D1093" s="19" t="s">
        <v>1308</v>
      </c>
      <c r="E1093" s="20" t="s">
        <v>650</v>
      </c>
      <c r="F1093" s="21">
        <v>28323.0</v>
      </c>
      <c r="G1093" s="14">
        <v>49.0</v>
      </c>
      <c r="H1093" s="23" t="s">
        <v>26</v>
      </c>
      <c r="I1093" s="24" t="s">
        <v>33</v>
      </c>
      <c r="J1093" s="19" t="s">
        <v>2019</v>
      </c>
      <c r="K1093" s="14">
        <v>4.0</v>
      </c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</row>
    <row r="1094">
      <c r="A1094" s="14" t="s">
        <v>4132</v>
      </c>
      <c r="B1094" s="17" t="s">
        <v>4127</v>
      </c>
      <c r="C1094" s="17" t="s">
        <v>4133</v>
      </c>
      <c r="D1094" s="19" t="s">
        <v>4134</v>
      </c>
      <c r="E1094" s="20" t="s">
        <v>104</v>
      </c>
      <c r="F1094" s="21">
        <v>29419.0</v>
      </c>
      <c r="G1094" s="14">
        <v>46.0</v>
      </c>
      <c r="H1094" s="23" t="s">
        <v>26</v>
      </c>
      <c r="I1094" s="24" t="s">
        <v>27</v>
      </c>
      <c r="J1094" s="19" t="s">
        <v>2019</v>
      </c>
      <c r="K1094" s="14">
        <v>4.0</v>
      </c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</row>
    <row r="1095">
      <c r="A1095" s="14" t="s">
        <v>4135</v>
      </c>
      <c r="B1095" s="17" t="s">
        <v>4136</v>
      </c>
      <c r="C1095" s="17" t="s">
        <v>4137</v>
      </c>
      <c r="D1095" s="19" t="s">
        <v>4138</v>
      </c>
      <c r="E1095" s="20" t="s">
        <v>104</v>
      </c>
      <c r="F1095" s="27">
        <v>37942.0</v>
      </c>
      <c r="G1095" s="14">
        <v>22.0</v>
      </c>
      <c r="H1095" s="23" t="s">
        <v>100</v>
      </c>
      <c r="I1095" s="24" t="s">
        <v>27</v>
      </c>
      <c r="J1095" s="19" t="s">
        <v>4139</v>
      </c>
      <c r="K1095" s="14">
        <v>5.0</v>
      </c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</row>
    <row r="1096">
      <c r="A1096" s="14" t="s">
        <v>4140</v>
      </c>
      <c r="B1096" s="17" t="s">
        <v>4136</v>
      </c>
      <c r="C1096" s="17" t="s">
        <v>4141</v>
      </c>
      <c r="D1096" s="19" t="s">
        <v>4142</v>
      </c>
      <c r="E1096" s="20" t="s">
        <v>650</v>
      </c>
      <c r="F1096" s="21">
        <v>21227.0</v>
      </c>
      <c r="G1096" s="14">
        <v>68.0</v>
      </c>
      <c r="H1096" s="23" t="s">
        <v>26</v>
      </c>
      <c r="I1096" s="24" t="s">
        <v>33</v>
      </c>
      <c r="J1096" s="19" t="s">
        <v>4139</v>
      </c>
      <c r="K1096" s="14">
        <v>5.0</v>
      </c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</row>
    <row r="1097">
      <c r="A1097" s="14" t="s">
        <v>4143</v>
      </c>
      <c r="B1097" s="17" t="s">
        <v>4136</v>
      </c>
      <c r="C1097" s="17" t="s">
        <v>4144</v>
      </c>
      <c r="D1097" s="19" t="s">
        <v>4145</v>
      </c>
      <c r="E1097" s="20" t="s">
        <v>650</v>
      </c>
      <c r="F1097" s="21">
        <v>23899.0</v>
      </c>
      <c r="G1097" s="14">
        <v>61.0</v>
      </c>
      <c r="H1097" s="23" t="s">
        <v>26</v>
      </c>
      <c r="I1097" s="24" t="s">
        <v>27</v>
      </c>
      <c r="J1097" s="19" t="s">
        <v>4139</v>
      </c>
      <c r="K1097" s="14">
        <v>5.0</v>
      </c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</row>
    <row r="1098">
      <c r="A1098" s="14" t="s">
        <v>4146</v>
      </c>
      <c r="B1098" s="17" t="s">
        <v>4147</v>
      </c>
      <c r="C1098" s="17" t="s">
        <v>4148</v>
      </c>
      <c r="D1098" s="19" t="s">
        <v>4149</v>
      </c>
      <c r="E1098" s="20" t="s">
        <v>650</v>
      </c>
      <c r="F1098" s="21">
        <v>26862.0</v>
      </c>
      <c r="G1098" s="14">
        <v>53.0</v>
      </c>
      <c r="H1098" s="23" t="s">
        <v>26</v>
      </c>
      <c r="I1098" s="24" t="s">
        <v>27</v>
      </c>
      <c r="J1098" s="19" t="s">
        <v>2019</v>
      </c>
      <c r="K1098" s="14">
        <v>4.0</v>
      </c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</row>
    <row r="1099">
      <c r="A1099" s="14" t="s">
        <v>4150</v>
      </c>
      <c r="B1099" s="17" t="s">
        <v>4147</v>
      </c>
      <c r="C1099" s="17" t="s">
        <v>4151</v>
      </c>
      <c r="D1099" s="19" t="s">
        <v>4152</v>
      </c>
      <c r="E1099" s="20" t="s">
        <v>650</v>
      </c>
      <c r="F1099" s="21">
        <v>24995.0</v>
      </c>
      <c r="G1099" s="14">
        <v>58.0</v>
      </c>
      <c r="H1099" s="23" t="s">
        <v>26</v>
      </c>
      <c r="I1099" s="24" t="s">
        <v>33</v>
      </c>
      <c r="J1099" s="19" t="s">
        <v>2019</v>
      </c>
      <c r="K1099" s="14">
        <v>4.0</v>
      </c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</row>
    <row r="1100">
      <c r="A1100" s="14" t="s">
        <v>4153</v>
      </c>
      <c r="B1100" s="17" t="s">
        <v>4154</v>
      </c>
      <c r="C1100" s="17" t="s">
        <v>4155</v>
      </c>
      <c r="D1100" s="19" t="s">
        <v>4156</v>
      </c>
      <c r="E1100" s="20" t="s">
        <v>650</v>
      </c>
      <c r="F1100" s="21">
        <v>15539.0</v>
      </c>
      <c r="G1100" s="14">
        <v>84.0</v>
      </c>
      <c r="H1100" s="23" t="s">
        <v>27</v>
      </c>
      <c r="I1100" s="24" t="s">
        <v>27</v>
      </c>
      <c r="J1100" s="19" t="s">
        <v>206</v>
      </c>
      <c r="K1100" s="14">
        <v>4.0</v>
      </c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</row>
    <row r="1101">
      <c r="A1101" s="14" t="s">
        <v>4157</v>
      </c>
      <c r="B1101" s="17" t="s">
        <v>4158</v>
      </c>
      <c r="C1101" s="17" t="s">
        <v>4159</v>
      </c>
      <c r="D1101" s="19" t="s">
        <v>4160</v>
      </c>
      <c r="E1101" s="20" t="s">
        <v>85</v>
      </c>
      <c r="F1101" s="21">
        <v>36672.0</v>
      </c>
      <c r="G1101" s="14">
        <v>26.0</v>
      </c>
      <c r="H1101" s="23" t="s">
        <v>26</v>
      </c>
      <c r="I1101" s="24" t="s">
        <v>27</v>
      </c>
      <c r="J1101" s="19" t="s">
        <v>146</v>
      </c>
      <c r="K1101" s="14">
        <v>3.0</v>
      </c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</row>
    <row r="1102">
      <c r="A1102" s="14" t="s">
        <v>4161</v>
      </c>
      <c r="B1102" s="17" t="s">
        <v>4158</v>
      </c>
      <c r="C1102" s="17" t="s">
        <v>4162</v>
      </c>
      <c r="D1102" s="19" t="s">
        <v>4163</v>
      </c>
      <c r="E1102" s="20" t="s">
        <v>337</v>
      </c>
      <c r="F1102" s="21">
        <v>33058.0</v>
      </c>
      <c r="G1102" s="14">
        <v>36.0</v>
      </c>
      <c r="H1102" s="23" t="s">
        <v>26</v>
      </c>
      <c r="I1102" s="24" t="s">
        <v>33</v>
      </c>
      <c r="J1102" s="19" t="s">
        <v>146</v>
      </c>
      <c r="K1102" s="14">
        <v>3.0</v>
      </c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</row>
    <row r="1103">
      <c r="A1103" s="14" t="s">
        <v>4164</v>
      </c>
      <c r="B1103" s="17" t="s">
        <v>4165</v>
      </c>
      <c r="C1103" s="17" t="s">
        <v>4166</v>
      </c>
      <c r="D1103" s="19" t="s">
        <v>4167</v>
      </c>
      <c r="E1103" s="20" t="s">
        <v>274</v>
      </c>
      <c r="F1103" s="21">
        <v>33131.0</v>
      </c>
      <c r="G1103" s="14">
        <v>35.0</v>
      </c>
      <c r="H1103" s="23" t="s">
        <v>26</v>
      </c>
      <c r="I1103" s="24" t="s">
        <v>33</v>
      </c>
      <c r="J1103" s="19" t="s">
        <v>146</v>
      </c>
      <c r="K1103" s="14">
        <v>2.0</v>
      </c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</row>
    <row r="1104">
      <c r="A1104" s="14" t="s">
        <v>4168</v>
      </c>
      <c r="B1104" s="17" t="s">
        <v>4165</v>
      </c>
      <c r="C1104" s="17" t="s">
        <v>4169</v>
      </c>
      <c r="D1104" s="19" t="s">
        <v>4170</v>
      </c>
      <c r="E1104" s="20" t="s">
        <v>1346</v>
      </c>
      <c r="F1104" s="21">
        <v>34232.0</v>
      </c>
      <c r="G1104" s="14">
        <v>32.0</v>
      </c>
      <c r="H1104" s="23" t="s">
        <v>26</v>
      </c>
      <c r="I1104" s="24" t="s">
        <v>27</v>
      </c>
      <c r="J1104" s="19" t="s">
        <v>146</v>
      </c>
      <c r="K1104" s="14">
        <v>2.0</v>
      </c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</row>
    <row r="1105">
      <c r="A1105" s="14" t="s">
        <v>4171</v>
      </c>
      <c r="B1105" s="17" t="s">
        <v>4172</v>
      </c>
      <c r="C1105" s="17" t="s">
        <v>4173</v>
      </c>
      <c r="D1105" s="19" t="s">
        <v>4174</v>
      </c>
      <c r="E1105" s="20" t="s">
        <v>4175</v>
      </c>
      <c r="F1105" s="21">
        <v>23989.0</v>
      </c>
      <c r="G1105" s="14">
        <v>60.0</v>
      </c>
      <c r="H1105" s="23" t="s">
        <v>27</v>
      </c>
      <c r="I1105" s="24" t="s">
        <v>27</v>
      </c>
      <c r="J1105" s="19" t="s">
        <v>53</v>
      </c>
      <c r="K1105" s="14">
        <v>16.0</v>
      </c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</row>
    <row r="1106">
      <c r="A1106" s="14" t="s">
        <v>4176</v>
      </c>
      <c r="B1106" s="17" t="s">
        <v>4177</v>
      </c>
      <c r="C1106" s="17" t="s">
        <v>4178</v>
      </c>
      <c r="D1106" s="19" t="s">
        <v>4179</v>
      </c>
      <c r="E1106" s="20" t="s">
        <v>1291</v>
      </c>
      <c r="F1106" s="21">
        <v>18411.0</v>
      </c>
      <c r="G1106" s="14">
        <v>76.0</v>
      </c>
      <c r="H1106" s="23" t="s">
        <v>26</v>
      </c>
      <c r="I1106" s="24" t="s">
        <v>33</v>
      </c>
      <c r="J1106" s="19" t="s">
        <v>328</v>
      </c>
      <c r="K1106" s="14">
        <v>25.0</v>
      </c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</row>
    <row r="1107">
      <c r="A1107" s="14" t="s">
        <v>4180</v>
      </c>
      <c r="B1107" s="17" t="s">
        <v>4177</v>
      </c>
      <c r="C1107" s="17" t="s">
        <v>4181</v>
      </c>
      <c r="D1107" s="19" t="s">
        <v>4182</v>
      </c>
      <c r="E1107" s="20" t="s">
        <v>1291</v>
      </c>
      <c r="F1107" s="21">
        <v>21367.0</v>
      </c>
      <c r="G1107" s="14">
        <v>68.0</v>
      </c>
      <c r="H1107" s="23" t="s">
        <v>26</v>
      </c>
      <c r="I1107" s="24" t="s">
        <v>27</v>
      </c>
      <c r="J1107" s="19" t="s">
        <v>328</v>
      </c>
      <c r="K1107" s="14">
        <v>25.0</v>
      </c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</row>
    <row r="1108">
      <c r="A1108" s="14" t="s">
        <v>4183</v>
      </c>
      <c r="B1108" s="17" t="s">
        <v>4184</v>
      </c>
      <c r="C1108" s="17" t="s">
        <v>4185</v>
      </c>
      <c r="D1108" s="19" t="s">
        <v>4186</v>
      </c>
      <c r="E1108" s="20" t="s">
        <v>1786</v>
      </c>
      <c r="F1108" s="21">
        <v>21636.0</v>
      </c>
      <c r="G1108" s="14">
        <v>67.0</v>
      </c>
      <c r="H1108" s="23" t="s">
        <v>26</v>
      </c>
      <c r="I1108" s="24" t="s">
        <v>27</v>
      </c>
      <c r="J1108" s="19" t="s">
        <v>257</v>
      </c>
      <c r="K1108" s="14">
        <v>15.0</v>
      </c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</row>
    <row r="1109">
      <c r="A1109" s="14" t="s">
        <v>4187</v>
      </c>
      <c r="B1109" s="17" t="s">
        <v>4184</v>
      </c>
      <c r="C1109" s="17" t="s">
        <v>4188</v>
      </c>
      <c r="D1109" s="19" t="s">
        <v>4189</v>
      </c>
      <c r="E1109" s="20" t="s">
        <v>1786</v>
      </c>
      <c r="F1109" s="21">
        <v>22693.0</v>
      </c>
      <c r="G1109" s="14">
        <v>64.0</v>
      </c>
      <c r="H1109" s="23" t="s">
        <v>26</v>
      </c>
      <c r="I1109" s="24" t="s">
        <v>33</v>
      </c>
      <c r="J1109" s="19" t="s">
        <v>257</v>
      </c>
      <c r="K1109" s="14">
        <v>15.0</v>
      </c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</row>
    <row r="1110">
      <c r="A1110" s="14" t="s">
        <v>4190</v>
      </c>
      <c r="B1110" s="17" t="s">
        <v>4184</v>
      </c>
      <c r="C1110" s="17" t="s">
        <v>4191</v>
      </c>
      <c r="D1110" s="19" t="s">
        <v>4192</v>
      </c>
      <c r="E1110" s="20" t="s">
        <v>1786</v>
      </c>
      <c r="F1110" s="21">
        <v>22533.0</v>
      </c>
      <c r="G1110" s="14">
        <v>64.0</v>
      </c>
      <c r="H1110" s="23" t="s">
        <v>100</v>
      </c>
      <c r="I1110" s="24" t="s">
        <v>33</v>
      </c>
      <c r="J1110" s="19" t="s">
        <v>257</v>
      </c>
      <c r="K1110" s="14">
        <v>15.0</v>
      </c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</row>
    <row r="1111">
      <c r="A1111" s="14" t="s">
        <v>4193</v>
      </c>
      <c r="B1111" s="17" t="s">
        <v>4194</v>
      </c>
      <c r="C1111" s="17" t="s">
        <v>4195</v>
      </c>
      <c r="D1111" s="19" t="s">
        <v>4196</v>
      </c>
      <c r="E1111" s="20" t="s">
        <v>4197</v>
      </c>
      <c r="F1111" s="27">
        <v>32094.0</v>
      </c>
      <c r="G1111" s="14">
        <v>38.0</v>
      </c>
      <c r="H1111" s="23" t="s">
        <v>26</v>
      </c>
      <c r="I1111" s="24" t="s">
        <v>33</v>
      </c>
      <c r="J1111" s="19" t="s">
        <v>726</v>
      </c>
      <c r="K1111" s="14">
        <v>18.0</v>
      </c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</row>
    <row r="1112">
      <c r="A1112" s="14" t="s">
        <v>4198</v>
      </c>
      <c r="B1112" s="17" t="s">
        <v>4194</v>
      </c>
      <c r="C1112" s="17" t="s">
        <v>4199</v>
      </c>
      <c r="D1112" s="19" t="s">
        <v>4200</v>
      </c>
      <c r="E1112" s="20" t="s">
        <v>491</v>
      </c>
      <c r="F1112" s="21">
        <v>34676.0</v>
      </c>
      <c r="G1112" s="14">
        <v>31.0</v>
      </c>
      <c r="H1112" s="23" t="s">
        <v>26</v>
      </c>
      <c r="I1112" s="24" t="s">
        <v>27</v>
      </c>
      <c r="J1112" s="19" t="s">
        <v>726</v>
      </c>
      <c r="K1112" s="14">
        <v>18.0</v>
      </c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</row>
    <row r="1113">
      <c r="A1113" s="14" t="s">
        <v>4201</v>
      </c>
      <c r="B1113" s="17" t="s">
        <v>4202</v>
      </c>
      <c r="C1113" s="17" t="s">
        <v>4203</v>
      </c>
      <c r="D1113" s="19" t="s">
        <v>4204</v>
      </c>
      <c r="E1113" s="20" t="s">
        <v>104</v>
      </c>
      <c r="F1113" s="21">
        <v>34161.0</v>
      </c>
      <c r="G1113" s="14">
        <v>33.0</v>
      </c>
      <c r="H1113" s="23" t="s">
        <v>26</v>
      </c>
      <c r="I1113" s="24" t="s">
        <v>27</v>
      </c>
      <c r="J1113" s="19" t="s">
        <v>328</v>
      </c>
      <c r="K1113" s="14">
        <v>25.0</v>
      </c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</row>
    <row r="1114">
      <c r="A1114" s="14" t="s">
        <v>4205</v>
      </c>
      <c r="B1114" s="17" t="s">
        <v>4202</v>
      </c>
      <c r="C1114" s="17" t="s">
        <v>4206</v>
      </c>
      <c r="D1114" s="19" t="s">
        <v>4207</v>
      </c>
      <c r="E1114" s="20" t="s">
        <v>104</v>
      </c>
      <c r="F1114" s="27">
        <v>33173.0</v>
      </c>
      <c r="G1114" s="14">
        <v>35.0</v>
      </c>
      <c r="H1114" s="23" t="s">
        <v>26</v>
      </c>
      <c r="I1114" s="24" t="s">
        <v>33</v>
      </c>
      <c r="J1114" s="19" t="s">
        <v>328</v>
      </c>
      <c r="K1114" s="14">
        <v>25.0</v>
      </c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</row>
    <row r="1115">
      <c r="A1115" s="14" t="s">
        <v>4208</v>
      </c>
      <c r="B1115" s="17" t="s">
        <v>4209</v>
      </c>
      <c r="C1115" s="17" t="s">
        <v>4210</v>
      </c>
      <c r="D1115" s="19" t="s">
        <v>4211</v>
      </c>
      <c r="E1115" s="20" t="s">
        <v>53</v>
      </c>
      <c r="F1115" s="21">
        <v>36533.0</v>
      </c>
      <c r="G1115" s="14">
        <v>26.0</v>
      </c>
      <c r="H1115" s="23" t="s">
        <v>26</v>
      </c>
      <c r="I1115" s="24" t="s">
        <v>27</v>
      </c>
      <c r="J1115" s="19" t="s">
        <v>58</v>
      </c>
      <c r="K1115" s="14">
        <v>6.0</v>
      </c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</row>
    <row r="1116">
      <c r="A1116" s="14" t="s">
        <v>4212</v>
      </c>
      <c r="B1116" s="17" t="s">
        <v>4209</v>
      </c>
      <c r="C1116" s="17" t="s">
        <v>4213</v>
      </c>
      <c r="D1116" s="19" t="s">
        <v>4214</v>
      </c>
      <c r="E1116" s="20" t="s">
        <v>104</v>
      </c>
      <c r="F1116" s="21">
        <v>33976.0</v>
      </c>
      <c r="G1116" s="14">
        <v>33.0</v>
      </c>
      <c r="H1116" s="23" t="s">
        <v>26</v>
      </c>
      <c r="I1116" s="24" t="s">
        <v>33</v>
      </c>
      <c r="J1116" s="19" t="s">
        <v>58</v>
      </c>
      <c r="K1116" s="14">
        <v>6.0</v>
      </c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</row>
    <row r="1117">
      <c r="A1117" s="14" t="s">
        <v>4215</v>
      </c>
      <c r="B1117" s="17" t="s">
        <v>4216</v>
      </c>
      <c r="C1117" s="17" t="s">
        <v>4217</v>
      </c>
      <c r="D1117" s="19" t="s">
        <v>4218</v>
      </c>
      <c r="E1117" s="20" t="s">
        <v>53</v>
      </c>
      <c r="F1117" s="21">
        <v>37277.0</v>
      </c>
      <c r="G1117" s="14">
        <v>24.0</v>
      </c>
      <c r="H1117" s="23" t="s">
        <v>26</v>
      </c>
      <c r="I1117" s="24" t="s">
        <v>27</v>
      </c>
      <c r="J1117" s="19" t="s">
        <v>206</v>
      </c>
      <c r="K1117" s="14">
        <v>1.0</v>
      </c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</row>
    <row r="1118">
      <c r="A1118" s="14" t="s">
        <v>4219</v>
      </c>
      <c r="B1118" s="17" t="s">
        <v>4216</v>
      </c>
      <c r="C1118" s="17" t="s">
        <v>4220</v>
      </c>
      <c r="D1118" s="19" t="s">
        <v>2636</v>
      </c>
      <c r="E1118" s="20" t="s">
        <v>4221</v>
      </c>
      <c r="F1118" s="21">
        <v>23958.0</v>
      </c>
      <c r="G1118" s="14">
        <v>61.0</v>
      </c>
      <c r="H1118" s="23" t="s">
        <v>26</v>
      </c>
      <c r="I1118" s="24" t="s">
        <v>33</v>
      </c>
      <c r="J1118" s="19" t="s">
        <v>206</v>
      </c>
      <c r="K1118" s="14">
        <v>1.0</v>
      </c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</row>
    <row r="1119">
      <c r="A1119" s="14" t="s">
        <v>4222</v>
      </c>
      <c r="B1119" s="17" t="s">
        <v>4216</v>
      </c>
      <c r="C1119" s="17" t="s">
        <v>4223</v>
      </c>
      <c r="D1119" s="19" t="s">
        <v>4224</v>
      </c>
      <c r="E1119" s="20" t="s">
        <v>434</v>
      </c>
      <c r="F1119" s="21">
        <v>25847.0</v>
      </c>
      <c r="G1119" s="14">
        <v>55.0</v>
      </c>
      <c r="H1119" s="23" t="s">
        <v>26</v>
      </c>
      <c r="I1119" s="24" t="s">
        <v>27</v>
      </c>
      <c r="J1119" s="19" t="s">
        <v>206</v>
      </c>
      <c r="K1119" s="14">
        <v>1.0</v>
      </c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</row>
    <row r="1120">
      <c r="A1120" s="14" t="s">
        <v>4225</v>
      </c>
      <c r="B1120" s="17" t="s">
        <v>4226</v>
      </c>
      <c r="C1120" s="17" t="s">
        <v>4227</v>
      </c>
      <c r="D1120" s="19" t="s">
        <v>4228</v>
      </c>
      <c r="E1120" s="20" t="s">
        <v>104</v>
      </c>
      <c r="F1120" s="21">
        <v>29649.0</v>
      </c>
      <c r="G1120" s="14">
        <v>45.0</v>
      </c>
      <c r="H1120" s="23" t="s">
        <v>26</v>
      </c>
      <c r="I1120" s="24" t="s">
        <v>33</v>
      </c>
      <c r="J1120" s="19" t="s">
        <v>328</v>
      </c>
      <c r="K1120" s="14">
        <v>21.0</v>
      </c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</row>
    <row r="1121">
      <c r="A1121" s="14" t="s">
        <v>4229</v>
      </c>
      <c r="B1121" s="17" t="s">
        <v>4226</v>
      </c>
      <c r="C1121" s="17" t="s">
        <v>4230</v>
      </c>
      <c r="D1121" s="19" t="s">
        <v>2074</v>
      </c>
      <c r="E1121" s="20" t="s">
        <v>104</v>
      </c>
      <c r="F1121" s="21">
        <v>31304.0</v>
      </c>
      <c r="G1121" s="14">
        <v>40.0</v>
      </c>
      <c r="H1121" s="23" t="s">
        <v>26</v>
      </c>
      <c r="I1121" s="24" t="s">
        <v>27</v>
      </c>
      <c r="J1121" s="19" t="s">
        <v>4231</v>
      </c>
      <c r="K1121" s="14">
        <v>20.0</v>
      </c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</row>
    <row r="1122">
      <c r="A1122" s="14" t="s">
        <v>4232</v>
      </c>
      <c r="B1122" s="17" t="s">
        <v>4233</v>
      </c>
      <c r="C1122" s="17" t="s">
        <v>4234</v>
      </c>
      <c r="D1122" s="19" t="s">
        <v>4235</v>
      </c>
      <c r="E1122" s="20" t="s">
        <v>104</v>
      </c>
      <c r="F1122" s="21">
        <v>36894.0</v>
      </c>
      <c r="G1122" s="14">
        <v>25.0</v>
      </c>
      <c r="H1122" s="23" t="s">
        <v>100</v>
      </c>
      <c r="I1122" s="24" t="s">
        <v>33</v>
      </c>
      <c r="J1122" s="19" t="s">
        <v>4237</v>
      </c>
      <c r="K1122" s="14">
        <v>1.0</v>
      </c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</row>
    <row r="1123">
      <c r="A1123" s="14" t="s">
        <v>4238</v>
      </c>
      <c r="B1123" s="17" t="s">
        <v>4233</v>
      </c>
      <c r="C1123" s="17" t="s">
        <v>4239</v>
      </c>
      <c r="D1123" s="19" t="s">
        <v>4240</v>
      </c>
      <c r="E1123" s="20" t="s">
        <v>104</v>
      </c>
      <c r="F1123" s="21">
        <v>28072.0</v>
      </c>
      <c r="G1123" s="14">
        <v>49.0</v>
      </c>
      <c r="H1123" s="23" t="s">
        <v>26</v>
      </c>
      <c r="I1123" s="24" t="s">
        <v>33</v>
      </c>
      <c r="J1123" s="19" t="s">
        <v>4237</v>
      </c>
      <c r="K1123" s="14">
        <v>1.0</v>
      </c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</row>
    <row r="1124">
      <c r="A1124" s="14" t="s">
        <v>4241</v>
      </c>
      <c r="B1124" s="17" t="s">
        <v>4233</v>
      </c>
      <c r="C1124" s="17" t="s">
        <v>4242</v>
      </c>
      <c r="D1124" s="19" t="s">
        <v>4243</v>
      </c>
      <c r="E1124" s="20" t="s">
        <v>3210</v>
      </c>
      <c r="F1124" s="21">
        <v>28312.0</v>
      </c>
      <c r="G1124" s="14">
        <v>49.0</v>
      </c>
      <c r="H1124" s="23" t="s">
        <v>26</v>
      </c>
      <c r="I1124" s="24" t="s">
        <v>27</v>
      </c>
      <c r="J1124" s="19" t="s">
        <v>4237</v>
      </c>
      <c r="K1124" s="14">
        <v>1.0</v>
      </c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</row>
    <row r="1125">
      <c r="A1125" s="14" t="s">
        <v>4244</v>
      </c>
      <c r="B1125" s="17" t="s">
        <v>4233</v>
      </c>
      <c r="C1125" s="17" t="s">
        <v>4245</v>
      </c>
      <c r="D1125" s="19" t="s">
        <v>4246</v>
      </c>
      <c r="E1125" s="20" t="s">
        <v>104</v>
      </c>
      <c r="F1125" s="21">
        <v>36402.0</v>
      </c>
      <c r="G1125" s="14">
        <v>27.0</v>
      </c>
      <c r="H1125" s="23" t="s">
        <v>100</v>
      </c>
      <c r="I1125" s="24" t="s">
        <v>27</v>
      </c>
      <c r="J1125" s="19" t="s">
        <v>4237</v>
      </c>
      <c r="K1125" s="14">
        <v>1.0</v>
      </c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</row>
    <row r="1126">
      <c r="A1126" s="14" t="s">
        <v>4247</v>
      </c>
      <c r="B1126" s="17" t="s">
        <v>4248</v>
      </c>
      <c r="C1126" s="17" t="s">
        <v>4249</v>
      </c>
      <c r="D1126" s="19" t="s">
        <v>4250</v>
      </c>
      <c r="E1126" s="20" t="s">
        <v>434</v>
      </c>
      <c r="F1126" s="21">
        <v>24293.0</v>
      </c>
      <c r="G1126" s="14">
        <v>60.0</v>
      </c>
      <c r="H1126" s="23" t="s">
        <v>26</v>
      </c>
      <c r="I1126" s="24" t="s">
        <v>27</v>
      </c>
      <c r="J1126" s="19" t="s">
        <v>2762</v>
      </c>
      <c r="K1126" s="14">
        <v>1.0</v>
      </c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</row>
    <row r="1127">
      <c r="A1127" s="14" t="s">
        <v>4251</v>
      </c>
      <c r="B1127" s="17" t="s">
        <v>4248</v>
      </c>
      <c r="C1127" s="17" t="s">
        <v>4252</v>
      </c>
      <c r="D1127" s="19" t="s">
        <v>3087</v>
      </c>
      <c r="E1127" s="20" t="s">
        <v>3210</v>
      </c>
      <c r="F1127" s="21">
        <v>23048.0</v>
      </c>
      <c r="G1127" s="14">
        <v>63.0</v>
      </c>
      <c r="H1127" s="23" t="s">
        <v>26</v>
      </c>
      <c r="I1127" s="24" t="s">
        <v>33</v>
      </c>
      <c r="J1127" s="19" t="s">
        <v>2762</v>
      </c>
      <c r="K1127" s="14">
        <v>1.0</v>
      </c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</row>
    <row r="1128">
      <c r="A1128" s="14" t="s">
        <v>4253</v>
      </c>
      <c r="B1128" s="17" t="s">
        <v>4254</v>
      </c>
      <c r="C1128" s="17" t="s">
        <v>4255</v>
      </c>
      <c r="D1128" s="19" t="s">
        <v>4256</v>
      </c>
      <c r="E1128" s="20" t="s">
        <v>4257</v>
      </c>
      <c r="F1128" s="21">
        <v>37891.0</v>
      </c>
      <c r="G1128" s="14">
        <v>22.0</v>
      </c>
      <c r="H1128" s="23" t="s">
        <v>100</v>
      </c>
      <c r="I1128" s="24" t="s">
        <v>33</v>
      </c>
      <c r="J1128" s="19" t="s">
        <v>3211</v>
      </c>
      <c r="K1128" s="14">
        <v>13.0</v>
      </c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</row>
    <row r="1129">
      <c r="A1129" s="14" t="s">
        <v>4258</v>
      </c>
      <c r="B1129" s="17" t="s">
        <v>4254</v>
      </c>
      <c r="C1129" s="17" t="s">
        <v>4259</v>
      </c>
      <c r="D1129" s="19" t="s">
        <v>4260</v>
      </c>
      <c r="E1129" s="20" t="s">
        <v>4257</v>
      </c>
      <c r="F1129" s="21">
        <v>29102.0</v>
      </c>
      <c r="G1129" s="14">
        <v>46.0</v>
      </c>
      <c r="H1129" s="23" t="s">
        <v>26</v>
      </c>
      <c r="I1129" s="24" t="s">
        <v>27</v>
      </c>
      <c r="J1129" s="19" t="s">
        <v>3211</v>
      </c>
      <c r="K1129" s="14">
        <v>10.0</v>
      </c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</row>
    <row r="1130">
      <c r="A1130" s="14" t="s">
        <v>4261</v>
      </c>
      <c r="B1130" s="17" t="s">
        <v>4254</v>
      </c>
      <c r="C1130" s="17" t="s">
        <v>4262</v>
      </c>
      <c r="D1130" s="19" t="s">
        <v>4263</v>
      </c>
      <c r="E1130" s="20" t="s">
        <v>4264</v>
      </c>
      <c r="F1130" s="21">
        <v>28283.0</v>
      </c>
      <c r="G1130" s="14">
        <v>49.0</v>
      </c>
      <c r="H1130" s="23" t="s">
        <v>26</v>
      </c>
      <c r="I1130" s="24" t="s">
        <v>33</v>
      </c>
      <c r="J1130" s="19" t="s">
        <v>3211</v>
      </c>
      <c r="K1130" s="14">
        <v>13.0</v>
      </c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</row>
    <row r="1131">
      <c r="A1131" s="14" t="s">
        <v>4265</v>
      </c>
      <c r="B1131" s="17" t="s">
        <v>4266</v>
      </c>
      <c r="C1131" s="17" t="s">
        <v>4267</v>
      </c>
      <c r="D1131" s="19" t="s">
        <v>4268</v>
      </c>
      <c r="E1131" s="20" t="s">
        <v>104</v>
      </c>
      <c r="F1131" s="21">
        <v>27419.0</v>
      </c>
      <c r="G1131" s="14">
        <v>51.0</v>
      </c>
      <c r="H1131" s="23" t="s">
        <v>26</v>
      </c>
      <c r="I1131" s="24" t="s">
        <v>33</v>
      </c>
      <c r="J1131" s="19" t="s">
        <v>3211</v>
      </c>
      <c r="K1131" s="14">
        <v>21.0</v>
      </c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</row>
    <row r="1132">
      <c r="A1132" s="14" t="s">
        <v>4269</v>
      </c>
      <c r="B1132" s="17" t="s">
        <v>4266</v>
      </c>
      <c r="C1132" s="17" t="s">
        <v>4270</v>
      </c>
      <c r="D1132" s="19" t="s">
        <v>4271</v>
      </c>
      <c r="E1132" s="20" t="s">
        <v>104</v>
      </c>
      <c r="F1132" s="21">
        <v>38995.0</v>
      </c>
      <c r="G1132" s="14">
        <v>19.0</v>
      </c>
      <c r="H1132" s="23" t="s">
        <v>100</v>
      </c>
      <c r="I1132" s="24" t="s">
        <v>33</v>
      </c>
      <c r="J1132" s="19" t="s">
        <v>3211</v>
      </c>
      <c r="K1132" s="14">
        <v>21.0</v>
      </c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</row>
    <row r="1133">
      <c r="A1133" s="14" t="s">
        <v>4272</v>
      </c>
      <c r="B1133" s="17" t="s">
        <v>4266</v>
      </c>
      <c r="C1133" s="17" t="s">
        <v>4273</v>
      </c>
      <c r="D1133" s="19" t="s">
        <v>4274</v>
      </c>
      <c r="E1133" s="20" t="s">
        <v>104</v>
      </c>
      <c r="F1133" s="21">
        <v>29924.0</v>
      </c>
      <c r="G1133" s="14">
        <v>44.0</v>
      </c>
      <c r="H1133" s="23" t="s">
        <v>26</v>
      </c>
      <c r="I1133" s="24" t="s">
        <v>27</v>
      </c>
      <c r="J1133" s="19" t="s">
        <v>3211</v>
      </c>
      <c r="K1133" s="14">
        <v>21.0</v>
      </c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</row>
    <row r="1134">
      <c r="A1134" s="14" t="s">
        <v>4275</v>
      </c>
      <c r="B1134" s="17" t="s">
        <v>4276</v>
      </c>
      <c r="C1134" s="17" t="s">
        <v>4277</v>
      </c>
      <c r="D1134" s="19" t="s">
        <v>4278</v>
      </c>
      <c r="E1134" s="20" t="s">
        <v>138</v>
      </c>
      <c r="F1134" s="21">
        <v>37779.0</v>
      </c>
      <c r="G1134" s="14">
        <v>23.0</v>
      </c>
      <c r="H1134" s="23" t="s">
        <v>100</v>
      </c>
      <c r="I1134" s="24" t="s">
        <v>33</v>
      </c>
      <c r="J1134" s="19" t="s">
        <v>206</v>
      </c>
      <c r="K1134" s="14">
        <v>1.0</v>
      </c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</row>
    <row r="1135">
      <c r="A1135" s="14" t="s">
        <v>4279</v>
      </c>
      <c r="B1135" s="17" t="s">
        <v>4276</v>
      </c>
      <c r="C1135" s="17" t="s">
        <v>4280</v>
      </c>
      <c r="D1135" s="19" t="s">
        <v>4281</v>
      </c>
      <c r="E1135" s="20" t="s">
        <v>654</v>
      </c>
      <c r="F1135" s="21">
        <v>27124.0</v>
      </c>
      <c r="G1135" s="14">
        <v>52.0</v>
      </c>
      <c r="H1135" s="23" t="s">
        <v>26</v>
      </c>
      <c r="I1135" s="24" t="s">
        <v>27</v>
      </c>
      <c r="J1135" s="19" t="s">
        <v>206</v>
      </c>
      <c r="K1135" s="14">
        <v>1.0</v>
      </c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</row>
    <row r="1136">
      <c r="A1136" s="14" t="s">
        <v>4282</v>
      </c>
      <c r="B1136" s="17" t="s">
        <v>4276</v>
      </c>
      <c r="C1136" s="17" t="s">
        <v>4283</v>
      </c>
      <c r="D1136" s="19" t="s">
        <v>4284</v>
      </c>
      <c r="E1136" s="20" t="s">
        <v>650</v>
      </c>
      <c r="F1136" s="21">
        <v>27918.0</v>
      </c>
      <c r="G1136" s="14">
        <v>50.0</v>
      </c>
      <c r="H1136" s="23" t="s">
        <v>26</v>
      </c>
      <c r="I1136" s="24" t="s">
        <v>33</v>
      </c>
      <c r="J1136" s="19" t="s">
        <v>206</v>
      </c>
      <c r="K1136" s="14">
        <v>1.0</v>
      </c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</row>
    <row r="1137">
      <c r="A1137" s="14" t="s">
        <v>4285</v>
      </c>
      <c r="B1137" s="17" t="s">
        <v>4286</v>
      </c>
      <c r="C1137" s="17" t="s">
        <v>4287</v>
      </c>
      <c r="D1137" s="19" t="s">
        <v>4288</v>
      </c>
      <c r="E1137" s="20" t="s">
        <v>104</v>
      </c>
      <c r="F1137" s="21">
        <v>32515.0</v>
      </c>
      <c r="G1137" s="14">
        <v>37.0</v>
      </c>
      <c r="H1137" s="23" t="s">
        <v>26</v>
      </c>
      <c r="I1137" s="24" t="s">
        <v>27</v>
      </c>
      <c r="J1137" s="19" t="s">
        <v>757</v>
      </c>
      <c r="K1137" s="14">
        <v>1.0</v>
      </c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</row>
    <row r="1138">
      <c r="A1138" s="14" t="s">
        <v>4290</v>
      </c>
      <c r="B1138" s="17" t="s">
        <v>4286</v>
      </c>
      <c r="C1138" s="17" t="s">
        <v>4291</v>
      </c>
      <c r="D1138" s="19" t="s">
        <v>4292</v>
      </c>
      <c r="E1138" s="20" t="s">
        <v>104</v>
      </c>
      <c r="F1138" s="21">
        <v>31137.0</v>
      </c>
      <c r="G1138" s="14">
        <v>41.0</v>
      </c>
      <c r="H1138" s="23" t="s">
        <v>26</v>
      </c>
      <c r="I1138" s="24" t="s">
        <v>33</v>
      </c>
      <c r="J1138" s="19" t="s">
        <v>757</v>
      </c>
      <c r="K1138" s="14">
        <v>1.0</v>
      </c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</row>
    <row r="1139">
      <c r="A1139" s="14" t="s">
        <v>4293</v>
      </c>
      <c r="B1139" s="17" t="s">
        <v>4294</v>
      </c>
      <c r="C1139" s="17" t="s">
        <v>4295</v>
      </c>
      <c r="D1139" s="19" t="s">
        <v>4296</v>
      </c>
      <c r="E1139" s="20" t="s">
        <v>4297</v>
      </c>
      <c r="F1139" s="21">
        <v>30811.0</v>
      </c>
      <c r="G1139" s="14">
        <v>42.0</v>
      </c>
      <c r="H1139" s="23" t="s">
        <v>26</v>
      </c>
      <c r="I1139" s="24" t="s">
        <v>33</v>
      </c>
      <c r="J1139" s="19" t="s">
        <v>726</v>
      </c>
      <c r="K1139" s="14">
        <v>16.0</v>
      </c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</row>
    <row r="1140">
      <c r="A1140" s="14" t="s">
        <v>4298</v>
      </c>
      <c r="B1140" s="17" t="s">
        <v>4294</v>
      </c>
      <c r="C1140" s="17" t="s">
        <v>4299</v>
      </c>
      <c r="D1140" s="19" t="s">
        <v>4300</v>
      </c>
      <c r="E1140" s="20" t="s">
        <v>104</v>
      </c>
      <c r="F1140" s="21">
        <v>34422.0</v>
      </c>
      <c r="G1140" s="14">
        <v>32.0</v>
      </c>
      <c r="H1140" s="23" t="s">
        <v>26</v>
      </c>
      <c r="I1140" s="24" t="s">
        <v>27</v>
      </c>
      <c r="J1140" s="19" t="s">
        <v>726</v>
      </c>
      <c r="K1140" s="14">
        <v>16.0</v>
      </c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</row>
    <row r="1141">
      <c r="A1141" s="14" t="s">
        <v>4301</v>
      </c>
      <c r="B1141" s="17" t="s">
        <v>4302</v>
      </c>
      <c r="C1141" s="17" t="s">
        <v>4303</v>
      </c>
      <c r="D1141" s="19" t="s">
        <v>4304</v>
      </c>
      <c r="E1141" s="20" t="s">
        <v>104</v>
      </c>
      <c r="F1141" s="21">
        <v>38605.0</v>
      </c>
      <c r="G1141" s="14">
        <v>20.0</v>
      </c>
      <c r="H1141" s="23" t="s">
        <v>100</v>
      </c>
      <c r="I1141" s="24" t="s">
        <v>33</v>
      </c>
      <c r="J1141" s="19" t="s">
        <v>4305</v>
      </c>
      <c r="K1141" s="14">
        <v>3.0</v>
      </c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</row>
    <row r="1142">
      <c r="A1142" s="14" t="s">
        <v>4307</v>
      </c>
      <c r="B1142" s="17" t="s">
        <v>4302</v>
      </c>
      <c r="C1142" s="17" t="s">
        <v>4308</v>
      </c>
      <c r="D1142" s="19" t="s">
        <v>4309</v>
      </c>
      <c r="E1142" s="20" t="s">
        <v>104</v>
      </c>
      <c r="F1142" s="21">
        <v>32278.0</v>
      </c>
      <c r="G1142" s="14">
        <v>38.0</v>
      </c>
      <c r="H1142" s="23" t="s">
        <v>26</v>
      </c>
      <c r="I1142" s="24" t="s">
        <v>27</v>
      </c>
      <c r="J1142" s="19" t="s">
        <v>757</v>
      </c>
      <c r="K1142" s="14">
        <v>3.0</v>
      </c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</row>
    <row r="1143">
      <c r="A1143" s="14" t="s">
        <v>4310</v>
      </c>
      <c r="B1143" s="17" t="s">
        <v>4302</v>
      </c>
      <c r="C1143" s="17" t="s">
        <v>4311</v>
      </c>
      <c r="D1143" s="19" t="s">
        <v>4312</v>
      </c>
      <c r="E1143" s="20" t="s">
        <v>104</v>
      </c>
      <c r="F1143" s="21">
        <v>29839.0</v>
      </c>
      <c r="G1143" s="14">
        <v>44.0</v>
      </c>
      <c r="H1143" s="23" t="s">
        <v>26</v>
      </c>
      <c r="I1143" s="24" t="s">
        <v>33</v>
      </c>
      <c r="J1143" s="19" t="s">
        <v>757</v>
      </c>
      <c r="K1143" s="14">
        <v>3.0</v>
      </c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</row>
    <row r="1144">
      <c r="A1144" s="14" t="s">
        <v>4313</v>
      </c>
      <c r="B1144" s="17" t="s">
        <v>4314</v>
      </c>
      <c r="C1144" s="17" t="s">
        <v>4315</v>
      </c>
      <c r="D1144" s="19" t="s">
        <v>4316</v>
      </c>
      <c r="E1144" s="20" t="s">
        <v>4317</v>
      </c>
      <c r="F1144" s="21">
        <v>34674.0</v>
      </c>
      <c r="G1144" s="14">
        <v>31.0</v>
      </c>
      <c r="H1144" s="23" t="s">
        <v>26</v>
      </c>
      <c r="I1144" s="24" t="s">
        <v>27</v>
      </c>
      <c r="J1144" s="19" t="s">
        <v>58</v>
      </c>
      <c r="K1144" s="14">
        <v>8.0</v>
      </c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</row>
    <row r="1145">
      <c r="A1145" s="14" t="s">
        <v>4318</v>
      </c>
      <c r="B1145" s="17" t="s">
        <v>4314</v>
      </c>
      <c r="C1145" s="17" t="s">
        <v>4319</v>
      </c>
      <c r="D1145" s="19" t="s">
        <v>4320</v>
      </c>
      <c r="E1145" s="20" t="s">
        <v>104</v>
      </c>
      <c r="F1145" s="21">
        <v>32237.0</v>
      </c>
      <c r="G1145" s="14">
        <v>38.0</v>
      </c>
      <c r="H1145" s="23" t="s">
        <v>26</v>
      </c>
      <c r="I1145" s="24" t="s">
        <v>33</v>
      </c>
      <c r="J1145" s="19" t="s">
        <v>58</v>
      </c>
      <c r="K1145" s="14">
        <v>8.0</v>
      </c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</row>
    <row r="1146">
      <c r="A1146" s="14" t="s">
        <v>4321</v>
      </c>
      <c r="B1146" s="17" t="s">
        <v>4322</v>
      </c>
      <c r="C1146" s="17" t="s">
        <v>4323</v>
      </c>
      <c r="D1146" s="19" t="s">
        <v>1740</v>
      </c>
      <c r="E1146" s="20" t="s">
        <v>104</v>
      </c>
      <c r="F1146" s="21">
        <v>32944.0</v>
      </c>
      <c r="G1146" s="14">
        <v>36.0</v>
      </c>
      <c r="H1146" s="23" t="s">
        <v>26</v>
      </c>
      <c r="I1146" s="24" t="s">
        <v>27</v>
      </c>
      <c r="J1146" s="19" t="s">
        <v>156</v>
      </c>
      <c r="K1146" s="14">
        <v>29.0</v>
      </c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</row>
    <row r="1147">
      <c r="A1147" s="14" t="s">
        <v>4324</v>
      </c>
      <c r="B1147" s="17" t="s">
        <v>4325</v>
      </c>
      <c r="C1147" s="17" t="s">
        <v>4326</v>
      </c>
      <c r="D1147" s="19" t="s">
        <v>4327</v>
      </c>
      <c r="E1147" s="20" t="s">
        <v>544</v>
      </c>
      <c r="F1147" s="21">
        <v>27274.0</v>
      </c>
      <c r="G1147" s="14">
        <v>51.0</v>
      </c>
      <c r="H1147" s="23" t="s">
        <v>26</v>
      </c>
      <c r="I1147" s="24" t="s">
        <v>33</v>
      </c>
      <c r="J1147" s="19" t="s">
        <v>68</v>
      </c>
      <c r="K1147" s="14">
        <v>32.0</v>
      </c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</row>
    <row r="1148">
      <c r="A1148" s="14" t="s">
        <v>4328</v>
      </c>
      <c r="B1148" s="17" t="s">
        <v>4325</v>
      </c>
      <c r="C1148" s="17" t="s">
        <v>4329</v>
      </c>
      <c r="D1148" s="19" t="s">
        <v>4330</v>
      </c>
      <c r="E1148" s="20" t="s">
        <v>104</v>
      </c>
      <c r="F1148" s="21">
        <v>37360.0</v>
      </c>
      <c r="G1148" s="14">
        <v>24.0</v>
      </c>
      <c r="H1148" s="23" t="s">
        <v>100</v>
      </c>
      <c r="I1148" s="24" t="s">
        <v>27</v>
      </c>
      <c r="J1148" s="19" t="s">
        <v>68</v>
      </c>
      <c r="K1148" s="14">
        <v>32.0</v>
      </c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</row>
    <row r="1149">
      <c r="A1149" s="14" t="s">
        <v>4331</v>
      </c>
      <c r="B1149" s="17" t="s">
        <v>4325</v>
      </c>
      <c r="C1149" s="17" t="s">
        <v>4332</v>
      </c>
      <c r="D1149" s="19" t="s">
        <v>4333</v>
      </c>
      <c r="E1149" s="20" t="s">
        <v>104</v>
      </c>
      <c r="F1149" s="21">
        <v>29647.0</v>
      </c>
      <c r="G1149" s="14">
        <v>45.0</v>
      </c>
      <c r="H1149" s="23" t="s">
        <v>26</v>
      </c>
      <c r="I1149" s="24" t="s">
        <v>27</v>
      </c>
      <c r="J1149" s="19" t="s">
        <v>68</v>
      </c>
      <c r="K1149" s="14">
        <v>32.0</v>
      </c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</row>
    <row r="1150">
      <c r="A1150" s="14" t="s">
        <v>4334</v>
      </c>
      <c r="B1150" s="17" t="s">
        <v>4335</v>
      </c>
      <c r="C1150" s="17" t="s">
        <v>4336</v>
      </c>
      <c r="D1150" s="19" t="s">
        <v>4337</v>
      </c>
      <c r="E1150" s="20" t="s">
        <v>4338</v>
      </c>
      <c r="F1150" s="21">
        <v>26856.0</v>
      </c>
      <c r="G1150" s="14">
        <v>53.0</v>
      </c>
      <c r="H1150" s="23" t="s">
        <v>26</v>
      </c>
      <c r="I1150" s="24" t="s">
        <v>33</v>
      </c>
      <c r="J1150" s="19" t="s">
        <v>53</v>
      </c>
      <c r="K1150" s="14">
        <v>32.0</v>
      </c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</row>
    <row r="1151">
      <c r="A1151" s="14" t="s">
        <v>4339</v>
      </c>
      <c r="B1151" s="17" t="s">
        <v>4335</v>
      </c>
      <c r="C1151" s="17" t="s">
        <v>4340</v>
      </c>
      <c r="D1151" s="19" t="s">
        <v>4341</v>
      </c>
      <c r="E1151" s="20" t="s">
        <v>104</v>
      </c>
      <c r="F1151" s="21">
        <v>30489.0</v>
      </c>
      <c r="G1151" s="14">
        <v>43.0</v>
      </c>
      <c r="H1151" s="23" t="s">
        <v>26</v>
      </c>
      <c r="I1151" s="24" t="s">
        <v>27</v>
      </c>
      <c r="J1151" s="19" t="s">
        <v>53</v>
      </c>
      <c r="K1151" s="14">
        <v>32.0</v>
      </c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</row>
    <row r="1152">
      <c r="A1152" s="14" t="s">
        <v>4342</v>
      </c>
      <c r="B1152" s="17" t="s">
        <v>4343</v>
      </c>
      <c r="C1152" s="17" t="s">
        <v>4344</v>
      </c>
      <c r="D1152" s="19" t="s">
        <v>4345</v>
      </c>
      <c r="E1152" s="20" t="s">
        <v>67</v>
      </c>
      <c r="F1152" s="21">
        <v>21769.0</v>
      </c>
      <c r="G1152" s="14">
        <v>67.0</v>
      </c>
      <c r="H1152" s="23" t="s">
        <v>26</v>
      </c>
      <c r="I1152" s="24" t="s">
        <v>33</v>
      </c>
      <c r="J1152" s="19" t="s">
        <v>53</v>
      </c>
      <c r="K1152" s="14">
        <v>32.0</v>
      </c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</row>
    <row r="1153">
      <c r="A1153" s="14" t="s">
        <v>4346</v>
      </c>
      <c r="B1153" s="17" t="s">
        <v>4343</v>
      </c>
      <c r="C1153" s="17" t="s">
        <v>4347</v>
      </c>
      <c r="D1153" s="19" t="s">
        <v>1549</v>
      </c>
      <c r="E1153" s="20" t="s">
        <v>67</v>
      </c>
      <c r="F1153" s="21">
        <v>21999.0</v>
      </c>
      <c r="G1153" s="14">
        <v>66.0</v>
      </c>
      <c r="H1153" s="23" t="s">
        <v>26</v>
      </c>
      <c r="I1153" s="24" t="s">
        <v>27</v>
      </c>
      <c r="J1153" s="19" t="s">
        <v>53</v>
      </c>
      <c r="K1153" s="14">
        <v>32.0</v>
      </c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</row>
    <row r="1154">
      <c r="A1154" s="14" t="s">
        <v>4348</v>
      </c>
      <c r="B1154" s="17" t="s">
        <v>4349</v>
      </c>
      <c r="C1154" s="17" t="s">
        <v>4350</v>
      </c>
      <c r="D1154" s="19" t="s">
        <v>4351</v>
      </c>
      <c r="E1154" s="20" t="s">
        <v>53</v>
      </c>
      <c r="F1154" s="21">
        <v>37956.0</v>
      </c>
      <c r="G1154" s="14">
        <v>22.0</v>
      </c>
      <c r="H1154" s="23" t="s">
        <v>100</v>
      </c>
      <c r="I1154" s="24" t="s">
        <v>27</v>
      </c>
      <c r="J1154" s="19" t="s">
        <v>4352</v>
      </c>
      <c r="K1154" s="14">
        <v>35.0</v>
      </c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</row>
    <row r="1155">
      <c r="A1155" s="14" t="s">
        <v>4353</v>
      </c>
      <c r="B1155" s="17" t="s">
        <v>4349</v>
      </c>
      <c r="C1155" s="17" t="s">
        <v>4354</v>
      </c>
      <c r="D1155" s="19" t="s">
        <v>1127</v>
      </c>
      <c r="E1155" s="20" t="s">
        <v>67</v>
      </c>
      <c r="F1155" s="21">
        <v>22812.0</v>
      </c>
      <c r="G1155" s="14">
        <v>64.0</v>
      </c>
      <c r="H1155" s="23" t="s">
        <v>26</v>
      </c>
      <c r="I1155" s="24" t="s">
        <v>27</v>
      </c>
      <c r="J1155" s="19" t="s">
        <v>4352</v>
      </c>
      <c r="K1155" s="14">
        <v>35.0</v>
      </c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</row>
    <row r="1156">
      <c r="A1156" s="14" t="s">
        <v>4355</v>
      </c>
      <c r="B1156" s="17" t="s">
        <v>4349</v>
      </c>
      <c r="C1156" s="17" t="s">
        <v>4356</v>
      </c>
      <c r="D1156" s="19" t="s">
        <v>4357</v>
      </c>
      <c r="E1156" s="20" t="s">
        <v>67</v>
      </c>
      <c r="F1156" s="27">
        <v>26979.0</v>
      </c>
      <c r="G1156" s="14">
        <v>52.0</v>
      </c>
      <c r="H1156" s="23" t="s">
        <v>26</v>
      </c>
      <c r="I1156" s="24" t="s">
        <v>33</v>
      </c>
      <c r="J1156" s="19" t="s">
        <v>4352</v>
      </c>
      <c r="K1156" s="14">
        <v>35.0</v>
      </c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</row>
    <row r="1157">
      <c r="A1157" s="14" t="s">
        <v>4359</v>
      </c>
      <c r="B1157" s="17" t="s">
        <v>4360</v>
      </c>
      <c r="C1157" s="17" t="s">
        <v>4361</v>
      </c>
      <c r="D1157" s="19" t="s">
        <v>4362</v>
      </c>
      <c r="E1157" s="20" t="s">
        <v>231</v>
      </c>
      <c r="F1157" s="21">
        <v>31255.0</v>
      </c>
      <c r="G1157" s="14">
        <v>41.0</v>
      </c>
      <c r="H1157" s="23" t="s">
        <v>26</v>
      </c>
      <c r="I1157" s="24" t="s">
        <v>33</v>
      </c>
      <c r="J1157" s="19" t="s">
        <v>4352</v>
      </c>
      <c r="K1157" s="14">
        <v>35.0</v>
      </c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</row>
    <row r="1158">
      <c r="A1158" s="14" t="s">
        <v>4363</v>
      </c>
      <c r="B1158" s="17" t="s">
        <v>4360</v>
      </c>
      <c r="C1158" s="17" t="s">
        <v>4364</v>
      </c>
      <c r="D1158" s="19" t="s">
        <v>4365</v>
      </c>
      <c r="E1158" s="20" t="s">
        <v>104</v>
      </c>
      <c r="F1158" s="27">
        <v>32839.0</v>
      </c>
      <c r="G1158" s="14">
        <v>36.0</v>
      </c>
      <c r="H1158" s="23" t="s">
        <v>26</v>
      </c>
      <c r="I1158" s="24" t="s">
        <v>27</v>
      </c>
      <c r="J1158" s="19" t="s">
        <v>4352</v>
      </c>
      <c r="K1158" s="14">
        <v>35.0</v>
      </c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</row>
    <row r="1159">
      <c r="A1159" s="14" t="s">
        <v>4366</v>
      </c>
      <c r="B1159" s="17" t="s">
        <v>4367</v>
      </c>
      <c r="C1159" s="17" t="s">
        <v>4368</v>
      </c>
      <c r="D1159" s="19" t="s">
        <v>4369</v>
      </c>
      <c r="E1159" s="20" t="s">
        <v>67</v>
      </c>
      <c r="F1159" s="21">
        <v>19799.0</v>
      </c>
      <c r="G1159" s="14">
        <v>72.0</v>
      </c>
      <c r="H1159" s="23" t="s">
        <v>26</v>
      </c>
      <c r="I1159" s="24" t="s">
        <v>33</v>
      </c>
      <c r="J1159" s="19" t="s">
        <v>104</v>
      </c>
      <c r="K1159" s="14">
        <v>33.0</v>
      </c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</row>
    <row r="1160">
      <c r="A1160" s="14" t="s">
        <v>4370</v>
      </c>
      <c r="B1160" s="17" t="s">
        <v>4371</v>
      </c>
      <c r="C1160" s="17" t="s">
        <v>4372</v>
      </c>
      <c r="D1160" s="19" t="s">
        <v>4373</v>
      </c>
      <c r="E1160" s="20" t="s">
        <v>666</v>
      </c>
      <c r="F1160" s="27">
        <v>29201.0</v>
      </c>
      <c r="G1160" s="14">
        <v>46.0</v>
      </c>
      <c r="H1160" s="23" t="s">
        <v>26</v>
      </c>
      <c r="I1160" s="24" t="s">
        <v>27</v>
      </c>
      <c r="J1160" s="19" t="s">
        <v>4374</v>
      </c>
      <c r="K1160" s="14">
        <v>2.0</v>
      </c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</row>
    <row r="1161">
      <c r="A1161" s="14" t="s">
        <v>4375</v>
      </c>
      <c r="B1161" s="17" t="s">
        <v>4371</v>
      </c>
      <c r="C1161" s="17" t="s">
        <v>4376</v>
      </c>
      <c r="D1161" s="19" t="s">
        <v>4377</v>
      </c>
      <c r="E1161" s="20" t="s">
        <v>53</v>
      </c>
      <c r="F1161" s="21">
        <v>36836.0</v>
      </c>
      <c r="G1161" s="14">
        <v>25.0</v>
      </c>
      <c r="H1161" s="23" t="s">
        <v>100</v>
      </c>
      <c r="I1161" s="24" t="s">
        <v>33</v>
      </c>
      <c r="J1161" s="19" t="s">
        <v>4374</v>
      </c>
      <c r="K1161" s="14">
        <v>2.0</v>
      </c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</row>
    <row r="1162">
      <c r="A1162" s="14" t="s">
        <v>4378</v>
      </c>
      <c r="B1162" s="17" t="s">
        <v>4371</v>
      </c>
      <c r="C1162" s="17" t="s">
        <v>4379</v>
      </c>
      <c r="D1162" s="19" t="s">
        <v>4380</v>
      </c>
      <c r="E1162" s="20" t="s">
        <v>880</v>
      </c>
      <c r="F1162" s="21">
        <v>27253.0</v>
      </c>
      <c r="G1162" s="14">
        <v>52.0</v>
      </c>
      <c r="H1162" s="23" t="s">
        <v>26</v>
      </c>
      <c r="I1162" s="24" t="s">
        <v>33</v>
      </c>
      <c r="J1162" s="19" t="s">
        <v>4374</v>
      </c>
      <c r="K1162" s="14">
        <v>2.0</v>
      </c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</row>
    <row r="1163">
      <c r="A1163" s="14" t="s">
        <v>4381</v>
      </c>
      <c r="B1163" s="17" t="s">
        <v>4382</v>
      </c>
      <c r="C1163" s="17" t="s">
        <v>4383</v>
      </c>
      <c r="D1163" s="19" t="s">
        <v>4384</v>
      </c>
      <c r="E1163" s="20" t="s">
        <v>104</v>
      </c>
      <c r="F1163" s="21">
        <v>33128.0</v>
      </c>
      <c r="G1163" s="14">
        <v>35.0</v>
      </c>
      <c r="H1163" s="23" t="s">
        <v>26</v>
      </c>
      <c r="I1163" s="24" t="s">
        <v>27</v>
      </c>
      <c r="J1163" s="19" t="s">
        <v>282</v>
      </c>
      <c r="K1163" s="14">
        <v>13.0</v>
      </c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</row>
    <row r="1164">
      <c r="A1164" s="14" t="s">
        <v>4385</v>
      </c>
      <c r="B1164" s="17" t="s">
        <v>4382</v>
      </c>
      <c r="C1164" s="17" t="s">
        <v>4386</v>
      </c>
      <c r="D1164" s="19" t="s">
        <v>4387</v>
      </c>
      <c r="E1164" s="20" t="s">
        <v>4388</v>
      </c>
      <c r="F1164" s="21">
        <v>30904.0</v>
      </c>
      <c r="G1164" s="14">
        <v>42.0</v>
      </c>
      <c r="H1164" s="23" t="s">
        <v>26</v>
      </c>
      <c r="I1164" s="24" t="s">
        <v>33</v>
      </c>
      <c r="J1164" s="19" t="s">
        <v>282</v>
      </c>
      <c r="K1164" s="14">
        <v>13.0</v>
      </c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</row>
    <row r="1165">
      <c r="A1165" s="14" t="s">
        <v>4389</v>
      </c>
      <c r="B1165" s="17" t="s">
        <v>4390</v>
      </c>
      <c r="C1165" s="17" t="s">
        <v>4391</v>
      </c>
      <c r="D1165" s="19" t="s">
        <v>4392</v>
      </c>
      <c r="E1165" s="20" t="s">
        <v>1058</v>
      </c>
      <c r="F1165" s="21">
        <v>15085.0</v>
      </c>
      <c r="G1165" s="14">
        <v>85.0</v>
      </c>
      <c r="H1165" s="23" t="s">
        <v>27</v>
      </c>
      <c r="I1165" s="24" t="s">
        <v>27</v>
      </c>
      <c r="J1165" s="19" t="s">
        <v>53</v>
      </c>
      <c r="K1165" s="14">
        <v>36.0</v>
      </c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</row>
    <row r="1166">
      <c r="A1166" s="14" t="s">
        <v>4393</v>
      </c>
      <c r="B1166" s="17" t="s">
        <v>4394</v>
      </c>
      <c r="C1166" s="17" t="s">
        <v>4395</v>
      </c>
      <c r="D1166" s="19" t="s">
        <v>4396</v>
      </c>
      <c r="E1166" s="20" t="s">
        <v>104</v>
      </c>
      <c r="F1166" s="21">
        <v>37787.0</v>
      </c>
      <c r="G1166" s="14">
        <v>23.0</v>
      </c>
      <c r="H1166" s="23" t="s">
        <v>100</v>
      </c>
      <c r="I1166" s="24" t="s">
        <v>27</v>
      </c>
      <c r="J1166" s="19" t="s">
        <v>517</v>
      </c>
      <c r="K1166" s="14">
        <v>7.0</v>
      </c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</row>
    <row r="1167">
      <c r="A1167" s="14" t="s">
        <v>4397</v>
      </c>
      <c r="B1167" s="17" t="s">
        <v>4394</v>
      </c>
      <c r="C1167" s="17" t="s">
        <v>4398</v>
      </c>
      <c r="D1167" s="19" t="s">
        <v>4399</v>
      </c>
      <c r="E1167" s="20" t="s">
        <v>104</v>
      </c>
      <c r="F1167" s="21">
        <v>29024.0</v>
      </c>
      <c r="G1167" s="14">
        <v>47.0</v>
      </c>
      <c r="H1167" s="23" t="s">
        <v>26</v>
      </c>
      <c r="I1167" s="24" t="s">
        <v>33</v>
      </c>
      <c r="J1167" s="19" t="s">
        <v>517</v>
      </c>
      <c r="K1167" s="14">
        <v>7.0</v>
      </c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</row>
    <row r="1168">
      <c r="A1168" s="14" t="s">
        <v>4400</v>
      </c>
      <c r="B1168" s="17" t="s">
        <v>4394</v>
      </c>
      <c r="C1168" s="17" t="s">
        <v>4401</v>
      </c>
      <c r="D1168" s="19" t="s">
        <v>4402</v>
      </c>
      <c r="E1168" s="20" t="s">
        <v>219</v>
      </c>
      <c r="F1168" s="21">
        <v>30086.0</v>
      </c>
      <c r="G1168" s="14">
        <v>44.0</v>
      </c>
      <c r="H1168" s="23" t="s">
        <v>26</v>
      </c>
      <c r="I1168" s="24" t="s">
        <v>27</v>
      </c>
      <c r="J1168" s="19" t="s">
        <v>517</v>
      </c>
      <c r="K1168" s="14">
        <v>7.0</v>
      </c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</row>
    <row r="1169">
      <c r="A1169" s="14" t="s">
        <v>4403</v>
      </c>
      <c r="B1169" s="17" t="s">
        <v>4404</v>
      </c>
      <c r="C1169" s="17" t="s">
        <v>4405</v>
      </c>
      <c r="D1169" s="19" t="s">
        <v>4406</v>
      </c>
      <c r="E1169" s="20" t="s">
        <v>274</v>
      </c>
      <c r="F1169" s="21">
        <v>34706.0</v>
      </c>
      <c r="G1169" s="14">
        <v>31.0</v>
      </c>
      <c r="H1169" s="23" t="s">
        <v>26</v>
      </c>
      <c r="I1169" s="24" t="s">
        <v>27</v>
      </c>
      <c r="J1169" s="19" t="s">
        <v>3387</v>
      </c>
      <c r="K1169" s="14">
        <v>9.0</v>
      </c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</row>
    <row r="1170">
      <c r="A1170" s="14" t="s">
        <v>4407</v>
      </c>
      <c r="B1170" s="17" t="s">
        <v>4404</v>
      </c>
      <c r="C1170" s="17" t="s">
        <v>4408</v>
      </c>
      <c r="D1170" s="19" t="s">
        <v>4409</v>
      </c>
      <c r="E1170" s="20" t="s">
        <v>104</v>
      </c>
      <c r="F1170" s="27">
        <v>32502.0</v>
      </c>
      <c r="G1170" s="14">
        <v>37.0</v>
      </c>
      <c r="H1170" s="23" t="s">
        <v>26</v>
      </c>
      <c r="I1170" s="24" t="s">
        <v>33</v>
      </c>
      <c r="J1170" s="19" t="s">
        <v>3387</v>
      </c>
      <c r="K1170" s="14">
        <v>9.0</v>
      </c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</row>
    <row r="1171">
      <c r="A1171" s="14" t="s">
        <v>4410</v>
      </c>
      <c r="B1171" s="17" t="s">
        <v>4411</v>
      </c>
      <c r="C1171" s="17" t="s">
        <v>4412</v>
      </c>
      <c r="D1171" s="19" t="s">
        <v>4413</v>
      </c>
      <c r="E1171" s="20" t="s">
        <v>4414</v>
      </c>
      <c r="F1171" s="21">
        <v>30682.0</v>
      </c>
      <c r="G1171" s="14">
        <v>42.0</v>
      </c>
      <c r="H1171" s="23" t="s">
        <v>26</v>
      </c>
      <c r="I1171" s="24" t="s">
        <v>33</v>
      </c>
      <c r="J1171" s="19" t="s">
        <v>282</v>
      </c>
      <c r="K1171" s="14">
        <v>15.0</v>
      </c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</row>
    <row r="1172">
      <c r="A1172" s="14" t="s">
        <v>4415</v>
      </c>
      <c r="B1172" s="17" t="s">
        <v>4411</v>
      </c>
      <c r="C1172" s="17" t="s">
        <v>4416</v>
      </c>
      <c r="D1172" s="19" t="s">
        <v>4417</v>
      </c>
      <c r="E1172" s="20" t="s">
        <v>4418</v>
      </c>
      <c r="F1172" s="27">
        <v>31345.0</v>
      </c>
      <c r="G1172" s="14">
        <v>40.0</v>
      </c>
      <c r="H1172" s="23" t="s">
        <v>26</v>
      </c>
      <c r="I1172" s="24" t="s">
        <v>27</v>
      </c>
      <c r="J1172" s="19" t="s">
        <v>282</v>
      </c>
      <c r="K1172" s="14">
        <v>15.0</v>
      </c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</row>
    <row r="1173">
      <c r="A1173" s="14" t="s">
        <v>4419</v>
      </c>
      <c r="B1173" s="17" t="s">
        <v>4420</v>
      </c>
      <c r="C1173" s="17" t="s">
        <v>4421</v>
      </c>
      <c r="D1173" s="19" t="s">
        <v>4422</v>
      </c>
      <c r="E1173" s="20" t="s">
        <v>1622</v>
      </c>
      <c r="F1173" s="27">
        <v>35787.0</v>
      </c>
      <c r="G1173" s="14">
        <v>28.0</v>
      </c>
      <c r="H1173" s="23" t="s">
        <v>26</v>
      </c>
      <c r="I1173" s="24" t="s">
        <v>27</v>
      </c>
      <c r="J1173" s="19" t="s">
        <v>282</v>
      </c>
      <c r="K1173" s="14">
        <v>16.0</v>
      </c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</row>
    <row r="1174">
      <c r="A1174" s="14" t="s">
        <v>4423</v>
      </c>
      <c r="B1174" s="17" t="s">
        <v>4420</v>
      </c>
      <c r="C1174" s="17" t="s">
        <v>4424</v>
      </c>
      <c r="D1174" s="19" t="s">
        <v>4425</v>
      </c>
      <c r="E1174" s="20" t="s">
        <v>858</v>
      </c>
      <c r="F1174" s="21">
        <v>35538.0</v>
      </c>
      <c r="G1174" s="14">
        <v>29.0</v>
      </c>
      <c r="H1174" s="23" t="s">
        <v>26</v>
      </c>
      <c r="I1174" s="24" t="s">
        <v>33</v>
      </c>
      <c r="J1174" s="19" t="s">
        <v>282</v>
      </c>
      <c r="K1174" s="14">
        <v>16.0</v>
      </c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</row>
    <row r="1175">
      <c r="A1175" s="14" t="s">
        <v>4426</v>
      </c>
      <c r="B1175" s="17" t="s">
        <v>4427</v>
      </c>
      <c r="C1175" s="17" t="s">
        <v>4428</v>
      </c>
      <c r="D1175" s="19" t="s">
        <v>4429</v>
      </c>
      <c r="E1175" s="20" t="s">
        <v>53</v>
      </c>
      <c r="F1175" s="21">
        <v>34004.0</v>
      </c>
      <c r="G1175" s="14">
        <v>33.0</v>
      </c>
      <c r="H1175" s="23" t="s">
        <v>100</v>
      </c>
      <c r="I1175" s="24" t="s">
        <v>33</v>
      </c>
      <c r="J1175" s="19" t="s">
        <v>68</v>
      </c>
      <c r="K1175" s="14">
        <v>32.0</v>
      </c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</row>
    <row r="1176">
      <c r="A1176" s="14" t="s">
        <v>4430</v>
      </c>
      <c r="B1176" s="17" t="s">
        <v>4431</v>
      </c>
      <c r="C1176" s="17" t="s">
        <v>4432</v>
      </c>
      <c r="D1176" s="19" t="s">
        <v>4433</v>
      </c>
      <c r="E1176" s="20" t="s">
        <v>176</v>
      </c>
      <c r="F1176" s="27">
        <v>32829.0</v>
      </c>
      <c r="G1176" s="14">
        <v>36.0</v>
      </c>
      <c r="H1176" s="23" t="s">
        <v>26</v>
      </c>
      <c r="I1176" s="24" t="s">
        <v>33</v>
      </c>
      <c r="J1176" s="19" t="s">
        <v>53</v>
      </c>
      <c r="K1176" s="14">
        <v>9.0</v>
      </c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</row>
    <row r="1177">
      <c r="A1177" s="14" t="s">
        <v>4434</v>
      </c>
      <c r="B1177" s="17" t="s">
        <v>4431</v>
      </c>
      <c r="C1177" s="17" t="s">
        <v>4435</v>
      </c>
      <c r="D1177" s="19" t="s">
        <v>4436</v>
      </c>
      <c r="E1177" s="20" t="s">
        <v>4437</v>
      </c>
      <c r="F1177" s="21">
        <v>33059.0</v>
      </c>
      <c r="G1177" s="14">
        <v>36.0</v>
      </c>
      <c r="H1177" s="23" t="s">
        <v>26</v>
      </c>
      <c r="I1177" s="24" t="s">
        <v>27</v>
      </c>
      <c r="J1177" s="19" t="s">
        <v>53</v>
      </c>
      <c r="K1177" s="14">
        <v>9.0</v>
      </c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</row>
    <row r="1178">
      <c r="A1178" s="14" t="s">
        <v>4438</v>
      </c>
      <c r="B1178" s="17" t="s">
        <v>4439</v>
      </c>
      <c r="C1178" s="17" t="s">
        <v>4440</v>
      </c>
      <c r="D1178" s="19" t="s">
        <v>4441</v>
      </c>
      <c r="E1178" s="20" t="s">
        <v>1058</v>
      </c>
      <c r="F1178" s="27">
        <v>21531.0</v>
      </c>
      <c r="G1178" s="14">
        <v>67.0</v>
      </c>
      <c r="H1178" s="23" t="s">
        <v>26</v>
      </c>
      <c r="I1178" s="24" t="s">
        <v>33</v>
      </c>
      <c r="J1178" s="19" t="s">
        <v>362</v>
      </c>
      <c r="K1178" s="14">
        <v>25.0</v>
      </c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</row>
    <row r="1179">
      <c r="A1179" s="14" t="s">
        <v>4442</v>
      </c>
      <c r="B1179" s="17" t="s">
        <v>4439</v>
      </c>
      <c r="C1179" s="17" t="s">
        <v>4443</v>
      </c>
      <c r="D1179" s="19" t="s">
        <v>1048</v>
      </c>
      <c r="E1179" s="20" t="s">
        <v>1058</v>
      </c>
      <c r="F1179" s="21">
        <v>24082.0</v>
      </c>
      <c r="G1179" s="14">
        <v>60.0</v>
      </c>
      <c r="H1179" s="23" t="s">
        <v>26</v>
      </c>
      <c r="I1179" s="24" t="s">
        <v>27</v>
      </c>
      <c r="J1179" s="19" t="s">
        <v>362</v>
      </c>
      <c r="K1179" s="14">
        <v>25.0</v>
      </c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</row>
    <row r="1180">
      <c r="A1180" s="14" t="s">
        <v>4444</v>
      </c>
      <c r="B1180" s="17" t="s">
        <v>4445</v>
      </c>
      <c r="C1180" s="17" t="s">
        <v>4446</v>
      </c>
      <c r="D1180" s="19" t="s">
        <v>4447</v>
      </c>
      <c r="E1180" s="20" t="s">
        <v>429</v>
      </c>
      <c r="F1180" s="21">
        <v>23790.0</v>
      </c>
      <c r="G1180" s="14">
        <v>61.0</v>
      </c>
      <c r="H1180" s="23" t="s">
        <v>26</v>
      </c>
      <c r="I1180" s="24" t="s">
        <v>27</v>
      </c>
      <c r="J1180" s="19" t="s">
        <v>726</v>
      </c>
      <c r="K1180" s="14">
        <v>12.0</v>
      </c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</row>
    <row r="1181">
      <c r="A1181" s="14" t="s">
        <v>4448</v>
      </c>
      <c r="B1181" s="17" t="s">
        <v>4445</v>
      </c>
      <c r="C1181" s="17" t="s">
        <v>4449</v>
      </c>
      <c r="D1181" s="19" t="s">
        <v>4450</v>
      </c>
      <c r="E1181" s="20" t="s">
        <v>112</v>
      </c>
      <c r="F1181" s="21">
        <v>21990.0</v>
      </c>
      <c r="G1181" s="14">
        <v>66.0</v>
      </c>
      <c r="H1181" s="23" t="s">
        <v>26</v>
      </c>
      <c r="I1181" s="24" t="s">
        <v>33</v>
      </c>
      <c r="J1181" s="19" t="s">
        <v>726</v>
      </c>
      <c r="K1181" s="14">
        <v>12.0</v>
      </c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</row>
    <row r="1182">
      <c r="A1182" s="14" t="s">
        <v>4451</v>
      </c>
      <c r="B1182" s="17" t="s">
        <v>4452</v>
      </c>
      <c r="C1182" s="17" t="s">
        <v>4453</v>
      </c>
      <c r="D1182" s="19" t="s">
        <v>4454</v>
      </c>
      <c r="E1182" s="20" t="s">
        <v>1816</v>
      </c>
      <c r="F1182" s="21">
        <v>19058.0</v>
      </c>
      <c r="G1182" s="14">
        <v>74.0</v>
      </c>
      <c r="H1182" s="23" t="s">
        <v>100</v>
      </c>
      <c r="I1182" s="24" t="s">
        <v>27</v>
      </c>
      <c r="J1182" s="19" t="s">
        <v>68</v>
      </c>
      <c r="K1182" s="14">
        <v>29.0</v>
      </c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</row>
    <row r="1183">
      <c r="A1183" s="14" t="s">
        <v>4455</v>
      </c>
      <c r="B1183" s="17" t="s">
        <v>4456</v>
      </c>
      <c r="C1183" s="17" t="s">
        <v>4457</v>
      </c>
      <c r="D1183" s="19" t="s">
        <v>4458</v>
      </c>
      <c r="E1183" s="20" t="s">
        <v>219</v>
      </c>
      <c r="F1183" s="21">
        <v>23746.0</v>
      </c>
      <c r="G1183" s="14">
        <v>61.0</v>
      </c>
      <c r="H1183" s="23" t="s">
        <v>26</v>
      </c>
      <c r="I1183" s="24" t="s">
        <v>33</v>
      </c>
      <c r="J1183" s="19" t="s">
        <v>58</v>
      </c>
      <c r="K1183" s="14">
        <v>5.0</v>
      </c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</row>
    <row r="1184">
      <c r="A1184" s="14" t="s">
        <v>4459</v>
      </c>
      <c r="B1184" s="17" t="s">
        <v>4456</v>
      </c>
      <c r="C1184" s="17" t="s">
        <v>4460</v>
      </c>
      <c r="D1184" s="19" t="s">
        <v>4461</v>
      </c>
      <c r="E1184" s="20" t="s">
        <v>219</v>
      </c>
      <c r="F1184" s="21">
        <v>35597.0</v>
      </c>
      <c r="G1184" s="14">
        <v>29.0</v>
      </c>
      <c r="H1184" s="23" t="s">
        <v>100</v>
      </c>
      <c r="I1184" s="24" t="s">
        <v>27</v>
      </c>
      <c r="J1184" s="19" t="s">
        <v>58</v>
      </c>
      <c r="K1184" s="14">
        <v>5.0</v>
      </c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</row>
    <row r="1185">
      <c r="A1185" s="14" t="s">
        <v>4462</v>
      </c>
      <c r="B1185" s="17" t="s">
        <v>4463</v>
      </c>
      <c r="C1185" s="17" t="s">
        <v>4464</v>
      </c>
      <c r="D1185" s="19" t="s">
        <v>4465</v>
      </c>
      <c r="E1185" s="20" t="s">
        <v>219</v>
      </c>
      <c r="F1185" s="21">
        <v>34845.0</v>
      </c>
      <c r="G1185" s="14">
        <v>31.0</v>
      </c>
      <c r="H1185" s="23" t="s">
        <v>26</v>
      </c>
      <c r="I1185" s="24" t="s">
        <v>27</v>
      </c>
      <c r="J1185" s="19" t="s">
        <v>68</v>
      </c>
      <c r="K1185" s="14">
        <v>28.0</v>
      </c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</row>
    <row r="1186">
      <c r="A1186" s="14" t="s">
        <v>4466</v>
      </c>
      <c r="B1186" s="17" t="s">
        <v>4463</v>
      </c>
      <c r="C1186" s="17" t="s">
        <v>4467</v>
      </c>
      <c r="D1186" s="19" t="s">
        <v>4468</v>
      </c>
      <c r="E1186" s="20" t="s">
        <v>104</v>
      </c>
      <c r="F1186" s="21">
        <v>33805.0</v>
      </c>
      <c r="G1186" s="14">
        <v>34.0</v>
      </c>
      <c r="H1186" s="23" t="s">
        <v>26</v>
      </c>
      <c r="I1186" s="24" t="s">
        <v>33</v>
      </c>
      <c r="J1186" s="19" t="s">
        <v>68</v>
      </c>
      <c r="K1186" s="14">
        <v>28.0</v>
      </c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</row>
    <row r="1187">
      <c r="A1187" s="14" t="s">
        <v>4469</v>
      </c>
      <c r="B1187" s="17" t="s">
        <v>4470</v>
      </c>
      <c r="C1187" s="17" t="s">
        <v>4471</v>
      </c>
      <c r="D1187" s="19" t="s">
        <v>4472</v>
      </c>
      <c r="E1187" s="20" t="s">
        <v>632</v>
      </c>
      <c r="F1187" s="21">
        <v>33469.0</v>
      </c>
      <c r="G1187" s="14">
        <v>35.0</v>
      </c>
      <c r="H1187" s="23" t="s">
        <v>26</v>
      </c>
      <c r="I1187" s="24" t="s">
        <v>27</v>
      </c>
      <c r="J1187" s="19" t="s">
        <v>53</v>
      </c>
      <c r="K1187" s="14">
        <v>17.0</v>
      </c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</row>
    <row r="1188">
      <c r="A1188" s="14" t="s">
        <v>4473</v>
      </c>
      <c r="B1188" s="17" t="s">
        <v>4470</v>
      </c>
      <c r="C1188" s="17" t="s">
        <v>4474</v>
      </c>
      <c r="D1188" s="19" t="s">
        <v>4475</v>
      </c>
      <c r="E1188" s="20" t="s">
        <v>104</v>
      </c>
      <c r="F1188" s="21">
        <v>31458.0</v>
      </c>
      <c r="G1188" s="14">
        <v>40.0</v>
      </c>
      <c r="H1188" s="23" t="s">
        <v>26</v>
      </c>
      <c r="I1188" s="24" t="s">
        <v>33</v>
      </c>
      <c r="J1188" s="19" t="s">
        <v>53</v>
      </c>
      <c r="K1188" s="14">
        <v>17.0</v>
      </c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</row>
    <row r="1189">
      <c r="A1189" s="14" t="s">
        <v>4476</v>
      </c>
      <c r="B1189" s="17" t="s">
        <v>4477</v>
      </c>
      <c r="C1189" s="17" t="s">
        <v>4478</v>
      </c>
      <c r="D1189" s="19" t="s">
        <v>311</v>
      </c>
      <c r="E1189" s="20" t="s">
        <v>880</v>
      </c>
      <c r="F1189" s="21">
        <v>29960.0</v>
      </c>
      <c r="G1189" s="14">
        <v>44.0</v>
      </c>
      <c r="H1189" s="23" t="s">
        <v>26</v>
      </c>
      <c r="I1189" s="24" t="s">
        <v>33</v>
      </c>
      <c r="J1189" s="19" t="s">
        <v>757</v>
      </c>
      <c r="K1189" s="14">
        <v>3.0</v>
      </c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</row>
    <row r="1190">
      <c r="A1190" s="14" t="s">
        <v>4479</v>
      </c>
      <c r="B1190" s="17" t="s">
        <v>4477</v>
      </c>
      <c r="C1190" s="17" t="s">
        <v>4480</v>
      </c>
      <c r="D1190" s="19" t="s">
        <v>4481</v>
      </c>
      <c r="E1190" s="20" t="s">
        <v>880</v>
      </c>
      <c r="F1190" s="21">
        <v>30211.0</v>
      </c>
      <c r="G1190" s="14">
        <v>43.0</v>
      </c>
      <c r="H1190" s="23" t="s">
        <v>26</v>
      </c>
      <c r="I1190" s="24" t="s">
        <v>27</v>
      </c>
      <c r="J1190" s="19" t="s">
        <v>757</v>
      </c>
      <c r="K1190" s="14">
        <v>3.0</v>
      </c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</row>
    <row r="1191">
      <c r="A1191" s="14" t="s">
        <v>4482</v>
      </c>
      <c r="B1191" s="17" t="s">
        <v>4483</v>
      </c>
      <c r="C1191" s="17" t="s">
        <v>4484</v>
      </c>
      <c r="D1191" s="19" t="s">
        <v>4485</v>
      </c>
      <c r="E1191" s="20" t="s">
        <v>890</v>
      </c>
      <c r="F1191" s="21">
        <v>25426.0</v>
      </c>
      <c r="G1191" s="14">
        <v>57.0</v>
      </c>
      <c r="H1191" s="23" t="s">
        <v>26</v>
      </c>
      <c r="I1191" s="24" t="s">
        <v>33</v>
      </c>
      <c r="J1191" s="19" t="s">
        <v>362</v>
      </c>
      <c r="K1191" s="14">
        <v>24.0</v>
      </c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</row>
    <row r="1192">
      <c r="A1192" s="14" t="s">
        <v>4486</v>
      </c>
      <c r="B1192" s="17" t="s">
        <v>4483</v>
      </c>
      <c r="C1192" s="17" t="s">
        <v>4487</v>
      </c>
      <c r="D1192" s="19" t="s">
        <v>4488</v>
      </c>
      <c r="E1192" s="20" t="s">
        <v>632</v>
      </c>
      <c r="F1192" s="21">
        <v>26064.0</v>
      </c>
      <c r="G1192" s="14">
        <v>55.0</v>
      </c>
      <c r="H1192" s="23" t="s">
        <v>26</v>
      </c>
      <c r="I1192" s="24" t="s">
        <v>27</v>
      </c>
      <c r="J1192" s="19" t="s">
        <v>362</v>
      </c>
      <c r="K1192" s="14">
        <v>24.0</v>
      </c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</row>
    <row r="1193">
      <c r="A1193" s="14" t="s">
        <v>4489</v>
      </c>
      <c r="B1193" s="17" t="s">
        <v>4490</v>
      </c>
      <c r="C1193" s="17" t="s">
        <v>4491</v>
      </c>
      <c r="D1193" s="19" t="s">
        <v>4492</v>
      </c>
      <c r="E1193" s="20" t="s">
        <v>195</v>
      </c>
      <c r="F1193" s="27">
        <v>36815.0</v>
      </c>
      <c r="G1193" s="14">
        <v>25.0</v>
      </c>
      <c r="H1193" s="23" t="s">
        <v>26</v>
      </c>
      <c r="I1193" s="24" t="s">
        <v>33</v>
      </c>
      <c r="J1193" s="19" t="s">
        <v>53</v>
      </c>
      <c r="K1193" s="14">
        <v>18.0</v>
      </c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</row>
    <row r="1194">
      <c r="A1194" s="14" t="s">
        <v>4493</v>
      </c>
      <c r="B1194" s="17" t="s">
        <v>4490</v>
      </c>
      <c r="C1194" s="17" t="s">
        <v>4494</v>
      </c>
      <c r="D1194" s="19" t="s">
        <v>4495</v>
      </c>
      <c r="E1194" s="20" t="s">
        <v>337</v>
      </c>
      <c r="F1194" s="21">
        <v>36536.0</v>
      </c>
      <c r="G1194" s="14">
        <v>26.0</v>
      </c>
      <c r="H1194" s="23" t="s">
        <v>26</v>
      </c>
      <c r="I1194" s="24" t="s">
        <v>27</v>
      </c>
      <c r="J1194" s="19" t="s">
        <v>53</v>
      </c>
      <c r="K1194" s="14">
        <v>18.0</v>
      </c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</row>
    <row r="1195">
      <c r="A1195" s="14" t="s">
        <v>4496</v>
      </c>
      <c r="B1195" s="17" t="s">
        <v>4497</v>
      </c>
      <c r="C1195" s="17" t="s">
        <v>4498</v>
      </c>
      <c r="D1195" s="19" t="s">
        <v>4499</v>
      </c>
      <c r="E1195" s="20" t="s">
        <v>53</v>
      </c>
      <c r="F1195" s="27">
        <v>36487.0</v>
      </c>
      <c r="G1195" s="14">
        <v>26.0</v>
      </c>
      <c r="H1195" s="23" t="s">
        <v>100</v>
      </c>
      <c r="I1195" s="24" t="s">
        <v>33</v>
      </c>
      <c r="J1195" s="19" t="s">
        <v>362</v>
      </c>
      <c r="K1195" s="14">
        <v>26.0</v>
      </c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</row>
    <row r="1196">
      <c r="A1196" s="14" t="s">
        <v>4500</v>
      </c>
      <c r="B1196" s="17" t="s">
        <v>4497</v>
      </c>
      <c r="C1196" s="17" t="s">
        <v>4501</v>
      </c>
      <c r="D1196" s="19" t="s">
        <v>4502</v>
      </c>
      <c r="E1196" s="20" t="s">
        <v>632</v>
      </c>
      <c r="F1196" s="21">
        <v>23930.0</v>
      </c>
      <c r="G1196" s="14">
        <v>61.0</v>
      </c>
      <c r="H1196" s="23" t="s">
        <v>26</v>
      </c>
      <c r="I1196" s="24" t="s">
        <v>33</v>
      </c>
      <c r="J1196" s="19" t="s">
        <v>362</v>
      </c>
      <c r="K1196" s="14">
        <v>26.0</v>
      </c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</row>
    <row r="1197">
      <c r="A1197" s="14" t="s">
        <v>4503</v>
      </c>
      <c r="B1197" s="17" t="s">
        <v>4497</v>
      </c>
      <c r="C1197" s="17" t="s">
        <v>4504</v>
      </c>
      <c r="D1197" s="19" t="s">
        <v>4505</v>
      </c>
      <c r="E1197" s="20" t="s">
        <v>2505</v>
      </c>
      <c r="F1197" s="27">
        <v>27385.0</v>
      </c>
      <c r="G1197" s="14">
        <v>51.0</v>
      </c>
      <c r="H1197" s="23" t="s">
        <v>26</v>
      </c>
      <c r="I1197" s="24" t="s">
        <v>27</v>
      </c>
      <c r="J1197" s="19" t="s">
        <v>362</v>
      </c>
      <c r="K1197" s="14">
        <v>26.0</v>
      </c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</row>
    <row r="1198">
      <c r="A1198" s="14" t="s">
        <v>4506</v>
      </c>
      <c r="B1198" s="17" t="s">
        <v>4507</v>
      </c>
      <c r="C1198" s="17" t="s">
        <v>4508</v>
      </c>
      <c r="D1198" s="19" t="s">
        <v>4509</v>
      </c>
      <c r="E1198" s="20" t="s">
        <v>654</v>
      </c>
      <c r="F1198" s="21">
        <v>19541.0</v>
      </c>
      <c r="G1198" s="14">
        <v>73.0</v>
      </c>
      <c r="H1198" s="23" t="s">
        <v>26</v>
      </c>
      <c r="I1198" s="24" t="s">
        <v>27</v>
      </c>
      <c r="J1198" s="19" t="s">
        <v>362</v>
      </c>
      <c r="K1198" s="14">
        <v>26.0</v>
      </c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</row>
    <row r="1199">
      <c r="A1199" s="14" t="s">
        <v>4510</v>
      </c>
      <c r="B1199" s="17" t="s">
        <v>4511</v>
      </c>
      <c r="C1199" s="17" t="s">
        <v>4512</v>
      </c>
      <c r="D1199" s="19" t="s">
        <v>4513</v>
      </c>
      <c r="E1199" s="20" t="s">
        <v>650</v>
      </c>
      <c r="F1199" s="21">
        <v>25020.0</v>
      </c>
      <c r="G1199" s="14">
        <v>58.0</v>
      </c>
      <c r="H1199" s="23" t="s">
        <v>26</v>
      </c>
      <c r="I1199" s="24" t="s">
        <v>33</v>
      </c>
      <c r="J1199" s="19" t="s">
        <v>328</v>
      </c>
      <c r="K1199" s="14">
        <v>26.0</v>
      </c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</row>
    <row r="1200">
      <c r="A1200" s="14" t="s">
        <v>4514</v>
      </c>
      <c r="B1200" s="17" t="s">
        <v>4511</v>
      </c>
      <c r="C1200" s="17" t="s">
        <v>4515</v>
      </c>
      <c r="D1200" s="19" t="s">
        <v>4516</v>
      </c>
      <c r="E1200" s="20" t="s">
        <v>650</v>
      </c>
      <c r="F1200" s="21">
        <v>7122.0</v>
      </c>
      <c r="G1200" s="14">
        <v>107.0</v>
      </c>
      <c r="H1200" s="23" t="s">
        <v>26</v>
      </c>
      <c r="I1200" s="24" t="s">
        <v>27</v>
      </c>
      <c r="J1200" s="19" t="s">
        <v>328</v>
      </c>
      <c r="K1200" s="14">
        <v>26.0</v>
      </c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</row>
    <row r="1201">
      <c r="A1201" s="14" t="s">
        <v>4517</v>
      </c>
      <c r="B1201" s="17" t="s">
        <v>4511</v>
      </c>
      <c r="C1201" s="17" t="s">
        <v>4518</v>
      </c>
      <c r="D1201" s="19" t="s">
        <v>4519</v>
      </c>
      <c r="E1201" s="20" t="s">
        <v>53</v>
      </c>
      <c r="F1201" s="21">
        <v>37361.0</v>
      </c>
      <c r="G1201" s="14">
        <v>24.0</v>
      </c>
      <c r="H1201" s="23" t="s">
        <v>100</v>
      </c>
      <c r="I1201" s="24" t="s">
        <v>27</v>
      </c>
      <c r="J1201" s="19" t="s">
        <v>328</v>
      </c>
      <c r="K1201" s="14">
        <v>26.0</v>
      </c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</row>
    <row r="1202">
      <c r="A1202" s="14" t="s">
        <v>4520</v>
      </c>
      <c r="B1202" s="17" t="s">
        <v>4521</v>
      </c>
      <c r="C1202" s="17" t="s">
        <v>4522</v>
      </c>
      <c r="D1202" s="19" t="s">
        <v>4523</v>
      </c>
      <c r="E1202" s="20" t="s">
        <v>4524</v>
      </c>
      <c r="F1202" s="21">
        <v>21342.0</v>
      </c>
      <c r="G1202" s="14">
        <v>68.0</v>
      </c>
      <c r="H1202" s="23" t="s">
        <v>26</v>
      </c>
      <c r="I1202" s="24" t="s">
        <v>33</v>
      </c>
      <c r="J1202" s="19" t="s">
        <v>4079</v>
      </c>
      <c r="K1202" s="14">
        <v>22.0</v>
      </c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</row>
    <row r="1203">
      <c r="A1203" s="14" t="s">
        <v>4525</v>
      </c>
      <c r="B1203" s="17" t="s">
        <v>4521</v>
      </c>
      <c r="C1203" s="17" t="s">
        <v>4526</v>
      </c>
      <c r="D1203" s="19" t="s">
        <v>1127</v>
      </c>
      <c r="E1203" s="20" t="s">
        <v>632</v>
      </c>
      <c r="F1203" s="21">
        <v>25791.0</v>
      </c>
      <c r="G1203" s="14">
        <v>56.0</v>
      </c>
      <c r="H1203" s="23" t="s">
        <v>26</v>
      </c>
      <c r="I1203" s="24" t="s">
        <v>27</v>
      </c>
      <c r="J1203" s="19" t="s">
        <v>4079</v>
      </c>
      <c r="K1203" s="14">
        <v>22.0</v>
      </c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</row>
    <row r="1204">
      <c r="A1204" s="14" t="s">
        <v>4527</v>
      </c>
      <c r="B1204" s="17" t="s">
        <v>4528</v>
      </c>
      <c r="C1204" s="17" t="s">
        <v>4529</v>
      </c>
      <c r="D1204" s="19" t="s">
        <v>4530</v>
      </c>
      <c r="E1204" s="20" t="s">
        <v>53</v>
      </c>
      <c r="F1204" s="21">
        <v>38421.0</v>
      </c>
      <c r="G1204" s="14">
        <v>21.0</v>
      </c>
      <c r="H1204" s="23" t="s">
        <v>100</v>
      </c>
      <c r="I1204" s="24" t="s">
        <v>33</v>
      </c>
      <c r="J1204" s="19" t="s">
        <v>328</v>
      </c>
      <c r="K1204" s="14">
        <v>22.0</v>
      </c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</row>
    <row r="1205">
      <c r="A1205" s="14" t="s">
        <v>4531</v>
      </c>
      <c r="B1205" s="17" t="s">
        <v>4528</v>
      </c>
      <c r="C1205" s="17" t="s">
        <v>4532</v>
      </c>
      <c r="D1205" s="19" t="s">
        <v>4533</v>
      </c>
      <c r="E1205" s="20" t="s">
        <v>195</v>
      </c>
      <c r="F1205" s="21">
        <v>30171.0</v>
      </c>
      <c r="G1205" s="14">
        <v>44.0</v>
      </c>
      <c r="H1205" s="23" t="s">
        <v>26</v>
      </c>
      <c r="I1205" s="24" t="s">
        <v>27</v>
      </c>
      <c r="J1205" s="19" t="s">
        <v>328</v>
      </c>
      <c r="K1205" s="14">
        <v>34.0</v>
      </c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</row>
    <row r="1206">
      <c r="A1206" s="14" t="s">
        <v>4534</v>
      </c>
      <c r="B1206" s="17" t="s">
        <v>4528</v>
      </c>
      <c r="C1206" s="17" t="s">
        <v>4535</v>
      </c>
      <c r="D1206" s="19" t="s">
        <v>4536</v>
      </c>
      <c r="E1206" s="20" t="s">
        <v>104</v>
      </c>
      <c r="F1206" s="21">
        <v>30258.0</v>
      </c>
      <c r="G1206" s="14">
        <v>43.0</v>
      </c>
      <c r="H1206" s="23" t="s">
        <v>26</v>
      </c>
      <c r="I1206" s="24" t="s">
        <v>33</v>
      </c>
      <c r="J1206" s="19" t="s">
        <v>328</v>
      </c>
      <c r="K1206" s="14">
        <v>34.0</v>
      </c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</row>
    <row r="1207">
      <c r="A1207" s="14" t="s">
        <v>4537</v>
      </c>
      <c r="B1207" s="17" t="s">
        <v>4538</v>
      </c>
      <c r="C1207" s="17" t="s">
        <v>4539</v>
      </c>
      <c r="D1207" s="19" t="s">
        <v>4540</v>
      </c>
      <c r="E1207" s="20" t="s">
        <v>104</v>
      </c>
      <c r="F1207" s="21">
        <v>36468.0</v>
      </c>
      <c r="G1207" s="14">
        <v>26.0</v>
      </c>
      <c r="H1207" s="23" t="s">
        <v>100</v>
      </c>
      <c r="I1207" s="24" t="s">
        <v>33</v>
      </c>
      <c r="J1207" s="19" t="s">
        <v>4020</v>
      </c>
      <c r="K1207" s="14">
        <v>22.0</v>
      </c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</row>
    <row r="1208">
      <c r="A1208" s="14" t="s">
        <v>4541</v>
      </c>
      <c r="B1208" s="17" t="s">
        <v>4538</v>
      </c>
      <c r="C1208" s="17" t="s">
        <v>4542</v>
      </c>
      <c r="D1208" s="19" t="s">
        <v>4543</v>
      </c>
      <c r="E1208" s="20" t="s">
        <v>104</v>
      </c>
      <c r="F1208" s="21">
        <v>29791.0</v>
      </c>
      <c r="G1208" s="14">
        <v>45.0</v>
      </c>
      <c r="H1208" s="23" t="s">
        <v>26</v>
      </c>
      <c r="I1208" s="24" t="s">
        <v>27</v>
      </c>
      <c r="J1208" s="19" t="s">
        <v>4020</v>
      </c>
      <c r="K1208" s="14">
        <v>22.0</v>
      </c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</row>
    <row r="1209">
      <c r="A1209" s="14" t="s">
        <v>4544</v>
      </c>
      <c r="B1209" s="17" t="s">
        <v>4538</v>
      </c>
      <c r="C1209" s="17" t="s">
        <v>4545</v>
      </c>
      <c r="D1209" s="19" t="s">
        <v>4546</v>
      </c>
      <c r="E1209" s="20" t="s">
        <v>187</v>
      </c>
      <c r="F1209" s="21">
        <v>28719.0</v>
      </c>
      <c r="G1209" s="14">
        <v>48.0</v>
      </c>
      <c r="H1209" s="23" t="s">
        <v>26</v>
      </c>
      <c r="I1209" s="24" t="s">
        <v>33</v>
      </c>
      <c r="J1209" s="19" t="s">
        <v>4020</v>
      </c>
      <c r="K1209" s="14">
        <v>22.0</v>
      </c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</row>
    <row r="1210">
      <c r="A1210" s="14" t="s">
        <v>4547</v>
      </c>
      <c r="B1210" s="17" t="s">
        <v>4548</v>
      </c>
      <c r="C1210" s="17" t="s">
        <v>4549</v>
      </c>
      <c r="D1210" s="19" t="s">
        <v>4550</v>
      </c>
      <c r="E1210" s="20" t="s">
        <v>104</v>
      </c>
      <c r="F1210" s="21">
        <v>39259.0</v>
      </c>
      <c r="G1210" s="14">
        <v>19.0</v>
      </c>
      <c r="H1210" s="23" t="s">
        <v>100</v>
      </c>
      <c r="I1210" s="24" t="s">
        <v>33</v>
      </c>
      <c r="J1210" s="19" t="s">
        <v>4551</v>
      </c>
      <c r="K1210" s="14">
        <v>32.0</v>
      </c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</row>
    <row r="1211">
      <c r="A1211" s="14" t="s">
        <v>4552</v>
      </c>
      <c r="B1211" s="17" t="s">
        <v>4553</v>
      </c>
      <c r="C1211" s="17" t="s">
        <v>4554</v>
      </c>
      <c r="D1211" s="19" t="s">
        <v>4555</v>
      </c>
      <c r="E1211" s="20" t="s">
        <v>53</v>
      </c>
      <c r="F1211" s="21">
        <v>36979.0</v>
      </c>
      <c r="G1211" s="14">
        <v>25.0</v>
      </c>
      <c r="H1211" s="23" t="s">
        <v>100</v>
      </c>
      <c r="I1211" s="24" t="s">
        <v>27</v>
      </c>
      <c r="J1211" s="19" t="s">
        <v>1437</v>
      </c>
      <c r="K1211" s="14">
        <v>32.0</v>
      </c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</row>
    <row r="1212">
      <c r="A1212" s="14" t="s">
        <v>4556</v>
      </c>
      <c r="B1212" s="17" t="s">
        <v>4553</v>
      </c>
      <c r="C1212" s="17" t="s">
        <v>4557</v>
      </c>
      <c r="D1212" s="19" t="s">
        <v>4558</v>
      </c>
      <c r="E1212" s="20" t="s">
        <v>53</v>
      </c>
      <c r="F1212" s="21">
        <v>29691.0</v>
      </c>
      <c r="G1212" s="14">
        <v>45.0</v>
      </c>
      <c r="H1212" s="23" t="s">
        <v>26</v>
      </c>
      <c r="I1212" s="24" t="s">
        <v>27</v>
      </c>
      <c r="J1212" s="19" t="s">
        <v>1437</v>
      </c>
      <c r="K1212" s="14">
        <v>32.0</v>
      </c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</row>
    <row r="1213">
      <c r="A1213" s="14" t="s">
        <v>4559</v>
      </c>
      <c r="B1213" s="17" t="s">
        <v>4553</v>
      </c>
      <c r="C1213" s="17" t="s">
        <v>4560</v>
      </c>
      <c r="D1213" s="19" t="s">
        <v>4561</v>
      </c>
      <c r="E1213" s="20" t="s">
        <v>53</v>
      </c>
      <c r="F1213" s="27">
        <v>39048.0</v>
      </c>
      <c r="G1213" s="14">
        <v>19.0</v>
      </c>
      <c r="H1213" s="23" t="s">
        <v>100</v>
      </c>
      <c r="I1213" s="24" t="s">
        <v>27</v>
      </c>
      <c r="J1213" s="19" t="s">
        <v>1437</v>
      </c>
      <c r="K1213" s="14">
        <v>32.0</v>
      </c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</row>
    <row r="1214">
      <c r="A1214" s="14" t="s">
        <v>4562</v>
      </c>
      <c r="B1214" s="17" t="s">
        <v>4553</v>
      </c>
      <c r="C1214" s="17" t="s">
        <v>4563</v>
      </c>
      <c r="D1214" s="19" t="s">
        <v>3451</v>
      </c>
      <c r="E1214" s="20" t="s">
        <v>53</v>
      </c>
      <c r="F1214" s="21">
        <v>29075.0</v>
      </c>
      <c r="G1214" s="14">
        <v>47.0</v>
      </c>
      <c r="H1214" s="23" t="s">
        <v>26</v>
      </c>
      <c r="I1214" s="24" t="s">
        <v>33</v>
      </c>
      <c r="J1214" s="19" t="s">
        <v>156</v>
      </c>
      <c r="K1214" s="14">
        <v>34.0</v>
      </c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</row>
    <row r="1215">
      <c r="A1215" s="14" t="s">
        <v>4564</v>
      </c>
      <c r="B1215" s="17" t="s">
        <v>4565</v>
      </c>
      <c r="C1215" s="17" t="s">
        <v>4566</v>
      </c>
      <c r="D1215" s="19" t="s">
        <v>4567</v>
      </c>
      <c r="E1215" s="20" t="s">
        <v>4568</v>
      </c>
      <c r="F1215" s="21">
        <v>33494.0</v>
      </c>
      <c r="G1215" s="14">
        <v>34.0</v>
      </c>
      <c r="H1215" s="23" t="s">
        <v>26</v>
      </c>
      <c r="I1215" s="24" t="s">
        <v>27</v>
      </c>
      <c r="J1215" s="19" t="s">
        <v>68</v>
      </c>
      <c r="K1215" s="14">
        <v>28.0</v>
      </c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</row>
    <row r="1216">
      <c r="A1216" s="14" t="s">
        <v>4569</v>
      </c>
      <c r="B1216" s="17" t="s">
        <v>4565</v>
      </c>
      <c r="C1216" s="17" t="s">
        <v>4570</v>
      </c>
      <c r="D1216" s="19" t="s">
        <v>4571</v>
      </c>
      <c r="E1216" s="20" t="s">
        <v>4572</v>
      </c>
      <c r="F1216" s="27">
        <v>32473.0</v>
      </c>
      <c r="G1216" s="14">
        <v>37.0</v>
      </c>
      <c r="H1216" s="23" t="s">
        <v>26</v>
      </c>
      <c r="I1216" s="24" t="s">
        <v>33</v>
      </c>
      <c r="J1216" s="19" t="s">
        <v>68</v>
      </c>
      <c r="K1216" s="14">
        <v>28.0</v>
      </c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</row>
    <row r="1217">
      <c r="A1217" s="14" t="s">
        <v>4573</v>
      </c>
      <c r="B1217" s="17" t="s">
        <v>4574</v>
      </c>
      <c r="C1217" s="17" t="s">
        <v>4575</v>
      </c>
      <c r="D1217" s="19" t="s">
        <v>4576</v>
      </c>
      <c r="E1217" s="20" t="s">
        <v>104</v>
      </c>
      <c r="F1217" s="21">
        <v>36206.0</v>
      </c>
      <c r="G1217" s="14">
        <v>27.0</v>
      </c>
      <c r="H1217" s="23" t="s">
        <v>26</v>
      </c>
      <c r="I1217" s="24" t="s">
        <v>33</v>
      </c>
      <c r="J1217" s="19" t="s">
        <v>328</v>
      </c>
      <c r="K1217" s="14">
        <v>20.0</v>
      </c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</row>
    <row r="1218">
      <c r="A1218" s="14" t="s">
        <v>4577</v>
      </c>
      <c r="B1218" s="17" t="s">
        <v>4574</v>
      </c>
      <c r="C1218" s="17" t="s">
        <v>4578</v>
      </c>
      <c r="D1218" s="19" t="s">
        <v>4579</v>
      </c>
      <c r="E1218" s="20" t="s">
        <v>231</v>
      </c>
      <c r="F1218" s="21">
        <v>36502.0</v>
      </c>
      <c r="G1218" s="14">
        <v>26.0</v>
      </c>
      <c r="H1218" s="23" t="s">
        <v>26</v>
      </c>
      <c r="I1218" s="24" t="s">
        <v>27</v>
      </c>
      <c r="J1218" s="19" t="s">
        <v>328</v>
      </c>
      <c r="K1218" s="14">
        <v>20.0</v>
      </c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</row>
    <row r="1219">
      <c r="A1219" s="14" t="s">
        <v>4580</v>
      </c>
      <c r="B1219" s="17" t="s">
        <v>4581</v>
      </c>
      <c r="C1219" s="17" t="s">
        <v>4582</v>
      </c>
      <c r="D1219" s="19" t="s">
        <v>4583</v>
      </c>
      <c r="E1219" s="20" t="s">
        <v>53</v>
      </c>
      <c r="F1219" s="21">
        <v>36260.0</v>
      </c>
      <c r="G1219" s="14">
        <v>27.0</v>
      </c>
      <c r="H1219" s="23" t="s">
        <v>100</v>
      </c>
      <c r="I1219" s="24" t="s">
        <v>33</v>
      </c>
      <c r="J1219" s="19" t="s">
        <v>4237</v>
      </c>
      <c r="K1219" s="14">
        <v>2.0</v>
      </c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</row>
    <row r="1220">
      <c r="A1220" s="14" t="s">
        <v>4584</v>
      </c>
      <c r="B1220" s="17" t="s">
        <v>4581</v>
      </c>
      <c r="C1220" s="17" t="s">
        <v>4585</v>
      </c>
      <c r="D1220" s="19" t="s">
        <v>4586</v>
      </c>
      <c r="E1220" s="20" t="s">
        <v>187</v>
      </c>
      <c r="F1220" s="21">
        <v>26766.0</v>
      </c>
      <c r="G1220" s="14">
        <v>53.0</v>
      </c>
      <c r="H1220" s="23" t="s">
        <v>26</v>
      </c>
      <c r="I1220" s="24" t="s">
        <v>27</v>
      </c>
      <c r="J1220" s="19" t="s">
        <v>4237</v>
      </c>
      <c r="K1220" s="14">
        <v>2.0</v>
      </c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</row>
    <row r="1221">
      <c r="A1221" s="14" t="s">
        <v>4587</v>
      </c>
      <c r="B1221" s="17" t="s">
        <v>4581</v>
      </c>
      <c r="C1221" s="17" t="s">
        <v>4588</v>
      </c>
      <c r="D1221" s="19" t="s">
        <v>4589</v>
      </c>
      <c r="E1221" s="20" t="s">
        <v>632</v>
      </c>
      <c r="F1221" s="21">
        <v>25771.0</v>
      </c>
      <c r="G1221" s="14">
        <v>56.0</v>
      </c>
      <c r="H1221" s="23" t="s">
        <v>26</v>
      </c>
      <c r="I1221" s="24" t="s">
        <v>33</v>
      </c>
      <c r="J1221" s="19" t="s">
        <v>4305</v>
      </c>
      <c r="K1221" s="14">
        <v>2.0</v>
      </c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</row>
    <row r="1222">
      <c r="A1222" s="14" t="s">
        <v>4590</v>
      </c>
      <c r="B1222" s="17" t="s">
        <v>4581</v>
      </c>
      <c r="C1222" s="17" t="s">
        <v>4591</v>
      </c>
      <c r="D1222" s="19" t="s">
        <v>4592</v>
      </c>
      <c r="E1222" s="20" t="s">
        <v>53</v>
      </c>
      <c r="F1222" s="21">
        <v>38172.0</v>
      </c>
      <c r="G1222" s="14">
        <v>22.0</v>
      </c>
      <c r="H1222" s="23" t="s">
        <v>100</v>
      </c>
      <c r="I1222" s="24" t="s">
        <v>27</v>
      </c>
      <c r="J1222" s="19" t="s">
        <v>4237</v>
      </c>
      <c r="K1222" s="14">
        <v>2.0</v>
      </c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</row>
    <row r="1223">
      <c r="A1223" s="14" t="s">
        <v>4593</v>
      </c>
      <c r="B1223" s="17" t="s">
        <v>4594</v>
      </c>
      <c r="C1223" s="17" t="s">
        <v>4595</v>
      </c>
      <c r="D1223" s="19" t="s">
        <v>4596</v>
      </c>
      <c r="E1223" s="20" t="s">
        <v>632</v>
      </c>
      <c r="F1223" s="21">
        <v>22144.0</v>
      </c>
      <c r="G1223" s="14">
        <v>66.0</v>
      </c>
      <c r="H1223" s="23" t="s">
        <v>26</v>
      </c>
      <c r="I1223" s="24" t="s">
        <v>33</v>
      </c>
      <c r="J1223" s="19" t="s">
        <v>146</v>
      </c>
      <c r="K1223" s="14">
        <v>4.0</v>
      </c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</row>
    <row r="1224">
      <c r="A1224" s="14" t="s">
        <v>4597</v>
      </c>
      <c r="B1224" s="17" t="s">
        <v>4598</v>
      </c>
      <c r="C1224" s="17" t="s">
        <v>4599</v>
      </c>
      <c r="D1224" s="19" t="s">
        <v>4600</v>
      </c>
      <c r="E1224" s="20" t="s">
        <v>104</v>
      </c>
      <c r="F1224" s="21">
        <v>31109.0</v>
      </c>
      <c r="G1224" s="14">
        <v>41.0</v>
      </c>
      <c r="H1224" s="23" t="s">
        <v>26</v>
      </c>
      <c r="I1224" s="24" t="s">
        <v>33</v>
      </c>
      <c r="J1224" s="19" t="s">
        <v>2019</v>
      </c>
      <c r="K1224" s="14">
        <v>4.0</v>
      </c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</row>
    <row r="1225">
      <c r="A1225" s="14" t="s">
        <v>4601</v>
      </c>
      <c r="B1225" s="17" t="s">
        <v>4598</v>
      </c>
      <c r="C1225" s="17" t="s">
        <v>4602</v>
      </c>
      <c r="D1225" s="19" t="s">
        <v>4603</v>
      </c>
      <c r="E1225" s="20" t="s">
        <v>104</v>
      </c>
      <c r="F1225" s="21">
        <v>32522.0</v>
      </c>
      <c r="G1225" s="14">
        <v>37.0</v>
      </c>
      <c r="H1225" s="23" t="s">
        <v>26</v>
      </c>
      <c r="I1225" s="24" t="s">
        <v>27</v>
      </c>
      <c r="J1225" s="19" t="s">
        <v>206</v>
      </c>
      <c r="K1225" s="14">
        <v>3.0</v>
      </c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</row>
    <row r="1226">
      <c r="A1226" s="14" t="s">
        <v>4604</v>
      </c>
      <c r="B1226" s="17" t="s">
        <v>4605</v>
      </c>
      <c r="C1226" s="17" t="s">
        <v>4606</v>
      </c>
      <c r="D1226" s="19" t="s">
        <v>4607</v>
      </c>
      <c r="E1226" s="20" t="s">
        <v>104</v>
      </c>
      <c r="F1226" s="27">
        <v>29939.0</v>
      </c>
      <c r="G1226" s="14">
        <v>44.0</v>
      </c>
      <c r="H1226" s="23" t="s">
        <v>27</v>
      </c>
      <c r="I1226" s="24" t="s">
        <v>33</v>
      </c>
      <c r="J1226" s="19" t="s">
        <v>328</v>
      </c>
      <c r="K1226" s="14">
        <v>13.0</v>
      </c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</row>
    <row r="1227">
      <c r="A1227" s="14" t="s">
        <v>4608</v>
      </c>
      <c r="B1227" s="17" t="s">
        <v>4609</v>
      </c>
      <c r="C1227" s="17" t="s">
        <v>4610</v>
      </c>
      <c r="D1227" s="19" t="s">
        <v>4611</v>
      </c>
      <c r="E1227" s="20" t="s">
        <v>104</v>
      </c>
      <c r="F1227" s="21">
        <v>36641.0</v>
      </c>
      <c r="G1227" s="14">
        <v>26.0</v>
      </c>
      <c r="H1227" s="23" t="s">
        <v>26</v>
      </c>
      <c r="I1227" s="24" t="s">
        <v>27</v>
      </c>
      <c r="J1227" s="19" t="s">
        <v>328</v>
      </c>
      <c r="K1227" s="14">
        <v>19.0</v>
      </c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</row>
    <row r="1228">
      <c r="A1228" s="14" t="s">
        <v>4612</v>
      </c>
      <c r="B1228" s="17" t="s">
        <v>4609</v>
      </c>
      <c r="C1228" s="17" t="s">
        <v>4613</v>
      </c>
      <c r="D1228" s="19" t="s">
        <v>4614</v>
      </c>
      <c r="E1228" s="20" t="s">
        <v>4615</v>
      </c>
      <c r="F1228" s="27">
        <v>36515.0</v>
      </c>
      <c r="G1228" s="14">
        <v>26.0</v>
      </c>
      <c r="H1228" s="23" t="s">
        <v>26</v>
      </c>
      <c r="I1228" s="24" t="s">
        <v>33</v>
      </c>
      <c r="J1228" s="19" t="s">
        <v>328</v>
      </c>
      <c r="K1228" s="14">
        <v>19.0</v>
      </c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</row>
    <row r="1229">
      <c r="A1229" s="14" t="s">
        <v>4616</v>
      </c>
      <c r="B1229" s="17" t="s">
        <v>4617</v>
      </c>
      <c r="C1229" s="17" t="s">
        <v>4618</v>
      </c>
      <c r="D1229" s="19" t="s">
        <v>4619</v>
      </c>
      <c r="E1229" s="20" t="s">
        <v>104</v>
      </c>
      <c r="F1229" s="27">
        <v>35064.0</v>
      </c>
      <c r="G1229" s="14">
        <v>30.0</v>
      </c>
      <c r="H1229" s="23" t="s">
        <v>26</v>
      </c>
      <c r="I1229" s="24" t="s">
        <v>27</v>
      </c>
      <c r="J1229" s="19" t="s">
        <v>146</v>
      </c>
      <c r="K1229" s="14">
        <v>4.0</v>
      </c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</row>
    <row r="1230">
      <c r="A1230" s="14" t="s">
        <v>4620</v>
      </c>
      <c r="B1230" s="17" t="s">
        <v>4617</v>
      </c>
      <c r="C1230" s="17" t="s">
        <v>4621</v>
      </c>
      <c r="D1230" s="19" t="s">
        <v>4622</v>
      </c>
      <c r="E1230" s="20" t="s">
        <v>650</v>
      </c>
      <c r="F1230" s="27">
        <v>30273.0</v>
      </c>
      <c r="G1230" s="14">
        <v>43.0</v>
      </c>
      <c r="H1230" s="23" t="s">
        <v>26</v>
      </c>
      <c r="I1230" s="24" t="s">
        <v>33</v>
      </c>
      <c r="J1230" s="19" t="s">
        <v>146</v>
      </c>
      <c r="K1230" s="14">
        <v>4.0</v>
      </c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</row>
    <row r="1231">
      <c r="A1231" s="14" t="s">
        <v>4623</v>
      </c>
      <c r="B1231" s="17" t="s">
        <v>4624</v>
      </c>
      <c r="C1231" s="17" t="s">
        <v>4625</v>
      </c>
      <c r="D1231" s="19" t="s">
        <v>4626</v>
      </c>
      <c r="E1231" s="20" t="s">
        <v>274</v>
      </c>
      <c r="F1231" s="21">
        <v>29042.0</v>
      </c>
      <c r="G1231" s="14">
        <v>47.0</v>
      </c>
      <c r="H1231" s="23" t="s">
        <v>26</v>
      </c>
      <c r="I1231" s="24" t="s">
        <v>33</v>
      </c>
      <c r="J1231" s="19" t="s">
        <v>282</v>
      </c>
      <c r="K1231" s="14">
        <v>15.0</v>
      </c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</row>
    <row r="1232">
      <c r="A1232" s="14" t="s">
        <v>4627</v>
      </c>
      <c r="B1232" s="17" t="s">
        <v>4624</v>
      </c>
      <c r="C1232" s="17" t="s">
        <v>4628</v>
      </c>
      <c r="D1232" s="19" t="s">
        <v>4629</v>
      </c>
      <c r="E1232" s="20" t="s">
        <v>4630</v>
      </c>
      <c r="F1232" s="21">
        <v>38663.0</v>
      </c>
      <c r="G1232" s="14">
        <v>20.0</v>
      </c>
      <c r="H1232" s="23" t="s">
        <v>100</v>
      </c>
      <c r="I1232" s="24" t="s">
        <v>27</v>
      </c>
      <c r="J1232" s="19" t="s">
        <v>282</v>
      </c>
      <c r="K1232" s="14">
        <v>15.0</v>
      </c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</row>
    <row r="1233">
      <c r="A1233" s="14" t="s">
        <v>4631</v>
      </c>
      <c r="B1233" s="17" t="s">
        <v>4624</v>
      </c>
      <c r="C1233" s="17" t="s">
        <v>4632</v>
      </c>
      <c r="D1233" s="19" t="s">
        <v>4633</v>
      </c>
      <c r="E1233" s="20" t="s">
        <v>104</v>
      </c>
      <c r="F1233" s="21">
        <v>29105.0</v>
      </c>
      <c r="G1233" s="14">
        <v>46.0</v>
      </c>
      <c r="H1233" s="23" t="s">
        <v>26</v>
      </c>
      <c r="I1233" s="24" t="s">
        <v>27</v>
      </c>
      <c r="J1233" s="19" t="s">
        <v>282</v>
      </c>
      <c r="K1233" s="14">
        <v>15.0</v>
      </c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</row>
    <row r="1234">
      <c r="A1234" s="14" t="s">
        <v>4634</v>
      </c>
      <c r="B1234" s="17" t="s">
        <v>4635</v>
      </c>
      <c r="C1234" s="17" t="s">
        <v>4636</v>
      </c>
      <c r="D1234" s="19" t="s">
        <v>4637</v>
      </c>
      <c r="E1234" s="20" t="s">
        <v>104</v>
      </c>
      <c r="F1234" s="21">
        <v>34745.0</v>
      </c>
      <c r="G1234" s="14">
        <v>31.0</v>
      </c>
      <c r="H1234" s="23" t="s">
        <v>26</v>
      </c>
      <c r="I1234" s="24" t="s">
        <v>27</v>
      </c>
      <c r="J1234" s="19" t="s">
        <v>95</v>
      </c>
      <c r="K1234" s="14">
        <v>15.0</v>
      </c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</row>
    <row r="1235">
      <c r="A1235" s="14" t="s">
        <v>4638</v>
      </c>
      <c r="B1235" s="17" t="s">
        <v>4635</v>
      </c>
      <c r="C1235" s="17" t="s">
        <v>4639</v>
      </c>
      <c r="D1235" s="19" t="s">
        <v>4640</v>
      </c>
      <c r="E1235" s="20" t="s">
        <v>104</v>
      </c>
      <c r="F1235" s="21">
        <v>33452.0</v>
      </c>
      <c r="G1235" s="14">
        <v>35.0</v>
      </c>
      <c r="H1235" s="23" t="s">
        <v>26</v>
      </c>
      <c r="I1235" s="24" t="s">
        <v>33</v>
      </c>
      <c r="J1235" s="19" t="s">
        <v>95</v>
      </c>
      <c r="K1235" s="14">
        <v>15.0</v>
      </c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</row>
    <row r="1236">
      <c r="A1236" s="14" t="s">
        <v>4641</v>
      </c>
      <c r="B1236" s="17" t="s">
        <v>4642</v>
      </c>
      <c r="C1236" s="17" t="s">
        <v>4643</v>
      </c>
      <c r="D1236" s="19" t="s">
        <v>4644</v>
      </c>
      <c r="E1236" s="20" t="s">
        <v>2439</v>
      </c>
      <c r="F1236" s="21">
        <v>16537.0</v>
      </c>
      <c r="G1236" s="14">
        <v>81.0</v>
      </c>
      <c r="H1236" s="23" t="s">
        <v>27</v>
      </c>
      <c r="I1236" s="24" t="s">
        <v>27</v>
      </c>
      <c r="J1236" s="19" t="s">
        <v>282</v>
      </c>
      <c r="K1236" s="14">
        <v>16.0</v>
      </c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</row>
    <row r="1237">
      <c r="A1237" s="14" t="s">
        <v>4645</v>
      </c>
      <c r="B1237" s="17" t="s">
        <v>4646</v>
      </c>
      <c r="C1237" s="17" t="s">
        <v>4647</v>
      </c>
      <c r="D1237" s="19" t="s">
        <v>4648</v>
      </c>
      <c r="E1237" s="20" t="s">
        <v>219</v>
      </c>
      <c r="F1237" s="21">
        <v>33344.0</v>
      </c>
      <c r="G1237" s="14">
        <v>35.0</v>
      </c>
      <c r="H1237" s="23" t="s">
        <v>26</v>
      </c>
      <c r="I1237" s="24" t="s">
        <v>33</v>
      </c>
      <c r="J1237" s="19" t="s">
        <v>282</v>
      </c>
      <c r="K1237" s="14">
        <v>16.0</v>
      </c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</row>
    <row r="1238">
      <c r="A1238" s="14" t="s">
        <v>4649</v>
      </c>
      <c r="B1238" s="17" t="s">
        <v>4646</v>
      </c>
      <c r="C1238" s="17" t="s">
        <v>4650</v>
      </c>
      <c r="D1238" s="19" t="s">
        <v>4651</v>
      </c>
      <c r="E1238" s="20" t="s">
        <v>4652</v>
      </c>
      <c r="F1238" s="21">
        <v>35065.0</v>
      </c>
      <c r="G1238" s="14">
        <v>30.0</v>
      </c>
      <c r="H1238" s="23" t="s">
        <v>26</v>
      </c>
      <c r="I1238" s="24" t="s">
        <v>27</v>
      </c>
      <c r="J1238" s="19" t="s">
        <v>282</v>
      </c>
      <c r="K1238" s="14">
        <v>16.0</v>
      </c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</row>
    <row r="1239">
      <c r="A1239" s="14" t="s">
        <v>4654</v>
      </c>
      <c r="B1239" s="17" t="s">
        <v>4655</v>
      </c>
      <c r="C1239" s="17" t="s">
        <v>4656</v>
      </c>
      <c r="D1239" s="19" t="s">
        <v>4657</v>
      </c>
      <c r="E1239" s="20" t="s">
        <v>544</v>
      </c>
      <c r="F1239" s="21">
        <v>24970.0</v>
      </c>
      <c r="G1239" s="14">
        <v>58.0</v>
      </c>
      <c r="H1239" s="23" t="s">
        <v>27</v>
      </c>
      <c r="I1239" s="24" t="s">
        <v>27</v>
      </c>
      <c r="J1239" s="19" t="s">
        <v>939</v>
      </c>
      <c r="K1239" s="14">
        <v>7.0</v>
      </c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</row>
    <row r="1240">
      <c r="A1240" s="14" t="s">
        <v>4658</v>
      </c>
      <c r="B1240" s="17" t="s">
        <v>4659</v>
      </c>
      <c r="C1240" s="17" t="s">
        <v>4660</v>
      </c>
      <c r="D1240" s="19" t="s">
        <v>4661</v>
      </c>
      <c r="E1240" s="20" t="s">
        <v>4662</v>
      </c>
      <c r="F1240" s="27">
        <v>29542.0</v>
      </c>
      <c r="G1240" s="14">
        <v>45.0</v>
      </c>
      <c r="H1240" s="23" t="s">
        <v>26</v>
      </c>
      <c r="I1240" s="24" t="s">
        <v>27</v>
      </c>
      <c r="J1240" s="19" t="s">
        <v>4663</v>
      </c>
      <c r="K1240" s="14">
        <v>25.0</v>
      </c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</row>
    <row r="1241">
      <c r="A1241" s="14" t="s">
        <v>4664</v>
      </c>
      <c r="B1241" s="17" t="s">
        <v>4659</v>
      </c>
      <c r="C1241" s="17" t="s">
        <v>4665</v>
      </c>
      <c r="D1241" s="19" t="s">
        <v>4666</v>
      </c>
      <c r="E1241" s="20" t="s">
        <v>219</v>
      </c>
      <c r="F1241" s="27">
        <v>21838.0</v>
      </c>
      <c r="G1241" s="14">
        <v>66.0</v>
      </c>
      <c r="H1241" s="23" t="s">
        <v>26</v>
      </c>
      <c r="I1241" s="24" t="s">
        <v>33</v>
      </c>
      <c r="J1241" s="19" t="s">
        <v>4663</v>
      </c>
      <c r="K1241" s="14">
        <v>25.0</v>
      </c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</row>
    <row r="1242">
      <c r="A1242" s="14" t="s">
        <v>4667</v>
      </c>
      <c r="B1242" s="17" t="s">
        <v>4668</v>
      </c>
      <c r="C1242" s="17" t="s">
        <v>4669</v>
      </c>
      <c r="D1242" s="19" t="s">
        <v>4670</v>
      </c>
      <c r="E1242" s="20" t="s">
        <v>1370</v>
      </c>
      <c r="F1242" s="21">
        <v>22838.0</v>
      </c>
      <c r="G1242" s="14">
        <v>64.0</v>
      </c>
      <c r="H1242" s="23" t="s">
        <v>26</v>
      </c>
      <c r="I1242" s="24" t="s">
        <v>27</v>
      </c>
      <c r="J1242" s="19" t="s">
        <v>362</v>
      </c>
      <c r="K1242" s="14">
        <v>25.0</v>
      </c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</row>
    <row r="1243">
      <c r="A1243" s="14" t="s">
        <v>4671</v>
      </c>
      <c r="B1243" s="17" t="s">
        <v>4668</v>
      </c>
      <c r="C1243" s="17" t="s">
        <v>4672</v>
      </c>
      <c r="D1243" s="19" t="s">
        <v>4673</v>
      </c>
      <c r="E1243" s="20" t="s">
        <v>1370</v>
      </c>
      <c r="F1243" s="27">
        <v>18627.0</v>
      </c>
      <c r="G1243" s="14">
        <v>75.0</v>
      </c>
      <c r="H1243" s="23" t="s">
        <v>26</v>
      </c>
      <c r="I1243" s="24" t="s">
        <v>33</v>
      </c>
      <c r="J1243" s="19" t="s">
        <v>53</v>
      </c>
      <c r="K1243" s="14">
        <v>34.0</v>
      </c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</row>
    <row r="1244">
      <c r="A1244" s="14" t="s">
        <v>4674</v>
      </c>
      <c r="B1244" s="17" t="s">
        <v>4675</v>
      </c>
      <c r="C1244" s="17" t="s">
        <v>4676</v>
      </c>
      <c r="D1244" s="19" t="s">
        <v>4677</v>
      </c>
      <c r="E1244" s="20" t="s">
        <v>104</v>
      </c>
      <c r="F1244" s="21">
        <v>30517.0</v>
      </c>
      <c r="G1244" s="14">
        <v>43.0</v>
      </c>
      <c r="H1244" s="23" t="s">
        <v>26</v>
      </c>
      <c r="I1244" s="24" t="s">
        <v>33</v>
      </c>
      <c r="J1244" s="19" t="s">
        <v>328</v>
      </c>
      <c r="K1244" s="14">
        <v>25.0</v>
      </c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</row>
    <row r="1245">
      <c r="A1245" s="14" t="s">
        <v>4678</v>
      </c>
      <c r="B1245" s="17" t="s">
        <v>4679</v>
      </c>
      <c r="C1245" s="17" t="s">
        <v>4680</v>
      </c>
      <c r="D1245" s="19" t="s">
        <v>1597</v>
      </c>
      <c r="E1245" s="20" t="s">
        <v>4662</v>
      </c>
      <c r="F1245" s="27">
        <v>33527.0</v>
      </c>
      <c r="G1245" s="14">
        <v>34.0</v>
      </c>
      <c r="H1245" s="23" t="s">
        <v>26</v>
      </c>
      <c r="I1245" s="24" t="s">
        <v>27</v>
      </c>
      <c r="J1245" s="19" t="s">
        <v>362</v>
      </c>
      <c r="K1245" s="14">
        <v>25.0</v>
      </c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</row>
    <row r="1246">
      <c r="A1246" s="14" t="s">
        <v>4681</v>
      </c>
      <c r="B1246" s="17" t="s">
        <v>4679</v>
      </c>
      <c r="C1246" s="17" t="s">
        <v>4682</v>
      </c>
      <c r="D1246" s="19" t="s">
        <v>4683</v>
      </c>
      <c r="E1246" s="20" t="s">
        <v>4684</v>
      </c>
      <c r="F1246" s="21">
        <v>31182.0</v>
      </c>
      <c r="G1246" s="14">
        <v>41.0</v>
      </c>
      <c r="H1246" s="23" t="s">
        <v>26</v>
      </c>
      <c r="I1246" s="24" t="s">
        <v>33</v>
      </c>
      <c r="J1246" s="19" t="s">
        <v>362</v>
      </c>
      <c r="K1246" s="14">
        <v>25.0</v>
      </c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</row>
    <row r="1247">
      <c r="A1247" s="14" t="s">
        <v>4685</v>
      </c>
      <c r="B1247" s="17" t="s">
        <v>4686</v>
      </c>
      <c r="C1247" s="17" t="s">
        <v>4687</v>
      </c>
      <c r="D1247" s="19" t="s">
        <v>4688</v>
      </c>
      <c r="E1247" s="20" t="s">
        <v>104</v>
      </c>
      <c r="F1247" s="21">
        <v>32735.0</v>
      </c>
      <c r="G1247" s="14">
        <v>37.0</v>
      </c>
      <c r="H1247" s="23" t="s">
        <v>26</v>
      </c>
      <c r="I1247" s="24" t="s">
        <v>27</v>
      </c>
      <c r="J1247" s="19" t="s">
        <v>68</v>
      </c>
      <c r="K1247" s="14">
        <v>34.0</v>
      </c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</row>
    <row r="1248">
      <c r="A1248" s="14" t="s">
        <v>4689</v>
      </c>
      <c r="B1248" s="17" t="s">
        <v>4686</v>
      </c>
      <c r="C1248" s="17" t="s">
        <v>4690</v>
      </c>
      <c r="D1248" s="19" t="s">
        <v>4691</v>
      </c>
      <c r="E1248" s="20" t="s">
        <v>104</v>
      </c>
      <c r="F1248" s="27">
        <v>31695.0</v>
      </c>
      <c r="G1248" s="14">
        <v>39.0</v>
      </c>
      <c r="H1248" s="23" t="s">
        <v>26</v>
      </c>
      <c r="I1248" s="24" t="s">
        <v>33</v>
      </c>
      <c r="J1248" s="19" t="s">
        <v>68</v>
      </c>
      <c r="K1248" s="14">
        <v>34.0</v>
      </c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</row>
    <row r="1249">
      <c r="A1249" s="14" t="s">
        <v>4692</v>
      </c>
      <c r="B1249" s="17" t="s">
        <v>4693</v>
      </c>
      <c r="C1249" s="17" t="s">
        <v>4694</v>
      </c>
      <c r="D1249" s="19" t="s">
        <v>4695</v>
      </c>
      <c r="E1249" s="20" t="s">
        <v>53</v>
      </c>
      <c r="F1249" s="21">
        <v>34966.0</v>
      </c>
      <c r="G1249" s="14">
        <v>30.0</v>
      </c>
      <c r="H1249" s="23" t="s">
        <v>26</v>
      </c>
      <c r="I1249" s="24" t="s">
        <v>33</v>
      </c>
      <c r="J1249" s="19" t="s">
        <v>517</v>
      </c>
      <c r="K1249" s="14">
        <v>5.0</v>
      </c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</row>
    <row r="1250">
      <c r="A1250" s="14" t="s">
        <v>4696</v>
      </c>
      <c r="B1250" s="17" t="s">
        <v>4693</v>
      </c>
      <c r="C1250" s="17" t="s">
        <v>4697</v>
      </c>
      <c r="D1250" s="19" t="s">
        <v>4698</v>
      </c>
      <c r="E1250" s="20" t="s">
        <v>53</v>
      </c>
      <c r="F1250" s="21">
        <v>35630.0</v>
      </c>
      <c r="G1250" s="14">
        <v>29.0</v>
      </c>
      <c r="H1250" s="23" t="s">
        <v>26</v>
      </c>
      <c r="I1250" s="24" t="s">
        <v>27</v>
      </c>
      <c r="J1250" s="19" t="s">
        <v>517</v>
      </c>
      <c r="K1250" s="14">
        <v>5.0</v>
      </c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</row>
    <row r="1251">
      <c r="A1251" s="14" t="s">
        <v>4699</v>
      </c>
      <c r="B1251" s="17" t="s">
        <v>4700</v>
      </c>
      <c r="C1251" s="17" t="s">
        <v>4701</v>
      </c>
      <c r="D1251" s="19" t="s">
        <v>3344</v>
      </c>
      <c r="E1251" s="20" t="s">
        <v>104</v>
      </c>
      <c r="F1251" s="21">
        <v>30845.0</v>
      </c>
      <c r="G1251" s="14">
        <v>42.0</v>
      </c>
      <c r="H1251" s="23" t="s">
        <v>26</v>
      </c>
      <c r="I1251" s="24" t="s">
        <v>33</v>
      </c>
      <c r="J1251" s="19" t="s">
        <v>328</v>
      </c>
      <c r="K1251" s="14">
        <v>21.0</v>
      </c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</row>
    <row r="1252">
      <c r="A1252" s="14" t="s">
        <v>4702</v>
      </c>
      <c r="B1252" s="17" t="s">
        <v>4700</v>
      </c>
      <c r="C1252" s="17" t="s">
        <v>4703</v>
      </c>
      <c r="D1252" s="19" t="s">
        <v>4704</v>
      </c>
      <c r="E1252" s="20" t="s">
        <v>4705</v>
      </c>
      <c r="F1252" s="21">
        <v>34536.0</v>
      </c>
      <c r="G1252" s="14">
        <v>32.0</v>
      </c>
      <c r="H1252" s="23" t="s">
        <v>26</v>
      </c>
      <c r="I1252" s="24" t="s">
        <v>27</v>
      </c>
      <c r="J1252" s="19" t="s">
        <v>328</v>
      </c>
      <c r="K1252" s="14">
        <v>21.0</v>
      </c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</row>
    <row r="1253">
      <c r="A1253" s="14" t="s">
        <v>4706</v>
      </c>
      <c r="B1253" s="17" t="s">
        <v>4707</v>
      </c>
      <c r="C1253" s="17" t="s">
        <v>4708</v>
      </c>
      <c r="D1253" s="19" t="s">
        <v>1955</v>
      </c>
      <c r="E1253" s="20" t="s">
        <v>104</v>
      </c>
      <c r="F1253" s="21">
        <v>33420.0</v>
      </c>
      <c r="G1253" s="14">
        <v>35.0</v>
      </c>
      <c r="H1253" s="23" t="s">
        <v>27</v>
      </c>
      <c r="I1253" s="24" t="s">
        <v>33</v>
      </c>
      <c r="J1253" s="19" t="s">
        <v>362</v>
      </c>
      <c r="K1253" s="14">
        <v>24.0</v>
      </c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</row>
    <row r="1254">
      <c r="A1254" s="14" t="s">
        <v>4709</v>
      </c>
      <c r="B1254" s="17" t="s">
        <v>4710</v>
      </c>
      <c r="C1254" s="17" t="s">
        <v>4711</v>
      </c>
      <c r="D1254" s="19" t="s">
        <v>4712</v>
      </c>
      <c r="E1254" s="20" t="s">
        <v>53</v>
      </c>
      <c r="F1254" s="21">
        <v>35590.0</v>
      </c>
      <c r="G1254" s="14">
        <v>29.0</v>
      </c>
      <c r="H1254" s="23" t="s">
        <v>26</v>
      </c>
      <c r="I1254" s="24" t="s">
        <v>33</v>
      </c>
      <c r="J1254" s="19" t="s">
        <v>328</v>
      </c>
      <c r="K1254" s="14">
        <v>26.0</v>
      </c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</row>
    <row r="1255">
      <c r="A1255" s="14" t="s">
        <v>4713</v>
      </c>
      <c r="B1255" s="17" t="s">
        <v>4710</v>
      </c>
      <c r="C1255" s="17" t="s">
        <v>4714</v>
      </c>
      <c r="D1255" s="19" t="s">
        <v>4715</v>
      </c>
      <c r="E1255" s="20" t="s">
        <v>4716</v>
      </c>
      <c r="F1255" s="21">
        <v>37164.0</v>
      </c>
      <c r="G1255" s="14">
        <v>24.0</v>
      </c>
      <c r="H1255" s="23" t="s">
        <v>26</v>
      </c>
      <c r="I1255" s="24" t="s">
        <v>27</v>
      </c>
      <c r="J1255" s="19" t="s">
        <v>328</v>
      </c>
      <c r="K1255" s="14">
        <v>26.0</v>
      </c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</row>
    <row r="1256">
      <c r="A1256" s="14" t="s">
        <v>4717</v>
      </c>
      <c r="B1256" s="17" t="s">
        <v>4718</v>
      </c>
      <c r="C1256" s="17" t="s">
        <v>4719</v>
      </c>
      <c r="D1256" s="19" t="s">
        <v>554</v>
      </c>
      <c r="E1256" s="20" t="s">
        <v>429</v>
      </c>
      <c r="F1256" s="21">
        <v>23684.0</v>
      </c>
      <c r="G1256" s="14">
        <v>61.0</v>
      </c>
      <c r="H1256" s="23" t="s">
        <v>27</v>
      </c>
      <c r="I1256" s="24" t="s">
        <v>27</v>
      </c>
      <c r="J1256" s="19" t="s">
        <v>53</v>
      </c>
      <c r="K1256" s="14">
        <v>19.0</v>
      </c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</row>
    <row r="1257">
      <c r="A1257" s="14" t="s">
        <v>4720</v>
      </c>
      <c r="B1257" s="17" t="s">
        <v>4721</v>
      </c>
      <c r="C1257" s="17" t="s">
        <v>4722</v>
      </c>
      <c r="D1257" s="19" t="s">
        <v>2802</v>
      </c>
      <c r="E1257" s="20" t="s">
        <v>632</v>
      </c>
      <c r="F1257" s="21">
        <v>16843.0</v>
      </c>
      <c r="G1257" s="14">
        <v>80.0</v>
      </c>
      <c r="H1257" s="23" t="s">
        <v>27</v>
      </c>
      <c r="I1257" s="24" t="s">
        <v>27</v>
      </c>
      <c r="J1257" s="19" t="s">
        <v>472</v>
      </c>
      <c r="K1257" s="14">
        <v>23.0</v>
      </c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</row>
    <row r="1258">
      <c r="A1258" s="14" t="s">
        <v>4723</v>
      </c>
      <c r="B1258" s="17" t="s">
        <v>4724</v>
      </c>
      <c r="C1258" s="17" t="s">
        <v>4725</v>
      </c>
      <c r="D1258" s="19" t="s">
        <v>4726</v>
      </c>
      <c r="E1258" s="20" t="s">
        <v>632</v>
      </c>
      <c r="F1258" s="21">
        <v>39183.0</v>
      </c>
      <c r="G1258" s="14">
        <v>19.0</v>
      </c>
      <c r="H1258" s="23" t="s">
        <v>100</v>
      </c>
      <c r="I1258" s="24" t="s">
        <v>27</v>
      </c>
      <c r="J1258" s="19" t="s">
        <v>4727</v>
      </c>
      <c r="K1258" s="14">
        <v>29.0</v>
      </c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</row>
    <row r="1259">
      <c r="A1259" s="14" t="s">
        <v>4728</v>
      </c>
      <c r="B1259" s="17" t="s">
        <v>4724</v>
      </c>
      <c r="C1259" s="17" t="s">
        <v>4729</v>
      </c>
      <c r="D1259" s="19" t="s">
        <v>4730</v>
      </c>
      <c r="E1259" s="20" t="s">
        <v>632</v>
      </c>
      <c r="F1259" s="21">
        <v>28654.0</v>
      </c>
      <c r="G1259" s="14">
        <v>48.0</v>
      </c>
      <c r="H1259" s="23" t="s">
        <v>26</v>
      </c>
      <c r="I1259" s="24" t="s">
        <v>27</v>
      </c>
      <c r="J1259" s="19" t="s">
        <v>68</v>
      </c>
      <c r="K1259" s="14">
        <v>29.0</v>
      </c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</row>
    <row r="1260">
      <c r="A1260" s="14" t="s">
        <v>4731</v>
      </c>
      <c r="B1260" s="17" t="s">
        <v>4724</v>
      </c>
      <c r="C1260" s="17" t="s">
        <v>4732</v>
      </c>
      <c r="D1260" s="19" t="s">
        <v>4733</v>
      </c>
      <c r="E1260" s="20" t="s">
        <v>632</v>
      </c>
      <c r="F1260" s="21">
        <v>27554.0</v>
      </c>
      <c r="G1260" s="14">
        <v>51.0</v>
      </c>
      <c r="H1260" s="23" t="s">
        <v>26</v>
      </c>
      <c r="I1260" s="24" t="s">
        <v>33</v>
      </c>
      <c r="J1260" s="19" t="s">
        <v>4727</v>
      </c>
      <c r="K1260" s="14">
        <v>29.0</v>
      </c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</row>
    <row r="1261">
      <c r="A1261" s="14" t="s">
        <v>4734</v>
      </c>
      <c r="B1261" s="17" t="s">
        <v>4735</v>
      </c>
      <c r="C1261" s="17" t="s">
        <v>4736</v>
      </c>
      <c r="D1261" s="19" t="s">
        <v>4737</v>
      </c>
      <c r="E1261" s="20" t="s">
        <v>195</v>
      </c>
      <c r="F1261" s="21">
        <v>33578.0</v>
      </c>
      <c r="G1261" s="14">
        <v>34.0</v>
      </c>
      <c r="H1261" s="23" t="s">
        <v>26</v>
      </c>
      <c r="I1261" s="24" t="s">
        <v>27</v>
      </c>
      <c r="J1261" s="19" t="s">
        <v>68</v>
      </c>
      <c r="K1261" s="14">
        <v>29.0</v>
      </c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</row>
    <row r="1262">
      <c r="A1262" s="14" t="s">
        <v>4738</v>
      </c>
      <c r="B1262" s="17" t="s">
        <v>4735</v>
      </c>
      <c r="C1262" s="17" t="s">
        <v>4739</v>
      </c>
      <c r="D1262" s="19" t="s">
        <v>4740</v>
      </c>
      <c r="E1262" s="20" t="s">
        <v>4741</v>
      </c>
      <c r="F1262" s="21">
        <v>33357.0</v>
      </c>
      <c r="G1262" s="14">
        <v>35.0</v>
      </c>
      <c r="H1262" s="23" t="s">
        <v>26</v>
      </c>
      <c r="I1262" s="24" t="s">
        <v>33</v>
      </c>
      <c r="J1262" s="19" t="s">
        <v>68</v>
      </c>
      <c r="K1262" s="14">
        <v>29.0</v>
      </c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</row>
    <row r="1263">
      <c r="A1263" s="14" t="s">
        <v>4742</v>
      </c>
      <c r="B1263" s="17" t="s">
        <v>4743</v>
      </c>
      <c r="C1263" s="17" t="s">
        <v>4744</v>
      </c>
      <c r="D1263" s="19" t="s">
        <v>4745</v>
      </c>
      <c r="E1263" s="20" t="s">
        <v>1370</v>
      </c>
      <c r="F1263" s="21">
        <v>31664.0</v>
      </c>
      <c r="G1263" s="14">
        <v>39.0</v>
      </c>
      <c r="H1263" s="23" t="s">
        <v>26</v>
      </c>
      <c r="I1263" s="24" t="s">
        <v>27</v>
      </c>
      <c r="J1263" s="19" t="s">
        <v>257</v>
      </c>
      <c r="K1263" s="14">
        <v>25.0</v>
      </c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</row>
    <row r="1264">
      <c r="A1264" s="14" t="s">
        <v>4746</v>
      </c>
      <c r="B1264" s="17" t="s">
        <v>4743</v>
      </c>
      <c r="C1264" s="17" t="s">
        <v>4747</v>
      </c>
      <c r="D1264" s="19" t="s">
        <v>4748</v>
      </c>
      <c r="E1264" s="20" t="s">
        <v>1370</v>
      </c>
      <c r="F1264" s="21">
        <v>38748.0</v>
      </c>
      <c r="G1264" s="14">
        <v>20.0</v>
      </c>
      <c r="H1264" s="23" t="s">
        <v>100</v>
      </c>
      <c r="I1264" s="24" t="s">
        <v>27</v>
      </c>
      <c r="J1264" s="19" t="s">
        <v>257</v>
      </c>
      <c r="K1264" s="14">
        <v>25.0</v>
      </c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</row>
    <row r="1265">
      <c r="A1265" s="14" t="s">
        <v>4749</v>
      </c>
      <c r="B1265" s="17" t="s">
        <v>4743</v>
      </c>
      <c r="C1265" s="17" t="s">
        <v>4750</v>
      </c>
      <c r="D1265" s="19" t="s">
        <v>4751</v>
      </c>
      <c r="E1265" s="20" t="s">
        <v>1370</v>
      </c>
      <c r="F1265" s="21">
        <v>27005.0</v>
      </c>
      <c r="G1265" s="14">
        <v>52.0</v>
      </c>
      <c r="H1265" s="23" t="s">
        <v>26</v>
      </c>
      <c r="I1265" s="24" t="s">
        <v>33</v>
      </c>
      <c r="J1265" s="19" t="s">
        <v>257</v>
      </c>
      <c r="K1265" s="14">
        <v>25.0</v>
      </c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</row>
    <row r="1266">
      <c r="A1266" s="14" t="s">
        <v>4752</v>
      </c>
      <c r="B1266" s="17" t="s">
        <v>4753</v>
      </c>
      <c r="C1266" s="17" t="s">
        <v>4754</v>
      </c>
      <c r="D1266" s="19" t="s">
        <v>4755</v>
      </c>
      <c r="E1266" s="20" t="s">
        <v>4756</v>
      </c>
      <c r="F1266" s="21">
        <v>37494.0</v>
      </c>
      <c r="G1266" s="14">
        <v>24.0</v>
      </c>
      <c r="H1266" s="23" t="s">
        <v>100</v>
      </c>
      <c r="I1266" s="24" t="s">
        <v>27</v>
      </c>
      <c r="J1266" s="19" t="s">
        <v>328</v>
      </c>
      <c r="K1266" s="14">
        <v>25.0</v>
      </c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</row>
    <row r="1267">
      <c r="A1267" s="14" t="s">
        <v>4757</v>
      </c>
      <c r="B1267" s="17" t="s">
        <v>4753</v>
      </c>
      <c r="C1267" s="17" t="s">
        <v>4758</v>
      </c>
      <c r="D1267" s="19" t="s">
        <v>4759</v>
      </c>
      <c r="E1267" s="20" t="s">
        <v>764</v>
      </c>
      <c r="F1267" s="21">
        <v>25479.0</v>
      </c>
      <c r="G1267" s="14">
        <v>56.0</v>
      </c>
      <c r="H1267" s="23" t="s">
        <v>26</v>
      </c>
      <c r="I1267" s="24" t="s">
        <v>27</v>
      </c>
      <c r="J1267" s="19" t="s">
        <v>328</v>
      </c>
      <c r="K1267" s="14">
        <v>25.0</v>
      </c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</row>
    <row r="1268">
      <c r="A1268" s="14" t="s">
        <v>4760</v>
      </c>
      <c r="B1268" s="17" t="s">
        <v>4753</v>
      </c>
      <c r="C1268" s="17" t="s">
        <v>4761</v>
      </c>
      <c r="D1268" s="19" t="s">
        <v>4762</v>
      </c>
      <c r="E1268" s="20" t="s">
        <v>240</v>
      </c>
      <c r="F1268" s="21">
        <v>39089.0</v>
      </c>
      <c r="G1268" s="14">
        <v>19.0</v>
      </c>
      <c r="H1268" s="23" t="s">
        <v>100</v>
      </c>
      <c r="I1268" s="24" t="s">
        <v>33</v>
      </c>
      <c r="J1268" s="19" t="s">
        <v>328</v>
      </c>
      <c r="K1268" s="14">
        <v>25.0</v>
      </c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</row>
    <row r="1269">
      <c r="A1269" s="14" t="s">
        <v>4763</v>
      </c>
      <c r="B1269" s="17" t="s">
        <v>4753</v>
      </c>
      <c r="C1269" s="17" t="s">
        <v>4764</v>
      </c>
      <c r="D1269" s="19" t="s">
        <v>4765</v>
      </c>
      <c r="E1269" s="20" t="s">
        <v>53</v>
      </c>
      <c r="F1269" s="27">
        <v>30668.0</v>
      </c>
      <c r="G1269" s="14">
        <v>42.0</v>
      </c>
      <c r="H1269" s="23" t="s">
        <v>26</v>
      </c>
      <c r="I1269" s="24" t="s">
        <v>33</v>
      </c>
      <c r="J1269" s="19" t="s">
        <v>328</v>
      </c>
      <c r="K1269" s="14">
        <v>25.0</v>
      </c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</row>
    <row r="1270">
      <c r="A1270" s="14" t="s">
        <v>4766</v>
      </c>
      <c r="B1270" s="17" t="s">
        <v>4767</v>
      </c>
      <c r="C1270" s="17" t="s">
        <v>4768</v>
      </c>
      <c r="D1270" s="19" t="s">
        <v>4769</v>
      </c>
      <c r="E1270" s="20" t="s">
        <v>104</v>
      </c>
      <c r="F1270" s="21">
        <v>32678.0</v>
      </c>
      <c r="G1270" s="14">
        <v>37.0</v>
      </c>
      <c r="H1270" s="23" t="s">
        <v>26</v>
      </c>
      <c r="I1270" s="24" t="s">
        <v>33</v>
      </c>
      <c r="J1270" s="19" t="s">
        <v>146</v>
      </c>
      <c r="K1270" s="14">
        <v>1.0</v>
      </c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</row>
    <row r="1271">
      <c r="A1271" s="14" t="s">
        <v>4770</v>
      </c>
      <c r="B1271" s="17" t="s">
        <v>4767</v>
      </c>
      <c r="C1271" s="17" t="s">
        <v>4771</v>
      </c>
      <c r="D1271" s="19" t="s">
        <v>4772</v>
      </c>
      <c r="E1271" s="20" t="s">
        <v>104</v>
      </c>
      <c r="F1271" s="21">
        <v>34166.0</v>
      </c>
      <c r="G1271" s="14">
        <v>33.0</v>
      </c>
      <c r="H1271" s="23" t="s">
        <v>26</v>
      </c>
      <c r="I1271" s="24" t="s">
        <v>27</v>
      </c>
      <c r="J1271" s="19" t="s">
        <v>146</v>
      </c>
      <c r="K1271" s="14">
        <v>1.0</v>
      </c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</row>
    <row r="1272">
      <c r="A1272" s="14" t="s">
        <v>4773</v>
      </c>
      <c r="B1272" s="17" t="s">
        <v>4774</v>
      </c>
      <c r="C1272" s="17" t="s">
        <v>4775</v>
      </c>
      <c r="D1272" s="19" t="s">
        <v>4776</v>
      </c>
      <c r="E1272" s="20" t="s">
        <v>4777</v>
      </c>
      <c r="F1272" s="21">
        <v>29617.0</v>
      </c>
      <c r="G1272" s="14">
        <v>45.0</v>
      </c>
      <c r="H1272" s="23" t="s">
        <v>26</v>
      </c>
      <c r="I1272" s="24" t="s">
        <v>33</v>
      </c>
      <c r="J1272" s="19" t="s">
        <v>146</v>
      </c>
      <c r="K1272" s="14">
        <v>3.0</v>
      </c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</row>
    <row r="1273">
      <c r="A1273" s="14" t="s">
        <v>4778</v>
      </c>
      <c r="B1273" s="17" t="s">
        <v>4774</v>
      </c>
      <c r="C1273" s="17" t="s">
        <v>4779</v>
      </c>
      <c r="D1273" s="19" t="s">
        <v>4780</v>
      </c>
      <c r="E1273" s="20" t="s">
        <v>4781</v>
      </c>
      <c r="F1273" s="21">
        <v>31550.0</v>
      </c>
      <c r="G1273" s="14">
        <v>40.0</v>
      </c>
      <c r="H1273" s="23" t="s">
        <v>26</v>
      </c>
      <c r="I1273" s="24" t="s">
        <v>27</v>
      </c>
      <c r="J1273" s="19" t="s">
        <v>146</v>
      </c>
      <c r="K1273" s="14">
        <v>3.0</v>
      </c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</row>
    <row r="1274">
      <c r="A1274" s="14" t="s">
        <v>4782</v>
      </c>
      <c r="B1274" s="17" t="s">
        <v>4783</v>
      </c>
      <c r="C1274" s="17" t="s">
        <v>4784</v>
      </c>
      <c r="D1274" s="19" t="s">
        <v>4785</v>
      </c>
      <c r="E1274" s="20" t="s">
        <v>53</v>
      </c>
      <c r="F1274" s="21">
        <v>33398.0</v>
      </c>
      <c r="G1274" s="14">
        <v>35.0</v>
      </c>
      <c r="H1274" s="23" t="s">
        <v>100</v>
      </c>
      <c r="I1274" s="24" t="s">
        <v>33</v>
      </c>
      <c r="J1274" s="19" t="s">
        <v>517</v>
      </c>
      <c r="K1274" s="14">
        <v>9.0</v>
      </c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</row>
    <row r="1275">
      <c r="A1275" s="14" t="s">
        <v>4786</v>
      </c>
      <c r="B1275" s="17" t="s">
        <v>4783</v>
      </c>
      <c r="C1275" s="17" t="s">
        <v>4787</v>
      </c>
      <c r="D1275" s="19" t="s">
        <v>4788</v>
      </c>
      <c r="E1275" s="20" t="s">
        <v>53</v>
      </c>
      <c r="F1275" s="21">
        <v>36748.0</v>
      </c>
      <c r="G1275" s="14">
        <v>26.0</v>
      </c>
      <c r="H1275" s="23" t="s">
        <v>100</v>
      </c>
      <c r="I1275" s="24" t="s">
        <v>27</v>
      </c>
      <c r="J1275" s="19" t="s">
        <v>517</v>
      </c>
      <c r="K1275" s="14">
        <v>9.0</v>
      </c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</row>
    <row r="1276">
      <c r="A1276" s="14" t="s">
        <v>4789</v>
      </c>
      <c r="B1276" s="17" t="s">
        <v>4783</v>
      </c>
      <c r="C1276" s="17" t="s">
        <v>4790</v>
      </c>
      <c r="D1276" s="19" t="s">
        <v>4791</v>
      </c>
      <c r="E1276" s="20" t="s">
        <v>4792</v>
      </c>
      <c r="F1276" s="21">
        <v>25640.0</v>
      </c>
      <c r="G1276" s="14">
        <v>56.0</v>
      </c>
      <c r="H1276" s="23" t="s">
        <v>27</v>
      </c>
      <c r="I1276" s="24" t="s">
        <v>27</v>
      </c>
      <c r="J1276" s="19" t="s">
        <v>517</v>
      </c>
      <c r="K1276" s="14">
        <v>9.0</v>
      </c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</row>
    <row r="1277">
      <c r="A1277" s="14" t="s">
        <v>4793</v>
      </c>
      <c r="B1277" s="17" t="s">
        <v>4783</v>
      </c>
      <c r="C1277" s="17" t="s">
        <v>4794</v>
      </c>
      <c r="D1277" s="19" t="s">
        <v>4795</v>
      </c>
      <c r="E1277" s="20" t="s">
        <v>104</v>
      </c>
      <c r="F1277" s="27">
        <v>38700.0</v>
      </c>
      <c r="G1277" s="14">
        <v>20.0</v>
      </c>
      <c r="H1277" s="23" t="s">
        <v>100</v>
      </c>
      <c r="I1277" s="24" t="s">
        <v>33</v>
      </c>
      <c r="J1277" s="19" t="s">
        <v>517</v>
      </c>
      <c r="K1277" s="14">
        <v>9.0</v>
      </c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</row>
    <row r="1278">
      <c r="A1278" s="14" t="s">
        <v>4796</v>
      </c>
      <c r="B1278" s="17" t="s">
        <v>4797</v>
      </c>
      <c r="C1278" s="17" t="s">
        <v>4798</v>
      </c>
      <c r="D1278" s="19" t="s">
        <v>4799</v>
      </c>
      <c r="E1278" s="20" t="s">
        <v>1816</v>
      </c>
      <c r="F1278" s="21">
        <v>22115.0</v>
      </c>
      <c r="G1278" s="14">
        <v>66.0</v>
      </c>
      <c r="H1278" s="23" t="s">
        <v>27</v>
      </c>
      <c r="I1278" s="24" t="s">
        <v>27</v>
      </c>
      <c r="J1278" s="19" t="s">
        <v>53</v>
      </c>
      <c r="K1278" s="14">
        <v>19.0</v>
      </c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</row>
    <row r="1279">
      <c r="A1279" s="14" t="s">
        <v>4800</v>
      </c>
      <c r="B1279" s="17" t="s">
        <v>4797</v>
      </c>
      <c r="C1279" s="17" t="s">
        <v>4801</v>
      </c>
      <c r="D1279" s="19" t="s">
        <v>4802</v>
      </c>
      <c r="E1279" s="20" t="s">
        <v>104</v>
      </c>
      <c r="F1279" s="21">
        <v>36529.0</v>
      </c>
      <c r="G1279" s="14">
        <v>26.0</v>
      </c>
      <c r="H1279" s="23" t="s">
        <v>100</v>
      </c>
      <c r="I1279" s="24" t="s">
        <v>33</v>
      </c>
      <c r="J1279" s="19" t="s">
        <v>53</v>
      </c>
      <c r="K1279" s="14">
        <v>19.0</v>
      </c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</row>
    <row r="1280">
      <c r="A1280" s="14" t="s">
        <v>4803</v>
      </c>
      <c r="B1280" s="17" t="s">
        <v>4804</v>
      </c>
      <c r="C1280" s="17" t="s">
        <v>4805</v>
      </c>
      <c r="D1280" s="19" t="s">
        <v>4806</v>
      </c>
      <c r="E1280" s="20" t="s">
        <v>104</v>
      </c>
      <c r="F1280" s="27">
        <v>39399.0</v>
      </c>
      <c r="G1280" s="14">
        <v>18.0</v>
      </c>
      <c r="H1280" s="23" t="s">
        <v>100</v>
      </c>
      <c r="I1280" s="24" t="s">
        <v>27</v>
      </c>
      <c r="J1280" s="19" t="s">
        <v>1915</v>
      </c>
      <c r="K1280" s="14">
        <v>11.0</v>
      </c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</row>
    <row r="1281">
      <c r="A1281" s="14" t="s">
        <v>4807</v>
      </c>
      <c r="B1281" s="17" t="s">
        <v>4804</v>
      </c>
      <c r="C1281" s="17" t="s">
        <v>4808</v>
      </c>
      <c r="D1281" s="19" t="s">
        <v>4809</v>
      </c>
      <c r="E1281" s="20" t="s">
        <v>1903</v>
      </c>
      <c r="F1281" s="21">
        <v>27169.0</v>
      </c>
      <c r="G1281" s="14">
        <v>52.0</v>
      </c>
      <c r="H1281" s="23" t="s">
        <v>26</v>
      </c>
      <c r="I1281" s="24" t="s">
        <v>27</v>
      </c>
      <c r="J1281" s="19" t="s">
        <v>1915</v>
      </c>
      <c r="K1281" s="14">
        <v>11.0</v>
      </c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</row>
    <row r="1282">
      <c r="A1282" s="14" t="s">
        <v>4810</v>
      </c>
      <c r="B1282" s="17" t="s">
        <v>4811</v>
      </c>
      <c r="C1282" s="17" t="s">
        <v>4812</v>
      </c>
      <c r="D1282" s="19" t="s">
        <v>4813</v>
      </c>
      <c r="E1282" s="20" t="s">
        <v>650</v>
      </c>
      <c r="F1282" s="21">
        <v>21732.0</v>
      </c>
      <c r="G1282" s="14">
        <v>67.0</v>
      </c>
      <c r="H1282" s="23" t="s">
        <v>26</v>
      </c>
      <c r="I1282" s="24" t="s">
        <v>27</v>
      </c>
      <c r="J1282" s="19" t="s">
        <v>53</v>
      </c>
      <c r="K1282" s="14">
        <v>34.0</v>
      </c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</row>
    <row r="1283">
      <c r="A1283" s="14" t="s">
        <v>4814</v>
      </c>
      <c r="B1283" s="17" t="s">
        <v>4811</v>
      </c>
      <c r="C1283" s="17" t="s">
        <v>4815</v>
      </c>
      <c r="D1283" s="19" t="s">
        <v>4816</v>
      </c>
      <c r="E1283" s="20" t="s">
        <v>650</v>
      </c>
      <c r="F1283" s="21">
        <v>18080.0</v>
      </c>
      <c r="G1283" s="14">
        <v>77.0</v>
      </c>
      <c r="H1283" s="23" t="s">
        <v>26</v>
      </c>
      <c r="I1283" s="24" t="s">
        <v>33</v>
      </c>
      <c r="J1283" s="19" t="s">
        <v>53</v>
      </c>
      <c r="K1283" s="14">
        <v>34.0</v>
      </c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</row>
    <row r="1284">
      <c r="A1284" s="14" t="s">
        <v>4817</v>
      </c>
      <c r="B1284" s="17" t="s">
        <v>4818</v>
      </c>
      <c r="C1284" s="17" t="s">
        <v>4819</v>
      </c>
      <c r="D1284" s="19" t="s">
        <v>4820</v>
      </c>
      <c r="E1284" s="20" t="s">
        <v>53</v>
      </c>
      <c r="F1284" s="21">
        <v>35165.0</v>
      </c>
      <c r="G1284" s="14">
        <v>30.0</v>
      </c>
      <c r="H1284" s="23" t="s">
        <v>100</v>
      </c>
      <c r="I1284" s="24" t="s">
        <v>33</v>
      </c>
      <c r="J1284" s="19" t="s">
        <v>362</v>
      </c>
      <c r="K1284" s="14">
        <v>25.0</v>
      </c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</row>
    <row r="1285">
      <c r="A1285" s="14" t="s">
        <v>4821</v>
      </c>
      <c r="B1285" s="17" t="s">
        <v>4818</v>
      </c>
      <c r="C1285" s="17" t="s">
        <v>4822</v>
      </c>
      <c r="D1285" s="19" t="s">
        <v>4823</v>
      </c>
      <c r="E1285" s="20" t="s">
        <v>429</v>
      </c>
      <c r="F1285" s="27">
        <v>24407.0</v>
      </c>
      <c r="G1285" s="14">
        <v>59.0</v>
      </c>
      <c r="H1285" s="23" t="s">
        <v>26</v>
      </c>
      <c r="I1285" s="24" t="s">
        <v>27</v>
      </c>
      <c r="J1285" s="19" t="s">
        <v>362</v>
      </c>
      <c r="K1285" s="14">
        <v>25.0</v>
      </c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</row>
    <row r="1286">
      <c r="A1286" s="14" t="s">
        <v>4824</v>
      </c>
      <c r="B1286" s="17" t="s">
        <v>4818</v>
      </c>
      <c r="C1286" s="17" t="s">
        <v>4825</v>
      </c>
      <c r="D1286" s="19" t="s">
        <v>4826</v>
      </c>
      <c r="E1286" s="20" t="s">
        <v>429</v>
      </c>
      <c r="F1286" s="21">
        <v>13697.0</v>
      </c>
      <c r="G1286" s="14">
        <v>89.0</v>
      </c>
      <c r="H1286" s="23" t="s">
        <v>27</v>
      </c>
      <c r="I1286" s="24" t="s">
        <v>33</v>
      </c>
      <c r="J1286" s="19" t="s">
        <v>362</v>
      </c>
      <c r="K1286" s="14">
        <v>25.0</v>
      </c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</row>
    <row r="1287">
      <c r="A1287" s="14" t="s">
        <v>4827</v>
      </c>
      <c r="B1287" s="17" t="s">
        <v>4818</v>
      </c>
      <c r="C1287" s="17" t="s">
        <v>4828</v>
      </c>
      <c r="D1287" s="19" t="s">
        <v>4829</v>
      </c>
      <c r="E1287" s="20" t="s">
        <v>429</v>
      </c>
      <c r="F1287" s="27">
        <v>25121.0</v>
      </c>
      <c r="G1287" s="14">
        <v>57.0</v>
      </c>
      <c r="H1287" s="23" t="s">
        <v>26</v>
      </c>
      <c r="I1287" s="24" t="s">
        <v>33</v>
      </c>
      <c r="J1287" s="19" t="s">
        <v>362</v>
      </c>
      <c r="K1287" s="14">
        <v>25.0</v>
      </c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</row>
    <row r="1288">
      <c r="A1288" s="14" t="s">
        <v>4830</v>
      </c>
      <c r="B1288" s="17" t="s">
        <v>4818</v>
      </c>
      <c r="C1288" s="17" t="s">
        <v>4831</v>
      </c>
      <c r="D1288" s="19" t="s">
        <v>4832</v>
      </c>
      <c r="E1288" s="20" t="s">
        <v>337</v>
      </c>
      <c r="F1288" s="21">
        <v>37434.0</v>
      </c>
      <c r="G1288" s="14">
        <v>24.0</v>
      </c>
      <c r="H1288" s="23" t="s">
        <v>100</v>
      </c>
      <c r="I1288" s="24" t="s">
        <v>33</v>
      </c>
      <c r="J1288" s="19" t="s">
        <v>362</v>
      </c>
      <c r="K1288" s="14">
        <v>25.0</v>
      </c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</row>
    <row r="1289">
      <c r="A1289" s="14" t="s">
        <v>4833</v>
      </c>
      <c r="B1289" s="17" t="s">
        <v>4834</v>
      </c>
      <c r="C1289" s="17" t="s">
        <v>4835</v>
      </c>
      <c r="D1289" s="19" t="s">
        <v>4836</v>
      </c>
      <c r="E1289" s="20" t="s">
        <v>53</v>
      </c>
      <c r="F1289" s="21">
        <v>38592.0</v>
      </c>
      <c r="G1289" s="14">
        <v>21.0</v>
      </c>
      <c r="H1289" s="23" t="s">
        <v>100</v>
      </c>
      <c r="I1289" s="24" t="s">
        <v>33</v>
      </c>
      <c r="J1289" s="19" t="s">
        <v>328</v>
      </c>
      <c r="K1289" s="14">
        <v>26.0</v>
      </c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</row>
    <row r="1290">
      <c r="A1290" s="14" t="s">
        <v>4837</v>
      </c>
      <c r="B1290" s="17" t="s">
        <v>4834</v>
      </c>
      <c r="C1290" s="17" t="s">
        <v>4838</v>
      </c>
      <c r="D1290" s="19" t="s">
        <v>4839</v>
      </c>
      <c r="E1290" s="20" t="s">
        <v>195</v>
      </c>
      <c r="F1290" s="21">
        <v>36406.0</v>
      </c>
      <c r="G1290" s="14">
        <v>26.0</v>
      </c>
      <c r="H1290" s="23" t="s">
        <v>100</v>
      </c>
      <c r="I1290" s="24" t="s">
        <v>33</v>
      </c>
      <c r="J1290" s="19" t="s">
        <v>328</v>
      </c>
      <c r="K1290" s="14">
        <v>26.0</v>
      </c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</row>
    <row r="1291">
      <c r="A1291" s="14" t="s">
        <v>4840</v>
      </c>
      <c r="B1291" s="17" t="s">
        <v>4834</v>
      </c>
      <c r="C1291" s="17" t="s">
        <v>4841</v>
      </c>
      <c r="D1291" s="19" t="s">
        <v>4842</v>
      </c>
      <c r="E1291" s="20" t="s">
        <v>195</v>
      </c>
      <c r="F1291" s="21">
        <v>26343.0</v>
      </c>
      <c r="G1291" s="14">
        <v>54.0</v>
      </c>
      <c r="H1291" s="23" t="s">
        <v>26</v>
      </c>
      <c r="I1291" s="24" t="s">
        <v>33</v>
      </c>
      <c r="J1291" s="19" t="s">
        <v>328</v>
      </c>
      <c r="K1291" s="14">
        <v>26.0</v>
      </c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</row>
    <row r="1292">
      <c r="A1292" s="14" t="s">
        <v>4843</v>
      </c>
      <c r="B1292" s="17" t="s">
        <v>4834</v>
      </c>
      <c r="C1292" s="17" t="s">
        <v>4844</v>
      </c>
      <c r="D1292" s="19" t="s">
        <v>4845</v>
      </c>
      <c r="E1292" s="20" t="s">
        <v>1370</v>
      </c>
      <c r="F1292" s="21">
        <v>27287.0</v>
      </c>
      <c r="G1292" s="14">
        <v>51.0</v>
      </c>
      <c r="H1292" s="23" t="s">
        <v>26</v>
      </c>
      <c r="I1292" s="24" t="s">
        <v>27</v>
      </c>
      <c r="J1292" s="19" t="s">
        <v>328</v>
      </c>
      <c r="K1292" s="14">
        <v>26.0</v>
      </c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</row>
    <row r="1293">
      <c r="A1293" s="14" t="s">
        <v>4846</v>
      </c>
      <c r="B1293" s="17" t="s">
        <v>4847</v>
      </c>
      <c r="C1293" s="17" t="s">
        <v>4848</v>
      </c>
      <c r="D1293" s="19" t="s">
        <v>4849</v>
      </c>
      <c r="E1293" s="20" t="s">
        <v>53</v>
      </c>
      <c r="F1293" s="21">
        <v>38950.0</v>
      </c>
      <c r="G1293" s="14">
        <v>20.0</v>
      </c>
      <c r="H1293" s="23" t="s">
        <v>100</v>
      </c>
      <c r="I1293" s="24" t="s">
        <v>27</v>
      </c>
      <c r="J1293" s="19" t="s">
        <v>362</v>
      </c>
      <c r="K1293" s="14">
        <v>26.0</v>
      </c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</row>
    <row r="1294">
      <c r="A1294" s="14" t="s">
        <v>4850</v>
      </c>
      <c r="B1294" s="17" t="s">
        <v>4847</v>
      </c>
      <c r="C1294" s="17" t="s">
        <v>4851</v>
      </c>
      <c r="D1294" s="19" t="s">
        <v>4852</v>
      </c>
      <c r="E1294" s="20" t="s">
        <v>632</v>
      </c>
      <c r="F1294" s="21">
        <v>25759.0</v>
      </c>
      <c r="G1294" s="14">
        <v>56.0</v>
      </c>
      <c r="H1294" s="23" t="s">
        <v>26</v>
      </c>
      <c r="I1294" s="24" t="s">
        <v>27</v>
      </c>
      <c r="J1294" s="19" t="s">
        <v>362</v>
      </c>
      <c r="K1294" s="14">
        <v>26.0</v>
      </c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</row>
    <row r="1295">
      <c r="A1295" s="14" t="s">
        <v>4853</v>
      </c>
      <c r="B1295" s="17" t="s">
        <v>4847</v>
      </c>
      <c r="C1295" s="17" t="s">
        <v>4854</v>
      </c>
      <c r="D1295" s="19" t="s">
        <v>665</v>
      </c>
      <c r="E1295" s="20" t="s">
        <v>1291</v>
      </c>
      <c r="F1295" s="21">
        <v>27426.0</v>
      </c>
      <c r="G1295" s="14">
        <v>51.0</v>
      </c>
      <c r="H1295" s="23" t="s">
        <v>26</v>
      </c>
      <c r="I1295" s="24" t="s">
        <v>33</v>
      </c>
      <c r="J1295" s="19" t="s">
        <v>362</v>
      </c>
      <c r="K1295" s="14">
        <v>26.0</v>
      </c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</row>
    <row r="1296">
      <c r="A1296" s="14" t="s">
        <v>4855</v>
      </c>
      <c r="B1296" s="17" t="s">
        <v>4856</v>
      </c>
      <c r="C1296" s="17" t="s">
        <v>4857</v>
      </c>
      <c r="D1296" s="19" t="s">
        <v>4858</v>
      </c>
      <c r="E1296" s="20" t="s">
        <v>632</v>
      </c>
      <c r="F1296" s="27">
        <v>23299.0</v>
      </c>
      <c r="G1296" s="14">
        <v>62.0</v>
      </c>
      <c r="H1296" s="23" t="s">
        <v>26</v>
      </c>
      <c r="I1296" s="24" t="s">
        <v>27</v>
      </c>
      <c r="J1296" s="19" t="s">
        <v>362</v>
      </c>
      <c r="K1296" s="14">
        <v>26.0</v>
      </c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</row>
    <row r="1297">
      <c r="A1297" s="14" t="s">
        <v>4859</v>
      </c>
      <c r="B1297" s="17" t="s">
        <v>4856</v>
      </c>
      <c r="C1297" s="17" t="s">
        <v>4860</v>
      </c>
      <c r="D1297" s="19" t="s">
        <v>4861</v>
      </c>
      <c r="E1297" s="20" t="s">
        <v>3510</v>
      </c>
      <c r="F1297" s="21">
        <v>22757.0</v>
      </c>
      <c r="G1297" s="14">
        <v>64.0</v>
      </c>
      <c r="H1297" s="23" t="s">
        <v>26</v>
      </c>
      <c r="I1297" s="24" t="s">
        <v>33</v>
      </c>
      <c r="J1297" s="19" t="s">
        <v>362</v>
      </c>
      <c r="K1297" s="14">
        <v>26.0</v>
      </c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</row>
    <row r="1298">
      <c r="A1298" s="14" t="s">
        <v>4862</v>
      </c>
      <c r="B1298" s="17" t="s">
        <v>4863</v>
      </c>
      <c r="C1298" s="17" t="s">
        <v>4864</v>
      </c>
      <c r="D1298" s="19" t="s">
        <v>4865</v>
      </c>
      <c r="E1298" s="20" t="s">
        <v>654</v>
      </c>
      <c r="F1298" s="21">
        <v>17349.0</v>
      </c>
      <c r="G1298" s="14">
        <v>79.0</v>
      </c>
      <c r="H1298" s="23" t="s">
        <v>26</v>
      </c>
      <c r="I1298" s="24" t="s">
        <v>27</v>
      </c>
      <c r="J1298" s="19" t="s">
        <v>895</v>
      </c>
      <c r="K1298" s="14">
        <v>25.0</v>
      </c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</row>
    <row r="1299">
      <c r="A1299" s="14" t="s">
        <v>4866</v>
      </c>
      <c r="B1299" s="17" t="s">
        <v>4867</v>
      </c>
      <c r="C1299" s="17" t="s">
        <v>4868</v>
      </c>
      <c r="D1299" s="19" t="s">
        <v>4869</v>
      </c>
      <c r="E1299" s="20" t="s">
        <v>210</v>
      </c>
      <c r="F1299" s="21">
        <v>29469.0</v>
      </c>
      <c r="G1299" s="14">
        <v>45.0</v>
      </c>
      <c r="H1299" s="23" t="s">
        <v>26</v>
      </c>
      <c r="I1299" s="24" t="s">
        <v>27</v>
      </c>
      <c r="J1299" s="19" t="s">
        <v>895</v>
      </c>
      <c r="K1299" s="14">
        <v>25.0</v>
      </c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</row>
    <row r="1300">
      <c r="A1300" s="14" t="s">
        <v>4870</v>
      </c>
      <c r="B1300" s="17" t="s">
        <v>4871</v>
      </c>
      <c r="C1300" s="17" t="s">
        <v>4872</v>
      </c>
      <c r="D1300" s="19" t="s">
        <v>250</v>
      </c>
      <c r="E1300" s="20" t="s">
        <v>654</v>
      </c>
      <c r="F1300" s="21">
        <v>20191.0</v>
      </c>
      <c r="G1300" s="14">
        <v>71.0</v>
      </c>
      <c r="H1300" s="23" t="s">
        <v>26</v>
      </c>
      <c r="I1300" s="24" t="s">
        <v>33</v>
      </c>
      <c r="J1300" s="19" t="s">
        <v>4020</v>
      </c>
      <c r="K1300" s="14">
        <v>25.0</v>
      </c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</row>
    <row r="1301">
      <c r="A1301" s="14" t="s">
        <v>4873</v>
      </c>
      <c r="B1301" s="17" t="s">
        <v>4871</v>
      </c>
      <c r="C1301" s="17" t="s">
        <v>4874</v>
      </c>
      <c r="D1301" s="19" t="s">
        <v>4875</v>
      </c>
      <c r="E1301" s="20" t="s">
        <v>654</v>
      </c>
      <c r="F1301" s="21">
        <v>22463.0</v>
      </c>
      <c r="G1301" s="14">
        <v>65.0</v>
      </c>
      <c r="H1301" s="23" t="s">
        <v>26</v>
      </c>
      <c r="I1301" s="24" t="s">
        <v>27</v>
      </c>
      <c r="J1301" s="19" t="s">
        <v>4020</v>
      </c>
      <c r="K1301" s="14">
        <v>25.0</v>
      </c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</row>
    <row r="1302">
      <c r="A1302" s="14" t="s">
        <v>4876</v>
      </c>
      <c r="B1302" s="17" t="s">
        <v>4877</v>
      </c>
      <c r="C1302" s="17" t="s">
        <v>4878</v>
      </c>
      <c r="D1302" s="19" t="s">
        <v>4879</v>
      </c>
      <c r="E1302" s="20" t="s">
        <v>632</v>
      </c>
      <c r="F1302" s="21">
        <v>19898.0</v>
      </c>
      <c r="G1302" s="14">
        <v>72.0</v>
      </c>
      <c r="H1302" s="23" t="s">
        <v>26</v>
      </c>
      <c r="I1302" s="24" t="s">
        <v>33</v>
      </c>
      <c r="J1302" s="19" t="s">
        <v>68</v>
      </c>
      <c r="K1302" s="14">
        <v>29.0</v>
      </c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</row>
    <row r="1303">
      <c r="A1303" s="14" t="s">
        <v>4880</v>
      </c>
      <c r="B1303" s="17" t="s">
        <v>4877</v>
      </c>
      <c r="C1303" s="17" t="s">
        <v>4881</v>
      </c>
      <c r="D1303" s="19" t="s">
        <v>4882</v>
      </c>
      <c r="E1303" s="20" t="s">
        <v>632</v>
      </c>
      <c r="F1303" s="21">
        <v>19826.0</v>
      </c>
      <c r="G1303" s="14">
        <v>72.0</v>
      </c>
      <c r="H1303" s="23" t="s">
        <v>26</v>
      </c>
      <c r="I1303" s="24" t="s">
        <v>27</v>
      </c>
      <c r="J1303" s="19" t="s">
        <v>68</v>
      </c>
      <c r="K1303" s="14">
        <v>29.0</v>
      </c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</row>
    <row r="1304">
      <c r="A1304" s="14" t="s">
        <v>4883</v>
      </c>
      <c r="B1304" s="17" t="s">
        <v>4884</v>
      </c>
      <c r="C1304" s="17" t="s">
        <v>4885</v>
      </c>
      <c r="D1304" s="19" t="s">
        <v>4886</v>
      </c>
      <c r="E1304" s="20" t="s">
        <v>104</v>
      </c>
      <c r="F1304" s="21">
        <v>30479.0</v>
      </c>
      <c r="G1304" s="14">
        <v>43.0</v>
      </c>
      <c r="H1304" s="23" t="s">
        <v>26</v>
      </c>
      <c r="I1304" s="24" t="s">
        <v>27</v>
      </c>
      <c r="J1304" s="19" t="s">
        <v>146</v>
      </c>
      <c r="K1304" s="14">
        <v>1.0</v>
      </c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</row>
    <row r="1305">
      <c r="A1305" s="14" t="s">
        <v>4887</v>
      </c>
      <c r="B1305" s="17" t="s">
        <v>4884</v>
      </c>
      <c r="C1305" s="17" t="s">
        <v>4888</v>
      </c>
      <c r="D1305" s="19" t="s">
        <v>4889</v>
      </c>
      <c r="E1305" s="20" t="s">
        <v>104</v>
      </c>
      <c r="F1305" s="21">
        <v>29382.0</v>
      </c>
      <c r="G1305" s="14">
        <v>46.0</v>
      </c>
      <c r="H1305" s="23" t="s">
        <v>26</v>
      </c>
      <c r="I1305" s="24" t="s">
        <v>33</v>
      </c>
      <c r="J1305" s="19" t="s">
        <v>146</v>
      </c>
      <c r="K1305" s="14">
        <v>1.0</v>
      </c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</row>
    <row r="1306">
      <c r="A1306" s="14" t="s">
        <v>4890</v>
      </c>
      <c r="B1306" s="17" t="s">
        <v>4891</v>
      </c>
      <c r="C1306" s="17" t="s">
        <v>4892</v>
      </c>
      <c r="D1306" s="19" t="s">
        <v>4893</v>
      </c>
      <c r="E1306" s="20" t="s">
        <v>104</v>
      </c>
      <c r="F1306" s="21">
        <v>36943.0</v>
      </c>
      <c r="G1306" s="14">
        <v>25.0</v>
      </c>
      <c r="H1306" s="23" t="s">
        <v>100</v>
      </c>
      <c r="I1306" s="24" t="s">
        <v>33</v>
      </c>
      <c r="J1306" s="19" t="s">
        <v>146</v>
      </c>
      <c r="K1306" s="14">
        <v>1.0</v>
      </c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</row>
    <row r="1307">
      <c r="A1307" s="14" t="s">
        <v>4894</v>
      </c>
      <c r="B1307" s="17" t="s">
        <v>4891</v>
      </c>
      <c r="C1307" s="17" t="s">
        <v>4895</v>
      </c>
      <c r="D1307" s="19" t="s">
        <v>4896</v>
      </c>
      <c r="E1307" s="20" t="s">
        <v>104</v>
      </c>
      <c r="F1307" s="21">
        <v>37856.0</v>
      </c>
      <c r="G1307" s="14">
        <v>23.0</v>
      </c>
      <c r="H1307" s="23" t="s">
        <v>100</v>
      </c>
      <c r="I1307" s="24" t="s">
        <v>33</v>
      </c>
      <c r="J1307" s="19" t="s">
        <v>146</v>
      </c>
      <c r="K1307" s="14">
        <v>1.0</v>
      </c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</row>
    <row r="1308">
      <c r="A1308" s="14" t="s">
        <v>4897</v>
      </c>
      <c r="B1308" s="17" t="s">
        <v>4891</v>
      </c>
      <c r="C1308" s="17" t="s">
        <v>4898</v>
      </c>
      <c r="D1308" s="19" t="s">
        <v>4899</v>
      </c>
      <c r="E1308" s="20" t="s">
        <v>219</v>
      </c>
      <c r="F1308" s="21">
        <v>26675.0</v>
      </c>
      <c r="G1308" s="14">
        <v>53.0</v>
      </c>
      <c r="H1308" s="23" t="s">
        <v>26</v>
      </c>
      <c r="I1308" s="24" t="s">
        <v>33</v>
      </c>
      <c r="J1308" s="19" t="s">
        <v>146</v>
      </c>
      <c r="K1308" s="14">
        <v>1.0</v>
      </c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</row>
    <row r="1309">
      <c r="A1309" s="14" t="s">
        <v>4901</v>
      </c>
      <c r="B1309" s="17" t="s">
        <v>4891</v>
      </c>
      <c r="C1309" s="17" t="s">
        <v>4902</v>
      </c>
      <c r="D1309" s="19" t="s">
        <v>4903</v>
      </c>
      <c r="E1309" s="20" t="s">
        <v>104</v>
      </c>
      <c r="F1309" s="21">
        <v>29984.0</v>
      </c>
      <c r="G1309" s="14">
        <v>44.0</v>
      </c>
      <c r="H1309" s="23" t="s">
        <v>26</v>
      </c>
      <c r="I1309" s="24" t="s">
        <v>27</v>
      </c>
      <c r="J1309" s="19" t="s">
        <v>146</v>
      </c>
      <c r="K1309" s="14">
        <v>1.0</v>
      </c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</row>
    <row r="1310">
      <c r="A1310" s="14" t="s">
        <v>4904</v>
      </c>
      <c r="B1310" s="17" t="s">
        <v>4905</v>
      </c>
      <c r="C1310" s="17" t="s">
        <v>4906</v>
      </c>
      <c r="D1310" s="19" t="s">
        <v>4907</v>
      </c>
      <c r="E1310" s="20" t="s">
        <v>53</v>
      </c>
      <c r="F1310" s="21">
        <v>31589.0</v>
      </c>
      <c r="G1310" s="14">
        <v>40.0</v>
      </c>
      <c r="H1310" s="23" t="s">
        <v>27</v>
      </c>
      <c r="I1310" s="24" t="s">
        <v>33</v>
      </c>
      <c r="J1310" s="19" t="s">
        <v>517</v>
      </c>
      <c r="K1310" s="14">
        <v>8.0</v>
      </c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</row>
    <row r="1311">
      <c r="A1311" s="14" t="s">
        <v>4908</v>
      </c>
      <c r="B1311" s="17" t="s">
        <v>4909</v>
      </c>
      <c r="C1311" s="17" t="s">
        <v>4910</v>
      </c>
      <c r="D1311" s="19" t="s">
        <v>4911</v>
      </c>
      <c r="E1311" s="20" t="s">
        <v>53</v>
      </c>
      <c r="F1311" s="21">
        <v>33276.0</v>
      </c>
      <c r="G1311" s="14">
        <v>35.0</v>
      </c>
      <c r="H1311" s="23" t="s">
        <v>26</v>
      </c>
      <c r="I1311" s="24" t="s">
        <v>33</v>
      </c>
      <c r="J1311" s="19" t="s">
        <v>68</v>
      </c>
      <c r="K1311" s="14">
        <v>32.0</v>
      </c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</row>
    <row r="1312">
      <c r="A1312" s="14" t="s">
        <v>4912</v>
      </c>
      <c r="B1312" s="17" t="s">
        <v>4909</v>
      </c>
      <c r="C1312" s="17" t="s">
        <v>4913</v>
      </c>
      <c r="D1312" s="19" t="s">
        <v>4914</v>
      </c>
      <c r="E1312" s="20" t="s">
        <v>4915</v>
      </c>
      <c r="F1312" s="21">
        <v>34553.0</v>
      </c>
      <c r="G1312" s="14">
        <v>32.0</v>
      </c>
      <c r="H1312" s="23" t="s">
        <v>26</v>
      </c>
      <c r="I1312" s="24" t="s">
        <v>27</v>
      </c>
      <c r="J1312" s="19" t="s">
        <v>68</v>
      </c>
      <c r="K1312" s="14">
        <v>32.0</v>
      </c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</row>
    <row r="1313">
      <c r="A1313" s="14" t="s">
        <v>4916</v>
      </c>
      <c r="B1313" s="17" t="s">
        <v>4917</v>
      </c>
      <c r="C1313" s="17" t="s">
        <v>4918</v>
      </c>
      <c r="D1313" s="19" t="s">
        <v>4919</v>
      </c>
      <c r="E1313" s="20" t="s">
        <v>53</v>
      </c>
      <c r="F1313" s="21">
        <v>33468.0</v>
      </c>
      <c r="G1313" s="14">
        <v>35.0</v>
      </c>
      <c r="H1313" s="23" t="s">
        <v>26</v>
      </c>
      <c r="I1313" s="24" t="s">
        <v>33</v>
      </c>
      <c r="J1313" s="19" t="s">
        <v>328</v>
      </c>
      <c r="K1313" s="14">
        <v>22.0</v>
      </c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</row>
    <row r="1314">
      <c r="A1314" s="14" t="s">
        <v>4920</v>
      </c>
      <c r="B1314" s="17" t="s">
        <v>4917</v>
      </c>
      <c r="C1314" s="17" t="s">
        <v>4921</v>
      </c>
      <c r="D1314" s="19" t="s">
        <v>4922</v>
      </c>
      <c r="E1314" s="20" t="s">
        <v>4923</v>
      </c>
      <c r="F1314" s="21">
        <v>35200.0</v>
      </c>
      <c r="G1314" s="14">
        <v>30.0</v>
      </c>
      <c r="H1314" s="23" t="s">
        <v>26</v>
      </c>
      <c r="I1314" s="24" t="s">
        <v>27</v>
      </c>
      <c r="J1314" s="19" t="s">
        <v>328</v>
      </c>
      <c r="K1314" s="14">
        <v>22.0</v>
      </c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</row>
    <row r="1315">
      <c r="A1315" s="14" t="s">
        <v>4924</v>
      </c>
      <c r="B1315" s="17" t="s">
        <v>4925</v>
      </c>
      <c r="C1315" s="17" t="s">
        <v>4926</v>
      </c>
      <c r="D1315" s="19" t="s">
        <v>4927</v>
      </c>
      <c r="E1315" s="20" t="s">
        <v>53</v>
      </c>
      <c r="F1315" s="21">
        <v>35590.0</v>
      </c>
      <c r="G1315" s="14">
        <v>29.0</v>
      </c>
      <c r="H1315" s="23" t="s">
        <v>26</v>
      </c>
      <c r="I1315" s="24" t="s">
        <v>33</v>
      </c>
      <c r="J1315" s="19" t="s">
        <v>257</v>
      </c>
      <c r="K1315" s="14">
        <v>32.0</v>
      </c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</row>
    <row r="1316">
      <c r="A1316" s="14" t="s">
        <v>4928</v>
      </c>
      <c r="B1316" s="17" t="s">
        <v>4925</v>
      </c>
      <c r="C1316" s="17" t="s">
        <v>4929</v>
      </c>
      <c r="D1316" s="19" t="s">
        <v>4930</v>
      </c>
      <c r="E1316" s="20" t="s">
        <v>1346</v>
      </c>
      <c r="F1316" s="21">
        <v>35866.0</v>
      </c>
      <c r="G1316" s="14">
        <v>28.0</v>
      </c>
      <c r="H1316" s="23" t="s">
        <v>26</v>
      </c>
      <c r="I1316" s="24" t="s">
        <v>27</v>
      </c>
      <c r="J1316" s="19" t="s">
        <v>257</v>
      </c>
      <c r="K1316" s="14">
        <v>32.0</v>
      </c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</row>
    <row r="1317">
      <c r="A1317" s="14" t="s">
        <v>4931</v>
      </c>
      <c r="B1317" s="17" t="s">
        <v>4932</v>
      </c>
      <c r="C1317" s="17" t="s">
        <v>4933</v>
      </c>
      <c r="D1317" s="19" t="s">
        <v>1143</v>
      </c>
      <c r="E1317" s="20" t="s">
        <v>1370</v>
      </c>
      <c r="F1317" s="21">
        <v>27705.0</v>
      </c>
      <c r="G1317" s="14">
        <v>50.0</v>
      </c>
      <c r="H1317" s="23" t="s">
        <v>26</v>
      </c>
      <c r="I1317" s="24" t="s">
        <v>33</v>
      </c>
      <c r="J1317" s="19" t="s">
        <v>2336</v>
      </c>
      <c r="K1317" s="14">
        <v>24.0</v>
      </c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</row>
    <row r="1318">
      <c r="A1318" s="14" t="s">
        <v>4934</v>
      </c>
      <c r="B1318" s="17" t="s">
        <v>4932</v>
      </c>
      <c r="C1318" s="17" t="s">
        <v>4935</v>
      </c>
      <c r="D1318" s="19" t="s">
        <v>4936</v>
      </c>
      <c r="E1318" s="20" t="s">
        <v>210</v>
      </c>
      <c r="F1318" s="21">
        <v>31474.0</v>
      </c>
      <c r="G1318" s="14">
        <v>40.0</v>
      </c>
      <c r="H1318" s="23" t="s">
        <v>26</v>
      </c>
      <c r="I1318" s="24" t="s">
        <v>27</v>
      </c>
      <c r="J1318" s="19" t="s">
        <v>362</v>
      </c>
      <c r="K1318" s="14">
        <v>24.0</v>
      </c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</row>
    <row r="1319">
      <c r="A1319" s="14" t="s">
        <v>4937</v>
      </c>
      <c r="B1319" s="17" t="s">
        <v>4938</v>
      </c>
      <c r="C1319" s="17" t="s">
        <v>4939</v>
      </c>
      <c r="D1319" s="19" t="s">
        <v>4940</v>
      </c>
      <c r="E1319" s="20" t="s">
        <v>1468</v>
      </c>
      <c r="F1319" s="21">
        <v>34568.0</v>
      </c>
      <c r="G1319" s="14">
        <v>32.0</v>
      </c>
      <c r="H1319" s="23" t="s">
        <v>26</v>
      </c>
      <c r="I1319" s="24" t="s">
        <v>33</v>
      </c>
      <c r="J1319" s="19" t="s">
        <v>206</v>
      </c>
      <c r="K1319" s="14">
        <v>10.0</v>
      </c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</row>
    <row r="1320">
      <c r="A1320" s="14" t="s">
        <v>4941</v>
      </c>
      <c r="B1320" s="17" t="s">
        <v>4938</v>
      </c>
      <c r="C1320" s="17" t="s">
        <v>4942</v>
      </c>
      <c r="D1320" s="19" t="s">
        <v>4943</v>
      </c>
      <c r="E1320" s="20" t="s">
        <v>104</v>
      </c>
      <c r="F1320" s="27">
        <v>37981.0</v>
      </c>
      <c r="G1320" s="14">
        <v>22.0</v>
      </c>
      <c r="H1320" s="23" t="s">
        <v>26</v>
      </c>
      <c r="I1320" s="24" t="s">
        <v>27</v>
      </c>
      <c r="J1320" s="19" t="s">
        <v>206</v>
      </c>
      <c r="K1320" s="14">
        <v>10.0</v>
      </c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</row>
    <row r="1321">
      <c r="A1321" s="14" t="s">
        <v>4944</v>
      </c>
      <c r="B1321" s="17" t="s">
        <v>4945</v>
      </c>
      <c r="C1321" s="17" t="s">
        <v>4946</v>
      </c>
      <c r="D1321" s="19" t="s">
        <v>4947</v>
      </c>
      <c r="E1321" s="20" t="s">
        <v>2773</v>
      </c>
      <c r="F1321" s="21">
        <v>35337.0</v>
      </c>
      <c r="G1321" s="14">
        <v>29.0</v>
      </c>
      <c r="H1321" s="23" t="s">
        <v>26</v>
      </c>
      <c r="I1321" s="24" t="s">
        <v>33</v>
      </c>
      <c r="J1321" s="19" t="s">
        <v>68</v>
      </c>
      <c r="K1321" s="14">
        <v>28.0</v>
      </c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</row>
    <row r="1322">
      <c r="A1322" s="14" t="s">
        <v>4948</v>
      </c>
      <c r="B1322" s="17" t="s">
        <v>4945</v>
      </c>
      <c r="C1322" s="17" t="s">
        <v>4949</v>
      </c>
      <c r="D1322" s="19" t="s">
        <v>4950</v>
      </c>
      <c r="E1322" s="20" t="s">
        <v>53</v>
      </c>
      <c r="F1322" s="21">
        <v>35402.0</v>
      </c>
      <c r="G1322" s="14">
        <v>29.0</v>
      </c>
      <c r="H1322" s="23" t="s">
        <v>26</v>
      </c>
      <c r="I1322" s="24" t="s">
        <v>27</v>
      </c>
      <c r="J1322" s="19" t="s">
        <v>68</v>
      </c>
      <c r="K1322" s="14">
        <v>28.0</v>
      </c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</row>
    <row r="1323">
      <c r="A1323" s="14" t="s">
        <v>4951</v>
      </c>
      <c r="B1323" s="17" t="s">
        <v>4952</v>
      </c>
      <c r="C1323" s="17" t="s">
        <v>4953</v>
      </c>
      <c r="D1323" s="19" t="s">
        <v>4954</v>
      </c>
      <c r="E1323" s="20" t="s">
        <v>104</v>
      </c>
      <c r="F1323" s="27">
        <v>36879.0</v>
      </c>
      <c r="G1323" s="14">
        <v>25.0</v>
      </c>
      <c r="H1323" s="23" t="s">
        <v>100</v>
      </c>
      <c r="I1323" s="24" t="s">
        <v>33</v>
      </c>
      <c r="J1323" s="19" t="s">
        <v>282</v>
      </c>
      <c r="K1323" s="14">
        <v>13.0</v>
      </c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</row>
    <row r="1324">
      <c r="A1324" s="14" t="s">
        <v>4955</v>
      </c>
      <c r="B1324" s="17" t="s">
        <v>4952</v>
      </c>
      <c r="C1324" s="17" t="s">
        <v>4956</v>
      </c>
      <c r="D1324" s="19" t="s">
        <v>4957</v>
      </c>
      <c r="E1324" s="20" t="s">
        <v>4958</v>
      </c>
      <c r="F1324" s="21">
        <v>25065.0</v>
      </c>
      <c r="G1324" s="14">
        <v>58.0</v>
      </c>
      <c r="H1324" s="23" t="s">
        <v>26</v>
      </c>
      <c r="I1324" s="24" t="s">
        <v>33</v>
      </c>
      <c r="J1324" s="19" t="s">
        <v>282</v>
      </c>
      <c r="K1324" s="14">
        <v>13.0</v>
      </c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</row>
    <row r="1325">
      <c r="A1325" s="14" t="s">
        <v>4959</v>
      </c>
      <c r="B1325" s="17" t="s">
        <v>4952</v>
      </c>
      <c r="C1325" s="17" t="s">
        <v>4960</v>
      </c>
      <c r="D1325" s="19" t="s">
        <v>1549</v>
      </c>
      <c r="E1325" s="20" t="s">
        <v>429</v>
      </c>
      <c r="F1325" s="21">
        <v>27629.0</v>
      </c>
      <c r="G1325" s="14">
        <v>51.0</v>
      </c>
      <c r="H1325" s="23" t="s">
        <v>26</v>
      </c>
      <c r="I1325" s="24" t="s">
        <v>27</v>
      </c>
      <c r="J1325" s="19" t="s">
        <v>53</v>
      </c>
      <c r="K1325" s="14">
        <v>11.0</v>
      </c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</row>
    <row r="1326">
      <c r="A1326" s="14" t="s">
        <v>4961</v>
      </c>
      <c r="B1326" s="17" t="s">
        <v>4962</v>
      </c>
      <c r="C1326" s="17" t="s">
        <v>4963</v>
      </c>
      <c r="D1326" s="19" t="s">
        <v>4964</v>
      </c>
      <c r="E1326" s="20" t="s">
        <v>104</v>
      </c>
      <c r="F1326" s="21">
        <v>39347.0</v>
      </c>
      <c r="G1326" s="14">
        <v>18.0</v>
      </c>
      <c r="H1326" s="23" t="s">
        <v>100</v>
      </c>
      <c r="I1326" s="24" t="s">
        <v>33</v>
      </c>
      <c r="J1326" s="19" t="s">
        <v>68</v>
      </c>
      <c r="K1326" s="14">
        <v>30.0</v>
      </c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</row>
    <row r="1327">
      <c r="A1327" s="14" t="s">
        <v>4965</v>
      </c>
      <c r="B1327" s="17" t="s">
        <v>4962</v>
      </c>
      <c r="C1327" s="17" t="s">
        <v>4966</v>
      </c>
      <c r="D1327" s="19" t="s">
        <v>4967</v>
      </c>
      <c r="E1327" s="20" t="s">
        <v>195</v>
      </c>
      <c r="F1327" s="21">
        <v>32202.0</v>
      </c>
      <c r="G1327" s="14">
        <v>38.0</v>
      </c>
      <c r="H1327" s="23" t="s">
        <v>26</v>
      </c>
      <c r="I1327" s="24" t="s">
        <v>27</v>
      </c>
      <c r="J1327" s="19" t="s">
        <v>68</v>
      </c>
      <c r="K1327" s="14">
        <v>30.0</v>
      </c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</row>
    <row r="1328">
      <c r="A1328" s="14" t="s">
        <v>4968</v>
      </c>
      <c r="B1328" s="17" t="s">
        <v>4962</v>
      </c>
      <c r="C1328" s="17" t="s">
        <v>4969</v>
      </c>
      <c r="D1328" s="19" t="s">
        <v>4970</v>
      </c>
      <c r="E1328" s="20" t="s">
        <v>104</v>
      </c>
      <c r="F1328" s="27">
        <v>30967.0</v>
      </c>
      <c r="G1328" s="14">
        <v>41.0</v>
      </c>
      <c r="H1328" s="23" t="s">
        <v>26</v>
      </c>
      <c r="I1328" s="24" t="s">
        <v>33</v>
      </c>
      <c r="J1328" s="19" t="s">
        <v>68</v>
      </c>
      <c r="K1328" s="14">
        <v>30.0</v>
      </c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</row>
    <row r="1329">
      <c r="A1329" s="14" t="s">
        <v>4972</v>
      </c>
      <c r="B1329" s="17" t="s">
        <v>4973</v>
      </c>
      <c r="C1329" s="17" t="s">
        <v>4974</v>
      </c>
      <c r="D1329" s="19" t="s">
        <v>4975</v>
      </c>
      <c r="E1329" s="20" t="s">
        <v>4976</v>
      </c>
      <c r="F1329" s="27">
        <v>30607.0</v>
      </c>
      <c r="G1329" s="14">
        <v>42.0</v>
      </c>
      <c r="H1329" s="23" t="s">
        <v>26</v>
      </c>
      <c r="I1329" s="24" t="s">
        <v>33</v>
      </c>
      <c r="J1329" s="19" t="s">
        <v>53</v>
      </c>
      <c r="K1329" s="14">
        <v>17.0</v>
      </c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</row>
    <row r="1330">
      <c r="A1330" s="14" t="s">
        <v>4977</v>
      </c>
      <c r="B1330" s="17" t="s">
        <v>4973</v>
      </c>
      <c r="C1330" s="17" t="s">
        <v>4978</v>
      </c>
      <c r="D1330" s="19" t="s">
        <v>4979</v>
      </c>
      <c r="E1330" s="20" t="s">
        <v>112</v>
      </c>
      <c r="F1330" s="21">
        <v>32995.0</v>
      </c>
      <c r="G1330" s="14">
        <v>36.0</v>
      </c>
      <c r="H1330" s="23" t="s">
        <v>26</v>
      </c>
      <c r="I1330" s="24" t="s">
        <v>27</v>
      </c>
      <c r="J1330" s="19" t="s">
        <v>53</v>
      </c>
      <c r="K1330" s="14">
        <v>17.0</v>
      </c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</row>
    <row r="1331">
      <c r="A1331" s="14" t="s">
        <v>4980</v>
      </c>
      <c r="B1331" s="17" t="s">
        <v>4981</v>
      </c>
      <c r="C1331" s="17" t="s">
        <v>4982</v>
      </c>
      <c r="D1331" s="19" t="s">
        <v>4983</v>
      </c>
      <c r="E1331" s="20" t="s">
        <v>544</v>
      </c>
      <c r="F1331" s="21">
        <v>32394.0</v>
      </c>
      <c r="G1331" s="14">
        <v>37.0</v>
      </c>
      <c r="H1331" s="23" t="s">
        <v>26</v>
      </c>
      <c r="I1331" s="24" t="s">
        <v>33</v>
      </c>
      <c r="J1331" s="19" t="s">
        <v>206</v>
      </c>
      <c r="K1331" s="14">
        <v>5.0</v>
      </c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</row>
    <row r="1332">
      <c r="A1332" s="14" t="s">
        <v>4984</v>
      </c>
      <c r="B1332" s="17" t="s">
        <v>4981</v>
      </c>
      <c r="C1332" s="17" t="s">
        <v>4985</v>
      </c>
      <c r="D1332" s="19" t="s">
        <v>4986</v>
      </c>
      <c r="E1332" s="20" t="s">
        <v>104</v>
      </c>
      <c r="F1332" s="21">
        <v>34386.0</v>
      </c>
      <c r="G1332" s="14">
        <v>32.0</v>
      </c>
      <c r="H1332" s="23" t="s">
        <v>26</v>
      </c>
      <c r="I1332" s="24" t="s">
        <v>27</v>
      </c>
      <c r="J1332" s="19" t="s">
        <v>206</v>
      </c>
      <c r="K1332" s="14">
        <v>5.0</v>
      </c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</row>
    <row r="1333">
      <c r="A1333" s="14" t="s">
        <v>4987</v>
      </c>
      <c r="B1333" s="17" t="s">
        <v>4988</v>
      </c>
      <c r="C1333" s="17" t="s">
        <v>4989</v>
      </c>
      <c r="D1333" s="19" t="s">
        <v>4990</v>
      </c>
      <c r="E1333" s="20" t="s">
        <v>104</v>
      </c>
      <c r="F1333" s="27">
        <v>37214.0</v>
      </c>
      <c r="G1333" s="14">
        <v>24.0</v>
      </c>
      <c r="H1333" s="23" t="s">
        <v>100</v>
      </c>
      <c r="I1333" s="24" t="s">
        <v>33</v>
      </c>
      <c r="J1333" s="19" t="s">
        <v>206</v>
      </c>
      <c r="K1333" s="14">
        <v>10.0</v>
      </c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</row>
    <row r="1334">
      <c r="A1334" s="14" t="s">
        <v>4991</v>
      </c>
      <c r="B1334" s="17" t="s">
        <v>4988</v>
      </c>
      <c r="C1334" s="17" t="s">
        <v>4992</v>
      </c>
      <c r="D1334" s="19" t="s">
        <v>861</v>
      </c>
      <c r="E1334" s="20" t="s">
        <v>187</v>
      </c>
      <c r="F1334" s="27">
        <v>27677.0</v>
      </c>
      <c r="G1334" s="14">
        <v>50.0</v>
      </c>
      <c r="H1334" s="23" t="s">
        <v>26</v>
      </c>
      <c r="I1334" s="24" t="s">
        <v>27</v>
      </c>
      <c r="J1334" s="19" t="s">
        <v>206</v>
      </c>
      <c r="K1334" s="14">
        <v>10.0</v>
      </c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</row>
    <row r="1335">
      <c r="A1335" s="14" t="s">
        <v>4993</v>
      </c>
      <c r="B1335" s="17" t="s">
        <v>4988</v>
      </c>
      <c r="C1335" s="17" t="s">
        <v>4994</v>
      </c>
      <c r="D1335" s="51" t="s">
        <v>4995</v>
      </c>
      <c r="E1335" s="20" t="s">
        <v>4996</v>
      </c>
      <c r="F1335" s="21">
        <v>26086.0</v>
      </c>
      <c r="G1335" s="14">
        <v>55.0</v>
      </c>
      <c r="H1335" s="23" t="s">
        <v>26</v>
      </c>
      <c r="I1335" s="24" t="s">
        <v>33</v>
      </c>
      <c r="J1335" s="19" t="s">
        <v>206</v>
      </c>
      <c r="K1335" s="14">
        <v>10.0</v>
      </c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</row>
    <row r="1336">
      <c r="A1336" s="14" t="s">
        <v>4997</v>
      </c>
      <c r="B1336" s="17" t="s">
        <v>4998</v>
      </c>
      <c r="C1336" s="17" t="s">
        <v>4999</v>
      </c>
      <c r="D1336" s="19" t="s">
        <v>5000</v>
      </c>
      <c r="E1336" s="20" t="s">
        <v>53</v>
      </c>
      <c r="F1336" s="21">
        <v>35829.0</v>
      </c>
      <c r="G1336" s="14">
        <v>28.0</v>
      </c>
      <c r="H1336" s="23" t="s">
        <v>100</v>
      </c>
      <c r="I1336" s="24" t="s">
        <v>33</v>
      </c>
      <c r="J1336" s="19" t="s">
        <v>206</v>
      </c>
      <c r="K1336" s="14">
        <v>10.0</v>
      </c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</row>
    <row r="1337">
      <c r="A1337" s="14" t="s">
        <v>5001</v>
      </c>
      <c r="B1337" s="17" t="s">
        <v>4998</v>
      </c>
      <c r="C1337" s="17" t="s">
        <v>5002</v>
      </c>
      <c r="D1337" s="19" t="s">
        <v>5003</v>
      </c>
      <c r="E1337" s="20" t="s">
        <v>5004</v>
      </c>
      <c r="F1337" s="21">
        <v>26037.0</v>
      </c>
      <c r="G1337" s="14">
        <v>55.0</v>
      </c>
      <c r="H1337" s="23" t="s">
        <v>26</v>
      </c>
      <c r="I1337" s="24" t="s">
        <v>27</v>
      </c>
      <c r="J1337" s="19" t="s">
        <v>206</v>
      </c>
      <c r="K1337" s="14">
        <v>10.0</v>
      </c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</row>
    <row r="1338">
      <c r="A1338" s="14" t="s">
        <v>5005</v>
      </c>
      <c r="B1338" s="17" t="s">
        <v>4998</v>
      </c>
      <c r="C1338" s="17" t="s">
        <v>5006</v>
      </c>
      <c r="D1338" s="19" t="s">
        <v>5007</v>
      </c>
      <c r="E1338" s="20" t="s">
        <v>632</v>
      </c>
      <c r="F1338" s="21">
        <v>25695.0</v>
      </c>
      <c r="G1338" s="14">
        <v>56.0</v>
      </c>
      <c r="H1338" s="23" t="s">
        <v>26</v>
      </c>
      <c r="I1338" s="24" t="s">
        <v>33</v>
      </c>
      <c r="J1338" s="19" t="s">
        <v>206</v>
      </c>
      <c r="K1338" s="14">
        <v>10.0</v>
      </c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</row>
    <row r="1339">
      <c r="A1339" s="14" t="s">
        <v>5008</v>
      </c>
      <c r="B1339" s="17" t="s">
        <v>5009</v>
      </c>
      <c r="C1339" s="17" t="s">
        <v>5010</v>
      </c>
      <c r="D1339" s="19" t="s">
        <v>5011</v>
      </c>
      <c r="E1339" s="20" t="s">
        <v>231</v>
      </c>
      <c r="F1339" s="21">
        <v>33102.0</v>
      </c>
      <c r="G1339" s="14">
        <v>36.0</v>
      </c>
      <c r="H1339" s="23" t="s">
        <v>26</v>
      </c>
      <c r="I1339" s="24" t="s">
        <v>33</v>
      </c>
      <c r="J1339" s="19" t="s">
        <v>146</v>
      </c>
      <c r="K1339" s="14">
        <v>10.0</v>
      </c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</row>
    <row r="1340">
      <c r="A1340" s="14" t="s">
        <v>5012</v>
      </c>
      <c r="B1340" s="17" t="s">
        <v>5009</v>
      </c>
      <c r="C1340" s="17" t="s">
        <v>5013</v>
      </c>
      <c r="D1340" s="19" t="s">
        <v>4186</v>
      </c>
      <c r="E1340" s="20" t="s">
        <v>53</v>
      </c>
      <c r="F1340" s="21">
        <v>32935.0</v>
      </c>
      <c r="G1340" s="14">
        <v>36.0</v>
      </c>
      <c r="H1340" s="23" t="s">
        <v>26</v>
      </c>
      <c r="I1340" s="24" t="s">
        <v>27</v>
      </c>
      <c r="J1340" s="19" t="s">
        <v>146</v>
      </c>
      <c r="K1340" s="14">
        <v>10.0</v>
      </c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</row>
    <row r="1341">
      <c r="A1341" s="14" t="s">
        <v>5014</v>
      </c>
      <c r="B1341" s="17" t="s">
        <v>5015</v>
      </c>
      <c r="C1341" s="17" t="s">
        <v>5016</v>
      </c>
      <c r="D1341" s="19" t="s">
        <v>5017</v>
      </c>
      <c r="E1341" s="20" t="s">
        <v>53</v>
      </c>
      <c r="F1341" s="21">
        <v>35129.0</v>
      </c>
      <c r="G1341" s="14">
        <v>30.0</v>
      </c>
      <c r="H1341" s="23" t="s">
        <v>26</v>
      </c>
      <c r="I1341" s="24" t="s">
        <v>27</v>
      </c>
      <c r="J1341" s="19" t="s">
        <v>146</v>
      </c>
      <c r="K1341" s="14">
        <v>8.0</v>
      </c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</row>
    <row r="1342">
      <c r="A1342" s="14" t="s">
        <v>5018</v>
      </c>
      <c r="B1342" s="17" t="s">
        <v>5015</v>
      </c>
      <c r="C1342" s="17" t="s">
        <v>5019</v>
      </c>
      <c r="D1342" s="19" t="s">
        <v>5020</v>
      </c>
      <c r="E1342" s="20" t="s">
        <v>195</v>
      </c>
      <c r="F1342" s="21">
        <v>32193.0</v>
      </c>
      <c r="G1342" s="14">
        <v>38.0</v>
      </c>
      <c r="H1342" s="23" t="s">
        <v>26</v>
      </c>
      <c r="I1342" s="24" t="s">
        <v>33</v>
      </c>
      <c r="J1342" s="19" t="s">
        <v>146</v>
      </c>
      <c r="K1342" s="14">
        <v>8.0</v>
      </c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</row>
    <row r="1343">
      <c r="A1343" s="14" t="s">
        <v>5021</v>
      </c>
      <c r="B1343" s="17" t="s">
        <v>5022</v>
      </c>
      <c r="C1343" s="17" t="s">
        <v>5023</v>
      </c>
      <c r="D1343" s="19" t="s">
        <v>344</v>
      </c>
      <c r="E1343" s="20" t="s">
        <v>187</v>
      </c>
      <c r="F1343" s="21">
        <v>35943.0</v>
      </c>
      <c r="G1343" s="14">
        <v>28.0</v>
      </c>
      <c r="H1343" s="23" t="s">
        <v>100</v>
      </c>
      <c r="I1343" s="24" t="s">
        <v>33</v>
      </c>
      <c r="J1343" s="19" t="s">
        <v>53</v>
      </c>
      <c r="K1343" s="14">
        <v>8.0</v>
      </c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</row>
    <row r="1344">
      <c r="A1344" s="14" t="s">
        <v>5024</v>
      </c>
      <c r="B1344" s="17" t="s">
        <v>5025</v>
      </c>
      <c r="C1344" s="17" t="s">
        <v>5026</v>
      </c>
      <c r="D1344" s="19" t="s">
        <v>5027</v>
      </c>
      <c r="E1344" s="20" t="s">
        <v>624</v>
      </c>
      <c r="F1344" s="21">
        <v>22109.0</v>
      </c>
      <c r="G1344" s="14">
        <v>66.0</v>
      </c>
      <c r="H1344" s="23" t="s">
        <v>27</v>
      </c>
      <c r="I1344" s="24" t="s">
        <v>33</v>
      </c>
      <c r="J1344" s="19" t="s">
        <v>726</v>
      </c>
      <c r="K1344" s="14">
        <v>13.0</v>
      </c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</row>
    <row r="1345">
      <c r="A1345" s="14" t="s">
        <v>5028</v>
      </c>
      <c r="B1345" s="17" t="s">
        <v>5029</v>
      </c>
      <c r="C1345" s="17" t="s">
        <v>5030</v>
      </c>
      <c r="D1345" s="19" t="s">
        <v>5031</v>
      </c>
      <c r="E1345" s="20" t="s">
        <v>104</v>
      </c>
      <c r="F1345" s="27">
        <v>28834.0</v>
      </c>
      <c r="G1345" s="14">
        <v>47.0</v>
      </c>
      <c r="H1345" s="23" t="s">
        <v>26</v>
      </c>
      <c r="I1345" s="24" t="s">
        <v>33</v>
      </c>
      <c r="J1345" s="19" t="s">
        <v>68</v>
      </c>
      <c r="K1345" s="14">
        <v>33.0</v>
      </c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</row>
    <row r="1346">
      <c r="A1346" s="14" t="s">
        <v>5032</v>
      </c>
      <c r="B1346" s="17" t="s">
        <v>5029</v>
      </c>
      <c r="C1346" s="17" t="s">
        <v>5033</v>
      </c>
      <c r="D1346" s="19" t="s">
        <v>5034</v>
      </c>
      <c r="E1346" s="20" t="s">
        <v>5035</v>
      </c>
      <c r="F1346" s="21">
        <v>30176.0</v>
      </c>
      <c r="G1346" s="14">
        <v>44.0</v>
      </c>
      <c r="H1346" s="23" t="s">
        <v>26</v>
      </c>
      <c r="I1346" s="24" t="s">
        <v>27</v>
      </c>
      <c r="J1346" s="19" t="s">
        <v>68</v>
      </c>
      <c r="K1346" s="14">
        <v>33.0</v>
      </c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</row>
    <row r="1347">
      <c r="A1347" s="14" t="s">
        <v>5036</v>
      </c>
      <c r="B1347" s="17" t="s">
        <v>5029</v>
      </c>
      <c r="C1347" s="17" t="s">
        <v>5037</v>
      </c>
      <c r="D1347" s="19" t="s">
        <v>5038</v>
      </c>
      <c r="E1347" s="20" t="s">
        <v>67</v>
      </c>
      <c r="F1347" s="21">
        <v>19068.0</v>
      </c>
      <c r="G1347" s="14">
        <v>74.0</v>
      </c>
      <c r="H1347" s="23" t="s">
        <v>27</v>
      </c>
      <c r="I1347" s="24" t="s">
        <v>27</v>
      </c>
      <c r="J1347" s="19" t="s">
        <v>68</v>
      </c>
      <c r="K1347" s="14">
        <v>33.0</v>
      </c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</row>
    <row r="1348">
      <c r="A1348" s="14" t="s">
        <v>5039</v>
      </c>
      <c r="B1348" s="17" t="s">
        <v>5040</v>
      </c>
      <c r="C1348" s="17" t="s">
        <v>5041</v>
      </c>
      <c r="D1348" s="19" t="s">
        <v>5042</v>
      </c>
      <c r="E1348" s="20" t="s">
        <v>104</v>
      </c>
      <c r="F1348" s="21">
        <v>37877.0</v>
      </c>
      <c r="G1348" s="14">
        <v>22.0</v>
      </c>
      <c r="H1348" s="23" t="s">
        <v>100</v>
      </c>
      <c r="I1348" s="24" t="s">
        <v>27</v>
      </c>
      <c r="J1348" s="19" t="s">
        <v>362</v>
      </c>
      <c r="K1348" s="14">
        <v>27.0</v>
      </c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</row>
    <row r="1349">
      <c r="A1349" s="14" t="s">
        <v>5043</v>
      </c>
      <c r="B1349" s="17" t="s">
        <v>5040</v>
      </c>
      <c r="C1349" s="17" t="s">
        <v>5044</v>
      </c>
      <c r="D1349" s="19" t="s">
        <v>5045</v>
      </c>
      <c r="E1349" s="20" t="s">
        <v>5046</v>
      </c>
      <c r="F1349" s="21">
        <v>25634.0</v>
      </c>
      <c r="G1349" s="14">
        <v>56.0</v>
      </c>
      <c r="H1349" s="23" t="s">
        <v>26</v>
      </c>
      <c r="I1349" s="24" t="s">
        <v>33</v>
      </c>
      <c r="J1349" s="19" t="s">
        <v>362</v>
      </c>
      <c r="K1349" s="14">
        <v>27.0</v>
      </c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</row>
    <row r="1350">
      <c r="A1350" s="14" t="s">
        <v>5047</v>
      </c>
      <c r="B1350" s="17" t="s">
        <v>5040</v>
      </c>
      <c r="C1350" s="17" t="s">
        <v>5048</v>
      </c>
      <c r="D1350" s="19" t="s">
        <v>5049</v>
      </c>
      <c r="E1350" s="20" t="s">
        <v>632</v>
      </c>
      <c r="F1350" s="21">
        <v>27185.0</v>
      </c>
      <c r="G1350" s="14">
        <v>52.0</v>
      </c>
      <c r="H1350" s="23" t="s">
        <v>26</v>
      </c>
      <c r="I1350" s="24" t="s">
        <v>27</v>
      </c>
      <c r="J1350" s="19" t="s">
        <v>362</v>
      </c>
      <c r="K1350" s="14">
        <v>27.0</v>
      </c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</row>
    <row r="1351">
      <c r="A1351" s="14" t="s">
        <v>5050</v>
      </c>
      <c r="B1351" s="17" t="s">
        <v>5051</v>
      </c>
      <c r="C1351" s="17" t="s">
        <v>5052</v>
      </c>
      <c r="D1351" s="19" t="s">
        <v>5053</v>
      </c>
      <c r="E1351" s="20" t="s">
        <v>5054</v>
      </c>
      <c r="F1351" s="21">
        <v>38514.0</v>
      </c>
      <c r="G1351" s="14">
        <v>21.0</v>
      </c>
      <c r="H1351" s="23" t="s">
        <v>100</v>
      </c>
      <c r="I1351" s="24" t="s">
        <v>27</v>
      </c>
      <c r="J1351" s="19" t="s">
        <v>68</v>
      </c>
      <c r="K1351" s="14">
        <v>34.0</v>
      </c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</row>
    <row r="1352">
      <c r="A1352" s="14" t="s">
        <v>5055</v>
      </c>
      <c r="B1352" s="17" t="s">
        <v>5051</v>
      </c>
      <c r="C1352" s="17" t="s">
        <v>5056</v>
      </c>
      <c r="D1352" s="19" t="s">
        <v>5057</v>
      </c>
      <c r="E1352" s="20" t="s">
        <v>210</v>
      </c>
      <c r="F1352" s="21">
        <v>27508.0</v>
      </c>
      <c r="G1352" s="14">
        <v>51.0</v>
      </c>
      <c r="H1352" s="23" t="s">
        <v>26</v>
      </c>
      <c r="I1352" s="24" t="s">
        <v>33</v>
      </c>
      <c r="J1352" s="19" t="s">
        <v>68</v>
      </c>
      <c r="K1352" s="14">
        <v>34.0</v>
      </c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</row>
    <row r="1353">
      <c r="A1353" s="14" t="s">
        <v>5058</v>
      </c>
      <c r="B1353" s="17" t="s">
        <v>5051</v>
      </c>
      <c r="C1353" s="17" t="s">
        <v>5059</v>
      </c>
      <c r="D1353" s="19" t="s">
        <v>5060</v>
      </c>
      <c r="E1353" s="20" t="s">
        <v>210</v>
      </c>
      <c r="F1353" s="21">
        <v>30469.0</v>
      </c>
      <c r="G1353" s="14">
        <v>43.0</v>
      </c>
      <c r="H1353" s="23" t="s">
        <v>26</v>
      </c>
      <c r="I1353" s="24" t="s">
        <v>27</v>
      </c>
      <c r="J1353" s="19" t="s">
        <v>68</v>
      </c>
      <c r="K1353" s="14">
        <v>34.0</v>
      </c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</row>
    <row r="1354">
      <c r="A1354" s="14" t="s">
        <v>5061</v>
      </c>
      <c r="B1354" s="17" t="s">
        <v>5062</v>
      </c>
      <c r="C1354" s="17" t="s">
        <v>5063</v>
      </c>
      <c r="D1354" s="19" t="s">
        <v>5064</v>
      </c>
      <c r="E1354" s="20" t="s">
        <v>104</v>
      </c>
      <c r="F1354" s="21">
        <v>31127.0</v>
      </c>
      <c r="G1354" s="14">
        <v>41.0</v>
      </c>
      <c r="H1354" s="23" t="s">
        <v>26</v>
      </c>
      <c r="I1354" s="24" t="s">
        <v>33</v>
      </c>
      <c r="J1354" s="19" t="s">
        <v>58</v>
      </c>
      <c r="K1354" s="14">
        <v>36.0</v>
      </c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</row>
    <row r="1355">
      <c r="A1355" s="14" t="s">
        <v>5065</v>
      </c>
      <c r="B1355" s="17" t="s">
        <v>5062</v>
      </c>
      <c r="C1355" s="17" t="s">
        <v>5066</v>
      </c>
      <c r="D1355" s="19" t="s">
        <v>5067</v>
      </c>
      <c r="E1355" s="20" t="s">
        <v>53</v>
      </c>
      <c r="F1355" s="21">
        <v>33743.0</v>
      </c>
      <c r="G1355" s="14">
        <v>34.0</v>
      </c>
      <c r="H1355" s="23" t="s">
        <v>26</v>
      </c>
      <c r="I1355" s="24" t="s">
        <v>27</v>
      </c>
      <c r="J1355" s="19" t="s">
        <v>58</v>
      </c>
      <c r="K1355" s="14">
        <v>36.0</v>
      </c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</row>
    <row r="1356">
      <c r="A1356" s="14" t="s">
        <v>5068</v>
      </c>
      <c r="B1356" s="17" t="s">
        <v>5069</v>
      </c>
      <c r="C1356" s="17" t="s">
        <v>5070</v>
      </c>
      <c r="D1356" s="19" t="s">
        <v>5071</v>
      </c>
      <c r="E1356" s="20" t="s">
        <v>104</v>
      </c>
      <c r="F1356" s="21">
        <v>30787.0</v>
      </c>
      <c r="G1356" s="14">
        <v>42.0</v>
      </c>
      <c r="H1356" s="23" t="s">
        <v>26</v>
      </c>
      <c r="I1356" s="24" t="s">
        <v>33</v>
      </c>
      <c r="J1356" s="19" t="s">
        <v>53</v>
      </c>
      <c r="K1356" s="14">
        <v>10.0</v>
      </c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</row>
    <row r="1357">
      <c r="A1357" s="14" t="s">
        <v>5072</v>
      </c>
      <c r="B1357" s="17" t="s">
        <v>5073</v>
      </c>
      <c r="C1357" s="17" t="s">
        <v>5074</v>
      </c>
      <c r="D1357" s="19" t="s">
        <v>5075</v>
      </c>
      <c r="E1357" s="20" t="s">
        <v>104</v>
      </c>
      <c r="F1357" s="21">
        <v>36195.0</v>
      </c>
      <c r="G1357" s="14">
        <v>27.0</v>
      </c>
      <c r="H1357" s="23" t="s">
        <v>100</v>
      </c>
      <c r="I1357" s="24" t="s">
        <v>33</v>
      </c>
      <c r="J1357" s="19" t="s">
        <v>146</v>
      </c>
      <c r="K1357" s="14">
        <v>3.0</v>
      </c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</row>
    <row r="1358">
      <c r="A1358" s="14" t="s">
        <v>5076</v>
      </c>
      <c r="B1358" s="17" t="s">
        <v>5073</v>
      </c>
      <c r="C1358" s="17" t="s">
        <v>5077</v>
      </c>
      <c r="D1358" s="19" t="s">
        <v>5078</v>
      </c>
      <c r="E1358" s="20" t="s">
        <v>53</v>
      </c>
      <c r="F1358" s="21">
        <v>37461.0</v>
      </c>
      <c r="G1358" s="14">
        <v>24.0</v>
      </c>
      <c r="H1358" s="23" t="s">
        <v>100</v>
      </c>
      <c r="I1358" s="24" t="s">
        <v>27</v>
      </c>
      <c r="J1358" s="19" t="s">
        <v>146</v>
      </c>
      <c r="K1358" s="14">
        <v>3.0</v>
      </c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</row>
    <row r="1359">
      <c r="A1359" s="14" t="s">
        <v>5079</v>
      </c>
      <c r="B1359" s="17" t="s">
        <v>5073</v>
      </c>
      <c r="C1359" s="17" t="s">
        <v>5080</v>
      </c>
      <c r="D1359" s="19" t="s">
        <v>4053</v>
      </c>
      <c r="E1359" s="20" t="s">
        <v>880</v>
      </c>
      <c r="F1359" s="21">
        <v>27163.0</v>
      </c>
      <c r="G1359" s="14">
        <v>52.0</v>
      </c>
      <c r="H1359" s="23" t="s">
        <v>27</v>
      </c>
      <c r="I1359" s="24" t="s">
        <v>27</v>
      </c>
      <c r="J1359" s="19" t="s">
        <v>146</v>
      </c>
      <c r="K1359" s="14">
        <v>3.0</v>
      </c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</row>
    <row r="1360">
      <c r="A1360" s="14" t="s">
        <v>5081</v>
      </c>
      <c r="B1360" s="17" t="s">
        <v>5082</v>
      </c>
      <c r="C1360" s="17" t="s">
        <v>5083</v>
      </c>
      <c r="D1360" s="19" t="s">
        <v>5084</v>
      </c>
      <c r="E1360" s="20" t="s">
        <v>104</v>
      </c>
      <c r="F1360" s="21">
        <v>36297.0</v>
      </c>
      <c r="G1360" s="14">
        <v>27.0</v>
      </c>
      <c r="H1360" s="23" t="s">
        <v>100</v>
      </c>
      <c r="I1360" s="24" t="s">
        <v>33</v>
      </c>
      <c r="J1360" s="19" t="s">
        <v>1915</v>
      </c>
      <c r="K1360" s="14">
        <v>12.0</v>
      </c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</row>
    <row r="1361">
      <c r="A1361" s="14" t="s">
        <v>5085</v>
      </c>
      <c r="B1361" s="17" t="s">
        <v>5082</v>
      </c>
      <c r="C1361" s="17" t="s">
        <v>5086</v>
      </c>
      <c r="D1361" s="19" t="s">
        <v>5087</v>
      </c>
      <c r="E1361" s="20" t="s">
        <v>1816</v>
      </c>
      <c r="F1361" s="21">
        <v>22843.0</v>
      </c>
      <c r="G1361" s="14">
        <v>64.0</v>
      </c>
      <c r="H1361" s="23" t="s">
        <v>26</v>
      </c>
      <c r="I1361" s="24" t="s">
        <v>27</v>
      </c>
      <c r="J1361" s="19" t="s">
        <v>1915</v>
      </c>
      <c r="K1361" s="14">
        <v>12.0</v>
      </c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</row>
    <row r="1362">
      <c r="A1362" s="14" t="s">
        <v>5088</v>
      </c>
      <c r="B1362" s="17" t="s">
        <v>5082</v>
      </c>
      <c r="C1362" s="17" t="s">
        <v>5089</v>
      </c>
      <c r="D1362" s="19" t="s">
        <v>5090</v>
      </c>
      <c r="E1362" s="20" t="s">
        <v>53</v>
      </c>
      <c r="F1362" s="21">
        <v>21959.0</v>
      </c>
      <c r="G1362" s="14">
        <v>66.0</v>
      </c>
      <c r="H1362" s="23" t="s">
        <v>26</v>
      </c>
      <c r="I1362" s="24" t="s">
        <v>33</v>
      </c>
      <c r="J1362" s="19" t="s">
        <v>1915</v>
      </c>
      <c r="K1362" s="14">
        <v>12.0</v>
      </c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</row>
    <row r="1363">
      <c r="A1363" s="14" t="s">
        <v>5091</v>
      </c>
      <c r="B1363" s="17" t="s">
        <v>5092</v>
      </c>
      <c r="C1363" s="17" t="s">
        <v>5093</v>
      </c>
      <c r="D1363" s="19" t="s">
        <v>5094</v>
      </c>
      <c r="E1363" s="20" t="s">
        <v>104</v>
      </c>
      <c r="F1363" s="21">
        <v>38939.0</v>
      </c>
      <c r="G1363" s="14">
        <v>20.0</v>
      </c>
      <c r="H1363" s="23" t="s">
        <v>100</v>
      </c>
      <c r="I1363" s="24" t="s">
        <v>33</v>
      </c>
      <c r="J1363" s="19" t="s">
        <v>1915</v>
      </c>
      <c r="K1363" s="14">
        <v>12.0</v>
      </c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</row>
    <row r="1364">
      <c r="A1364" s="14" t="s">
        <v>5095</v>
      </c>
      <c r="B1364" s="17" t="s">
        <v>5092</v>
      </c>
      <c r="C1364" s="17" t="s">
        <v>5096</v>
      </c>
      <c r="D1364" s="19" t="s">
        <v>5097</v>
      </c>
      <c r="E1364" s="20" t="s">
        <v>5098</v>
      </c>
      <c r="F1364" s="21">
        <v>27948.0</v>
      </c>
      <c r="G1364" s="14">
        <v>50.0</v>
      </c>
      <c r="H1364" s="23" t="s">
        <v>26</v>
      </c>
      <c r="I1364" s="24" t="s">
        <v>27</v>
      </c>
      <c r="J1364" s="19" t="s">
        <v>1915</v>
      </c>
      <c r="K1364" s="14">
        <v>12.0</v>
      </c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</row>
    <row r="1365">
      <c r="A1365" s="14" t="s">
        <v>5099</v>
      </c>
      <c r="B1365" s="17" t="s">
        <v>5092</v>
      </c>
      <c r="C1365" s="17" t="s">
        <v>5100</v>
      </c>
      <c r="D1365" s="19" t="s">
        <v>5101</v>
      </c>
      <c r="E1365" s="20" t="s">
        <v>2038</v>
      </c>
      <c r="F1365" s="21">
        <v>27517.0</v>
      </c>
      <c r="G1365" s="14">
        <v>51.0</v>
      </c>
      <c r="H1365" s="23" t="s">
        <v>26</v>
      </c>
      <c r="I1365" s="24" t="s">
        <v>33</v>
      </c>
      <c r="J1365" s="19" t="s">
        <v>1915</v>
      </c>
      <c r="K1365" s="14">
        <v>12.0</v>
      </c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</row>
    <row r="1366">
      <c r="A1366" s="14" t="s">
        <v>5103</v>
      </c>
      <c r="B1366" s="17" t="s">
        <v>5104</v>
      </c>
      <c r="C1366" s="17" t="s">
        <v>5105</v>
      </c>
      <c r="D1366" s="19" t="s">
        <v>5106</v>
      </c>
      <c r="E1366" s="20" t="s">
        <v>654</v>
      </c>
      <c r="F1366" s="21">
        <v>27222.0</v>
      </c>
      <c r="G1366" s="14">
        <v>52.0</v>
      </c>
      <c r="H1366" s="23" t="s">
        <v>26</v>
      </c>
      <c r="I1366" s="24" t="s">
        <v>27</v>
      </c>
      <c r="J1366" s="19" t="s">
        <v>362</v>
      </c>
      <c r="K1366" s="14">
        <v>24.0</v>
      </c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</row>
    <row r="1367">
      <c r="A1367" s="14" t="s">
        <v>5108</v>
      </c>
      <c r="B1367" s="17" t="s">
        <v>5104</v>
      </c>
      <c r="C1367" s="17" t="s">
        <v>5109</v>
      </c>
      <c r="D1367" s="19" t="s">
        <v>5110</v>
      </c>
      <c r="E1367" s="20" t="s">
        <v>3760</v>
      </c>
      <c r="F1367" s="21">
        <v>23532.0</v>
      </c>
      <c r="G1367" s="14">
        <v>62.0</v>
      </c>
      <c r="H1367" s="23" t="s">
        <v>26</v>
      </c>
      <c r="I1367" s="24" t="s">
        <v>33</v>
      </c>
      <c r="J1367" s="19" t="s">
        <v>362</v>
      </c>
      <c r="K1367" s="14">
        <v>24.0</v>
      </c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</row>
    <row r="1368">
      <c r="A1368" s="14" t="s">
        <v>5111</v>
      </c>
      <c r="B1368" s="17" t="s">
        <v>5112</v>
      </c>
      <c r="C1368" s="17" t="s">
        <v>5113</v>
      </c>
      <c r="D1368" s="19" t="s">
        <v>5114</v>
      </c>
      <c r="E1368" s="20" t="s">
        <v>112</v>
      </c>
      <c r="F1368" s="21">
        <v>20226.0</v>
      </c>
      <c r="G1368" s="14">
        <v>71.0</v>
      </c>
      <c r="H1368" s="23" t="s">
        <v>26</v>
      </c>
      <c r="I1368" s="24" t="s">
        <v>33</v>
      </c>
      <c r="J1368" s="19" t="s">
        <v>517</v>
      </c>
      <c r="K1368" s="14">
        <v>9.0</v>
      </c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</row>
    <row r="1369">
      <c r="A1369" s="14" t="s">
        <v>5115</v>
      </c>
      <c r="B1369" s="17" t="s">
        <v>5112</v>
      </c>
      <c r="C1369" s="17" t="s">
        <v>5116</v>
      </c>
      <c r="D1369" s="19" t="s">
        <v>5117</v>
      </c>
      <c r="E1369" s="20" t="s">
        <v>632</v>
      </c>
      <c r="F1369" s="21">
        <v>23146.0</v>
      </c>
      <c r="G1369" s="14">
        <v>63.0</v>
      </c>
      <c r="H1369" s="23" t="s">
        <v>26</v>
      </c>
      <c r="I1369" s="24" t="s">
        <v>27</v>
      </c>
      <c r="J1369" s="19" t="s">
        <v>517</v>
      </c>
      <c r="K1369" s="14">
        <v>9.0</v>
      </c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</row>
    <row r="1370">
      <c r="A1370" s="14" t="s">
        <v>5118</v>
      </c>
      <c r="B1370" s="17" t="s">
        <v>5119</v>
      </c>
      <c r="C1370" s="17" t="s">
        <v>5120</v>
      </c>
      <c r="D1370" s="19" t="s">
        <v>5121</v>
      </c>
      <c r="E1370" s="20" t="s">
        <v>632</v>
      </c>
      <c r="F1370" s="21">
        <v>24922.0</v>
      </c>
      <c r="G1370" s="14">
        <v>58.0</v>
      </c>
      <c r="H1370" s="23" t="s">
        <v>26</v>
      </c>
      <c r="I1370" s="24" t="s">
        <v>27</v>
      </c>
      <c r="J1370" s="19" t="s">
        <v>146</v>
      </c>
      <c r="K1370" s="14">
        <v>3.0</v>
      </c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</row>
    <row r="1371">
      <c r="A1371" s="14" t="s">
        <v>5122</v>
      </c>
      <c r="B1371" s="17" t="s">
        <v>5119</v>
      </c>
      <c r="C1371" s="17" t="s">
        <v>5123</v>
      </c>
      <c r="D1371" s="19" t="s">
        <v>5124</v>
      </c>
      <c r="E1371" s="20" t="s">
        <v>5125</v>
      </c>
      <c r="F1371" s="21">
        <v>22292.0</v>
      </c>
      <c r="G1371" s="14">
        <v>65.0</v>
      </c>
      <c r="H1371" s="23" t="s">
        <v>26</v>
      </c>
      <c r="I1371" s="24" t="s">
        <v>33</v>
      </c>
      <c r="J1371" s="19" t="s">
        <v>146</v>
      </c>
      <c r="K1371" s="14">
        <v>3.0</v>
      </c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</row>
    <row r="1372">
      <c r="A1372" s="14" t="s">
        <v>5126</v>
      </c>
      <c r="B1372" s="17" t="s">
        <v>5127</v>
      </c>
      <c r="C1372" s="17" t="s">
        <v>5128</v>
      </c>
      <c r="D1372" s="19" t="s">
        <v>5129</v>
      </c>
      <c r="E1372" s="20" t="s">
        <v>5130</v>
      </c>
      <c r="F1372" s="21">
        <v>37165.0</v>
      </c>
      <c r="G1372" s="14">
        <v>24.0</v>
      </c>
      <c r="H1372" s="23" t="s">
        <v>100</v>
      </c>
      <c r="I1372" s="24" t="s">
        <v>33</v>
      </c>
      <c r="J1372" s="19" t="s">
        <v>53</v>
      </c>
      <c r="K1372" s="14">
        <v>5.0</v>
      </c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</row>
    <row r="1373">
      <c r="A1373" s="14" t="s">
        <v>5131</v>
      </c>
      <c r="B1373" s="17" t="s">
        <v>5127</v>
      </c>
      <c r="C1373" s="17" t="s">
        <v>5132</v>
      </c>
      <c r="D1373" s="19" t="s">
        <v>5133</v>
      </c>
      <c r="E1373" s="20" t="s">
        <v>5130</v>
      </c>
      <c r="F1373" s="21">
        <v>22827.0</v>
      </c>
      <c r="G1373" s="14">
        <v>64.0</v>
      </c>
      <c r="H1373" s="23" t="s">
        <v>26</v>
      </c>
      <c r="I1373" s="24" t="s">
        <v>33</v>
      </c>
      <c r="J1373" s="19" t="s">
        <v>53</v>
      </c>
      <c r="K1373" s="14">
        <v>5.0</v>
      </c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</row>
    <row r="1374">
      <c r="A1374" s="14" t="s">
        <v>5134</v>
      </c>
      <c r="B1374" s="17" t="s">
        <v>5127</v>
      </c>
      <c r="C1374" s="17" t="s">
        <v>5135</v>
      </c>
      <c r="D1374" s="19" t="s">
        <v>2213</v>
      </c>
      <c r="E1374" s="20" t="s">
        <v>5136</v>
      </c>
      <c r="F1374" s="21">
        <v>23168.0</v>
      </c>
      <c r="G1374" s="14">
        <v>63.0</v>
      </c>
      <c r="H1374" s="23" t="s">
        <v>26</v>
      </c>
      <c r="I1374" s="24" t="s">
        <v>27</v>
      </c>
      <c r="J1374" s="19" t="s">
        <v>53</v>
      </c>
      <c r="K1374" s="14">
        <v>5.0</v>
      </c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</row>
    <row r="1375">
      <c r="A1375" s="14" t="s">
        <v>5137</v>
      </c>
      <c r="B1375" s="17" t="s">
        <v>5127</v>
      </c>
      <c r="C1375" s="17" t="s">
        <v>5138</v>
      </c>
      <c r="D1375" s="19" t="s">
        <v>5139</v>
      </c>
      <c r="E1375" s="20" t="s">
        <v>5130</v>
      </c>
      <c r="F1375" s="21">
        <v>38977.0</v>
      </c>
      <c r="G1375" s="14">
        <v>19.0</v>
      </c>
      <c r="H1375" s="23" t="s">
        <v>100</v>
      </c>
      <c r="I1375" s="24" t="s">
        <v>33</v>
      </c>
      <c r="J1375" s="19" t="s">
        <v>53</v>
      </c>
      <c r="K1375" s="14">
        <v>5.0</v>
      </c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</row>
    <row r="1376">
      <c r="A1376" s="14" t="s">
        <v>5140</v>
      </c>
      <c r="B1376" s="17" t="s">
        <v>5141</v>
      </c>
      <c r="C1376" s="17" t="s">
        <v>5142</v>
      </c>
      <c r="D1376" s="19" t="s">
        <v>5143</v>
      </c>
      <c r="E1376" s="20" t="s">
        <v>104</v>
      </c>
      <c r="F1376" s="21">
        <v>34965.0</v>
      </c>
      <c r="G1376" s="14">
        <v>30.0</v>
      </c>
      <c r="H1376" s="23" t="s">
        <v>26</v>
      </c>
      <c r="I1376" s="24" t="s">
        <v>33</v>
      </c>
      <c r="J1376" s="19" t="s">
        <v>328</v>
      </c>
      <c r="K1376" s="14">
        <v>23.0</v>
      </c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</row>
    <row r="1377">
      <c r="A1377" s="14" t="s">
        <v>5144</v>
      </c>
      <c r="B1377" s="17" t="s">
        <v>5141</v>
      </c>
      <c r="C1377" s="17" t="s">
        <v>5145</v>
      </c>
      <c r="D1377" s="19" t="s">
        <v>5146</v>
      </c>
      <c r="E1377" s="20" t="s">
        <v>104</v>
      </c>
      <c r="F1377" s="21">
        <v>32510.0</v>
      </c>
      <c r="G1377" s="14">
        <v>37.0</v>
      </c>
      <c r="H1377" s="23" t="s">
        <v>26</v>
      </c>
      <c r="I1377" s="24" t="s">
        <v>27</v>
      </c>
      <c r="J1377" s="19" t="s">
        <v>328</v>
      </c>
      <c r="K1377" s="14">
        <v>23.0</v>
      </c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</row>
    <row r="1378">
      <c r="A1378" s="14" t="s">
        <v>5147</v>
      </c>
      <c r="B1378" s="17" t="s">
        <v>5148</v>
      </c>
      <c r="C1378" s="17" t="s">
        <v>5149</v>
      </c>
      <c r="D1378" s="19" t="s">
        <v>5150</v>
      </c>
      <c r="E1378" s="20" t="s">
        <v>5151</v>
      </c>
      <c r="F1378" s="21">
        <v>26504.0</v>
      </c>
      <c r="G1378" s="14">
        <v>54.0</v>
      </c>
      <c r="H1378" s="23" t="s">
        <v>26</v>
      </c>
      <c r="I1378" s="24" t="s">
        <v>27</v>
      </c>
      <c r="J1378" s="19" t="s">
        <v>5152</v>
      </c>
      <c r="K1378" s="14">
        <v>17.0</v>
      </c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</row>
    <row r="1379">
      <c r="A1379" s="14" t="s">
        <v>5153</v>
      </c>
      <c r="B1379" s="17" t="s">
        <v>5148</v>
      </c>
      <c r="C1379" s="17" t="s">
        <v>5154</v>
      </c>
      <c r="D1379" s="19" t="s">
        <v>5155</v>
      </c>
      <c r="E1379" s="20" t="s">
        <v>5156</v>
      </c>
      <c r="F1379" s="21">
        <v>37009.0</v>
      </c>
      <c r="G1379" s="14">
        <v>25.0</v>
      </c>
      <c r="H1379" s="23" t="s">
        <v>100</v>
      </c>
      <c r="I1379" s="24" t="s">
        <v>27</v>
      </c>
      <c r="J1379" s="19" t="s">
        <v>5152</v>
      </c>
      <c r="K1379" s="14">
        <v>17.0</v>
      </c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</row>
    <row r="1380">
      <c r="A1380" s="14" t="s">
        <v>5157</v>
      </c>
      <c r="B1380" s="17" t="s">
        <v>5148</v>
      </c>
      <c r="C1380" s="17" t="s">
        <v>5159</v>
      </c>
      <c r="D1380" s="19" t="s">
        <v>5160</v>
      </c>
      <c r="E1380" s="20" t="s">
        <v>5161</v>
      </c>
      <c r="F1380" s="27">
        <v>24758.0</v>
      </c>
      <c r="G1380" s="14">
        <v>58.0</v>
      </c>
      <c r="H1380" s="23" t="s">
        <v>26</v>
      </c>
      <c r="I1380" s="24" t="s">
        <v>33</v>
      </c>
      <c r="J1380" s="19" t="s">
        <v>5152</v>
      </c>
      <c r="K1380" s="14">
        <v>17.0</v>
      </c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</row>
    <row r="1381">
      <c r="A1381" s="14" t="s">
        <v>5162</v>
      </c>
      <c r="B1381" s="17" t="s">
        <v>5148</v>
      </c>
      <c r="C1381" s="17" t="s">
        <v>5163</v>
      </c>
      <c r="D1381" s="19" t="s">
        <v>5164</v>
      </c>
      <c r="E1381" s="20" t="s">
        <v>3003</v>
      </c>
      <c r="F1381" s="21">
        <v>36593.0</v>
      </c>
      <c r="G1381" s="14">
        <v>26.0</v>
      </c>
      <c r="H1381" s="23" t="s">
        <v>100</v>
      </c>
      <c r="I1381" s="24" t="s">
        <v>33</v>
      </c>
      <c r="J1381" s="19" t="s">
        <v>5152</v>
      </c>
      <c r="K1381" s="14">
        <v>17.0</v>
      </c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</row>
    <row r="1382">
      <c r="A1382" s="14" t="s">
        <v>5165</v>
      </c>
      <c r="B1382" s="17" t="s">
        <v>5148</v>
      </c>
      <c r="C1382" s="17" t="s">
        <v>5166</v>
      </c>
      <c r="D1382" s="19" t="s">
        <v>5167</v>
      </c>
      <c r="E1382" s="20" t="s">
        <v>1095</v>
      </c>
      <c r="F1382" s="27">
        <v>38276.0</v>
      </c>
      <c r="G1382" s="14">
        <v>21.0</v>
      </c>
      <c r="H1382" s="23" t="s">
        <v>100</v>
      </c>
      <c r="I1382" s="24" t="s">
        <v>33</v>
      </c>
      <c r="J1382" s="19" t="s">
        <v>5152</v>
      </c>
      <c r="K1382" s="14">
        <v>17.0</v>
      </c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</row>
    <row r="1383">
      <c r="A1383" s="14" t="s">
        <v>5168</v>
      </c>
      <c r="B1383" s="17" t="s">
        <v>5169</v>
      </c>
      <c r="C1383" s="17" t="s">
        <v>5170</v>
      </c>
      <c r="D1383" s="19" t="s">
        <v>344</v>
      </c>
      <c r="E1383" s="20" t="s">
        <v>632</v>
      </c>
      <c r="F1383" s="21">
        <v>25648.0</v>
      </c>
      <c r="G1383" s="14">
        <v>56.0</v>
      </c>
      <c r="H1383" s="23" t="s">
        <v>26</v>
      </c>
      <c r="I1383" s="24" t="s">
        <v>33</v>
      </c>
      <c r="J1383" s="19" t="s">
        <v>362</v>
      </c>
      <c r="K1383" s="14">
        <v>25.0</v>
      </c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</row>
    <row r="1384">
      <c r="A1384" s="14" t="s">
        <v>5171</v>
      </c>
      <c r="B1384" s="17" t="s">
        <v>5169</v>
      </c>
      <c r="C1384" s="17" t="s">
        <v>5172</v>
      </c>
      <c r="D1384" s="19" t="s">
        <v>5173</v>
      </c>
      <c r="E1384" s="20" t="s">
        <v>1291</v>
      </c>
      <c r="F1384" s="27">
        <v>27353.0</v>
      </c>
      <c r="G1384" s="14">
        <v>51.0</v>
      </c>
      <c r="H1384" s="23" t="s">
        <v>26</v>
      </c>
      <c r="I1384" s="24" t="s">
        <v>27</v>
      </c>
      <c r="J1384" s="19" t="s">
        <v>362</v>
      </c>
      <c r="K1384" s="14">
        <v>25.0</v>
      </c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</row>
    <row r="1385">
      <c r="A1385" s="14" t="s">
        <v>5174</v>
      </c>
      <c r="B1385" s="17" t="s">
        <v>5175</v>
      </c>
      <c r="C1385" s="17" t="s">
        <v>5176</v>
      </c>
      <c r="D1385" s="19" t="s">
        <v>5177</v>
      </c>
      <c r="E1385" s="20" t="s">
        <v>2680</v>
      </c>
      <c r="F1385" s="27">
        <v>36480.0</v>
      </c>
      <c r="G1385" s="14">
        <v>26.0</v>
      </c>
      <c r="H1385" s="23" t="s">
        <v>100</v>
      </c>
      <c r="I1385" s="24" t="s">
        <v>33</v>
      </c>
      <c r="J1385" s="19" t="s">
        <v>328</v>
      </c>
      <c r="K1385" s="14">
        <v>25.0</v>
      </c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</row>
    <row r="1386">
      <c r="A1386" s="14" t="s">
        <v>5178</v>
      </c>
      <c r="B1386" s="17" t="s">
        <v>5175</v>
      </c>
      <c r="C1386" s="17" t="s">
        <v>5179</v>
      </c>
      <c r="D1386" s="19" t="s">
        <v>235</v>
      </c>
      <c r="E1386" s="20" t="s">
        <v>2680</v>
      </c>
      <c r="F1386" s="27">
        <v>30306.0</v>
      </c>
      <c r="G1386" s="14">
        <v>43.0</v>
      </c>
      <c r="H1386" s="23" t="s">
        <v>26</v>
      </c>
      <c r="I1386" s="24" t="s">
        <v>27</v>
      </c>
      <c r="J1386" s="19" t="s">
        <v>328</v>
      </c>
      <c r="K1386" s="14">
        <v>25.0</v>
      </c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</row>
    <row r="1387">
      <c r="A1387" s="14" t="s">
        <v>5180</v>
      </c>
      <c r="B1387" s="17" t="s">
        <v>5175</v>
      </c>
      <c r="C1387" s="17" t="s">
        <v>5181</v>
      </c>
      <c r="D1387" s="19" t="s">
        <v>5182</v>
      </c>
      <c r="E1387" s="20" t="s">
        <v>1291</v>
      </c>
      <c r="F1387" s="21">
        <v>27160.0</v>
      </c>
      <c r="G1387" s="14">
        <v>52.0</v>
      </c>
      <c r="H1387" s="23" t="s">
        <v>26</v>
      </c>
      <c r="I1387" s="24" t="s">
        <v>33</v>
      </c>
      <c r="J1387" s="19" t="s">
        <v>328</v>
      </c>
      <c r="K1387" s="14">
        <v>25.0</v>
      </c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</row>
    <row r="1388">
      <c r="A1388" s="14" t="s">
        <v>5183</v>
      </c>
      <c r="B1388" s="17" t="s">
        <v>5184</v>
      </c>
      <c r="C1388" s="17" t="s">
        <v>5185</v>
      </c>
      <c r="D1388" s="19" t="s">
        <v>5186</v>
      </c>
      <c r="E1388" s="20" t="s">
        <v>434</v>
      </c>
      <c r="F1388" s="21">
        <v>19060.0</v>
      </c>
      <c r="G1388" s="14">
        <v>74.0</v>
      </c>
      <c r="H1388" s="23" t="s">
        <v>26</v>
      </c>
      <c r="I1388" s="24" t="s">
        <v>33</v>
      </c>
      <c r="J1388" s="19" t="s">
        <v>146</v>
      </c>
      <c r="K1388" s="14">
        <v>2.0</v>
      </c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</row>
    <row r="1389">
      <c r="A1389" s="14" t="s">
        <v>5187</v>
      </c>
      <c r="B1389" s="17" t="s">
        <v>5188</v>
      </c>
      <c r="C1389" s="17" t="s">
        <v>5189</v>
      </c>
      <c r="D1389" s="19" t="s">
        <v>5190</v>
      </c>
      <c r="E1389" s="20" t="s">
        <v>53</v>
      </c>
      <c r="F1389" s="21">
        <v>38235.0</v>
      </c>
      <c r="G1389" s="14">
        <v>21.0</v>
      </c>
      <c r="H1389" s="23" t="s">
        <v>100</v>
      </c>
      <c r="I1389" s="24" t="s">
        <v>27</v>
      </c>
      <c r="J1389" s="19" t="s">
        <v>58</v>
      </c>
      <c r="K1389" s="14">
        <v>7.0</v>
      </c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</row>
    <row r="1390">
      <c r="A1390" s="14" t="s">
        <v>5191</v>
      </c>
      <c r="B1390" s="17" t="s">
        <v>5188</v>
      </c>
      <c r="C1390" s="17" t="s">
        <v>5192</v>
      </c>
      <c r="D1390" s="19" t="s">
        <v>3729</v>
      </c>
      <c r="E1390" s="20" t="s">
        <v>53</v>
      </c>
      <c r="F1390" s="21">
        <v>31910.0</v>
      </c>
      <c r="G1390" s="14">
        <v>39.0</v>
      </c>
      <c r="H1390" s="23" t="s">
        <v>26</v>
      </c>
      <c r="I1390" s="24" t="s">
        <v>27</v>
      </c>
      <c r="J1390" s="19" t="s">
        <v>58</v>
      </c>
      <c r="K1390" s="14">
        <v>7.0</v>
      </c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</row>
    <row r="1391">
      <c r="A1391" s="14" t="s">
        <v>5194</v>
      </c>
      <c r="B1391" s="17" t="s">
        <v>5188</v>
      </c>
      <c r="C1391" s="17" t="s">
        <v>5195</v>
      </c>
      <c r="D1391" s="19" t="s">
        <v>5196</v>
      </c>
      <c r="E1391" s="20" t="s">
        <v>5197</v>
      </c>
      <c r="F1391" s="27">
        <v>28472.0</v>
      </c>
      <c r="G1391" s="14">
        <v>48.0</v>
      </c>
      <c r="H1391" s="23" t="s">
        <v>26</v>
      </c>
      <c r="I1391" s="24" t="s">
        <v>33</v>
      </c>
      <c r="J1391" s="19" t="s">
        <v>58</v>
      </c>
      <c r="K1391" s="14">
        <v>7.0</v>
      </c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</row>
    <row r="1392">
      <c r="A1392" s="14" t="s">
        <v>5198</v>
      </c>
      <c r="B1392" s="17" t="s">
        <v>5188</v>
      </c>
      <c r="C1392" s="17" t="s">
        <v>5199</v>
      </c>
      <c r="D1392" s="19" t="s">
        <v>5200</v>
      </c>
      <c r="E1392" s="20" t="s">
        <v>1870</v>
      </c>
      <c r="F1392" s="21">
        <v>38918.0</v>
      </c>
      <c r="G1392" s="14">
        <v>20.0</v>
      </c>
      <c r="H1392" s="23" t="s">
        <v>100</v>
      </c>
      <c r="I1392" s="24" t="s">
        <v>33</v>
      </c>
      <c r="J1392" s="19" t="s">
        <v>58</v>
      </c>
      <c r="K1392" s="14">
        <v>7.0</v>
      </c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</row>
    <row r="1393">
      <c r="A1393" s="14" t="s">
        <v>5201</v>
      </c>
      <c r="B1393" s="17" t="s">
        <v>5202</v>
      </c>
      <c r="C1393" s="17" t="s">
        <v>5203</v>
      </c>
      <c r="D1393" s="19" t="s">
        <v>5204</v>
      </c>
      <c r="E1393" s="20" t="s">
        <v>53</v>
      </c>
      <c r="F1393" s="21">
        <v>38142.0</v>
      </c>
      <c r="G1393" s="14">
        <v>22.0</v>
      </c>
      <c r="H1393" s="23" t="s">
        <v>100</v>
      </c>
      <c r="I1393" s="24" t="s">
        <v>27</v>
      </c>
      <c r="J1393" s="19" t="s">
        <v>282</v>
      </c>
      <c r="K1393" s="14">
        <v>17.0</v>
      </c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</row>
    <row r="1394">
      <c r="A1394" s="14" t="s">
        <v>5205</v>
      </c>
      <c r="B1394" s="17" t="s">
        <v>5202</v>
      </c>
      <c r="C1394" s="17" t="s">
        <v>5206</v>
      </c>
      <c r="D1394" s="19" t="s">
        <v>5207</v>
      </c>
      <c r="E1394" s="20" t="s">
        <v>5208</v>
      </c>
      <c r="F1394" s="21">
        <v>25818.0</v>
      </c>
      <c r="G1394" s="14">
        <v>55.0</v>
      </c>
      <c r="H1394" s="23" t="s">
        <v>26</v>
      </c>
      <c r="I1394" s="24" t="s">
        <v>33</v>
      </c>
      <c r="J1394" s="19" t="s">
        <v>282</v>
      </c>
      <c r="K1394" s="14">
        <v>17.0</v>
      </c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</row>
    <row r="1395">
      <c r="A1395" s="14" t="s">
        <v>5209</v>
      </c>
      <c r="B1395" s="17" t="s">
        <v>5202</v>
      </c>
      <c r="C1395" s="17" t="s">
        <v>5210</v>
      </c>
      <c r="D1395" s="19" t="s">
        <v>4053</v>
      </c>
      <c r="E1395" s="20" t="s">
        <v>632</v>
      </c>
      <c r="F1395" s="21">
        <v>25261.0</v>
      </c>
      <c r="G1395" s="14">
        <v>57.0</v>
      </c>
      <c r="H1395" s="23" t="s">
        <v>26</v>
      </c>
      <c r="I1395" s="24" t="s">
        <v>27</v>
      </c>
      <c r="J1395" s="19" t="s">
        <v>282</v>
      </c>
      <c r="K1395" s="14">
        <v>17.0</v>
      </c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</row>
    <row r="1396">
      <c r="A1396" s="14" t="s">
        <v>5211</v>
      </c>
      <c r="B1396" s="17" t="s">
        <v>5212</v>
      </c>
      <c r="C1396" s="17" t="s">
        <v>5213</v>
      </c>
      <c r="D1396" s="19" t="s">
        <v>5214</v>
      </c>
      <c r="E1396" s="20" t="s">
        <v>5215</v>
      </c>
      <c r="F1396" s="21">
        <v>38440.0</v>
      </c>
      <c r="G1396" s="14">
        <v>21.0</v>
      </c>
      <c r="H1396" s="23" t="s">
        <v>100</v>
      </c>
      <c r="I1396" s="24" t="s">
        <v>33</v>
      </c>
      <c r="J1396" s="19" t="s">
        <v>146</v>
      </c>
      <c r="K1396" s="14">
        <v>6.0</v>
      </c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</row>
    <row r="1397">
      <c r="A1397" s="14" t="s">
        <v>5216</v>
      </c>
      <c r="B1397" s="17" t="s">
        <v>5212</v>
      </c>
      <c r="C1397" s="17" t="s">
        <v>5217</v>
      </c>
      <c r="D1397" s="19" t="s">
        <v>5218</v>
      </c>
      <c r="E1397" s="20" t="s">
        <v>104</v>
      </c>
      <c r="F1397" s="21">
        <v>35269.0</v>
      </c>
      <c r="G1397" s="14">
        <v>30.0</v>
      </c>
      <c r="H1397" s="23" t="s">
        <v>100</v>
      </c>
      <c r="I1397" s="24" t="s">
        <v>33</v>
      </c>
      <c r="J1397" s="19" t="s">
        <v>146</v>
      </c>
      <c r="K1397" s="14">
        <v>6.0</v>
      </c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</row>
    <row r="1398">
      <c r="A1398" s="14" t="s">
        <v>5219</v>
      </c>
      <c r="B1398" s="17" t="s">
        <v>5212</v>
      </c>
      <c r="C1398" s="17" t="s">
        <v>5220</v>
      </c>
      <c r="D1398" s="19" t="s">
        <v>5221</v>
      </c>
      <c r="E1398" s="20" t="s">
        <v>544</v>
      </c>
      <c r="F1398" s="21">
        <v>26512.0</v>
      </c>
      <c r="G1398" s="14">
        <v>54.0</v>
      </c>
      <c r="H1398" s="23" t="s">
        <v>26</v>
      </c>
      <c r="I1398" s="24" t="s">
        <v>27</v>
      </c>
      <c r="J1398" s="19" t="s">
        <v>146</v>
      </c>
      <c r="K1398" s="14">
        <v>6.0</v>
      </c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</row>
    <row r="1399">
      <c r="A1399" s="14" t="s">
        <v>5222</v>
      </c>
      <c r="B1399" s="17" t="s">
        <v>5212</v>
      </c>
      <c r="C1399" s="17" t="s">
        <v>5223</v>
      </c>
      <c r="D1399" s="19" t="s">
        <v>5224</v>
      </c>
      <c r="E1399" s="20" t="s">
        <v>544</v>
      </c>
      <c r="F1399" s="21">
        <v>23230.0</v>
      </c>
      <c r="G1399" s="14">
        <v>63.0</v>
      </c>
      <c r="H1399" s="23" t="s">
        <v>26</v>
      </c>
      <c r="I1399" s="24" t="s">
        <v>33</v>
      </c>
      <c r="J1399" s="19" t="s">
        <v>146</v>
      </c>
      <c r="K1399" s="14">
        <v>6.0</v>
      </c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</row>
    <row r="1400">
      <c r="A1400" s="14" t="s">
        <v>5225</v>
      </c>
      <c r="B1400" s="17" t="s">
        <v>5226</v>
      </c>
      <c r="C1400" s="17" t="s">
        <v>5227</v>
      </c>
      <c r="D1400" s="19" t="s">
        <v>5228</v>
      </c>
      <c r="E1400" s="20" t="s">
        <v>5229</v>
      </c>
      <c r="F1400" s="21">
        <v>32084.0</v>
      </c>
      <c r="G1400" s="14">
        <v>38.0</v>
      </c>
      <c r="H1400" s="23" t="s">
        <v>26</v>
      </c>
      <c r="I1400" s="24" t="s">
        <v>27</v>
      </c>
      <c r="J1400" s="19" t="s">
        <v>68</v>
      </c>
      <c r="K1400" s="14">
        <v>33.0</v>
      </c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</row>
    <row r="1401">
      <c r="A1401" s="14" t="s">
        <v>5230</v>
      </c>
      <c r="B1401" s="17" t="s">
        <v>5226</v>
      </c>
      <c r="C1401" s="17" t="s">
        <v>5231</v>
      </c>
      <c r="D1401" s="19" t="s">
        <v>5232</v>
      </c>
      <c r="E1401" s="20" t="s">
        <v>104</v>
      </c>
      <c r="F1401" s="21">
        <v>28554.0</v>
      </c>
      <c r="G1401" s="14">
        <v>48.0</v>
      </c>
      <c r="H1401" s="23" t="s">
        <v>26</v>
      </c>
      <c r="I1401" s="24" t="s">
        <v>33</v>
      </c>
      <c r="J1401" s="19" t="s">
        <v>68</v>
      </c>
      <c r="K1401" s="14">
        <v>33.0</v>
      </c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</row>
    <row r="1402">
      <c r="A1402" s="14" t="s">
        <v>5233</v>
      </c>
      <c r="B1402" s="17" t="s">
        <v>5234</v>
      </c>
      <c r="C1402" s="17" t="s">
        <v>5235</v>
      </c>
      <c r="D1402" s="19" t="s">
        <v>5236</v>
      </c>
      <c r="E1402" s="20" t="s">
        <v>104</v>
      </c>
      <c r="F1402" s="21">
        <v>32907.0</v>
      </c>
      <c r="G1402" s="14">
        <v>36.0</v>
      </c>
      <c r="H1402" s="23" t="s">
        <v>26</v>
      </c>
      <c r="I1402" s="24" t="s">
        <v>27</v>
      </c>
      <c r="J1402" s="19" t="s">
        <v>328</v>
      </c>
      <c r="K1402" s="14">
        <v>19.0</v>
      </c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</row>
    <row r="1403">
      <c r="A1403" s="14" t="s">
        <v>5237</v>
      </c>
      <c r="B1403" s="17" t="s">
        <v>5234</v>
      </c>
      <c r="C1403" s="17" t="s">
        <v>5238</v>
      </c>
      <c r="D1403" s="19" t="s">
        <v>5239</v>
      </c>
      <c r="E1403" s="20" t="s">
        <v>104</v>
      </c>
      <c r="F1403" s="21">
        <v>31528.0</v>
      </c>
      <c r="G1403" s="14">
        <v>40.0</v>
      </c>
      <c r="H1403" s="23" t="s">
        <v>26</v>
      </c>
      <c r="I1403" s="24" t="s">
        <v>33</v>
      </c>
      <c r="J1403" s="19" t="s">
        <v>328</v>
      </c>
      <c r="K1403" s="14">
        <v>19.0</v>
      </c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</row>
    <row r="1404">
      <c r="A1404" s="14" t="s">
        <v>5240</v>
      </c>
      <c r="B1404" s="17" t="s">
        <v>5241</v>
      </c>
      <c r="C1404" s="17" t="s">
        <v>5242</v>
      </c>
      <c r="D1404" s="19" t="s">
        <v>5243</v>
      </c>
      <c r="E1404" s="20" t="s">
        <v>53</v>
      </c>
      <c r="F1404" s="21">
        <v>32847.0</v>
      </c>
      <c r="G1404" s="14">
        <v>36.0</v>
      </c>
      <c r="H1404" s="23" t="s">
        <v>26</v>
      </c>
      <c r="I1404" s="24" t="s">
        <v>27</v>
      </c>
      <c r="J1404" s="19" t="s">
        <v>5244</v>
      </c>
      <c r="K1404" s="14">
        <v>24.0</v>
      </c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</row>
    <row r="1405">
      <c r="A1405" s="14" t="s">
        <v>5245</v>
      </c>
      <c r="B1405" s="17" t="s">
        <v>5241</v>
      </c>
      <c r="C1405" s="17" t="s">
        <v>5246</v>
      </c>
      <c r="D1405" s="19" t="s">
        <v>5247</v>
      </c>
      <c r="E1405" s="20" t="s">
        <v>53</v>
      </c>
      <c r="F1405" s="21">
        <v>38788.0</v>
      </c>
      <c r="G1405" s="14">
        <v>20.0</v>
      </c>
      <c r="H1405" s="23" t="s">
        <v>100</v>
      </c>
      <c r="I1405" s="24" t="s">
        <v>33</v>
      </c>
      <c r="J1405" s="19" t="s">
        <v>5244</v>
      </c>
      <c r="K1405" s="14">
        <v>24.0</v>
      </c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</row>
    <row r="1406">
      <c r="A1406" s="14" t="s">
        <v>5248</v>
      </c>
      <c r="B1406" s="17" t="s">
        <v>5241</v>
      </c>
      <c r="C1406" s="17" t="s">
        <v>5249</v>
      </c>
      <c r="D1406" s="19" t="s">
        <v>5250</v>
      </c>
      <c r="E1406" s="20" t="s">
        <v>53</v>
      </c>
      <c r="F1406" s="21">
        <v>28196.0</v>
      </c>
      <c r="G1406" s="14">
        <v>49.0</v>
      </c>
      <c r="H1406" s="23" t="s">
        <v>26</v>
      </c>
      <c r="I1406" s="24" t="s">
        <v>33</v>
      </c>
      <c r="J1406" s="19" t="s">
        <v>5244</v>
      </c>
      <c r="K1406" s="14">
        <v>24.0</v>
      </c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</row>
    <row r="1407">
      <c r="A1407" s="14" t="s">
        <v>5251</v>
      </c>
      <c r="B1407" s="17" t="s">
        <v>5252</v>
      </c>
      <c r="C1407" s="17" t="s">
        <v>5253</v>
      </c>
      <c r="D1407" s="19" t="s">
        <v>5254</v>
      </c>
      <c r="E1407" s="20" t="s">
        <v>5255</v>
      </c>
      <c r="F1407" s="21">
        <v>38259.0</v>
      </c>
      <c r="G1407" s="14">
        <v>21.0</v>
      </c>
      <c r="H1407" s="23" t="s">
        <v>100</v>
      </c>
      <c r="I1407" s="24" t="s">
        <v>27</v>
      </c>
      <c r="J1407" s="19" t="s">
        <v>146</v>
      </c>
      <c r="K1407" s="14">
        <v>10.0</v>
      </c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</row>
    <row r="1408">
      <c r="A1408" s="14" t="s">
        <v>5256</v>
      </c>
      <c r="B1408" s="17" t="s">
        <v>5252</v>
      </c>
      <c r="C1408" s="17" t="s">
        <v>5257</v>
      </c>
      <c r="D1408" s="19" t="s">
        <v>5258</v>
      </c>
      <c r="E1408" s="20" t="s">
        <v>104</v>
      </c>
      <c r="F1408" s="21">
        <v>31640.0</v>
      </c>
      <c r="G1408" s="14">
        <v>40.0</v>
      </c>
      <c r="H1408" s="23" t="s">
        <v>26</v>
      </c>
      <c r="I1408" s="24" t="s">
        <v>27</v>
      </c>
      <c r="J1408" s="19" t="s">
        <v>146</v>
      </c>
      <c r="K1408" s="14">
        <v>10.0</v>
      </c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</row>
    <row r="1409">
      <c r="A1409" s="14" t="s">
        <v>5259</v>
      </c>
      <c r="B1409" s="17" t="s">
        <v>5252</v>
      </c>
      <c r="C1409" s="17" t="s">
        <v>5260</v>
      </c>
      <c r="D1409" s="19" t="s">
        <v>5261</v>
      </c>
      <c r="E1409" s="20" t="s">
        <v>1786</v>
      </c>
      <c r="F1409" s="21">
        <v>28727.0</v>
      </c>
      <c r="G1409" s="14">
        <v>48.0</v>
      </c>
      <c r="H1409" s="23" t="s">
        <v>26</v>
      </c>
      <c r="I1409" s="24" t="s">
        <v>33</v>
      </c>
      <c r="J1409" s="19" t="s">
        <v>146</v>
      </c>
      <c r="K1409" s="14">
        <v>10.0</v>
      </c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</row>
    <row r="1410">
      <c r="A1410" s="14" t="s">
        <v>5262</v>
      </c>
      <c r="B1410" s="17" t="s">
        <v>5263</v>
      </c>
      <c r="C1410" s="17" t="s">
        <v>5264</v>
      </c>
      <c r="D1410" s="19" t="s">
        <v>5265</v>
      </c>
      <c r="E1410" s="20" t="s">
        <v>5266</v>
      </c>
      <c r="F1410" s="21">
        <v>14721.0</v>
      </c>
      <c r="G1410" s="14">
        <v>86.0</v>
      </c>
      <c r="H1410" s="23" t="s">
        <v>27</v>
      </c>
      <c r="I1410" s="24" t="s">
        <v>27</v>
      </c>
      <c r="J1410" s="19" t="s">
        <v>53</v>
      </c>
      <c r="K1410" s="14">
        <v>13.0</v>
      </c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</row>
    <row r="1411">
      <c r="A1411" s="14" t="s">
        <v>5267</v>
      </c>
      <c r="B1411" s="17" t="s">
        <v>5268</v>
      </c>
      <c r="C1411" s="17" t="s">
        <v>5269</v>
      </c>
      <c r="D1411" s="19" t="s">
        <v>5270</v>
      </c>
      <c r="E1411" s="20" t="s">
        <v>5271</v>
      </c>
      <c r="F1411" s="21">
        <v>30073.0</v>
      </c>
      <c r="G1411" s="14">
        <v>44.0</v>
      </c>
      <c r="H1411" s="23" t="s">
        <v>26</v>
      </c>
      <c r="I1411" s="24" t="s">
        <v>33</v>
      </c>
      <c r="J1411" s="19" t="s">
        <v>517</v>
      </c>
      <c r="K1411" s="14">
        <v>9.0</v>
      </c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</row>
    <row r="1412">
      <c r="A1412" s="14" t="s">
        <v>5272</v>
      </c>
      <c r="B1412" s="17" t="s">
        <v>5273</v>
      </c>
      <c r="C1412" s="17" t="s">
        <v>5274</v>
      </c>
      <c r="D1412" s="19" t="s">
        <v>5275</v>
      </c>
      <c r="E1412" s="20" t="s">
        <v>3127</v>
      </c>
      <c r="F1412" s="21">
        <v>25697.0</v>
      </c>
      <c r="G1412" s="14">
        <v>56.0</v>
      </c>
      <c r="H1412" s="23" t="s">
        <v>26</v>
      </c>
      <c r="I1412" s="24" t="s">
        <v>33</v>
      </c>
      <c r="J1412" s="19" t="s">
        <v>517</v>
      </c>
      <c r="K1412" s="14">
        <v>9.0</v>
      </c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</row>
    <row r="1413">
      <c r="A1413" s="14" t="s">
        <v>5276</v>
      </c>
      <c r="B1413" s="17" t="s">
        <v>5273</v>
      </c>
      <c r="C1413" s="17" t="s">
        <v>5277</v>
      </c>
      <c r="D1413" s="19" t="s">
        <v>5278</v>
      </c>
      <c r="E1413" s="20" t="s">
        <v>5271</v>
      </c>
      <c r="F1413" s="27">
        <v>24452.0</v>
      </c>
      <c r="G1413" s="14">
        <v>59.0</v>
      </c>
      <c r="H1413" s="23" t="s">
        <v>26</v>
      </c>
      <c r="I1413" s="24" t="s">
        <v>27</v>
      </c>
      <c r="J1413" s="19" t="s">
        <v>517</v>
      </c>
      <c r="K1413" s="14">
        <v>9.0</v>
      </c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</row>
    <row r="1414">
      <c r="A1414" s="14" t="s">
        <v>5279</v>
      </c>
      <c r="B1414" s="17" t="s">
        <v>5280</v>
      </c>
      <c r="C1414" s="17" t="s">
        <v>5281</v>
      </c>
      <c r="D1414" s="19" t="s">
        <v>5282</v>
      </c>
      <c r="E1414" s="20" t="s">
        <v>5283</v>
      </c>
      <c r="F1414" s="21">
        <v>38416.0</v>
      </c>
      <c r="G1414" s="14">
        <v>21.0</v>
      </c>
      <c r="H1414" s="23" t="s">
        <v>100</v>
      </c>
      <c r="I1414" s="24" t="s">
        <v>27</v>
      </c>
      <c r="J1414" s="19" t="s">
        <v>68</v>
      </c>
      <c r="K1414" s="14">
        <v>34.0</v>
      </c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</row>
    <row r="1415">
      <c r="A1415" s="14" t="s">
        <v>5284</v>
      </c>
      <c r="B1415" s="17" t="s">
        <v>5280</v>
      </c>
      <c r="C1415" s="17" t="s">
        <v>5285</v>
      </c>
      <c r="D1415" s="19" t="s">
        <v>5286</v>
      </c>
      <c r="E1415" s="20" t="s">
        <v>5287</v>
      </c>
      <c r="F1415" s="27">
        <v>31336.0</v>
      </c>
      <c r="G1415" s="14">
        <v>40.0</v>
      </c>
      <c r="H1415" s="23" t="s">
        <v>26</v>
      </c>
      <c r="I1415" s="24" t="s">
        <v>27</v>
      </c>
      <c r="J1415" s="19" t="s">
        <v>68</v>
      </c>
      <c r="K1415" s="14">
        <v>34.0</v>
      </c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</row>
    <row r="1416">
      <c r="A1416" s="14" t="s">
        <v>5288</v>
      </c>
      <c r="B1416" s="17" t="s">
        <v>5280</v>
      </c>
      <c r="C1416" s="17" t="s">
        <v>5289</v>
      </c>
      <c r="D1416" s="19" t="s">
        <v>5290</v>
      </c>
      <c r="E1416" s="20" t="s">
        <v>104</v>
      </c>
      <c r="F1416" s="21">
        <v>27609.0</v>
      </c>
      <c r="G1416" s="14">
        <v>51.0</v>
      </c>
      <c r="H1416" s="23" t="s">
        <v>26</v>
      </c>
      <c r="I1416" s="24" t="s">
        <v>33</v>
      </c>
      <c r="J1416" s="19" t="s">
        <v>68</v>
      </c>
      <c r="K1416" s="14">
        <v>34.0</v>
      </c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</row>
    <row r="1417">
      <c r="A1417" s="14" t="s">
        <v>5291</v>
      </c>
      <c r="B1417" s="17" t="s">
        <v>5292</v>
      </c>
      <c r="C1417" s="17" t="s">
        <v>5293</v>
      </c>
      <c r="D1417" s="19" t="s">
        <v>5294</v>
      </c>
      <c r="E1417" s="20" t="s">
        <v>1782</v>
      </c>
      <c r="F1417" s="21">
        <v>37164.0</v>
      </c>
      <c r="G1417" s="14">
        <v>24.0</v>
      </c>
      <c r="H1417" s="23" t="s">
        <v>100</v>
      </c>
      <c r="I1417" s="24" t="s">
        <v>27</v>
      </c>
      <c r="J1417" s="19" t="s">
        <v>5295</v>
      </c>
      <c r="K1417" s="14">
        <v>20.0</v>
      </c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</row>
    <row r="1418">
      <c r="A1418" s="14" t="s">
        <v>5296</v>
      </c>
      <c r="B1418" s="17" t="s">
        <v>5297</v>
      </c>
      <c r="C1418" s="17" t="s">
        <v>5298</v>
      </c>
      <c r="D1418" s="19" t="s">
        <v>5299</v>
      </c>
      <c r="E1418" s="20" t="s">
        <v>1058</v>
      </c>
      <c r="F1418" s="21">
        <v>19769.0</v>
      </c>
      <c r="G1418" s="14">
        <v>72.0</v>
      </c>
      <c r="H1418" s="23" t="s">
        <v>27</v>
      </c>
      <c r="I1418" s="24" t="s">
        <v>27</v>
      </c>
      <c r="J1418" s="19" t="s">
        <v>282</v>
      </c>
      <c r="K1418" s="14">
        <v>15.0</v>
      </c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</row>
    <row r="1419">
      <c r="A1419" s="14" t="s">
        <v>5300</v>
      </c>
      <c r="B1419" s="17" t="s">
        <v>5301</v>
      </c>
      <c r="C1419" s="17" t="s">
        <v>5302</v>
      </c>
      <c r="D1419" s="19" t="s">
        <v>5303</v>
      </c>
      <c r="E1419" s="20" t="s">
        <v>104</v>
      </c>
      <c r="F1419" s="21">
        <v>33640.0</v>
      </c>
      <c r="G1419" s="14">
        <v>34.0</v>
      </c>
      <c r="H1419" s="23" t="s">
        <v>26</v>
      </c>
      <c r="I1419" s="24" t="s">
        <v>33</v>
      </c>
      <c r="J1419" s="19" t="s">
        <v>53</v>
      </c>
      <c r="K1419" s="14">
        <v>17.0</v>
      </c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</row>
    <row r="1420">
      <c r="A1420" s="14" t="s">
        <v>5304</v>
      </c>
      <c r="B1420" s="17" t="s">
        <v>5301</v>
      </c>
      <c r="C1420" s="17" t="s">
        <v>5305</v>
      </c>
      <c r="D1420" s="19" t="s">
        <v>5306</v>
      </c>
      <c r="E1420" s="20" t="s">
        <v>53</v>
      </c>
      <c r="F1420" s="21">
        <v>35938.0</v>
      </c>
      <c r="G1420" s="14">
        <v>28.0</v>
      </c>
      <c r="H1420" s="23" t="s">
        <v>26</v>
      </c>
      <c r="I1420" s="24" t="s">
        <v>27</v>
      </c>
      <c r="J1420" s="19" t="s">
        <v>53</v>
      </c>
      <c r="K1420" s="14">
        <v>17.0</v>
      </c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</row>
    <row r="1421">
      <c r="A1421" s="14" t="s">
        <v>5307</v>
      </c>
      <c r="B1421" s="17" t="s">
        <v>5308</v>
      </c>
      <c r="C1421" s="17" t="s">
        <v>5309</v>
      </c>
      <c r="D1421" s="19" t="s">
        <v>5310</v>
      </c>
      <c r="E1421" s="20" t="s">
        <v>632</v>
      </c>
      <c r="F1421" s="21">
        <v>21315.0</v>
      </c>
      <c r="G1421" s="14">
        <v>68.0</v>
      </c>
      <c r="H1421" s="23" t="s">
        <v>27</v>
      </c>
      <c r="I1421" s="24" t="s">
        <v>33</v>
      </c>
      <c r="J1421" s="19" t="s">
        <v>282</v>
      </c>
      <c r="K1421" s="14">
        <v>17.0</v>
      </c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</row>
    <row r="1422">
      <c r="A1422" s="14" t="s">
        <v>5311</v>
      </c>
      <c r="B1422" s="17" t="s">
        <v>5312</v>
      </c>
      <c r="C1422" s="17" t="s">
        <v>5313</v>
      </c>
      <c r="D1422" s="19" t="s">
        <v>5314</v>
      </c>
      <c r="E1422" s="20" t="s">
        <v>187</v>
      </c>
      <c r="F1422" s="21">
        <v>31153.0</v>
      </c>
      <c r="G1422" s="14">
        <v>41.0</v>
      </c>
      <c r="H1422" s="23" t="s">
        <v>26</v>
      </c>
      <c r="I1422" s="24" t="s">
        <v>33</v>
      </c>
      <c r="J1422" s="19" t="s">
        <v>53</v>
      </c>
      <c r="K1422" s="14">
        <v>4.0</v>
      </c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</row>
    <row r="1423">
      <c r="A1423" s="14" t="s">
        <v>5315</v>
      </c>
      <c r="B1423" s="17" t="s">
        <v>5312</v>
      </c>
      <c r="C1423" s="17" t="s">
        <v>5316</v>
      </c>
      <c r="D1423" s="19" t="s">
        <v>5317</v>
      </c>
      <c r="E1423" s="20" t="s">
        <v>104</v>
      </c>
      <c r="F1423" s="21">
        <v>37076.0</v>
      </c>
      <c r="G1423" s="14">
        <v>25.0</v>
      </c>
      <c r="H1423" s="23" t="s">
        <v>100</v>
      </c>
      <c r="I1423" s="24" t="s">
        <v>27</v>
      </c>
      <c r="J1423" s="19" t="s">
        <v>53</v>
      </c>
      <c r="K1423" s="14">
        <v>4.0</v>
      </c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</row>
    <row r="1424">
      <c r="A1424" s="14" t="s">
        <v>5318</v>
      </c>
      <c r="B1424" s="17" t="s">
        <v>5312</v>
      </c>
      <c r="C1424" s="17" t="s">
        <v>5319</v>
      </c>
      <c r="D1424" s="19" t="s">
        <v>5320</v>
      </c>
      <c r="E1424" s="20" t="s">
        <v>104</v>
      </c>
      <c r="F1424" s="21">
        <v>29419.0</v>
      </c>
      <c r="G1424" s="14">
        <v>46.0</v>
      </c>
      <c r="H1424" s="23" t="s">
        <v>26</v>
      </c>
      <c r="I1424" s="24" t="s">
        <v>27</v>
      </c>
      <c r="J1424" s="19" t="s">
        <v>53</v>
      </c>
      <c r="K1424" s="14">
        <v>4.0</v>
      </c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</row>
    <row r="1425">
      <c r="A1425" s="14" t="s">
        <v>5321</v>
      </c>
      <c r="B1425" s="17" t="s">
        <v>5322</v>
      </c>
      <c r="C1425" s="17" t="s">
        <v>5323</v>
      </c>
      <c r="D1425" s="19" t="s">
        <v>5324</v>
      </c>
      <c r="E1425" s="20" t="s">
        <v>1058</v>
      </c>
      <c r="F1425" s="21">
        <v>21642.0</v>
      </c>
      <c r="G1425" s="14">
        <v>67.0</v>
      </c>
      <c r="H1425" s="23" t="s">
        <v>26</v>
      </c>
      <c r="I1425" s="24" t="s">
        <v>33</v>
      </c>
      <c r="J1425" s="19" t="s">
        <v>282</v>
      </c>
      <c r="K1425" s="14">
        <v>14.0</v>
      </c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</row>
    <row r="1426">
      <c r="A1426" s="14" t="s">
        <v>5325</v>
      </c>
      <c r="B1426" s="17" t="s">
        <v>5326</v>
      </c>
      <c r="C1426" s="17" t="s">
        <v>5327</v>
      </c>
      <c r="D1426" s="19" t="s">
        <v>5328</v>
      </c>
      <c r="E1426" s="20" t="s">
        <v>195</v>
      </c>
      <c r="F1426" s="27">
        <v>34334.0</v>
      </c>
      <c r="G1426" s="14">
        <v>32.0</v>
      </c>
      <c r="H1426" s="23" t="s">
        <v>26</v>
      </c>
      <c r="I1426" s="24" t="s">
        <v>27</v>
      </c>
      <c r="J1426" s="19" t="s">
        <v>53</v>
      </c>
      <c r="K1426" s="14">
        <v>25.0</v>
      </c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</row>
    <row r="1427">
      <c r="A1427" s="14" t="s">
        <v>5329</v>
      </c>
      <c r="B1427" s="17" t="s">
        <v>5326</v>
      </c>
      <c r="C1427" s="17" t="s">
        <v>5330</v>
      </c>
      <c r="D1427" s="19" t="s">
        <v>5331</v>
      </c>
      <c r="E1427" s="20" t="s">
        <v>176</v>
      </c>
      <c r="F1427" s="21">
        <v>31961.0</v>
      </c>
      <c r="G1427" s="14">
        <v>39.0</v>
      </c>
      <c r="H1427" s="23" t="s">
        <v>26</v>
      </c>
      <c r="I1427" s="24" t="s">
        <v>33</v>
      </c>
      <c r="J1427" s="19" t="s">
        <v>53</v>
      </c>
      <c r="K1427" s="14">
        <v>25.0</v>
      </c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</row>
    <row r="1428">
      <c r="A1428" s="14" t="s">
        <v>5332</v>
      </c>
      <c r="B1428" s="17" t="s">
        <v>5333</v>
      </c>
      <c r="C1428" s="17" t="s">
        <v>5334</v>
      </c>
      <c r="D1428" s="19" t="s">
        <v>5335</v>
      </c>
      <c r="E1428" s="20" t="s">
        <v>654</v>
      </c>
      <c r="F1428" s="27">
        <v>21915.0</v>
      </c>
      <c r="G1428" s="14">
        <v>66.0</v>
      </c>
      <c r="H1428" s="23" t="s">
        <v>27</v>
      </c>
      <c r="I1428" s="24" t="s">
        <v>27</v>
      </c>
      <c r="J1428" s="19" t="s">
        <v>95</v>
      </c>
      <c r="K1428" s="14">
        <v>16.0</v>
      </c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</row>
    <row r="1429">
      <c r="A1429" s="14" t="s">
        <v>5336</v>
      </c>
      <c r="B1429" s="17" t="s">
        <v>2831</v>
      </c>
      <c r="C1429" s="17" t="s">
        <v>5337</v>
      </c>
      <c r="D1429" s="19" t="s">
        <v>5338</v>
      </c>
      <c r="E1429" s="20" t="s">
        <v>219</v>
      </c>
      <c r="F1429" s="21">
        <v>26846.0</v>
      </c>
      <c r="G1429" s="14">
        <v>53.0</v>
      </c>
      <c r="H1429" s="23" t="s">
        <v>26</v>
      </c>
      <c r="I1429" s="24" t="s">
        <v>27</v>
      </c>
      <c r="J1429" s="19" t="s">
        <v>4020</v>
      </c>
      <c r="K1429" s="14">
        <v>27.0</v>
      </c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</row>
    <row r="1430">
      <c r="A1430" s="14" t="s">
        <v>5339</v>
      </c>
      <c r="B1430" s="17" t="s">
        <v>2831</v>
      </c>
      <c r="C1430" s="17" t="s">
        <v>5340</v>
      </c>
      <c r="D1430" s="19" t="s">
        <v>5341</v>
      </c>
      <c r="E1430" s="20" t="s">
        <v>654</v>
      </c>
      <c r="F1430" s="21">
        <v>25755.0</v>
      </c>
      <c r="G1430" s="14">
        <v>56.0</v>
      </c>
      <c r="H1430" s="23" t="s">
        <v>26</v>
      </c>
      <c r="I1430" s="24" t="s">
        <v>33</v>
      </c>
      <c r="J1430" s="19" t="s">
        <v>4020</v>
      </c>
      <c r="K1430" s="14">
        <v>27.0</v>
      </c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</row>
    <row r="1431">
      <c r="A1431" s="14" t="s">
        <v>5342</v>
      </c>
      <c r="B1431" s="17" t="s">
        <v>5343</v>
      </c>
      <c r="C1431" s="17" t="s">
        <v>5344</v>
      </c>
      <c r="D1431" s="19" t="s">
        <v>5345</v>
      </c>
      <c r="E1431" s="20" t="s">
        <v>654</v>
      </c>
      <c r="F1431" s="21">
        <v>22042.0</v>
      </c>
      <c r="G1431" s="14">
        <v>66.0</v>
      </c>
      <c r="H1431" s="23" t="s">
        <v>26</v>
      </c>
      <c r="I1431" s="24" t="s">
        <v>33</v>
      </c>
      <c r="J1431" s="19" t="s">
        <v>58</v>
      </c>
      <c r="K1431" s="14">
        <v>6.0</v>
      </c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</row>
    <row r="1432">
      <c r="A1432" s="14" t="s">
        <v>5346</v>
      </c>
      <c r="B1432" s="17" t="s">
        <v>5343</v>
      </c>
      <c r="C1432" s="17" t="s">
        <v>5347</v>
      </c>
      <c r="D1432" s="19" t="s">
        <v>5348</v>
      </c>
      <c r="E1432" s="20" t="s">
        <v>654</v>
      </c>
      <c r="F1432" s="21">
        <v>23840.0</v>
      </c>
      <c r="G1432" s="14">
        <v>61.0</v>
      </c>
      <c r="H1432" s="23" t="s">
        <v>26</v>
      </c>
      <c r="I1432" s="24" t="s">
        <v>27</v>
      </c>
      <c r="J1432" s="19" t="s">
        <v>58</v>
      </c>
      <c r="K1432" s="14">
        <v>6.0</v>
      </c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</row>
    <row r="1433">
      <c r="A1433" s="14" t="s">
        <v>5349</v>
      </c>
      <c r="B1433" s="17" t="s">
        <v>5350</v>
      </c>
      <c r="C1433" s="17" t="s">
        <v>5351</v>
      </c>
      <c r="D1433" s="19" t="s">
        <v>5352</v>
      </c>
      <c r="E1433" s="20" t="s">
        <v>5353</v>
      </c>
      <c r="F1433" s="21">
        <v>25385.0</v>
      </c>
      <c r="G1433" s="14">
        <v>57.0</v>
      </c>
      <c r="H1433" s="23" t="s">
        <v>26</v>
      </c>
      <c r="I1433" s="24" t="s">
        <v>33</v>
      </c>
      <c r="J1433" s="19" t="s">
        <v>328</v>
      </c>
      <c r="K1433" s="14">
        <v>27.0</v>
      </c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</row>
    <row r="1434">
      <c r="A1434" s="14" t="s">
        <v>5354</v>
      </c>
      <c r="B1434" s="17" t="s">
        <v>5350</v>
      </c>
      <c r="C1434" s="17" t="s">
        <v>5355</v>
      </c>
      <c r="D1434" s="19" t="s">
        <v>5356</v>
      </c>
      <c r="E1434" s="20" t="s">
        <v>1291</v>
      </c>
      <c r="F1434" s="21">
        <v>26481.0</v>
      </c>
      <c r="G1434" s="14">
        <v>54.0</v>
      </c>
      <c r="H1434" s="23" t="s">
        <v>26</v>
      </c>
      <c r="I1434" s="24" t="s">
        <v>27</v>
      </c>
      <c r="J1434" s="19" t="s">
        <v>328</v>
      </c>
      <c r="K1434" s="14">
        <v>27.0</v>
      </c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</row>
    <row r="1435">
      <c r="A1435" s="14" t="s">
        <v>5357</v>
      </c>
      <c r="B1435" s="17" t="s">
        <v>5358</v>
      </c>
      <c r="C1435" s="17" t="s">
        <v>5359</v>
      </c>
      <c r="D1435" s="19" t="s">
        <v>5360</v>
      </c>
      <c r="E1435" s="20" t="s">
        <v>104</v>
      </c>
      <c r="F1435" s="21">
        <v>27977.0</v>
      </c>
      <c r="G1435" s="14">
        <v>50.0</v>
      </c>
      <c r="H1435" s="23" t="s">
        <v>26</v>
      </c>
      <c r="I1435" s="24" t="s">
        <v>33</v>
      </c>
      <c r="J1435" s="19" t="s">
        <v>328</v>
      </c>
      <c r="K1435" s="14">
        <v>27.0</v>
      </c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</row>
    <row r="1436">
      <c r="A1436" s="14" t="s">
        <v>5361</v>
      </c>
      <c r="B1436" s="17" t="s">
        <v>5358</v>
      </c>
      <c r="C1436" s="17" t="s">
        <v>5362</v>
      </c>
      <c r="D1436" s="19" t="s">
        <v>5363</v>
      </c>
      <c r="E1436" s="20" t="s">
        <v>5353</v>
      </c>
      <c r="F1436" s="21">
        <v>30108.0</v>
      </c>
      <c r="G1436" s="14">
        <v>44.0</v>
      </c>
      <c r="H1436" s="23" t="s">
        <v>26</v>
      </c>
      <c r="I1436" s="24" t="s">
        <v>27</v>
      </c>
      <c r="J1436" s="19" t="s">
        <v>328</v>
      </c>
      <c r="K1436" s="14">
        <v>27.0</v>
      </c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</row>
    <row r="1437">
      <c r="A1437" s="14" t="s">
        <v>5364</v>
      </c>
      <c r="B1437" s="17" t="s">
        <v>5365</v>
      </c>
      <c r="C1437" s="17" t="s">
        <v>5366</v>
      </c>
      <c r="D1437" s="19" t="s">
        <v>5367</v>
      </c>
      <c r="E1437" s="20" t="s">
        <v>112</v>
      </c>
      <c r="F1437" s="21">
        <v>22377.0</v>
      </c>
      <c r="G1437" s="14">
        <v>65.0</v>
      </c>
      <c r="H1437" s="23" t="s">
        <v>26</v>
      </c>
      <c r="I1437" s="24" t="s">
        <v>27</v>
      </c>
      <c r="J1437" s="19" t="s">
        <v>146</v>
      </c>
      <c r="K1437" s="14">
        <v>9.0</v>
      </c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</row>
    <row r="1438">
      <c r="A1438" s="14" t="s">
        <v>5368</v>
      </c>
      <c r="B1438" s="17" t="s">
        <v>5365</v>
      </c>
      <c r="C1438" s="17" t="s">
        <v>5369</v>
      </c>
      <c r="D1438" s="19" t="s">
        <v>5370</v>
      </c>
      <c r="E1438" s="20" t="s">
        <v>112</v>
      </c>
      <c r="F1438" s="21">
        <v>19056.0</v>
      </c>
      <c r="G1438" s="14">
        <v>74.0</v>
      </c>
      <c r="H1438" s="23" t="s">
        <v>26</v>
      </c>
      <c r="I1438" s="24" t="s">
        <v>33</v>
      </c>
      <c r="J1438" s="19" t="s">
        <v>146</v>
      </c>
      <c r="K1438" s="14">
        <v>9.0</v>
      </c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</row>
    <row r="1439">
      <c r="A1439" s="14" t="s">
        <v>5371</v>
      </c>
      <c r="B1439" s="17" t="s">
        <v>5372</v>
      </c>
      <c r="C1439" s="17" t="s">
        <v>5373</v>
      </c>
      <c r="D1439" s="19" t="s">
        <v>5374</v>
      </c>
      <c r="E1439" s="20" t="s">
        <v>1413</v>
      </c>
      <c r="F1439" s="27">
        <v>27021.0</v>
      </c>
      <c r="G1439" s="14">
        <v>52.0</v>
      </c>
      <c r="H1439" s="23" t="s">
        <v>26</v>
      </c>
      <c r="I1439" s="24" t="s">
        <v>33</v>
      </c>
      <c r="J1439" s="19" t="s">
        <v>58</v>
      </c>
      <c r="K1439" s="14">
        <v>9.0</v>
      </c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</row>
    <row r="1440">
      <c r="A1440" s="14" t="s">
        <v>5375</v>
      </c>
      <c r="B1440" s="17" t="s">
        <v>5372</v>
      </c>
      <c r="C1440" s="17" t="s">
        <v>5376</v>
      </c>
      <c r="D1440" s="19" t="s">
        <v>5377</v>
      </c>
      <c r="E1440" s="20" t="s">
        <v>53</v>
      </c>
      <c r="F1440" s="21">
        <v>37990.0</v>
      </c>
      <c r="G1440" s="14">
        <v>22.0</v>
      </c>
      <c r="H1440" s="23" t="s">
        <v>100</v>
      </c>
      <c r="I1440" s="24" t="s">
        <v>27</v>
      </c>
      <c r="J1440" s="19" t="s">
        <v>58</v>
      </c>
      <c r="K1440" s="14">
        <v>9.0</v>
      </c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</row>
    <row r="1441">
      <c r="A1441" s="14" t="s">
        <v>5378</v>
      </c>
      <c r="B1441" s="17" t="s">
        <v>5372</v>
      </c>
      <c r="C1441" s="17" t="s">
        <v>5379</v>
      </c>
      <c r="D1441" s="19" t="s">
        <v>5380</v>
      </c>
      <c r="E1441" s="20" t="s">
        <v>195</v>
      </c>
      <c r="F1441" s="21">
        <v>26299.0</v>
      </c>
      <c r="G1441" s="14">
        <v>54.0</v>
      </c>
      <c r="H1441" s="23" t="s">
        <v>26</v>
      </c>
      <c r="I1441" s="24" t="s">
        <v>27</v>
      </c>
      <c r="J1441" s="19" t="s">
        <v>58</v>
      </c>
      <c r="K1441" s="14">
        <v>9.0</v>
      </c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</row>
    <row r="1442">
      <c r="A1442" s="14" t="s">
        <v>5381</v>
      </c>
      <c r="B1442" s="17" t="s">
        <v>5382</v>
      </c>
      <c r="C1442" s="17" t="s">
        <v>5383</v>
      </c>
      <c r="D1442" s="19" t="s">
        <v>5384</v>
      </c>
      <c r="E1442" s="20" t="s">
        <v>650</v>
      </c>
      <c r="F1442" s="21">
        <v>7138.0</v>
      </c>
      <c r="G1442" s="14">
        <v>107.0</v>
      </c>
      <c r="H1442" s="23" t="s">
        <v>26</v>
      </c>
      <c r="I1442" s="24" t="s">
        <v>33</v>
      </c>
      <c r="J1442" s="19" t="s">
        <v>4237</v>
      </c>
      <c r="K1442" s="14">
        <v>9.0</v>
      </c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</row>
    <row r="1443">
      <c r="A1443" s="14" t="s">
        <v>5385</v>
      </c>
      <c r="B1443" s="17" t="s">
        <v>5386</v>
      </c>
      <c r="C1443" s="17" t="s">
        <v>5387</v>
      </c>
      <c r="D1443" s="19" t="s">
        <v>5388</v>
      </c>
      <c r="E1443" s="20" t="s">
        <v>5389</v>
      </c>
      <c r="F1443" s="21">
        <v>25366.0</v>
      </c>
      <c r="G1443" s="14">
        <v>57.0</v>
      </c>
      <c r="H1443" s="23" t="s">
        <v>26</v>
      </c>
      <c r="I1443" s="24" t="s">
        <v>27</v>
      </c>
      <c r="J1443" s="19" t="s">
        <v>156</v>
      </c>
      <c r="K1443" s="14">
        <v>35.0</v>
      </c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</row>
    <row r="1444">
      <c r="A1444" s="14" t="s">
        <v>5390</v>
      </c>
      <c r="B1444" s="17" t="s">
        <v>5386</v>
      </c>
      <c r="C1444" s="17" t="s">
        <v>5391</v>
      </c>
      <c r="D1444" s="19" t="s">
        <v>5392</v>
      </c>
      <c r="E1444" s="20" t="s">
        <v>372</v>
      </c>
      <c r="F1444" s="21">
        <v>22046.0</v>
      </c>
      <c r="G1444" s="14">
        <v>66.0</v>
      </c>
      <c r="H1444" s="23" t="s">
        <v>26</v>
      </c>
      <c r="I1444" s="24" t="s">
        <v>33</v>
      </c>
      <c r="J1444" s="19" t="s">
        <v>156</v>
      </c>
      <c r="K1444" s="14">
        <v>35.0</v>
      </c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</row>
    <row r="1445">
      <c r="A1445" s="14" t="s">
        <v>5393</v>
      </c>
      <c r="B1445" s="17" t="s">
        <v>5394</v>
      </c>
      <c r="C1445" s="17" t="s">
        <v>5395</v>
      </c>
      <c r="D1445" s="19" t="s">
        <v>5396</v>
      </c>
      <c r="E1445" s="20" t="s">
        <v>2353</v>
      </c>
      <c r="F1445" s="27">
        <v>32806.0</v>
      </c>
      <c r="G1445" s="14">
        <v>36.0</v>
      </c>
      <c r="H1445" s="23" t="s">
        <v>26</v>
      </c>
      <c r="I1445" s="24" t="s">
        <v>27</v>
      </c>
      <c r="J1445" s="19" t="s">
        <v>517</v>
      </c>
      <c r="K1445" s="14">
        <v>5.0</v>
      </c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</row>
    <row r="1446">
      <c r="A1446" s="14" t="s">
        <v>5397</v>
      </c>
      <c r="B1446" s="17" t="s">
        <v>5394</v>
      </c>
      <c r="C1446" s="17" t="s">
        <v>5398</v>
      </c>
      <c r="D1446" s="19" t="s">
        <v>5399</v>
      </c>
      <c r="E1446" s="20" t="s">
        <v>5389</v>
      </c>
      <c r="F1446" s="21">
        <v>28957.0</v>
      </c>
      <c r="G1446" s="14">
        <v>47.0</v>
      </c>
      <c r="H1446" s="23" t="s">
        <v>26</v>
      </c>
      <c r="I1446" s="24" t="s">
        <v>33</v>
      </c>
      <c r="J1446" s="19" t="s">
        <v>517</v>
      </c>
      <c r="K1446" s="14">
        <v>5.0</v>
      </c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</row>
    <row r="1447">
      <c r="A1447" s="14" t="s">
        <v>5400</v>
      </c>
      <c r="B1447" s="17" t="s">
        <v>5401</v>
      </c>
      <c r="C1447" s="17" t="s">
        <v>5402</v>
      </c>
      <c r="D1447" s="19" t="s">
        <v>5403</v>
      </c>
      <c r="E1447" s="20" t="s">
        <v>1370</v>
      </c>
      <c r="F1447" s="21">
        <v>33749.0</v>
      </c>
      <c r="G1447" s="14">
        <v>34.0</v>
      </c>
      <c r="H1447" s="23" t="s">
        <v>26</v>
      </c>
      <c r="I1447" s="24" t="s">
        <v>33</v>
      </c>
      <c r="J1447" s="19" t="s">
        <v>3387</v>
      </c>
      <c r="K1447" s="14">
        <v>9.0</v>
      </c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</row>
    <row r="1448">
      <c r="A1448" s="14" t="s">
        <v>5404</v>
      </c>
      <c r="B1448" s="17" t="s">
        <v>5401</v>
      </c>
      <c r="C1448" s="17" t="s">
        <v>5405</v>
      </c>
      <c r="D1448" s="19" t="s">
        <v>5406</v>
      </c>
      <c r="E1448" s="20" t="s">
        <v>104</v>
      </c>
      <c r="F1448" s="27">
        <v>35369.0</v>
      </c>
      <c r="G1448" s="14">
        <v>29.0</v>
      </c>
      <c r="H1448" s="23" t="s">
        <v>26</v>
      </c>
      <c r="I1448" s="24" t="s">
        <v>27</v>
      </c>
      <c r="J1448" s="19" t="s">
        <v>3387</v>
      </c>
      <c r="K1448" s="14">
        <v>9.0</v>
      </c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</row>
    <row r="1449">
      <c r="A1449" s="14" t="s">
        <v>5407</v>
      </c>
      <c r="B1449" s="17" t="s">
        <v>5408</v>
      </c>
      <c r="C1449" s="17" t="s">
        <v>5409</v>
      </c>
      <c r="D1449" s="19" t="s">
        <v>5410</v>
      </c>
      <c r="E1449" s="20" t="s">
        <v>138</v>
      </c>
      <c r="F1449" s="27">
        <v>37922.0</v>
      </c>
      <c r="G1449" s="14">
        <v>22.0</v>
      </c>
      <c r="H1449" s="23" t="s">
        <v>26</v>
      </c>
      <c r="I1449" s="24" t="s">
        <v>27</v>
      </c>
      <c r="J1449" s="19" t="s">
        <v>68</v>
      </c>
      <c r="K1449" s="14">
        <v>35.0</v>
      </c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</row>
    <row r="1450">
      <c r="A1450" s="14" t="s">
        <v>5411</v>
      </c>
      <c r="B1450" s="17" t="s">
        <v>5408</v>
      </c>
      <c r="C1450" s="17" t="s">
        <v>5412</v>
      </c>
      <c r="D1450" s="19" t="s">
        <v>5413</v>
      </c>
      <c r="E1450" s="20" t="s">
        <v>138</v>
      </c>
      <c r="F1450" s="27">
        <v>37190.0</v>
      </c>
      <c r="G1450" s="14">
        <v>24.0</v>
      </c>
      <c r="H1450" s="23" t="s">
        <v>26</v>
      </c>
      <c r="I1450" s="24" t="s">
        <v>33</v>
      </c>
      <c r="J1450" s="19" t="s">
        <v>68</v>
      </c>
      <c r="K1450" s="14">
        <v>35.0</v>
      </c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</row>
    <row r="1451">
      <c r="A1451" s="14" t="s">
        <v>5414</v>
      </c>
      <c r="B1451" s="17" t="s">
        <v>5415</v>
      </c>
      <c r="C1451" s="17" t="s">
        <v>5416</v>
      </c>
      <c r="D1451" s="19" t="s">
        <v>5417</v>
      </c>
      <c r="E1451" s="20" t="s">
        <v>3544</v>
      </c>
      <c r="F1451" s="21">
        <v>26761.0</v>
      </c>
      <c r="G1451" s="14">
        <v>53.0</v>
      </c>
      <c r="H1451" s="23" t="s">
        <v>26</v>
      </c>
      <c r="I1451" s="24" t="s">
        <v>27</v>
      </c>
      <c r="J1451" s="19" t="s">
        <v>257</v>
      </c>
      <c r="K1451" s="14">
        <v>16.0</v>
      </c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</row>
    <row r="1452">
      <c r="A1452" s="14" t="s">
        <v>5418</v>
      </c>
      <c r="B1452" s="17" t="s">
        <v>5419</v>
      </c>
      <c r="C1452" s="17" t="s">
        <v>5420</v>
      </c>
      <c r="D1452" s="19" t="s">
        <v>5421</v>
      </c>
      <c r="E1452" s="20" t="s">
        <v>3263</v>
      </c>
      <c r="F1452" s="27">
        <v>18577.0</v>
      </c>
      <c r="G1452" s="14">
        <v>75.0</v>
      </c>
      <c r="H1452" s="23" t="s">
        <v>27</v>
      </c>
      <c r="I1452" s="24" t="s">
        <v>33</v>
      </c>
      <c r="J1452" s="19" t="s">
        <v>5422</v>
      </c>
      <c r="K1452" s="14">
        <v>26.0</v>
      </c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</row>
    <row r="1453">
      <c r="A1453" s="14" t="s">
        <v>5423</v>
      </c>
      <c r="B1453" s="17" t="s">
        <v>5424</v>
      </c>
      <c r="C1453" s="17" t="s">
        <v>5425</v>
      </c>
      <c r="D1453" s="19" t="s">
        <v>5426</v>
      </c>
      <c r="E1453" s="20" t="s">
        <v>53</v>
      </c>
      <c r="F1453" s="21">
        <v>30079.0</v>
      </c>
      <c r="G1453" s="14">
        <v>44.0</v>
      </c>
      <c r="H1453" s="23" t="s">
        <v>26</v>
      </c>
      <c r="I1453" s="24" t="s">
        <v>33</v>
      </c>
      <c r="J1453" s="19" t="s">
        <v>726</v>
      </c>
      <c r="K1453" s="14">
        <v>17.0</v>
      </c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</row>
    <row r="1454">
      <c r="A1454" s="14" t="s">
        <v>5427</v>
      </c>
      <c r="B1454" s="17" t="s">
        <v>5424</v>
      </c>
      <c r="C1454" s="17" t="s">
        <v>5428</v>
      </c>
      <c r="D1454" s="19" t="s">
        <v>5429</v>
      </c>
      <c r="E1454" s="20" t="s">
        <v>104</v>
      </c>
      <c r="F1454" s="21">
        <v>38802.0</v>
      </c>
      <c r="G1454" s="14">
        <v>20.0</v>
      </c>
      <c r="H1454" s="23" t="s">
        <v>100</v>
      </c>
      <c r="I1454" s="24" t="s">
        <v>33</v>
      </c>
      <c r="J1454" s="19" t="s">
        <v>726</v>
      </c>
      <c r="K1454" s="14">
        <v>17.0</v>
      </c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</row>
    <row r="1455">
      <c r="A1455" s="14" t="s">
        <v>5430</v>
      </c>
      <c r="B1455" s="17" t="s">
        <v>5424</v>
      </c>
      <c r="C1455" s="17" t="s">
        <v>5431</v>
      </c>
      <c r="D1455" s="19" t="s">
        <v>5432</v>
      </c>
      <c r="E1455" s="20" t="s">
        <v>104</v>
      </c>
      <c r="F1455" s="21">
        <v>31306.0</v>
      </c>
      <c r="G1455" s="14">
        <v>40.0</v>
      </c>
      <c r="H1455" s="23" t="s">
        <v>26</v>
      </c>
      <c r="I1455" s="24" t="s">
        <v>27</v>
      </c>
      <c r="J1455" s="19" t="s">
        <v>726</v>
      </c>
      <c r="K1455" s="14">
        <v>17.0</v>
      </c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</row>
    <row r="1456">
      <c r="A1456" s="14" t="s">
        <v>5433</v>
      </c>
      <c r="B1456" s="17" t="s">
        <v>5434</v>
      </c>
      <c r="C1456" s="17" t="s">
        <v>5435</v>
      </c>
      <c r="D1456" s="19" t="s">
        <v>5436</v>
      </c>
      <c r="E1456" s="20" t="s">
        <v>3215</v>
      </c>
      <c r="F1456" s="21">
        <v>19862.0</v>
      </c>
      <c r="G1456" s="14">
        <v>72.0</v>
      </c>
      <c r="H1456" s="23" t="s">
        <v>27</v>
      </c>
      <c r="I1456" s="24" t="s">
        <v>33</v>
      </c>
      <c r="J1456" s="19" t="s">
        <v>68</v>
      </c>
      <c r="K1456" s="14">
        <v>31.0</v>
      </c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</row>
    <row r="1457">
      <c r="A1457" s="14" t="s">
        <v>5437</v>
      </c>
      <c r="B1457" s="17" t="s">
        <v>5438</v>
      </c>
      <c r="C1457" s="17" t="s">
        <v>5439</v>
      </c>
      <c r="D1457" s="19" t="s">
        <v>5440</v>
      </c>
      <c r="E1457" s="20" t="s">
        <v>2680</v>
      </c>
      <c r="F1457" s="21">
        <v>33311.0</v>
      </c>
      <c r="G1457" s="14">
        <v>35.0</v>
      </c>
      <c r="H1457" s="23" t="s">
        <v>26</v>
      </c>
      <c r="I1457" s="24" t="s">
        <v>33</v>
      </c>
      <c r="J1457" s="19" t="s">
        <v>206</v>
      </c>
      <c r="K1457" s="14">
        <v>1.0</v>
      </c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</row>
    <row r="1458">
      <c r="A1458" s="14" t="s">
        <v>5441</v>
      </c>
      <c r="B1458" s="17" t="s">
        <v>5438</v>
      </c>
      <c r="C1458" s="17" t="s">
        <v>5442</v>
      </c>
      <c r="D1458" s="19" t="s">
        <v>5443</v>
      </c>
      <c r="E1458" s="20" t="s">
        <v>104</v>
      </c>
      <c r="F1458" s="21">
        <v>34361.0</v>
      </c>
      <c r="G1458" s="14">
        <v>32.0</v>
      </c>
      <c r="H1458" s="23" t="s">
        <v>26</v>
      </c>
      <c r="I1458" s="24" t="s">
        <v>27</v>
      </c>
      <c r="J1458" s="19" t="s">
        <v>206</v>
      </c>
      <c r="K1458" s="14">
        <v>1.0</v>
      </c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</row>
    <row r="1459">
      <c r="A1459" s="14" t="s">
        <v>5444</v>
      </c>
      <c r="B1459" s="17" t="s">
        <v>5445</v>
      </c>
      <c r="C1459" s="17" t="s">
        <v>5446</v>
      </c>
      <c r="D1459" s="19" t="s">
        <v>5447</v>
      </c>
      <c r="E1459" s="20" t="s">
        <v>632</v>
      </c>
      <c r="F1459" s="21">
        <v>15837.0</v>
      </c>
      <c r="G1459" s="14">
        <v>83.0</v>
      </c>
      <c r="H1459" s="23" t="s">
        <v>26</v>
      </c>
      <c r="I1459" s="24" t="s">
        <v>27</v>
      </c>
      <c r="J1459" s="19" t="s">
        <v>53</v>
      </c>
      <c r="K1459" s="14">
        <v>21.0</v>
      </c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</row>
    <row r="1460">
      <c r="A1460" s="14" t="s">
        <v>5448</v>
      </c>
      <c r="B1460" s="17" t="s">
        <v>5449</v>
      </c>
      <c r="C1460" s="17" t="s">
        <v>5450</v>
      </c>
      <c r="D1460" s="19" t="s">
        <v>5451</v>
      </c>
      <c r="E1460" s="20" t="s">
        <v>138</v>
      </c>
      <c r="F1460" s="21">
        <v>32209.0</v>
      </c>
      <c r="G1460" s="14">
        <v>38.0</v>
      </c>
      <c r="H1460" s="23" t="s">
        <v>26</v>
      </c>
      <c r="I1460" s="24" t="s">
        <v>27</v>
      </c>
      <c r="J1460" s="19" t="s">
        <v>726</v>
      </c>
      <c r="K1460" s="14">
        <v>15.0</v>
      </c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</row>
    <row r="1461">
      <c r="A1461" s="14" t="s">
        <v>5452</v>
      </c>
      <c r="B1461" s="17" t="s">
        <v>5449</v>
      </c>
      <c r="C1461" s="17" t="s">
        <v>5453</v>
      </c>
      <c r="D1461" s="19" t="s">
        <v>5454</v>
      </c>
      <c r="E1461" s="20" t="s">
        <v>138</v>
      </c>
      <c r="F1461" s="27">
        <v>27709.0</v>
      </c>
      <c r="G1461" s="14">
        <v>50.0</v>
      </c>
      <c r="H1461" s="23" t="s">
        <v>26</v>
      </c>
      <c r="I1461" s="24" t="s">
        <v>33</v>
      </c>
      <c r="J1461" s="19" t="s">
        <v>726</v>
      </c>
      <c r="K1461" s="14">
        <v>15.0</v>
      </c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</row>
    <row r="1462">
      <c r="A1462" s="14" t="s">
        <v>5455</v>
      </c>
      <c r="B1462" s="17" t="s">
        <v>5449</v>
      </c>
      <c r="C1462" s="17" t="s">
        <v>5456</v>
      </c>
      <c r="D1462" s="19" t="s">
        <v>5457</v>
      </c>
      <c r="E1462" s="20" t="s">
        <v>138</v>
      </c>
      <c r="F1462" s="21">
        <v>39212.0</v>
      </c>
      <c r="G1462" s="14">
        <v>19.0</v>
      </c>
      <c r="H1462" s="23" t="s">
        <v>100</v>
      </c>
      <c r="I1462" s="24" t="s">
        <v>33</v>
      </c>
      <c r="J1462" s="19" t="s">
        <v>726</v>
      </c>
      <c r="K1462" s="14">
        <v>15.0</v>
      </c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</row>
    <row r="1463">
      <c r="A1463" s="14" t="s">
        <v>5458</v>
      </c>
      <c r="B1463" s="17" t="s">
        <v>5459</v>
      </c>
      <c r="C1463" s="17" t="s">
        <v>5460</v>
      </c>
      <c r="D1463" s="19" t="s">
        <v>5461</v>
      </c>
      <c r="E1463" s="20" t="s">
        <v>632</v>
      </c>
      <c r="F1463" s="21">
        <v>21193.0</v>
      </c>
      <c r="G1463" s="14">
        <v>68.0</v>
      </c>
      <c r="H1463" s="23" t="s">
        <v>26</v>
      </c>
      <c r="I1463" s="24" t="s">
        <v>27</v>
      </c>
      <c r="J1463" s="19" t="s">
        <v>4237</v>
      </c>
      <c r="K1463" s="14">
        <v>30.0</v>
      </c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</row>
    <row r="1464">
      <c r="A1464" s="14" t="s">
        <v>5462</v>
      </c>
      <c r="B1464" s="17" t="s">
        <v>5463</v>
      </c>
      <c r="C1464" s="17" t="s">
        <v>5464</v>
      </c>
      <c r="D1464" s="19" t="s">
        <v>5465</v>
      </c>
      <c r="E1464" s="20" t="s">
        <v>2000</v>
      </c>
      <c r="F1464" s="21">
        <v>25252.0</v>
      </c>
      <c r="G1464" s="14">
        <v>57.0</v>
      </c>
      <c r="H1464" s="23" t="s">
        <v>26</v>
      </c>
      <c r="I1464" s="24" t="s">
        <v>27</v>
      </c>
      <c r="J1464" s="19" t="s">
        <v>1915</v>
      </c>
      <c r="K1464" s="14">
        <v>12.0</v>
      </c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</row>
    <row r="1465">
      <c r="A1465" s="14" t="s">
        <v>5466</v>
      </c>
      <c r="B1465" s="17" t="s">
        <v>5463</v>
      </c>
      <c r="C1465" s="17" t="s">
        <v>5467</v>
      </c>
      <c r="D1465" s="19" t="s">
        <v>5468</v>
      </c>
      <c r="E1465" s="20" t="s">
        <v>429</v>
      </c>
      <c r="F1465" s="21">
        <v>27041.0</v>
      </c>
      <c r="G1465" s="14">
        <v>52.0</v>
      </c>
      <c r="H1465" s="23" t="s">
        <v>26</v>
      </c>
      <c r="I1465" s="24" t="s">
        <v>33</v>
      </c>
      <c r="J1465" s="19" t="s">
        <v>1915</v>
      </c>
      <c r="K1465" s="14">
        <v>12.0</v>
      </c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</row>
    <row r="1466">
      <c r="A1466" s="14" t="s">
        <v>5469</v>
      </c>
      <c r="B1466" s="17" t="s">
        <v>5463</v>
      </c>
      <c r="C1466" s="17" t="s">
        <v>5470</v>
      </c>
      <c r="D1466" s="19" t="s">
        <v>5471</v>
      </c>
      <c r="E1466" s="20" t="s">
        <v>138</v>
      </c>
      <c r="F1466" s="21">
        <v>38476.0</v>
      </c>
      <c r="G1466" s="14">
        <v>21.0</v>
      </c>
      <c r="H1466" s="23" t="s">
        <v>100</v>
      </c>
      <c r="I1466" s="24" t="s">
        <v>33</v>
      </c>
      <c r="J1466" s="19" t="s">
        <v>1915</v>
      </c>
      <c r="K1466" s="14">
        <v>12.0</v>
      </c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</row>
    <row r="1467">
      <c r="A1467" s="14" t="s">
        <v>5472</v>
      </c>
      <c r="B1467" s="17" t="s">
        <v>5473</v>
      </c>
      <c r="C1467" s="17" t="s">
        <v>5474</v>
      </c>
      <c r="D1467" s="19" t="s">
        <v>5475</v>
      </c>
      <c r="E1467" s="20" t="s">
        <v>5476</v>
      </c>
      <c r="F1467" s="27">
        <v>30284.0</v>
      </c>
      <c r="G1467" s="14">
        <v>43.0</v>
      </c>
      <c r="H1467" s="23" t="s">
        <v>26</v>
      </c>
      <c r="I1467" s="24" t="s">
        <v>27</v>
      </c>
      <c r="J1467" s="19" t="s">
        <v>726</v>
      </c>
      <c r="K1467" s="14">
        <v>12.0</v>
      </c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</row>
    <row r="1468">
      <c r="A1468" s="14" t="s">
        <v>5477</v>
      </c>
      <c r="B1468" s="17" t="s">
        <v>5473</v>
      </c>
      <c r="C1468" s="17" t="s">
        <v>5478</v>
      </c>
      <c r="D1468" s="19" t="s">
        <v>5479</v>
      </c>
      <c r="E1468" s="20" t="s">
        <v>429</v>
      </c>
      <c r="F1468" s="21">
        <v>27465.0</v>
      </c>
      <c r="G1468" s="14">
        <v>51.0</v>
      </c>
      <c r="H1468" s="23" t="s">
        <v>26</v>
      </c>
      <c r="I1468" s="24" t="s">
        <v>33</v>
      </c>
      <c r="J1468" s="19" t="s">
        <v>726</v>
      </c>
      <c r="K1468" s="14">
        <v>12.0</v>
      </c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</row>
    <row r="1469">
      <c r="A1469" s="14" t="s">
        <v>5480</v>
      </c>
      <c r="B1469" s="17" t="s">
        <v>5481</v>
      </c>
      <c r="C1469" s="17" t="s">
        <v>5482</v>
      </c>
      <c r="D1469" s="19" t="s">
        <v>5483</v>
      </c>
      <c r="E1469" s="20" t="s">
        <v>2038</v>
      </c>
      <c r="F1469" s="21">
        <v>34485.0</v>
      </c>
      <c r="G1469" s="14">
        <v>32.0</v>
      </c>
      <c r="H1469" s="23" t="s">
        <v>100</v>
      </c>
      <c r="I1469" s="24" t="s">
        <v>33</v>
      </c>
      <c r="J1469" s="19" t="s">
        <v>1915</v>
      </c>
      <c r="K1469" s="14">
        <v>12.0</v>
      </c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</row>
    <row r="1470">
      <c r="A1470" s="14" t="s">
        <v>5484</v>
      </c>
      <c r="B1470" s="17" t="s">
        <v>5481</v>
      </c>
      <c r="C1470" s="17" t="s">
        <v>5485</v>
      </c>
      <c r="D1470" s="19" t="s">
        <v>5486</v>
      </c>
      <c r="E1470" s="20" t="s">
        <v>195</v>
      </c>
      <c r="F1470" s="27">
        <v>22585.0</v>
      </c>
      <c r="G1470" s="14">
        <v>64.0</v>
      </c>
      <c r="H1470" s="23" t="s">
        <v>27</v>
      </c>
      <c r="I1470" s="24" t="s">
        <v>33</v>
      </c>
      <c r="J1470" s="19" t="s">
        <v>1915</v>
      </c>
      <c r="K1470" s="14">
        <v>12.0</v>
      </c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</row>
    <row r="1471">
      <c r="A1471" s="14" t="s">
        <v>5487</v>
      </c>
      <c r="B1471" s="17" t="s">
        <v>5488</v>
      </c>
      <c r="C1471" s="17" t="s">
        <v>5489</v>
      </c>
      <c r="D1471" s="19" t="s">
        <v>3759</v>
      </c>
      <c r="E1471" s="20" t="s">
        <v>429</v>
      </c>
      <c r="F1471" s="27">
        <v>19657.0</v>
      </c>
      <c r="G1471" s="14">
        <v>72.0</v>
      </c>
      <c r="H1471" s="23" t="s">
        <v>27</v>
      </c>
      <c r="I1471" s="24" t="s">
        <v>27</v>
      </c>
      <c r="J1471" s="19" t="s">
        <v>1915</v>
      </c>
      <c r="K1471" s="14">
        <v>12.0</v>
      </c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</row>
    <row r="1472">
      <c r="A1472" s="14" t="s">
        <v>5490</v>
      </c>
      <c r="B1472" s="17" t="s">
        <v>5491</v>
      </c>
      <c r="C1472" s="17" t="s">
        <v>5492</v>
      </c>
      <c r="D1472" s="19" t="s">
        <v>5493</v>
      </c>
      <c r="E1472" s="20" t="s">
        <v>2014</v>
      </c>
      <c r="F1472" s="21">
        <v>20166.0</v>
      </c>
      <c r="G1472" s="14">
        <v>71.0</v>
      </c>
      <c r="H1472" s="23" t="s">
        <v>27</v>
      </c>
      <c r="I1472" s="24" t="s">
        <v>27</v>
      </c>
      <c r="J1472" s="19" t="s">
        <v>53</v>
      </c>
      <c r="K1472" s="14">
        <v>12.0</v>
      </c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</row>
    <row r="1473">
      <c r="A1473" s="14" t="s">
        <v>5494</v>
      </c>
      <c r="B1473" s="17" t="s">
        <v>5495</v>
      </c>
      <c r="C1473" s="17" t="s">
        <v>5496</v>
      </c>
      <c r="D1473" s="19" t="s">
        <v>5497</v>
      </c>
      <c r="E1473" s="20" t="s">
        <v>53</v>
      </c>
      <c r="F1473" s="21">
        <v>37373.0</v>
      </c>
      <c r="G1473" s="14">
        <v>24.0</v>
      </c>
      <c r="H1473" s="23" t="s">
        <v>100</v>
      </c>
      <c r="I1473" s="24" t="s">
        <v>33</v>
      </c>
      <c r="J1473" s="19" t="s">
        <v>517</v>
      </c>
      <c r="K1473" s="14">
        <v>9.0</v>
      </c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</row>
    <row r="1474">
      <c r="A1474" s="14" t="s">
        <v>5498</v>
      </c>
      <c r="B1474" s="17" t="s">
        <v>5495</v>
      </c>
      <c r="C1474" s="17" t="s">
        <v>5499</v>
      </c>
      <c r="D1474" s="19" t="s">
        <v>5500</v>
      </c>
      <c r="E1474" s="20" t="s">
        <v>53</v>
      </c>
      <c r="F1474" s="21">
        <v>39099.0</v>
      </c>
      <c r="G1474" s="14">
        <v>19.0</v>
      </c>
      <c r="H1474" s="23" t="s">
        <v>100</v>
      </c>
      <c r="I1474" s="24" t="s">
        <v>27</v>
      </c>
      <c r="J1474" s="19" t="s">
        <v>517</v>
      </c>
      <c r="K1474" s="14">
        <v>9.0</v>
      </c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</row>
    <row r="1475">
      <c r="A1475" s="14" t="s">
        <v>5501</v>
      </c>
      <c r="B1475" s="17" t="s">
        <v>5495</v>
      </c>
      <c r="C1475" s="17" t="s">
        <v>5502</v>
      </c>
      <c r="D1475" s="19" t="s">
        <v>5503</v>
      </c>
      <c r="E1475" s="20" t="s">
        <v>195</v>
      </c>
      <c r="F1475" s="21">
        <v>27428.0</v>
      </c>
      <c r="G1475" s="14">
        <v>51.0</v>
      </c>
      <c r="H1475" s="23" t="s">
        <v>26</v>
      </c>
      <c r="I1475" s="24" t="s">
        <v>27</v>
      </c>
      <c r="J1475" s="19" t="s">
        <v>517</v>
      </c>
      <c r="K1475" s="14">
        <v>9.0</v>
      </c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</row>
    <row r="1476">
      <c r="A1476" s="14" t="s">
        <v>5504</v>
      </c>
      <c r="B1476" s="17" t="s">
        <v>5495</v>
      </c>
      <c r="C1476" s="17" t="s">
        <v>5505</v>
      </c>
      <c r="D1476" s="19" t="s">
        <v>5506</v>
      </c>
      <c r="E1476" s="20" t="s">
        <v>319</v>
      </c>
      <c r="F1476" s="21">
        <v>27030.0</v>
      </c>
      <c r="G1476" s="14">
        <v>52.0</v>
      </c>
      <c r="H1476" s="23" t="s">
        <v>26</v>
      </c>
      <c r="I1476" s="24" t="s">
        <v>33</v>
      </c>
      <c r="J1476" s="19" t="s">
        <v>517</v>
      </c>
      <c r="K1476" s="14">
        <v>9.0</v>
      </c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</row>
    <row r="1477">
      <c r="A1477" s="14" t="s">
        <v>5507</v>
      </c>
      <c r="B1477" s="17" t="s">
        <v>5508</v>
      </c>
      <c r="C1477" s="17" t="s">
        <v>5509</v>
      </c>
      <c r="D1477" s="19" t="s">
        <v>5510</v>
      </c>
      <c r="E1477" s="20" t="s">
        <v>104</v>
      </c>
      <c r="F1477" s="21">
        <v>35189.0</v>
      </c>
      <c r="G1477" s="14">
        <v>30.0</v>
      </c>
      <c r="H1477" s="23" t="s">
        <v>26</v>
      </c>
      <c r="I1477" s="24" t="s">
        <v>27</v>
      </c>
      <c r="J1477" s="19" t="s">
        <v>95</v>
      </c>
      <c r="K1477" s="14">
        <v>17.0</v>
      </c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</row>
    <row r="1478">
      <c r="A1478" s="14" t="s">
        <v>5511</v>
      </c>
      <c r="B1478" s="17" t="s">
        <v>5508</v>
      </c>
      <c r="C1478" s="17" t="s">
        <v>5512</v>
      </c>
      <c r="D1478" s="19" t="s">
        <v>5513</v>
      </c>
      <c r="E1478" s="20" t="s">
        <v>274</v>
      </c>
      <c r="F1478" s="21">
        <v>33380.0</v>
      </c>
      <c r="G1478" s="14">
        <v>35.0</v>
      </c>
      <c r="H1478" s="23" t="s">
        <v>26</v>
      </c>
      <c r="I1478" s="24" t="s">
        <v>33</v>
      </c>
      <c r="J1478" s="19" t="s">
        <v>95</v>
      </c>
      <c r="K1478" s="14">
        <v>17.0</v>
      </c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</row>
    <row r="1479">
      <c r="A1479" s="14" t="s">
        <v>5514</v>
      </c>
      <c r="B1479" s="17" t="s">
        <v>5515</v>
      </c>
      <c r="C1479" s="17" t="s">
        <v>5516</v>
      </c>
      <c r="D1479" s="19" t="s">
        <v>5517</v>
      </c>
      <c r="E1479" s="20" t="s">
        <v>1291</v>
      </c>
      <c r="F1479" s="21">
        <v>15342.0</v>
      </c>
      <c r="G1479" s="14">
        <v>84.0</v>
      </c>
      <c r="H1479" s="23" t="s">
        <v>26</v>
      </c>
      <c r="I1479" s="24" t="s">
        <v>27</v>
      </c>
      <c r="J1479" s="19" t="s">
        <v>328</v>
      </c>
      <c r="K1479" s="14">
        <v>24.0</v>
      </c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</row>
    <row r="1480">
      <c r="A1480" s="14" t="s">
        <v>5518</v>
      </c>
      <c r="B1480" s="17" t="s">
        <v>5515</v>
      </c>
      <c r="C1480" s="17" t="s">
        <v>5519</v>
      </c>
      <c r="D1480" s="19" t="s">
        <v>5520</v>
      </c>
      <c r="E1480" s="20" t="s">
        <v>104</v>
      </c>
      <c r="F1480" s="27">
        <v>32435.0</v>
      </c>
      <c r="G1480" s="14">
        <v>37.0</v>
      </c>
      <c r="H1480" s="23" t="s">
        <v>100</v>
      </c>
      <c r="I1480" s="24" t="s">
        <v>27</v>
      </c>
      <c r="J1480" s="19" t="s">
        <v>328</v>
      </c>
      <c r="K1480" s="14">
        <v>24.0</v>
      </c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</row>
    <row r="1481">
      <c r="A1481" s="14" t="s">
        <v>5521</v>
      </c>
      <c r="B1481" s="17" t="s">
        <v>5515</v>
      </c>
      <c r="C1481" s="17" t="s">
        <v>5522</v>
      </c>
      <c r="D1481" s="19" t="s">
        <v>5523</v>
      </c>
      <c r="E1481" s="20" t="s">
        <v>1291</v>
      </c>
      <c r="F1481" s="21">
        <v>9133.0</v>
      </c>
      <c r="G1481" s="14">
        <v>101.0</v>
      </c>
      <c r="H1481" s="23" t="s">
        <v>26</v>
      </c>
      <c r="I1481" s="24" t="s">
        <v>33</v>
      </c>
      <c r="J1481" s="19" t="s">
        <v>328</v>
      </c>
      <c r="K1481" s="14">
        <v>24.0</v>
      </c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</row>
    <row r="1482">
      <c r="A1482" s="14" t="s">
        <v>5524</v>
      </c>
      <c r="B1482" s="17" t="s">
        <v>5525</v>
      </c>
      <c r="C1482" s="17" t="s">
        <v>5526</v>
      </c>
      <c r="D1482" s="19" t="s">
        <v>5527</v>
      </c>
      <c r="E1482" s="20" t="s">
        <v>104</v>
      </c>
      <c r="F1482" s="21">
        <v>32942.0</v>
      </c>
      <c r="G1482" s="14">
        <v>36.0</v>
      </c>
      <c r="H1482" s="23" t="s">
        <v>26</v>
      </c>
      <c r="I1482" s="24" t="s">
        <v>33</v>
      </c>
      <c r="J1482" s="19" t="s">
        <v>146</v>
      </c>
      <c r="K1482" s="14">
        <v>7.0</v>
      </c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</row>
    <row r="1483">
      <c r="A1483" s="14" t="s">
        <v>5528</v>
      </c>
      <c r="B1483" s="17" t="s">
        <v>5525</v>
      </c>
      <c r="C1483" s="17" t="s">
        <v>5529</v>
      </c>
      <c r="D1483" s="19" t="s">
        <v>5530</v>
      </c>
      <c r="E1483" s="20" t="s">
        <v>5531</v>
      </c>
      <c r="F1483" s="21">
        <v>35574.0</v>
      </c>
      <c r="G1483" s="14">
        <v>29.0</v>
      </c>
      <c r="H1483" s="23" t="s">
        <v>26</v>
      </c>
      <c r="I1483" s="24" t="s">
        <v>27</v>
      </c>
      <c r="J1483" s="19" t="s">
        <v>146</v>
      </c>
      <c r="K1483" s="14">
        <v>7.0</v>
      </c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</row>
    <row r="1484">
      <c r="A1484" s="14" t="s">
        <v>5532</v>
      </c>
      <c r="B1484" s="17" t="s">
        <v>5533</v>
      </c>
      <c r="C1484" s="17" t="s">
        <v>5534</v>
      </c>
      <c r="D1484" s="19" t="s">
        <v>5535</v>
      </c>
      <c r="E1484" s="20" t="s">
        <v>1816</v>
      </c>
      <c r="F1484" s="21">
        <v>27576.0</v>
      </c>
      <c r="G1484" s="14">
        <v>51.0</v>
      </c>
      <c r="H1484" s="23" t="s">
        <v>27</v>
      </c>
      <c r="I1484" s="24" t="s">
        <v>33</v>
      </c>
      <c r="J1484" s="19" t="s">
        <v>53</v>
      </c>
      <c r="K1484" s="14">
        <v>28.0</v>
      </c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</row>
    <row r="1485">
      <c r="A1485" s="14" t="s">
        <v>5536</v>
      </c>
      <c r="B1485" s="17" t="s">
        <v>5537</v>
      </c>
      <c r="C1485" s="17" t="s">
        <v>5538</v>
      </c>
      <c r="D1485" s="19" t="s">
        <v>5539</v>
      </c>
      <c r="E1485" s="20" t="s">
        <v>53</v>
      </c>
      <c r="F1485" s="21">
        <v>38990.0</v>
      </c>
      <c r="G1485" s="14">
        <v>19.0</v>
      </c>
      <c r="H1485" s="23" t="s">
        <v>100</v>
      </c>
      <c r="I1485" s="24" t="s">
        <v>33</v>
      </c>
      <c r="J1485" s="19" t="s">
        <v>156</v>
      </c>
      <c r="K1485" s="14">
        <v>32.0</v>
      </c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</row>
    <row r="1486">
      <c r="A1486" s="14" t="s">
        <v>5540</v>
      </c>
      <c r="B1486" s="17" t="s">
        <v>5537</v>
      </c>
      <c r="C1486" s="17" t="s">
        <v>5541</v>
      </c>
      <c r="D1486" s="19" t="s">
        <v>5542</v>
      </c>
      <c r="E1486" s="20" t="s">
        <v>104</v>
      </c>
      <c r="F1486" s="21">
        <v>30823.0</v>
      </c>
      <c r="G1486" s="14">
        <v>42.0</v>
      </c>
      <c r="H1486" s="23" t="s">
        <v>27</v>
      </c>
      <c r="I1486" s="24" t="s">
        <v>27</v>
      </c>
      <c r="J1486" s="19" t="s">
        <v>156</v>
      </c>
      <c r="K1486" s="14">
        <v>32.0</v>
      </c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</row>
    <row r="1487">
      <c r="A1487" s="14" t="s">
        <v>5543</v>
      </c>
      <c r="B1487" s="17" t="s">
        <v>5544</v>
      </c>
      <c r="C1487" s="17" t="s">
        <v>5545</v>
      </c>
      <c r="D1487" s="19" t="s">
        <v>5546</v>
      </c>
      <c r="E1487" s="20" t="s">
        <v>138</v>
      </c>
      <c r="F1487" s="21">
        <v>35237.0</v>
      </c>
      <c r="G1487" s="14">
        <v>30.0</v>
      </c>
      <c r="H1487" s="23" t="s">
        <v>26</v>
      </c>
      <c r="I1487" s="24" t="s">
        <v>27</v>
      </c>
      <c r="J1487" s="19" t="s">
        <v>328</v>
      </c>
      <c r="K1487" s="14">
        <v>22.0</v>
      </c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</row>
    <row r="1488">
      <c r="A1488" s="14" t="s">
        <v>5547</v>
      </c>
      <c r="B1488" s="17" t="s">
        <v>5544</v>
      </c>
      <c r="C1488" s="17" t="s">
        <v>5548</v>
      </c>
      <c r="D1488" s="19" t="s">
        <v>5549</v>
      </c>
      <c r="E1488" s="20" t="s">
        <v>104</v>
      </c>
      <c r="F1488" s="27">
        <v>32791.0</v>
      </c>
      <c r="G1488" s="14">
        <v>36.0</v>
      </c>
      <c r="H1488" s="23" t="s">
        <v>26</v>
      </c>
      <c r="I1488" s="24" t="s">
        <v>33</v>
      </c>
      <c r="J1488" s="19" t="s">
        <v>328</v>
      </c>
      <c r="K1488" s="14">
        <v>22.0</v>
      </c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</row>
    <row r="1489">
      <c r="A1489" s="14" t="s">
        <v>5550</v>
      </c>
      <c r="B1489" s="17" t="s">
        <v>5551</v>
      </c>
      <c r="C1489" s="17" t="s">
        <v>5552</v>
      </c>
      <c r="D1489" s="19" t="s">
        <v>5553</v>
      </c>
      <c r="E1489" s="20" t="s">
        <v>104</v>
      </c>
      <c r="F1489" s="21">
        <v>29273.0</v>
      </c>
      <c r="G1489" s="14">
        <v>46.0</v>
      </c>
      <c r="H1489" s="23" t="s">
        <v>26</v>
      </c>
      <c r="I1489" s="24" t="s">
        <v>33</v>
      </c>
      <c r="J1489" s="19" t="s">
        <v>362</v>
      </c>
      <c r="K1489" s="14">
        <v>20.0</v>
      </c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</row>
    <row r="1490">
      <c r="A1490" s="14" t="s">
        <v>5554</v>
      </c>
      <c r="B1490" s="17" t="s">
        <v>5551</v>
      </c>
      <c r="C1490" s="17" t="s">
        <v>5555</v>
      </c>
      <c r="D1490" s="19" t="s">
        <v>5556</v>
      </c>
      <c r="E1490" s="20" t="s">
        <v>3295</v>
      </c>
      <c r="F1490" s="21">
        <v>38993.0</v>
      </c>
      <c r="G1490" s="14">
        <v>19.0</v>
      </c>
      <c r="H1490" s="23" t="s">
        <v>100</v>
      </c>
      <c r="I1490" s="24" t="s">
        <v>33</v>
      </c>
      <c r="J1490" s="19" t="s">
        <v>362</v>
      </c>
      <c r="K1490" s="14">
        <v>20.0</v>
      </c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</row>
    <row r="1491">
      <c r="A1491" s="14" t="s">
        <v>5557</v>
      </c>
      <c r="B1491" s="17" t="s">
        <v>5551</v>
      </c>
      <c r="C1491" s="17" t="s">
        <v>5558</v>
      </c>
      <c r="D1491" s="19" t="s">
        <v>5559</v>
      </c>
      <c r="E1491" s="20" t="s">
        <v>104</v>
      </c>
      <c r="F1491" s="21">
        <v>32728.0</v>
      </c>
      <c r="G1491" s="14">
        <v>37.0</v>
      </c>
      <c r="H1491" s="23" t="s">
        <v>26</v>
      </c>
      <c r="I1491" s="24" t="s">
        <v>27</v>
      </c>
      <c r="J1491" s="19" t="s">
        <v>362</v>
      </c>
      <c r="K1491" s="14">
        <v>20.0</v>
      </c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</row>
    <row r="1492">
      <c r="A1492" s="14" t="s">
        <v>5560</v>
      </c>
      <c r="B1492" s="17" t="s">
        <v>5561</v>
      </c>
      <c r="C1492" s="17" t="s">
        <v>5562</v>
      </c>
      <c r="D1492" s="19" t="s">
        <v>5563</v>
      </c>
      <c r="E1492" s="20" t="s">
        <v>53</v>
      </c>
      <c r="F1492" s="21">
        <v>34520.0</v>
      </c>
      <c r="G1492" s="14">
        <v>32.0</v>
      </c>
      <c r="H1492" s="23" t="s">
        <v>26</v>
      </c>
      <c r="I1492" s="24" t="s">
        <v>27</v>
      </c>
      <c r="J1492" s="19" t="s">
        <v>282</v>
      </c>
      <c r="K1492" s="14">
        <v>17.0</v>
      </c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</row>
    <row r="1493">
      <c r="A1493" s="14" t="s">
        <v>5564</v>
      </c>
      <c r="B1493" s="17" t="s">
        <v>5561</v>
      </c>
      <c r="C1493" s="17" t="s">
        <v>5565</v>
      </c>
      <c r="D1493" s="19" t="s">
        <v>5566</v>
      </c>
      <c r="E1493" s="20" t="s">
        <v>337</v>
      </c>
      <c r="F1493" s="21">
        <v>33268.0</v>
      </c>
      <c r="G1493" s="14">
        <v>35.0</v>
      </c>
      <c r="H1493" s="23" t="s">
        <v>26</v>
      </c>
      <c r="I1493" s="24" t="s">
        <v>33</v>
      </c>
      <c r="J1493" s="19" t="s">
        <v>282</v>
      </c>
      <c r="K1493" s="14">
        <v>17.0</v>
      </c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</row>
    <row r="1494">
      <c r="A1494" s="14" t="s">
        <v>5567</v>
      </c>
      <c r="B1494" s="17" t="s">
        <v>5568</v>
      </c>
      <c r="C1494" s="17" t="s">
        <v>5569</v>
      </c>
      <c r="D1494" s="19" t="s">
        <v>2199</v>
      </c>
      <c r="E1494" s="20" t="s">
        <v>5570</v>
      </c>
      <c r="F1494" s="21">
        <v>33100.0</v>
      </c>
      <c r="G1494" s="14">
        <v>36.0</v>
      </c>
      <c r="H1494" s="23" t="s">
        <v>26</v>
      </c>
      <c r="I1494" s="24" t="s">
        <v>33</v>
      </c>
      <c r="J1494" s="19" t="s">
        <v>282</v>
      </c>
      <c r="K1494" s="14">
        <v>17.0</v>
      </c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</row>
    <row r="1495">
      <c r="A1495" s="14" t="s">
        <v>5571</v>
      </c>
      <c r="B1495" s="17" t="s">
        <v>5568</v>
      </c>
      <c r="C1495" s="17" t="s">
        <v>5572</v>
      </c>
      <c r="D1495" s="19" t="s">
        <v>5573</v>
      </c>
      <c r="E1495" s="20" t="s">
        <v>53</v>
      </c>
      <c r="F1495" s="21">
        <v>35377.0</v>
      </c>
      <c r="G1495" s="14">
        <v>29.0</v>
      </c>
      <c r="H1495" s="23" t="s">
        <v>26</v>
      </c>
      <c r="I1495" s="24" t="s">
        <v>27</v>
      </c>
      <c r="J1495" s="19" t="s">
        <v>282</v>
      </c>
      <c r="K1495" s="14">
        <v>17.0</v>
      </c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</row>
    <row r="1496">
      <c r="A1496" s="14" t="s">
        <v>5574</v>
      </c>
      <c r="B1496" s="17" t="s">
        <v>5575</v>
      </c>
      <c r="C1496" s="17" t="s">
        <v>5576</v>
      </c>
      <c r="D1496" s="19" t="s">
        <v>5577</v>
      </c>
      <c r="E1496" s="20" t="s">
        <v>5578</v>
      </c>
      <c r="F1496" s="21">
        <v>26895.0</v>
      </c>
      <c r="G1496" s="14">
        <v>53.0</v>
      </c>
      <c r="H1496" s="23" t="s">
        <v>26</v>
      </c>
      <c r="I1496" s="24" t="s">
        <v>33</v>
      </c>
      <c r="J1496" s="19" t="s">
        <v>68</v>
      </c>
      <c r="K1496" s="14">
        <v>28.0</v>
      </c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</row>
    <row r="1497">
      <c r="A1497" s="14" t="s">
        <v>5579</v>
      </c>
      <c r="B1497" s="17" t="s">
        <v>5575</v>
      </c>
      <c r="C1497" s="17" t="s">
        <v>5580</v>
      </c>
      <c r="D1497" s="19" t="s">
        <v>5581</v>
      </c>
      <c r="E1497" s="20" t="s">
        <v>104</v>
      </c>
      <c r="F1497" s="21">
        <v>30149.0</v>
      </c>
      <c r="G1497" s="14">
        <v>44.0</v>
      </c>
      <c r="H1497" s="23" t="s">
        <v>26</v>
      </c>
      <c r="I1497" s="24" t="s">
        <v>27</v>
      </c>
      <c r="J1497" s="19" t="s">
        <v>68</v>
      </c>
      <c r="K1497" s="14">
        <v>28.0</v>
      </c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</row>
    <row r="1498">
      <c r="A1498" s="14" t="s">
        <v>5582</v>
      </c>
      <c r="B1498" s="17" t="s">
        <v>5583</v>
      </c>
      <c r="C1498" s="17" t="s">
        <v>5584</v>
      </c>
      <c r="D1498" s="19" t="s">
        <v>5585</v>
      </c>
      <c r="E1498" s="20" t="s">
        <v>5586</v>
      </c>
      <c r="F1498" s="21">
        <v>20479.0</v>
      </c>
      <c r="G1498" s="14">
        <v>70.0</v>
      </c>
      <c r="H1498" s="23" t="s">
        <v>27</v>
      </c>
      <c r="I1498" s="24" t="s">
        <v>27</v>
      </c>
      <c r="J1498" s="19" t="s">
        <v>156</v>
      </c>
      <c r="K1498" s="14">
        <v>20.0</v>
      </c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</row>
    <row r="1499">
      <c r="A1499" s="14" t="s">
        <v>5587</v>
      </c>
      <c r="B1499" s="17" t="s">
        <v>5588</v>
      </c>
      <c r="C1499" s="17" t="s">
        <v>5589</v>
      </c>
      <c r="D1499" s="19" t="s">
        <v>5590</v>
      </c>
      <c r="E1499" s="20" t="s">
        <v>5591</v>
      </c>
      <c r="F1499" s="21">
        <v>28978.0</v>
      </c>
      <c r="G1499" s="14">
        <v>47.0</v>
      </c>
      <c r="H1499" s="23" t="s">
        <v>27</v>
      </c>
      <c r="I1499" s="24" t="s">
        <v>27</v>
      </c>
      <c r="J1499" s="19" t="s">
        <v>53</v>
      </c>
      <c r="K1499" s="14">
        <v>5.0</v>
      </c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</row>
    <row r="1500">
      <c r="A1500" s="14" t="s">
        <v>5592</v>
      </c>
      <c r="B1500" s="17" t="s">
        <v>5593</v>
      </c>
      <c r="C1500" s="17" t="s">
        <v>5594</v>
      </c>
      <c r="D1500" s="19" t="s">
        <v>1053</v>
      </c>
      <c r="E1500" s="20" t="s">
        <v>104</v>
      </c>
      <c r="F1500" s="21">
        <v>28008.0</v>
      </c>
      <c r="G1500" s="14">
        <v>49.0</v>
      </c>
      <c r="H1500" s="23" t="s">
        <v>27</v>
      </c>
      <c r="I1500" s="24" t="s">
        <v>27</v>
      </c>
      <c r="J1500" s="19" t="s">
        <v>58</v>
      </c>
      <c r="K1500" s="14">
        <v>36.0</v>
      </c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</row>
    <row r="1501">
      <c r="A1501" s="14" t="s">
        <v>5595</v>
      </c>
      <c r="B1501" s="17" t="s">
        <v>5596</v>
      </c>
      <c r="C1501" s="17" t="s">
        <v>5597</v>
      </c>
      <c r="D1501" s="19" t="s">
        <v>5598</v>
      </c>
      <c r="E1501" s="20" t="s">
        <v>53</v>
      </c>
      <c r="F1501" s="21">
        <v>33858.0</v>
      </c>
      <c r="G1501" s="14">
        <v>33.0</v>
      </c>
      <c r="H1501" s="23" t="s">
        <v>26</v>
      </c>
      <c r="I1501" s="24" t="s">
        <v>33</v>
      </c>
      <c r="J1501" s="19" t="s">
        <v>726</v>
      </c>
      <c r="K1501" s="14">
        <v>17.0</v>
      </c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</row>
    <row r="1502">
      <c r="A1502" s="14" t="s">
        <v>5599</v>
      </c>
      <c r="B1502" s="17" t="s">
        <v>5596</v>
      </c>
      <c r="C1502" s="17" t="s">
        <v>5600</v>
      </c>
      <c r="D1502" s="19" t="s">
        <v>5601</v>
      </c>
      <c r="E1502" s="20" t="s">
        <v>53</v>
      </c>
      <c r="F1502" s="21">
        <v>33021.0</v>
      </c>
      <c r="G1502" s="14">
        <v>36.0</v>
      </c>
      <c r="H1502" s="23" t="s">
        <v>26</v>
      </c>
      <c r="I1502" s="24" t="s">
        <v>27</v>
      </c>
      <c r="J1502" s="19" t="s">
        <v>726</v>
      </c>
      <c r="K1502" s="14">
        <v>17.0</v>
      </c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</row>
    <row r="1503">
      <c r="A1503" s="14" t="s">
        <v>5602</v>
      </c>
      <c r="B1503" s="17" t="s">
        <v>5603</v>
      </c>
      <c r="C1503" s="17" t="s">
        <v>5604</v>
      </c>
      <c r="D1503" s="19" t="s">
        <v>5605</v>
      </c>
      <c r="E1503" s="20" t="s">
        <v>1038</v>
      </c>
      <c r="F1503" s="21">
        <v>18368.0</v>
      </c>
      <c r="G1503" s="14">
        <v>76.0</v>
      </c>
      <c r="H1503" s="23" t="s">
        <v>26</v>
      </c>
      <c r="I1503" s="24" t="s">
        <v>33</v>
      </c>
      <c r="J1503" s="19" t="s">
        <v>68</v>
      </c>
      <c r="K1503" s="14">
        <v>35.0</v>
      </c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</row>
    <row r="1504">
      <c r="A1504" s="14" t="s">
        <v>5606</v>
      </c>
      <c r="B1504" s="17" t="s">
        <v>5603</v>
      </c>
      <c r="C1504" s="17" t="s">
        <v>5607</v>
      </c>
      <c r="D1504" s="19" t="s">
        <v>3966</v>
      </c>
      <c r="E1504" s="20" t="s">
        <v>1038</v>
      </c>
      <c r="F1504" s="21">
        <v>20625.0</v>
      </c>
      <c r="G1504" s="14">
        <v>70.0</v>
      </c>
      <c r="H1504" s="23" t="s">
        <v>26</v>
      </c>
      <c r="I1504" s="24" t="s">
        <v>27</v>
      </c>
      <c r="J1504" s="19" t="s">
        <v>68</v>
      </c>
      <c r="K1504" s="14">
        <v>35.0</v>
      </c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</row>
    <row r="1505">
      <c r="A1505" s="14" t="s">
        <v>5608</v>
      </c>
      <c r="B1505" s="17" t="s">
        <v>5609</v>
      </c>
      <c r="C1505" s="17" t="s">
        <v>5610</v>
      </c>
      <c r="D1505" s="19" t="s">
        <v>5611</v>
      </c>
      <c r="E1505" s="20" t="s">
        <v>138</v>
      </c>
      <c r="F1505" s="21">
        <v>37709.0</v>
      </c>
      <c r="G1505" s="14">
        <v>23.0</v>
      </c>
      <c r="H1505" s="23" t="s">
        <v>100</v>
      </c>
      <c r="I1505" s="24" t="s">
        <v>33</v>
      </c>
      <c r="J1505" s="19" t="s">
        <v>68</v>
      </c>
      <c r="K1505" s="14">
        <v>34.0</v>
      </c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</row>
    <row r="1506">
      <c r="A1506" s="14" t="s">
        <v>5612</v>
      </c>
      <c r="B1506" s="17" t="s">
        <v>5609</v>
      </c>
      <c r="C1506" s="17" t="s">
        <v>5613</v>
      </c>
      <c r="D1506" s="19" t="s">
        <v>5614</v>
      </c>
      <c r="E1506" s="20" t="s">
        <v>67</v>
      </c>
      <c r="F1506" s="21">
        <v>25178.0</v>
      </c>
      <c r="G1506" s="14">
        <v>57.0</v>
      </c>
      <c r="H1506" s="23" t="s">
        <v>26</v>
      </c>
      <c r="I1506" s="24" t="s">
        <v>27</v>
      </c>
      <c r="J1506" s="19" t="s">
        <v>68</v>
      </c>
      <c r="K1506" s="14">
        <v>34.0</v>
      </c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</row>
    <row r="1507">
      <c r="A1507" s="14" t="s">
        <v>5615</v>
      </c>
      <c r="B1507" s="17" t="s">
        <v>5609</v>
      </c>
      <c r="C1507" s="17" t="s">
        <v>5616</v>
      </c>
      <c r="D1507" s="19" t="s">
        <v>5617</v>
      </c>
      <c r="E1507" s="20" t="s">
        <v>67</v>
      </c>
      <c r="F1507" s="21">
        <v>20101.0</v>
      </c>
      <c r="G1507" s="14">
        <v>71.0</v>
      </c>
      <c r="H1507" s="23" t="s">
        <v>26</v>
      </c>
      <c r="I1507" s="24" t="s">
        <v>33</v>
      </c>
      <c r="J1507" s="19" t="s">
        <v>68</v>
      </c>
      <c r="K1507" s="14">
        <v>34.0</v>
      </c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</row>
    <row r="1508">
      <c r="A1508" s="14" t="s">
        <v>5618</v>
      </c>
      <c r="B1508" s="17" t="s">
        <v>5609</v>
      </c>
      <c r="C1508" s="17" t="s">
        <v>5619</v>
      </c>
      <c r="D1508" s="19" t="s">
        <v>5620</v>
      </c>
      <c r="E1508" s="20" t="s">
        <v>104</v>
      </c>
      <c r="F1508" s="21">
        <v>38589.0</v>
      </c>
      <c r="G1508" s="14">
        <v>21.0</v>
      </c>
      <c r="H1508" s="23" t="s">
        <v>100</v>
      </c>
      <c r="I1508" s="24" t="s">
        <v>33</v>
      </c>
      <c r="J1508" s="19" t="s">
        <v>68</v>
      </c>
      <c r="K1508" s="14">
        <v>34.0</v>
      </c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</row>
    <row r="1509">
      <c r="A1509" s="14" t="s">
        <v>5621</v>
      </c>
      <c r="B1509" s="17" t="s">
        <v>5622</v>
      </c>
      <c r="C1509" s="17" t="s">
        <v>5623</v>
      </c>
      <c r="D1509" s="19" t="s">
        <v>5624</v>
      </c>
      <c r="E1509" s="20" t="s">
        <v>104</v>
      </c>
      <c r="F1509" s="21">
        <v>31872.0</v>
      </c>
      <c r="G1509" s="14">
        <v>39.0</v>
      </c>
      <c r="H1509" s="23" t="s">
        <v>26</v>
      </c>
      <c r="I1509" s="24" t="s">
        <v>33</v>
      </c>
      <c r="J1509" s="19" t="s">
        <v>726</v>
      </c>
      <c r="K1509" s="14">
        <v>16.0</v>
      </c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</row>
    <row r="1510">
      <c r="A1510" s="14" t="s">
        <v>5625</v>
      </c>
      <c r="B1510" s="17" t="s">
        <v>5622</v>
      </c>
      <c r="C1510" s="17" t="s">
        <v>5626</v>
      </c>
      <c r="D1510" s="19" t="s">
        <v>5627</v>
      </c>
      <c r="E1510" s="20" t="s">
        <v>53</v>
      </c>
      <c r="F1510" s="27">
        <v>33205.0</v>
      </c>
      <c r="G1510" s="14">
        <v>35.0</v>
      </c>
      <c r="H1510" s="23" t="s">
        <v>26</v>
      </c>
      <c r="I1510" s="24" t="s">
        <v>27</v>
      </c>
      <c r="J1510" s="19" t="s">
        <v>726</v>
      </c>
      <c r="K1510" s="14">
        <v>16.0</v>
      </c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</row>
    <row r="1511">
      <c r="A1511" s="14" t="s">
        <v>5628</v>
      </c>
      <c r="B1511" s="17" t="s">
        <v>5629</v>
      </c>
      <c r="C1511" s="17" t="s">
        <v>5630</v>
      </c>
      <c r="D1511" s="19" t="s">
        <v>5631</v>
      </c>
      <c r="E1511" s="20" t="s">
        <v>104</v>
      </c>
      <c r="F1511" s="21">
        <v>33974.0</v>
      </c>
      <c r="G1511" s="14">
        <v>33.0</v>
      </c>
      <c r="H1511" s="23" t="s">
        <v>26</v>
      </c>
      <c r="I1511" s="24" t="s">
        <v>33</v>
      </c>
      <c r="J1511" s="19" t="s">
        <v>206</v>
      </c>
      <c r="K1511" s="14">
        <v>2.0</v>
      </c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</row>
    <row r="1512">
      <c r="A1512" s="14" t="s">
        <v>5632</v>
      </c>
      <c r="B1512" s="17" t="s">
        <v>5629</v>
      </c>
      <c r="C1512" s="17" t="s">
        <v>5633</v>
      </c>
      <c r="D1512" s="19" t="s">
        <v>5634</v>
      </c>
      <c r="E1512" s="20" t="s">
        <v>104</v>
      </c>
      <c r="F1512" s="21">
        <v>36360.0</v>
      </c>
      <c r="G1512" s="14">
        <v>27.0</v>
      </c>
      <c r="H1512" s="23" t="s">
        <v>26</v>
      </c>
      <c r="I1512" s="24" t="s">
        <v>27</v>
      </c>
      <c r="J1512" s="19" t="s">
        <v>206</v>
      </c>
      <c r="K1512" s="14">
        <v>2.0</v>
      </c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</row>
    <row r="1513">
      <c r="A1513" s="14" t="s">
        <v>5635</v>
      </c>
      <c r="B1513" s="17" t="s">
        <v>5636</v>
      </c>
      <c r="C1513" s="17" t="s">
        <v>5637</v>
      </c>
      <c r="D1513" s="19" t="s">
        <v>5638</v>
      </c>
      <c r="E1513" s="20" t="s">
        <v>5639</v>
      </c>
      <c r="F1513" s="21">
        <v>24992.0</v>
      </c>
      <c r="G1513" s="14">
        <v>58.0</v>
      </c>
      <c r="H1513" s="23" t="s">
        <v>26</v>
      </c>
      <c r="I1513" s="24" t="s">
        <v>33</v>
      </c>
      <c r="J1513" s="19" t="s">
        <v>68</v>
      </c>
      <c r="K1513" s="14">
        <v>35.0</v>
      </c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</row>
    <row r="1514">
      <c r="A1514" s="14" t="s">
        <v>5640</v>
      </c>
      <c r="B1514" s="17" t="s">
        <v>5636</v>
      </c>
      <c r="C1514" s="17" t="s">
        <v>5641</v>
      </c>
      <c r="D1514" s="19" t="s">
        <v>5642</v>
      </c>
      <c r="E1514" s="20" t="s">
        <v>1291</v>
      </c>
      <c r="F1514" s="21">
        <v>27152.0</v>
      </c>
      <c r="G1514" s="14">
        <v>52.0</v>
      </c>
      <c r="H1514" s="23" t="s">
        <v>26</v>
      </c>
      <c r="I1514" s="24" t="s">
        <v>27</v>
      </c>
      <c r="J1514" s="19" t="s">
        <v>68</v>
      </c>
      <c r="K1514" s="14">
        <v>35.0</v>
      </c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</row>
    <row r="1515">
      <c r="A1515" s="14" t="s">
        <v>5643</v>
      </c>
      <c r="B1515" s="17" t="s">
        <v>5644</v>
      </c>
      <c r="C1515" s="17" t="s">
        <v>5645</v>
      </c>
      <c r="D1515" s="19" t="s">
        <v>5646</v>
      </c>
      <c r="E1515" s="20" t="s">
        <v>219</v>
      </c>
      <c r="F1515" s="21">
        <v>29533.0</v>
      </c>
      <c r="G1515" s="14">
        <v>45.0</v>
      </c>
      <c r="H1515" s="23" t="s">
        <v>26</v>
      </c>
      <c r="I1515" s="24" t="s">
        <v>33</v>
      </c>
      <c r="J1515" s="19" t="s">
        <v>1156</v>
      </c>
      <c r="K1515" s="14">
        <v>20.0</v>
      </c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</row>
    <row r="1516">
      <c r="A1516" s="14" t="s">
        <v>5647</v>
      </c>
      <c r="B1516" s="17" t="s">
        <v>5644</v>
      </c>
      <c r="C1516" s="17" t="s">
        <v>5648</v>
      </c>
      <c r="D1516" s="19" t="s">
        <v>5649</v>
      </c>
      <c r="E1516" s="20" t="s">
        <v>104</v>
      </c>
      <c r="F1516" s="21">
        <v>31250.0</v>
      </c>
      <c r="G1516" s="14">
        <v>41.0</v>
      </c>
      <c r="H1516" s="23" t="s">
        <v>26</v>
      </c>
      <c r="I1516" s="24" t="s">
        <v>27</v>
      </c>
      <c r="J1516" s="19" t="s">
        <v>1156</v>
      </c>
      <c r="K1516" s="14">
        <v>20.0</v>
      </c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</row>
    <row r="1517">
      <c r="A1517" s="14" t="s">
        <v>5650</v>
      </c>
      <c r="B1517" s="17" t="s">
        <v>5644</v>
      </c>
      <c r="C1517" s="17" t="s">
        <v>5651</v>
      </c>
      <c r="D1517" s="19" t="s">
        <v>5652</v>
      </c>
      <c r="E1517" s="20" t="s">
        <v>104</v>
      </c>
      <c r="F1517" s="21">
        <v>38694.0</v>
      </c>
      <c r="G1517" s="14">
        <v>20.0</v>
      </c>
      <c r="H1517" s="23" t="s">
        <v>100</v>
      </c>
      <c r="I1517" s="24" t="s">
        <v>33</v>
      </c>
      <c r="J1517" s="19" t="s">
        <v>1156</v>
      </c>
      <c r="K1517" s="14">
        <v>20.0</v>
      </c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</row>
    <row r="1518">
      <c r="A1518" s="14" t="s">
        <v>5653</v>
      </c>
      <c r="B1518" s="17" t="s">
        <v>5654</v>
      </c>
      <c r="C1518" s="17" t="s">
        <v>5655</v>
      </c>
      <c r="D1518" s="19" t="s">
        <v>1308</v>
      </c>
      <c r="E1518" s="20" t="s">
        <v>104</v>
      </c>
      <c r="F1518" s="21">
        <v>29436.0</v>
      </c>
      <c r="G1518" s="14">
        <v>46.0</v>
      </c>
      <c r="H1518" s="23" t="s">
        <v>26</v>
      </c>
      <c r="I1518" s="24" t="s">
        <v>33</v>
      </c>
      <c r="J1518" s="19" t="s">
        <v>58</v>
      </c>
      <c r="K1518" s="14">
        <v>8.0</v>
      </c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</row>
    <row r="1519">
      <c r="A1519" s="14" t="s">
        <v>5656</v>
      </c>
      <c r="B1519" s="17" t="s">
        <v>5654</v>
      </c>
      <c r="C1519" s="17" t="s">
        <v>5657</v>
      </c>
      <c r="D1519" s="19" t="s">
        <v>1549</v>
      </c>
      <c r="E1519" s="20" t="s">
        <v>104</v>
      </c>
      <c r="F1519" s="27">
        <v>32854.0</v>
      </c>
      <c r="G1519" s="14">
        <v>36.0</v>
      </c>
      <c r="H1519" s="23" t="s">
        <v>26</v>
      </c>
      <c r="I1519" s="24" t="s">
        <v>27</v>
      </c>
      <c r="J1519" s="19" t="s">
        <v>58</v>
      </c>
      <c r="K1519" s="14">
        <v>8.0</v>
      </c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</row>
    <row r="1520">
      <c r="A1520" s="14" t="s">
        <v>5658</v>
      </c>
      <c r="B1520" s="17" t="s">
        <v>5659</v>
      </c>
      <c r="C1520" s="17" t="s">
        <v>5660</v>
      </c>
      <c r="D1520" s="19" t="s">
        <v>5661</v>
      </c>
      <c r="E1520" s="20" t="s">
        <v>104</v>
      </c>
      <c r="F1520" s="21">
        <v>29346.0</v>
      </c>
      <c r="G1520" s="14">
        <v>46.0</v>
      </c>
      <c r="H1520" s="23" t="s">
        <v>26</v>
      </c>
      <c r="I1520" s="24" t="s">
        <v>27</v>
      </c>
      <c r="J1520" s="19" t="s">
        <v>68</v>
      </c>
      <c r="K1520" s="14">
        <v>34.0</v>
      </c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</row>
    <row r="1521">
      <c r="A1521" s="14" t="s">
        <v>5662</v>
      </c>
      <c r="B1521" s="17" t="s">
        <v>5659</v>
      </c>
      <c r="C1521" s="17" t="s">
        <v>5663</v>
      </c>
      <c r="D1521" s="19" t="s">
        <v>5664</v>
      </c>
      <c r="E1521" s="20" t="s">
        <v>654</v>
      </c>
      <c r="F1521" s="21">
        <v>27772.0</v>
      </c>
      <c r="G1521" s="14">
        <v>50.0</v>
      </c>
      <c r="H1521" s="23" t="s">
        <v>26</v>
      </c>
      <c r="I1521" s="24" t="s">
        <v>33</v>
      </c>
      <c r="J1521" s="19" t="s">
        <v>68</v>
      </c>
      <c r="K1521" s="14">
        <v>34.0</v>
      </c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</row>
    <row r="1522">
      <c r="A1522" s="14" t="s">
        <v>5665</v>
      </c>
      <c r="B1522" s="17" t="s">
        <v>5666</v>
      </c>
      <c r="C1522" s="17" t="s">
        <v>5667</v>
      </c>
      <c r="D1522" s="19" t="s">
        <v>3033</v>
      </c>
      <c r="E1522" s="20" t="s">
        <v>138</v>
      </c>
      <c r="F1522" s="21">
        <v>36294.0</v>
      </c>
      <c r="G1522" s="14">
        <v>27.0</v>
      </c>
      <c r="H1522" s="23" t="s">
        <v>26</v>
      </c>
      <c r="I1522" s="24" t="s">
        <v>27</v>
      </c>
      <c r="J1522" s="19" t="s">
        <v>362</v>
      </c>
      <c r="K1522" s="14">
        <v>20.0</v>
      </c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</row>
    <row r="1523">
      <c r="A1523" s="14" t="s">
        <v>5668</v>
      </c>
      <c r="B1523" s="17" t="s">
        <v>5666</v>
      </c>
      <c r="C1523" s="17" t="s">
        <v>5669</v>
      </c>
      <c r="D1523" s="19" t="s">
        <v>5670</v>
      </c>
      <c r="E1523" s="20" t="s">
        <v>104</v>
      </c>
      <c r="F1523" s="21">
        <v>34775.0</v>
      </c>
      <c r="G1523" s="14">
        <v>31.0</v>
      </c>
      <c r="H1523" s="23" t="s">
        <v>26</v>
      </c>
      <c r="I1523" s="24" t="s">
        <v>33</v>
      </c>
      <c r="J1523" s="19" t="s">
        <v>362</v>
      </c>
      <c r="K1523" s="14">
        <v>20.0</v>
      </c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</row>
    <row r="1524">
      <c r="A1524" s="14" t="s">
        <v>5671</v>
      </c>
      <c r="B1524" s="17" t="s">
        <v>5672</v>
      </c>
      <c r="C1524" s="17" t="s">
        <v>5673</v>
      </c>
      <c r="D1524" s="19" t="s">
        <v>5674</v>
      </c>
      <c r="E1524" s="20" t="s">
        <v>104</v>
      </c>
      <c r="F1524" s="21">
        <v>31273.0</v>
      </c>
      <c r="G1524" s="14">
        <v>41.0</v>
      </c>
      <c r="H1524" s="23" t="s">
        <v>26</v>
      </c>
      <c r="I1524" s="24" t="s">
        <v>33</v>
      </c>
      <c r="J1524" s="19" t="s">
        <v>68</v>
      </c>
      <c r="K1524" s="14">
        <v>29.0</v>
      </c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</row>
    <row r="1525">
      <c r="A1525" s="14" t="s">
        <v>5675</v>
      </c>
      <c r="B1525" s="17" t="s">
        <v>5672</v>
      </c>
      <c r="C1525" s="17" t="s">
        <v>5676</v>
      </c>
      <c r="D1525" s="19" t="s">
        <v>5677</v>
      </c>
      <c r="E1525" s="20" t="s">
        <v>5678</v>
      </c>
      <c r="F1525" s="21">
        <v>33012.0</v>
      </c>
      <c r="G1525" s="14">
        <v>36.0</v>
      </c>
      <c r="H1525" s="23" t="s">
        <v>26</v>
      </c>
      <c r="I1525" s="24" t="s">
        <v>27</v>
      </c>
      <c r="J1525" s="19" t="s">
        <v>68</v>
      </c>
      <c r="K1525" s="14">
        <v>29.0</v>
      </c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</row>
    <row r="1526">
      <c r="A1526" s="14" t="s">
        <v>5679</v>
      </c>
      <c r="B1526" s="17" t="s">
        <v>5680</v>
      </c>
      <c r="C1526" s="17" t="s">
        <v>5681</v>
      </c>
      <c r="D1526" s="19" t="s">
        <v>5682</v>
      </c>
      <c r="E1526" s="20" t="s">
        <v>5683</v>
      </c>
      <c r="F1526" s="21">
        <v>32674.0</v>
      </c>
      <c r="G1526" s="14">
        <v>37.0</v>
      </c>
      <c r="H1526" s="23" t="s">
        <v>26</v>
      </c>
      <c r="I1526" s="24" t="s">
        <v>33</v>
      </c>
      <c r="J1526" s="19" t="s">
        <v>1387</v>
      </c>
      <c r="K1526" s="14">
        <v>5.0</v>
      </c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</row>
    <row r="1527">
      <c r="A1527" s="14" t="s">
        <v>5684</v>
      </c>
      <c r="B1527" s="17" t="s">
        <v>5680</v>
      </c>
      <c r="C1527" s="17" t="s">
        <v>5685</v>
      </c>
      <c r="D1527" s="19" t="s">
        <v>5686</v>
      </c>
      <c r="E1527" s="20" t="s">
        <v>53</v>
      </c>
      <c r="F1527" s="21">
        <v>35871.0</v>
      </c>
      <c r="G1527" s="14">
        <v>28.0</v>
      </c>
      <c r="H1527" s="23" t="s">
        <v>26</v>
      </c>
      <c r="I1527" s="24" t="s">
        <v>27</v>
      </c>
      <c r="J1527" s="19" t="s">
        <v>1387</v>
      </c>
      <c r="K1527" s="14">
        <v>5.0</v>
      </c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</row>
    <row r="1528">
      <c r="A1528" s="14" t="s">
        <v>5687</v>
      </c>
      <c r="B1528" s="17" t="s">
        <v>5688</v>
      </c>
      <c r="C1528" s="17" t="s">
        <v>5689</v>
      </c>
      <c r="D1528" s="19" t="s">
        <v>5690</v>
      </c>
      <c r="E1528" s="20" t="s">
        <v>1639</v>
      </c>
      <c r="F1528" s="27">
        <v>33898.0</v>
      </c>
      <c r="G1528" s="14">
        <v>33.0</v>
      </c>
      <c r="H1528" s="23" t="s">
        <v>26</v>
      </c>
      <c r="I1528" s="24" t="s">
        <v>33</v>
      </c>
      <c r="J1528" s="19" t="s">
        <v>5691</v>
      </c>
      <c r="K1528" s="14">
        <v>11.0</v>
      </c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</row>
    <row r="1529">
      <c r="A1529" s="14" t="s">
        <v>5692</v>
      </c>
      <c r="B1529" s="17" t="s">
        <v>5688</v>
      </c>
      <c r="C1529" s="17" t="s">
        <v>5693</v>
      </c>
      <c r="D1529" s="19" t="s">
        <v>5694</v>
      </c>
      <c r="E1529" s="20" t="s">
        <v>337</v>
      </c>
      <c r="F1529" s="21">
        <v>32747.0</v>
      </c>
      <c r="G1529" s="14">
        <v>37.0</v>
      </c>
      <c r="H1529" s="23" t="s">
        <v>26</v>
      </c>
      <c r="I1529" s="24" t="s">
        <v>27</v>
      </c>
      <c r="J1529" s="19" t="s">
        <v>5691</v>
      </c>
      <c r="K1529" s="14">
        <v>11.0</v>
      </c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</row>
    <row r="1530">
      <c r="A1530" s="14" t="s">
        <v>5695</v>
      </c>
      <c r="B1530" s="17" t="s">
        <v>5696</v>
      </c>
      <c r="C1530" s="17" t="s">
        <v>5697</v>
      </c>
      <c r="D1530" s="19" t="s">
        <v>5698</v>
      </c>
      <c r="E1530" s="20" t="s">
        <v>104</v>
      </c>
      <c r="F1530" s="21">
        <v>38130.0</v>
      </c>
      <c r="G1530" s="14">
        <v>22.0</v>
      </c>
      <c r="H1530" s="23" t="s">
        <v>100</v>
      </c>
      <c r="I1530" s="24" t="s">
        <v>27</v>
      </c>
      <c r="J1530" s="19" t="s">
        <v>4237</v>
      </c>
      <c r="K1530" s="14">
        <v>9.0</v>
      </c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</row>
    <row r="1531">
      <c r="A1531" s="14" t="s">
        <v>5699</v>
      </c>
      <c r="B1531" s="17" t="s">
        <v>5696</v>
      </c>
      <c r="C1531" s="17" t="s">
        <v>5700</v>
      </c>
      <c r="D1531" s="19" t="s">
        <v>5701</v>
      </c>
      <c r="E1531" s="20" t="s">
        <v>104</v>
      </c>
      <c r="F1531" s="21">
        <v>39264.0</v>
      </c>
      <c r="G1531" s="14">
        <v>19.0</v>
      </c>
      <c r="H1531" s="23" t="s">
        <v>100</v>
      </c>
      <c r="I1531" s="24" t="s">
        <v>33</v>
      </c>
      <c r="J1531" s="19" t="s">
        <v>4237</v>
      </c>
      <c r="K1531" s="14">
        <v>9.0</v>
      </c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</row>
    <row r="1532">
      <c r="A1532" s="14" t="s">
        <v>5702</v>
      </c>
      <c r="B1532" s="17" t="s">
        <v>5696</v>
      </c>
      <c r="C1532" s="17" t="s">
        <v>5703</v>
      </c>
      <c r="D1532" s="19" t="s">
        <v>5704</v>
      </c>
      <c r="E1532" s="20" t="s">
        <v>654</v>
      </c>
      <c r="F1532" s="21">
        <v>27179.0</v>
      </c>
      <c r="G1532" s="14">
        <v>52.0</v>
      </c>
      <c r="H1532" s="23" t="s">
        <v>26</v>
      </c>
      <c r="I1532" s="24" t="s">
        <v>27</v>
      </c>
      <c r="J1532" s="19" t="s">
        <v>4237</v>
      </c>
      <c r="K1532" s="14">
        <v>9.0</v>
      </c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</row>
    <row r="1533">
      <c r="A1533" s="14" t="s">
        <v>5705</v>
      </c>
      <c r="B1533" s="17" t="s">
        <v>5696</v>
      </c>
      <c r="C1533" s="17" t="s">
        <v>5706</v>
      </c>
      <c r="D1533" s="19" t="s">
        <v>1955</v>
      </c>
      <c r="E1533" s="20" t="s">
        <v>104</v>
      </c>
      <c r="F1533" s="21">
        <v>28282.0</v>
      </c>
      <c r="G1533" s="14">
        <v>49.0</v>
      </c>
      <c r="H1533" s="23" t="s">
        <v>26</v>
      </c>
      <c r="I1533" s="24" t="s">
        <v>33</v>
      </c>
      <c r="J1533" s="19" t="s">
        <v>4237</v>
      </c>
      <c r="K1533" s="14">
        <v>9.0</v>
      </c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</row>
    <row r="1534">
      <c r="A1534" s="14" t="s">
        <v>5707</v>
      </c>
      <c r="B1534" s="17" t="s">
        <v>5708</v>
      </c>
      <c r="C1534" s="17" t="s">
        <v>5709</v>
      </c>
      <c r="D1534" s="19" t="s">
        <v>5710</v>
      </c>
      <c r="E1534" s="20" t="s">
        <v>654</v>
      </c>
      <c r="F1534" s="21">
        <v>28688.0</v>
      </c>
      <c r="G1534" s="14">
        <v>48.0</v>
      </c>
      <c r="H1534" s="23" t="s">
        <v>26</v>
      </c>
      <c r="I1534" s="24" t="s">
        <v>33</v>
      </c>
      <c r="J1534" s="19" t="s">
        <v>4237</v>
      </c>
      <c r="K1534" s="14">
        <v>9.0</v>
      </c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</row>
    <row r="1535">
      <c r="A1535" s="14" t="s">
        <v>5711</v>
      </c>
      <c r="B1535" s="17" t="s">
        <v>5712</v>
      </c>
      <c r="C1535" s="17" t="s">
        <v>5713</v>
      </c>
      <c r="D1535" s="19" t="s">
        <v>5714</v>
      </c>
      <c r="E1535" s="20" t="s">
        <v>5715</v>
      </c>
      <c r="F1535" s="27">
        <v>36094.0</v>
      </c>
      <c r="G1535" s="14">
        <v>27.0</v>
      </c>
      <c r="H1535" s="23" t="s">
        <v>26</v>
      </c>
      <c r="I1535" s="24" t="s">
        <v>33</v>
      </c>
      <c r="J1535" s="19" t="s">
        <v>5716</v>
      </c>
      <c r="K1535" s="14">
        <v>9.0</v>
      </c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</row>
    <row r="1536">
      <c r="A1536" s="14" t="s">
        <v>5717</v>
      </c>
      <c r="B1536" s="17" t="s">
        <v>5712</v>
      </c>
      <c r="C1536" s="17" t="s">
        <v>5718</v>
      </c>
      <c r="D1536" s="19" t="s">
        <v>3219</v>
      </c>
      <c r="E1536" s="20" t="s">
        <v>5719</v>
      </c>
      <c r="F1536" s="21">
        <v>25766.0</v>
      </c>
      <c r="G1536" s="14">
        <v>56.0</v>
      </c>
      <c r="H1536" s="23" t="s">
        <v>26</v>
      </c>
      <c r="I1536" s="24" t="s">
        <v>27</v>
      </c>
      <c r="J1536" s="19" t="s">
        <v>3224</v>
      </c>
      <c r="K1536" s="14">
        <v>10.0</v>
      </c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</row>
    <row r="1537">
      <c r="A1537" s="14" t="s">
        <v>5720</v>
      </c>
      <c r="B1537" s="17" t="s">
        <v>5712</v>
      </c>
      <c r="C1537" s="17" t="s">
        <v>5721</v>
      </c>
      <c r="D1537" s="19" t="s">
        <v>5722</v>
      </c>
      <c r="E1537" s="20" t="s">
        <v>219</v>
      </c>
      <c r="F1537" s="21">
        <v>26131.0</v>
      </c>
      <c r="G1537" s="14">
        <v>55.0</v>
      </c>
      <c r="H1537" s="23" t="s">
        <v>26</v>
      </c>
      <c r="I1537" s="24" t="s">
        <v>33</v>
      </c>
      <c r="J1537" s="19" t="s">
        <v>58</v>
      </c>
      <c r="K1537" s="14">
        <v>9.0</v>
      </c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</row>
    <row r="1538">
      <c r="A1538" s="14" t="s">
        <v>5723</v>
      </c>
      <c r="B1538" s="17" t="s">
        <v>5724</v>
      </c>
      <c r="C1538" s="17" t="s">
        <v>5725</v>
      </c>
      <c r="D1538" s="19" t="s">
        <v>5726</v>
      </c>
      <c r="E1538" s="20" t="s">
        <v>112</v>
      </c>
      <c r="F1538" s="27">
        <v>32852.0</v>
      </c>
      <c r="G1538" s="14">
        <v>36.0</v>
      </c>
      <c r="H1538" s="23" t="s">
        <v>26</v>
      </c>
      <c r="I1538" s="24" t="s">
        <v>27</v>
      </c>
      <c r="J1538" s="19" t="s">
        <v>362</v>
      </c>
      <c r="K1538" s="14">
        <v>19.0</v>
      </c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</row>
    <row r="1539">
      <c r="A1539" s="14" t="s">
        <v>5727</v>
      </c>
      <c r="B1539" s="17" t="s">
        <v>5724</v>
      </c>
      <c r="C1539" s="17" t="s">
        <v>5728</v>
      </c>
      <c r="D1539" s="19" t="s">
        <v>2976</v>
      </c>
      <c r="E1539" s="20" t="s">
        <v>112</v>
      </c>
      <c r="F1539" s="21">
        <v>31913.0</v>
      </c>
      <c r="G1539" s="14">
        <v>39.0</v>
      </c>
      <c r="H1539" s="23" t="s">
        <v>26</v>
      </c>
      <c r="I1539" s="24" t="s">
        <v>33</v>
      </c>
      <c r="J1539" s="19" t="s">
        <v>362</v>
      </c>
      <c r="K1539" s="14">
        <v>19.0</v>
      </c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</row>
    <row r="1540">
      <c r="A1540" s="14" t="s">
        <v>5729</v>
      </c>
      <c r="B1540" s="17" t="s">
        <v>5730</v>
      </c>
      <c r="C1540" s="17" t="s">
        <v>5731</v>
      </c>
      <c r="D1540" s="19" t="s">
        <v>5732</v>
      </c>
      <c r="E1540" s="20" t="s">
        <v>104</v>
      </c>
      <c r="F1540" s="21">
        <v>30518.0</v>
      </c>
      <c r="G1540" s="14">
        <v>43.0</v>
      </c>
      <c r="H1540" s="23" t="s">
        <v>26</v>
      </c>
      <c r="I1540" s="24" t="s">
        <v>33</v>
      </c>
      <c r="J1540" s="19" t="s">
        <v>53</v>
      </c>
      <c r="K1540" s="14">
        <v>17.0</v>
      </c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</row>
    <row r="1541">
      <c r="A1541" s="14" t="s">
        <v>5733</v>
      </c>
      <c r="B1541" s="17" t="s">
        <v>5730</v>
      </c>
      <c r="C1541" s="17" t="s">
        <v>5734</v>
      </c>
      <c r="D1541" s="19" t="s">
        <v>5735</v>
      </c>
      <c r="E1541" s="20" t="s">
        <v>104</v>
      </c>
      <c r="F1541" s="21">
        <v>38162.0</v>
      </c>
      <c r="G1541" s="14">
        <v>22.0</v>
      </c>
      <c r="H1541" s="23" t="s">
        <v>100</v>
      </c>
      <c r="I1541" s="24" t="s">
        <v>27</v>
      </c>
      <c r="J1541" s="19" t="s">
        <v>53</v>
      </c>
      <c r="K1541" s="14">
        <v>17.0</v>
      </c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</row>
    <row r="1542">
      <c r="A1542" s="14" t="s">
        <v>5736</v>
      </c>
      <c r="B1542" s="17" t="s">
        <v>5730</v>
      </c>
      <c r="C1542" s="17" t="s">
        <v>5737</v>
      </c>
      <c r="D1542" s="19" t="s">
        <v>1781</v>
      </c>
      <c r="E1542" s="20" t="s">
        <v>5570</v>
      </c>
      <c r="F1542" s="27">
        <v>30999.0</v>
      </c>
      <c r="G1542" s="14">
        <v>41.0</v>
      </c>
      <c r="H1542" s="23" t="s">
        <v>26</v>
      </c>
      <c r="I1542" s="24" t="s">
        <v>27</v>
      </c>
      <c r="J1542" s="19" t="s">
        <v>53</v>
      </c>
      <c r="K1542" s="14">
        <v>17.0</v>
      </c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</row>
    <row r="1543">
      <c r="A1543" s="14" t="s">
        <v>5738</v>
      </c>
      <c r="B1543" s="17" t="s">
        <v>5739</v>
      </c>
      <c r="C1543" s="17" t="s">
        <v>5740</v>
      </c>
      <c r="D1543" s="19" t="s">
        <v>5741</v>
      </c>
      <c r="E1543" s="20" t="s">
        <v>104</v>
      </c>
      <c r="F1543" s="21">
        <v>38140.0</v>
      </c>
      <c r="G1543" s="14">
        <v>22.0</v>
      </c>
      <c r="H1543" s="23" t="s">
        <v>100</v>
      </c>
      <c r="I1543" s="24" t="s">
        <v>27</v>
      </c>
      <c r="J1543" s="19" t="s">
        <v>39</v>
      </c>
      <c r="K1543" s="14">
        <v>18.0</v>
      </c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</row>
    <row r="1544">
      <c r="A1544" s="14" t="s">
        <v>5743</v>
      </c>
      <c r="B1544" s="17" t="s">
        <v>5744</v>
      </c>
      <c r="C1544" s="17" t="s">
        <v>5745</v>
      </c>
      <c r="D1544" s="19" t="s">
        <v>5746</v>
      </c>
      <c r="E1544" s="20" t="s">
        <v>67</v>
      </c>
      <c r="F1544" s="21">
        <v>25379.0</v>
      </c>
      <c r="G1544" s="14">
        <v>57.0</v>
      </c>
      <c r="H1544" s="23" t="s">
        <v>27</v>
      </c>
      <c r="I1544" s="24" t="s">
        <v>27</v>
      </c>
      <c r="J1544" s="19" t="s">
        <v>68</v>
      </c>
      <c r="K1544" s="14">
        <v>33.0</v>
      </c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</row>
    <row r="1545">
      <c r="A1545" s="14" t="s">
        <v>5747</v>
      </c>
      <c r="B1545" s="17" t="s">
        <v>5748</v>
      </c>
      <c r="C1545" s="17" t="s">
        <v>5749</v>
      </c>
      <c r="D1545" s="19" t="s">
        <v>5750</v>
      </c>
      <c r="E1545" s="20" t="s">
        <v>53</v>
      </c>
      <c r="F1545" s="21">
        <v>35896.0</v>
      </c>
      <c r="G1545" s="14">
        <v>28.0</v>
      </c>
      <c r="H1545" s="23" t="s">
        <v>26</v>
      </c>
      <c r="I1545" s="24" t="s">
        <v>33</v>
      </c>
      <c r="J1545" s="19" t="s">
        <v>3291</v>
      </c>
      <c r="K1545" s="14">
        <v>27.0</v>
      </c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</row>
    <row r="1546">
      <c r="A1546" s="14" t="s">
        <v>5751</v>
      </c>
      <c r="B1546" s="17" t="s">
        <v>5748</v>
      </c>
      <c r="C1546" s="17" t="s">
        <v>5752</v>
      </c>
      <c r="D1546" s="19" t="s">
        <v>5753</v>
      </c>
      <c r="E1546" s="20" t="s">
        <v>1846</v>
      </c>
      <c r="F1546" s="21">
        <v>35951.0</v>
      </c>
      <c r="G1546" s="14">
        <v>28.0</v>
      </c>
      <c r="H1546" s="23" t="s">
        <v>26</v>
      </c>
      <c r="I1546" s="24" t="s">
        <v>27</v>
      </c>
      <c r="J1546" s="19" t="s">
        <v>3291</v>
      </c>
      <c r="K1546" s="14">
        <v>27.0</v>
      </c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</row>
    <row r="1547">
      <c r="A1547" s="14" t="s">
        <v>5754</v>
      </c>
      <c r="B1547" s="17" t="s">
        <v>5755</v>
      </c>
      <c r="C1547" s="17" t="s">
        <v>5756</v>
      </c>
      <c r="D1547" s="19" t="s">
        <v>5757</v>
      </c>
      <c r="E1547" s="20" t="s">
        <v>2551</v>
      </c>
      <c r="F1547" s="27">
        <v>36822.0</v>
      </c>
      <c r="G1547" s="14">
        <v>25.0</v>
      </c>
      <c r="H1547" s="23" t="s">
        <v>100</v>
      </c>
      <c r="I1547" s="24" t="s">
        <v>33</v>
      </c>
      <c r="J1547" s="19" t="s">
        <v>146</v>
      </c>
      <c r="K1547" s="14">
        <v>4.0</v>
      </c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</row>
    <row r="1548">
      <c r="A1548" s="14" t="s">
        <v>5758</v>
      </c>
      <c r="B1548" s="17" t="s">
        <v>5755</v>
      </c>
      <c r="C1548" s="17" t="s">
        <v>5759</v>
      </c>
      <c r="D1548" s="19" t="s">
        <v>5760</v>
      </c>
      <c r="E1548" s="20" t="s">
        <v>1550</v>
      </c>
      <c r="F1548" s="21">
        <v>24367.0</v>
      </c>
      <c r="G1548" s="14">
        <v>59.0</v>
      </c>
      <c r="H1548" s="23" t="s">
        <v>26</v>
      </c>
      <c r="I1548" s="24" t="s">
        <v>33</v>
      </c>
      <c r="J1548" s="19" t="s">
        <v>146</v>
      </c>
      <c r="K1548" s="14">
        <v>4.0</v>
      </c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</row>
    <row r="1549">
      <c r="A1549" s="14" t="s">
        <v>5761</v>
      </c>
      <c r="B1549" s="17" t="s">
        <v>5755</v>
      </c>
      <c r="C1549" s="17" t="s">
        <v>5762</v>
      </c>
      <c r="D1549" s="19" t="s">
        <v>5763</v>
      </c>
      <c r="E1549" s="20" t="s">
        <v>104</v>
      </c>
      <c r="F1549" s="21">
        <v>37867.0</v>
      </c>
      <c r="G1549" s="14">
        <v>22.0</v>
      </c>
      <c r="H1549" s="23" t="s">
        <v>100</v>
      </c>
      <c r="I1549" s="24" t="s">
        <v>27</v>
      </c>
      <c r="J1549" s="19" t="s">
        <v>146</v>
      </c>
      <c r="K1549" s="14">
        <v>4.0</v>
      </c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</row>
    <row r="1550">
      <c r="A1550" s="14" t="s">
        <v>5764</v>
      </c>
      <c r="B1550" s="17" t="s">
        <v>5755</v>
      </c>
      <c r="C1550" s="17" t="s">
        <v>5765</v>
      </c>
      <c r="D1550" s="19" t="s">
        <v>5493</v>
      </c>
      <c r="E1550" s="20" t="s">
        <v>632</v>
      </c>
      <c r="F1550" s="21">
        <v>26945.0</v>
      </c>
      <c r="G1550" s="14">
        <v>52.0</v>
      </c>
      <c r="H1550" s="23" t="s">
        <v>26</v>
      </c>
      <c r="I1550" s="24" t="s">
        <v>27</v>
      </c>
      <c r="J1550" s="19" t="s">
        <v>146</v>
      </c>
      <c r="K1550" s="14">
        <v>4.0</v>
      </c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</row>
    <row r="1551">
      <c r="A1551" s="14" t="s">
        <v>5766</v>
      </c>
      <c r="B1551" s="17" t="s">
        <v>5767</v>
      </c>
      <c r="C1551" s="17" t="s">
        <v>5768</v>
      </c>
      <c r="D1551" s="19" t="s">
        <v>5769</v>
      </c>
      <c r="E1551" s="20" t="s">
        <v>3357</v>
      </c>
      <c r="F1551" s="21">
        <v>29302.0</v>
      </c>
      <c r="G1551" s="14">
        <v>46.0</v>
      </c>
      <c r="H1551" s="23" t="s">
        <v>26</v>
      </c>
      <c r="I1551" s="24" t="s">
        <v>33</v>
      </c>
      <c r="J1551" s="19" t="s">
        <v>5770</v>
      </c>
      <c r="K1551" s="14">
        <v>22.0</v>
      </c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</row>
    <row r="1552">
      <c r="A1552" s="14" t="s">
        <v>5771</v>
      </c>
      <c r="B1552" s="17" t="s">
        <v>5767</v>
      </c>
      <c r="C1552" s="17" t="s">
        <v>5772</v>
      </c>
      <c r="D1552" s="19" t="s">
        <v>5773</v>
      </c>
      <c r="E1552" s="20" t="s">
        <v>2038</v>
      </c>
      <c r="F1552" s="21">
        <v>29561.0</v>
      </c>
      <c r="G1552" s="14">
        <v>45.0</v>
      </c>
      <c r="H1552" s="23" t="s">
        <v>26</v>
      </c>
      <c r="I1552" s="24" t="s">
        <v>27</v>
      </c>
      <c r="J1552" s="19" t="s">
        <v>5770</v>
      </c>
      <c r="K1552" s="14">
        <v>22.0</v>
      </c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</row>
    <row r="1553">
      <c r="A1553" s="14" t="s">
        <v>5774</v>
      </c>
      <c r="B1553" s="17" t="s">
        <v>5767</v>
      </c>
      <c r="C1553" s="17" t="s">
        <v>5775</v>
      </c>
      <c r="D1553" s="19" t="s">
        <v>5776</v>
      </c>
      <c r="E1553" s="20" t="s">
        <v>53</v>
      </c>
      <c r="F1553" s="21">
        <v>36397.0</v>
      </c>
      <c r="G1553" s="14">
        <v>27.0</v>
      </c>
      <c r="H1553" s="23" t="s">
        <v>100</v>
      </c>
      <c r="I1553" s="24" t="s">
        <v>27</v>
      </c>
      <c r="J1553" s="19" t="s">
        <v>5770</v>
      </c>
      <c r="K1553" s="14">
        <v>22.0</v>
      </c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</row>
    <row r="1554">
      <c r="A1554" s="14" t="s">
        <v>5777</v>
      </c>
      <c r="B1554" s="17" t="s">
        <v>5778</v>
      </c>
      <c r="C1554" s="17" t="s">
        <v>5779</v>
      </c>
      <c r="D1554" s="19" t="s">
        <v>5780</v>
      </c>
      <c r="E1554" s="20" t="s">
        <v>104</v>
      </c>
      <c r="F1554" s="21">
        <v>34555.0</v>
      </c>
      <c r="G1554" s="14">
        <v>32.0</v>
      </c>
      <c r="H1554" s="23" t="s">
        <v>26</v>
      </c>
      <c r="I1554" s="24" t="s">
        <v>27</v>
      </c>
      <c r="J1554" s="19" t="s">
        <v>58</v>
      </c>
      <c r="K1554" s="14">
        <v>8.0</v>
      </c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</row>
    <row r="1555">
      <c r="A1555" s="14" t="s">
        <v>5781</v>
      </c>
      <c r="B1555" s="17" t="s">
        <v>5778</v>
      </c>
      <c r="C1555" s="17" t="s">
        <v>5782</v>
      </c>
      <c r="D1555" s="19" t="s">
        <v>190</v>
      </c>
      <c r="E1555" s="20" t="s">
        <v>274</v>
      </c>
      <c r="F1555" s="21">
        <v>33844.0</v>
      </c>
      <c r="G1555" s="14">
        <v>34.0</v>
      </c>
      <c r="H1555" s="23" t="s">
        <v>26</v>
      </c>
      <c r="I1555" s="24" t="s">
        <v>33</v>
      </c>
      <c r="J1555" s="19" t="s">
        <v>58</v>
      </c>
      <c r="K1555" s="14">
        <v>8.0</v>
      </c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</row>
    <row r="1556">
      <c r="A1556" s="14" t="s">
        <v>5783</v>
      </c>
      <c r="B1556" s="17" t="s">
        <v>5784</v>
      </c>
      <c r="C1556" s="17" t="s">
        <v>5785</v>
      </c>
      <c r="D1556" s="19" t="s">
        <v>5786</v>
      </c>
      <c r="E1556" s="20" t="s">
        <v>104</v>
      </c>
      <c r="F1556" s="27">
        <v>35362.0</v>
      </c>
      <c r="G1556" s="14">
        <v>29.0</v>
      </c>
      <c r="H1556" s="23" t="s">
        <v>26</v>
      </c>
      <c r="I1556" s="24" t="s">
        <v>33</v>
      </c>
      <c r="J1556" s="19" t="s">
        <v>328</v>
      </c>
      <c r="K1556" s="14">
        <v>21.0</v>
      </c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</row>
    <row r="1557">
      <c r="A1557" s="14" t="s">
        <v>5787</v>
      </c>
      <c r="B1557" s="17" t="s">
        <v>5784</v>
      </c>
      <c r="C1557" s="17" t="s">
        <v>5788</v>
      </c>
      <c r="D1557" s="19" t="s">
        <v>5789</v>
      </c>
      <c r="E1557" s="20" t="s">
        <v>53</v>
      </c>
      <c r="F1557" s="21">
        <v>36599.0</v>
      </c>
      <c r="G1557" s="14">
        <v>26.0</v>
      </c>
      <c r="H1557" s="23" t="s">
        <v>26</v>
      </c>
      <c r="I1557" s="24" t="s">
        <v>27</v>
      </c>
      <c r="J1557" s="19" t="s">
        <v>328</v>
      </c>
      <c r="K1557" s="14">
        <v>21.0</v>
      </c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</row>
    <row r="1558">
      <c r="A1558" s="14" t="s">
        <v>5790</v>
      </c>
      <c r="B1558" s="17" t="s">
        <v>5791</v>
      </c>
      <c r="C1558" s="17" t="s">
        <v>5792</v>
      </c>
      <c r="D1558" s="19" t="s">
        <v>5793</v>
      </c>
      <c r="E1558" s="20" t="s">
        <v>632</v>
      </c>
      <c r="F1558" s="21">
        <v>26361.0</v>
      </c>
      <c r="G1558" s="14">
        <v>54.0</v>
      </c>
      <c r="H1558" s="23" t="s">
        <v>26</v>
      </c>
      <c r="I1558" s="24" t="s">
        <v>33</v>
      </c>
      <c r="J1558" s="19" t="s">
        <v>328</v>
      </c>
      <c r="K1558" s="14">
        <v>25.0</v>
      </c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</row>
    <row r="1559">
      <c r="A1559" s="14" t="s">
        <v>5794</v>
      </c>
      <c r="B1559" s="17" t="s">
        <v>5791</v>
      </c>
      <c r="C1559" s="17" t="s">
        <v>5795</v>
      </c>
      <c r="D1559" s="19" t="s">
        <v>5796</v>
      </c>
      <c r="E1559" s="20" t="s">
        <v>53</v>
      </c>
      <c r="F1559" s="21">
        <v>36466.0</v>
      </c>
      <c r="G1559" s="14">
        <v>26.0</v>
      </c>
      <c r="H1559" s="23" t="s">
        <v>100</v>
      </c>
      <c r="I1559" s="24" t="s">
        <v>27</v>
      </c>
      <c r="J1559" s="19" t="s">
        <v>328</v>
      </c>
      <c r="K1559" s="14">
        <v>25.0</v>
      </c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</row>
    <row r="1560">
      <c r="A1560" s="14" t="s">
        <v>5797</v>
      </c>
      <c r="B1560" s="17" t="s">
        <v>5791</v>
      </c>
      <c r="C1560" s="17" t="s">
        <v>5798</v>
      </c>
      <c r="D1560" s="19" t="s">
        <v>5799</v>
      </c>
      <c r="E1560" s="20" t="s">
        <v>104</v>
      </c>
      <c r="F1560" s="21">
        <v>28406.0</v>
      </c>
      <c r="G1560" s="14">
        <v>48.0</v>
      </c>
      <c r="H1560" s="23" t="s">
        <v>26</v>
      </c>
      <c r="I1560" s="24" t="s">
        <v>27</v>
      </c>
      <c r="J1560" s="19" t="s">
        <v>328</v>
      </c>
      <c r="K1560" s="14">
        <v>25.0</v>
      </c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</row>
    <row r="1561">
      <c r="A1561" s="14" t="s">
        <v>5800</v>
      </c>
      <c r="B1561" s="17" t="s">
        <v>5801</v>
      </c>
      <c r="C1561" s="17" t="s">
        <v>5802</v>
      </c>
      <c r="D1561" s="19" t="s">
        <v>5803</v>
      </c>
      <c r="E1561" s="20" t="s">
        <v>5804</v>
      </c>
      <c r="F1561" s="21">
        <v>35250.0</v>
      </c>
      <c r="G1561" s="14">
        <v>30.0</v>
      </c>
      <c r="H1561" s="23" t="s">
        <v>100</v>
      </c>
      <c r="I1561" s="24" t="s">
        <v>27</v>
      </c>
      <c r="J1561" s="19" t="s">
        <v>3387</v>
      </c>
      <c r="K1561" s="14">
        <v>36.0</v>
      </c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</row>
    <row r="1562">
      <c r="A1562" s="14" t="s">
        <v>5805</v>
      </c>
      <c r="B1562" s="17" t="s">
        <v>5801</v>
      </c>
      <c r="C1562" s="17" t="s">
        <v>5806</v>
      </c>
      <c r="D1562" s="19" t="s">
        <v>5049</v>
      </c>
      <c r="E1562" s="20" t="s">
        <v>67</v>
      </c>
      <c r="F1562" s="21">
        <v>21261.0</v>
      </c>
      <c r="G1562" s="14">
        <v>68.0</v>
      </c>
      <c r="H1562" s="23" t="s">
        <v>26</v>
      </c>
      <c r="I1562" s="24" t="s">
        <v>27</v>
      </c>
      <c r="J1562" s="19" t="s">
        <v>3387</v>
      </c>
      <c r="K1562" s="14">
        <v>36.0</v>
      </c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</row>
    <row r="1563">
      <c r="A1563" s="14" t="s">
        <v>5807</v>
      </c>
      <c r="B1563" s="17" t="s">
        <v>5801</v>
      </c>
      <c r="C1563" s="17" t="s">
        <v>5808</v>
      </c>
      <c r="D1563" s="19" t="s">
        <v>250</v>
      </c>
      <c r="E1563" s="20" t="s">
        <v>67</v>
      </c>
      <c r="F1563" s="21">
        <v>19992.0</v>
      </c>
      <c r="G1563" s="14">
        <v>71.0</v>
      </c>
      <c r="H1563" s="23" t="s">
        <v>26</v>
      </c>
      <c r="I1563" s="24" t="s">
        <v>33</v>
      </c>
      <c r="J1563" s="19" t="s">
        <v>3387</v>
      </c>
      <c r="K1563" s="14">
        <v>36.0</v>
      </c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</row>
    <row r="1564">
      <c r="A1564" s="14" t="s">
        <v>5809</v>
      </c>
      <c r="B1564" s="17" t="s">
        <v>5810</v>
      </c>
      <c r="C1564" s="17" t="s">
        <v>5811</v>
      </c>
      <c r="D1564" s="19" t="s">
        <v>5812</v>
      </c>
      <c r="E1564" s="20" t="s">
        <v>112</v>
      </c>
      <c r="F1564" s="27">
        <v>26620.0</v>
      </c>
      <c r="G1564" s="14">
        <v>53.0</v>
      </c>
      <c r="H1564" s="23" t="s">
        <v>26</v>
      </c>
      <c r="I1564" s="24" t="s">
        <v>33</v>
      </c>
      <c r="J1564" s="19" t="s">
        <v>3211</v>
      </c>
      <c r="K1564" s="14">
        <v>19.0</v>
      </c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</row>
    <row r="1565">
      <c r="A1565" s="14" t="s">
        <v>5813</v>
      </c>
      <c r="B1565" s="17" t="s">
        <v>5810</v>
      </c>
      <c r="C1565" s="17" t="s">
        <v>5814</v>
      </c>
      <c r="D1565" s="19" t="s">
        <v>5815</v>
      </c>
      <c r="E1565" s="20" t="s">
        <v>5816</v>
      </c>
      <c r="F1565" s="21">
        <v>30211.0</v>
      </c>
      <c r="G1565" s="14">
        <v>43.0</v>
      </c>
      <c r="H1565" s="23" t="s">
        <v>26</v>
      </c>
      <c r="I1565" s="24" t="s">
        <v>27</v>
      </c>
      <c r="J1565" s="19" t="s">
        <v>3211</v>
      </c>
      <c r="K1565" s="14">
        <v>19.0</v>
      </c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</row>
    <row r="1566">
      <c r="A1566" s="14" t="s">
        <v>5817</v>
      </c>
      <c r="B1566" s="17" t="s">
        <v>5818</v>
      </c>
      <c r="C1566" s="17" t="s">
        <v>5819</v>
      </c>
      <c r="D1566" s="19" t="s">
        <v>5820</v>
      </c>
      <c r="E1566" s="20" t="s">
        <v>67</v>
      </c>
      <c r="F1566" s="21">
        <v>38464.0</v>
      </c>
      <c r="G1566" s="14">
        <v>21.0</v>
      </c>
      <c r="H1566" s="23" t="s">
        <v>100</v>
      </c>
      <c r="I1566" s="24" t="s">
        <v>27</v>
      </c>
      <c r="J1566" s="19" t="s">
        <v>53</v>
      </c>
      <c r="K1566" s="14">
        <v>32.0</v>
      </c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</row>
    <row r="1567">
      <c r="A1567" s="14" t="s">
        <v>5821</v>
      </c>
      <c r="B1567" s="17" t="s">
        <v>5818</v>
      </c>
      <c r="C1567" s="17" t="s">
        <v>5822</v>
      </c>
      <c r="D1567" s="19" t="s">
        <v>3966</v>
      </c>
      <c r="E1567" s="20" t="s">
        <v>67</v>
      </c>
      <c r="F1567" s="27">
        <v>24802.0</v>
      </c>
      <c r="G1567" s="14">
        <v>58.0</v>
      </c>
      <c r="H1567" s="23" t="s">
        <v>26</v>
      </c>
      <c r="I1567" s="24" t="s">
        <v>27</v>
      </c>
      <c r="J1567" s="19" t="s">
        <v>53</v>
      </c>
      <c r="K1567" s="14">
        <v>32.0</v>
      </c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</row>
    <row r="1568">
      <c r="A1568" s="14" t="s">
        <v>5823</v>
      </c>
      <c r="B1568" s="17" t="s">
        <v>5818</v>
      </c>
      <c r="C1568" s="17" t="s">
        <v>5824</v>
      </c>
      <c r="D1568" s="19" t="s">
        <v>5825</v>
      </c>
      <c r="E1568" s="20" t="s">
        <v>67</v>
      </c>
      <c r="F1568" s="21">
        <v>21731.0</v>
      </c>
      <c r="G1568" s="14">
        <v>67.0</v>
      </c>
      <c r="H1568" s="23" t="s">
        <v>26</v>
      </c>
      <c r="I1568" s="24" t="s">
        <v>33</v>
      </c>
      <c r="J1568" s="19" t="s">
        <v>53</v>
      </c>
      <c r="K1568" s="14">
        <v>32.0</v>
      </c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</row>
    <row r="1569">
      <c r="A1569" s="14" t="s">
        <v>5826</v>
      </c>
      <c r="B1569" s="17" t="s">
        <v>5827</v>
      </c>
      <c r="C1569" s="17" t="s">
        <v>5828</v>
      </c>
      <c r="D1569" s="19" t="s">
        <v>5829</v>
      </c>
      <c r="E1569" s="20" t="s">
        <v>53</v>
      </c>
      <c r="F1569" s="21">
        <v>31246.0</v>
      </c>
      <c r="G1569" s="14">
        <v>41.0</v>
      </c>
      <c r="H1569" s="23" t="s">
        <v>26</v>
      </c>
      <c r="I1569" s="24" t="s">
        <v>27</v>
      </c>
      <c r="J1569" s="19" t="s">
        <v>206</v>
      </c>
      <c r="K1569" s="14">
        <v>4.0</v>
      </c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</row>
    <row r="1570">
      <c r="A1570" s="14" t="s">
        <v>5830</v>
      </c>
      <c r="B1570" s="17" t="s">
        <v>5827</v>
      </c>
      <c r="C1570" s="17" t="s">
        <v>5831</v>
      </c>
      <c r="D1570" s="19" t="s">
        <v>5832</v>
      </c>
      <c r="E1570" s="20" t="s">
        <v>104</v>
      </c>
      <c r="F1570" s="27">
        <v>30298.0</v>
      </c>
      <c r="G1570" s="14">
        <v>43.0</v>
      </c>
      <c r="H1570" s="23" t="s">
        <v>26</v>
      </c>
      <c r="I1570" s="24" t="s">
        <v>33</v>
      </c>
      <c r="J1570" s="19" t="s">
        <v>206</v>
      </c>
      <c r="K1570" s="14">
        <v>4.0</v>
      </c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</row>
    <row r="1571">
      <c r="A1571" s="14" t="s">
        <v>5833</v>
      </c>
      <c r="B1571" s="17" t="s">
        <v>5827</v>
      </c>
      <c r="C1571" s="17" t="s">
        <v>5834</v>
      </c>
      <c r="D1571" s="19" t="s">
        <v>5835</v>
      </c>
      <c r="E1571" s="20" t="s">
        <v>104</v>
      </c>
      <c r="F1571" s="27">
        <v>39376.0</v>
      </c>
      <c r="G1571" s="14">
        <v>18.0</v>
      </c>
      <c r="H1571" s="23" t="s">
        <v>100</v>
      </c>
      <c r="I1571" s="24" t="s">
        <v>33</v>
      </c>
      <c r="J1571" s="19" t="s">
        <v>206</v>
      </c>
      <c r="K1571" s="14">
        <v>4.0</v>
      </c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</row>
    <row r="1572">
      <c r="A1572" s="14" t="s">
        <v>5836</v>
      </c>
      <c r="B1572" s="17" t="s">
        <v>5837</v>
      </c>
      <c r="C1572" s="17" t="s">
        <v>5838</v>
      </c>
      <c r="D1572" s="19" t="s">
        <v>5839</v>
      </c>
      <c r="E1572" s="20" t="s">
        <v>104</v>
      </c>
      <c r="F1572" s="21">
        <v>35522.0</v>
      </c>
      <c r="G1572" s="14">
        <v>29.0</v>
      </c>
      <c r="H1572" s="23" t="s">
        <v>100</v>
      </c>
      <c r="I1572" s="24" t="s">
        <v>33</v>
      </c>
      <c r="J1572" s="19" t="s">
        <v>257</v>
      </c>
      <c r="K1572" s="14">
        <v>1.0</v>
      </c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</row>
    <row r="1573">
      <c r="A1573" s="14" t="s">
        <v>5840</v>
      </c>
      <c r="B1573" s="17" t="s">
        <v>5837</v>
      </c>
      <c r="C1573" s="17" t="s">
        <v>5841</v>
      </c>
      <c r="D1573" s="19" t="s">
        <v>5842</v>
      </c>
      <c r="E1573" s="20" t="s">
        <v>1291</v>
      </c>
      <c r="F1573" s="21">
        <v>26421.0</v>
      </c>
      <c r="G1573" s="14">
        <v>54.0</v>
      </c>
      <c r="H1573" s="23" t="s">
        <v>26</v>
      </c>
      <c r="I1573" s="24" t="s">
        <v>27</v>
      </c>
      <c r="J1573" s="19" t="s">
        <v>257</v>
      </c>
      <c r="K1573" s="14">
        <v>1.0</v>
      </c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</row>
    <row r="1574">
      <c r="A1574" s="14" t="s">
        <v>5843</v>
      </c>
      <c r="B1574" s="17" t="s">
        <v>5837</v>
      </c>
      <c r="C1574" s="17" t="s">
        <v>5844</v>
      </c>
      <c r="D1574" s="19" t="s">
        <v>5845</v>
      </c>
      <c r="E1574" s="20" t="s">
        <v>434</v>
      </c>
      <c r="F1574" s="21">
        <v>24169.0</v>
      </c>
      <c r="G1574" s="14">
        <v>60.0</v>
      </c>
      <c r="H1574" s="23" t="s">
        <v>26</v>
      </c>
      <c r="I1574" s="24" t="s">
        <v>33</v>
      </c>
      <c r="J1574" s="19" t="s">
        <v>257</v>
      </c>
      <c r="K1574" s="14">
        <v>1.0</v>
      </c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</row>
    <row r="1575">
      <c r="A1575" s="14" t="s">
        <v>5846</v>
      </c>
      <c r="B1575" s="17" t="s">
        <v>5847</v>
      </c>
      <c r="C1575" s="17" t="s">
        <v>5848</v>
      </c>
      <c r="D1575" s="19" t="s">
        <v>5849</v>
      </c>
      <c r="E1575" s="20" t="s">
        <v>104</v>
      </c>
      <c r="F1575" s="27">
        <v>37966.0</v>
      </c>
      <c r="G1575" s="14">
        <v>22.0</v>
      </c>
      <c r="H1575" s="23" t="s">
        <v>100</v>
      </c>
      <c r="I1575" s="24" t="s">
        <v>27</v>
      </c>
      <c r="J1575" s="19" t="s">
        <v>517</v>
      </c>
      <c r="K1575" s="14">
        <v>5.0</v>
      </c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</row>
    <row r="1576">
      <c r="A1576" s="14" t="s">
        <v>5850</v>
      </c>
      <c r="B1576" s="17" t="s">
        <v>5847</v>
      </c>
      <c r="C1576" s="17" t="s">
        <v>5851</v>
      </c>
      <c r="D1576" s="19" t="s">
        <v>5852</v>
      </c>
      <c r="E1576" s="20" t="s">
        <v>654</v>
      </c>
      <c r="F1576" s="21">
        <v>25204.0</v>
      </c>
      <c r="G1576" s="14">
        <v>57.0</v>
      </c>
      <c r="H1576" s="23" t="s">
        <v>26</v>
      </c>
      <c r="I1576" s="24" t="s">
        <v>33</v>
      </c>
      <c r="J1576" s="19" t="s">
        <v>517</v>
      </c>
      <c r="K1576" s="14">
        <v>5.0</v>
      </c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</row>
    <row r="1577">
      <c r="A1577" s="14" t="s">
        <v>5853</v>
      </c>
      <c r="B1577" s="17" t="s">
        <v>5847</v>
      </c>
      <c r="C1577" s="17" t="s">
        <v>5854</v>
      </c>
      <c r="D1577" s="19" t="s">
        <v>5855</v>
      </c>
      <c r="E1577" s="20" t="s">
        <v>104</v>
      </c>
      <c r="F1577" s="21">
        <v>28742.0</v>
      </c>
      <c r="G1577" s="14">
        <v>47.0</v>
      </c>
      <c r="H1577" s="23" t="s">
        <v>26</v>
      </c>
      <c r="I1577" s="24" t="s">
        <v>27</v>
      </c>
      <c r="J1577" s="19" t="s">
        <v>517</v>
      </c>
      <c r="K1577" s="14">
        <v>5.0</v>
      </c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</row>
    <row r="1578">
      <c r="A1578" s="14" t="s">
        <v>5856</v>
      </c>
      <c r="B1578" s="17" t="s">
        <v>5857</v>
      </c>
      <c r="C1578" s="17" t="s">
        <v>5858</v>
      </c>
      <c r="D1578" s="19" t="s">
        <v>5859</v>
      </c>
      <c r="E1578" s="20" t="s">
        <v>434</v>
      </c>
      <c r="F1578" s="21">
        <v>26820.0</v>
      </c>
      <c r="G1578" s="14">
        <v>53.0</v>
      </c>
      <c r="H1578" s="23" t="s">
        <v>26</v>
      </c>
      <c r="I1578" s="24" t="s">
        <v>27</v>
      </c>
      <c r="J1578" s="19" t="s">
        <v>2762</v>
      </c>
      <c r="K1578" s="14">
        <v>1.0</v>
      </c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</row>
    <row r="1579">
      <c r="A1579" s="14" t="s">
        <v>5860</v>
      </c>
      <c r="B1579" s="17" t="s">
        <v>5857</v>
      </c>
      <c r="C1579" s="17" t="s">
        <v>5861</v>
      </c>
      <c r="D1579" s="19" t="s">
        <v>5862</v>
      </c>
      <c r="E1579" s="20" t="s">
        <v>5863</v>
      </c>
      <c r="F1579" s="21">
        <v>24564.0</v>
      </c>
      <c r="G1579" s="14">
        <v>59.0</v>
      </c>
      <c r="H1579" s="23" t="s">
        <v>26</v>
      </c>
      <c r="I1579" s="24" t="s">
        <v>33</v>
      </c>
      <c r="J1579" s="19" t="s">
        <v>2762</v>
      </c>
      <c r="K1579" s="14">
        <v>1.0</v>
      </c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</row>
    <row r="1580">
      <c r="A1580" s="14" t="s">
        <v>5864</v>
      </c>
      <c r="B1580" s="17" t="s">
        <v>5865</v>
      </c>
      <c r="C1580" s="17" t="s">
        <v>5866</v>
      </c>
      <c r="D1580" s="19" t="s">
        <v>5867</v>
      </c>
      <c r="E1580" s="20" t="s">
        <v>337</v>
      </c>
      <c r="F1580" s="21">
        <v>36465.0</v>
      </c>
      <c r="G1580" s="14">
        <v>26.0</v>
      </c>
      <c r="H1580" s="23" t="s">
        <v>26</v>
      </c>
      <c r="I1580" s="24" t="s">
        <v>27</v>
      </c>
      <c r="J1580" s="19" t="s">
        <v>2762</v>
      </c>
      <c r="K1580" s="14">
        <v>1.0</v>
      </c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</row>
    <row r="1581">
      <c r="A1581" s="14" t="s">
        <v>5868</v>
      </c>
      <c r="B1581" s="17" t="s">
        <v>5865</v>
      </c>
      <c r="C1581" s="17" t="s">
        <v>5869</v>
      </c>
      <c r="D1581" s="19" t="s">
        <v>5870</v>
      </c>
      <c r="E1581" s="20" t="s">
        <v>5871</v>
      </c>
      <c r="F1581" s="21">
        <v>25373.0</v>
      </c>
      <c r="G1581" s="14">
        <v>57.0</v>
      </c>
      <c r="H1581" s="23" t="s">
        <v>26</v>
      </c>
      <c r="I1581" s="24" t="s">
        <v>33</v>
      </c>
      <c r="J1581" s="19" t="s">
        <v>146</v>
      </c>
      <c r="K1581" s="14">
        <v>2.0</v>
      </c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</row>
    <row r="1582">
      <c r="A1582" s="14" t="s">
        <v>5872</v>
      </c>
      <c r="B1582" s="17" t="s">
        <v>5865</v>
      </c>
      <c r="C1582" s="17" t="s">
        <v>5873</v>
      </c>
      <c r="D1582" s="19" t="s">
        <v>5874</v>
      </c>
      <c r="E1582" s="20" t="s">
        <v>219</v>
      </c>
      <c r="F1582" s="21">
        <v>26423.0</v>
      </c>
      <c r="G1582" s="14">
        <v>54.0</v>
      </c>
      <c r="H1582" s="23" t="s">
        <v>26</v>
      </c>
      <c r="I1582" s="24" t="s">
        <v>27</v>
      </c>
      <c r="J1582" s="19" t="s">
        <v>2762</v>
      </c>
      <c r="K1582" s="14">
        <v>1.0</v>
      </c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</row>
    <row r="1583">
      <c r="A1583" s="14" t="s">
        <v>5875</v>
      </c>
      <c r="B1583" s="17" t="s">
        <v>5876</v>
      </c>
      <c r="C1583" s="17" t="s">
        <v>5877</v>
      </c>
      <c r="D1583" s="19" t="s">
        <v>5878</v>
      </c>
      <c r="E1583" s="20" t="s">
        <v>53</v>
      </c>
      <c r="F1583" s="21">
        <v>29779.0</v>
      </c>
      <c r="G1583" s="14">
        <v>45.0</v>
      </c>
      <c r="H1583" s="23" t="s">
        <v>26</v>
      </c>
      <c r="I1583" s="24" t="s">
        <v>27</v>
      </c>
      <c r="J1583" s="19" t="s">
        <v>257</v>
      </c>
      <c r="K1583" s="14">
        <v>9.0</v>
      </c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</row>
    <row r="1584">
      <c r="A1584" s="14" t="s">
        <v>5879</v>
      </c>
      <c r="B1584" s="17" t="s">
        <v>5876</v>
      </c>
      <c r="C1584" s="17" t="s">
        <v>5880</v>
      </c>
      <c r="D1584" s="19" t="s">
        <v>5881</v>
      </c>
      <c r="E1584" s="20" t="s">
        <v>112</v>
      </c>
      <c r="F1584" s="21">
        <v>29687.0</v>
      </c>
      <c r="G1584" s="14">
        <v>45.0</v>
      </c>
      <c r="H1584" s="23" t="s">
        <v>26</v>
      </c>
      <c r="I1584" s="24" t="s">
        <v>33</v>
      </c>
      <c r="J1584" s="19" t="s">
        <v>257</v>
      </c>
      <c r="K1584" s="14">
        <v>9.0</v>
      </c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</row>
    <row r="1585">
      <c r="A1585" s="14" t="s">
        <v>5882</v>
      </c>
      <c r="B1585" s="17" t="s">
        <v>5883</v>
      </c>
      <c r="C1585" s="17" t="s">
        <v>5884</v>
      </c>
      <c r="D1585" s="19" t="s">
        <v>5885</v>
      </c>
      <c r="E1585" s="20" t="s">
        <v>434</v>
      </c>
      <c r="F1585" s="21">
        <v>27552.0</v>
      </c>
      <c r="G1585" s="14">
        <v>51.0</v>
      </c>
      <c r="H1585" s="23" t="s">
        <v>26</v>
      </c>
      <c r="I1585" s="24" t="s">
        <v>27</v>
      </c>
      <c r="J1585" s="19" t="s">
        <v>2762</v>
      </c>
      <c r="K1585" s="14">
        <v>1.0</v>
      </c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</row>
    <row r="1586">
      <c r="A1586" s="14" t="s">
        <v>5886</v>
      </c>
      <c r="B1586" s="17" t="s">
        <v>5883</v>
      </c>
      <c r="C1586" s="17" t="s">
        <v>5887</v>
      </c>
      <c r="D1586" s="19" t="s">
        <v>3173</v>
      </c>
      <c r="E1586" s="20" t="s">
        <v>5888</v>
      </c>
      <c r="F1586" s="21">
        <v>28968.0</v>
      </c>
      <c r="G1586" s="14">
        <v>47.0</v>
      </c>
      <c r="H1586" s="23" t="s">
        <v>26</v>
      </c>
      <c r="I1586" s="24" t="s">
        <v>33</v>
      </c>
      <c r="J1586" s="19" t="s">
        <v>2762</v>
      </c>
      <c r="K1586" s="14">
        <v>1.0</v>
      </c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</row>
    <row r="1587">
      <c r="A1587" s="14" t="s">
        <v>5889</v>
      </c>
      <c r="B1587" s="17" t="s">
        <v>5890</v>
      </c>
      <c r="C1587" s="17" t="s">
        <v>5891</v>
      </c>
      <c r="D1587" s="19" t="s">
        <v>5892</v>
      </c>
      <c r="E1587" s="20" t="s">
        <v>434</v>
      </c>
      <c r="F1587" s="27">
        <v>26633.0</v>
      </c>
      <c r="G1587" s="14">
        <v>53.0</v>
      </c>
      <c r="H1587" s="23" t="s">
        <v>26</v>
      </c>
      <c r="I1587" s="24" t="s">
        <v>33</v>
      </c>
      <c r="J1587" s="19" t="s">
        <v>2762</v>
      </c>
      <c r="K1587" s="14">
        <v>1.0</v>
      </c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</row>
    <row r="1588">
      <c r="A1588" s="14" t="s">
        <v>5893</v>
      </c>
      <c r="B1588" s="17" t="s">
        <v>5890</v>
      </c>
      <c r="C1588" s="17" t="s">
        <v>5894</v>
      </c>
      <c r="D1588" s="19" t="s">
        <v>3509</v>
      </c>
      <c r="E1588" s="20" t="s">
        <v>434</v>
      </c>
      <c r="F1588" s="21">
        <v>28009.0</v>
      </c>
      <c r="G1588" s="14">
        <v>49.0</v>
      </c>
      <c r="H1588" s="23" t="s">
        <v>26</v>
      </c>
      <c r="I1588" s="24" t="s">
        <v>27</v>
      </c>
      <c r="J1588" s="19" t="s">
        <v>2762</v>
      </c>
      <c r="K1588" s="14">
        <v>1.0</v>
      </c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</row>
    <row r="1589">
      <c r="A1589" s="14" t="s">
        <v>5895</v>
      </c>
      <c r="B1589" s="17" t="s">
        <v>5896</v>
      </c>
      <c r="C1589" s="17" t="s">
        <v>5897</v>
      </c>
      <c r="D1589" s="19" t="s">
        <v>5898</v>
      </c>
      <c r="E1589" s="20" t="s">
        <v>104</v>
      </c>
      <c r="F1589" s="21">
        <v>28135.0</v>
      </c>
      <c r="G1589" s="14">
        <v>49.0</v>
      </c>
      <c r="H1589" s="23" t="s">
        <v>26</v>
      </c>
      <c r="I1589" s="24" t="s">
        <v>27</v>
      </c>
      <c r="J1589" s="19" t="s">
        <v>53</v>
      </c>
      <c r="K1589" s="14">
        <v>18.0</v>
      </c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</row>
    <row r="1590">
      <c r="A1590" s="14" t="s">
        <v>5899</v>
      </c>
      <c r="B1590" s="17" t="s">
        <v>5896</v>
      </c>
      <c r="C1590" s="17" t="s">
        <v>5900</v>
      </c>
      <c r="D1590" s="19" t="s">
        <v>5901</v>
      </c>
      <c r="E1590" s="20" t="s">
        <v>104</v>
      </c>
      <c r="F1590" s="27">
        <v>39039.0</v>
      </c>
      <c r="G1590" s="14">
        <v>19.0</v>
      </c>
      <c r="H1590" s="23" t="s">
        <v>100</v>
      </c>
      <c r="I1590" s="24" t="s">
        <v>27</v>
      </c>
      <c r="J1590" s="19" t="s">
        <v>53</v>
      </c>
      <c r="K1590" s="14">
        <v>18.0</v>
      </c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</row>
    <row r="1591">
      <c r="A1591" s="14" t="s">
        <v>5902</v>
      </c>
      <c r="B1591" s="17" t="s">
        <v>5896</v>
      </c>
      <c r="C1591" s="17" t="s">
        <v>5903</v>
      </c>
      <c r="D1591" s="19" t="s">
        <v>5904</v>
      </c>
      <c r="E1591" s="20" t="s">
        <v>67</v>
      </c>
      <c r="F1591" s="27">
        <v>26584.0</v>
      </c>
      <c r="G1591" s="14">
        <v>53.0</v>
      </c>
      <c r="H1591" s="23" t="s">
        <v>26</v>
      </c>
      <c r="I1591" s="24" t="s">
        <v>33</v>
      </c>
      <c r="J1591" s="19" t="s">
        <v>53</v>
      </c>
      <c r="K1591" s="14">
        <v>18.0</v>
      </c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</row>
    <row r="1592">
      <c r="A1592" s="14" t="s">
        <v>5905</v>
      </c>
      <c r="B1592" s="17" t="s">
        <v>5906</v>
      </c>
      <c r="C1592" s="17" t="s">
        <v>5907</v>
      </c>
      <c r="D1592" s="19" t="s">
        <v>5908</v>
      </c>
      <c r="E1592" s="20" t="s">
        <v>5909</v>
      </c>
      <c r="F1592" s="27">
        <v>31728.0</v>
      </c>
      <c r="G1592" s="14">
        <v>39.0</v>
      </c>
      <c r="H1592" s="23" t="s">
        <v>26</v>
      </c>
      <c r="I1592" s="24" t="s">
        <v>27</v>
      </c>
      <c r="J1592" s="19" t="s">
        <v>53</v>
      </c>
      <c r="K1592" s="14">
        <v>20.0</v>
      </c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</row>
    <row r="1593">
      <c r="A1593" s="14" t="s">
        <v>5910</v>
      </c>
      <c r="B1593" s="17" t="s">
        <v>5906</v>
      </c>
      <c r="C1593" s="17" t="s">
        <v>5911</v>
      </c>
      <c r="D1593" s="19" t="s">
        <v>5912</v>
      </c>
      <c r="E1593" s="20" t="s">
        <v>104</v>
      </c>
      <c r="F1593" s="21">
        <v>31055.0</v>
      </c>
      <c r="G1593" s="14">
        <v>41.0</v>
      </c>
      <c r="H1593" s="23" t="s">
        <v>26</v>
      </c>
      <c r="I1593" s="24" t="s">
        <v>33</v>
      </c>
      <c r="J1593" s="19" t="s">
        <v>53</v>
      </c>
      <c r="K1593" s="14">
        <v>20.0</v>
      </c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</row>
    <row r="1594">
      <c r="A1594" s="14" t="s">
        <v>5913</v>
      </c>
      <c r="B1594" s="17" t="s">
        <v>5914</v>
      </c>
      <c r="C1594" s="17" t="s">
        <v>5915</v>
      </c>
      <c r="D1594" s="19" t="s">
        <v>5916</v>
      </c>
      <c r="E1594" s="20" t="s">
        <v>632</v>
      </c>
      <c r="F1594" s="21">
        <v>21858.0</v>
      </c>
      <c r="G1594" s="14">
        <v>66.0</v>
      </c>
      <c r="H1594" s="23" t="s">
        <v>26</v>
      </c>
      <c r="I1594" s="24" t="s">
        <v>27</v>
      </c>
      <c r="J1594" s="19" t="s">
        <v>58</v>
      </c>
      <c r="K1594" s="14">
        <v>36.0</v>
      </c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</row>
    <row r="1595">
      <c r="A1595" s="14" t="s">
        <v>5917</v>
      </c>
      <c r="B1595" s="17" t="s">
        <v>5914</v>
      </c>
      <c r="C1595" s="17" t="s">
        <v>5918</v>
      </c>
      <c r="D1595" s="19" t="s">
        <v>5919</v>
      </c>
      <c r="E1595" s="20" t="s">
        <v>544</v>
      </c>
      <c r="F1595" s="27">
        <v>24032.0</v>
      </c>
      <c r="G1595" s="14">
        <v>60.0</v>
      </c>
      <c r="H1595" s="23" t="s">
        <v>26</v>
      </c>
      <c r="I1595" s="24" t="s">
        <v>33</v>
      </c>
      <c r="J1595" s="19" t="s">
        <v>58</v>
      </c>
      <c r="K1595" s="14">
        <v>36.0</v>
      </c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</row>
    <row r="1596">
      <c r="A1596" s="14" t="s">
        <v>5920</v>
      </c>
      <c r="B1596" s="17" t="s">
        <v>5921</v>
      </c>
      <c r="C1596" s="17" t="s">
        <v>5922</v>
      </c>
      <c r="D1596" s="19" t="s">
        <v>5923</v>
      </c>
      <c r="E1596" s="20" t="s">
        <v>138</v>
      </c>
      <c r="F1596" s="27">
        <v>39044.0</v>
      </c>
      <c r="G1596" s="14">
        <v>19.0</v>
      </c>
      <c r="H1596" s="23" t="s">
        <v>100</v>
      </c>
      <c r="I1596" s="24" t="s">
        <v>27</v>
      </c>
      <c r="J1596" s="19" t="s">
        <v>5924</v>
      </c>
      <c r="K1596" s="14">
        <v>16.0</v>
      </c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</row>
    <row r="1597">
      <c r="A1597" s="14" t="s">
        <v>5925</v>
      </c>
      <c r="B1597" s="17" t="s">
        <v>5921</v>
      </c>
      <c r="C1597" s="17" t="s">
        <v>5926</v>
      </c>
      <c r="D1597" s="19" t="s">
        <v>5454</v>
      </c>
      <c r="E1597" s="20" t="s">
        <v>104</v>
      </c>
      <c r="F1597" s="27">
        <v>31030.0</v>
      </c>
      <c r="G1597" s="14">
        <v>41.0</v>
      </c>
      <c r="H1597" s="23" t="s">
        <v>26</v>
      </c>
      <c r="I1597" s="24" t="s">
        <v>33</v>
      </c>
      <c r="J1597" s="19" t="s">
        <v>5924</v>
      </c>
      <c r="K1597" s="14">
        <v>16.0</v>
      </c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</row>
    <row r="1598">
      <c r="A1598" s="14" t="s">
        <v>5927</v>
      </c>
      <c r="B1598" s="17" t="s">
        <v>5921</v>
      </c>
      <c r="C1598" s="17" t="s">
        <v>5928</v>
      </c>
      <c r="D1598" s="19" t="s">
        <v>5929</v>
      </c>
      <c r="E1598" s="20" t="s">
        <v>104</v>
      </c>
      <c r="F1598" s="21">
        <v>32568.0</v>
      </c>
      <c r="G1598" s="14">
        <v>37.0</v>
      </c>
      <c r="H1598" s="23" t="s">
        <v>26</v>
      </c>
      <c r="I1598" s="24" t="s">
        <v>27</v>
      </c>
      <c r="J1598" s="19" t="s">
        <v>5924</v>
      </c>
      <c r="K1598" s="14">
        <v>16.0</v>
      </c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</row>
    <row r="1599">
      <c r="A1599" s="14" t="s">
        <v>5930</v>
      </c>
      <c r="B1599" s="17" t="s">
        <v>5931</v>
      </c>
      <c r="C1599" s="17" t="s">
        <v>5932</v>
      </c>
      <c r="D1599" s="19" t="s">
        <v>5933</v>
      </c>
      <c r="E1599" s="20" t="s">
        <v>1095</v>
      </c>
      <c r="F1599" s="21">
        <v>33278.0</v>
      </c>
      <c r="G1599" s="14">
        <v>35.0</v>
      </c>
      <c r="H1599" s="23" t="s">
        <v>27</v>
      </c>
      <c r="I1599" s="24" t="s">
        <v>33</v>
      </c>
      <c r="J1599" s="19" t="s">
        <v>362</v>
      </c>
      <c r="K1599" s="14">
        <v>24.0</v>
      </c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</row>
    <row r="1600">
      <c r="A1600" s="14" t="s">
        <v>5934</v>
      </c>
      <c r="B1600" s="17" t="s">
        <v>5935</v>
      </c>
      <c r="C1600" s="17" t="s">
        <v>5936</v>
      </c>
      <c r="D1600" s="19" t="s">
        <v>5937</v>
      </c>
      <c r="E1600" s="20" t="s">
        <v>104</v>
      </c>
      <c r="F1600" s="21">
        <v>33278.0</v>
      </c>
      <c r="G1600" s="14">
        <v>35.0</v>
      </c>
      <c r="H1600" s="23" t="s">
        <v>26</v>
      </c>
      <c r="I1600" s="24" t="s">
        <v>33</v>
      </c>
      <c r="J1600" s="19" t="s">
        <v>68</v>
      </c>
      <c r="K1600" s="14">
        <v>31.0</v>
      </c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</row>
    <row r="1601">
      <c r="A1601" s="14" t="s">
        <v>5938</v>
      </c>
      <c r="B1601" s="17" t="s">
        <v>5939</v>
      </c>
      <c r="C1601" s="17" t="s">
        <v>5940</v>
      </c>
      <c r="D1601" s="19" t="s">
        <v>5941</v>
      </c>
      <c r="E1601" s="20" t="s">
        <v>53</v>
      </c>
      <c r="F1601" s="21">
        <v>37593.0</v>
      </c>
      <c r="G1601" s="14">
        <v>23.0</v>
      </c>
      <c r="H1601" s="23" t="s">
        <v>100</v>
      </c>
      <c r="I1601" s="24" t="s">
        <v>33</v>
      </c>
      <c r="J1601" s="19" t="s">
        <v>5942</v>
      </c>
      <c r="K1601" s="14">
        <v>18.0</v>
      </c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</row>
    <row r="1602">
      <c r="A1602" s="14" t="s">
        <v>5943</v>
      </c>
      <c r="B1602" s="17" t="s">
        <v>5939</v>
      </c>
      <c r="C1602" s="17" t="s">
        <v>5944</v>
      </c>
      <c r="D1602" s="19" t="s">
        <v>5945</v>
      </c>
      <c r="E1602" s="20" t="s">
        <v>104</v>
      </c>
      <c r="F1602" s="27">
        <v>29573.0</v>
      </c>
      <c r="G1602" s="14">
        <v>45.0</v>
      </c>
      <c r="H1602" s="23" t="s">
        <v>26</v>
      </c>
      <c r="I1602" s="24" t="s">
        <v>27</v>
      </c>
      <c r="J1602" s="19" t="s">
        <v>5942</v>
      </c>
      <c r="K1602" s="14">
        <v>18.0</v>
      </c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</row>
    <row r="1603">
      <c r="A1603" s="14" t="s">
        <v>5946</v>
      </c>
      <c r="B1603" s="17" t="s">
        <v>5939</v>
      </c>
      <c r="C1603" s="17" t="s">
        <v>5947</v>
      </c>
      <c r="D1603" s="19" t="s">
        <v>5948</v>
      </c>
      <c r="E1603" s="20" t="s">
        <v>5271</v>
      </c>
      <c r="F1603" s="27">
        <v>28048.0</v>
      </c>
      <c r="G1603" s="14">
        <v>49.0</v>
      </c>
      <c r="H1603" s="23" t="s">
        <v>26</v>
      </c>
      <c r="I1603" s="24" t="s">
        <v>33</v>
      </c>
      <c r="J1603" s="19" t="s">
        <v>5942</v>
      </c>
      <c r="K1603" s="14">
        <v>18.0</v>
      </c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</row>
    <row r="1604">
      <c r="A1604" s="14" t="s">
        <v>5949</v>
      </c>
      <c r="B1604" s="17" t="s">
        <v>5950</v>
      </c>
      <c r="C1604" s="17" t="s">
        <v>5951</v>
      </c>
      <c r="D1604" s="19" t="s">
        <v>5952</v>
      </c>
      <c r="E1604" s="20" t="s">
        <v>654</v>
      </c>
      <c r="F1604" s="27">
        <v>15655.0</v>
      </c>
      <c r="G1604" s="14">
        <v>83.0</v>
      </c>
      <c r="H1604" s="23" t="s">
        <v>27</v>
      </c>
      <c r="I1604" s="24" t="s">
        <v>33</v>
      </c>
      <c r="J1604" s="19" t="s">
        <v>5953</v>
      </c>
      <c r="K1604" s="14">
        <v>17.0</v>
      </c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</row>
    <row r="1605">
      <c r="A1605" s="14" t="s">
        <v>5954</v>
      </c>
      <c r="B1605" s="17" t="s">
        <v>5955</v>
      </c>
      <c r="C1605" s="17" t="s">
        <v>5956</v>
      </c>
      <c r="D1605" s="19" t="s">
        <v>5957</v>
      </c>
      <c r="E1605" s="20" t="s">
        <v>104</v>
      </c>
      <c r="F1605" s="21">
        <v>29891.0</v>
      </c>
      <c r="G1605" s="14">
        <v>44.0</v>
      </c>
      <c r="H1605" s="23" t="s">
        <v>26</v>
      </c>
      <c r="I1605" s="24" t="s">
        <v>27</v>
      </c>
      <c r="J1605" s="19" t="s">
        <v>362</v>
      </c>
      <c r="K1605" s="14">
        <v>27.0</v>
      </c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</row>
    <row r="1606">
      <c r="A1606" s="14" t="s">
        <v>5958</v>
      </c>
      <c r="B1606" s="17" t="s">
        <v>5955</v>
      </c>
      <c r="C1606" s="17" t="s">
        <v>5959</v>
      </c>
      <c r="D1606" s="19" t="s">
        <v>5960</v>
      </c>
      <c r="E1606" s="20" t="s">
        <v>104</v>
      </c>
      <c r="F1606" s="21">
        <v>39284.0</v>
      </c>
      <c r="G1606" s="14">
        <v>19.0</v>
      </c>
      <c r="H1606" s="23" t="s">
        <v>100</v>
      </c>
      <c r="I1606" s="24" t="s">
        <v>33</v>
      </c>
      <c r="J1606" s="19" t="s">
        <v>362</v>
      </c>
      <c r="K1606" s="14">
        <v>27.0</v>
      </c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</row>
    <row r="1607">
      <c r="A1607" s="14" t="s">
        <v>5961</v>
      </c>
      <c r="B1607" s="17" t="s">
        <v>5955</v>
      </c>
      <c r="C1607" s="17" t="s">
        <v>5962</v>
      </c>
      <c r="D1607" s="19" t="s">
        <v>5963</v>
      </c>
      <c r="E1607" s="20" t="s">
        <v>104</v>
      </c>
      <c r="F1607" s="21">
        <v>29619.0</v>
      </c>
      <c r="G1607" s="14">
        <v>45.0</v>
      </c>
      <c r="H1607" s="23" t="s">
        <v>26</v>
      </c>
      <c r="I1607" s="24" t="s">
        <v>33</v>
      </c>
      <c r="J1607" s="19" t="s">
        <v>362</v>
      </c>
      <c r="K1607" s="14">
        <v>27.0</v>
      </c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</row>
    <row r="1608">
      <c r="A1608" s="14" t="s">
        <v>5964</v>
      </c>
      <c r="B1608" s="17" t="s">
        <v>5965</v>
      </c>
      <c r="C1608" s="17" t="s">
        <v>5966</v>
      </c>
      <c r="D1608" s="19" t="s">
        <v>5967</v>
      </c>
      <c r="E1608" s="20" t="s">
        <v>5968</v>
      </c>
      <c r="F1608" s="21">
        <v>37989.0</v>
      </c>
      <c r="G1608" s="14">
        <v>22.0</v>
      </c>
      <c r="H1608" s="23" t="s">
        <v>100</v>
      </c>
      <c r="I1608" s="24" t="s">
        <v>27</v>
      </c>
      <c r="J1608" s="19" t="s">
        <v>68</v>
      </c>
      <c r="K1608" s="14">
        <v>29.0</v>
      </c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</row>
    <row r="1609">
      <c r="A1609" s="14" t="s">
        <v>5969</v>
      </c>
      <c r="B1609" s="17" t="s">
        <v>5965</v>
      </c>
      <c r="C1609" s="17" t="s">
        <v>5970</v>
      </c>
      <c r="D1609" s="19" t="s">
        <v>5971</v>
      </c>
      <c r="E1609" s="20" t="s">
        <v>290</v>
      </c>
      <c r="F1609" s="21">
        <v>24511.0</v>
      </c>
      <c r="G1609" s="14">
        <v>59.0</v>
      </c>
      <c r="H1609" s="23" t="s">
        <v>26</v>
      </c>
      <c r="I1609" s="24" t="s">
        <v>33</v>
      </c>
      <c r="J1609" s="19" t="s">
        <v>68</v>
      </c>
      <c r="K1609" s="14">
        <v>29.0</v>
      </c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</row>
    <row r="1610">
      <c r="A1610" s="14" t="s">
        <v>5972</v>
      </c>
      <c r="B1610" s="17" t="s">
        <v>5965</v>
      </c>
      <c r="C1610" s="17" t="s">
        <v>5973</v>
      </c>
      <c r="D1610" s="19" t="s">
        <v>3818</v>
      </c>
      <c r="E1610" s="20" t="s">
        <v>4976</v>
      </c>
      <c r="F1610" s="21">
        <v>25822.0</v>
      </c>
      <c r="G1610" s="14">
        <v>55.0</v>
      </c>
      <c r="H1610" s="23" t="s">
        <v>26</v>
      </c>
      <c r="I1610" s="24" t="s">
        <v>27</v>
      </c>
      <c r="J1610" s="19" t="s">
        <v>68</v>
      </c>
      <c r="K1610" s="14">
        <v>29.0</v>
      </c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</row>
    <row r="1611">
      <c r="A1611" s="14" t="s">
        <v>5974</v>
      </c>
      <c r="B1611" s="17" t="s">
        <v>5975</v>
      </c>
      <c r="C1611" s="17" t="s">
        <v>5976</v>
      </c>
      <c r="D1611" s="19" t="s">
        <v>5977</v>
      </c>
      <c r="E1611" s="20" t="s">
        <v>53</v>
      </c>
      <c r="F1611" s="21">
        <v>31282.0</v>
      </c>
      <c r="G1611" s="14">
        <v>41.0</v>
      </c>
      <c r="H1611" s="23" t="s">
        <v>26</v>
      </c>
      <c r="I1611" s="24" t="s">
        <v>33</v>
      </c>
      <c r="J1611" s="19" t="s">
        <v>146</v>
      </c>
      <c r="K1611" s="14">
        <v>8.0</v>
      </c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</row>
    <row r="1612">
      <c r="A1612" s="14" t="s">
        <v>5978</v>
      </c>
      <c r="B1612" s="17" t="s">
        <v>5975</v>
      </c>
      <c r="C1612" s="17" t="s">
        <v>5979</v>
      </c>
      <c r="D1612" s="19" t="s">
        <v>5980</v>
      </c>
      <c r="E1612" s="20" t="s">
        <v>5981</v>
      </c>
      <c r="F1612" s="21">
        <v>32975.0</v>
      </c>
      <c r="G1612" s="14">
        <v>36.0</v>
      </c>
      <c r="H1612" s="23" t="s">
        <v>26</v>
      </c>
      <c r="I1612" s="24" t="s">
        <v>27</v>
      </c>
      <c r="J1612" s="19" t="s">
        <v>146</v>
      </c>
      <c r="K1612" s="14">
        <v>8.0</v>
      </c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</row>
    <row r="1613">
      <c r="A1613" s="14" t="s">
        <v>5982</v>
      </c>
      <c r="B1613" s="17" t="s">
        <v>5983</v>
      </c>
      <c r="C1613" s="17" t="s">
        <v>5984</v>
      </c>
      <c r="D1613" s="19" t="s">
        <v>5985</v>
      </c>
      <c r="E1613" s="20" t="s">
        <v>1846</v>
      </c>
      <c r="F1613" s="21">
        <v>30838.0</v>
      </c>
      <c r="G1613" s="14">
        <v>42.0</v>
      </c>
      <c r="H1613" s="23" t="s">
        <v>26</v>
      </c>
      <c r="I1613" s="24" t="s">
        <v>33</v>
      </c>
      <c r="J1613" s="19" t="s">
        <v>5770</v>
      </c>
      <c r="K1613" s="14">
        <v>25.0</v>
      </c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</row>
    <row r="1614">
      <c r="A1614" s="14" t="s">
        <v>5986</v>
      </c>
      <c r="B1614" s="17" t="s">
        <v>5983</v>
      </c>
      <c r="C1614" s="17" t="s">
        <v>5987</v>
      </c>
      <c r="D1614" s="19" t="s">
        <v>5988</v>
      </c>
      <c r="E1614" s="20" t="s">
        <v>104</v>
      </c>
      <c r="F1614" s="21">
        <v>39345.0</v>
      </c>
      <c r="G1614" s="14">
        <v>18.0</v>
      </c>
      <c r="H1614" s="23" t="s">
        <v>100</v>
      </c>
      <c r="I1614" s="24" t="s">
        <v>27</v>
      </c>
      <c r="J1614" s="19" t="s">
        <v>362</v>
      </c>
      <c r="K1614" s="14">
        <v>25.0</v>
      </c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</row>
    <row r="1615">
      <c r="A1615" s="14" t="s">
        <v>5989</v>
      </c>
      <c r="B1615" s="17" t="s">
        <v>5983</v>
      </c>
      <c r="C1615" s="17" t="s">
        <v>5990</v>
      </c>
      <c r="D1615" s="19" t="s">
        <v>5991</v>
      </c>
      <c r="E1615" s="20" t="s">
        <v>104</v>
      </c>
      <c r="F1615" s="27">
        <v>28818.0</v>
      </c>
      <c r="G1615" s="14">
        <v>47.0</v>
      </c>
      <c r="H1615" s="23" t="s">
        <v>26</v>
      </c>
      <c r="I1615" s="24" t="s">
        <v>27</v>
      </c>
      <c r="J1615" s="19" t="s">
        <v>362</v>
      </c>
      <c r="K1615" s="14">
        <v>25.0</v>
      </c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</row>
    <row r="1616">
      <c r="A1616" s="14" t="s">
        <v>5992</v>
      </c>
      <c r="B1616" s="17" t="s">
        <v>5983</v>
      </c>
      <c r="C1616" s="17" t="s">
        <v>5993</v>
      </c>
      <c r="D1616" s="19" t="s">
        <v>5994</v>
      </c>
      <c r="E1616" s="20" t="s">
        <v>104</v>
      </c>
      <c r="F1616" s="21">
        <v>37327.0</v>
      </c>
      <c r="G1616" s="14">
        <v>24.0</v>
      </c>
      <c r="H1616" s="23" t="s">
        <v>100</v>
      </c>
      <c r="I1616" s="24" t="s">
        <v>27</v>
      </c>
      <c r="J1616" s="19" t="s">
        <v>362</v>
      </c>
      <c r="K1616" s="14">
        <v>25.0</v>
      </c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</row>
    <row r="1617">
      <c r="A1617" s="14" t="s">
        <v>5995</v>
      </c>
      <c r="B1617" s="17" t="s">
        <v>5996</v>
      </c>
      <c r="C1617" s="17" t="s">
        <v>5997</v>
      </c>
      <c r="D1617" s="19" t="s">
        <v>5998</v>
      </c>
      <c r="E1617" s="20" t="s">
        <v>104</v>
      </c>
      <c r="F1617" s="21">
        <v>35622.0</v>
      </c>
      <c r="G1617" s="14">
        <v>29.0</v>
      </c>
      <c r="H1617" s="23" t="s">
        <v>26</v>
      </c>
      <c r="I1617" s="24" t="s">
        <v>33</v>
      </c>
      <c r="J1617" s="19" t="s">
        <v>53</v>
      </c>
      <c r="K1617" s="14">
        <v>25.0</v>
      </c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</row>
    <row r="1618">
      <c r="A1618" s="14" t="s">
        <v>5999</v>
      </c>
      <c r="B1618" s="17" t="s">
        <v>5996</v>
      </c>
      <c r="C1618" s="17" t="s">
        <v>6000</v>
      </c>
      <c r="D1618" s="19" t="s">
        <v>6001</v>
      </c>
      <c r="E1618" s="20" t="s">
        <v>6002</v>
      </c>
      <c r="F1618" s="21">
        <v>35529.0</v>
      </c>
      <c r="G1618" s="14">
        <v>29.0</v>
      </c>
      <c r="H1618" s="23" t="s">
        <v>26</v>
      </c>
      <c r="I1618" s="24" t="s">
        <v>27</v>
      </c>
      <c r="J1618" s="19" t="s">
        <v>53</v>
      </c>
      <c r="K1618" s="14">
        <v>25.0</v>
      </c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</row>
    <row r="1619">
      <c r="A1619" s="14" t="s">
        <v>6003</v>
      </c>
      <c r="B1619" s="17" t="s">
        <v>6004</v>
      </c>
      <c r="C1619" s="17" t="s">
        <v>6005</v>
      </c>
      <c r="D1619" s="19" t="s">
        <v>6006</v>
      </c>
      <c r="E1619" s="20" t="s">
        <v>104</v>
      </c>
      <c r="F1619" s="21">
        <v>38773.0</v>
      </c>
      <c r="G1619" s="14">
        <v>20.0</v>
      </c>
      <c r="H1619" s="23" t="s">
        <v>26</v>
      </c>
      <c r="I1619" s="24" t="s">
        <v>27</v>
      </c>
      <c r="J1619" s="19" t="s">
        <v>726</v>
      </c>
      <c r="K1619" s="14">
        <v>12.0</v>
      </c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</row>
    <row r="1620">
      <c r="A1620" s="14" t="s">
        <v>6007</v>
      </c>
      <c r="B1620" s="17" t="s">
        <v>6008</v>
      </c>
      <c r="C1620" s="17" t="s">
        <v>6009</v>
      </c>
      <c r="D1620" s="19" t="s">
        <v>6010</v>
      </c>
      <c r="E1620" s="20" t="s">
        <v>104</v>
      </c>
      <c r="F1620" s="21">
        <v>34509.0</v>
      </c>
      <c r="G1620" s="14">
        <v>32.0</v>
      </c>
      <c r="H1620" s="23" t="s">
        <v>100</v>
      </c>
      <c r="I1620" s="24" t="s">
        <v>33</v>
      </c>
      <c r="J1620" s="19" t="s">
        <v>53</v>
      </c>
      <c r="K1620" s="14">
        <v>10.0</v>
      </c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</row>
    <row r="1621">
      <c r="A1621" s="14" t="s">
        <v>6011</v>
      </c>
      <c r="B1621" s="17" t="s">
        <v>6012</v>
      </c>
      <c r="C1621" s="17" t="s">
        <v>6013</v>
      </c>
      <c r="D1621" s="19" t="s">
        <v>6014</v>
      </c>
      <c r="E1621" s="20" t="s">
        <v>104</v>
      </c>
      <c r="F1621" s="21">
        <v>29271.0</v>
      </c>
      <c r="G1621" s="14">
        <v>46.0</v>
      </c>
      <c r="H1621" s="23" t="s">
        <v>26</v>
      </c>
      <c r="I1621" s="24" t="s">
        <v>33</v>
      </c>
      <c r="J1621" s="19" t="s">
        <v>517</v>
      </c>
      <c r="K1621" s="14">
        <v>36.0</v>
      </c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</row>
    <row r="1622">
      <c r="A1622" s="14" t="s">
        <v>6015</v>
      </c>
      <c r="B1622" s="17" t="s">
        <v>6012</v>
      </c>
      <c r="C1622" s="17" t="s">
        <v>6016</v>
      </c>
      <c r="D1622" s="19" t="s">
        <v>6017</v>
      </c>
      <c r="E1622" s="20" t="s">
        <v>104</v>
      </c>
      <c r="F1622" s="21">
        <v>32010.0</v>
      </c>
      <c r="G1622" s="14">
        <v>39.0</v>
      </c>
      <c r="H1622" s="23" t="s">
        <v>26</v>
      </c>
      <c r="I1622" s="24" t="s">
        <v>27</v>
      </c>
      <c r="J1622" s="19" t="s">
        <v>517</v>
      </c>
      <c r="K1622" s="14">
        <v>36.0</v>
      </c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</row>
    <row r="1623">
      <c r="A1623" s="14" t="s">
        <v>6018</v>
      </c>
      <c r="B1623" s="17" t="s">
        <v>6019</v>
      </c>
      <c r="C1623" s="17" t="s">
        <v>6020</v>
      </c>
      <c r="D1623" s="19" t="s">
        <v>3756</v>
      </c>
      <c r="E1623" s="20" t="s">
        <v>624</v>
      </c>
      <c r="F1623" s="21">
        <v>23743.0</v>
      </c>
      <c r="G1623" s="14">
        <v>61.0</v>
      </c>
      <c r="H1623" s="23" t="s">
        <v>26</v>
      </c>
      <c r="I1623" s="24" t="s">
        <v>33</v>
      </c>
      <c r="J1623" s="19" t="s">
        <v>282</v>
      </c>
      <c r="K1623" s="14">
        <v>18.0</v>
      </c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</row>
    <row r="1624">
      <c r="A1624" s="14" t="s">
        <v>6021</v>
      </c>
      <c r="B1624" s="17" t="s">
        <v>6019</v>
      </c>
      <c r="C1624" s="17" t="s">
        <v>6022</v>
      </c>
      <c r="D1624" s="19" t="s">
        <v>6023</v>
      </c>
      <c r="E1624" s="20" t="s">
        <v>104</v>
      </c>
      <c r="F1624" s="21">
        <v>39097.0</v>
      </c>
      <c r="G1624" s="14">
        <v>19.0</v>
      </c>
      <c r="H1624" s="23" t="s">
        <v>100</v>
      </c>
      <c r="I1624" s="24" t="s">
        <v>33</v>
      </c>
      <c r="J1624" s="19" t="s">
        <v>282</v>
      </c>
      <c r="K1624" s="14">
        <v>18.0</v>
      </c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</row>
    <row r="1625">
      <c r="A1625" s="14" t="s">
        <v>6024</v>
      </c>
      <c r="B1625" s="17" t="s">
        <v>6019</v>
      </c>
      <c r="C1625" s="17" t="s">
        <v>6025</v>
      </c>
      <c r="D1625" s="19" t="s">
        <v>6026</v>
      </c>
      <c r="E1625" s="20" t="s">
        <v>337</v>
      </c>
      <c r="F1625" s="21">
        <v>36035.0</v>
      </c>
      <c r="G1625" s="14">
        <v>28.0</v>
      </c>
      <c r="H1625" s="23" t="s">
        <v>100</v>
      </c>
      <c r="I1625" s="24" t="s">
        <v>33</v>
      </c>
      <c r="J1625" s="19" t="s">
        <v>282</v>
      </c>
      <c r="K1625" s="14">
        <v>18.0</v>
      </c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</row>
    <row r="1626">
      <c r="A1626" s="14" t="s">
        <v>6027</v>
      </c>
      <c r="B1626" s="17" t="s">
        <v>6019</v>
      </c>
      <c r="C1626" s="17" t="s">
        <v>6028</v>
      </c>
      <c r="D1626" s="19" t="s">
        <v>6029</v>
      </c>
      <c r="E1626" s="20" t="s">
        <v>624</v>
      </c>
      <c r="F1626" s="21">
        <v>26790.0</v>
      </c>
      <c r="G1626" s="14">
        <v>53.0</v>
      </c>
      <c r="H1626" s="23" t="s">
        <v>26</v>
      </c>
      <c r="I1626" s="24" t="s">
        <v>27</v>
      </c>
      <c r="J1626" s="19" t="s">
        <v>282</v>
      </c>
      <c r="K1626" s="14">
        <v>18.0</v>
      </c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</row>
    <row r="1627">
      <c r="A1627" s="14" t="s">
        <v>6030</v>
      </c>
      <c r="B1627" s="17" t="s">
        <v>6031</v>
      </c>
      <c r="C1627" s="17" t="s">
        <v>6032</v>
      </c>
      <c r="D1627" s="19" t="s">
        <v>6033</v>
      </c>
      <c r="E1627" s="20" t="s">
        <v>138</v>
      </c>
      <c r="F1627" s="21">
        <v>36563.0</v>
      </c>
      <c r="G1627" s="14">
        <v>26.0</v>
      </c>
      <c r="H1627" s="23" t="s">
        <v>100</v>
      </c>
      <c r="I1627" s="24" t="s">
        <v>27</v>
      </c>
      <c r="J1627" s="19" t="s">
        <v>146</v>
      </c>
      <c r="K1627" s="14">
        <v>1.0</v>
      </c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</row>
    <row r="1628">
      <c r="A1628" s="14" t="s">
        <v>6034</v>
      </c>
      <c r="B1628" s="17" t="s">
        <v>6031</v>
      </c>
      <c r="C1628" s="17" t="s">
        <v>6035</v>
      </c>
      <c r="D1628" s="19" t="s">
        <v>6036</v>
      </c>
      <c r="E1628" s="20" t="s">
        <v>138</v>
      </c>
      <c r="F1628" s="21">
        <v>26153.0</v>
      </c>
      <c r="G1628" s="14">
        <v>55.0</v>
      </c>
      <c r="H1628" s="23" t="s">
        <v>26</v>
      </c>
      <c r="I1628" s="24" t="s">
        <v>33</v>
      </c>
      <c r="J1628" s="19" t="s">
        <v>146</v>
      </c>
      <c r="K1628" s="14">
        <v>1.0</v>
      </c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</row>
    <row r="1629">
      <c r="A1629" s="14" t="s">
        <v>6037</v>
      </c>
      <c r="B1629" s="17" t="s">
        <v>6031</v>
      </c>
      <c r="C1629" s="17" t="s">
        <v>6038</v>
      </c>
      <c r="D1629" s="19" t="s">
        <v>2360</v>
      </c>
      <c r="E1629" s="20" t="s">
        <v>434</v>
      </c>
      <c r="F1629" s="21">
        <v>26568.0</v>
      </c>
      <c r="G1629" s="14">
        <v>53.0</v>
      </c>
      <c r="H1629" s="23" t="s">
        <v>26</v>
      </c>
      <c r="I1629" s="24" t="s">
        <v>27</v>
      </c>
      <c r="J1629" s="19" t="s">
        <v>146</v>
      </c>
      <c r="K1629" s="14">
        <v>1.0</v>
      </c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</row>
    <row r="1630">
      <c r="A1630" s="14" t="s">
        <v>6039</v>
      </c>
      <c r="B1630" s="17" t="s">
        <v>6031</v>
      </c>
      <c r="C1630" s="17" t="s">
        <v>6040</v>
      </c>
      <c r="D1630" s="19" t="s">
        <v>6041</v>
      </c>
      <c r="E1630" s="20" t="s">
        <v>138</v>
      </c>
      <c r="F1630" s="21">
        <v>39297.0</v>
      </c>
      <c r="G1630" s="14">
        <v>19.0</v>
      </c>
      <c r="H1630" s="23" t="s">
        <v>100</v>
      </c>
      <c r="I1630" s="24" t="s">
        <v>33</v>
      </c>
      <c r="J1630" s="19" t="s">
        <v>146</v>
      </c>
      <c r="K1630" s="14">
        <v>1.0</v>
      </c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</row>
    <row r="1631">
      <c r="A1631" s="14" t="s">
        <v>6042</v>
      </c>
      <c r="B1631" s="17" t="s">
        <v>6043</v>
      </c>
      <c r="C1631" s="17" t="s">
        <v>6044</v>
      </c>
      <c r="D1631" s="19" t="s">
        <v>879</v>
      </c>
      <c r="E1631" s="20" t="s">
        <v>104</v>
      </c>
      <c r="F1631" s="21">
        <v>27918.0</v>
      </c>
      <c r="G1631" s="14">
        <v>50.0</v>
      </c>
      <c r="H1631" s="23" t="s">
        <v>26</v>
      </c>
      <c r="I1631" s="24" t="s">
        <v>33</v>
      </c>
      <c r="J1631" s="19" t="s">
        <v>328</v>
      </c>
      <c r="K1631" s="14">
        <v>24.0</v>
      </c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</row>
    <row r="1632">
      <c r="A1632" s="14" t="s">
        <v>6045</v>
      </c>
      <c r="B1632" s="17" t="s">
        <v>6043</v>
      </c>
      <c r="C1632" s="17" t="s">
        <v>6046</v>
      </c>
      <c r="D1632" s="19" t="s">
        <v>6047</v>
      </c>
      <c r="E1632" s="20" t="s">
        <v>6048</v>
      </c>
      <c r="F1632" s="21">
        <v>30869.0</v>
      </c>
      <c r="G1632" s="14">
        <v>42.0</v>
      </c>
      <c r="H1632" s="23" t="s">
        <v>26</v>
      </c>
      <c r="I1632" s="24" t="s">
        <v>27</v>
      </c>
      <c r="J1632" s="19" t="s">
        <v>328</v>
      </c>
      <c r="K1632" s="14">
        <v>24.0</v>
      </c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</row>
    <row r="1633">
      <c r="A1633" s="14" t="s">
        <v>6049</v>
      </c>
      <c r="B1633" s="17" t="s">
        <v>6043</v>
      </c>
      <c r="C1633" s="17" t="s">
        <v>6050</v>
      </c>
      <c r="D1633" s="19" t="s">
        <v>6051</v>
      </c>
      <c r="E1633" s="20" t="s">
        <v>104</v>
      </c>
      <c r="F1633" s="21">
        <v>37375.0</v>
      </c>
      <c r="G1633" s="14">
        <v>24.0</v>
      </c>
      <c r="H1633" s="23" t="s">
        <v>100</v>
      </c>
      <c r="I1633" s="24" t="s">
        <v>27</v>
      </c>
      <c r="J1633" s="19" t="s">
        <v>328</v>
      </c>
      <c r="K1633" s="14">
        <v>24.0</v>
      </c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</row>
    <row r="1634">
      <c r="A1634" s="14" t="s">
        <v>6052</v>
      </c>
      <c r="B1634" s="17" t="s">
        <v>6053</v>
      </c>
      <c r="C1634" s="17" t="s">
        <v>6054</v>
      </c>
      <c r="D1634" s="19" t="s">
        <v>6055</v>
      </c>
      <c r="E1634" s="20" t="s">
        <v>104</v>
      </c>
      <c r="F1634" s="21">
        <v>38391.0</v>
      </c>
      <c r="G1634" s="14">
        <v>21.0</v>
      </c>
      <c r="H1634" s="23" t="s">
        <v>100</v>
      </c>
      <c r="I1634" s="24" t="s">
        <v>33</v>
      </c>
      <c r="J1634" s="19" t="s">
        <v>39</v>
      </c>
      <c r="K1634" s="14">
        <v>16.0</v>
      </c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</row>
    <row r="1635">
      <c r="A1635" s="14" t="s">
        <v>6056</v>
      </c>
      <c r="B1635" s="17" t="s">
        <v>6053</v>
      </c>
      <c r="C1635" s="17" t="s">
        <v>6057</v>
      </c>
      <c r="D1635" s="19" t="s">
        <v>6058</v>
      </c>
      <c r="E1635" s="20" t="s">
        <v>104</v>
      </c>
      <c r="F1635" s="21">
        <v>30409.0</v>
      </c>
      <c r="G1635" s="14">
        <v>43.0</v>
      </c>
      <c r="H1635" s="23" t="s">
        <v>26</v>
      </c>
      <c r="I1635" s="24" t="s">
        <v>33</v>
      </c>
      <c r="J1635" s="19" t="s">
        <v>39</v>
      </c>
      <c r="K1635" s="14">
        <v>16.0</v>
      </c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</row>
    <row r="1636">
      <c r="A1636" s="14" t="s">
        <v>6059</v>
      </c>
      <c r="B1636" s="17" t="s">
        <v>6053</v>
      </c>
      <c r="C1636" s="17" t="s">
        <v>6060</v>
      </c>
      <c r="D1636" s="19" t="s">
        <v>6061</v>
      </c>
      <c r="E1636" s="20" t="s">
        <v>104</v>
      </c>
      <c r="F1636" s="27">
        <v>32092.0</v>
      </c>
      <c r="G1636" s="14">
        <v>38.0</v>
      </c>
      <c r="H1636" s="23" t="s">
        <v>26</v>
      </c>
      <c r="I1636" s="24" t="s">
        <v>27</v>
      </c>
      <c r="J1636" s="19" t="s">
        <v>39</v>
      </c>
      <c r="K1636" s="14">
        <v>16.0</v>
      </c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</row>
    <row r="1637">
      <c r="A1637" s="14" t="s">
        <v>6062</v>
      </c>
      <c r="B1637" s="17" t="s">
        <v>6063</v>
      </c>
      <c r="C1637" s="17" t="s">
        <v>6064</v>
      </c>
      <c r="D1637" s="19" t="s">
        <v>6065</v>
      </c>
      <c r="E1637" s="20" t="s">
        <v>104</v>
      </c>
      <c r="F1637" s="21">
        <v>29412.0</v>
      </c>
      <c r="G1637" s="14">
        <v>46.0</v>
      </c>
      <c r="H1637" s="23" t="s">
        <v>27</v>
      </c>
      <c r="I1637" s="24" t="s">
        <v>33</v>
      </c>
      <c r="J1637" s="19" t="s">
        <v>68</v>
      </c>
      <c r="K1637" s="14">
        <v>30.0</v>
      </c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</row>
    <row r="1638">
      <c r="A1638" s="14" t="s">
        <v>6066</v>
      </c>
      <c r="B1638" s="17" t="s">
        <v>6067</v>
      </c>
      <c r="C1638" s="17" t="s">
        <v>6068</v>
      </c>
      <c r="D1638" s="19" t="s">
        <v>6069</v>
      </c>
      <c r="E1638" s="20" t="s">
        <v>671</v>
      </c>
      <c r="F1638" s="21">
        <v>29015.0</v>
      </c>
      <c r="G1638" s="14">
        <v>47.0</v>
      </c>
      <c r="H1638" s="23" t="s">
        <v>26</v>
      </c>
      <c r="I1638" s="24" t="s">
        <v>33</v>
      </c>
      <c r="J1638" s="19" t="s">
        <v>726</v>
      </c>
      <c r="K1638" s="14">
        <v>11.0</v>
      </c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</row>
    <row r="1639">
      <c r="A1639" s="14" t="s">
        <v>6070</v>
      </c>
      <c r="B1639" s="17" t="s">
        <v>6067</v>
      </c>
      <c r="C1639" s="17" t="s">
        <v>6071</v>
      </c>
      <c r="D1639" s="19" t="s">
        <v>6072</v>
      </c>
      <c r="E1639" s="20" t="s">
        <v>6073</v>
      </c>
      <c r="F1639" s="27">
        <v>29200.0</v>
      </c>
      <c r="G1639" s="14">
        <v>46.0</v>
      </c>
      <c r="H1639" s="23" t="s">
        <v>26</v>
      </c>
      <c r="I1639" s="24" t="s">
        <v>27</v>
      </c>
      <c r="J1639" s="19" t="s">
        <v>726</v>
      </c>
      <c r="K1639" s="14">
        <v>11.0</v>
      </c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</row>
    <row r="1640">
      <c r="A1640" s="14" t="s">
        <v>6074</v>
      </c>
      <c r="B1640" s="17" t="s">
        <v>6075</v>
      </c>
      <c r="C1640" s="17" t="s">
        <v>6076</v>
      </c>
      <c r="D1640" s="19" t="s">
        <v>6077</v>
      </c>
      <c r="E1640" s="20" t="s">
        <v>138</v>
      </c>
      <c r="F1640" s="21">
        <v>38962.0</v>
      </c>
      <c r="G1640" s="14">
        <v>19.0</v>
      </c>
      <c r="H1640" s="23" t="s">
        <v>100</v>
      </c>
      <c r="I1640" s="24" t="s">
        <v>27</v>
      </c>
      <c r="J1640" s="19" t="s">
        <v>328</v>
      </c>
      <c r="K1640" s="14">
        <v>24.0</v>
      </c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</row>
    <row r="1641">
      <c r="A1641" s="14" t="s">
        <v>6078</v>
      </c>
      <c r="B1641" s="17" t="s">
        <v>6075</v>
      </c>
      <c r="C1641" s="17" t="s">
        <v>6079</v>
      </c>
      <c r="D1641" s="19" t="s">
        <v>6080</v>
      </c>
      <c r="E1641" s="20" t="s">
        <v>6081</v>
      </c>
      <c r="F1641" s="21">
        <v>28285.0</v>
      </c>
      <c r="G1641" s="14">
        <v>49.0</v>
      </c>
      <c r="H1641" s="23" t="s">
        <v>26</v>
      </c>
      <c r="I1641" s="24" t="s">
        <v>27</v>
      </c>
      <c r="J1641" s="19" t="s">
        <v>328</v>
      </c>
      <c r="K1641" s="14">
        <v>24.0</v>
      </c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</row>
    <row r="1642">
      <c r="A1642" s="14" t="s">
        <v>6082</v>
      </c>
      <c r="B1642" s="17" t="s">
        <v>6075</v>
      </c>
      <c r="C1642" s="17" t="s">
        <v>6083</v>
      </c>
      <c r="D1642" s="19" t="s">
        <v>6084</v>
      </c>
      <c r="E1642" s="20" t="s">
        <v>104</v>
      </c>
      <c r="F1642" s="27">
        <v>28839.0</v>
      </c>
      <c r="G1642" s="14">
        <v>47.0</v>
      </c>
      <c r="H1642" s="23" t="s">
        <v>26</v>
      </c>
      <c r="I1642" s="24" t="s">
        <v>33</v>
      </c>
      <c r="J1642" s="19" t="s">
        <v>328</v>
      </c>
      <c r="K1642" s="14">
        <v>24.0</v>
      </c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</row>
    <row r="1643">
      <c r="A1643" s="14" t="s">
        <v>6085</v>
      </c>
      <c r="B1643" s="17" t="s">
        <v>1421</v>
      </c>
      <c r="C1643" s="17" t="s">
        <v>6086</v>
      </c>
      <c r="D1643" s="19" t="s">
        <v>6087</v>
      </c>
      <c r="E1643" s="20" t="s">
        <v>6088</v>
      </c>
      <c r="F1643" s="21">
        <v>32935.0</v>
      </c>
      <c r="G1643" s="14">
        <v>36.0</v>
      </c>
      <c r="H1643" s="23" t="s">
        <v>26</v>
      </c>
      <c r="I1643" s="24" t="s">
        <v>27</v>
      </c>
      <c r="J1643" s="19" t="s">
        <v>68</v>
      </c>
      <c r="K1643" s="14">
        <v>34.0</v>
      </c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</row>
    <row r="1644">
      <c r="A1644" s="14" t="s">
        <v>6089</v>
      </c>
      <c r="B1644" s="17" t="s">
        <v>1421</v>
      </c>
      <c r="C1644" s="17" t="s">
        <v>6090</v>
      </c>
      <c r="D1644" s="19" t="s">
        <v>6091</v>
      </c>
      <c r="E1644" s="20" t="s">
        <v>53</v>
      </c>
      <c r="F1644" s="21">
        <v>32025.0</v>
      </c>
      <c r="G1644" s="14">
        <v>38.0</v>
      </c>
      <c r="H1644" s="23" t="s">
        <v>26</v>
      </c>
      <c r="I1644" s="24" t="s">
        <v>33</v>
      </c>
      <c r="J1644" s="19" t="s">
        <v>68</v>
      </c>
      <c r="K1644" s="14">
        <v>34.0</v>
      </c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</row>
    <row r="1645">
      <c r="A1645" s="14" t="s">
        <v>6092</v>
      </c>
      <c r="B1645" s="17" t="s">
        <v>6093</v>
      </c>
      <c r="C1645" s="17" t="s">
        <v>6094</v>
      </c>
      <c r="D1645" s="19" t="s">
        <v>6095</v>
      </c>
      <c r="E1645" s="20" t="s">
        <v>53</v>
      </c>
      <c r="F1645" s="21">
        <v>36062.0</v>
      </c>
      <c r="G1645" s="14">
        <v>27.0</v>
      </c>
      <c r="H1645" s="23" t="s">
        <v>100</v>
      </c>
      <c r="I1645" s="24" t="s">
        <v>33</v>
      </c>
      <c r="J1645" s="19" t="s">
        <v>68</v>
      </c>
      <c r="K1645" s="14">
        <v>30.0</v>
      </c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</row>
    <row r="1646">
      <c r="A1646" s="14" t="s">
        <v>6096</v>
      </c>
      <c r="B1646" s="17" t="s">
        <v>6093</v>
      </c>
      <c r="C1646" s="17" t="s">
        <v>6097</v>
      </c>
      <c r="D1646" s="19" t="s">
        <v>6098</v>
      </c>
      <c r="E1646" s="20" t="s">
        <v>138</v>
      </c>
      <c r="F1646" s="27">
        <v>38673.0</v>
      </c>
      <c r="G1646" s="14">
        <v>20.0</v>
      </c>
      <c r="H1646" s="23" t="s">
        <v>100</v>
      </c>
      <c r="I1646" s="24" t="s">
        <v>27</v>
      </c>
      <c r="J1646" s="19" t="s">
        <v>68</v>
      </c>
      <c r="K1646" s="14">
        <v>30.0</v>
      </c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</row>
    <row r="1647">
      <c r="A1647" s="14" t="s">
        <v>6099</v>
      </c>
      <c r="B1647" s="17" t="s">
        <v>6093</v>
      </c>
      <c r="C1647" s="17" t="s">
        <v>6100</v>
      </c>
      <c r="D1647" s="19" t="s">
        <v>6101</v>
      </c>
      <c r="E1647" s="20" t="s">
        <v>6102</v>
      </c>
      <c r="F1647" s="21">
        <v>27885.0</v>
      </c>
      <c r="G1647" s="14">
        <v>50.0</v>
      </c>
      <c r="H1647" s="23" t="s">
        <v>26</v>
      </c>
      <c r="I1647" s="24" t="s">
        <v>33</v>
      </c>
      <c r="J1647" s="19" t="s">
        <v>68</v>
      </c>
      <c r="K1647" s="14">
        <v>30.0</v>
      </c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</row>
    <row r="1648">
      <c r="A1648" s="14" t="s">
        <v>6103</v>
      </c>
      <c r="B1648" s="17" t="s">
        <v>6093</v>
      </c>
      <c r="C1648" s="17" t="s">
        <v>6104</v>
      </c>
      <c r="D1648" s="19" t="s">
        <v>6105</v>
      </c>
      <c r="E1648" s="20" t="s">
        <v>2672</v>
      </c>
      <c r="F1648" s="21">
        <v>27760.0</v>
      </c>
      <c r="G1648" s="14">
        <v>50.0</v>
      </c>
      <c r="H1648" s="23" t="s">
        <v>26</v>
      </c>
      <c r="I1648" s="24" t="s">
        <v>27</v>
      </c>
      <c r="J1648" s="19" t="s">
        <v>68</v>
      </c>
      <c r="K1648" s="14">
        <v>30.0</v>
      </c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</row>
    <row r="1649">
      <c r="A1649" s="14" t="s">
        <v>6106</v>
      </c>
      <c r="B1649" s="17" t="s">
        <v>6107</v>
      </c>
      <c r="C1649" s="17" t="s">
        <v>6108</v>
      </c>
      <c r="D1649" s="19" t="s">
        <v>6109</v>
      </c>
      <c r="E1649" s="20" t="s">
        <v>2505</v>
      </c>
      <c r="F1649" s="21">
        <v>30558.0</v>
      </c>
      <c r="G1649" s="14">
        <v>43.0</v>
      </c>
      <c r="H1649" s="23" t="s">
        <v>26</v>
      </c>
      <c r="I1649" s="24" t="s">
        <v>27</v>
      </c>
      <c r="J1649" s="19" t="s">
        <v>362</v>
      </c>
      <c r="K1649" s="14">
        <v>24.0</v>
      </c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</row>
    <row r="1650">
      <c r="A1650" s="14" t="s">
        <v>6110</v>
      </c>
      <c r="B1650" s="17" t="s">
        <v>6107</v>
      </c>
      <c r="C1650" s="17" t="s">
        <v>6111</v>
      </c>
      <c r="D1650" s="19" t="s">
        <v>6112</v>
      </c>
      <c r="E1650" s="20" t="s">
        <v>274</v>
      </c>
      <c r="F1650" s="21">
        <v>30042.0</v>
      </c>
      <c r="G1650" s="14">
        <v>44.0</v>
      </c>
      <c r="H1650" s="23" t="s">
        <v>26</v>
      </c>
      <c r="I1650" s="24" t="s">
        <v>33</v>
      </c>
      <c r="J1650" s="19" t="s">
        <v>362</v>
      </c>
      <c r="K1650" s="14">
        <v>24.0</v>
      </c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</row>
    <row r="1651">
      <c r="A1651" s="14" t="s">
        <v>6113</v>
      </c>
      <c r="B1651" s="17" t="s">
        <v>6114</v>
      </c>
      <c r="C1651" s="17" t="s">
        <v>6115</v>
      </c>
      <c r="D1651" s="19" t="s">
        <v>6116</v>
      </c>
      <c r="E1651" s="20" t="s">
        <v>6117</v>
      </c>
      <c r="F1651" s="27">
        <v>19704.0</v>
      </c>
      <c r="G1651" s="14">
        <v>72.0</v>
      </c>
      <c r="H1651" s="23" t="s">
        <v>27</v>
      </c>
      <c r="I1651" s="24" t="s">
        <v>27</v>
      </c>
      <c r="J1651" s="19" t="s">
        <v>68</v>
      </c>
      <c r="K1651" s="14">
        <v>20.0</v>
      </c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</row>
    <row r="1652">
      <c r="A1652" s="14" t="s">
        <v>6118</v>
      </c>
      <c r="B1652" s="17" t="s">
        <v>6119</v>
      </c>
      <c r="C1652" s="17" t="s">
        <v>6120</v>
      </c>
      <c r="D1652" s="19" t="s">
        <v>6121</v>
      </c>
      <c r="E1652" s="20" t="s">
        <v>880</v>
      </c>
      <c r="F1652" s="21">
        <v>17293.0</v>
      </c>
      <c r="G1652" s="14">
        <v>79.0</v>
      </c>
      <c r="H1652" s="23" t="s">
        <v>26</v>
      </c>
      <c r="I1652" s="24" t="s">
        <v>33</v>
      </c>
      <c r="J1652" s="19" t="s">
        <v>328</v>
      </c>
      <c r="K1652" s="14">
        <v>25.0</v>
      </c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</row>
    <row r="1653">
      <c r="A1653" s="14" t="s">
        <v>6122</v>
      </c>
      <c r="B1653" s="17" t="s">
        <v>6119</v>
      </c>
      <c r="C1653" s="17" t="s">
        <v>6123</v>
      </c>
      <c r="D1653" s="19" t="s">
        <v>5299</v>
      </c>
      <c r="E1653" s="20" t="s">
        <v>1058</v>
      </c>
      <c r="F1653" s="21">
        <v>24159.0</v>
      </c>
      <c r="G1653" s="14">
        <v>60.0</v>
      </c>
      <c r="H1653" s="23" t="s">
        <v>26</v>
      </c>
      <c r="I1653" s="24" t="s">
        <v>27</v>
      </c>
      <c r="J1653" s="19" t="s">
        <v>328</v>
      </c>
      <c r="K1653" s="14">
        <v>25.0</v>
      </c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</row>
    <row r="1654">
      <c r="A1654" s="14" t="s">
        <v>6124</v>
      </c>
      <c r="B1654" s="17" t="s">
        <v>6125</v>
      </c>
      <c r="C1654" s="17" t="s">
        <v>6126</v>
      </c>
      <c r="D1654" s="19" t="s">
        <v>6127</v>
      </c>
      <c r="E1654" s="20" t="s">
        <v>4652</v>
      </c>
      <c r="F1654" s="21">
        <v>28198.0</v>
      </c>
      <c r="G1654" s="14">
        <v>49.0</v>
      </c>
      <c r="H1654" s="23" t="s">
        <v>27</v>
      </c>
      <c r="I1654" s="24" t="s">
        <v>33</v>
      </c>
      <c r="J1654" s="19" t="s">
        <v>726</v>
      </c>
      <c r="K1654" s="14">
        <v>17.0</v>
      </c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</row>
    <row r="1655">
      <c r="A1655" s="14" t="s">
        <v>6128</v>
      </c>
      <c r="B1655" s="17" t="s">
        <v>6129</v>
      </c>
      <c r="C1655" s="17" t="s">
        <v>6130</v>
      </c>
      <c r="D1655" s="19" t="s">
        <v>6131</v>
      </c>
      <c r="E1655" s="20" t="s">
        <v>104</v>
      </c>
      <c r="F1655" s="21">
        <v>37779.0</v>
      </c>
      <c r="G1655" s="14">
        <v>23.0</v>
      </c>
      <c r="H1655" s="23" t="s">
        <v>100</v>
      </c>
      <c r="I1655" s="24" t="s">
        <v>33</v>
      </c>
      <c r="J1655" s="19" t="s">
        <v>68</v>
      </c>
      <c r="K1655" s="14">
        <v>34.0</v>
      </c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</row>
    <row r="1656">
      <c r="A1656" s="14" t="s">
        <v>6132</v>
      </c>
      <c r="B1656" s="17" t="s">
        <v>6129</v>
      </c>
      <c r="C1656" s="17" t="s">
        <v>6133</v>
      </c>
      <c r="D1656" s="19" t="s">
        <v>6134</v>
      </c>
      <c r="E1656" s="20" t="s">
        <v>104</v>
      </c>
      <c r="F1656" s="21">
        <v>35212.0</v>
      </c>
      <c r="G1656" s="14">
        <v>30.0</v>
      </c>
      <c r="H1656" s="23" t="s">
        <v>100</v>
      </c>
      <c r="I1656" s="24" t="s">
        <v>33</v>
      </c>
      <c r="J1656" s="19" t="s">
        <v>68</v>
      </c>
      <c r="K1656" s="14">
        <v>34.0</v>
      </c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</row>
    <row r="1657">
      <c r="A1657" s="14" t="s">
        <v>6135</v>
      </c>
      <c r="B1657" s="17" t="s">
        <v>6129</v>
      </c>
      <c r="C1657" s="17" t="s">
        <v>6136</v>
      </c>
      <c r="D1657" s="19" t="s">
        <v>6137</v>
      </c>
      <c r="E1657" s="20" t="s">
        <v>1291</v>
      </c>
      <c r="F1657" s="21">
        <v>19826.0</v>
      </c>
      <c r="G1657" s="14">
        <v>72.0</v>
      </c>
      <c r="H1657" s="23" t="s">
        <v>26</v>
      </c>
      <c r="I1657" s="24" t="s">
        <v>33</v>
      </c>
      <c r="J1657" s="19" t="s">
        <v>68</v>
      </c>
      <c r="K1657" s="14">
        <v>34.0</v>
      </c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</row>
    <row r="1658">
      <c r="A1658" s="14" t="s">
        <v>6138</v>
      </c>
      <c r="B1658" s="17" t="s">
        <v>6129</v>
      </c>
      <c r="C1658" s="17" t="s">
        <v>6139</v>
      </c>
      <c r="D1658" s="19" t="s">
        <v>6140</v>
      </c>
      <c r="E1658" s="20" t="s">
        <v>1291</v>
      </c>
      <c r="F1658" s="21">
        <v>24701.0</v>
      </c>
      <c r="G1658" s="14">
        <v>59.0</v>
      </c>
      <c r="H1658" s="23" t="s">
        <v>26</v>
      </c>
      <c r="I1658" s="24" t="s">
        <v>27</v>
      </c>
      <c r="J1658" s="19" t="s">
        <v>68</v>
      </c>
      <c r="K1658" s="14">
        <v>34.0</v>
      </c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</row>
    <row r="1659">
      <c r="A1659" s="14" t="s">
        <v>6141</v>
      </c>
      <c r="B1659" s="17" t="s">
        <v>6142</v>
      </c>
      <c r="C1659" s="17" t="s">
        <v>6143</v>
      </c>
      <c r="D1659" s="19" t="s">
        <v>6144</v>
      </c>
      <c r="E1659" s="20" t="s">
        <v>231</v>
      </c>
      <c r="F1659" s="27">
        <v>35384.0</v>
      </c>
      <c r="G1659" s="14">
        <v>29.0</v>
      </c>
      <c r="H1659" s="23" t="s">
        <v>26</v>
      </c>
      <c r="I1659" s="24" t="s">
        <v>33</v>
      </c>
      <c r="J1659" s="19" t="s">
        <v>68</v>
      </c>
      <c r="K1659" s="14">
        <v>34.0</v>
      </c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</row>
    <row r="1660">
      <c r="A1660" s="14" t="s">
        <v>6145</v>
      </c>
      <c r="B1660" s="17" t="s">
        <v>6142</v>
      </c>
      <c r="C1660" s="17" t="s">
        <v>6146</v>
      </c>
      <c r="D1660" s="19" t="s">
        <v>6147</v>
      </c>
      <c r="E1660" s="20" t="s">
        <v>6148</v>
      </c>
      <c r="F1660" s="21">
        <v>36323.0</v>
      </c>
      <c r="G1660" s="14">
        <v>27.0</v>
      </c>
      <c r="H1660" s="23" t="s">
        <v>26</v>
      </c>
      <c r="I1660" s="24" t="s">
        <v>27</v>
      </c>
      <c r="J1660" s="19" t="s">
        <v>68</v>
      </c>
      <c r="K1660" s="14">
        <v>34.0</v>
      </c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</row>
    <row r="1661">
      <c r="A1661" s="14" t="s">
        <v>6149</v>
      </c>
      <c r="B1661" s="17" t="s">
        <v>6150</v>
      </c>
      <c r="C1661" s="17" t="s">
        <v>6151</v>
      </c>
      <c r="D1661" s="19" t="s">
        <v>6152</v>
      </c>
      <c r="E1661" s="20" t="s">
        <v>219</v>
      </c>
      <c r="F1661" s="21">
        <v>31857.0</v>
      </c>
      <c r="G1661" s="14">
        <v>39.0</v>
      </c>
      <c r="H1661" s="23" t="s">
        <v>26</v>
      </c>
      <c r="I1661" s="24" t="s">
        <v>33</v>
      </c>
      <c r="J1661" s="19" t="s">
        <v>446</v>
      </c>
      <c r="K1661" s="14">
        <v>33.0</v>
      </c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</row>
    <row r="1662">
      <c r="A1662" s="14" t="s">
        <v>6153</v>
      </c>
      <c r="B1662" s="17" t="s">
        <v>6150</v>
      </c>
      <c r="C1662" s="17" t="s">
        <v>6154</v>
      </c>
      <c r="D1662" s="19" t="s">
        <v>6155</v>
      </c>
      <c r="E1662" s="20" t="s">
        <v>4915</v>
      </c>
      <c r="F1662" s="21">
        <v>32239.0</v>
      </c>
      <c r="G1662" s="14">
        <v>38.0</v>
      </c>
      <c r="H1662" s="23" t="s">
        <v>26</v>
      </c>
      <c r="I1662" s="24" t="s">
        <v>27</v>
      </c>
      <c r="J1662" s="19" t="s">
        <v>446</v>
      </c>
      <c r="K1662" s="14">
        <v>33.0</v>
      </c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</row>
    <row r="1663">
      <c r="A1663" s="14" t="s">
        <v>6156</v>
      </c>
      <c r="B1663" s="17" t="s">
        <v>6157</v>
      </c>
      <c r="C1663" s="17" t="s">
        <v>6158</v>
      </c>
      <c r="D1663" s="19" t="s">
        <v>6159</v>
      </c>
      <c r="E1663" s="20" t="s">
        <v>195</v>
      </c>
      <c r="F1663" s="21">
        <v>37408.0</v>
      </c>
      <c r="G1663" s="14">
        <v>24.0</v>
      </c>
      <c r="H1663" s="23" t="s">
        <v>26</v>
      </c>
      <c r="I1663" s="24" t="s">
        <v>27</v>
      </c>
      <c r="J1663" s="19" t="s">
        <v>53</v>
      </c>
      <c r="K1663" s="14">
        <v>3.0</v>
      </c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</row>
    <row r="1664">
      <c r="A1664" s="14" t="s">
        <v>6160</v>
      </c>
      <c r="B1664" s="17" t="s">
        <v>6157</v>
      </c>
      <c r="C1664" s="17" t="s">
        <v>6161</v>
      </c>
      <c r="D1664" s="19" t="s">
        <v>6162</v>
      </c>
      <c r="E1664" s="20" t="s">
        <v>104</v>
      </c>
      <c r="F1664" s="21">
        <v>35146.0</v>
      </c>
      <c r="G1664" s="14">
        <v>30.0</v>
      </c>
      <c r="H1664" s="23" t="s">
        <v>26</v>
      </c>
      <c r="I1664" s="24" t="s">
        <v>33</v>
      </c>
      <c r="J1664" s="19" t="s">
        <v>53</v>
      </c>
      <c r="K1664" s="14">
        <v>3.0</v>
      </c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</row>
    <row r="1665">
      <c r="A1665" s="14" t="s">
        <v>6163</v>
      </c>
      <c r="B1665" s="17" t="s">
        <v>6164</v>
      </c>
      <c r="C1665" s="17" t="s">
        <v>6165</v>
      </c>
      <c r="D1665" s="19" t="s">
        <v>6166</v>
      </c>
      <c r="E1665" s="20" t="s">
        <v>104</v>
      </c>
      <c r="F1665" s="21">
        <v>36867.0</v>
      </c>
      <c r="G1665" s="14">
        <v>25.0</v>
      </c>
      <c r="H1665" s="23" t="s">
        <v>27</v>
      </c>
      <c r="I1665" s="24" t="s">
        <v>27</v>
      </c>
      <c r="J1665" s="19" t="s">
        <v>146</v>
      </c>
      <c r="K1665" s="14">
        <v>10.0</v>
      </c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</row>
    <row r="1666">
      <c r="A1666" s="14" t="s">
        <v>6168</v>
      </c>
      <c r="B1666" s="17" t="s">
        <v>6169</v>
      </c>
      <c r="C1666" s="17" t="s">
        <v>6170</v>
      </c>
      <c r="D1666" s="19" t="s">
        <v>6171</v>
      </c>
      <c r="E1666" s="20" t="s">
        <v>632</v>
      </c>
      <c r="F1666" s="21">
        <v>23996.0</v>
      </c>
      <c r="G1666" s="14">
        <v>60.0</v>
      </c>
      <c r="H1666" s="23" t="s">
        <v>26</v>
      </c>
      <c r="I1666" s="24" t="s">
        <v>27</v>
      </c>
      <c r="J1666" s="19" t="s">
        <v>328</v>
      </c>
      <c r="K1666" s="14">
        <v>21.0</v>
      </c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</row>
    <row r="1667">
      <c r="A1667" s="14" t="s">
        <v>6172</v>
      </c>
      <c r="B1667" s="17" t="s">
        <v>6169</v>
      </c>
      <c r="C1667" s="17" t="s">
        <v>6173</v>
      </c>
      <c r="D1667" s="19" t="s">
        <v>6174</v>
      </c>
      <c r="E1667" s="20" t="s">
        <v>104</v>
      </c>
      <c r="F1667" s="21">
        <v>37047.0</v>
      </c>
      <c r="G1667" s="14">
        <v>25.0</v>
      </c>
      <c r="H1667" s="23" t="s">
        <v>100</v>
      </c>
      <c r="I1667" s="24" t="s">
        <v>33</v>
      </c>
      <c r="J1667" s="19" t="s">
        <v>328</v>
      </c>
      <c r="K1667" s="14">
        <v>21.0</v>
      </c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</row>
    <row r="1668">
      <c r="A1668" s="14" t="s">
        <v>6175</v>
      </c>
      <c r="B1668" s="17" t="s">
        <v>6169</v>
      </c>
      <c r="C1668" s="17" t="s">
        <v>6176</v>
      </c>
      <c r="D1668" s="19" t="s">
        <v>6177</v>
      </c>
      <c r="E1668" s="20" t="s">
        <v>1291</v>
      </c>
      <c r="F1668" s="21">
        <v>21495.0</v>
      </c>
      <c r="G1668" s="14">
        <v>67.0</v>
      </c>
      <c r="H1668" s="23" t="s">
        <v>26</v>
      </c>
      <c r="I1668" s="24" t="s">
        <v>33</v>
      </c>
      <c r="J1668" s="19" t="s">
        <v>328</v>
      </c>
      <c r="K1668" s="14">
        <v>21.0</v>
      </c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</row>
    <row r="1669">
      <c r="A1669" s="14" t="s">
        <v>6178</v>
      </c>
      <c r="B1669" s="17" t="s">
        <v>6179</v>
      </c>
      <c r="C1669" s="17" t="s">
        <v>6180</v>
      </c>
      <c r="D1669" s="19" t="s">
        <v>6181</v>
      </c>
      <c r="E1669" s="20" t="s">
        <v>1816</v>
      </c>
      <c r="F1669" s="21">
        <v>20853.0</v>
      </c>
      <c r="G1669" s="14">
        <v>69.0</v>
      </c>
      <c r="H1669" s="23" t="s">
        <v>26</v>
      </c>
      <c r="I1669" s="24" t="s">
        <v>33</v>
      </c>
      <c r="J1669" s="19" t="s">
        <v>68</v>
      </c>
      <c r="K1669" s="14">
        <v>28.0</v>
      </c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</row>
    <row r="1670">
      <c r="A1670" s="14" t="s">
        <v>6182</v>
      </c>
      <c r="B1670" s="17" t="s">
        <v>6179</v>
      </c>
      <c r="C1670" s="17" t="s">
        <v>6183</v>
      </c>
      <c r="D1670" s="19" t="s">
        <v>6184</v>
      </c>
      <c r="E1670" s="20" t="s">
        <v>1816</v>
      </c>
      <c r="F1670" s="27">
        <v>22932.0</v>
      </c>
      <c r="G1670" s="14">
        <v>63.0</v>
      </c>
      <c r="H1670" s="23" t="s">
        <v>26</v>
      </c>
      <c r="I1670" s="24" t="s">
        <v>27</v>
      </c>
      <c r="J1670" s="19" t="s">
        <v>68</v>
      </c>
      <c r="K1670" s="14">
        <v>28.0</v>
      </c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</row>
    <row r="1671">
      <c r="A1671" s="14" t="s">
        <v>6185</v>
      </c>
      <c r="B1671" s="17" t="s">
        <v>6186</v>
      </c>
      <c r="C1671" s="17" t="s">
        <v>6187</v>
      </c>
      <c r="D1671" s="19" t="s">
        <v>6188</v>
      </c>
      <c r="E1671" s="20" t="s">
        <v>104</v>
      </c>
      <c r="F1671" s="21">
        <v>30456.0</v>
      </c>
      <c r="G1671" s="14">
        <v>43.0</v>
      </c>
      <c r="H1671" s="23" t="s">
        <v>26</v>
      </c>
      <c r="I1671" s="24" t="s">
        <v>33</v>
      </c>
      <c r="J1671" s="19" t="s">
        <v>4079</v>
      </c>
      <c r="K1671" s="14">
        <v>24.0</v>
      </c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</row>
    <row r="1672">
      <c r="A1672" s="14" t="s">
        <v>6189</v>
      </c>
      <c r="B1672" s="17" t="s">
        <v>6186</v>
      </c>
      <c r="C1672" s="17" t="s">
        <v>6190</v>
      </c>
      <c r="D1672" s="19" t="s">
        <v>6191</v>
      </c>
      <c r="E1672" s="20" t="s">
        <v>6192</v>
      </c>
      <c r="F1672" s="21">
        <v>30931.0</v>
      </c>
      <c r="G1672" s="14">
        <v>41.0</v>
      </c>
      <c r="H1672" s="23" t="s">
        <v>26</v>
      </c>
      <c r="I1672" s="24" t="s">
        <v>27</v>
      </c>
      <c r="J1672" s="19" t="s">
        <v>4079</v>
      </c>
      <c r="K1672" s="14">
        <v>24.0</v>
      </c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</row>
    <row r="1673">
      <c r="A1673" s="14" t="s">
        <v>6193</v>
      </c>
      <c r="B1673" s="17" t="s">
        <v>6194</v>
      </c>
      <c r="C1673" s="17" t="s">
        <v>6195</v>
      </c>
      <c r="D1673" s="19" t="s">
        <v>6196</v>
      </c>
      <c r="E1673" s="20" t="s">
        <v>104</v>
      </c>
      <c r="F1673" s="21">
        <v>38633.0</v>
      </c>
      <c r="G1673" s="14">
        <v>20.0</v>
      </c>
      <c r="H1673" s="23" t="s">
        <v>100</v>
      </c>
      <c r="I1673" s="24" t="s">
        <v>33</v>
      </c>
      <c r="J1673" s="19" t="s">
        <v>53</v>
      </c>
      <c r="K1673" s="14">
        <v>4.0</v>
      </c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</row>
    <row r="1674">
      <c r="A1674" s="14" t="s">
        <v>6197</v>
      </c>
      <c r="B1674" s="17" t="s">
        <v>6194</v>
      </c>
      <c r="C1674" s="17" t="s">
        <v>6198</v>
      </c>
      <c r="D1674" s="19" t="s">
        <v>6199</v>
      </c>
      <c r="E1674" s="20" t="s">
        <v>650</v>
      </c>
      <c r="F1674" s="21">
        <v>25401.0</v>
      </c>
      <c r="G1674" s="14">
        <v>57.0</v>
      </c>
      <c r="H1674" s="23" t="s">
        <v>26</v>
      </c>
      <c r="I1674" s="24" t="s">
        <v>27</v>
      </c>
      <c r="J1674" s="19" t="s">
        <v>53</v>
      </c>
      <c r="K1674" s="14">
        <v>4.0</v>
      </c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</row>
    <row r="1675">
      <c r="A1675" s="14" t="s">
        <v>6200</v>
      </c>
      <c r="B1675" s="17" t="s">
        <v>6194</v>
      </c>
      <c r="C1675" s="17" t="s">
        <v>6201</v>
      </c>
      <c r="D1675" s="19" t="s">
        <v>4125</v>
      </c>
      <c r="E1675" s="20" t="s">
        <v>650</v>
      </c>
      <c r="F1675" s="21">
        <v>23872.0</v>
      </c>
      <c r="G1675" s="14">
        <v>61.0</v>
      </c>
      <c r="H1675" s="23" t="s">
        <v>26</v>
      </c>
      <c r="I1675" s="24" t="s">
        <v>33</v>
      </c>
      <c r="J1675" s="19" t="s">
        <v>206</v>
      </c>
      <c r="K1675" s="14">
        <v>4.0</v>
      </c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</row>
    <row r="1676">
      <c r="A1676" s="14" t="s">
        <v>6202</v>
      </c>
      <c r="B1676" s="17" t="s">
        <v>6194</v>
      </c>
      <c r="C1676" s="17" t="s">
        <v>6204</v>
      </c>
      <c r="D1676" s="19" t="s">
        <v>6205</v>
      </c>
      <c r="E1676" s="20" t="s">
        <v>104</v>
      </c>
      <c r="F1676" s="21">
        <v>37419.0</v>
      </c>
      <c r="G1676" s="14">
        <v>24.0</v>
      </c>
      <c r="H1676" s="23" t="s">
        <v>100</v>
      </c>
      <c r="I1676" s="24" t="s">
        <v>27</v>
      </c>
      <c r="J1676" s="19" t="s">
        <v>53</v>
      </c>
      <c r="K1676" s="14">
        <v>4.0</v>
      </c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</row>
    <row r="1677">
      <c r="A1677" s="14" t="s">
        <v>6206</v>
      </c>
      <c r="B1677" s="17" t="s">
        <v>6207</v>
      </c>
      <c r="C1677" s="17" t="s">
        <v>6208</v>
      </c>
      <c r="D1677" s="19" t="s">
        <v>6209</v>
      </c>
      <c r="E1677" s="20" t="s">
        <v>104</v>
      </c>
      <c r="F1677" s="21">
        <v>34897.0</v>
      </c>
      <c r="G1677" s="14">
        <v>31.0</v>
      </c>
      <c r="H1677" s="23" t="s">
        <v>100</v>
      </c>
      <c r="I1677" s="24" t="s">
        <v>33</v>
      </c>
      <c r="J1677" s="19" t="s">
        <v>2019</v>
      </c>
      <c r="K1677" s="14">
        <v>4.0</v>
      </c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</row>
    <row r="1678">
      <c r="A1678" s="14" t="s">
        <v>6210</v>
      </c>
      <c r="B1678" s="17" t="s">
        <v>6207</v>
      </c>
      <c r="C1678" s="17" t="s">
        <v>6211</v>
      </c>
      <c r="D1678" s="19" t="s">
        <v>6212</v>
      </c>
      <c r="E1678" s="20" t="s">
        <v>650</v>
      </c>
      <c r="F1678" s="21">
        <v>23940.0</v>
      </c>
      <c r="G1678" s="14">
        <v>61.0</v>
      </c>
      <c r="H1678" s="23" t="s">
        <v>26</v>
      </c>
      <c r="I1678" s="24" t="s">
        <v>27</v>
      </c>
      <c r="J1678" s="19" t="s">
        <v>2019</v>
      </c>
      <c r="K1678" s="14">
        <v>4.0</v>
      </c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</row>
    <row r="1679">
      <c r="A1679" s="14" t="s">
        <v>6213</v>
      </c>
      <c r="B1679" s="17" t="s">
        <v>6207</v>
      </c>
      <c r="C1679" s="17" t="s">
        <v>6214</v>
      </c>
      <c r="D1679" s="19" t="s">
        <v>6215</v>
      </c>
      <c r="E1679" s="20" t="s">
        <v>654</v>
      </c>
      <c r="F1679" s="21">
        <v>22773.0</v>
      </c>
      <c r="G1679" s="14">
        <v>64.0</v>
      </c>
      <c r="H1679" s="23" t="s">
        <v>26</v>
      </c>
      <c r="I1679" s="24" t="s">
        <v>33</v>
      </c>
      <c r="J1679" s="19" t="s">
        <v>2019</v>
      </c>
      <c r="K1679" s="14">
        <v>4.0</v>
      </c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</row>
    <row r="1680">
      <c r="A1680" s="14" t="s">
        <v>6216</v>
      </c>
      <c r="B1680" s="17" t="s">
        <v>6217</v>
      </c>
      <c r="C1680" s="17" t="s">
        <v>6218</v>
      </c>
      <c r="D1680" s="19" t="s">
        <v>6219</v>
      </c>
      <c r="E1680" s="20" t="s">
        <v>210</v>
      </c>
      <c r="F1680" s="21">
        <v>28720.0</v>
      </c>
      <c r="G1680" s="14">
        <v>48.0</v>
      </c>
      <c r="H1680" s="23" t="s">
        <v>26</v>
      </c>
      <c r="I1680" s="24" t="s">
        <v>33</v>
      </c>
      <c r="J1680" s="19" t="s">
        <v>6220</v>
      </c>
      <c r="K1680" s="14">
        <v>4.0</v>
      </c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</row>
    <row r="1681">
      <c r="A1681" s="14" t="s">
        <v>6221</v>
      </c>
      <c r="B1681" s="17" t="s">
        <v>6217</v>
      </c>
      <c r="C1681" s="17" t="s">
        <v>6222</v>
      </c>
      <c r="D1681" s="19" t="s">
        <v>3519</v>
      </c>
      <c r="E1681" s="20" t="s">
        <v>53</v>
      </c>
      <c r="F1681" s="27">
        <v>36522.0</v>
      </c>
      <c r="G1681" s="14">
        <v>26.0</v>
      </c>
      <c r="H1681" s="23" t="s">
        <v>100</v>
      </c>
      <c r="I1681" s="24" t="s">
        <v>33</v>
      </c>
      <c r="J1681" s="19" t="s">
        <v>6220</v>
      </c>
      <c r="K1681" s="14">
        <v>4.0</v>
      </c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</row>
    <row r="1682">
      <c r="A1682" s="14" t="s">
        <v>6223</v>
      </c>
      <c r="B1682" s="17" t="s">
        <v>6217</v>
      </c>
      <c r="C1682" s="17" t="s">
        <v>6224</v>
      </c>
      <c r="D1682" s="19" t="s">
        <v>6225</v>
      </c>
      <c r="E1682" s="20" t="s">
        <v>210</v>
      </c>
      <c r="F1682" s="21">
        <v>27854.0</v>
      </c>
      <c r="G1682" s="14">
        <v>50.0</v>
      </c>
      <c r="H1682" s="23" t="s">
        <v>26</v>
      </c>
      <c r="I1682" s="24" t="s">
        <v>27</v>
      </c>
      <c r="J1682" s="19" t="s">
        <v>6220</v>
      </c>
      <c r="K1682" s="14">
        <v>4.0</v>
      </c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</row>
    <row r="1683">
      <c r="A1683" s="14" t="s">
        <v>6226</v>
      </c>
      <c r="B1683" s="17" t="s">
        <v>6227</v>
      </c>
      <c r="C1683" s="17" t="s">
        <v>6228</v>
      </c>
      <c r="D1683" s="19" t="s">
        <v>6229</v>
      </c>
      <c r="E1683" s="20" t="s">
        <v>1622</v>
      </c>
      <c r="F1683" s="21">
        <v>35912.0</v>
      </c>
      <c r="G1683" s="14">
        <v>28.0</v>
      </c>
      <c r="H1683" s="23" t="s">
        <v>26</v>
      </c>
      <c r="I1683" s="24" t="s">
        <v>33</v>
      </c>
      <c r="J1683" s="19" t="s">
        <v>1915</v>
      </c>
      <c r="K1683" s="14">
        <v>12.0</v>
      </c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</row>
    <row r="1684">
      <c r="A1684" s="14" t="s">
        <v>6230</v>
      </c>
      <c r="B1684" s="17" t="s">
        <v>6227</v>
      </c>
      <c r="C1684" s="17" t="s">
        <v>6231</v>
      </c>
      <c r="D1684" s="19" t="s">
        <v>6232</v>
      </c>
      <c r="E1684" s="20" t="s">
        <v>6233</v>
      </c>
      <c r="F1684" s="21">
        <v>37096.0</v>
      </c>
      <c r="G1684" s="14">
        <v>25.0</v>
      </c>
      <c r="H1684" s="23" t="s">
        <v>26</v>
      </c>
      <c r="I1684" s="24" t="s">
        <v>27</v>
      </c>
      <c r="J1684" s="19" t="s">
        <v>1915</v>
      </c>
      <c r="K1684" s="14">
        <v>12.0</v>
      </c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</row>
    <row r="1685">
      <c r="A1685" s="14" t="s">
        <v>6234</v>
      </c>
      <c r="B1685" s="17" t="s">
        <v>6235</v>
      </c>
      <c r="C1685" s="17" t="s">
        <v>6236</v>
      </c>
      <c r="D1685" s="19" t="s">
        <v>6237</v>
      </c>
      <c r="E1685" s="20" t="s">
        <v>6238</v>
      </c>
      <c r="F1685" s="21">
        <v>24204.0</v>
      </c>
      <c r="G1685" s="14">
        <v>60.0</v>
      </c>
      <c r="H1685" s="23" t="s">
        <v>26</v>
      </c>
      <c r="I1685" s="24" t="s">
        <v>27</v>
      </c>
      <c r="J1685" s="19" t="s">
        <v>328</v>
      </c>
      <c r="K1685" s="14">
        <v>24.0</v>
      </c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</row>
    <row r="1686">
      <c r="A1686" s="14" t="s">
        <v>6239</v>
      </c>
      <c r="B1686" s="17" t="s">
        <v>6235</v>
      </c>
      <c r="C1686" s="17" t="s">
        <v>6240</v>
      </c>
      <c r="D1686" s="19" t="s">
        <v>6241</v>
      </c>
      <c r="E1686" s="20" t="s">
        <v>632</v>
      </c>
      <c r="F1686" s="21">
        <v>21953.0</v>
      </c>
      <c r="G1686" s="14">
        <v>66.0</v>
      </c>
      <c r="H1686" s="23" t="s">
        <v>26</v>
      </c>
      <c r="I1686" s="24" t="s">
        <v>33</v>
      </c>
      <c r="J1686" s="19" t="s">
        <v>328</v>
      </c>
      <c r="K1686" s="14">
        <v>24.0</v>
      </c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</row>
    <row r="1687">
      <c r="A1687" s="14" t="s">
        <v>6242</v>
      </c>
      <c r="B1687" s="17" t="s">
        <v>6235</v>
      </c>
      <c r="C1687" s="17" t="s">
        <v>6243</v>
      </c>
      <c r="D1687" s="19" t="s">
        <v>6244</v>
      </c>
      <c r="E1687" s="20" t="s">
        <v>53</v>
      </c>
      <c r="F1687" s="27">
        <v>36455.0</v>
      </c>
      <c r="G1687" s="14">
        <v>26.0</v>
      </c>
      <c r="H1687" s="23" t="s">
        <v>100</v>
      </c>
      <c r="I1687" s="24" t="s">
        <v>27</v>
      </c>
      <c r="J1687" s="19" t="s">
        <v>328</v>
      </c>
      <c r="K1687" s="14">
        <v>24.0</v>
      </c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</row>
    <row r="1688">
      <c r="A1688" s="14" t="s">
        <v>6245</v>
      </c>
      <c r="B1688" s="17" t="s">
        <v>6246</v>
      </c>
      <c r="C1688" s="17" t="s">
        <v>6247</v>
      </c>
      <c r="D1688" s="19" t="s">
        <v>6248</v>
      </c>
      <c r="E1688" s="20" t="s">
        <v>650</v>
      </c>
      <c r="F1688" s="21">
        <v>19906.0</v>
      </c>
      <c r="G1688" s="14">
        <v>72.0</v>
      </c>
      <c r="H1688" s="23" t="s">
        <v>26</v>
      </c>
      <c r="I1688" s="24" t="s">
        <v>33</v>
      </c>
      <c r="J1688" s="19" t="s">
        <v>2336</v>
      </c>
      <c r="K1688" s="14">
        <v>24.0</v>
      </c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</row>
    <row r="1689">
      <c r="A1689" s="14" t="s">
        <v>6249</v>
      </c>
      <c r="B1689" s="17" t="s">
        <v>6246</v>
      </c>
      <c r="C1689" s="17" t="s">
        <v>6250</v>
      </c>
      <c r="D1689" s="19" t="s">
        <v>6251</v>
      </c>
      <c r="E1689" s="20" t="s">
        <v>650</v>
      </c>
      <c r="F1689" s="21">
        <v>22463.0</v>
      </c>
      <c r="G1689" s="14">
        <v>65.0</v>
      </c>
      <c r="H1689" s="23" t="s">
        <v>26</v>
      </c>
      <c r="I1689" s="24" t="s">
        <v>27</v>
      </c>
      <c r="J1689" s="19" t="s">
        <v>2336</v>
      </c>
      <c r="K1689" s="14">
        <v>24.0</v>
      </c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</row>
    <row r="1690">
      <c r="A1690" s="14" t="s">
        <v>6252</v>
      </c>
      <c r="B1690" s="17" t="s">
        <v>6253</v>
      </c>
      <c r="C1690" s="17" t="s">
        <v>6254</v>
      </c>
      <c r="D1690" s="19" t="s">
        <v>6255</v>
      </c>
      <c r="E1690" s="20" t="s">
        <v>6256</v>
      </c>
      <c r="F1690" s="27">
        <v>34989.0</v>
      </c>
      <c r="G1690" s="14">
        <v>30.0</v>
      </c>
      <c r="H1690" s="23" t="s">
        <v>26</v>
      </c>
      <c r="I1690" s="24" t="s">
        <v>33</v>
      </c>
      <c r="J1690" s="19" t="s">
        <v>53</v>
      </c>
      <c r="K1690" s="14">
        <v>3.0</v>
      </c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</row>
    <row r="1691">
      <c r="A1691" s="14" t="s">
        <v>6257</v>
      </c>
      <c r="B1691" s="17" t="s">
        <v>6253</v>
      </c>
      <c r="C1691" s="17" t="s">
        <v>6258</v>
      </c>
      <c r="D1691" s="19" t="s">
        <v>6259</v>
      </c>
      <c r="E1691" s="20" t="s">
        <v>6260</v>
      </c>
      <c r="F1691" s="21">
        <v>37118.0</v>
      </c>
      <c r="G1691" s="14">
        <v>25.0</v>
      </c>
      <c r="H1691" s="23" t="s">
        <v>26</v>
      </c>
      <c r="I1691" s="24" t="s">
        <v>27</v>
      </c>
      <c r="J1691" s="19" t="s">
        <v>53</v>
      </c>
      <c r="K1691" s="14">
        <v>3.0</v>
      </c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</row>
    <row r="1692">
      <c r="A1692" s="14" t="s">
        <v>6261</v>
      </c>
      <c r="B1692" s="17" t="s">
        <v>6262</v>
      </c>
      <c r="C1692" s="17" t="s">
        <v>6263</v>
      </c>
      <c r="D1692" s="19" t="s">
        <v>6264</v>
      </c>
      <c r="E1692" s="20" t="s">
        <v>6265</v>
      </c>
      <c r="F1692" s="21">
        <v>36307.0</v>
      </c>
      <c r="G1692" s="14">
        <v>27.0</v>
      </c>
      <c r="H1692" s="23" t="s">
        <v>26</v>
      </c>
      <c r="I1692" s="24" t="s">
        <v>27</v>
      </c>
      <c r="J1692" s="19" t="s">
        <v>53</v>
      </c>
      <c r="K1692" s="14">
        <v>6.0</v>
      </c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</row>
    <row r="1693">
      <c r="A1693" s="14" t="s">
        <v>6266</v>
      </c>
      <c r="B1693" s="17" t="s">
        <v>6262</v>
      </c>
      <c r="C1693" s="17" t="s">
        <v>6267</v>
      </c>
      <c r="D1693" s="19" t="s">
        <v>6268</v>
      </c>
      <c r="E1693" s="20" t="s">
        <v>6269</v>
      </c>
      <c r="F1693" s="21">
        <v>34540.0</v>
      </c>
      <c r="G1693" s="14">
        <v>32.0</v>
      </c>
      <c r="H1693" s="23" t="s">
        <v>26</v>
      </c>
      <c r="I1693" s="24" t="s">
        <v>33</v>
      </c>
      <c r="J1693" s="19" t="s">
        <v>53</v>
      </c>
      <c r="K1693" s="14">
        <v>6.0</v>
      </c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</row>
    <row r="1694">
      <c r="A1694" s="14" t="s">
        <v>6270</v>
      </c>
      <c r="B1694" s="17" t="s">
        <v>6271</v>
      </c>
      <c r="C1694" s="17" t="s">
        <v>6272</v>
      </c>
      <c r="D1694" s="19" t="s">
        <v>6273</v>
      </c>
      <c r="E1694" s="20" t="s">
        <v>104</v>
      </c>
      <c r="F1694" s="21">
        <v>38058.0</v>
      </c>
      <c r="G1694" s="14">
        <v>22.0</v>
      </c>
      <c r="H1694" s="23" t="s">
        <v>100</v>
      </c>
      <c r="I1694" s="24" t="s">
        <v>33</v>
      </c>
      <c r="J1694" s="19" t="s">
        <v>757</v>
      </c>
      <c r="K1694" s="14">
        <v>10.0</v>
      </c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</row>
    <row r="1695">
      <c r="A1695" s="14" t="s">
        <v>6274</v>
      </c>
      <c r="B1695" s="17" t="s">
        <v>6271</v>
      </c>
      <c r="C1695" s="17" t="s">
        <v>6275</v>
      </c>
      <c r="D1695" s="19" t="s">
        <v>6276</v>
      </c>
      <c r="E1695" s="20" t="s">
        <v>104</v>
      </c>
      <c r="F1695" s="21">
        <v>37099.0</v>
      </c>
      <c r="G1695" s="14">
        <v>25.0</v>
      </c>
      <c r="H1695" s="23" t="s">
        <v>100</v>
      </c>
      <c r="I1695" s="24" t="s">
        <v>33</v>
      </c>
      <c r="J1695" s="19" t="s">
        <v>206</v>
      </c>
      <c r="K1695" s="14">
        <v>10.0</v>
      </c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</row>
    <row r="1696">
      <c r="A1696" s="14" t="s">
        <v>6277</v>
      </c>
      <c r="B1696" s="17" t="s">
        <v>6271</v>
      </c>
      <c r="C1696" s="17" t="s">
        <v>6278</v>
      </c>
      <c r="D1696" s="19" t="s">
        <v>6279</v>
      </c>
      <c r="E1696" s="20" t="s">
        <v>654</v>
      </c>
      <c r="F1696" s="21">
        <v>26838.0</v>
      </c>
      <c r="G1696" s="14">
        <v>53.0</v>
      </c>
      <c r="H1696" s="23" t="s">
        <v>27</v>
      </c>
      <c r="I1696" s="24" t="s">
        <v>27</v>
      </c>
      <c r="J1696" s="19" t="s">
        <v>206</v>
      </c>
      <c r="K1696" s="14">
        <v>10.0</v>
      </c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</row>
    <row r="1697">
      <c r="A1697" s="14" t="s">
        <v>6281</v>
      </c>
      <c r="B1697" s="17" t="s">
        <v>6282</v>
      </c>
      <c r="C1697" s="17" t="s">
        <v>6283</v>
      </c>
      <c r="D1697" s="19" t="s">
        <v>1986</v>
      </c>
      <c r="E1697" s="20" t="s">
        <v>231</v>
      </c>
      <c r="F1697" s="21">
        <v>30093.0</v>
      </c>
      <c r="G1697" s="14">
        <v>44.0</v>
      </c>
      <c r="H1697" s="23" t="s">
        <v>27</v>
      </c>
      <c r="I1697" s="24" t="s">
        <v>33</v>
      </c>
      <c r="J1697" s="19" t="s">
        <v>6284</v>
      </c>
      <c r="K1697" s="14">
        <v>30.0</v>
      </c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</row>
    <row r="1698">
      <c r="A1698" s="14" t="s">
        <v>6285</v>
      </c>
      <c r="B1698" s="17" t="s">
        <v>6286</v>
      </c>
      <c r="C1698" s="17" t="s">
        <v>6287</v>
      </c>
      <c r="D1698" s="19" t="s">
        <v>6288</v>
      </c>
      <c r="E1698" s="20" t="s">
        <v>104</v>
      </c>
      <c r="F1698" s="21">
        <v>32525.0</v>
      </c>
      <c r="G1698" s="14">
        <v>37.0</v>
      </c>
      <c r="H1698" s="23" t="s">
        <v>26</v>
      </c>
      <c r="I1698" s="24" t="s">
        <v>27</v>
      </c>
      <c r="J1698" s="19" t="s">
        <v>328</v>
      </c>
      <c r="K1698" s="14">
        <v>23.0</v>
      </c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</row>
    <row r="1699">
      <c r="A1699" s="14" t="s">
        <v>6289</v>
      </c>
      <c r="B1699" s="17" t="s">
        <v>6286</v>
      </c>
      <c r="C1699" s="17" t="s">
        <v>6290</v>
      </c>
      <c r="D1699" s="19" t="s">
        <v>2657</v>
      </c>
      <c r="E1699" s="20" t="s">
        <v>104</v>
      </c>
      <c r="F1699" s="21">
        <v>31284.0</v>
      </c>
      <c r="G1699" s="14">
        <v>41.0</v>
      </c>
      <c r="H1699" s="23" t="s">
        <v>26</v>
      </c>
      <c r="I1699" s="24" t="s">
        <v>33</v>
      </c>
      <c r="J1699" s="19" t="s">
        <v>328</v>
      </c>
      <c r="K1699" s="14">
        <v>23.0</v>
      </c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</row>
    <row r="1700">
      <c r="A1700" s="14" t="s">
        <v>6291</v>
      </c>
      <c r="B1700" s="17" t="s">
        <v>6292</v>
      </c>
      <c r="C1700" s="17" t="s">
        <v>6293</v>
      </c>
      <c r="D1700" s="19" t="s">
        <v>6294</v>
      </c>
      <c r="E1700" s="20" t="s">
        <v>53</v>
      </c>
      <c r="F1700" s="21">
        <v>36018.0</v>
      </c>
      <c r="G1700" s="14">
        <v>28.0</v>
      </c>
      <c r="H1700" s="23" t="s">
        <v>100</v>
      </c>
      <c r="I1700" s="24" t="s">
        <v>33</v>
      </c>
      <c r="J1700" s="19" t="s">
        <v>282</v>
      </c>
      <c r="K1700" s="14">
        <v>11.0</v>
      </c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</row>
    <row r="1701">
      <c r="A1701" s="14" t="s">
        <v>6295</v>
      </c>
      <c r="B1701" s="17" t="s">
        <v>6292</v>
      </c>
      <c r="C1701" s="17" t="s">
        <v>6296</v>
      </c>
      <c r="D1701" s="19" t="s">
        <v>6297</v>
      </c>
      <c r="E1701" s="20" t="s">
        <v>1903</v>
      </c>
      <c r="F1701" s="21">
        <v>26146.0</v>
      </c>
      <c r="G1701" s="14">
        <v>55.0</v>
      </c>
      <c r="H1701" s="23" t="s">
        <v>26</v>
      </c>
      <c r="I1701" s="24" t="s">
        <v>27</v>
      </c>
      <c r="J1701" s="19" t="s">
        <v>282</v>
      </c>
      <c r="K1701" s="14">
        <v>11.0</v>
      </c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</row>
    <row r="1702">
      <c r="A1702" s="14" t="s">
        <v>6298</v>
      </c>
      <c r="B1702" s="17" t="s">
        <v>6292</v>
      </c>
      <c r="C1702" s="17" t="s">
        <v>6299</v>
      </c>
      <c r="D1702" s="19" t="s">
        <v>6300</v>
      </c>
      <c r="E1702" s="20" t="s">
        <v>3047</v>
      </c>
      <c r="F1702" s="21">
        <v>25629.0</v>
      </c>
      <c r="G1702" s="14">
        <v>56.0</v>
      </c>
      <c r="H1702" s="23" t="s">
        <v>26</v>
      </c>
      <c r="I1702" s="24" t="s">
        <v>33</v>
      </c>
      <c r="J1702" s="19" t="s">
        <v>282</v>
      </c>
      <c r="K1702" s="14">
        <v>11.0</v>
      </c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</row>
    <row r="1703">
      <c r="A1703" s="14" t="s">
        <v>6301</v>
      </c>
      <c r="B1703" s="17" t="s">
        <v>6302</v>
      </c>
      <c r="C1703" s="17" t="s">
        <v>6303</v>
      </c>
      <c r="D1703" s="19" t="s">
        <v>6304</v>
      </c>
      <c r="E1703" s="20" t="s">
        <v>632</v>
      </c>
      <c r="F1703" s="27">
        <v>27743.0</v>
      </c>
      <c r="G1703" s="14">
        <v>50.0</v>
      </c>
      <c r="H1703" s="23" t="s">
        <v>26</v>
      </c>
      <c r="I1703" s="24" t="s">
        <v>33</v>
      </c>
      <c r="J1703" s="19" t="s">
        <v>146</v>
      </c>
      <c r="K1703" s="14">
        <v>4.0</v>
      </c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</row>
    <row r="1704">
      <c r="A1704" s="14" t="s">
        <v>6305</v>
      </c>
      <c r="B1704" s="17" t="s">
        <v>6302</v>
      </c>
      <c r="C1704" s="17" t="s">
        <v>6306</v>
      </c>
      <c r="D1704" s="19" t="s">
        <v>6307</v>
      </c>
      <c r="E1704" s="20" t="s">
        <v>6308</v>
      </c>
      <c r="F1704" s="21">
        <v>26165.0</v>
      </c>
      <c r="G1704" s="14">
        <v>55.0</v>
      </c>
      <c r="H1704" s="23" t="s">
        <v>26</v>
      </c>
      <c r="I1704" s="24" t="s">
        <v>27</v>
      </c>
      <c r="J1704" s="19" t="s">
        <v>146</v>
      </c>
      <c r="K1704" s="14">
        <v>4.0</v>
      </c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</row>
    <row r="1705">
      <c r="A1705" s="14" t="s">
        <v>6309</v>
      </c>
      <c r="B1705" s="17" t="s">
        <v>6310</v>
      </c>
      <c r="C1705" s="17" t="s">
        <v>6311</v>
      </c>
      <c r="D1705" s="19" t="s">
        <v>6312</v>
      </c>
      <c r="E1705" s="20" t="s">
        <v>195</v>
      </c>
      <c r="F1705" s="21">
        <v>37286.0</v>
      </c>
      <c r="G1705" s="14">
        <v>24.0</v>
      </c>
      <c r="H1705" s="23" t="s">
        <v>100</v>
      </c>
      <c r="I1705" s="24" t="s">
        <v>33</v>
      </c>
      <c r="J1705" s="19" t="s">
        <v>517</v>
      </c>
      <c r="K1705" s="14">
        <v>5.0</v>
      </c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</row>
    <row r="1706">
      <c r="A1706" s="14" t="s">
        <v>6313</v>
      </c>
      <c r="B1706" s="17" t="s">
        <v>6310</v>
      </c>
      <c r="C1706" s="17" t="s">
        <v>6314</v>
      </c>
      <c r="D1706" s="19" t="s">
        <v>6315</v>
      </c>
      <c r="E1706" s="20" t="s">
        <v>104</v>
      </c>
      <c r="F1706" s="21">
        <v>28163.0</v>
      </c>
      <c r="G1706" s="14">
        <v>49.0</v>
      </c>
      <c r="H1706" s="23" t="s">
        <v>26</v>
      </c>
      <c r="I1706" s="24" t="s">
        <v>27</v>
      </c>
      <c r="J1706" s="19" t="s">
        <v>517</v>
      </c>
      <c r="K1706" s="14">
        <v>5.0</v>
      </c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</row>
    <row r="1707">
      <c r="A1707" s="14" t="s">
        <v>6316</v>
      </c>
      <c r="B1707" s="17" t="s">
        <v>6310</v>
      </c>
      <c r="C1707" s="17" t="s">
        <v>6317</v>
      </c>
      <c r="D1707" s="19" t="s">
        <v>3087</v>
      </c>
      <c r="E1707" s="20" t="s">
        <v>632</v>
      </c>
      <c r="F1707" s="21">
        <v>24596.0</v>
      </c>
      <c r="G1707" s="14">
        <v>59.0</v>
      </c>
      <c r="H1707" s="23" t="s">
        <v>26</v>
      </c>
      <c r="I1707" s="24" t="s">
        <v>33</v>
      </c>
      <c r="J1707" s="19" t="s">
        <v>517</v>
      </c>
      <c r="K1707" s="14">
        <v>5.0</v>
      </c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</row>
    <row r="1708">
      <c r="A1708" s="14" t="s">
        <v>6318</v>
      </c>
      <c r="B1708" s="17" t="s">
        <v>6319</v>
      </c>
      <c r="C1708" s="17" t="s">
        <v>6320</v>
      </c>
      <c r="D1708" s="19" t="s">
        <v>6321</v>
      </c>
      <c r="E1708" s="20" t="s">
        <v>650</v>
      </c>
      <c r="F1708" s="27">
        <v>23295.0</v>
      </c>
      <c r="G1708" s="14">
        <v>62.0</v>
      </c>
      <c r="H1708" s="23" t="s">
        <v>26</v>
      </c>
      <c r="I1708" s="24" t="s">
        <v>33</v>
      </c>
      <c r="J1708" s="19" t="s">
        <v>58</v>
      </c>
      <c r="K1708" s="14">
        <v>5.0</v>
      </c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</row>
    <row r="1709">
      <c r="A1709" s="14" t="s">
        <v>6322</v>
      </c>
      <c r="B1709" s="17" t="s">
        <v>6319</v>
      </c>
      <c r="C1709" s="17" t="s">
        <v>6323</v>
      </c>
      <c r="D1709" s="19" t="s">
        <v>6324</v>
      </c>
      <c r="E1709" s="20" t="s">
        <v>654</v>
      </c>
      <c r="F1709" s="21">
        <v>27958.0</v>
      </c>
      <c r="G1709" s="14">
        <v>50.0</v>
      </c>
      <c r="H1709" s="23" t="s">
        <v>26</v>
      </c>
      <c r="I1709" s="24" t="s">
        <v>27</v>
      </c>
      <c r="J1709" s="19" t="s">
        <v>58</v>
      </c>
      <c r="K1709" s="14">
        <v>5.0</v>
      </c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</row>
    <row r="1710">
      <c r="A1710" s="14" t="s">
        <v>6325</v>
      </c>
      <c r="B1710" s="17" t="s">
        <v>6326</v>
      </c>
      <c r="C1710" s="17" t="s">
        <v>6327</v>
      </c>
      <c r="D1710" s="19" t="s">
        <v>6328</v>
      </c>
      <c r="E1710" s="20" t="s">
        <v>1816</v>
      </c>
      <c r="F1710" s="21">
        <v>33280.0</v>
      </c>
      <c r="G1710" s="14">
        <v>35.0</v>
      </c>
      <c r="H1710" s="23" t="s">
        <v>26</v>
      </c>
      <c r="I1710" s="24" t="s">
        <v>33</v>
      </c>
      <c r="J1710" s="19" t="s">
        <v>156</v>
      </c>
      <c r="K1710" s="14">
        <v>28.0</v>
      </c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</row>
    <row r="1711">
      <c r="A1711" s="14" t="s">
        <v>6329</v>
      </c>
      <c r="B1711" s="17" t="s">
        <v>6326</v>
      </c>
      <c r="C1711" s="17" t="s">
        <v>6330</v>
      </c>
      <c r="D1711" s="19" t="s">
        <v>6331</v>
      </c>
      <c r="E1711" s="20" t="s">
        <v>6332</v>
      </c>
      <c r="F1711" s="21">
        <v>36348.0</v>
      </c>
      <c r="G1711" s="14">
        <v>27.0</v>
      </c>
      <c r="H1711" s="23" t="s">
        <v>26</v>
      </c>
      <c r="I1711" s="24" t="s">
        <v>27</v>
      </c>
      <c r="J1711" s="19" t="s">
        <v>156</v>
      </c>
      <c r="K1711" s="14">
        <v>28.0</v>
      </c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</row>
    <row r="1712">
      <c r="A1712" s="14" t="s">
        <v>6333</v>
      </c>
      <c r="B1712" s="17" t="s">
        <v>6334</v>
      </c>
      <c r="C1712" s="17" t="s">
        <v>6335</v>
      </c>
      <c r="D1712" s="19" t="s">
        <v>6336</v>
      </c>
      <c r="E1712" s="20" t="s">
        <v>2038</v>
      </c>
      <c r="F1712" s="21">
        <v>38510.0</v>
      </c>
      <c r="G1712" s="14">
        <v>21.0</v>
      </c>
      <c r="H1712" s="23" t="s">
        <v>100</v>
      </c>
      <c r="I1712" s="24" t="s">
        <v>33</v>
      </c>
      <c r="J1712" s="19" t="s">
        <v>1437</v>
      </c>
      <c r="K1712" s="14">
        <v>33.0</v>
      </c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</row>
    <row r="1713">
      <c r="A1713" s="14" t="s">
        <v>6337</v>
      </c>
      <c r="B1713" s="17" t="s">
        <v>6334</v>
      </c>
      <c r="C1713" s="17" t="s">
        <v>6338</v>
      </c>
      <c r="D1713" s="19" t="s">
        <v>6339</v>
      </c>
      <c r="E1713" s="20" t="s">
        <v>67</v>
      </c>
      <c r="F1713" s="21">
        <v>27163.0</v>
      </c>
      <c r="G1713" s="14">
        <v>52.0</v>
      </c>
      <c r="H1713" s="23" t="s">
        <v>26</v>
      </c>
      <c r="I1713" s="24" t="s">
        <v>33</v>
      </c>
      <c r="J1713" s="19" t="s">
        <v>1437</v>
      </c>
      <c r="K1713" s="14">
        <v>33.0</v>
      </c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</row>
    <row r="1714">
      <c r="A1714" s="14" t="s">
        <v>6340</v>
      </c>
      <c r="B1714" s="17" t="s">
        <v>6334</v>
      </c>
      <c r="C1714" s="17" t="s">
        <v>6341</v>
      </c>
      <c r="D1714" s="19" t="s">
        <v>4603</v>
      </c>
      <c r="E1714" s="20" t="s">
        <v>104</v>
      </c>
      <c r="F1714" s="21">
        <v>29596.0</v>
      </c>
      <c r="G1714" s="14">
        <v>45.0</v>
      </c>
      <c r="H1714" s="23" t="s">
        <v>26</v>
      </c>
      <c r="I1714" s="24" t="s">
        <v>27</v>
      </c>
      <c r="J1714" s="19" t="s">
        <v>1437</v>
      </c>
      <c r="K1714" s="14">
        <v>33.0</v>
      </c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</row>
    <row r="1715">
      <c r="A1715" s="14" t="s">
        <v>6342</v>
      </c>
      <c r="B1715" s="17" t="s">
        <v>6343</v>
      </c>
      <c r="C1715" s="17" t="s">
        <v>6344</v>
      </c>
      <c r="D1715" s="19" t="s">
        <v>6345</v>
      </c>
      <c r="E1715" s="20" t="s">
        <v>138</v>
      </c>
      <c r="F1715" s="21">
        <v>38969.0</v>
      </c>
      <c r="G1715" s="14">
        <v>19.0</v>
      </c>
      <c r="H1715" s="23" t="s">
        <v>100</v>
      </c>
      <c r="I1715" s="24" t="s">
        <v>33</v>
      </c>
      <c r="J1715" s="19" t="s">
        <v>328</v>
      </c>
      <c r="K1715" s="14">
        <v>25.0</v>
      </c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</row>
    <row r="1716">
      <c r="A1716" s="14" t="s">
        <v>6346</v>
      </c>
      <c r="B1716" s="17" t="s">
        <v>6343</v>
      </c>
      <c r="C1716" s="17" t="s">
        <v>6347</v>
      </c>
      <c r="D1716" s="19" t="s">
        <v>6348</v>
      </c>
      <c r="E1716" s="20" t="s">
        <v>6349</v>
      </c>
      <c r="F1716" s="21">
        <v>26424.0</v>
      </c>
      <c r="G1716" s="14">
        <v>54.0</v>
      </c>
      <c r="H1716" s="23" t="s">
        <v>26</v>
      </c>
      <c r="I1716" s="24" t="s">
        <v>27</v>
      </c>
      <c r="J1716" s="19" t="s">
        <v>328</v>
      </c>
      <c r="K1716" s="14">
        <v>25.0</v>
      </c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</row>
    <row r="1717">
      <c r="A1717" s="14" t="s">
        <v>6350</v>
      </c>
      <c r="B1717" s="17" t="s">
        <v>6343</v>
      </c>
      <c r="C1717" s="17" t="s">
        <v>6352</v>
      </c>
      <c r="D1717" s="19" t="s">
        <v>6353</v>
      </c>
      <c r="E1717" s="20" t="s">
        <v>632</v>
      </c>
      <c r="F1717" s="21">
        <v>25817.0</v>
      </c>
      <c r="G1717" s="14">
        <v>55.0</v>
      </c>
      <c r="H1717" s="23" t="s">
        <v>26</v>
      </c>
      <c r="I1717" s="24" t="s">
        <v>33</v>
      </c>
      <c r="J1717" s="19" t="s">
        <v>328</v>
      </c>
      <c r="K1717" s="14">
        <v>25.0</v>
      </c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</row>
    <row r="1718">
      <c r="A1718" s="14" t="s">
        <v>6354</v>
      </c>
      <c r="B1718" s="17" t="s">
        <v>6343</v>
      </c>
      <c r="C1718" s="17" t="s">
        <v>6355</v>
      </c>
      <c r="D1718" s="19" t="s">
        <v>6356</v>
      </c>
      <c r="E1718" s="20" t="s">
        <v>3345</v>
      </c>
      <c r="F1718" s="27">
        <v>36476.0</v>
      </c>
      <c r="G1718" s="14">
        <v>26.0</v>
      </c>
      <c r="H1718" s="23" t="s">
        <v>100</v>
      </c>
      <c r="I1718" s="24" t="s">
        <v>27</v>
      </c>
      <c r="J1718" s="19" t="s">
        <v>328</v>
      </c>
      <c r="K1718" s="14">
        <v>25.0</v>
      </c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</row>
    <row r="1719">
      <c r="A1719" s="14" t="s">
        <v>6357</v>
      </c>
      <c r="B1719" s="17" t="s">
        <v>6358</v>
      </c>
      <c r="C1719" s="17" t="s">
        <v>6359</v>
      </c>
      <c r="D1719" s="19" t="s">
        <v>6360</v>
      </c>
      <c r="E1719" s="20" t="s">
        <v>138</v>
      </c>
      <c r="F1719" s="21">
        <v>32083.0</v>
      </c>
      <c r="G1719" s="14">
        <v>38.0</v>
      </c>
      <c r="H1719" s="23" t="s">
        <v>26</v>
      </c>
      <c r="I1719" s="24" t="s">
        <v>33</v>
      </c>
      <c r="J1719" s="19" t="s">
        <v>68</v>
      </c>
      <c r="K1719" s="14">
        <v>35.0</v>
      </c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</row>
    <row r="1720">
      <c r="A1720" s="14" t="s">
        <v>6361</v>
      </c>
      <c r="B1720" s="17" t="s">
        <v>6358</v>
      </c>
      <c r="C1720" s="17" t="s">
        <v>6362</v>
      </c>
      <c r="D1720" s="19" t="s">
        <v>6363</v>
      </c>
      <c r="E1720" s="20" t="s">
        <v>53</v>
      </c>
      <c r="F1720" s="21">
        <v>31278.0</v>
      </c>
      <c r="G1720" s="14">
        <v>41.0</v>
      </c>
      <c r="H1720" s="23" t="s">
        <v>26</v>
      </c>
      <c r="I1720" s="24" t="s">
        <v>27</v>
      </c>
      <c r="J1720" s="19" t="s">
        <v>68</v>
      </c>
      <c r="K1720" s="14">
        <v>35.0</v>
      </c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</row>
    <row r="1721">
      <c r="A1721" s="14" t="s">
        <v>6364</v>
      </c>
      <c r="B1721" s="17" t="s">
        <v>6358</v>
      </c>
      <c r="C1721" s="17" t="s">
        <v>6366</v>
      </c>
      <c r="D1721" s="19" t="s">
        <v>6367</v>
      </c>
      <c r="E1721" s="20" t="s">
        <v>1291</v>
      </c>
      <c r="F1721" s="21">
        <v>14661.0</v>
      </c>
      <c r="G1721" s="14">
        <v>86.0</v>
      </c>
      <c r="H1721" s="23" t="s">
        <v>27</v>
      </c>
      <c r="I1721" s="24" t="s">
        <v>27</v>
      </c>
      <c r="J1721" s="19" t="s">
        <v>68</v>
      </c>
      <c r="K1721" s="14">
        <v>35.0</v>
      </c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</row>
    <row r="1722">
      <c r="A1722" s="14" t="s">
        <v>6368</v>
      </c>
      <c r="B1722" s="17" t="s">
        <v>6369</v>
      </c>
      <c r="C1722" s="17" t="s">
        <v>6370</v>
      </c>
      <c r="D1722" s="19" t="s">
        <v>6371</v>
      </c>
      <c r="E1722" s="20" t="s">
        <v>104</v>
      </c>
      <c r="F1722" s="21">
        <v>31116.0</v>
      </c>
      <c r="G1722" s="14">
        <v>41.0</v>
      </c>
      <c r="H1722" s="23" t="s">
        <v>26</v>
      </c>
      <c r="I1722" s="24" t="s">
        <v>33</v>
      </c>
      <c r="J1722" s="19" t="s">
        <v>53</v>
      </c>
      <c r="K1722" s="14">
        <v>5.0</v>
      </c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</row>
    <row r="1723">
      <c r="A1723" s="14" t="s">
        <v>6372</v>
      </c>
      <c r="B1723" s="17" t="s">
        <v>6369</v>
      </c>
      <c r="C1723" s="17" t="s">
        <v>6373</v>
      </c>
      <c r="D1723" s="19" t="s">
        <v>6374</v>
      </c>
      <c r="E1723" s="20" t="s">
        <v>210</v>
      </c>
      <c r="F1723" s="21">
        <v>33338.0</v>
      </c>
      <c r="G1723" s="14">
        <v>35.0</v>
      </c>
      <c r="H1723" s="23" t="s">
        <v>26</v>
      </c>
      <c r="I1723" s="24" t="s">
        <v>27</v>
      </c>
      <c r="J1723" s="19" t="s">
        <v>53</v>
      </c>
      <c r="K1723" s="14">
        <v>5.0</v>
      </c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</row>
    <row r="1724">
      <c r="A1724" s="14" t="s">
        <v>6375</v>
      </c>
      <c r="B1724" s="17" t="s">
        <v>6376</v>
      </c>
      <c r="C1724" s="17" t="s">
        <v>6377</v>
      </c>
      <c r="D1724" s="19" t="s">
        <v>6378</v>
      </c>
      <c r="E1724" s="20" t="s">
        <v>104</v>
      </c>
      <c r="F1724" s="21">
        <v>34756.0</v>
      </c>
      <c r="G1724" s="14">
        <v>31.0</v>
      </c>
      <c r="H1724" s="23" t="s">
        <v>26</v>
      </c>
      <c r="I1724" s="24" t="s">
        <v>33</v>
      </c>
      <c r="J1724" s="19" t="s">
        <v>68</v>
      </c>
      <c r="K1724" s="14">
        <v>35.0</v>
      </c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</row>
    <row r="1725">
      <c r="A1725" s="14" t="s">
        <v>6379</v>
      </c>
      <c r="B1725" s="17" t="s">
        <v>6380</v>
      </c>
      <c r="C1725" s="17" t="s">
        <v>6381</v>
      </c>
      <c r="D1725" s="19" t="s">
        <v>6087</v>
      </c>
      <c r="E1725" s="20" t="s">
        <v>6382</v>
      </c>
      <c r="F1725" s="27">
        <v>26298.0</v>
      </c>
      <c r="G1725" s="14">
        <v>54.0</v>
      </c>
      <c r="H1725" s="23" t="s">
        <v>27</v>
      </c>
      <c r="I1725" s="24" t="s">
        <v>27</v>
      </c>
      <c r="J1725" s="19" t="s">
        <v>362</v>
      </c>
      <c r="K1725" s="14">
        <v>19.0</v>
      </c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</row>
    <row r="1726">
      <c r="A1726" s="14" t="s">
        <v>6383</v>
      </c>
      <c r="B1726" s="17" t="s">
        <v>6384</v>
      </c>
      <c r="C1726" s="17" t="s">
        <v>6385</v>
      </c>
      <c r="D1726" s="19" t="s">
        <v>6386</v>
      </c>
      <c r="E1726" s="20" t="s">
        <v>104</v>
      </c>
      <c r="F1726" s="21">
        <v>31255.0</v>
      </c>
      <c r="G1726" s="14">
        <v>41.0</v>
      </c>
      <c r="H1726" s="23" t="s">
        <v>26</v>
      </c>
      <c r="I1726" s="24" t="s">
        <v>33</v>
      </c>
      <c r="J1726" s="19" t="s">
        <v>68</v>
      </c>
      <c r="K1726" s="14">
        <v>30.0</v>
      </c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</row>
    <row r="1727">
      <c r="A1727" s="14" t="s">
        <v>6387</v>
      </c>
      <c r="B1727" s="17" t="s">
        <v>6384</v>
      </c>
      <c r="C1727" s="17" t="s">
        <v>6388</v>
      </c>
      <c r="D1727" s="19" t="s">
        <v>6389</v>
      </c>
      <c r="E1727" s="20" t="s">
        <v>104</v>
      </c>
      <c r="F1727" s="21">
        <v>31753.0</v>
      </c>
      <c r="G1727" s="14">
        <v>39.0</v>
      </c>
      <c r="H1727" s="23" t="s">
        <v>26</v>
      </c>
      <c r="I1727" s="24" t="s">
        <v>27</v>
      </c>
      <c r="J1727" s="19" t="s">
        <v>68</v>
      </c>
      <c r="K1727" s="14">
        <v>30.0</v>
      </c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</row>
    <row r="1728">
      <c r="A1728" s="14" t="s">
        <v>6390</v>
      </c>
      <c r="B1728" s="17" t="s">
        <v>6391</v>
      </c>
      <c r="C1728" s="17" t="s">
        <v>6392</v>
      </c>
      <c r="D1728" s="19" t="s">
        <v>6393</v>
      </c>
      <c r="E1728" s="20" t="s">
        <v>403</v>
      </c>
      <c r="F1728" s="21">
        <v>28716.0</v>
      </c>
      <c r="G1728" s="14">
        <v>48.0</v>
      </c>
      <c r="H1728" s="23" t="s">
        <v>26</v>
      </c>
      <c r="I1728" s="24" t="s">
        <v>27</v>
      </c>
      <c r="J1728" s="19" t="s">
        <v>156</v>
      </c>
      <c r="K1728" s="14">
        <v>35.0</v>
      </c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</row>
    <row r="1729">
      <c r="A1729" s="14" t="s">
        <v>6394</v>
      </c>
      <c r="B1729" s="17" t="s">
        <v>6391</v>
      </c>
      <c r="C1729" s="17" t="s">
        <v>6395</v>
      </c>
      <c r="D1729" s="19" t="s">
        <v>6396</v>
      </c>
      <c r="E1729" s="20" t="s">
        <v>104</v>
      </c>
      <c r="F1729" s="21">
        <v>37452.0</v>
      </c>
      <c r="G1729" s="14">
        <v>24.0</v>
      </c>
      <c r="H1729" s="23" t="s">
        <v>100</v>
      </c>
      <c r="I1729" s="24" t="s">
        <v>33</v>
      </c>
      <c r="J1729" s="19" t="s">
        <v>156</v>
      </c>
      <c r="K1729" s="14">
        <v>35.0</v>
      </c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</row>
    <row r="1730">
      <c r="A1730" s="14" t="s">
        <v>6397</v>
      </c>
      <c r="B1730" s="17" t="s">
        <v>6391</v>
      </c>
      <c r="C1730" s="17" t="s">
        <v>6398</v>
      </c>
      <c r="D1730" s="19" t="s">
        <v>2006</v>
      </c>
      <c r="E1730" s="20" t="s">
        <v>1291</v>
      </c>
      <c r="F1730" s="21">
        <v>27550.0</v>
      </c>
      <c r="G1730" s="14">
        <v>51.0</v>
      </c>
      <c r="H1730" s="23" t="s">
        <v>26</v>
      </c>
      <c r="I1730" s="24" t="s">
        <v>33</v>
      </c>
      <c r="J1730" s="19" t="s">
        <v>68</v>
      </c>
      <c r="K1730" s="14">
        <v>33.0</v>
      </c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</row>
    <row r="1731">
      <c r="A1731" s="14" t="s">
        <v>6399</v>
      </c>
      <c r="B1731" s="17" t="s">
        <v>6400</v>
      </c>
      <c r="C1731" s="17" t="s">
        <v>6401</v>
      </c>
      <c r="D1731" s="19" t="s">
        <v>6402</v>
      </c>
      <c r="E1731" s="20" t="s">
        <v>104</v>
      </c>
      <c r="F1731" s="21">
        <v>36368.0</v>
      </c>
      <c r="G1731" s="14">
        <v>27.0</v>
      </c>
      <c r="H1731" s="23" t="s">
        <v>26</v>
      </c>
      <c r="I1731" s="24" t="s">
        <v>27</v>
      </c>
      <c r="J1731" s="19" t="s">
        <v>362</v>
      </c>
      <c r="K1731" s="14">
        <v>25.0</v>
      </c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</row>
    <row r="1732">
      <c r="A1732" s="14" t="s">
        <v>6403</v>
      </c>
      <c r="B1732" s="17" t="s">
        <v>6400</v>
      </c>
      <c r="C1732" s="17" t="s">
        <v>6404</v>
      </c>
      <c r="D1732" s="19" t="s">
        <v>6405</v>
      </c>
      <c r="E1732" s="20" t="s">
        <v>536</v>
      </c>
      <c r="F1732" s="21">
        <v>35242.0</v>
      </c>
      <c r="G1732" s="14">
        <v>30.0</v>
      </c>
      <c r="H1732" s="23" t="s">
        <v>26</v>
      </c>
      <c r="I1732" s="24" t="s">
        <v>33</v>
      </c>
      <c r="J1732" s="19" t="s">
        <v>362</v>
      </c>
      <c r="K1732" s="14">
        <v>25.0</v>
      </c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</row>
    <row r="1733">
      <c r="A1733" s="14" t="s">
        <v>6406</v>
      </c>
      <c r="B1733" s="17" t="s">
        <v>6407</v>
      </c>
      <c r="C1733" s="17" t="s">
        <v>6408</v>
      </c>
      <c r="D1733" s="19" t="s">
        <v>6409</v>
      </c>
      <c r="E1733" s="20" t="s">
        <v>104</v>
      </c>
      <c r="F1733" s="21">
        <v>35296.0</v>
      </c>
      <c r="G1733" s="14">
        <v>30.0</v>
      </c>
      <c r="H1733" s="23" t="s">
        <v>26</v>
      </c>
      <c r="I1733" s="24" t="s">
        <v>27</v>
      </c>
      <c r="J1733" s="19" t="s">
        <v>58</v>
      </c>
      <c r="K1733" s="14">
        <v>6.0</v>
      </c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</row>
    <row r="1734">
      <c r="A1734" s="14" t="s">
        <v>6410</v>
      </c>
      <c r="B1734" s="17" t="s">
        <v>6407</v>
      </c>
      <c r="C1734" s="17" t="s">
        <v>6411</v>
      </c>
      <c r="D1734" s="19" t="s">
        <v>6412</v>
      </c>
      <c r="E1734" s="20" t="s">
        <v>6413</v>
      </c>
      <c r="F1734" s="21">
        <v>31151.0</v>
      </c>
      <c r="G1734" s="14">
        <v>41.0</v>
      </c>
      <c r="H1734" s="23" t="s">
        <v>26</v>
      </c>
      <c r="I1734" s="24" t="s">
        <v>33</v>
      </c>
      <c r="J1734" s="19" t="s">
        <v>58</v>
      </c>
      <c r="K1734" s="14">
        <v>6.0</v>
      </c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</row>
    <row r="1735">
      <c r="A1735" s="14" t="s">
        <v>6414</v>
      </c>
      <c r="B1735" s="17" t="s">
        <v>6415</v>
      </c>
      <c r="C1735" s="17" t="s">
        <v>6416</v>
      </c>
      <c r="D1735" s="19" t="s">
        <v>6417</v>
      </c>
      <c r="E1735" s="20" t="s">
        <v>104</v>
      </c>
      <c r="F1735" s="21">
        <v>36004.0</v>
      </c>
      <c r="G1735" s="14">
        <v>28.0</v>
      </c>
      <c r="H1735" s="23" t="s">
        <v>100</v>
      </c>
      <c r="I1735" s="24" t="s">
        <v>33</v>
      </c>
      <c r="J1735" s="19" t="s">
        <v>58</v>
      </c>
      <c r="K1735" s="14">
        <v>9.0</v>
      </c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</row>
    <row r="1736">
      <c r="A1736" s="14" t="s">
        <v>6418</v>
      </c>
      <c r="B1736" s="17" t="s">
        <v>6415</v>
      </c>
      <c r="C1736" s="17" t="s">
        <v>6419</v>
      </c>
      <c r="D1736" s="19" t="s">
        <v>4075</v>
      </c>
      <c r="E1736" s="20" t="s">
        <v>6420</v>
      </c>
      <c r="F1736" s="21">
        <v>27520.0</v>
      </c>
      <c r="G1736" s="14">
        <v>51.0</v>
      </c>
      <c r="H1736" s="23" t="s">
        <v>26</v>
      </c>
      <c r="I1736" s="24" t="s">
        <v>27</v>
      </c>
      <c r="J1736" s="19" t="s">
        <v>58</v>
      </c>
      <c r="K1736" s="14">
        <v>9.0</v>
      </c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</row>
    <row r="1737">
      <c r="A1737" s="14" t="s">
        <v>6421</v>
      </c>
      <c r="B1737" s="17" t="s">
        <v>6415</v>
      </c>
      <c r="C1737" s="17" t="s">
        <v>6422</v>
      </c>
      <c r="D1737" s="19" t="s">
        <v>4536</v>
      </c>
      <c r="E1737" s="20" t="s">
        <v>6420</v>
      </c>
      <c r="F1737" s="27">
        <v>26963.0</v>
      </c>
      <c r="G1737" s="14">
        <v>52.0</v>
      </c>
      <c r="H1737" s="23" t="s">
        <v>26</v>
      </c>
      <c r="I1737" s="24" t="s">
        <v>33</v>
      </c>
      <c r="J1737" s="19" t="s">
        <v>58</v>
      </c>
      <c r="K1737" s="14">
        <v>9.0</v>
      </c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</row>
    <row r="1738">
      <c r="A1738" s="14" t="s">
        <v>6424</v>
      </c>
      <c r="B1738" s="17" t="s">
        <v>6425</v>
      </c>
      <c r="C1738" s="17" t="s">
        <v>6426</v>
      </c>
      <c r="D1738" s="19" t="s">
        <v>6427</v>
      </c>
      <c r="E1738" s="20" t="s">
        <v>2680</v>
      </c>
      <c r="F1738" s="21">
        <v>31793.0</v>
      </c>
      <c r="G1738" s="14">
        <v>39.0</v>
      </c>
      <c r="H1738" s="23" t="s">
        <v>26</v>
      </c>
      <c r="I1738" s="24" t="s">
        <v>27</v>
      </c>
      <c r="J1738" s="19" t="s">
        <v>282</v>
      </c>
      <c r="K1738" s="14">
        <v>11.0</v>
      </c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</row>
    <row r="1739">
      <c r="A1739" s="14" t="s">
        <v>6428</v>
      </c>
      <c r="B1739" s="17" t="s">
        <v>6425</v>
      </c>
      <c r="C1739" s="17" t="s">
        <v>6429</v>
      </c>
      <c r="D1739" s="19" t="s">
        <v>6430</v>
      </c>
      <c r="E1739" s="20" t="s">
        <v>104</v>
      </c>
      <c r="F1739" s="21">
        <v>31079.0</v>
      </c>
      <c r="G1739" s="14">
        <v>41.0</v>
      </c>
      <c r="H1739" s="23" t="s">
        <v>26</v>
      </c>
      <c r="I1739" s="24" t="s">
        <v>33</v>
      </c>
      <c r="J1739" s="19" t="s">
        <v>282</v>
      </c>
      <c r="K1739" s="14">
        <v>11.0</v>
      </c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</row>
    <row r="1740">
      <c r="A1740" s="14" t="s">
        <v>6431</v>
      </c>
      <c r="B1740" s="17" t="s">
        <v>6432</v>
      </c>
      <c r="C1740" s="17" t="s">
        <v>6433</v>
      </c>
      <c r="D1740" s="19" t="s">
        <v>6434</v>
      </c>
      <c r="E1740" s="20" t="s">
        <v>1830</v>
      </c>
      <c r="F1740" s="21">
        <v>34166.0</v>
      </c>
      <c r="G1740" s="14">
        <v>33.0</v>
      </c>
      <c r="H1740" s="23" t="s">
        <v>100</v>
      </c>
      <c r="I1740" s="24" t="s">
        <v>33</v>
      </c>
      <c r="J1740" s="19" t="s">
        <v>6435</v>
      </c>
      <c r="K1740" s="14">
        <v>9.0</v>
      </c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</row>
    <row r="1741">
      <c r="A1741" s="14" t="s">
        <v>6436</v>
      </c>
      <c r="B1741" s="17" t="s">
        <v>6432</v>
      </c>
      <c r="C1741" s="17" t="s">
        <v>6437</v>
      </c>
      <c r="D1741" s="19" t="s">
        <v>6438</v>
      </c>
      <c r="E1741" s="20" t="s">
        <v>1830</v>
      </c>
      <c r="F1741" s="21">
        <v>33093.0</v>
      </c>
      <c r="G1741" s="14">
        <v>36.0</v>
      </c>
      <c r="H1741" s="23" t="s">
        <v>100</v>
      </c>
      <c r="I1741" s="24" t="s">
        <v>33</v>
      </c>
      <c r="J1741" s="19" t="s">
        <v>53</v>
      </c>
      <c r="K1741" s="14">
        <v>9.0</v>
      </c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</row>
    <row r="1742">
      <c r="A1742" s="14" t="s">
        <v>6439</v>
      </c>
      <c r="B1742" s="17" t="s">
        <v>6432</v>
      </c>
      <c r="C1742" s="17" t="s">
        <v>6440</v>
      </c>
      <c r="D1742" s="19" t="s">
        <v>6441</v>
      </c>
      <c r="E1742" s="20" t="s">
        <v>138</v>
      </c>
      <c r="F1742" s="21">
        <v>39257.0</v>
      </c>
      <c r="G1742" s="14">
        <v>19.0</v>
      </c>
      <c r="H1742" s="23" t="s">
        <v>100</v>
      </c>
      <c r="I1742" s="24" t="s">
        <v>33</v>
      </c>
      <c r="J1742" s="19" t="s">
        <v>53</v>
      </c>
      <c r="K1742" s="14">
        <v>9.0</v>
      </c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</row>
    <row r="1743">
      <c r="A1743" s="14" t="s">
        <v>6442</v>
      </c>
      <c r="B1743" s="17" t="s">
        <v>6432</v>
      </c>
      <c r="C1743" s="17" t="s">
        <v>6443</v>
      </c>
      <c r="D1743" s="19" t="s">
        <v>6444</v>
      </c>
      <c r="E1743" s="20" t="s">
        <v>1830</v>
      </c>
      <c r="F1743" s="21">
        <v>21635.0</v>
      </c>
      <c r="G1743" s="14">
        <v>67.0</v>
      </c>
      <c r="H1743" s="23" t="s">
        <v>26</v>
      </c>
      <c r="I1743" s="24" t="s">
        <v>33</v>
      </c>
      <c r="J1743" s="19" t="s">
        <v>53</v>
      </c>
      <c r="K1743" s="14">
        <v>9.0</v>
      </c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</row>
    <row r="1744">
      <c r="A1744" s="14" t="s">
        <v>6445</v>
      </c>
      <c r="B1744" s="17" t="s">
        <v>6432</v>
      </c>
      <c r="C1744" s="17" t="s">
        <v>6446</v>
      </c>
      <c r="D1744" s="19" t="s">
        <v>1053</v>
      </c>
      <c r="E1744" s="20" t="s">
        <v>1830</v>
      </c>
      <c r="F1744" s="21">
        <v>23235.0</v>
      </c>
      <c r="G1744" s="14">
        <v>63.0</v>
      </c>
      <c r="H1744" s="23" t="s">
        <v>26</v>
      </c>
      <c r="I1744" s="24" t="s">
        <v>27</v>
      </c>
      <c r="J1744" s="19" t="s">
        <v>53</v>
      </c>
      <c r="K1744" s="14">
        <v>9.0</v>
      </c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</row>
    <row r="1745">
      <c r="A1745" s="14" t="s">
        <v>6447</v>
      </c>
      <c r="B1745" s="17" t="s">
        <v>6432</v>
      </c>
      <c r="C1745" s="17" t="s">
        <v>6448</v>
      </c>
      <c r="D1745" s="19" t="s">
        <v>6449</v>
      </c>
      <c r="E1745" s="20" t="s">
        <v>138</v>
      </c>
      <c r="F1745" s="21">
        <v>38420.0</v>
      </c>
      <c r="G1745" s="14">
        <v>21.0</v>
      </c>
      <c r="H1745" s="23" t="s">
        <v>100</v>
      </c>
      <c r="I1745" s="24" t="s">
        <v>27</v>
      </c>
      <c r="J1745" s="19" t="s">
        <v>53</v>
      </c>
      <c r="K1745" s="14">
        <v>9.0</v>
      </c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</row>
    <row r="1746">
      <c r="A1746" s="14" t="s">
        <v>6450</v>
      </c>
      <c r="B1746" s="17" t="s">
        <v>6432</v>
      </c>
      <c r="C1746" s="17" t="s">
        <v>6451</v>
      </c>
      <c r="D1746" s="19" t="s">
        <v>6452</v>
      </c>
      <c r="E1746" s="20" t="s">
        <v>138</v>
      </c>
      <c r="F1746" s="21">
        <v>38420.0</v>
      </c>
      <c r="G1746" s="14">
        <v>21.0</v>
      </c>
      <c r="H1746" s="23" t="s">
        <v>100</v>
      </c>
      <c r="I1746" s="24" t="s">
        <v>27</v>
      </c>
      <c r="J1746" s="19" t="s">
        <v>53</v>
      </c>
      <c r="K1746" s="14">
        <v>9.0</v>
      </c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</row>
    <row r="1747">
      <c r="A1747" s="14" t="s">
        <v>6453</v>
      </c>
      <c r="B1747" s="17" t="s">
        <v>6432</v>
      </c>
      <c r="C1747" s="17" t="s">
        <v>6454</v>
      </c>
      <c r="D1747" s="19" t="s">
        <v>6455</v>
      </c>
      <c r="E1747" s="20" t="s">
        <v>1830</v>
      </c>
      <c r="F1747" s="27">
        <v>37586.0</v>
      </c>
      <c r="G1747" s="14">
        <v>23.0</v>
      </c>
      <c r="H1747" s="23" t="s">
        <v>100</v>
      </c>
      <c r="I1747" s="24" t="s">
        <v>33</v>
      </c>
      <c r="J1747" s="19" t="s">
        <v>6435</v>
      </c>
      <c r="K1747" s="14">
        <v>9.0</v>
      </c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</row>
    <row r="1748">
      <c r="A1748" s="14" t="s">
        <v>6456</v>
      </c>
      <c r="B1748" s="17" t="s">
        <v>6432</v>
      </c>
      <c r="C1748" s="17" t="s">
        <v>6457</v>
      </c>
      <c r="D1748" s="19" t="s">
        <v>6458</v>
      </c>
      <c r="E1748" s="20" t="s">
        <v>1830</v>
      </c>
      <c r="F1748" s="21">
        <v>35199.0</v>
      </c>
      <c r="G1748" s="14">
        <v>30.0</v>
      </c>
      <c r="H1748" s="23" t="s">
        <v>100</v>
      </c>
      <c r="I1748" s="24" t="s">
        <v>33</v>
      </c>
      <c r="J1748" s="19" t="s">
        <v>6435</v>
      </c>
      <c r="K1748" s="14">
        <v>9.0</v>
      </c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</row>
    <row r="1749">
      <c r="A1749" s="14" t="s">
        <v>6459</v>
      </c>
      <c r="B1749" s="17" t="s">
        <v>6460</v>
      </c>
      <c r="C1749" s="17" t="s">
        <v>6461</v>
      </c>
      <c r="D1749" s="19" t="s">
        <v>6462</v>
      </c>
      <c r="E1749" s="20" t="s">
        <v>337</v>
      </c>
      <c r="F1749" s="21">
        <v>37516.0</v>
      </c>
      <c r="G1749" s="14">
        <v>23.0</v>
      </c>
      <c r="H1749" s="23" t="s">
        <v>26</v>
      </c>
      <c r="I1749" s="24" t="s">
        <v>33</v>
      </c>
      <c r="J1749" s="19" t="s">
        <v>53</v>
      </c>
      <c r="K1749" s="14">
        <v>12.0</v>
      </c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</row>
    <row r="1750">
      <c r="A1750" s="14" t="s">
        <v>6463</v>
      </c>
      <c r="B1750" s="17" t="s">
        <v>6464</v>
      </c>
      <c r="C1750" s="17" t="s">
        <v>6465</v>
      </c>
      <c r="D1750" s="19" t="s">
        <v>6466</v>
      </c>
      <c r="E1750" s="20" t="s">
        <v>104</v>
      </c>
      <c r="F1750" s="21">
        <v>29787.0</v>
      </c>
      <c r="G1750" s="14">
        <v>45.0</v>
      </c>
      <c r="H1750" s="23" t="s">
        <v>26</v>
      </c>
      <c r="I1750" s="24" t="s">
        <v>27</v>
      </c>
      <c r="J1750" s="19" t="s">
        <v>282</v>
      </c>
      <c r="K1750" s="14">
        <v>17.0</v>
      </c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</row>
    <row r="1751">
      <c r="A1751" s="14" t="s">
        <v>6468</v>
      </c>
      <c r="B1751" s="17" t="s">
        <v>6464</v>
      </c>
      <c r="C1751" s="17" t="s">
        <v>6469</v>
      </c>
      <c r="D1751" s="19" t="s">
        <v>6470</v>
      </c>
      <c r="E1751" s="20" t="s">
        <v>231</v>
      </c>
      <c r="F1751" s="21">
        <v>25678.0</v>
      </c>
      <c r="G1751" s="14">
        <v>56.0</v>
      </c>
      <c r="H1751" s="23" t="s">
        <v>26</v>
      </c>
      <c r="I1751" s="24" t="s">
        <v>33</v>
      </c>
      <c r="J1751" s="19" t="s">
        <v>282</v>
      </c>
      <c r="K1751" s="14">
        <v>17.0</v>
      </c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</row>
    <row r="1752">
      <c r="A1752" s="14" t="s">
        <v>6471</v>
      </c>
      <c r="B1752" s="17" t="s">
        <v>6464</v>
      </c>
      <c r="C1752" s="17" t="s">
        <v>6472</v>
      </c>
      <c r="D1752" s="19" t="s">
        <v>6473</v>
      </c>
      <c r="E1752" s="20" t="s">
        <v>1095</v>
      </c>
      <c r="F1752" s="21">
        <v>37695.0</v>
      </c>
      <c r="G1752" s="14">
        <v>23.0</v>
      </c>
      <c r="H1752" s="23" t="s">
        <v>100</v>
      </c>
      <c r="I1752" s="24" t="s">
        <v>27</v>
      </c>
      <c r="J1752" s="19" t="s">
        <v>282</v>
      </c>
      <c r="K1752" s="14">
        <v>17.0</v>
      </c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</row>
    <row r="1753">
      <c r="A1753" s="14" t="s">
        <v>6474</v>
      </c>
      <c r="B1753" s="17" t="s">
        <v>6475</v>
      </c>
      <c r="C1753" s="17" t="s">
        <v>6476</v>
      </c>
      <c r="D1753" s="19" t="s">
        <v>6477</v>
      </c>
      <c r="E1753" s="20" t="s">
        <v>769</v>
      </c>
      <c r="F1753" s="21">
        <v>33820.0</v>
      </c>
      <c r="G1753" s="14">
        <v>34.0</v>
      </c>
      <c r="H1753" s="23" t="s">
        <v>26</v>
      </c>
      <c r="I1753" s="24" t="s">
        <v>27</v>
      </c>
      <c r="J1753" s="19" t="s">
        <v>328</v>
      </c>
      <c r="K1753" s="14">
        <v>22.0</v>
      </c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</row>
    <row r="1754">
      <c r="A1754" s="14" t="s">
        <v>6478</v>
      </c>
      <c r="B1754" s="17" t="s">
        <v>6475</v>
      </c>
      <c r="C1754" s="17" t="s">
        <v>6479</v>
      </c>
      <c r="D1754" s="19" t="s">
        <v>6480</v>
      </c>
      <c r="E1754" s="20" t="s">
        <v>1095</v>
      </c>
      <c r="F1754" s="21">
        <v>29597.0</v>
      </c>
      <c r="G1754" s="14">
        <v>45.0</v>
      </c>
      <c r="H1754" s="23" t="s">
        <v>26</v>
      </c>
      <c r="I1754" s="24" t="s">
        <v>33</v>
      </c>
      <c r="J1754" s="19" t="s">
        <v>328</v>
      </c>
      <c r="K1754" s="14">
        <v>22.0</v>
      </c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</row>
    <row r="1755">
      <c r="A1755" s="14" t="s">
        <v>6481</v>
      </c>
      <c r="B1755" s="17" t="s">
        <v>6482</v>
      </c>
      <c r="C1755" s="17" t="s">
        <v>6483</v>
      </c>
      <c r="D1755" s="19" t="s">
        <v>6484</v>
      </c>
      <c r="E1755" s="20" t="s">
        <v>654</v>
      </c>
      <c r="F1755" s="27">
        <v>27386.0</v>
      </c>
      <c r="G1755" s="14">
        <v>51.0</v>
      </c>
      <c r="H1755" s="23" t="s">
        <v>26</v>
      </c>
      <c r="I1755" s="24" t="s">
        <v>27</v>
      </c>
      <c r="J1755" s="19" t="s">
        <v>53</v>
      </c>
      <c r="K1755" s="14">
        <v>21.0</v>
      </c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</row>
    <row r="1756">
      <c r="A1756" s="14" t="s">
        <v>6485</v>
      </c>
      <c r="B1756" s="17" t="s">
        <v>6482</v>
      </c>
      <c r="C1756" s="17" t="s">
        <v>6486</v>
      </c>
      <c r="D1756" s="19" t="s">
        <v>6487</v>
      </c>
      <c r="E1756" s="20" t="s">
        <v>650</v>
      </c>
      <c r="F1756" s="21">
        <v>25708.0</v>
      </c>
      <c r="G1756" s="14">
        <v>56.0</v>
      </c>
      <c r="H1756" s="23" t="s">
        <v>26</v>
      </c>
      <c r="I1756" s="24" t="s">
        <v>33</v>
      </c>
      <c r="J1756" s="19" t="s">
        <v>53</v>
      </c>
      <c r="K1756" s="14">
        <v>21.0</v>
      </c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</row>
    <row r="1757">
      <c r="A1757" s="14" t="s">
        <v>6488</v>
      </c>
      <c r="B1757" s="17" t="s">
        <v>6489</v>
      </c>
      <c r="C1757" s="17" t="s">
        <v>6490</v>
      </c>
      <c r="D1757" s="19" t="s">
        <v>6491</v>
      </c>
      <c r="E1757" s="20" t="s">
        <v>53</v>
      </c>
      <c r="F1757" s="21">
        <v>29284.0</v>
      </c>
      <c r="G1757" s="14">
        <v>46.0</v>
      </c>
      <c r="H1757" s="23" t="s">
        <v>26</v>
      </c>
      <c r="I1757" s="24" t="s">
        <v>27</v>
      </c>
      <c r="J1757" s="19" t="s">
        <v>257</v>
      </c>
      <c r="K1757" s="14">
        <v>8.0</v>
      </c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</row>
    <row r="1758">
      <c r="A1758" s="14" t="s">
        <v>6492</v>
      </c>
      <c r="B1758" s="17" t="s">
        <v>6489</v>
      </c>
      <c r="C1758" s="17" t="s">
        <v>6493</v>
      </c>
      <c r="D1758" s="19" t="s">
        <v>6494</v>
      </c>
      <c r="E1758" s="20" t="s">
        <v>53</v>
      </c>
      <c r="F1758" s="21">
        <v>28950.0</v>
      </c>
      <c r="G1758" s="14">
        <v>47.0</v>
      </c>
      <c r="H1758" s="23" t="s">
        <v>26</v>
      </c>
      <c r="I1758" s="24" t="s">
        <v>33</v>
      </c>
      <c r="J1758" s="19" t="s">
        <v>257</v>
      </c>
      <c r="K1758" s="14">
        <v>8.0</v>
      </c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</row>
    <row r="1759">
      <c r="A1759" s="14" t="s">
        <v>6495</v>
      </c>
      <c r="B1759" s="17" t="s">
        <v>6496</v>
      </c>
      <c r="C1759" s="17" t="s">
        <v>6497</v>
      </c>
      <c r="D1759" s="19" t="s">
        <v>6498</v>
      </c>
      <c r="E1759" s="20" t="s">
        <v>632</v>
      </c>
      <c r="F1759" s="21">
        <v>21777.0</v>
      </c>
      <c r="G1759" s="14">
        <v>67.0</v>
      </c>
      <c r="H1759" s="23" t="s">
        <v>26</v>
      </c>
      <c r="I1759" s="24" t="s">
        <v>27</v>
      </c>
      <c r="J1759" s="19" t="s">
        <v>206</v>
      </c>
      <c r="K1759" s="14">
        <v>4.0</v>
      </c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</row>
    <row r="1760">
      <c r="A1760" s="14" t="s">
        <v>6499</v>
      </c>
      <c r="B1760" s="17" t="s">
        <v>6496</v>
      </c>
      <c r="C1760" s="17" t="s">
        <v>6500</v>
      </c>
      <c r="D1760" s="19" t="s">
        <v>2459</v>
      </c>
      <c r="E1760" s="20" t="s">
        <v>632</v>
      </c>
      <c r="F1760" s="27">
        <v>20390.0</v>
      </c>
      <c r="G1760" s="14">
        <v>70.0</v>
      </c>
      <c r="H1760" s="23" t="s">
        <v>26</v>
      </c>
      <c r="I1760" s="24" t="s">
        <v>33</v>
      </c>
      <c r="J1760" s="19" t="s">
        <v>206</v>
      </c>
      <c r="K1760" s="14">
        <v>4.0</v>
      </c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</row>
    <row r="1761">
      <c r="A1761" s="14" t="s">
        <v>6501</v>
      </c>
      <c r="B1761" s="17" t="s">
        <v>6502</v>
      </c>
      <c r="C1761" s="17" t="s">
        <v>6503</v>
      </c>
      <c r="D1761" s="19" t="s">
        <v>6504</v>
      </c>
      <c r="E1761" s="20" t="s">
        <v>4958</v>
      </c>
      <c r="F1761" s="21">
        <v>37623.0</v>
      </c>
      <c r="G1761" s="14">
        <v>23.0</v>
      </c>
      <c r="H1761" s="23" t="s">
        <v>100</v>
      </c>
      <c r="I1761" s="24" t="s">
        <v>27</v>
      </c>
      <c r="J1761" s="19" t="s">
        <v>53</v>
      </c>
      <c r="K1761" s="14">
        <v>32.0</v>
      </c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</row>
    <row r="1762">
      <c r="A1762" s="14" t="s">
        <v>6505</v>
      </c>
      <c r="B1762" s="17" t="s">
        <v>6502</v>
      </c>
      <c r="C1762" s="17" t="s">
        <v>6506</v>
      </c>
      <c r="D1762" s="19" t="s">
        <v>6507</v>
      </c>
      <c r="E1762" s="20" t="s">
        <v>67</v>
      </c>
      <c r="F1762" s="21">
        <v>26012.0</v>
      </c>
      <c r="G1762" s="14">
        <v>55.0</v>
      </c>
      <c r="H1762" s="23" t="s">
        <v>27</v>
      </c>
      <c r="I1762" s="24" t="s">
        <v>33</v>
      </c>
      <c r="J1762" s="19" t="s">
        <v>53</v>
      </c>
      <c r="K1762" s="14">
        <v>32.0</v>
      </c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</row>
    <row r="1763">
      <c r="A1763" s="14" t="s">
        <v>6508</v>
      </c>
      <c r="B1763" s="17" t="s">
        <v>6509</v>
      </c>
      <c r="C1763" s="17" t="s">
        <v>6510</v>
      </c>
      <c r="D1763" s="19" t="s">
        <v>6511</v>
      </c>
      <c r="E1763" s="20" t="s">
        <v>6512</v>
      </c>
      <c r="F1763" s="21">
        <v>33338.0</v>
      </c>
      <c r="G1763" s="14">
        <v>35.0</v>
      </c>
      <c r="H1763" s="23" t="s">
        <v>26</v>
      </c>
      <c r="I1763" s="24" t="s">
        <v>33</v>
      </c>
      <c r="J1763" s="19" t="s">
        <v>726</v>
      </c>
      <c r="K1763" s="14">
        <v>17.0</v>
      </c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</row>
    <row r="1764">
      <c r="A1764" s="14" t="s">
        <v>6513</v>
      </c>
      <c r="B1764" s="17" t="s">
        <v>6509</v>
      </c>
      <c r="C1764" s="17" t="s">
        <v>6514</v>
      </c>
      <c r="D1764" s="19" t="s">
        <v>6515</v>
      </c>
      <c r="E1764" s="20" t="s">
        <v>104</v>
      </c>
      <c r="F1764" s="27">
        <v>35411.0</v>
      </c>
      <c r="G1764" s="14">
        <v>29.0</v>
      </c>
      <c r="H1764" s="23" t="s">
        <v>26</v>
      </c>
      <c r="I1764" s="24" t="s">
        <v>27</v>
      </c>
      <c r="J1764" s="19" t="s">
        <v>726</v>
      </c>
      <c r="K1764" s="14">
        <v>17.0</v>
      </c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</row>
    <row r="1765">
      <c r="A1765" s="14" t="s">
        <v>6516</v>
      </c>
      <c r="B1765" s="17" t="s">
        <v>6517</v>
      </c>
      <c r="C1765" s="17" t="s">
        <v>6518</v>
      </c>
      <c r="D1765" s="19" t="s">
        <v>6519</v>
      </c>
      <c r="E1765" s="20" t="s">
        <v>104</v>
      </c>
      <c r="F1765" s="21">
        <v>28315.0</v>
      </c>
      <c r="G1765" s="14">
        <v>49.0</v>
      </c>
      <c r="H1765" s="23" t="s">
        <v>26</v>
      </c>
      <c r="I1765" s="24" t="s">
        <v>33</v>
      </c>
      <c r="J1765" s="19" t="s">
        <v>58</v>
      </c>
      <c r="K1765" s="14">
        <v>5.0</v>
      </c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</row>
    <row r="1766">
      <c r="A1766" s="14" t="s">
        <v>6520</v>
      </c>
      <c r="B1766" s="17" t="s">
        <v>6517</v>
      </c>
      <c r="C1766" s="17" t="s">
        <v>6521</v>
      </c>
      <c r="D1766" s="19" t="s">
        <v>1279</v>
      </c>
      <c r="E1766" s="20" t="s">
        <v>150</v>
      </c>
      <c r="F1766" s="21">
        <v>37724.0</v>
      </c>
      <c r="G1766" s="14">
        <v>23.0</v>
      </c>
      <c r="H1766" s="23" t="s">
        <v>100</v>
      </c>
      <c r="I1766" s="24" t="s">
        <v>27</v>
      </c>
      <c r="J1766" s="19" t="s">
        <v>58</v>
      </c>
      <c r="K1766" s="14">
        <v>5.0</v>
      </c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</row>
    <row r="1767">
      <c r="A1767" s="14" t="s">
        <v>6522</v>
      </c>
      <c r="B1767" s="17" t="s">
        <v>6517</v>
      </c>
      <c r="C1767" s="17" t="s">
        <v>6523</v>
      </c>
      <c r="D1767" s="19" t="s">
        <v>6524</v>
      </c>
      <c r="E1767" s="20" t="s">
        <v>104</v>
      </c>
      <c r="F1767" s="21">
        <v>30743.0</v>
      </c>
      <c r="G1767" s="14">
        <v>42.0</v>
      </c>
      <c r="H1767" s="23" t="s">
        <v>26</v>
      </c>
      <c r="I1767" s="24" t="s">
        <v>27</v>
      </c>
      <c r="J1767" s="19" t="s">
        <v>58</v>
      </c>
      <c r="K1767" s="14">
        <v>5.0</v>
      </c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</row>
    <row r="1768">
      <c r="A1768" s="14" t="s">
        <v>6525</v>
      </c>
      <c r="B1768" s="17" t="s">
        <v>6526</v>
      </c>
      <c r="C1768" s="17" t="s">
        <v>6527</v>
      </c>
      <c r="D1768" s="19" t="s">
        <v>6528</v>
      </c>
      <c r="E1768" s="20" t="s">
        <v>337</v>
      </c>
      <c r="F1768" s="27">
        <v>37205.0</v>
      </c>
      <c r="G1768" s="14">
        <v>24.0</v>
      </c>
      <c r="H1768" s="23" t="s">
        <v>100</v>
      </c>
      <c r="I1768" s="24" t="s">
        <v>33</v>
      </c>
      <c r="J1768" s="19" t="s">
        <v>53</v>
      </c>
      <c r="K1768" s="14">
        <v>9.0</v>
      </c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</row>
    <row r="1769">
      <c r="A1769" s="14" t="s">
        <v>6529</v>
      </c>
      <c r="B1769" s="17" t="s">
        <v>6526</v>
      </c>
      <c r="C1769" s="17" t="s">
        <v>6530</v>
      </c>
      <c r="D1769" s="19" t="s">
        <v>6531</v>
      </c>
      <c r="E1769" s="20" t="s">
        <v>650</v>
      </c>
      <c r="F1769" s="21">
        <v>26497.0</v>
      </c>
      <c r="G1769" s="14">
        <v>54.0</v>
      </c>
      <c r="H1769" s="23" t="s">
        <v>26</v>
      </c>
      <c r="I1769" s="24" t="s">
        <v>27</v>
      </c>
      <c r="J1769" s="19" t="s">
        <v>53</v>
      </c>
      <c r="K1769" s="14">
        <v>9.0</v>
      </c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</row>
    <row r="1770">
      <c r="A1770" s="14" t="s">
        <v>6532</v>
      </c>
      <c r="B1770" s="17" t="s">
        <v>6526</v>
      </c>
      <c r="C1770" s="17" t="s">
        <v>6533</v>
      </c>
      <c r="D1770" s="19" t="s">
        <v>6534</v>
      </c>
      <c r="E1770" s="20" t="s">
        <v>650</v>
      </c>
      <c r="F1770" s="21">
        <v>23575.0</v>
      </c>
      <c r="G1770" s="14">
        <v>62.0</v>
      </c>
      <c r="H1770" s="23" t="s">
        <v>26</v>
      </c>
      <c r="I1770" s="24" t="s">
        <v>33</v>
      </c>
      <c r="J1770" s="19" t="s">
        <v>53</v>
      </c>
      <c r="K1770" s="14">
        <v>9.0</v>
      </c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</row>
    <row r="1771">
      <c r="A1771" s="14" t="s">
        <v>6535</v>
      </c>
      <c r="B1771" s="17" t="s">
        <v>6536</v>
      </c>
      <c r="C1771" s="17" t="s">
        <v>6537</v>
      </c>
      <c r="D1771" s="19" t="s">
        <v>6538</v>
      </c>
      <c r="E1771" s="20" t="s">
        <v>231</v>
      </c>
      <c r="F1771" s="21">
        <v>23240.0</v>
      </c>
      <c r="G1771" s="14">
        <v>63.0</v>
      </c>
      <c r="H1771" s="23" t="s">
        <v>26</v>
      </c>
      <c r="I1771" s="24" t="s">
        <v>33</v>
      </c>
      <c r="J1771" s="19" t="s">
        <v>146</v>
      </c>
      <c r="K1771" s="14">
        <v>9.0</v>
      </c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</row>
    <row r="1772">
      <c r="A1772" s="14" t="s">
        <v>6539</v>
      </c>
      <c r="B1772" s="17" t="s">
        <v>6536</v>
      </c>
      <c r="C1772" s="17" t="s">
        <v>6540</v>
      </c>
      <c r="D1772" s="19" t="s">
        <v>6541</v>
      </c>
      <c r="E1772" s="20" t="s">
        <v>104</v>
      </c>
      <c r="F1772" s="21">
        <v>36423.0</v>
      </c>
      <c r="G1772" s="14">
        <v>26.0</v>
      </c>
      <c r="H1772" s="23" t="s">
        <v>100</v>
      </c>
      <c r="I1772" s="24" t="s">
        <v>33</v>
      </c>
      <c r="J1772" s="19" t="s">
        <v>146</v>
      </c>
      <c r="K1772" s="14">
        <v>10.0</v>
      </c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</row>
    <row r="1773">
      <c r="A1773" s="14" t="s">
        <v>6542</v>
      </c>
      <c r="B1773" s="17" t="s">
        <v>6536</v>
      </c>
      <c r="C1773" s="17" t="s">
        <v>6543</v>
      </c>
      <c r="D1773" s="19" t="s">
        <v>6544</v>
      </c>
      <c r="E1773" s="20" t="s">
        <v>654</v>
      </c>
      <c r="F1773" s="21">
        <v>25036.0</v>
      </c>
      <c r="G1773" s="14">
        <v>58.0</v>
      </c>
      <c r="H1773" s="23" t="s">
        <v>26</v>
      </c>
      <c r="I1773" s="24" t="s">
        <v>27</v>
      </c>
      <c r="J1773" s="19" t="s">
        <v>146</v>
      </c>
      <c r="K1773" s="14">
        <v>9.0</v>
      </c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</row>
    <row r="1774">
      <c r="A1774" s="14" t="s">
        <v>6545</v>
      </c>
      <c r="B1774" s="17" t="s">
        <v>6546</v>
      </c>
      <c r="C1774" s="17" t="s">
        <v>6547</v>
      </c>
      <c r="D1774" s="19" t="s">
        <v>80</v>
      </c>
      <c r="E1774" s="20" t="s">
        <v>654</v>
      </c>
      <c r="F1774" s="21">
        <v>26819.0</v>
      </c>
      <c r="G1774" s="14">
        <v>53.0</v>
      </c>
      <c r="H1774" s="23" t="s">
        <v>26</v>
      </c>
      <c r="I1774" s="24" t="s">
        <v>27</v>
      </c>
      <c r="J1774" s="19" t="s">
        <v>3387</v>
      </c>
      <c r="K1774" s="14">
        <v>9.0</v>
      </c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</row>
    <row r="1775">
      <c r="A1775" s="14" t="s">
        <v>6548</v>
      </c>
      <c r="B1775" s="17" t="s">
        <v>6546</v>
      </c>
      <c r="C1775" s="17" t="s">
        <v>6549</v>
      </c>
      <c r="D1775" s="19" t="s">
        <v>6550</v>
      </c>
      <c r="E1775" s="20" t="s">
        <v>650</v>
      </c>
      <c r="F1775" s="21">
        <v>25674.0</v>
      </c>
      <c r="G1775" s="14">
        <v>56.0</v>
      </c>
      <c r="H1775" s="23" t="s">
        <v>26</v>
      </c>
      <c r="I1775" s="24" t="s">
        <v>33</v>
      </c>
      <c r="J1775" s="19" t="s">
        <v>3387</v>
      </c>
      <c r="K1775" s="14">
        <v>9.0</v>
      </c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</row>
    <row r="1776">
      <c r="A1776" s="14" t="s">
        <v>6551</v>
      </c>
      <c r="B1776" s="17" t="s">
        <v>6552</v>
      </c>
      <c r="C1776" s="17" t="s">
        <v>6553</v>
      </c>
      <c r="D1776" s="19" t="s">
        <v>6554</v>
      </c>
      <c r="E1776" s="20" t="s">
        <v>654</v>
      </c>
      <c r="F1776" s="21">
        <v>19922.0</v>
      </c>
      <c r="G1776" s="14">
        <v>72.0</v>
      </c>
      <c r="H1776" s="23" t="s">
        <v>26</v>
      </c>
      <c r="I1776" s="24" t="s">
        <v>33</v>
      </c>
      <c r="J1776" s="19" t="s">
        <v>6555</v>
      </c>
      <c r="K1776" s="14">
        <v>9.0</v>
      </c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</row>
    <row r="1777">
      <c r="A1777" s="14" t="s">
        <v>6556</v>
      </c>
      <c r="B1777" s="17" t="s">
        <v>6552</v>
      </c>
      <c r="C1777" s="17" t="s">
        <v>6557</v>
      </c>
      <c r="D1777" s="19" t="s">
        <v>6558</v>
      </c>
      <c r="E1777" s="20" t="s">
        <v>104</v>
      </c>
      <c r="F1777" s="21">
        <v>24993.0</v>
      </c>
      <c r="G1777" s="14">
        <v>58.0</v>
      </c>
      <c r="H1777" s="23" t="s">
        <v>26</v>
      </c>
      <c r="I1777" s="24" t="s">
        <v>27</v>
      </c>
      <c r="J1777" s="19" t="s">
        <v>6555</v>
      </c>
      <c r="K1777" s="14">
        <v>9.0</v>
      </c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</row>
    <row r="1778">
      <c r="A1778" s="14" t="s">
        <v>6559</v>
      </c>
      <c r="B1778" s="17" t="s">
        <v>6560</v>
      </c>
      <c r="C1778" s="17" t="s">
        <v>6561</v>
      </c>
      <c r="D1778" s="19" t="s">
        <v>6562</v>
      </c>
      <c r="E1778" s="20" t="s">
        <v>104</v>
      </c>
      <c r="F1778" s="27">
        <v>28790.0</v>
      </c>
      <c r="G1778" s="14">
        <v>47.0</v>
      </c>
      <c r="H1778" s="23" t="s">
        <v>26</v>
      </c>
      <c r="I1778" s="24" t="s">
        <v>33</v>
      </c>
      <c r="J1778" s="19" t="s">
        <v>6563</v>
      </c>
      <c r="K1778" s="14">
        <v>9.0</v>
      </c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</row>
    <row r="1779">
      <c r="A1779" s="14" t="s">
        <v>6564</v>
      </c>
      <c r="B1779" s="17" t="s">
        <v>6560</v>
      </c>
      <c r="C1779" s="17" t="s">
        <v>6565</v>
      </c>
      <c r="D1779" s="19" t="s">
        <v>6566</v>
      </c>
      <c r="E1779" s="20" t="s">
        <v>104</v>
      </c>
      <c r="F1779" s="21">
        <v>31668.0</v>
      </c>
      <c r="G1779" s="14">
        <v>39.0</v>
      </c>
      <c r="H1779" s="23" t="s">
        <v>26</v>
      </c>
      <c r="I1779" s="24" t="s">
        <v>27</v>
      </c>
      <c r="J1779" s="19" t="s">
        <v>6563</v>
      </c>
      <c r="K1779" s="14">
        <v>9.0</v>
      </c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</row>
    <row r="1780">
      <c r="A1780" s="14" t="s">
        <v>6567</v>
      </c>
      <c r="B1780" s="17" t="s">
        <v>6560</v>
      </c>
      <c r="C1780" s="17" t="s">
        <v>6568</v>
      </c>
      <c r="D1780" s="19" t="s">
        <v>6569</v>
      </c>
      <c r="E1780" s="20" t="s">
        <v>104</v>
      </c>
      <c r="F1780" s="21">
        <v>38783.0</v>
      </c>
      <c r="G1780" s="14">
        <v>20.0</v>
      </c>
      <c r="H1780" s="23" t="s">
        <v>100</v>
      </c>
      <c r="I1780" s="24" t="s">
        <v>33</v>
      </c>
      <c r="J1780" s="19" t="s">
        <v>6563</v>
      </c>
      <c r="K1780" s="14">
        <v>9.0</v>
      </c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</row>
    <row r="1781">
      <c r="A1781" s="14" t="s">
        <v>6570</v>
      </c>
      <c r="B1781" s="17" t="s">
        <v>6571</v>
      </c>
      <c r="C1781" s="17" t="s">
        <v>6572</v>
      </c>
      <c r="D1781" s="19" t="s">
        <v>2185</v>
      </c>
      <c r="E1781" s="20" t="s">
        <v>434</v>
      </c>
      <c r="F1781" s="21">
        <v>16619.0</v>
      </c>
      <c r="G1781" s="14">
        <v>81.0</v>
      </c>
      <c r="H1781" s="23" t="s">
        <v>27</v>
      </c>
      <c r="I1781" s="24" t="s">
        <v>27</v>
      </c>
      <c r="J1781" s="19" t="s">
        <v>3387</v>
      </c>
      <c r="K1781" s="14">
        <v>9.0</v>
      </c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</row>
    <row r="1782">
      <c r="A1782" s="14" t="s">
        <v>6573</v>
      </c>
      <c r="B1782" s="17" t="s">
        <v>6571</v>
      </c>
      <c r="C1782" s="17" t="s">
        <v>6574</v>
      </c>
      <c r="D1782" s="19" t="s">
        <v>6575</v>
      </c>
      <c r="E1782" s="20" t="s">
        <v>53</v>
      </c>
      <c r="F1782" s="21">
        <v>29125.0</v>
      </c>
      <c r="G1782" s="14">
        <v>46.0</v>
      </c>
      <c r="H1782" s="23" t="s">
        <v>26</v>
      </c>
      <c r="I1782" s="24" t="s">
        <v>27</v>
      </c>
      <c r="J1782" s="19" t="s">
        <v>3387</v>
      </c>
      <c r="K1782" s="14">
        <v>9.0</v>
      </c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</row>
    <row r="1783">
      <c r="A1783" s="14" t="s">
        <v>6577</v>
      </c>
      <c r="B1783" s="17" t="s">
        <v>6571</v>
      </c>
      <c r="C1783" s="17" t="s">
        <v>6578</v>
      </c>
      <c r="D1783" s="19" t="s">
        <v>6579</v>
      </c>
      <c r="E1783" s="20" t="s">
        <v>53</v>
      </c>
      <c r="F1783" s="21">
        <v>28196.0</v>
      </c>
      <c r="G1783" s="14">
        <v>49.0</v>
      </c>
      <c r="H1783" s="23" t="s">
        <v>26</v>
      </c>
      <c r="I1783" s="24" t="s">
        <v>33</v>
      </c>
      <c r="J1783" s="19" t="s">
        <v>3387</v>
      </c>
      <c r="K1783" s="14">
        <v>9.0</v>
      </c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</row>
    <row r="1784">
      <c r="A1784" s="14" t="s">
        <v>6580</v>
      </c>
      <c r="B1784" s="17" t="s">
        <v>6581</v>
      </c>
      <c r="C1784" s="17" t="s">
        <v>6582</v>
      </c>
      <c r="D1784" s="19" t="s">
        <v>6583</v>
      </c>
      <c r="E1784" s="20" t="s">
        <v>632</v>
      </c>
      <c r="F1784" s="21">
        <v>18810.0</v>
      </c>
      <c r="G1784" s="14">
        <v>75.0</v>
      </c>
      <c r="H1784" s="23" t="s">
        <v>26</v>
      </c>
      <c r="I1784" s="24" t="s">
        <v>33</v>
      </c>
      <c r="J1784" s="19" t="s">
        <v>517</v>
      </c>
      <c r="K1784" s="14">
        <v>9.0</v>
      </c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</row>
    <row r="1785">
      <c r="A1785" s="14" t="s">
        <v>6584</v>
      </c>
      <c r="B1785" s="17" t="s">
        <v>6581</v>
      </c>
      <c r="C1785" s="17" t="s">
        <v>6585</v>
      </c>
      <c r="D1785" s="19" t="s">
        <v>6586</v>
      </c>
      <c r="E1785" s="20" t="s">
        <v>632</v>
      </c>
      <c r="F1785" s="21">
        <v>22828.0</v>
      </c>
      <c r="G1785" s="14">
        <v>64.0</v>
      </c>
      <c r="H1785" s="23" t="s">
        <v>26</v>
      </c>
      <c r="I1785" s="24" t="s">
        <v>27</v>
      </c>
      <c r="J1785" s="19" t="s">
        <v>517</v>
      </c>
      <c r="K1785" s="14">
        <v>9.0</v>
      </c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</row>
    <row r="1786">
      <c r="A1786" s="14" t="s">
        <v>6587</v>
      </c>
      <c r="B1786" s="17" t="s">
        <v>6588</v>
      </c>
      <c r="C1786" s="17" t="s">
        <v>6589</v>
      </c>
      <c r="D1786" s="19" t="s">
        <v>6590</v>
      </c>
      <c r="E1786" s="20" t="s">
        <v>104</v>
      </c>
      <c r="F1786" s="21">
        <v>37142.0</v>
      </c>
      <c r="G1786" s="14">
        <v>24.0</v>
      </c>
      <c r="H1786" s="23" t="s">
        <v>100</v>
      </c>
      <c r="I1786" s="24" t="s">
        <v>33</v>
      </c>
      <c r="J1786" s="19" t="s">
        <v>939</v>
      </c>
      <c r="K1786" s="14">
        <v>9.0</v>
      </c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</row>
    <row r="1787">
      <c r="A1787" s="14" t="s">
        <v>6591</v>
      </c>
      <c r="B1787" s="17" t="s">
        <v>6592</v>
      </c>
      <c r="C1787" s="17" t="s">
        <v>6593</v>
      </c>
      <c r="D1787" s="19" t="s">
        <v>5367</v>
      </c>
      <c r="E1787" s="20" t="s">
        <v>112</v>
      </c>
      <c r="F1787" s="21">
        <v>30053.0</v>
      </c>
      <c r="G1787" s="14">
        <v>44.0</v>
      </c>
      <c r="H1787" s="23" t="s">
        <v>26</v>
      </c>
      <c r="I1787" s="24" t="s">
        <v>27</v>
      </c>
      <c r="J1787" s="19" t="s">
        <v>939</v>
      </c>
      <c r="K1787" s="14">
        <v>9.0</v>
      </c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</row>
    <row r="1788">
      <c r="A1788" s="14" t="s">
        <v>6594</v>
      </c>
      <c r="B1788" s="17" t="s">
        <v>6592</v>
      </c>
      <c r="C1788" s="17" t="s">
        <v>6595</v>
      </c>
      <c r="D1788" s="19" t="s">
        <v>6596</v>
      </c>
      <c r="E1788" s="20" t="s">
        <v>104</v>
      </c>
      <c r="F1788" s="21">
        <v>38777.0</v>
      </c>
      <c r="G1788" s="14">
        <v>20.0</v>
      </c>
      <c r="H1788" s="23" t="s">
        <v>100</v>
      </c>
      <c r="I1788" s="24" t="s">
        <v>27</v>
      </c>
      <c r="J1788" s="19" t="s">
        <v>939</v>
      </c>
      <c r="K1788" s="14">
        <v>9.0</v>
      </c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</row>
    <row r="1789">
      <c r="A1789" s="14" t="s">
        <v>6597</v>
      </c>
      <c r="B1789" s="17" t="s">
        <v>6592</v>
      </c>
      <c r="C1789" s="17" t="s">
        <v>6598</v>
      </c>
      <c r="D1789" s="19" t="s">
        <v>6599</v>
      </c>
      <c r="E1789" s="20" t="s">
        <v>434</v>
      </c>
      <c r="F1789" s="21">
        <v>24574.0</v>
      </c>
      <c r="G1789" s="14">
        <v>59.0</v>
      </c>
      <c r="H1789" s="23" t="s">
        <v>26</v>
      </c>
      <c r="I1789" s="24" t="s">
        <v>33</v>
      </c>
      <c r="J1789" s="19" t="s">
        <v>939</v>
      </c>
      <c r="K1789" s="14">
        <v>9.0</v>
      </c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</row>
    <row r="1790">
      <c r="A1790" s="14" t="s">
        <v>6600</v>
      </c>
      <c r="B1790" s="17" t="s">
        <v>6601</v>
      </c>
      <c r="C1790" s="17" t="s">
        <v>6602</v>
      </c>
      <c r="D1790" s="19" t="s">
        <v>1017</v>
      </c>
      <c r="E1790" s="20" t="s">
        <v>880</v>
      </c>
      <c r="F1790" s="21">
        <v>20196.0</v>
      </c>
      <c r="G1790" s="14">
        <v>71.0</v>
      </c>
      <c r="H1790" s="23" t="s">
        <v>26</v>
      </c>
      <c r="I1790" s="24" t="s">
        <v>27</v>
      </c>
      <c r="J1790" s="19" t="s">
        <v>517</v>
      </c>
      <c r="K1790" s="14">
        <v>8.0</v>
      </c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</row>
    <row r="1791">
      <c r="A1791" s="14" t="s">
        <v>6603</v>
      </c>
      <c r="B1791" s="17" t="s">
        <v>6604</v>
      </c>
      <c r="C1791" s="17" t="s">
        <v>6605</v>
      </c>
      <c r="D1791" s="19" t="s">
        <v>235</v>
      </c>
      <c r="E1791" s="20" t="s">
        <v>104</v>
      </c>
      <c r="F1791" s="21">
        <v>29726.0</v>
      </c>
      <c r="G1791" s="14">
        <v>45.0</v>
      </c>
      <c r="H1791" s="23" t="s">
        <v>26</v>
      </c>
      <c r="I1791" s="24" t="s">
        <v>27</v>
      </c>
      <c r="J1791" s="19" t="s">
        <v>517</v>
      </c>
      <c r="K1791" s="14">
        <v>8.0</v>
      </c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</row>
    <row r="1792">
      <c r="A1792" s="14" t="s">
        <v>6606</v>
      </c>
      <c r="B1792" s="17" t="s">
        <v>6604</v>
      </c>
      <c r="C1792" s="17" t="s">
        <v>6607</v>
      </c>
      <c r="D1792" s="19" t="s">
        <v>6608</v>
      </c>
      <c r="E1792" s="20" t="s">
        <v>104</v>
      </c>
      <c r="F1792" s="21">
        <v>39111.0</v>
      </c>
      <c r="G1792" s="14">
        <v>19.0</v>
      </c>
      <c r="H1792" s="23" t="s">
        <v>100</v>
      </c>
      <c r="I1792" s="24" t="s">
        <v>33</v>
      </c>
      <c r="J1792" s="19" t="s">
        <v>517</v>
      </c>
      <c r="K1792" s="14">
        <v>8.0</v>
      </c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</row>
    <row r="1793">
      <c r="A1793" s="14" t="s">
        <v>6609</v>
      </c>
      <c r="B1793" s="17" t="s">
        <v>6604</v>
      </c>
      <c r="C1793" s="17" t="s">
        <v>6610</v>
      </c>
      <c r="D1793" s="19" t="s">
        <v>6611</v>
      </c>
      <c r="E1793" s="20" t="s">
        <v>650</v>
      </c>
      <c r="F1793" s="21">
        <v>27768.0</v>
      </c>
      <c r="G1793" s="14">
        <v>50.0</v>
      </c>
      <c r="H1793" s="23" t="s">
        <v>26</v>
      </c>
      <c r="I1793" s="24" t="s">
        <v>33</v>
      </c>
      <c r="J1793" s="19" t="s">
        <v>517</v>
      </c>
      <c r="K1793" s="14">
        <v>8.0</v>
      </c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</row>
    <row r="1794">
      <c r="A1794" s="14" t="s">
        <v>6612</v>
      </c>
      <c r="B1794" s="17" t="s">
        <v>6613</v>
      </c>
      <c r="C1794" s="17" t="s">
        <v>6614</v>
      </c>
      <c r="D1794" s="19" t="s">
        <v>6615</v>
      </c>
      <c r="E1794" s="20" t="s">
        <v>53</v>
      </c>
      <c r="F1794" s="27">
        <v>36080.0</v>
      </c>
      <c r="G1794" s="14">
        <v>27.0</v>
      </c>
      <c r="H1794" s="23" t="s">
        <v>100</v>
      </c>
      <c r="I1794" s="24" t="s">
        <v>33</v>
      </c>
      <c r="J1794" s="19" t="s">
        <v>58</v>
      </c>
      <c r="K1794" s="14">
        <v>8.0</v>
      </c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</row>
    <row r="1795">
      <c r="A1795" s="14" t="s">
        <v>6616</v>
      </c>
      <c r="B1795" s="17" t="s">
        <v>6613</v>
      </c>
      <c r="C1795" s="17" t="s">
        <v>6617</v>
      </c>
      <c r="D1795" s="19" t="s">
        <v>6618</v>
      </c>
      <c r="E1795" s="20" t="s">
        <v>104</v>
      </c>
      <c r="F1795" s="27">
        <v>34285.0</v>
      </c>
      <c r="G1795" s="14">
        <v>32.0</v>
      </c>
      <c r="H1795" s="23" t="s">
        <v>100</v>
      </c>
      <c r="I1795" s="24" t="s">
        <v>27</v>
      </c>
      <c r="J1795" s="19" t="s">
        <v>58</v>
      </c>
      <c r="K1795" s="14">
        <v>8.0</v>
      </c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</row>
    <row r="1796">
      <c r="A1796" s="14" t="s">
        <v>6619</v>
      </c>
      <c r="B1796" s="17" t="s">
        <v>6613</v>
      </c>
      <c r="C1796" s="17" t="s">
        <v>6620</v>
      </c>
      <c r="D1796" s="19" t="s">
        <v>6621</v>
      </c>
      <c r="E1796" s="20" t="s">
        <v>434</v>
      </c>
      <c r="F1796" s="27">
        <v>19277.0</v>
      </c>
      <c r="G1796" s="14">
        <v>73.0</v>
      </c>
      <c r="H1796" s="23" t="s">
        <v>26</v>
      </c>
      <c r="I1796" s="24" t="s">
        <v>33</v>
      </c>
      <c r="J1796" s="19" t="s">
        <v>58</v>
      </c>
      <c r="K1796" s="14">
        <v>8.0</v>
      </c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</row>
    <row r="1797">
      <c r="A1797" s="14" t="s">
        <v>6622</v>
      </c>
      <c r="B1797" s="17" t="s">
        <v>6623</v>
      </c>
      <c r="C1797" s="17" t="s">
        <v>6624</v>
      </c>
      <c r="D1797" s="19" t="s">
        <v>6625</v>
      </c>
      <c r="E1797" s="20" t="s">
        <v>104</v>
      </c>
      <c r="F1797" s="21">
        <v>37002.0</v>
      </c>
      <c r="G1797" s="14">
        <v>25.0</v>
      </c>
      <c r="H1797" s="23" t="s">
        <v>100</v>
      </c>
      <c r="I1797" s="24" t="s">
        <v>27</v>
      </c>
      <c r="J1797" s="19" t="s">
        <v>517</v>
      </c>
      <c r="K1797" s="14">
        <v>8.0</v>
      </c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</row>
    <row r="1798">
      <c r="A1798" s="14" t="s">
        <v>6626</v>
      </c>
      <c r="B1798" s="17" t="s">
        <v>6623</v>
      </c>
      <c r="C1798" s="17" t="s">
        <v>6627</v>
      </c>
      <c r="D1798" s="19" t="s">
        <v>6628</v>
      </c>
      <c r="E1798" s="20" t="s">
        <v>632</v>
      </c>
      <c r="F1798" s="21">
        <v>23685.0</v>
      </c>
      <c r="G1798" s="14">
        <v>61.0</v>
      </c>
      <c r="H1798" s="23" t="s">
        <v>26</v>
      </c>
      <c r="I1798" s="24" t="s">
        <v>33</v>
      </c>
      <c r="J1798" s="19" t="s">
        <v>517</v>
      </c>
      <c r="K1798" s="14">
        <v>8.0</v>
      </c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</row>
    <row r="1799">
      <c r="A1799" s="14" t="s">
        <v>6629</v>
      </c>
      <c r="B1799" s="17" t="s">
        <v>6630</v>
      </c>
      <c r="C1799" s="17" t="s">
        <v>6631</v>
      </c>
      <c r="D1799" s="19" t="s">
        <v>6632</v>
      </c>
      <c r="E1799" s="20" t="s">
        <v>53</v>
      </c>
      <c r="F1799" s="27">
        <v>37984.0</v>
      </c>
      <c r="G1799" s="14">
        <v>22.0</v>
      </c>
      <c r="H1799" s="23" t="s">
        <v>100</v>
      </c>
      <c r="I1799" s="24" t="s">
        <v>33</v>
      </c>
      <c r="J1799" s="19" t="s">
        <v>517</v>
      </c>
      <c r="K1799" s="14">
        <v>8.0</v>
      </c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</row>
    <row r="1800">
      <c r="A1800" s="14" t="s">
        <v>6633</v>
      </c>
      <c r="B1800" s="17" t="s">
        <v>6630</v>
      </c>
      <c r="C1800" s="17" t="s">
        <v>6634</v>
      </c>
      <c r="D1800" s="19" t="s">
        <v>6635</v>
      </c>
      <c r="E1800" s="20" t="s">
        <v>632</v>
      </c>
      <c r="F1800" s="21">
        <v>23924.0</v>
      </c>
      <c r="G1800" s="14">
        <v>61.0</v>
      </c>
      <c r="H1800" s="23" t="s">
        <v>26</v>
      </c>
      <c r="I1800" s="24" t="s">
        <v>33</v>
      </c>
      <c r="J1800" s="19" t="s">
        <v>517</v>
      </c>
      <c r="K1800" s="14">
        <v>8.0</v>
      </c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</row>
    <row r="1801">
      <c r="A1801" s="14" t="s">
        <v>6636</v>
      </c>
      <c r="B1801" s="17" t="s">
        <v>6630</v>
      </c>
      <c r="C1801" s="17" t="s">
        <v>6637</v>
      </c>
      <c r="D1801" s="19" t="s">
        <v>6638</v>
      </c>
      <c r="E1801" s="20" t="s">
        <v>632</v>
      </c>
      <c r="F1801" s="21">
        <v>26118.0</v>
      </c>
      <c r="G1801" s="14">
        <v>55.0</v>
      </c>
      <c r="H1801" s="23" t="s">
        <v>26</v>
      </c>
      <c r="I1801" s="24" t="s">
        <v>27</v>
      </c>
      <c r="J1801" s="19" t="s">
        <v>517</v>
      </c>
      <c r="K1801" s="14">
        <v>8.0</v>
      </c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</row>
    <row r="1802">
      <c r="A1802" s="14" t="s">
        <v>6639</v>
      </c>
      <c r="B1802" s="17" t="s">
        <v>6640</v>
      </c>
      <c r="C1802" s="17" t="s">
        <v>6641</v>
      </c>
      <c r="D1802" s="19" t="s">
        <v>6642</v>
      </c>
      <c r="E1802" s="20" t="s">
        <v>290</v>
      </c>
      <c r="F1802" s="21">
        <v>25759.0</v>
      </c>
      <c r="G1802" s="14">
        <v>56.0</v>
      </c>
      <c r="H1802" s="23" t="s">
        <v>26</v>
      </c>
      <c r="I1802" s="24" t="s">
        <v>33</v>
      </c>
      <c r="J1802" s="19" t="s">
        <v>58</v>
      </c>
      <c r="K1802" s="14">
        <v>7.0</v>
      </c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</row>
    <row r="1803">
      <c r="A1803" s="14" t="s">
        <v>6643</v>
      </c>
      <c r="B1803" s="17" t="s">
        <v>6640</v>
      </c>
      <c r="C1803" s="17" t="s">
        <v>6644</v>
      </c>
      <c r="D1803" s="19" t="s">
        <v>6645</v>
      </c>
      <c r="E1803" s="20" t="s">
        <v>53</v>
      </c>
      <c r="F1803" s="21">
        <v>37036.0</v>
      </c>
      <c r="G1803" s="14">
        <v>25.0</v>
      </c>
      <c r="H1803" s="23" t="s">
        <v>100</v>
      </c>
      <c r="I1803" s="24" t="s">
        <v>27</v>
      </c>
      <c r="J1803" s="19" t="s">
        <v>58</v>
      </c>
      <c r="K1803" s="14">
        <v>7.0</v>
      </c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</row>
    <row r="1804">
      <c r="A1804" s="14" t="s">
        <v>6646</v>
      </c>
      <c r="B1804" s="17" t="s">
        <v>6640</v>
      </c>
      <c r="C1804" s="17" t="s">
        <v>6647</v>
      </c>
      <c r="D1804" s="19" t="s">
        <v>6648</v>
      </c>
      <c r="E1804" s="20" t="s">
        <v>1870</v>
      </c>
      <c r="F1804" s="27">
        <v>39008.0</v>
      </c>
      <c r="G1804" s="14">
        <v>19.0</v>
      </c>
      <c r="H1804" s="23" t="s">
        <v>100</v>
      </c>
      <c r="I1804" s="24" t="s">
        <v>33</v>
      </c>
      <c r="J1804" s="19" t="s">
        <v>58</v>
      </c>
      <c r="K1804" s="14">
        <v>7.0</v>
      </c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</row>
    <row r="1805">
      <c r="A1805" s="14" t="s">
        <v>6649</v>
      </c>
      <c r="B1805" s="17" t="s">
        <v>6640</v>
      </c>
      <c r="C1805" s="17" t="s">
        <v>6650</v>
      </c>
      <c r="D1805" s="19" t="s">
        <v>6651</v>
      </c>
      <c r="E1805" s="20" t="s">
        <v>6652</v>
      </c>
      <c r="F1805" s="21">
        <v>26791.0</v>
      </c>
      <c r="G1805" s="14">
        <v>53.0</v>
      </c>
      <c r="H1805" s="23" t="s">
        <v>26</v>
      </c>
      <c r="I1805" s="24" t="s">
        <v>27</v>
      </c>
      <c r="J1805" s="19" t="s">
        <v>58</v>
      </c>
      <c r="K1805" s="14">
        <v>7.0</v>
      </c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</row>
    <row r="1806">
      <c r="A1806" s="14" t="s">
        <v>6653</v>
      </c>
      <c r="B1806" s="17" t="s">
        <v>6654</v>
      </c>
      <c r="C1806" s="17" t="s">
        <v>6655</v>
      </c>
      <c r="D1806" s="19" t="s">
        <v>6656</v>
      </c>
      <c r="E1806" s="20" t="s">
        <v>53</v>
      </c>
      <c r="F1806" s="21">
        <v>31281.0</v>
      </c>
      <c r="G1806" s="14">
        <v>41.0</v>
      </c>
      <c r="H1806" s="23" t="s">
        <v>26</v>
      </c>
      <c r="I1806" s="24" t="s">
        <v>33</v>
      </c>
      <c r="J1806" s="19" t="s">
        <v>146</v>
      </c>
      <c r="K1806" s="14">
        <v>7.0</v>
      </c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</row>
    <row r="1807">
      <c r="A1807" s="14" t="s">
        <v>6657</v>
      </c>
      <c r="B1807" s="17" t="s">
        <v>6654</v>
      </c>
      <c r="C1807" s="17" t="s">
        <v>6658</v>
      </c>
      <c r="D1807" s="19" t="s">
        <v>361</v>
      </c>
      <c r="E1807" s="20" t="s">
        <v>53</v>
      </c>
      <c r="F1807" s="21">
        <v>39395.0</v>
      </c>
      <c r="G1807" s="14">
        <v>18.0</v>
      </c>
      <c r="H1807" s="23" t="s">
        <v>100</v>
      </c>
      <c r="I1807" s="24" t="s">
        <v>27</v>
      </c>
      <c r="J1807" s="19" t="s">
        <v>146</v>
      </c>
      <c r="K1807" s="14">
        <v>7.0</v>
      </c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</row>
    <row r="1808">
      <c r="A1808" s="14" t="s">
        <v>6659</v>
      </c>
      <c r="B1808" s="17" t="s">
        <v>6654</v>
      </c>
      <c r="C1808" s="17" t="s">
        <v>6660</v>
      </c>
      <c r="D1808" s="19" t="s">
        <v>6661</v>
      </c>
      <c r="E1808" s="20" t="s">
        <v>53</v>
      </c>
      <c r="F1808" s="21">
        <v>32413.0</v>
      </c>
      <c r="G1808" s="14">
        <v>37.0</v>
      </c>
      <c r="H1808" s="23" t="s">
        <v>26</v>
      </c>
      <c r="I1808" s="24" t="s">
        <v>27</v>
      </c>
      <c r="J1808" s="19" t="s">
        <v>146</v>
      </c>
      <c r="K1808" s="14">
        <v>7.0</v>
      </c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</row>
    <row r="1809">
      <c r="A1809" s="14" t="s">
        <v>6662</v>
      </c>
      <c r="B1809" s="17" t="s">
        <v>6663</v>
      </c>
      <c r="C1809" s="17" t="s">
        <v>6664</v>
      </c>
      <c r="D1809" s="19" t="s">
        <v>6665</v>
      </c>
      <c r="E1809" s="20" t="s">
        <v>104</v>
      </c>
      <c r="F1809" s="27">
        <v>30998.0</v>
      </c>
      <c r="G1809" s="14">
        <v>41.0</v>
      </c>
      <c r="H1809" s="23" t="s">
        <v>27</v>
      </c>
      <c r="I1809" s="24" t="s">
        <v>27</v>
      </c>
      <c r="J1809" s="19" t="s">
        <v>362</v>
      </c>
      <c r="K1809" s="14">
        <v>23.0</v>
      </c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</row>
    <row r="1810">
      <c r="A1810" s="14" t="s">
        <v>6666</v>
      </c>
      <c r="B1810" s="17" t="s">
        <v>6663</v>
      </c>
      <c r="C1810" s="17" t="s">
        <v>6667</v>
      </c>
      <c r="D1810" s="19" t="s">
        <v>6668</v>
      </c>
      <c r="E1810" s="20" t="s">
        <v>5570</v>
      </c>
      <c r="F1810" s="21">
        <v>37479.0</v>
      </c>
      <c r="G1810" s="14">
        <v>24.0</v>
      </c>
      <c r="H1810" s="23" t="s">
        <v>100</v>
      </c>
      <c r="I1810" s="24" t="s">
        <v>33</v>
      </c>
      <c r="J1810" s="19" t="s">
        <v>362</v>
      </c>
      <c r="K1810" s="14">
        <v>23.0</v>
      </c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</row>
    <row r="1811">
      <c r="A1811" s="14" t="s">
        <v>6669</v>
      </c>
      <c r="B1811" s="17" t="s">
        <v>6670</v>
      </c>
      <c r="C1811" s="17" t="s">
        <v>6671</v>
      </c>
      <c r="D1811" s="19" t="s">
        <v>6672</v>
      </c>
      <c r="E1811" s="20" t="s">
        <v>1291</v>
      </c>
      <c r="F1811" s="21">
        <v>18237.0</v>
      </c>
      <c r="G1811" s="14">
        <v>76.0</v>
      </c>
      <c r="H1811" s="23" t="s">
        <v>27</v>
      </c>
      <c r="I1811" s="24" t="s">
        <v>33</v>
      </c>
      <c r="J1811" s="19" t="s">
        <v>53</v>
      </c>
      <c r="K1811" s="14">
        <v>20.0</v>
      </c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</row>
    <row r="1812">
      <c r="A1812" s="14" t="s">
        <v>6673</v>
      </c>
      <c r="B1812" s="17" t="s">
        <v>6670</v>
      </c>
      <c r="C1812" s="17" t="s">
        <v>6674</v>
      </c>
      <c r="D1812" s="19" t="s">
        <v>6675</v>
      </c>
      <c r="E1812" s="20" t="s">
        <v>104</v>
      </c>
      <c r="F1812" s="21">
        <v>28769.0</v>
      </c>
      <c r="G1812" s="14">
        <v>47.0</v>
      </c>
      <c r="H1812" s="23" t="s">
        <v>26</v>
      </c>
      <c r="I1812" s="24" t="s">
        <v>33</v>
      </c>
      <c r="J1812" s="19" t="s">
        <v>53</v>
      </c>
      <c r="K1812" s="14">
        <v>20.0</v>
      </c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</row>
    <row r="1813">
      <c r="A1813" s="14" t="s">
        <v>6676</v>
      </c>
      <c r="B1813" s="17" t="s">
        <v>6670</v>
      </c>
      <c r="C1813" s="17" t="s">
        <v>6677</v>
      </c>
      <c r="D1813" s="19" t="s">
        <v>6678</v>
      </c>
      <c r="E1813" s="20" t="s">
        <v>104</v>
      </c>
      <c r="F1813" s="21">
        <v>32644.0</v>
      </c>
      <c r="G1813" s="14">
        <v>37.0</v>
      </c>
      <c r="H1813" s="23" t="s">
        <v>26</v>
      </c>
      <c r="I1813" s="24" t="s">
        <v>27</v>
      </c>
      <c r="J1813" s="19" t="s">
        <v>53</v>
      </c>
      <c r="K1813" s="14">
        <v>20.0</v>
      </c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</row>
    <row r="1814">
      <c r="A1814" s="14" t="s">
        <v>6679</v>
      </c>
      <c r="B1814" s="17" t="s">
        <v>6680</v>
      </c>
      <c r="C1814" s="17" t="s">
        <v>6681</v>
      </c>
      <c r="D1814" s="19" t="s">
        <v>6682</v>
      </c>
      <c r="E1814" s="20" t="s">
        <v>53</v>
      </c>
      <c r="F1814" s="21">
        <v>39171.0</v>
      </c>
      <c r="G1814" s="14">
        <v>19.0</v>
      </c>
      <c r="H1814" s="23" t="s">
        <v>100</v>
      </c>
      <c r="I1814" s="24" t="s">
        <v>33</v>
      </c>
      <c r="J1814" s="19" t="s">
        <v>53</v>
      </c>
      <c r="K1814" s="14">
        <v>21.0</v>
      </c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</row>
    <row r="1815">
      <c r="A1815" s="14" t="s">
        <v>6683</v>
      </c>
      <c r="B1815" s="17" t="s">
        <v>6680</v>
      </c>
      <c r="C1815" s="17" t="s">
        <v>6684</v>
      </c>
      <c r="D1815" s="19" t="s">
        <v>6685</v>
      </c>
      <c r="E1815" s="20" t="s">
        <v>53</v>
      </c>
      <c r="F1815" s="27">
        <v>32861.0</v>
      </c>
      <c r="G1815" s="14">
        <v>36.0</v>
      </c>
      <c r="H1815" s="23" t="s">
        <v>26</v>
      </c>
      <c r="I1815" s="24" t="s">
        <v>27</v>
      </c>
      <c r="J1815" s="19" t="s">
        <v>53</v>
      </c>
      <c r="K1815" s="14">
        <v>21.0</v>
      </c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</row>
    <row r="1816">
      <c r="A1816" s="14" t="s">
        <v>6686</v>
      </c>
      <c r="B1816" s="17" t="s">
        <v>6680</v>
      </c>
      <c r="C1816" s="17" t="s">
        <v>6687</v>
      </c>
      <c r="D1816" s="19" t="s">
        <v>6688</v>
      </c>
      <c r="E1816" s="20" t="s">
        <v>1095</v>
      </c>
      <c r="F1816" s="21">
        <v>30652.0</v>
      </c>
      <c r="G1816" s="14">
        <v>42.0</v>
      </c>
      <c r="H1816" s="23" t="s">
        <v>26</v>
      </c>
      <c r="I1816" s="24" t="s">
        <v>33</v>
      </c>
      <c r="J1816" s="19" t="s">
        <v>53</v>
      </c>
      <c r="K1816" s="14">
        <v>21.0</v>
      </c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</row>
    <row r="1817">
      <c r="A1817" s="14" t="s">
        <v>6689</v>
      </c>
      <c r="B1817" s="17" t="s">
        <v>6690</v>
      </c>
      <c r="C1817" s="17" t="s">
        <v>6691</v>
      </c>
      <c r="D1817" s="19" t="s">
        <v>6692</v>
      </c>
      <c r="E1817" s="20" t="s">
        <v>6693</v>
      </c>
      <c r="F1817" s="27">
        <v>24025.0</v>
      </c>
      <c r="G1817" s="14">
        <v>60.0</v>
      </c>
      <c r="H1817" s="23" t="s">
        <v>26</v>
      </c>
      <c r="I1817" s="24" t="s">
        <v>33</v>
      </c>
      <c r="J1817" s="19" t="s">
        <v>104</v>
      </c>
      <c r="K1817" s="14">
        <v>21.0</v>
      </c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</row>
    <row r="1818">
      <c r="A1818" s="14" t="s">
        <v>6694</v>
      </c>
      <c r="B1818" s="17" t="s">
        <v>6690</v>
      </c>
      <c r="C1818" s="17" t="s">
        <v>6695</v>
      </c>
      <c r="D1818" s="19" t="s">
        <v>6696</v>
      </c>
      <c r="E1818" s="20" t="s">
        <v>53</v>
      </c>
      <c r="F1818" s="21">
        <v>34647.0</v>
      </c>
      <c r="G1818" s="14">
        <v>31.0</v>
      </c>
      <c r="H1818" s="23" t="s">
        <v>100</v>
      </c>
      <c r="I1818" s="24" t="s">
        <v>33</v>
      </c>
      <c r="J1818" s="19" t="s">
        <v>104</v>
      </c>
      <c r="K1818" s="14">
        <v>21.0</v>
      </c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</row>
    <row r="1819">
      <c r="A1819" s="14" t="s">
        <v>6697</v>
      </c>
      <c r="B1819" s="17" t="s">
        <v>6690</v>
      </c>
      <c r="C1819" s="17" t="s">
        <v>6698</v>
      </c>
      <c r="D1819" s="19" t="s">
        <v>6699</v>
      </c>
      <c r="E1819" s="20" t="s">
        <v>6693</v>
      </c>
      <c r="F1819" s="21">
        <v>25725.0</v>
      </c>
      <c r="G1819" s="14">
        <v>56.0</v>
      </c>
      <c r="H1819" s="23" t="s">
        <v>26</v>
      </c>
      <c r="I1819" s="24" t="s">
        <v>27</v>
      </c>
      <c r="J1819" s="19" t="s">
        <v>104</v>
      </c>
      <c r="K1819" s="14">
        <v>21.0</v>
      </c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</row>
    <row r="1820">
      <c r="A1820" s="14" t="s">
        <v>6700</v>
      </c>
      <c r="B1820" s="17" t="s">
        <v>6701</v>
      </c>
      <c r="C1820" s="17" t="s">
        <v>6702</v>
      </c>
      <c r="D1820" s="19" t="s">
        <v>6703</v>
      </c>
      <c r="E1820" s="20" t="s">
        <v>53</v>
      </c>
      <c r="F1820" s="21">
        <v>38609.0</v>
      </c>
      <c r="G1820" s="14">
        <v>20.0</v>
      </c>
      <c r="H1820" s="23" t="s">
        <v>100</v>
      </c>
      <c r="I1820" s="24" t="s">
        <v>33</v>
      </c>
      <c r="J1820" s="19" t="s">
        <v>362</v>
      </c>
      <c r="K1820" s="14">
        <v>22.0</v>
      </c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</row>
    <row r="1821">
      <c r="A1821" s="14" t="s">
        <v>6704</v>
      </c>
      <c r="B1821" s="17" t="s">
        <v>6701</v>
      </c>
      <c r="C1821" s="17" t="s">
        <v>6705</v>
      </c>
      <c r="D1821" s="19" t="s">
        <v>6706</v>
      </c>
      <c r="E1821" s="20" t="s">
        <v>53</v>
      </c>
      <c r="F1821" s="21">
        <v>32558.0</v>
      </c>
      <c r="G1821" s="14">
        <v>37.0</v>
      </c>
      <c r="H1821" s="23" t="s">
        <v>26</v>
      </c>
      <c r="I1821" s="24" t="s">
        <v>27</v>
      </c>
      <c r="J1821" s="19" t="s">
        <v>362</v>
      </c>
      <c r="K1821" s="14">
        <v>22.0</v>
      </c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</row>
    <row r="1822">
      <c r="A1822" s="14" t="s">
        <v>6707</v>
      </c>
      <c r="B1822" s="17" t="s">
        <v>6701</v>
      </c>
      <c r="C1822" s="17" t="s">
        <v>6708</v>
      </c>
      <c r="D1822" s="19" t="s">
        <v>5133</v>
      </c>
      <c r="E1822" s="20" t="s">
        <v>880</v>
      </c>
      <c r="F1822" s="27">
        <v>30599.0</v>
      </c>
      <c r="G1822" s="14">
        <v>42.0</v>
      </c>
      <c r="H1822" s="23" t="s">
        <v>26</v>
      </c>
      <c r="I1822" s="24" t="s">
        <v>33</v>
      </c>
      <c r="J1822" s="19" t="s">
        <v>362</v>
      </c>
      <c r="K1822" s="14">
        <v>22.0</v>
      </c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</row>
    <row r="1823">
      <c r="A1823" s="14" t="s">
        <v>6709</v>
      </c>
      <c r="B1823" s="17" t="s">
        <v>6710</v>
      </c>
      <c r="C1823" s="17" t="s">
        <v>6711</v>
      </c>
      <c r="D1823" s="19" t="s">
        <v>6712</v>
      </c>
      <c r="E1823" s="20" t="s">
        <v>2680</v>
      </c>
      <c r="F1823" s="21">
        <v>38201.0</v>
      </c>
      <c r="G1823" s="14">
        <v>22.0</v>
      </c>
      <c r="H1823" s="23" t="s">
        <v>100</v>
      </c>
      <c r="I1823" s="24" t="s">
        <v>27</v>
      </c>
      <c r="J1823" s="19" t="s">
        <v>104</v>
      </c>
      <c r="K1823" s="14">
        <v>20.0</v>
      </c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</row>
    <row r="1824">
      <c r="A1824" s="14" t="s">
        <v>6713</v>
      </c>
      <c r="B1824" s="17" t="s">
        <v>6710</v>
      </c>
      <c r="C1824" s="17" t="s">
        <v>6714</v>
      </c>
      <c r="D1824" s="19" t="s">
        <v>6715</v>
      </c>
      <c r="E1824" s="20" t="s">
        <v>104</v>
      </c>
      <c r="F1824" s="21">
        <v>29083.0</v>
      </c>
      <c r="G1824" s="14">
        <v>47.0</v>
      </c>
      <c r="H1824" s="23" t="s">
        <v>26</v>
      </c>
      <c r="I1824" s="24" t="s">
        <v>33</v>
      </c>
      <c r="J1824" s="19" t="s">
        <v>104</v>
      </c>
      <c r="K1824" s="14">
        <v>20.0</v>
      </c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</row>
    <row r="1825">
      <c r="A1825" s="14" t="s">
        <v>6716</v>
      </c>
      <c r="B1825" s="17" t="s">
        <v>6710</v>
      </c>
      <c r="C1825" s="17" t="s">
        <v>6717</v>
      </c>
      <c r="D1825" s="19" t="s">
        <v>6718</v>
      </c>
      <c r="E1825" s="20" t="s">
        <v>2680</v>
      </c>
      <c r="F1825" s="21">
        <v>30472.0</v>
      </c>
      <c r="G1825" s="14">
        <v>43.0</v>
      </c>
      <c r="H1825" s="23" t="s">
        <v>26</v>
      </c>
      <c r="I1825" s="24" t="s">
        <v>27</v>
      </c>
      <c r="J1825" s="19" t="s">
        <v>104</v>
      </c>
      <c r="K1825" s="14">
        <v>20.0</v>
      </c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</row>
    <row r="1826">
      <c r="A1826" s="14" t="s">
        <v>6719</v>
      </c>
      <c r="B1826" s="17" t="s">
        <v>6720</v>
      </c>
      <c r="C1826" s="17" t="s">
        <v>6721</v>
      </c>
      <c r="D1826" s="19" t="s">
        <v>6722</v>
      </c>
      <c r="E1826" s="20" t="s">
        <v>53</v>
      </c>
      <c r="F1826" s="21">
        <v>37160.0</v>
      </c>
      <c r="G1826" s="14">
        <v>24.0</v>
      </c>
      <c r="H1826" s="23" t="s">
        <v>100</v>
      </c>
      <c r="I1826" s="24" t="s">
        <v>27</v>
      </c>
      <c r="J1826" s="19" t="s">
        <v>517</v>
      </c>
      <c r="K1826" s="14">
        <v>5.0</v>
      </c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</row>
    <row r="1827">
      <c r="A1827" s="14" t="s">
        <v>6723</v>
      </c>
      <c r="B1827" s="17" t="s">
        <v>6720</v>
      </c>
      <c r="C1827" s="17" t="s">
        <v>6724</v>
      </c>
      <c r="D1827" s="19" t="s">
        <v>6725</v>
      </c>
      <c r="E1827" s="20" t="s">
        <v>337</v>
      </c>
      <c r="F1827" s="21">
        <v>36557.0</v>
      </c>
      <c r="G1827" s="14">
        <v>26.0</v>
      </c>
      <c r="H1827" s="23" t="s">
        <v>100</v>
      </c>
      <c r="I1827" s="24" t="s">
        <v>27</v>
      </c>
      <c r="J1827" s="19" t="s">
        <v>517</v>
      </c>
      <c r="K1827" s="14">
        <v>5.0</v>
      </c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</row>
    <row r="1828">
      <c r="A1828" s="14" t="s">
        <v>6726</v>
      </c>
      <c r="B1828" s="17" t="s">
        <v>6720</v>
      </c>
      <c r="C1828" s="17" t="s">
        <v>6727</v>
      </c>
      <c r="D1828" s="19" t="s">
        <v>6728</v>
      </c>
      <c r="E1828" s="20" t="s">
        <v>210</v>
      </c>
      <c r="F1828" s="21">
        <v>29850.0</v>
      </c>
      <c r="G1828" s="14">
        <v>44.0</v>
      </c>
      <c r="H1828" s="23" t="s">
        <v>26</v>
      </c>
      <c r="I1828" s="24" t="s">
        <v>27</v>
      </c>
      <c r="J1828" s="19" t="s">
        <v>517</v>
      </c>
      <c r="K1828" s="14">
        <v>5.0</v>
      </c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</row>
    <row r="1829">
      <c r="A1829" s="14" t="s">
        <v>6729</v>
      </c>
      <c r="B1829" s="17" t="s">
        <v>6720</v>
      </c>
      <c r="C1829" s="17" t="s">
        <v>6730</v>
      </c>
      <c r="D1829" s="19" t="s">
        <v>6731</v>
      </c>
      <c r="E1829" s="20" t="s">
        <v>650</v>
      </c>
      <c r="F1829" s="27">
        <v>26251.0</v>
      </c>
      <c r="G1829" s="14">
        <v>54.0</v>
      </c>
      <c r="H1829" s="23" t="s">
        <v>26</v>
      </c>
      <c r="I1829" s="24" t="s">
        <v>33</v>
      </c>
      <c r="J1829" s="19" t="s">
        <v>517</v>
      </c>
      <c r="K1829" s="14">
        <v>5.0</v>
      </c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</row>
    <row r="1830">
      <c r="A1830" s="14" t="s">
        <v>6732</v>
      </c>
      <c r="B1830" s="17" t="s">
        <v>6733</v>
      </c>
      <c r="C1830" s="17" t="s">
        <v>6734</v>
      </c>
      <c r="D1830" s="19" t="s">
        <v>6735</v>
      </c>
      <c r="E1830" s="20" t="s">
        <v>53</v>
      </c>
      <c r="F1830" s="21">
        <v>28867.0</v>
      </c>
      <c r="G1830" s="14">
        <v>47.0</v>
      </c>
      <c r="H1830" s="23" t="s">
        <v>26</v>
      </c>
      <c r="I1830" s="24" t="s">
        <v>33</v>
      </c>
      <c r="J1830" s="19" t="s">
        <v>206</v>
      </c>
      <c r="K1830" s="14">
        <v>10.0</v>
      </c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</row>
    <row r="1831">
      <c r="A1831" s="14" t="s">
        <v>6736</v>
      </c>
      <c r="B1831" s="17" t="s">
        <v>6733</v>
      </c>
      <c r="C1831" s="17" t="s">
        <v>6737</v>
      </c>
      <c r="D1831" s="19" t="s">
        <v>4516</v>
      </c>
      <c r="E1831" s="20" t="s">
        <v>6269</v>
      </c>
      <c r="F1831" s="21">
        <v>30348.0</v>
      </c>
      <c r="G1831" s="14">
        <v>43.0</v>
      </c>
      <c r="H1831" s="23" t="s">
        <v>26</v>
      </c>
      <c r="I1831" s="24" t="s">
        <v>27</v>
      </c>
      <c r="J1831" s="19" t="s">
        <v>206</v>
      </c>
      <c r="K1831" s="14">
        <v>10.0</v>
      </c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</row>
    <row r="1832">
      <c r="A1832" s="14" t="s">
        <v>6739</v>
      </c>
      <c r="B1832" s="17" t="s">
        <v>6740</v>
      </c>
      <c r="C1832" s="17" t="s">
        <v>6741</v>
      </c>
      <c r="D1832" s="19" t="s">
        <v>6742</v>
      </c>
      <c r="E1832" s="20" t="s">
        <v>2583</v>
      </c>
      <c r="F1832" s="21">
        <v>29810.0</v>
      </c>
      <c r="G1832" s="14">
        <v>45.0</v>
      </c>
      <c r="H1832" s="23" t="s">
        <v>26</v>
      </c>
      <c r="I1832" s="24" t="s">
        <v>27</v>
      </c>
      <c r="J1832" s="19" t="s">
        <v>104</v>
      </c>
      <c r="K1832" s="14">
        <v>23.0</v>
      </c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</row>
    <row r="1833">
      <c r="A1833" s="14" t="s">
        <v>6743</v>
      </c>
      <c r="B1833" s="17" t="s">
        <v>6740</v>
      </c>
      <c r="C1833" s="17" t="s">
        <v>6744</v>
      </c>
      <c r="D1833" s="19" t="s">
        <v>6745</v>
      </c>
      <c r="E1833" s="20" t="s">
        <v>53</v>
      </c>
      <c r="F1833" s="21">
        <v>37471.0</v>
      </c>
      <c r="G1833" s="14">
        <v>24.0</v>
      </c>
      <c r="H1833" s="23" t="s">
        <v>100</v>
      </c>
      <c r="I1833" s="24" t="s">
        <v>27</v>
      </c>
      <c r="J1833" s="19" t="s">
        <v>104</v>
      </c>
      <c r="K1833" s="14">
        <v>23.0</v>
      </c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</row>
    <row r="1834">
      <c r="A1834" s="14" t="s">
        <v>6746</v>
      </c>
      <c r="B1834" s="17" t="s">
        <v>6740</v>
      </c>
      <c r="C1834" s="17" t="s">
        <v>6747</v>
      </c>
      <c r="D1834" s="19" t="s">
        <v>6748</v>
      </c>
      <c r="E1834" s="20" t="s">
        <v>372</v>
      </c>
      <c r="F1834" s="21">
        <v>29953.0</v>
      </c>
      <c r="G1834" s="14">
        <v>44.0</v>
      </c>
      <c r="H1834" s="23" t="s">
        <v>26</v>
      </c>
      <c r="I1834" s="24" t="s">
        <v>33</v>
      </c>
      <c r="J1834" s="19" t="s">
        <v>104</v>
      </c>
      <c r="K1834" s="14">
        <v>23.0</v>
      </c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</row>
    <row r="1835">
      <c r="A1835" s="14" t="s">
        <v>6749</v>
      </c>
      <c r="B1835" s="17" t="s">
        <v>6750</v>
      </c>
      <c r="C1835" s="17" t="s">
        <v>6751</v>
      </c>
      <c r="D1835" s="19" t="s">
        <v>6752</v>
      </c>
      <c r="E1835" s="20" t="s">
        <v>104</v>
      </c>
      <c r="F1835" s="21">
        <v>33393.0</v>
      </c>
      <c r="G1835" s="14">
        <v>35.0</v>
      </c>
      <c r="H1835" s="23" t="s">
        <v>26</v>
      </c>
      <c r="I1835" s="24" t="s">
        <v>33</v>
      </c>
      <c r="J1835" s="19" t="s">
        <v>783</v>
      </c>
      <c r="K1835" s="14">
        <v>26.0</v>
      </c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</row>
    <row r="1836">
      <c r="A1836" s="14" t="s">
        <v>6753</v>
      </c>
      <c r="B1836" s="17" t="s">
        <v>6750</v>
      </c>
      <c r="C1836" s="17" t="s">
        <v>6754</v>
      </c>
      <c r="D1836" s="19" t="s">
        <v>6755</v>
      </c>
      <c r="E1836" s="20" t="s">
        <v>138</v>
      </c>
      <c r="F1836" s="21">
        <v>36371.0</v>
      </c>
      <c r="G1836" s="14">
        <v>27.0</v>
      </c>
      <c r="H1836" s="23" t="s">
        <v>26</v>
      </c>
      <c r="I1836" s="24" t="s">
        <v>27</v>
      </c>
      <c r="J1836" s="19" t="s">
        <v>783</v>
      </c>
      <c r="K1836" s="14">
        <v>26.0</v>
      </c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</row>
    <row r="1837">
      <c r="A1837" s="14" t="s">
        <v>6756</v>
      </c>
      <c r="B1837" s="17" t="s">
        <v>6757</v>
      </c>
      <c r="C1837" s="17" t="s">
        <v>6758</v>
      </c>
      <c r="D1837" s="19" t="s">
        <v>6759</v>
      </c>
      <c r="E1837" s="20" t="s">
        <v>210</v>
      </c>
      <c r="F1837" s="21">
        <v>36342.0</v>
      </c>
      <c r="G1837" s="14">
        <v>27.0</v>
      </c>
      <c r="H1837" s="23" t="s">
        <v>100</v>
      </c>
      <c r="I1837" s="24" t="s">
        <v>27</v>
      </c>
      <c r="J1837" s="19" t="s">
        <v>472</v>
      </c>
      <c r="K1837" s="14">
        <v>27.0</v>
      </c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</row>
    <row r="1838">
      <c r="A1838" s="14" t="s">
        <v>6760</v>
      </c>
      <c r="B1838" s="17" t="s">
        <v>6757</v>
      </c>
      <c r="C1838" s="17" t="s">
        <v>6761</v>
      </c>
      <c r="D1838" s="19" t="s">
        <v>6762</v>
      </c>
      <c r="E1838" s="20" t="s">
        <v>53</v>
      </c>
      <c r="F1838" s="21">
        <v>38378.0</v>
      </c>
      <c r="G1838" s="14">
        <v>21.0</v>
      </c>
      <c r="H1838" s="23" t="s">
        <v>100</v>
      </c>
      <c r="I1838" s="24" t="s">
        <v>27</v>
      </c>
      <c r="J1838" s="19" t="s">
        <v>472</v>
      </c>
      <c r="K1838" s="14">
        <v>27.0</v>
      </c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</row>
    <row r="1839">
      <c r="A1839" s="14" t="s">
        <v>6763</v>
      </c>
      <c r="B1839" s="17" t="s">
        <v>6757</v>
      </c>
      <c r="C1839" s="17" t="s">
        <v>6764</v>
      </c>
      <c r="D1839" s="19" t="s">
        <v>6765</v>
      </c>
      <c r="E1839" s="20" t="s">
        <v>210</v>
      </c>
      <c r="F1839" s="21">
        <v>26470.0</v>
      </c>
      <c r="G1839" s="14">
        <v>54.0</v>
      </c>
      <c r="H1839" s="23" t="s">
        <v>26</v>
      </c>
      <c r="I1839" s="24" t="s">
        <v>33</v>
      </c>
      <c r="J1839" s="19" t="s">
        <v>472</v>
      </c>
      <c r="K1839" s="14">
        <v>27.0</v>
      </c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</row>
    <row r="1840">
      <c r="A1840" s="14" t="s">
        <v>6766</v>
      </c>
      <c r="B1840" s="17" t="s">
        <v>6757</v>
      </c>
      <c r="C1840" s="17" t="s">
        <v>6767</v>
      </c>
      <c r="D1840" s="19" t="s">
        <v>6768</v>
      </c>
      <c r="E1840" s="20" t="s">
        <v>2038</v>
      </c>
      <c r="F1840" s="21">
        <v>29095.0</v>
      </c>
      <c r="G1840" s="14">
        <v>47.0</v>
      </c>
      <c r="H1840" s="23" t="s">
        <v>26</v>
      </c>
      <c r="I1840" s="24" t="s">
        <v>27</v>
      </c>
      <c r="J1840" s="19" t="s">
        <v>472</v>
      </c>
      <c r="K1840" s="14">
        <v>27.0</v>
      </c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</row>
    <row r="1841">
      <c r="A1841" s="14" t="s">
        <v>6769</v>
      </c>
      <c r="B1841" s="17" t="s">
        <v>6770</v>
      </c>
      <c r="C1841" s="17" t="s">
        <v>6771</v>
      </c>
      <c r="D1841" s="19" t="s">
        <v>6772</v>
      </c>
      <c r="E1841" s="20" t="s">
        <v>536</v>
      </c>
      <c r="F1841" s="27">
        <v>33532.0</v>
      </c>
      <c r="G1841" s="14">
        <v>34.0</v>
      </c>
      <c r="H1841" s="23" t="s">
        <v>26</v>
      </c>
      <c r="I1841" s="24" t="s">
        <v>33</v>
      </c>
      <c r="J1841" s="19" t="s">
        <v>989</v>
      </c>
      <c r="K1841" s="14">
        <v>18.0</v>
      </c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</row>
    <row r="1842">
      <c r="A1842" s="14" t="s">
        <v>6773</v>
      </c>
      <c r="B1842" s="17" t="s">
        <v>6770</v>
      </c>
      <c r="C1842" s="17" t="s">
        <v>6774</v>
      </c>
      <c r="D1842" s="19" t="s">
        <v>6775</v>
      </c>
      <c r="E1842" s="20" t="s">
        <v>337</v>
      </c>
      <c r="F1842" s="21">
        <v>34101.0</v>
      </c>
      <c r="G1842" s="14">
        <v>33.0</v>
      </c>
      <c r="H1842" s="23" t="s">
        <v>26</v>
      </c>
      <c r="I1842" s="24" t="s">
        <v>27</v>
      </c>
      <c r="J1842" s="19" t="s">
        <v>989</v>
      </c>
      <c r="K1842" s="14">
        <v>18.0</v>
      </c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</row>
    <row r="1843">
      <c r="A1843" s="14" t="s">
        <v>6776</v>
      </c>
      <c r="B1843" s="17" t="s">
        <v>6777</v>
      </c>
      <c r="C1843" s="17" t="s">
        <v>6778</v>
      </c>
      <c r="D1843" s="19" t="s">
        <v>6779</v>
      </c>
      <c r="E1843" s="20" t="s">
        <v>274</v>
      </c>
      <c r="F1843" s="21">
        <v>35119.0</v>
      </c>
      <c r="G1843" s="14">
        <v>30.0</v>
      </c>
      <c r="H1843" s="23" t="s">
        <v>26</v>
      </c>
      <c r="I1843" s="24" t="s">
        <v>33</v>
      </c>
      <c r="J1843" s="19" t="s">
        <v>146</v>
      </c>
      <c r="K1843" s="14">
        <v>10.0</v>
      </c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</row>
    <row r="1844">
      <c r="A1844" s="14" t="s">
        <v>6780</v>
      </c>
      <c r="B1844" s="17" t="s">
        <v>6777</v>
      </c>
      <c r="C1844" s="17" t="s">
        <v>6781</v>
      </c>
      <c r="D1844" s="19" t="s">
        <v>6782</v>
      </c>
      <c r="E1844" s="20" t="s">
        <v>1357</v>
      </c>
      <c r="F1844" s="21">
        <v>36436.0</v>
      </c>
      <c r="G1844" s="14">
        <v>26.0</v>
      </c>
      <c r="H1844" s="23" t="s">
        <v>26</v>
      </c>
      <c r="I1844" s="24" t="s">
        <v>27</v>
      </c>
      <c r="J1844" s="19" t="s">
        <v>146</v>
      </c>
      <c r="K1844" s="14">
        <v>10.0</v>
      </c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</row>
    <row r="1845">
      <c r="A1845" s="14" t="s">
        <v>6784</v>
      </c>
      <c r="B1845" s="17" t="s">
        <v>6785</v>
      </c>
      <c r="C1845" s="17" t="s">
        <v>6786</v>
      </c>
      <c r="D1845" s="19" t="s">
        <v>6787</v>
      </c>
      <c r="E1845" s="20" t="s">
        <v>195</v>
      </c>
      <c r="F1845" s="21">
        <v>38770.0</v>
      </c>
      <c r="G1845" s="14">
        <v>20.0</v>
      </c>
      <c r="H1845" s="23" t="s">
        <v>100</v>
      </c>
      <c r="I1845" s="24" t="s">
        <v>33</v>
      </c>
      <c r="J1845" s="19" t="s">
        <v>2336</v>
      </c>
      <c r="K1845" s="14">
        <v>24.0</v>
      </c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</row>
    <row r="1846">
      <c r="A1846" s="14" t="s">
        <v>6788</v>
      </c>
      <c r="B1846" s="17" t="s">
        <v>6785</v>
      </c>
      <c r="C1846" s="17" t="s">
        <v>6789</v>
      </c>
      <c r="D1846" s="19" t="s">
        <v>1143</v>
      </c>
      <c r="E1846" s="20" t="s">
        <v>104</v>
      </c>
      <c r="F1846" s="27">
        <v>29155.0</v>
      </c>
      <c r="G1846" s="14">
        <v>46.0</v>
      </c>
      <c r="H1846" s="23" t="s">
        <v>26</v>
      </c>
      <c r="I1846" s="24" t="s">
        <v>33</v>
      </c>
      <c r="J1846" s="19" t="s">
        <v>362</v>
      </c>
      <c r="K1846" s="14">
        <v>24.0</v>
      </c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</row>
    <row r="1847">
      <c r="A1847" s="14" t="s">
        <v>6790</v>
      </c>
      <c r="B1847" s="17" t="s">
        <v>6785</v>
      </c>
      <c r="C1847" s="17" t="s">
        <v>6791</v>
      </c>
      <c r="D1847" s="19" t="s">
        <v>6792</v>
      </c>
      <c r="E1847" s="20" t="s">
        <v>195</v>
      </c>
      <c r="F1847" s="21">
        <v>30867.0</v>
      </c>
      <c r="G1847" s="14">
        <v>42.0</v>
      </c>
      <c r="H1847" s="23" t="s">
        <v>26</v>
      </c>
      <c r="I1847" s="24" t="s">
        <v>27</v>
      </c>
      <c r="J1847" s="19" t="s">
        <v>2336</v>
      </c>
      <c r="K1847" s="14">
        <v>24.0</v>
      </c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</row>
    <row r="1848">
      <c r="A1848" s="14" t="s">
        <v>6793</v>
      </c>
      <c r="B1848" s="17" t="s">
        <v>6794</v>
      </c>
      <c r="C1848" s="17" t="s">
        <v>6795</v>
      </c>
      <c r="D1848" s="19" t="s">
        <v>6796</v>
      </c>
      <c r="E1848" s="20" t="s">
        <v>53</v>
      </c>
      <c r="F1848" s="27">
        <v>36810.0</v>
      </c>
      <c r="G1848" s="14">
        <v>25.0</v>
      </c>
      <c r="H1848" s="23" t="s">
        <v>26</v>
      </c>
      <c r="I1848" s="24" t="s">
        <v>27</v>
      </c>
      <c r="J1848" s="19" t="s">
        <v>6797</v>
      </c>
      <c r="K1848" s="14">
        <v>8.0</v>
      </c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</row>
    <row r="1849">
      <c r="A1849" s="14" t="s">
        <v>6798</v>
      </c>
      <c r="B1849" s="17" t="s">
        <v>6794</v>
      </c>
      <c r="C1849" s="17" t="s">
        <v>6799</v>
      </c>
      <c r="D1849" s="19" t="s">
        <v>6800</v>
      </c>
      <c r="E1849" s="20" t="s">
        <v>6801</v>
      </c>
      <c r="F1849" s="21">
        <v>34459.0</v>
      </c>
      <c r="G1849" s="14">
        <v>32.0</v>
      </c>
      <c r="H1849" s="23" t="s">
        <v>26</v>
      </c>
      <c r="I1849" s="24" t="s">
        <v>33</v>
      </c>
      <c r="J1849" s="19" t="s">
        <v>6797</v>
      </c>
      <c r="K1849" s="14">
        <v>8.0</v>
      </c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</row>
    <row r="1850">
      <c r="A1850" s="14" t="s">
        <v>6802</v>
      </c>
      <c r="B1850" s="17" t="s">
        <v>6803</v>
      </c>
      <c r="C1850" s="17" t="s">
        <v>6804</v>
      </c>
      <c r="D1850" s="19" t="s">
        <v>6805</v>
      </c>
      <c r="E1850" s="20" t="s">
        <v>67</v>
      </c>
      <c r="F1850" s="21">
        <v>23924.0</v>
      </c>
      <c r="G1850" s="14">
        <v>61.0</v>
      </c>
      <c r="H1850" s="23" t="s">
        <v>26</v>
      </c>
      <c r="I1850" s="24" t="s">
        <v>33</v>
      </c>
      <c r="J1850" s="19" t="s">
        <v>156</v>
      </c>
      <c r="K1850" s="14">
        <v>34.0</v>
      </c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</row>
    <row r="1851">
      <c r="A1851" s="14" t="s">
        <v>6806</v>
      </c>
      <c r="B1851" s="17" t="s">
        <v>6803</v>
      </c>
      <c r="C1851" s="17" t="s">
        <v>6807</v>
      </c>
      <c r="D1851" s="19" t="s">
        <v>6808</v>
      </c>
      <c r="E1851" s="20" t="s">
        <v>67</v>
      </c>
      <c r="F1851" s="21">
        <v>24232.0</v>
      </c>
      <c r="G1851" s="14">
        <v>60.0</v>
      </c>
      <c r="H1851" s="23" t="s">
        <v>26</v>
      </c>
      <c r="I1851" s="24" t="s">
        <v>27</v>
      </c>
      <c r="J1851" s="19" t="s">
        <v>156</v>
      </c>
      <c r="K1851" s="14">
        <v>34.0</v>
      </c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</row>
    <row r="1852">
      <c r="A1852" s="14" t="s">
        <v>6809</v>
      </c>
      <c r="B1852" s="17" t="s">
        <v>6810</v>
      </c>
      <c r="C1852" s="17" t="s">
        <v>6811</v>
      </c>
      <c r="D1852" s="19" t="s">
        <v>6812</v>
      </c>
      <c r="E1852" s="20" t="s">
        <v>1038</v>
      </c>
      <c r="F1852" s="21">
        <v>25542.0</v>
      </c>
      <c r="G1852" s="14">
        <v>56.0</v>
      </c>
      <c r="H1852" s="23" t="s">
        <v>26</v>
      </c>
      <c r="I1852" s="24" t="s">
        <v>27</v>
      </c>
      <c r="J1852" s="19" t="s">
        <v>6813</v>
      </c>
      <c r="K1852" s="14">
        <v>35.0</v>
      </c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</row>
    <row r="1853">
      <c r="A1853" s="14" t="s">
        <v>6814</v>
      </c>
      <c r="B1853" s="17" t="s">
        <v>6815</v>
      </c>
      <c r="C1853" s="17" t="s">
        <v>6816</v>
      </c>
      <c r="D1853" s="19" t="s">
        <v>6817</v>
      </c>
      <c r="E1853" s="20" t="s">
        <v>802</v>
      </c>
      <c r="F1853" s="21">
        <v>21815.0</v>
      </c>
      <c r="G1853" s="14">
        <v>66.0</v>
      </c>
      <c r="H1853" s="23" t="s">
        <v>26</v>
      </c>
      <c r="I1853" s="24" t="s">
        <v>27</v>
      </c>
      <c r="J1853" s="19" t="s">
        <v>68</v>
      </c>
      <c r="K1853" s="14">
        <v>29.0</v>
      </c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</row>
    <row r="1854">
      <c r="A1854" s="14" t="s">
        <v>6818</v>
      </c>
      <c r="B1854" s="17" t="s">
        <v>6815</v>
      </c>
      <c r="C1854" s="17" t="s">
        <v>6819</v>
      </c>
      <c r="D1854" s="19" t="s">
        <v>6820</v>
      </c>
      <c r="E1854" s="20" t="s">
        <v>4741</v>
      </c>
      <c r="F1854" s="21">
        <v>33983.0</v>
      </c>
      <c r="G1854" s="14">
        <v>33.0</v>
      </c>
      <c r="H1854" s="23" t="s">
        <v>100</v>
      </c>
      <c r="I1854" s="24" t="s">
        <v>27</v>
      </c>
      <c r="J1854" s="19" t="s">
        <v>68</v>
      </c>
      <c r="K1854" s="14">
        <v>29.0</v>
      </c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</row>
    <row r="1855">
      <c r="A1855" s="14" t="s">
        <v>6821</v>
      </c>
      <c r="B1855" s="17" t="s">
        <v>6822</v>
      </c>
      <c r="C1855" s="17" t="s">
        <v>6823</v>
      </c>
      <c r="D1855" s="19" t="s">
        <v>6824</v>
      </c>
      <c r="E1855" s="20" t="s">
        <v>536</v>
      </c>
      <c r="F1855" s="21">
        <v>34601.0</v>
      </c>
      <c r="G1855" s="14">
        <v>31.0</v>
      </c>
      <c r="H1855" s="23" t="s">
        <v>26</v>
      </c>
      <c r="I1855" s="24" t="s">
        <v>27</v>
      </c>
      <c r="J1855" s="19" t="s">
        <v>206</v>
      </c>
      <c r="K1855" s="14">
        <v>1.0</v>
      </c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</row>
    <row r="1856">
      <c r="A1856" s="14" t="s">
        <v>6825</v>
      </c>
      <c r="B1856" s="17" t="s">
        <v>6822</v>
      </c>
      <c r="C1856" s="17" t="s">
        <v>6826</v>
      </c>
      <c r="D1856" s="19" t="s">
        <v>6827</v>
      </c>
      <c r="E1856" s="20" t="s">
        <v>104</v>
      </c>
      <c r="F1856" s="21">
        <v>33420.0</v>
      </c>
      <c r="G1856" s="14">
        <v>35.0</v>
      </c>
      <c r="H1856" s="23" t="s">
        <v>26</v>
      </c>
      <c r="I1856" s="24" t="s">
        <v>33</v>
      </c>
      <c r="J1856" s="19" t="s">
        <v>206</v>
      </c>
      <c r="K1856" s="14">
        <v>1.0</v>
      </c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</row>
    <row r="1857">
      <c r="A1857" s="14" t="s">
        <v>6828</v>
      </c>
      <c r="B1857" s="17" t="s">
        <v>6829</v>
      </c>
      <c r="C1857" s="17" t="s">
        <v>6830</v>
      </c>
      <c r="D1857" s="19" t="s">
        <v>6831</v>
      </c>
      <c r="E1857" s="20" t="s">
        <v>104</v>
      </c>
      <c r="F1857" s="21">
        <v>34575.0</v>
      </c>
      <c r="G1857" s="14">
        <v>32.0</v>
      </c>
      <c r="H1857" s="23" t="s">
        <v>26</v>
      </c>
      <c r="I1857" s="24" t="s">
        <v>27</v>
      </c>
      <c r="J1857" s="19" t="s">
        <v>68</v>
      </c>
      <c r="K1857" s="14">
        <v>35.0</v>
      </c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</row>
    <row r="1858">
      <c r="A1858" s="14" t="s">
        <v>6832</v>
      </c>
      <c r="B1858" s="17" t="s">
        <v>6833</v>
      </c>
      <c r="C1858" s="17" t="s">
        <v>6834</v>
      </c>
      <c r="D1858" s="19" t="s">
        <v>6835</v>
      </c>
      <c r="E1858" s="20" t="s">
        <v>6102</v>
      </c>
      <c r="F1858" s="21">
        <v>27305.0</v>
      </c>
      <c r="G1858" s="14">
        <v>51.0</v>
      </c>
      <c r="H1858" s="23" t="s">
        <v>26</v>
      </c>
      <c r="I1858" s="24" t="s">
        <v>33</v>
      </c>
      <c r="J1858" s="19" t="s">
        <v>206</v>
      </c>
      <c r="K1858" s="14">
        <v>10.0</v>
      </c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</row>
    <row r="1859">
      <c r="A1859" s="14" t="s">
        <v>6836</v>
      </c>
      <c r="B1859" s="17" t="s">
        <v>6837</v>
      </c>
      <c r="C1859" s="17" t="s">
        <v>6838</v>
      </c>
      <c r="D1859" s="19" t="s">
        <v>6839</v>
      </c>
      <c r="E1859" s="20" t="s">
        <v>544</v>
      </c>
      <c r="F1859" s="21">
        <v>23488.0</v>
      </c>
      <c r="G1859" s="14">
        <v>62.0</v>
      </c>
      <c r="H1859" s="23" t="s">
        <v>26</v>
      </c>
      <c r="I1859" s="24" t="s">
        <v>33</v>
      </c>
      <c r="J1859" s="19" t="s">
        <v>58</v>
      </c>
      <c r="K1859" s="14">
        <v>6.0</v>
      </c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</row>
    <row r="1860">
      <c r="A1860" s="14" t="s">
        <v>6840</v>
      </c>
      <c r="B1860" s="17" t="s">
        <v>6837</v>
      </c>
      <c r="C1860" s="17" t="s">
        <v>6841</v>
      </c>
      <c r="D1860" s="19" t="s">
        <v>3759</v>
      </c>
      <c r="E1860" s="20" t="s">
        <v>544</v>
      </c>
      <c r="F1860" s="21">
        <v>25180.0</v>
      </c>
      <c r="G1860" s="14">
        <v>57.0</v>
      </c>
      <c r="H1860" s="23" t="s">
        <v>26</v>
      </c>
      <c r="I1860" s="24" t="s">
        <v>27</v>
      </c>
      <c r="J1860" s="19" t="s">
        <v>58</v>
      </c>
      <c r="K1860" s="14">
        <v>6.0</v>
      </c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</row>
    <row r="1861">
      <c r="A1861" s="14" t="s">
        <v>6842</v>
      </c>
      <c r="B1861" s="17" t="s">
        <v>6843</v>
      </c>
      <c r="C1861" s="17" t="s">
        <v>6844</v>
      </c>
      <c r="D1861" s="19" t="s">
        <v>4125</v>
      </c>
      <c r="E1861" s="20" t="s">
        <v>632</v>
      </c>
      <c r="F1861" s="21">
        <v>27597.0</v>
      </c>
      <c r="G1861" s="14">
        <v>51.0</v>
      </c>
      <c r="H1861" s="23" t="s">
        <v>26</v>
      </c>
      <c r="I1861" s="24" t="s">
        <v>33</v>
      </c>
      <c r="J1861" s="19" t="s">
        <v>58</v>
      </c>
      <c r="K1861" s="14">
        <v>8.0</v>
      </c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</row>
    <row r="1862">
      <c r="A1862" s="14" t="s">
        <v>6845</v>
      </c>
      <c r="B1862" s="17" t="s">
        <v>6843</v>
      </c>
      <c r="C1862" s="17" t="s">
        <v>6846</v>
      </c>
      <c r="D1862" s="19" t="s">
        <v>6847</v>
      </c>
      <c r="E1862" s="20" t="s">
        <v>6848</v>
      </c>
      <c r="F1862" s="21">
        <v>29826.0</v>
      </c>
      <c r="G1862" s="14">
        <v>45.0</v>
      </c>
      <c r="H1862" s="23" t="s">
        <v>26</v>
      </c>
      <c r="I1862" s="24" t="s">
        <v>27</v>
      </c>
      <c r="J1862" s="19" t="s">
        <v>58</v>
      </c>
      <c r="K1862" s="14">
        <v>8.0</v>
      </c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</row>
    <row r="1863">
      <c r="A1863" s="14" t="s">
        <v>6849</v>
      </c>
      <c r="B1863" s="17" t="s">
        <v>6850</v>
      </c>
      <c r="C1863" s="17" t="s">
        <v>6851</v>
      </c>
      <c r="D1863" s="19" t="s">
        <v>6852</v>
      </c>
      <c r="E1863" s="20" t="s">
        <v>104</v>
      </c>
      <c r="F1863" s="21">
        <v>35128.0</v>
      </c>
      <c r="G1863" s="14">
        <v>30.0</v>
      </c>
      <c r="H1863" s="23" t="s">
        <v>26</v>
      </c>
      <c r="I1863" s="24" t="s">
        <v>27</v>
      </c>
      <c r="J1863" s="19" t="s">
        <v>146</v>
      </c>
      <c r="K1863" s="14">
        <v>2.0</v>
      </c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</row>
    <row r="1864">
      <c r="A1864" s="14" t="s">
        <v>6853</v>
      </c>
      <c r="B1864" s="17" t="s">
        <v>6850</v>
      </c>
      <c r="C1864" s="17" t="s">
        <v>6854</v>
      </c>
      <c r="D1864" s="19" t="s">
        <v>6855</v>
      </c>
      <c r="E1864" s="20" t="s">
        <v>104</v>
      </c>
      <c r="F1864" s="21">
        <v>32570.0</v>
      </c>
      <c r="G1864" s="14">
        <v>37.0</v>
      </c>
      <c r="H1864" s="23" t="s">
        <v>26</v>
      </c>
      <c r="I1864" s="24" t="s">
        <v>33</v>
      </c>
      <c r="J1864" s="19" t="s">
        <v>146</v>
      </c>
      <c r="K1864" s="14">
        <v>2.0</v>
      </c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</row>
    <row r="1865">
      <c r="A1865" s="14" t="s">
        <v>6856</v>
      </c>
      <c r="B1865" s="17" t="s">
        <v>6857</v>
      </c>
      <c r="C1865" s="17" t="s">
        <v>6858</v>
      </c>
      <c r="D1865" s="19" t="s">
        <v>6859</v>
      </c>
      <c r="E1865" s="20" t="s">
        <v>295</v>
      </c>
      <c r="F1865" s="27">
        <v>35419.0</v>
      </c>
      <c r="G1865" s="14">
        <v>29.0</v>
      </c>
      <c r="H1865" s="23" t="s">
        <v>26</v>
      </c>
      <c r="I1865" s="24" t="s">
        <v>33</v>
      </c>
      <c r="J1865" s="19" t="s">
        <v>58</v>
      </c>
      <c r="K1865" s="14">
        <v>36.0</v>
      </c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</row>
    <row r="1866">
      <c r="A1866" s="14" t="s">
        <v>6860</v>
      </c>
      <c r="B1866" s="17" t="s">
        <v>6857</v>
      </c>
      <c r="C1866" s="17" t="s">
        <v>6861</v>
      </c>
      <c r="D1866" s="19" t="s">
        <v>6862</v>
      </c>
      <c r="E1866" s="20" t="s">
        <v>337</v>
      </c>
      <c r="F1866" s="21">
        <v>37670.0</v>
      </c>
      <c r="G1866" s="14">
        <v>23.0</v>
      </c>
      <c r="H1866" s="23" t="s">
        <v>26</v>
      </c>
      <c r="I1866" s="24" t="s">
        <v>27</v>
      </c>
      <c r="J1866" s="19" t="s">
        <v>58</v>
      </c>
      <c r="K1866" s="14">
        <v>36.0</v>
      </c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</row>
    <row r="1867">
      <c r="A1867" s="14" t="s">
        <v>6863</v>
      </c>
      <c r="B1867" s="17" t="s">
        <v>6864</v>
      </c>
      <c r="C1867" s="17" t="s">
        <v>6865</v>
      </c>
      <c r="D1867" s="19" t="s">
        <v>6866</v>
      </c>
      <c r="E1867" s="20" t="s">
        <v>104</v>
      </c>
      <c r="F1867" s="21">
        <v>36251.0</v>
      </c>
      <c r="G1867" s="14">
        <v>27.0</v>
      </c>
      <c r="H1867" s="23" t="s">
        <v>100</v>
      </c>
      <c r="I1867" s="24" t="s">
        <v>27</v>
      </c>
      <c r="J1867" s="19" t="s">
        <v>146</v>
      </c>
      <c r="K1867" s="14">
        <v>5.0</v>
      </c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</row>
    <row r="1868">
      <c r="A1868" s="14" t="s">
        <v>6867</v>
      </c>
      <c r="B1868" s="17" t="s">
        <v>6864</v>
      </c>
      <c r="C1868" s="17" t="s">
        <v>6868</v>
      </c>
      <c r="D1868" s="19" t="s">
        <v>6869</v>
      </c>
      <c r="E1868" s="20" t="s">
        <v>6870</v>
      </c>
      <c r="F1868" s="21">
        <v>26153.0</v>
      </c>
      <c r="G1868" s="14">
        <v>55.0</v>
      </c>
      <c r="H1868" s="23" t="s">
        <v>26</v>
      </c>
      <c r="I1868" s="24" t="s">
        <v>33</v>
      </c>
      <c r="J1868" s="19" t="s">
        <v>146</v>
      </c>
      <c r="K1868" s="14">
        <v>5.0</v>
      </c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</row>
    <row r="1869">
      <c r="A1869" s="14" t="s">
        <v>6871</v>
      </c>
      <c r="B1869" s="17" t="s">
        <v>6864</v>
      </c>
      <c r="C1869" s="17" t="s">
        <v>6872</v>
      </c>
      <c r="D1869" s="19" t="s">
        <v>6873</v>
      </c>
      <c r="E1869" s="20" t="s">
        <v>6874</v>
      </c>
      <c r="F1869" s="21">
        <v>26009.0</v>
      </c>
      <c r="G1869" s="14">
        <v>55.0</v>
      </c>
      <c r="H1869" s="23" t="s">
        <v>26</v>
      </c>
      <c r="I1869" s="24" t="s">
        <v>27</v>
      </c>
      <c r="J1869" s="19" t="s">
        <v>146</v>
      </c>
      <c r="K1869" s="14">
        <v>5.0</v>
      </c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</row>
    <row r="1870">
      <c r="A1870" s="14" t="s">
        <v>6875</v>
      </c>
      <c r="B1870" s="17" t="s">
        <v>6876</v>
      </c>
      <c r="C1870" s="17" t="s">
        <v>6877</v>
      </c>
      <c r="D1870" s="19" t="s">
        <v>6878</v>
      </c>
      <c r="E1870" s="20" t="s">
        <v>104</v>
      </c>
      <c r="F1870" s="21">
        <v>38817.0</v>
      </c>
      <c r="G1870" s="14">
        <v>20.0</v>
      </c>
      <c r="H1870" s="23" t="s">
        <v>100</v>
      </c>
      <c r="I1870" s="24" t="s">
        <v>33</v>
      </c>
      <c r="J1870" s="19" t="s">
        <v>328</v>
      </c>
      <c r="K1870" s="14">
        <v>24.0</v>
      </c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</row>
    <row r="1871">
      <c r="A1871" s="14" t="s">
        <v>6879</v>
      </c>
      <c r="B1871" s="17" t="s">
        <v>6876</v>
      </c>
      <c r="C1871" s="17" t="s">
        <v>6880</v>
      </c>
      <c r="D1871" s="19" t="s">
        <v>6881</v>
      </c>
      <c r="E1871" s="20" t="s">
        <v>2795</v>
      </c>
      <c r="F1871" s="21">
        <v>25838.0</v>
      </c>
      <c r="G1871" s="14">
        <v>55.0</v>
      </c>
      <c r="H1871" s="23" t="s">
        <v>26</v>
      </c>
      <c r="I1871" s="24" t="s">
        <v>33</v>
      </c>
      <c r="J1871" s="19" t="s">
        <v>328</v>
      </c>
      <c r="K1871" s="14">
        <v>24.0</v>
      </c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</row>
    <row r="1872">
      <c r="A1872" s="14" t="s">
        <v>6882</v>
      </c>
      <c r="B1872" s="17" t="s">
        <v>6876</v>
      </c>
      <c r="C1872" s="17" t="s">
        <v>6883</v>
      </c>
      <c r="D1872" s="19" t="s">
        <v>6884</v>
      </c>
      <c r="E1872" s="20" t="s">
        <v>1291</v>
      </c>
      <c r="F1872" s="21">
        <v>27199.0</v>
      </c>
      <c r="G1872" s="14">
        <v>52.0</v>
      </c>
      <c r="H1872" s="23" t="s">
        <v>26</v>
      </c>
      <c r="I1872" s="24" t="s">
        <v>27</v>
      </c>
      <c r="J1872" s="19" t="s">
        <v>328</v>
      </c>
      <c r="K1872" s="14">
        <v>24.0</v>
      </c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</row>
    <row r="1873">
      <c r="A1873" s="14" t="s">
        <v>6885</v>
      </c>
      <c r="B1873" s="17" t="s">
        <v>6876</v>
      </c>
      <c r="C1873" s="17" t="s">
        <v>6886</v>
      </c>
      <c r="D1873" s="19" t="s">
        <v>6887</v>
      </c>
      <c r="E1873" s="20" t="s">
        <v>104</v>
      </c>
      <c r="F1873" s="21">
        <v>36649.0</v>
      </c>
      <c r="G1873" s="14">
        <v>26.0</v>
      </c>
      <c r="H1873" s="23" t="s">
        <v>100</v>
      </c>
      <c r="I1873" s="24" t="s">
        <v>33</v>
      </c>
      <c r="J1873" s="19" t="s">
        <v>328</v>
      </c>
      <c r="K1873" s="14">
        <v>24.0</v>
      </c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</row>
    <row r="1874">
      <c r="A1874" s="14" t="s">
        <v>6888</v>
      </c>
      <c r="B1874" s="17" t="s">
        <v>6876</v>
      </c>
      <c r="C1874" s="17" t="s">
        <v>6889</v>
      </c>
      <c r="D1874" s="19" t="s">
        <v>6890</v>
      </c>
      <c r="E1874" s="20" t="s">
        <v>337</v>
      </c>
      <c r="F1874" s="21">
        <v>35269.0</v>
      </c>
      <c r="G1874" s="14">
        <v>30.0</v>
      </c>
      <c r="H1874" s="23" t="s">
        <v>100</v>
      </c>
      <c r="I1874" s="24" t="s">
        <v>33</v>
      </c>
      <c r="J1874" s="19" t="s">
        <v>328</v>
      </c>
      <c r="K1874" s="14">
        <v>24.0</v>
      </c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</row>
    <row r="1875">
      <c r="A1875" s="14" t="s">
        <v>6891</v>
      </c>
      <c r="B1875" s="17" t="s">
        <v>6892</v>
      </c>
      <c r="C1875" s="17" t="s">
        <v>6893</v>
      </c>
      <c r="D1875" s="19" t="s">
        <v>6894</v>
      </c>
      <c r="E1875" s="20" t="s">
        <v>104</v>
      </c>
      <c r="F1875" s="27">
        <v>37193.0</v>
      </c>
      <c r="G1875" s="14">
        <v>24.0</v>
      </c>
      <c r="H1875" s="23" t="s">
        <v>100</v>
      </c>
      <c r="I1875" s="24" t="s">
        <v>27</v>
      </c>
      <c r="J1875" s="19" t="s">
        <v>156</v>
      </c>
      <c r="K1875" s="14">
        <v>33.0</v>
      </c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</row>
    <row r="1876">
      <c r="A1876" s="14" t="s">
        <v>6895</v>
      </c>
      <c r="B1876" s="17" t="s">
        <v>6892</v>
      </c>
      <c r="C1876" s="17" t="s">
        <v>6896</v>
      </c>
      <c r="D1876" s="19" t="s">
        <v>6897</v>
      </c>
      <c r="E1876" s="20" t="s">
        <v>6898</v>
      </c>
      <c r="F1876" s="21">
        <v>38853.0</v>
      </c>
      <c r="G1876" s="14">
        <v>20.0</v>
      </c>
      <c r="H1876" s="23" t="s">
        <v>100</v>
      </c>
      <c r="I1876" s="24" t="s">
        <v>33</v>
      </c>
      <c r="J1876" s="19" t="s">
        <v>156</v>
      </c>
      <c r="K1876" s="14">
        <v>33.0</v>
      </c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</row>
    <row r="1877">
      <c r="A1877" s="14" t="s">
        <v>6899</v>
      </c>
      <c r="B1877" s="17" t="s">
        <v>6892</v>
      </c>
      <c r="C1877" s="17" t="s">
        <v>6900</v>
      </c>
      <c r="D1877" s="19" t="s">
        <v>6901</v>
      </c>
      <c r="E1877" s="20" t="s">
        <v>6902</v>
      </c>
      <c r="F1877" s="21">
        <v>29417.0</v>
      </c>
      <c r="G1877" s="14">
        <v>46.0</v>
      </c>
      <c r="H1877" s="23" t="s">
        <v>26</v>
      </c>
      <c r="I1877" s="24" t="s">
        <v>27</v>
      </c>
      <c r="J1877" s="19" t="s">
        <v>156</v>
      </c>
      <c r="K1877" s="14">
        <v>33.0</v>
      </c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</row>
    <row r="1878">
      <c r="A1878" s="14" t="s">
        <v>6903</v>
      </c>
      <c r="B1878" s="17" t="s">
        <v>6892</v>
      </c>
      <c r="C1878" s="17" t="s">
        <v>6904</v>
      </c>
      <c r="D1878" s="19" t="s">
        <v>6905</v>
      </c>
      <c r="E1878" s="20" t="s">
        <v>1291</v>
      </c>
      <c r="F1878" s="21">
        <v>27622.0</v>
      </c>
      <c r="G1878" s="14">
        <v>51.0</v>
      </c>
      <c r="H1878" s="23" t="s">
        <v>26</v>
      </c>
      <c r="I1878" s="24" t="s">
        <v>33</v>
      </c>
      <c r="J1878" s="19" t="s">
        <v>156</v>
      </c>
      <c r="K1878" s="14">
        <v>33.0</v>
      </c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</row>
    <row r="1879">
      <c r="A1879" s="14" t="s">
        <v>6906</v>
      </c>
      <c r="B1879" s="17" t="s">
        <v>6907</v>
      </c>
      <c r="C1879" s="17" t="s">
        <v>6908</v>
      </c>
      <c r="D1879" s="19" t="s">
        <v>6909</v>
      </c>
      <c r="E1879" s="20" t="s">
        <v>6910</v>
      </c>
      <c r="F1879" s="21">
        <v>28637.0</v>
      </c>
      <c r="G1879" s="14">
        <v>48.0</v>
      </c>
      <c r="H1879" s="23" t="s">
        <v>26</v>
      </c>
      <c r="I1879" s="24" t="s">
        <v>33</v>
      </c>
      <c r="J1879" s="19" t="s">
        <v>362</v>
      </c>
      <c r="K1879" s="14">
        <v>25.0</v>
      </c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</row>
    <row r="1880">
      <c r="A1880" s="14" t="s">
        <v>6911</v>
      </c>
      <c r="B1880" s="17" t="s">
        <v>6907</v>
      </c>
      <c r="C1880" s="17" t="s">
        <v>6912</v>
      </c>
      <c r="D1880" s="19" t="s">
        <v>6913</v>
      </c>
      <c r="E1880" s="20" t="s">
        <v>6914</v>
      </c>
      <c r="F1880" s="27">
        <v>30982.0</v>
      </c>
      <c r="G1880" s="14">
        <v>41.0</v>
      </c>
      <c r="H1880" s="23" t="s">
        <v>26</v>
      </c>
      <c r="I1880" s="24" t="s">
        <v>27</v>
      </c>
      <c r="J1880" s="19" t="s">
        <v>362</v>
      </c>
      <c r="K1880" s="14">
        <v>25.0</v>
      </c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</row>
    <row r="1881">
      <c r="A1881" s="14" t="s">
        <v>6915</v>
      </c>
      <c r="B1881" s="17" t="s">
        <v>6916</v>
      </c>
      <c r="C1881" s="17" t="s">
        <v>6917</v>
      </c>
      <c r="D1881" s="19" t="s">
        <v>6918</v>
      </c>
      <c r="E1881" s="20" t="s">
        <v>104</v>
      </c>
      <c r="F1881" s="21">
        <v>31192.0</v>
      </c>
      <c r="G1881" s="14">
        <v>41.0</v>
      </c>
      <c r="H1881" s="23" t="s">
        <v>26</v>
      </c>
      <c r="I1881" s="24" t="s">
        <v>33</v>
      </c>
      <c r="J1881" s="19" t="s">
        <v>282</v>
      </c>
      <c r="K1881" s="14">
        <v>11.0</v>
      </c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</row>
    <row r="1882">
      <c r="A1882" s="14" t="s">
        <v>6919</v>
      </c>
      <c r="B1882" s="17" t="s">
        <v>6916</v>
      </c>
      <c r="C1882" s="17" t="s">
        <v>6920</v>
      </c>
      <c r="D1882" s="19" t="s">
        <v>6921</v>
      </c>
      <c r="E1882" s="20" t="s">
        <v>6922</v>
      </c>
      <c r="F1882" s="21">
        <v>32734.0</v>
      </c>
      <c r="G1882" s="14">
        <v>37.0</v>
      </c>
      <c r="H1882" s="23" t="s">
        <v>26</v>
      </c>
      <c r="I1882" s="24" t="s">
        <v>27</v>
      </c>
      <c r="J1882" s="19" t="s">
        <v>282</v>
      </c>
      <c r="K1882" s="14">
        <v>11.0</v>
      </c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</row>
    <row r="1883">
      <c r="A1883" s="14" t="s">
        <v>6923</v>
      </c>
      <c r="B1883" s="17" t="s">
        <v>6924</v>
      </c>
      <c r="C1883" s="17" t="s">
        <v>6925</v>
      </c>
      <c r="D1883" s="19" t="s">
        <v>6926</v>
      </c>
      <c r="E1883" s="20" t="s">
        <v>536</v>
      </c>
      <c r="F1883" s="21">
        <v>33436.0</v>
      </c>
      <c r="G1883" s="14">
        <v>35.0</v>
      </c>
      <c r="H1883" s="23" t="s">
        <v>26</v>
      </c>
      <c r="I1883" s="24" t="s">
        <v>27</v>
      </c>
      <c r="J1883" s="19" t="s">
        <v>517</v>
      </c>
      <c r="K1883" s="14">
        <v>7.0</v>
      </c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</row>
    <row r="1884">
      <c r="A1884" s="14" t="s">
        <v>6927</v>
      </c>
      <c r="B1884" s="17" t="s">
        <v>6924</v>
      </c>
      <c r="C1884" s="17" t="s">
        <v>6928</v>
      </c>
      <c r="D1884" s="19" t="s">
        <v>6929</v>
      </c>
      <c r="E1884" s="20" t="s">
        <v>337</v>
      </c>
      <c r="F1884" s="21">
        <v>32282.0</v>
      </c>
      <c r="G1884" s="14">
        <v>38.0</v>
      </c>
      <c r="H1884" s="23" t="s">
        <v>26</v>
      </c>
      <c r="I1884" s="24" t="s">
        <v>33</v>
      </c>
      <c r="J1884" s="19" t="s">
        <v>517</v>
      </c>
      <c r="K1884" s="14">
        <v>7.0</v>
      </c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</row>
    <row r="1885">
      <c r="A1885" s="14" t="s">
        <v>6930</v>
      </c>
      <c r="B1885" s="17" t="s">
        <v>6931</v>
      </c>
      <c r="C1885" s="17" t="s">
        <v>6932</v>
      </c>
      <c r="D1885" s="19" t="s">
        <v>6933</v>
      </c>
      <c r="E1885" s="20" t="s">
        <v>104</v>
      </c>
      <c r="F1885" s="21">
        <v>36203.0</v>
      </c>
      <c r="G1885" s="14">
        <v>27.0</v>
      </c>
      <c r="H1885" s="23" t="s">
        <v>26</v>
      </c>
      <c r="I1885" s="24" t="s">
        <v>27</v>
      </c>
      <c r="J1885" s="19" t="s">
        <v>146</v>
      </c>
      <c r="K1885" s="14">
        <v>5.0</v>
      </c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</row>
    <row r="1886">
      <c r="A1886" s="14" t="s">
        <v>6934</v>
      </c>
      <c r="B1886" s="17" t="s">
        <v>6931</v>
      </c>
      <c r="C1886" s="17" t="s">
        <v>6935</v>
      </c>
      <c r="D1886" s="19" t="s">
        <v>6936</v>
      </c>
      <c r="E1886" s="20" t="s">
        <v>195</v>
      </c>
      <c r="F1886" s="21">
        <v>34216.0</v>
      </c>
      <c r="G1886" s="14">
        <v>32.0</v>
      </c>
      <c r="H1886" s="23" t="s">
        <v>26</v>
      </c>
      <c r="I1886" s="24" t="s">
        <v>33</v>
      </c>
      <c r="J1886" s="19" t="s">
        <v>146</v>
      </c>
      <c r="K1886" s="14">
        <v>5.0</v>
      </c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</row>
    <row r="1887">
      <c r="A1887" s="14" t="s">
        <v>6937</v>
      </c>
      <c r="B1887" s="17" t="s">
        <v>6938</v>
      </c>
      <c r="C1887" s="17" t="s">
        <v>6939</v>
      </c>
      <c r="D1887" s="19" t="s">
        <v>6940</v>
      </c>
      <c r="E1887" s="20" t="s">
        <v>2689</v>
      </c>
      <c r="F1887" s="21">
        <v>32696.0</v>
      </c>
      <c r="G1887" s="14">
        <v>37.0</v>
      </c>
      <c r="H1887" s="23" t="s">
        <v>26</v>
      </c>
      <c r="I1887" s="24" t="s">
        <v>27</v>
      </c>
      <c r="J1887" s="19" t="s">
        <v>58</v>
      </c>
      <c r="K1887" s="14">
        <v>5.0</v>
      </c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</row>
    <row r="1888">
      <c r="A1888" s="14" t="s">
        <v>6941</v>
      </c>
      <c r="B1888" s="17" t="s">
        <v>6938</v>
      </c>
      <c r="C1888" s="17" t="s">
        <v>6942</v>
      </c>
      <c r="D1888" s="19" t="s">
        <v>6943</v>
      </c>
      <c r="E1888" s="20" t="s">
        <v>6944</v>
      </c>
      <c r="F1888" s="21">
        <v>30625.0</v>
      </c>
      <c r="G1888" s="14">
        <v>42.0</v>
      </c>
      <c r="H1888" s="23" t="s">
        <v>26</v>
      </c>
      <c r="I1888" s="24" t="s">
        <v>33</v>
      </c>
      <c r="J1888" s="19" t="s">
        <v>58</v>
      </c>
      <c r="K1888" s="14">
        <v>5.0</v>
      </c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</row>
    <row r="1889">
      <c r="A1889" s="14" t="s">
        <v>6945</v>
      </c>
      <c r="B1889" s="17" t="s">
        <v>6946</v>
      </c>
      <c r="C1889" s="17" t="s">
        <v>6947</v>
      </c>
      <c r="D1889" s="19" t="s">
        <v>6948</v>
      </c>
      <c r="E1889" s="20" t="s">
        <v>53</v>
      </c>
      <c r="F1889" s="21">
        <v>35567.0</v>
      </c>
      <c r="G1889" s="14">
        <v>29.0</v>
      </c>
      <c r="H1889" s="23" t="s">
        <v>26</v>
      </c>
      <c r="I1889" s="24" t="s">
        <v>27</v>
      </c>
      <c r="J1889" s="19" t="s">
        <v>282</v>
      </c>
      <c r="K1889" s="14">
        <v>12.0</v>
      </c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</row>
    <row r="1890">
      <c r="A1890" s="14" t="s">
        <v>6949</v>
      </c>
      <c r="B1890" s="17" t="s">
        <v>6946</v>
      </c>
      <c r="C1890" s="17" t="s">
        <v>6950</v>
      </c>
      <c r="D1890" s="19" t="s">
        <v>6951</v>
      </c>
      <c r="E1890" s="20" t="s">
        <v>671</v>
      </c>
      <c r="F1890" s="21">
        <v>27914.0</v>
      </c>
      <c r="G1890" s="14">
        <v>50.0</v>
      </c>
      <c r="H1890" s="23" t="s">
        <v>26</v>
      </c>
      <c r="I1890" s="24" t="s">
        <v>27</v>
      </c>
      <c r="J1890" s="19" t="s">
        <v>282</v>
      </c>
      <c r="K1890" s="14">
        <v>12.0</v>
      </c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</row>
    <row r="1891">
      <c r="A1891" s="14" t="s">
        <v>6952</v>
      </c>
      <c r="B1891" s="17" t="s">
        <v>6946</v>
      </c>
      <c r="C1891" s="17" t="s">
        <v>6953</v>
      </c>
      <c r="D1891" s="19" t="s">
        <v>6954</v>
      </c>
      <c r="E1891" s="20" t="s">
        <v>624</v>
      </c>
      <c r="F1891" s="21">
        <v>27185.0</v>
      </c>
      <c r="G1891" s="14">
        <v>52.0</v>
      </c>
      <c r="H1891" s="23" t="s">
        <v>26</v>
      </c>
      <c r="I1891" s="24" t="s">
        <v>33</v>
      </c>
      <c r="J1891" s="19" t="s">
        <v>282</v>
      </c>
      <c r="K1891" s="14">
        <v>12.0</v>
      </c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</row>
    <row r="1892">
      <c r="A1892" s="14" t="s">
        <v>6955</v>
      </c>
      <c r="B1892" s="17" t="s">
        <v>6956</v>
      </c>
      <c r="C1892" s="17" t="s">
        <v>6957</v>
      </c>
      <c r="D1892" s="19" t="s">
        <v>6958</v>
      </c>
      <c r="E1892" s="20" t="s">
        <v>429</v>
      </c>
      <c r="F1892" s="21">
        <v>16498.0</v>
      </c>
      <c r="G1892" s="14">
        <v>81.0</v>
      </c>
      <c r="H1892" s="23" t="s">
        <v>27</v>
      </c>
      <c r="I1892" s="24" t="s">
        <v>27</v>
      </c>
      <c r="J1892" s="19" t="s">
        <v>362</v>
      </c>
      <c r="K1892" s="14">
        <v>25.0</v>
      </c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</row>
    <row r="1893">
      <c r="A1893" s="14" t="s">
        <v>6959</v>
      </c>
      <c r="B1893" s="17" t="s">
        <v>6960</v>
      </c>
      <c r="C1893" s="17" t="s">
        <v>6961</v>
      </c>
      <c r="D1893" s="19" t="s">
        <v>6962</v>
      </c>
      <c r="E1893" s="20" t="s">
        <v>219</v>
      </c>
      <c r="F1893" s="21">
        <v>25366.0</v>
      </c>
      <c r="G1893" s="14">
        <v>57.0</v>
      </c>
      <c r="H1893" s="23" t="s">
        <v>26</v>
      </c>
      <c r="I1893" s="24" t="s">
        <v>33</v>
      </c>
      <c r="J1893" s="19" t="s">
        <v>282</v>
      </c>
      <c r="K1893" s="14">
        <v>18.0</v>
      </c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</row>
    <row r="1894">
      <c r="A1894" s="14" t="s">
        <v>6963</v>
      </c>
      <c r="B1894" s="17" t="s">
        <v>6960</v>
      </c>
      <c r="C1894" s="17" t="s">
        <v>6964</v>
      </c>
      <c r="D1894" s="19" t="s">
        <v>6965</v>
      </c>
      <c r="E1894" s="20" t="s">
        <v>219</v>
      </c>
      <c r="F1894" s="21">
        <v>25509.0</v>
      </c>
      <c r="G1894" s="14">
        <v>56.0</v>
      </c>
      <c r="H1894" s="23" t="s">
        <v>26</v>
      </c>
      <c r="I1894" s="24" t="s">
        <v>27</v>
      </c>
      <c r="J1894" s="19" t="s">
        <v>282</v>
      </c>
      <c r="K1894" s="14">
        <v>18.0</v>
      </c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</row>
    <row r="1895">
      <c r="A1895" s="14" t="s">
        <v>6966</v>
      </c>
      <c r="B1895" s="17" t="s">
        <v>6967</v>
      </c>
      <c r="C1895" s="17" t="s">
        <v>6968</v>
      </c>
      <c r="D1895" s="19" t="s">
        <v>6969</v>
      </c>
      <c r="E1895" s="20" t="s">
        <v>6970</v>
      </c>
      <c r="F1895" s="21">
        <v>30031.0</v>
      </c>
      <c r="G1895" s="14">
        <v>44.0</v>
      </c>
      <c r="H1895" s="23" t="s">
        <v>26</v>
      </c>
      <c r="I1895" s="24" t="s">
        <v>33</v>
      </c>
      <c r="J1895" s="19" t="s">
        <v>328</v>
      </c>
      <c r="K1895" s="14">
        <v>26.0</v>
      </c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</row>
    <row r="1896">
      <c r="A1896" s="14" t="s">
        <v>6971</v>
      </c>
      <c r="B1896" s="17" t="s">
        <v>6967</v>
      </c>
      <c r="C1896" s="17" t="s">
        <v>6972</v>
      </c>
      <c r="D1896" s="19" t="s">
        <v>1494</v>
      </c>
      <c r="E1896" s="20" t="s">
        <v>104</v>
      </c>
      <c r="F1896" s="21">
        <v>30331.0</v>
      </c>
      <c r="G1896" s="14">
        <v>43.0</v>
      </c>
      <c r="H1896" s="23" t="s">
        <v>26</v>
      </c>
      <c r="I1896" s="24" t="s">
        <v>27</v>
      </c>
      <c r="J1896" s="19" t="s">
        <v>328</v>
      </c>
      <c r="K1896" s="14">
        <v>26.0</v>
      </c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</row>
    <row r="1897">
      <c r="A1897" s="14" t="s">
        <v>6973</v>
      </c>
      <c r="B1897" s="17" t="s">
        <v>6974</v>
      </c>
      <c r="C1897" s="17" t="s">
        <v>6975</v>
      </c>
      <c r="D1897" s="19" t="s">
        <v>6976</v>
      </c>
      <c r="E1897" s="20" t="s">
        <v>104</v>
      </c>
      <c r="F1897" s="21">
        <v>38516.0</v>
      </c>
      <c r="G1897" s="14">
        <v>21.0</v>
      </c>
      <c r="H1897" s="23" t="s">
        <v>100</v>
      </c>
      <c r="I1897" s="24" t="s">
        <v>33</v>
      </c>
      <c r="J1897" s="19" t="s">
        <v>328</v>
      </c>
      <c r="K1897" s="14">
        <v>31.0</v>
      </c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</row>
    <row r="1898">
      <c r="A1898" s="14" t="s">
        <v>6977</v>
      </c>
      <c r="B1898" s="17" t="s">
        <v>6974</v>
      </c>
      <c r="C1898" s="17" t="s">
        <v>6978</v>
      </c>
      <c r="D1898" s="19" t="s">
        <v>6979</v>
      </c>
      <c r="E1898" s="20" t="s">
        <v>2505</v>
      </c>
      <c r="F1898" s="21">
        <v>25842.0</v>
      </c>
      <c r="G1898" s="14">
        <v>55.0</v>
      </c>
      <c r="H1898" s="23" t="s">
        <v>26</v>
      </c>
      <c r="I1898" s="24" t="s">
        <v>27</v>
      </c>
      <c r="J1898" s="19" t="s">
        <v>328</v>
      </c>
      <c r="K1898" s="14">
        <v>31.0</v>
      </c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</row>
    <row r="1899">
      <c r="A1899" s="14" t="s">
        <v>6980</v>
      </c>
      <c r="B1899" s="17" t="s">
        <v>6974</v>
      </c>
      <c r="C1899" s="17" t="s">
        <v>6981</v>
      </c>
      <c r="D1899" s="19" t="s">
        <v>2629</v>
      </c>
      <c r="E1899" s="20" t="s">
        <v>429</v>
      </c>
      <c r="F1899" s="21">
        <v>24289.0</v>
      </c>
      <c r="G1899" s="14">
        <v>60.0</v>
      </c>
      <c r="H1899" s="23" t="s">
        <v>26</v>
      </c>
      <c r="I1899" s="24" t="s">
        <v>33</v>
      </c>
      <c r="J1899" s="19" t="s">
        <v>328</v>
      </c>
      <c r="K1899" s="14">
        <v>31.0</v>
      </c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</row>
    <row r="1900">
      <c r="A1900" s="14" t="s">
        <v>6982</v>
      </c>
      <c r="B1900" s="17" t="s">
        <v>6974</v>
      </c>
      <c r="C1900" s="17" t="s">
        <v>6983</v>
      </c>
      <c r="D1900" s="19" t="s">
        <v>6984</v>
      </c>
      <c r="E1900" s="20" t="s">
        <v>104</v>
      </c>
      <c r="F1900" s="21">
        <v>36104.0</v>
      </c>
      <c r="G1900" s="14">
        <v>27.0</v>
      </c>
      <c r="H1900" s="23" t="s">
        <v>100</v>
      </c>
      <c r="I1900" s="24" t="s">
        <v>33</v>
      </c>
      <c r="J1900" s="19" t="s">
        <v>328</v>
      </c>
      <c r="K1900" s="14">
        <v>31.0</v>
      </c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</row>
    <row r="1901">
      <c r="A1901" s="14" t="s">
        <v>6985</v>
      </c>
      <c r="B1901" s="17" t="s">
        <v>6986</v>
      </c>
      <c r="C1901" s="17" t="s">
        <v>6987</v>
      </c>
      <c r="D1901" s="19" t="s">
        <v>6988</v>
      </c>
      <c r="E1901" s="20" t="s">
        <v>429</v>
      </c>
      <c r="F1901" s="21">
        <v>19126.0</v>
      </c>
      <c r="G1901" s="14">
        <v>74.0</v>
      </c>
      <c r="H1901" s="23" t="s">
        <v>26</v>
      </c>
      <c r="I1901" s="24" t="s">
        <v>27</v>
      </c>
      <c r="J1901" s="19" t="s">
        <v>328</v>
      </c>
      <c r="K1901" s="14">
        <v>25.0</v>
      </c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</row>
    <row r="1902">
      <c r="A1902" s="14" t="s">
        <v>6989</v>
      </c>
      <c r="B1902" s="17" t="s">
        <v>6986</v>
      </c>
      <c r="C1902" s="17" t="s">
        <v>6990</v>
      </c>
      <c r="D1902" s="19" t="s">
        <v>6991</v>
      </c>
      <c r="E1902" s="20" t="s">
        <v>429</v>
      </c>
      <c r="F1902" s="21">
        <v>22707.0</v>
      </c>
      <c r="G1902" s="14">
        <v>64.0</v>
      </c>
      <c r="H1902" s="23" t="s">
        <v>26</v>
      </c>
      <c r="I1902" s="24" t="s">
        <v>33</v>
      </c>
      <c r="J1902" s="19" t="s">
        <v>328</v>
      </c>
      <c r="K1902" s="14">
        <v>25.0</v>
      </c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</row>
    <row r="1903">
      <c r="A1903" s="14" t="s">
        <v>6992</v>
      </c>
      <c r="B1903" s="17" t="s">
        <v>6993</v>
      </c>
      <c r="C1903" s="17" t="s">
        <v>6994</v>
      </c>
      <c r="D1903" s="19" t="s">
        <v>6995</v>
      </c>
      <c r="E1903" s="20" t="s">
        <v>3552</v>
      </c>
      <c r="F1903" s="21">
        <v>29753.0</v>
      </c>
      <c r="G1903" s="14">
        <v>45.0</v>
      </c>
      <c r="H1903" s="23" t="s">
        <v>26</v>
      </c>
      <c r="I1903" s="24" t="s">
        <v>27</v>
      </c>
      <c r="J1903" s="19" t="s">
        <v>328</v>
      </c>
      <c r="K1903" s="14">
        <v>22.0</v>
      </c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</row>
    <row r="1904">
      <c r="A1904" s="14" t="s">
        <v>6996</v>
      </c>
      <c r="B1904" s="17" t="s">
        <v>6993</v>
      </c>
      <c r="C1904" s="17" t="s">
        <v>6997</v>
      </c>
      <c r="D1904" s="19" t="s">
        <v>6998</v>
      </c>
      <c r="E1904" s="20" t="s">
        <v>138</v>
      </c>
      <c r="F1904" s="21">
        <v>38329.0</v>
      </c>
      <c r="G1904" s="14">
        <v>21.0</v>
      </c>
      <c r="H1904" s="23" t="s">
        <v>100</v>
      </c>
      <c r="I1904" s="24" t="s">
        <v>33</v>
      </c>
      <c r="J1904" s="19" t="s">
        <v>328</v>
      </c>
      <c r="K1904" s="14">
        <v>22.0</v>
      </c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</row>
    <row r="1905">
      <c r="A1905" s="14" t="s">
        <v>6999</v>
      </c>
      <c r="B1905" s="17" t="s">
        <v>6993</v>
      </c>
      <c r="C1905" s="17" t="s">
        <v>7000</v>
      </c>
      <c r="D1905" s="19" t="s">
        <v>7001</v>
      </c>
      <c r="E1905" s="20" t="s">
        <v>104</v>
      </c>
      <c r="F1905" s="21">
        <v>28265.0</v>
      </c>
      <c r="G1905" s="14">
        <v>49.0</v>
      </c>
      <c r="H1905" s="23" t="s">
        <v>26</v>
      </c>
      <c r="I1905" s="24" t="s">
        <v>33</v>
      </c>
      <c r="J1905" s="19" t="s">
        <v>328</v>
      </c>
      <c r="K1905" s="14">
        <v>22.0</v>
      </c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</row>
    <row r="1906">
      <c r="A1906" s="14" t="s">
        <v>7002</v>
      </c>
      <c r="B1906" s="17" t="s">
        <v>7003</v>
      </c>
      <c r="C1906" s="17" t="s">
        <v>7004</v>
      </c>
      <c r="D1906" s="19" t="s">
        <v>7005</v>
      </c>
      <c r="E1906" s="20" t="s">
        <v>104</v>
      </c>
      <c r="F1906" s="21">
        <v>38929.0</v>
      </c>
      <c r="G1906" s="14">
        <v>20.0</v>
      </c>
      <c r="H1906" s="23" t="s">
        <v>100</v>
      </c>
      <c r="I1906" s="24" t="s">
        <v>33</v>
      </c>
      <c r="J1906" s="19" t="s">
        <v>362</v>
      </c>
      <c r="K1906" s="14">
        <v>23.0</v>
      </c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</row>
    <row r="1907">
      <c r="A1907" s="14" t="s">
        <v>7006</v>
      </c>
      <c r="B1907" s="17" t="s">
        <v>7003</v>
      </c>
      <c r="C1907" s="17" t="s">
        <v>7007</v>
      </c>
      <c r="D1907" s="19" t="s">
        <v>879</v>
      </c>
      <c r="E1907" s="20" t="s">
        <v>632</v>
      </c>
      <c r="F1907" s="21">
        <v>29719.0</v>
      </c>
      <c r="G1907" s="14">
        <v>45.0</v>
      </c>
      <c r="H1907" s="23" t="s">
        <v>26</v>
      </c>
      <c r="I1907" s="24" t="s">
        <v>33</v>
      </c>
      <c r="J1907" s="19" t="s">
        <v>362</v>
      </c>
      <c r="K1907" s="14">
        <v>23.0</v>
      </c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</row>
    <row r="1908">
      <c r="A1908" s="14" t="s">
        <v>7008</v>
      </c>
      <c r="B1908" s="17" t="s">
        <v>7003</v>
      </c>
      <c r="C1908" s="17" t="s">
        <v>7009</v>
      </c>
      <c r="D1908" s="19" t="s">
        <v>5017</v>
      </c>
      <c r="E1908" s="20" t="s">
        <v>104</v>
      </c>
      <c r="F1908" s="21">
        <v>31194.0</v>
      </c>
      <c r="G1908" s="14">
        <v>41.0</v>
      </c>
      <c r="H1908" s="23" t="s">
        <v>26</v>
      </c>
      <c r="I1908" s="24" t="s">
        <v>27</v>
      </c>
      <c r="J1908" s="19" t="s">
        <v>362</v>
      </c>
      <c r="K1908" s="14">
        <v>23.0</v>
      </c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</row>
    <row r="1909">
      <c r="A1909" s="14" t="s">
        <v>7010</v>
      </c>
      <c r="B1909" s="17" t="s">
        <v>7011</v>
      </c>
      <c r="C1909" s="17" t="s">
        <v>7012</v>
      </c>
      <c r="D1909" s="19" t="s">
        <v>7013</v>
      </c>
      <c r="E1909" s="20" t="s">
        <v>53</v>
      </c>
      <c r="F1909" s="21">
        <v>37291.0</v>
      </c>
      <c r="G1909" s="14">
        <v>24.0</v>
      </c>
      <c r="H1909" s="23" t="s">
        <v>100</v>
      </c>
      <c r="I1909" s="24" t="s">
        <v>27</v>
      </c>
      <c r="J1909" s="19" t="s">
        <v>156</v>
      </c>
      <c r="K1909" s="14">
        <v>35.0</v>
      </c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</row>
    <row r="1910">
      <c r="A1910" s="14" t="s">
        <v>7014</v>
      </c>
      <c r="B1910" s="17" t="s">
        <v>7011</v>
      </c>
      <c r="C1910" s="17" t="s">
        <v>7015</v>
      </c>
      <c r="D1910" s="19" t="s">
        <v>7016</v>
      </c>
      <c r="E1910" s="20" t="s">
        <v>4976</v>
      </c>
      <c r="F1910" s="27">
        <v>25167.0</v>
      </c>
      <c r="G1910" s="14">
        <v>57.0</v>
      </c>
      <c r="H1910" s="23" t="s">
        <v>26</v>
      </c>
      <c r="I1910" s="24" t="s">
        <v>33</v>
      </c>
      <c r="J1910" s="19" t="s">
        <v>156</v>
      </c>
      <c r="K1910" s="14">
        <v>35.0</v>
      </c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</row>
    <row r="1911">
      <c r="A1911" s="14" t="s">
        <v>7017</v>
      </c>
      <c r="B1911" s="17" t="s">
        <v>7011</v>
      </c>
      <c r="C1911" s="17" t="s">
        <v>7018</v>
      </c>
      <c r="D1911" s="19" t="s">
        <v>7019</v>
      </c>
      <c r="E1911" s="20" t="s">
        <v>1291</v>
      </c>
      <c r="F1911" s="21">
        <v>26665.0</v>
      </c>
      <c r="G1911" s="14">
        <v>53.0</v>
      </c>
      <c r="H1911" s="23" t="s">
        <v>26</v>
      </c>
      <c r="I1911" s="24" t="s">
        <v>27</v>
      </c>
      <c r="J1911" s="19" t="s">
        <v>156</v>
      </c>
      <c r="K1911" s="14">
        <v>35.0</v>
      </c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</row>
    <row r="1912">
      <c r="A1912" s="14" t="s">
        <v>7020</v>
      </c>
      <c r="B1912" s="17" t="s">
        <v>7021</v>
      </c>
      <c r="C1912" s="17" t="s">
        <v>7022</v>
      </c>
      <c r="D1912" s="19" t="s">
        <v>7023</v>
      </c>
      <c r="E1912" s="20" t="s">
        <v>104</v>
      </c>
      <c r="F1912" s="21">
        <v>29629.0</v>
      </c>
      <c r="G1912" s="14">
        <v>45.0</v>
      </c>
      <c r="H1912" s="23" t="s">
        <v>26</v>
      </c>
      <c r="I1912" s="24" t="s">
        <v>33</v>
      </c>
      <c r="J1912" s="19" t="s">
        <v>328</v>
      </c>
      <c r="K1912" s="14">
        <v>25.0</v>
      </c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</row>
    <row r="1913">
      <c r="A1913" s="14" t="s">
        <v>7024</v>
      </c>
      <c r="B1913" s="17" t="s">
        <v>7021</v>
      </c>
      <c r="C1913" s="17" t="s">
        <v>7025</v>
      </c>
      <c r="D1913" s="19" t="s">
        <v>1268</v>
      </c>
      <c r="E1913" s="20" t="s">
        <v>195</v>
      </c>
      <c r="F1913" s="21">
        <v>29598.0</v>
      </c>
      <c r="G1913" s="14">
        <v>45.0</v>
      </c>
      <c r="H1913" s="23" t="s">
        <v>26</v>
      </c>
      <c r="I1913" s="24" t="s">
        <v>27</v>
      </c>
      <c r="J1913" s="19" t="s">
        <v>68</v>
      </c>
      <c r="K1913" s="14">
        <v>33.0</v>
      </c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</row>
    <row r="1914">
      <c r="A1914" s="14" t="s">
        <v>7026</v>
      </c>
      <c r="B1914" s="17" t="s">
        <v>7021</v>
      </c>
      <c r="C1914" s="17" t="s">
        <v>7027</v>
      </c>
      <c r="D1914" s="19" t="s">
        <v>7028</v>
      </c>
      <c r="E1914" s="20" t="s">
        <v>195</v>
      </c>
      <c r="F1914" s="21">
        <v>38398.0</v>
      </c>
      <c r="G1914" s="14">
        <v>21.0</v>
      </c>
      <c r="H1914" s="23" t="s">
        <v>100</v>
      </c>
      <c r="I1914" s="24" t="s">
        <v>27</v>
      </c>
      <c r="J1914" s="19" t="s">
        <v>328</v>
      </c>
      <c r="K1914" s="14">
        <v>25.0</v>
      </c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</row>
    <row r="1915">
      <c r="A1915" s="14" t="s">
        <v>7029</v>
      </c>
      <c r="B1915" s="17" t="s">
        <v>7021</v>
      </c>
      <c r="C1915" s="17" t="s">
        <v>7030</v>
      </c>
      <c r="D1915" s="19" t="s">
        <v>7031</v>
      </c>
      <c r="E1915" s="20" t="s">
        <v>7032</v>
      </c>
      <c r="F1915" s="21">
        <v>38931.0</v>
      </c>
      <c r="G1915" s="14">
        <v>20.0</v>
      </c>
      <c r="H1915" s="23" t="s">
        <v>100</v>
      </c>
      <c r="I1915" s="24" t="s">
        <v>33</v>
      </c>
      <c r="J1915" s="19" t="s">
        <v>328</v>
      </c>
      <c r="K1915" s="14">
        <v>25.0</v>
      </c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</row>
    <row r="1916">
      <c r="A1916" s="14" t="s">
        <v>7033</v>
      </c>
      <c r="B1916" s="17" t="s">
        <v>7034</v>
      </c>
      <c r="C1916" s="17" t="s">
        <v>7035</v>
      </c>
      <c r="D1916" s="19" t="s">
        <v>7036</v>
      </c>
      <c r="E1916" s="20" t="s">
        <v>104</v>
      </c>
      <c r="F1916" s="21">
        <v>29501.0</v>
      </c>
      <c r="G1916" s="14">
        <v>45.0</v>
      </c>
      <c r="H1916" s="23" t="s">
        <v>26</v>
      </c>
      <c r="I1916" s="24" t="s">
        <v>33</v>
      </c>
      <c r="J1916" s="19" t="s">
        <v>68</v>
      </c>
      <c r="K1916" s="14">
        <v>31.0</v>
      </c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</row>
    <row r="1917">
      <c r="A1917" s="14" t="s">
        <v>7037</v>
      </c>
      <c r="B1917" s="17" t="s">
        <v>7034</v>
      </c>
      <c r="C1917" s="17" t="s">
        <v>7038</v>
      </c>
      <c r="D1917" s="19" t="s">
        <v>7039</v>
      </c>
      <c r="E1917" s="20" t="s">
        <v>671</v>
      </c>
      <c r="F1917" s="21">
        <v>28878.0</v>
      </c>
      <c r="G1917" s="14">
        <v>47.0</v>
      </c>
      <c r="H1917" s="23" t="s">
        <v>26</v>
      </c>
      <c r="I1917" s="24" t="s">
        <v>27</v>
      </c>
      <c r="J1917" s="19" t="s">
        <v>68</v>
      </c>
      <c r="K1917" s="14">
        <v>31.0</v>
      </c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</row>
    <row r="1918">
      <c r="A1918" s="14" t="s">
        <v>7040</v>
      </c>
      <c r="B1918" s="17" t="s">
        <v>7041</v>
      </c>
      <c r="C1918" s="17" t="s">
        <v>7042</v>
      </c>
      <c r="D1918" s="19" t="s">
        <v>7043</v>
      </c>
      <c r="E1918" s="20" t="s">
        <v>210</v>
      </c>
      <c r="F1918" s="21">
        <v>38500.0</v>
      </c>
      <c r="G1918" s="14">
        <v>21.0</v>
      </c>
      <c r="H1918" s="23" t="s">
        <v>100</v>
      </c>
      <c r="I1918" s="24" t="s">
        <v>27</v>
      </c>
      <c r="J1918" s="19" t="s">
        <v>68</v>
      </c>
      <c r="K1918" s="14">
        <v>34.0</v>
      </c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</row>
    <row r="1919">
      <c r="A1919" s="14" t="s">
        <v>7044</v>
      </c>
      <c r="B1919" s="17" t="s">
        <v>7041</v>
      </c>
      <c r="C1919" s="17" t="s">
        <v>7045</v>
      </c>
      <c r="D1919" s="19" t="s">
        <v>7046</v>
      </c>
      <c r="E1919" s="20" t="s">
        <v>104</v>
      </c>
      <c r="F1919" s="21">
        <v>29193.0</v>
      </c>
      <c r="G1919" s="14">
        <v>46.0</v>
      </c>
      <c r="H1919" s="23" t="s">
        <v>26</v>
      </c>
      <c r="I1919" s="24" t="s">
        <v>33</v>
      </c>
      <c r="J1919" s="19" t="s">
        <v>68</v>
      </c>
      <c r="K1919" s="14">
        <v>34.0</v>
      </c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</row>
    <row r="1920">
      <c r="A1920" s="14" t="s">
        <v>7047</v>
      </c>
      <c r="B1920" s="17" t="s">
        <v>7041</v>
      </c>
      <c r="C1920" s="17" t="s">
        <v>7048</v>
      </c>
      <c r="D1920" s="19" t="s">
        <v>7049</v>
      </c>
      <c r="E1920" s="20" t="s">
        <v>104</v>
      </c>
      <c r="F1920" s="21">
        <v>29479.0</v>
      </c>
      <c r="G1920" s="14">
        <v>45.0</v>
      </c>
      <c r="H1920" s="23" t="s">
        <v>26</v>
      </c>
      <c r="I1920" s="24" t="s">
        <v>27</v>
      </c>
      <c r="J1920" s="19" t="s">
        <v>68</v>
      </c>
      <c r="K1920" s="14">
        <v>34.0</v>
      </c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</row>
    <row r="1921">
      <c r="A1921" s="14" t="s">
        <v>7050</v>
      </c>
      <c r="B1921" s="17" t="s">
        <v>7051</v>
      </c>
      <c r="C1921" s="17" t="s">
        <v>7052</v>
      </c>
      <c r="D1921" s="19" t="s">
        <v>4468</v>
      </c>
      <c r="E1921" s="20" t="s">
        <v>6048</v>
      </c>
      <c r="F1921" s="21">
        <v>30786.0</v>
      </c>
      <c r="G1921" s="14">
        <v>42.0</v>
      </c>
      <c r="H1921" s="23" t="s">
        <v>26</v>
      </c>
      <c r="I1921" s="24" t="s">
        <v>33</v>
      </c>
      <c r="J1921" s="19" t="s">
        <v>68</v>
      </c>
      <c r="K1921" s="14">
        <v>34.0</v>
      </c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</row>
    <row r="1922">
      <c r="A1922" s="14" t="s">
        <v>7053</v>
      </c>
      <c r="B1922" s="17" t="s">
        <v>7051</v>
      </c>
      <c r="C1922" s="17" t="s">
        <v>7054</v>
      </c>
      <c r="D1922" s="19" t="s">
        <v>7055</v>
      </c>
      <c r="E1922" s="20" t="s">
        <v>53</v>
      </c>
      <c r="F1922" s="21">
        <v>30814.0</v>
      </c>
      <c r="G1922" s="14">
        <v>42.0</v>
      </c>
      <c r="H1922" s="23" t="s">
        <v>26</v>
      </c>
      <c r="I1922" s="24" t="s">
        <v>27</v>
      </c>
      <c r="J1922" s="19" t="s">
        <v>68</v>
      </c>
      <c r="K1922" s="14">
        <v>34.0</v>
      </c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</row>
    <row r="1923">
      <c r="A1923" s="14" t="s">
        <v>7056</v>
      </c>
      <c r="B1923" s="17" t="s">
        <v>7057</v>
      </c>
      <c r="C1923" s="17" t="s">
        <v>7058</v>
      </c>
      <c r="D1923" s="19" t="s">
        <v>7059</v>
      </c>
      <c r="E1923" s="20" t="s">
        <v>337</v>
      </c>
      <c r="F1923" s="27">
        <v>36481.0</v>
      </c>
      <c r="G1923" s="14">
        <v>26.0</v>
      </c>
      <c r="H1923" s="23" t="s">
        <v>100</v>
      </c>
      <c r="I1923" s="24" t="s">
        <v>33</v>
      </c>
      <c r="J1923" s="19" t="s">
        <v>3211</v>
      </c>
      <c r="K1923" s="14">
        <v>24.0</v>
      </c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</row>
    <row r="1924">
      <c r="A1924" s="14" t="s">
        <v>7060</v>
      </c>
      <c r="B1924" s="17" t="s">
        <v>7057</v>
      </c>
      <c r="C1924" s="17" t="s">
        <v>7061</v>
      </c>
      <c r="D1924" s="19" t="s">
        <v>7062</v>
      </c>
      <c r="E1924" s="20" t="s">
        <v>1038</v>
      </c>
      <c r="F1924" s="21">
        <v>19041.0</v>
      </c>
      <c r="G1924" s="14">
        <v>74.0</v>
      </c>
      <c r="H1924" s="23" t="s">
        <v>26</v>
      </c>
      <c r="I1924" s="24" t="s">
        <v>33</v>
      </c>
      <c r="J1924" s="19" t="s">
        <v>3211</v>
      </c>
      <c r="K1924" s="14">
        <v>24.0</v>
      </c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</row>
    <row r="1925">
      <c r="A1925" s="14" t="s">
        <v>7063</v>
      </c>
      <c r="B1925" s="17" t="s">
        <v>7057</v>
      </c>
      <c r="C1925" s="17" t="s">
        <v>7064</v>
      </c>
      <c r="D1925" s="19" t="s">
        <v>7065</v>
      </c>
      <c r="E1925" s="20" t="s">
        <v>67</v>
      </c>
      <c r="F1925" s="21">
        <v>24205.0</v>
      </c>
      <c r="G1925" s="14">
        <v>60.0</v>
      </c>
      <c r="H1925" s="23" t="s">
        <v>26</v>
      </c>
      <c r="I1925" s="24" t="s">
        <v>27</v>
      </c>
      <c r="J1925" s="19" t="s">
        <v>3211</v>
      </c>
      <c r="K1925" s="14">
        <v>24.0</v>
      </c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</row>
    <row r="1926">
      <c r="A1926" s="14" t="s">
        <v>7066</v>
      </c>
      <c r="B1926" s="17" t="s">
        <v>7067</v>
      </c>
      <c r="C1926" s="17" t="s">
        <v>7068</v>
      </c>
      <c r="D1926" s="19" t="s">
        <v>7069</v>
      </c>
      <c r="E1926" s="20" t="s">
        <v>1058</v>
      </c>
      <c r="F1926" s="21">
        <v>24703.0</v>
      </c>
      <c r="G1926" s="14">
        <v>59.0</v>
      </c>
      <c r="H1926" s="23" t="s">
        <v>26</v>
      </c>
      <c r="I1926" s="24" t="s">
        <v>33</v>
      </c>
      <c r="J1926" s="19" t="s">
        <v>68</v>
      </c>
      <c r="K1926" s="14">
        <v>31.0</v>
      </c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</row>
    <row r="1927">
      <c r="A1927" s="14" t="s">
        <v>7070</v>
      </c>
      <c r="B1927" s="17" t="s">
        <v>7067</v>
      </c>
      <c r="C1927" s="17" t="s">
        <v>7071</v>
      </c>
      <c r="D1927" s="19" t="s">
        <v>7072</v>
      </c>
      <c r="E1927" s="20" t="s">
        <v>104</v>
      </c>
      <c r="F1927" s="21">
        <v>35807.0</v>
      </c>
      <c r="G1927" s="14">
        <v>28.0</v>
      </c>
      <c r="H1927" s="23" t="s">
        <v>100</v>
      </c>
      <c r="I1927" s="24" t="s">
        <v>33</v>
      </c>
      <c r="J1927" s="19" t="s">
        <v>68</v>
      </c>
      <c r="K1927" s="14">
        <v>31.0</v>
      </c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</row>
    <row r="1928">
      <c r="A1928" s="14" t="s">
        <v>7073</v>
      </c>
      <c r="B1928" s="17" t="s">
        <v>7067</v>
      </c>
      <c r="C1928" s="17" t="s">
        <v>7074</v>
      </c>
      <c r="D1928" s="19" t="s">
        <v>3759</v>
      </c>
      <c r="E1928" s="20" t="s">
        <v>104</v>
      </c>
      <c r="F1928" s="21">
        <v>28739.0</v>
      </c>
      <c r="G1928" s="14">
        <v>47.0</v>
      </c>
      <c r="H1928" s="23" t="s">
        <v>26</v>
      </c>
      <c r="I1928" s="24" t="s">
        <v>27</v>
      </c>
      <c r="J1928" s="19" t="s">
        <v>68</v>
      </c>
      <c r="K1928" s="14">
        <v>31.0</v>
      </c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</row>
    <row r="1929">
      <c r="A1929" s="14" t="s">
        <v>7075</v>
      </c>
      <c r="B1929" s="17" t="s">
        <v>7076</v>
      </c>
      <c r="C1929" s="17" t="s">
        <v>7077</v>
      </c>
      <c r="D1929" s="19" t="s">
        <v>7078</v>
      </c>
      <c r="E1929" s="20" t="s">
        <v>67</v>
      </c>
      <c r="F1929" s="21">
        <v>25381.0</v>
      </c>
      <c r="G1929" s="14">
        <v>57.0</v>
      </c>
      <c r="H1929" s="23" t="s">
        <v>26</v>
      </c>
      <c r="I1929" s="24" t="s">
        <v>33</v>
      </c>
      <c r="J1929" s="19" t="s">
        <v>156</v>
      </c>
      <c r="K1929" s="14">
        <v>31.0</v>
      </c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</row>
    <row r="1930">
      <c r="A1930" s="14" t="s">
        <v>7079</v>
      </c>
      <c r="B1930" s="17" t="s">
        <v>7076</v>
      </c>
      <c r="C1930" s="17" t="s">
        <v>7080</v>
      </c>
      <c r="D1930" s="19" t="s">
        <v>7081</v>
      </c>
      <c r="E1930" s="20" t="s">
        <v>7082</v>
      </c>
      <c r="F1930" s="21">
        <v>26852.0</v>
      </c>
      <c r="G1930" s="14">
        <v>53.0</v>
      </c>
      <c r="H1930" s="23" t="s">
        <v>26</v>
      </c>
      <c r="I1930" s="24" t="s">
        <v>27</v>
      </c>
      <c r="J1930" s="19" t="s">
        <v>156</v>
      </c>
      <c r="K1930" s="14">
        <v>31.0</v>
      </c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</row>
    <row r="1931">
      <c r="A1931" s="14" t="s">
        <v>7083</v>
      </c>
      <c r="B1931" s="17" t="s">
        <v>7076</v>
      </c>
      <c r="C1931" s="17" t="s">
        <v>7084</v>
      </c>
      <c r="D1931" s="19" t="s">
        <v>7085</v>
      </c>
      <c r="E1931" s="20" t="s">
        <v>337</v>
      </c>
      <c r="F1931" s="21">
        <v>37231.0</v>
      </c>
      <c r="G1931" s="14">
        <v>24.0</v>
      </c>
      <c r="H1931" s="23" t="s">
        <v>100</v>
      </c>
      <c r="I1931" s="24" t="s">
        <v>27</v>
      </c>
      <c r="J1931" s="19" t="s">
        <v>156</v>
      </c>
      <c r="K1931" s="14">
        <v>31.0</v>
      </c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</row>
    <row r="1932">
      <c r="A1932" s="14" t="s">
        <v>7086</v>
      </c>
      <c r="B1932" s="17" t="s">
        <v>7087</v>
      </c>
      <c r="C1932" s="17" t="s">
        <v>7088</v>
      </c>
      <c r="D1932" s="19" t="s">
        <v>7089</v>
      </c>
      <c r="E1932" s="20" t="s">
        <v>104</v>
      </c>
      <c r="F1932" s="21">
        <v>37438.0</v>
      </c>
      <c r="G1932" s="14">
        <v>24.0</v>
      </c>
      <c r="H1932" s="23" t="s">
        <v>100</v>
      </c>
      <c r="I1932" s="24" t="s">
        <v>33</v>
      </c>
      <c r="J1932" s="19" t="s">
        <v>146</v>
      </c>
      <c r="K1932" s="14">
        <v>10.0</v>
      </c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</row>
    <row r="1933">
      <c r="A1933" s="14" t="s">
        <v>7090</v>
      </c>
      <c r="B1933" s="17" t="s">
        <v>7087</v>
      </c>
      <c r="C1933" s="17" t="s">
        <v>7091</v>
      </c>
      <c r="D1933" s="19" t="s">
        <v>6839</v>
      </c>
      <c r="E1933" s="20" t="s">
        <v>1058</v>
      </c>
      <c r="F1933" s="21">
        <v>19837.0</v>
      </c>
      <c r="G1933" s="14">
        <v>72.0</v>
      </c>
      <c r="H1933" s="23" t="s">
        <v>26</v>
      </c>
      <c r="I1933" s="24" t="s">
        <v>33</v>
      </c>
      <c r="J1933" s="19" t="s">
        <v>146</v>
      </c>
      <c r="K1933" s="14">
        <v>10.0</v>
      </c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</row>
    <row r="1934">
      <c r="A1934" s="14" t="s">
        <v>7092</v>
      </c>
      <c r="B1934" s="17" t="s">
        <v>7087</v>
      </c>
      <c r="C1934" s="17" t="s">
        <v>7093</v>
      </c>
      <c r="D1934" s="19" t="s">
        <v>6988</v>
      </c>
      <c r="E1934" s="20" t="s">
        <v>632</v>
      </c>
      <c r="F1934" s="21">
        <v>23840.0</v>
      </c>
      <c r="G1934" s="14">
        <v>61.0</v>
      </c>
      <c r="H1934" s="23" t="s">
        <v>26</v>
      </c>
      <c r="I1934" s="24" t="s">
        <v>27</v>
      </c>
      <c r="J1934" s="19" t="s">
        <v>146</v>
      </c>
      <c r="K1934" s="14">
        <v>10.0</v>
      </c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</row>
    <row r="1935">
      <c r="A1935" s="14" t="s">
        <v>7094</v>
      </c>
      <c r="B1935" s="17" t="s">
        <v>7087</v>
      </c>
      <c r="C1935" s="17" t="s">
        <v>7095</v>
      </c>
      <c r="D1935" s="19" t="s">
        <v>908</v>
      </c>
      <c r="E1935" s="20" t="s">
        <v>650</v>
      </c>
      <c r="F1935" s="21">
        <v>10669.0</v>
      </c>
      <c r="G1935" s="14">
        <v>97.0</v>
      </c>
      <c r="H1935" s="23" t="s">
        <v>26</v>
      </c>
      <c r="I1935" s="24" t="s">
        <v>27</v>
      </c>
      <c r="J1935" s="19" t="s">
        <v>757</v>
      </c>
      <c r="K1935" s="14">
        <v>10.0</v>
      </c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</row>
    <row r="1936">
      <c r="A1936" s="14" t="s">
        <v>7096</v>
      </c>
      <c r="B1936" s="17" t="s">
        <v>7097</v>
      </c>
      <c r="C1936" s="17" t="s">
        <v>7098</v>
      </c>
      <c r="D1936" s="19" t="s">
        <v>7099</v>
      </c>
      <c r="E1936" s="20" t="s">
        <v>7100</v>
      </c>
      <c r="F1936" s="27">
        <v>38314.0</v>
      </c>
      <c r="G1936" s="14">
        <v>21.0</v>
      </c>
      <c r="H1936" s="23" t="s">
        <v>100</v>
      </c>
      <c r="I1936" s="24" t="s">
        <v>27</v>
      </c>
      <c r="J1936" s="19" t="s">
        <v>156</v>
      </c>
      <c r="K1936" s="14">
        <v>1.0</v>
      </c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</row>
    <row r="1937">
      <c r="A1937" s="14" t="s">
        <v>7101</v>
      </c>
      <c r="B1937" s="17" t="s">
        <v>7097</v>
      </c>
      <c r="C1937" s="17" t="s">
        <v>7102</v>
      </c>
      <c r="D1937" s="19" t="s">
        <v>7103</v>
      </c>
      <c r="E1937" s="20" t="s">
        <v>5968</v>
      </c>
      <c r="F1937" s="21">
        <v>30910.0</v>
      </c>
      <c r="G1937" s="14">
        <v>42.0</v>
      </c>
      <c r="H1937" s="23" t="s">
        <v>26</v>
      </c>
      <c r="I1937" s="24" t="s">
        <v>27</v>
      </c>
      <c r="J1937" s="19" t="s">
        <v>156</v>
      </c>
      <c r="K1937" s="14">
        <v>1.0</v>
      </c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</row>
    <row r="1938">
      <c r="A1938" s="14" t="s">
        <v>7104</v>
      </c>
      <c r="B1938" s="17" t="s">
        <v>7097</v>
      </c>
      <c r="C1938" s="17" t="s">
        <v>7105</v>
      </c>
      <c r="D1938" s="19" t="s">
        <v>7106</v>
      </c>
      <c r="E1938" s="20" t="s">
        <v>104</v>
      </c>
      <c r="F1938" s="21">
        <v>28163.0</v>
      </c>
      <c r="G1938" s="14">
        <v>49.0</v>
      </c>
      <c r="H1938" s="23" t="s">
        <v>26</v>
      </c>
      <c r="I1938" s="24" t="s">
        <v>33</v>
      </c>
      <c r="J1938" s="19" t="s">
        <v>156</v>
      </c>
      <c r="K1938" s="14">
        <v>31.0</v>
      </c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</row>
    <row r="1939">
      <c r="A1939" s="14" t="s">
        <v>7107</v>
      </c>
      <c r="B1939" s="17" t="s">
        <v>7108</v>
      </c>
      <c r="C1939" s="17" t="s">
        <v>7109</v>
      </c>
      <c r="D1939" s="19" t="s">
        <v>7110</v>
      </c>
      <c r="E1939" s="20" t="s">
        <v>104</v>
      </c>
      <c r="F1939" s="21">
        <v>28002.0</v>
      </c>
      <c r="G1939" s="14">
        <v>50.0</v>
      </c>
      <c r="H1939" s="23" t="s">
        <v>26</v>
      </c>
      <c r="I1939" s="24" t="s">
        <v>27</v>
      </c>
      <c r="J1939" s="19" t="s">
        <v>156</v>
      </c>
      <c r="K1939" s="14">
        <v>31.0</v>
      </c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</row>
    <row r="1940">
      <c r="A1940" s="14" t="s">
        <v>7111</v>
      </c>
      <c r="B1940" s="17" t="s">
        <v>7108</v>
      </c>
      <c r="C1940" s="17" t="s">
        <v>7112</v>
      </c>
      <c r="D1940" s="19" t="s">
        <v>7113</v>
      </c>
      <c r="E1940" s="20" t="s">
        <v>337</v>
      </c>
      <c r="F1940" s="21">
        <v>38839.0</v>
      </c>
      <c r="G1940" s="14">
        <v>20.0</v>
      </c>
      <c r="H1940" s="23" t="s">
        <v>100</v>
      </c>
      <c r="I1940" s="24" t="s">
        <v>33</v>
      </c>
      <c r="J1940" s="19" t="s">
        <v>156</v>
      </c>
      <c r="K1940" s="14">
        <v>31.0</v>
      </c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</row>
    <row r="1941">
      <c r="A1941" s="14" t="s">
        <v>7114</v>
      </c>
      <c r="B1941" s="17" t="s">
        <v>7108</v>
      </c>
      <c r="C1941" s="17" t="s">
        <v>7115</v>
      </c>
      <c r="D1941" s="19" t="s">
        <v>6215</v>
      </c>
      <c r="E1941" s="20" t="s">
        <v>67</v>
      </c>
      <c r="F1941" s="21">
        <v>24617.0</v>
      </c>
      <c r="G1941" s="14">
        <v>59.0</v>
      </c>
      <c r="H1941" s="23" t="s">
        <v>26</v>
      </c>
      <c r="I1941" s="24" t="s">
        <v>33</v>
      </c>
      <c r="J1941" s="19" t="s">
        <v>156</v>
      </c>
      <c r="K1941" s="14">
        <v>31.0</v>
      </c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</row>
    <row r="1942">
      <c r="A1942" s="14" t="s">
        <v>7116</v>
      </c>
      <c r="B1942" s="17" t="s">
        <v>7117</v>
      </c>
      <c r="C1942" s="17" t="s">
        <v>7118</v>
      </c>
      <c r="D1942" s="19" t="s">
        <v>7119</v>
      </c>
      <c r="E1942" s="20" t="s">
        <v>7120</v>
      </c>
      <c r="F1942" s="21">
        <v>39138.0</v>
      </c>
      <c r="G1942" s="14">
        <v>19.0</v>
      </c>
      <c r="H1942" s="23" t="s">
        <v>100</v>
      </c>
      <c r="I1942" s="24" t="s">
        <v>33</v>
      </c>
      <c r="J1942" s="19" t="s">
        <v>58</v>
      </c>
      <c r="K1942" s="14">
        <v>6.0</v>
      </c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</row>
    <row r="1943">
      <c r="A1943" s="14" t="s">
        <v>7121</v>
      </c>
      <c r="B1943" s="17" t="s">
        <v>7117</v>
      </c>
      <c r="C1943" s="17" t="s">
        <v>7122</v>
      </c>
      <c r="D1943" s="19" t="s">
        <v>7123</v>
      </c>
      <c r="E1943" s="20" t="s">
        <v>7124</v>
      </c>
      <c r="F1943" s="27">
        <v>31726.0</v>
      </c>
      <c r="G1943" s="14">
        <v>39.0</v>
      </c>
      <c r="H1943" s="23" t="s">
        <v>26</v>
      </c>
      <c r="I1943" s="24" t="s">
        <v>27</v>
      </c>
      <c r="J1943" s="19" t="s">
        <v>58</v>
      </c>
      <c r="K1943" s="14">
        <v>6.0</v>
      </c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</row>
    <row r="1944">
      <c r="A1944" s="14" t="s">
        <v>7125</v>
      </c>
      <c r="B1944" s="17" t="s">
        <v>7117</v>
      </c>
      <c r="C1944" s="17" t="s">
        <v>7126</v>
      </c>
      <c r="D1944" s="19" t="s">
        <v>7127</v>
      </c>
      <c r="E1944" s="20" t="s">
        <v>240</v>
      </c>
      <c r="F1944" s="21">
        <v>32337.0</v>
      </c>
      <c r="G1944" s="14">
        <v>38.0</v>
      </c>
      <c r="H1944" s="23" t="s">
        <v>26</v>
      </c>
      <c r="I1944" s="24" t="s">
        <v>33</v>
      </c>
      <c r="J1944" s="19" t="s">
        <v>58</v>
      </c>
      <c r="K1944" s="14">
        <v>6.0</v>
      </c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</row>
    <row r="1945">
      <c r="A1945" s="14" t="s">
        <v>7128</v>
      </c>
      <c r="B1945" s="17" t="s">
        <v>7129</v>
      </c>
      <c r="C1945" s="17" t="s">
        <v>7130</v>
      </c>
      <c r="D1945" s="19" t="s">
        <v>7131</v>
      </c>
      <c r="E1945" s="20" t="s">
        <v>2038</v>
      </c>
      <c r="F1945" s="21">
        <v>38522.0</v>
      </c>
      <c r="G1945" s="14">
        <v>21.0</v>
      </c>
      <c r="H1945" s="23" t="s">
        <v>100</v>
      </c>
      <c r="I1945" s="24" t="s">
        <v>27</v>
      </c>
      <c r="J1945" s="19" t="s">
        <v>282</v>
      </c>
      <c r="K1945" s="14">
        <v>17.0</v>
      </c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</row>
    <row r="1946">
      <c r="A1946" s="14" t="s">
        <v>7132</v>
      </c>
      <c r="B1946" s="17" t="s">
        <v>7129</v>
      </c>
      <c r="C1946" s="17" t="s">
        <v>7133</v>
      </c>
      <c r="D1946" s="19" t="s">
        <v>7134</v>
      </c>
      <c r="E1946" s="20" t="s">
        <v>195</v>
      </c>
      <c r="F1946" s="21">
        <v>29117.0</v>
      </c>
      <c r="G1946" s="14">
        <v>46.0</v>
      </c>
      <c r="H1946" s="23" t="s">
        <v>26</v>
      </c>
      <c r="I1946" s="24" t="s">
        <v>33</v>
      </c>
      <c r="J1946" s="19" t="s">
        <v>282</v>
      </c>
      <c r="K1946" s="14">
        <v>17.0</v>
      </c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</row>
    <row r="1947">
      <c r="A1947" s="14" t="s">
        <v>7135</v>
      </c>
      <c r="B1947" s="17" t="s">
        <v>7129</v>
      </c>
      <c r="C1947" s="17" t="s">
        <v>7136</v>
      </c>
      <c r="D1947" s="19" t="s">
        <v>7137</v>
      </c>
      <c r="E1947" s="20" t="s">
        <v>104</v>
      </c>
      <c r="F1947" s="21">
        <v>29608.0</v>
      </c>
      <c r="G1947" s="14">
        <v>45.0</v>
      </c>
      <c r="H1947" s="23" t="s">
        <v>26</v>
      </c>
      <c r="I1947" s="24" t="s">
        <v>27</v>
      </c>
      <c r="J1947" s="19" t="s">
        <v>282</v>
      </c>
      <c r="K1947" s="14">
        <v>17.0</v>
      </c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</row>
    <row r="1948">
      <c r="A1948" s="14" t="s">
        <v>7138</v>
      </c>
      <c r="B1948" s="17" t="s">
        <v>7139</v>
      </c>
      <c r="C1948" s="17" t="s">
        <v>7140</v>
      </c>
      <c r="D1948" s="19" t="s">
        <v>7141</v>
      </c>
      <c r="E1948" s="20" t="s">
        <v>654</v>
      </c>
      <c r="F1948" s="21">
        <v>29320.0</v>
      </c>
      <c r="G1948" s="14">
        <v>46.0</v>
      </c>
      <c r="H1948" s="23" t="s">
        <v>26</v>
      </c>
      <c r="I1948" s="24" t="s">
        <v>33</v>
      </c>
      <c r="J1948" s="19" t="s">
        <v>5953</v>
      </c>
      <c r="K1948" s="14">
        <v>17.0</v>
      </c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</row>
    <row r="1949">
      <c r="A1949" s="14" t="s">
        <v>7142</v>
      </c>
      <c r="B1949" s="17" t="s">
        <v>7139</v>
      </c>
      <c r="C1949" s="17" t="s">
        <v>7143</v>
      </c>
      <c r="D1949" s="19" t="s">
        <v>7144</v>
      </c>
      <c r="E1949" s="20" t="s">
        <v>104</v>
      </c>
      <c r="F1949" s="21">
        <v>37873.0</v>
      </c>
      <c r="G1949" s="14">
        <v>22.0</v>
      </c>
      <c r="H1949" s="23" t="s">
        <v>100</v>
      </c>
      <c r="I1949" s="24" t="s">
        <v>27</v>
      </c>
      <c r="J1949" s="19" t="s">
        <v>5953</v>
      </c>
      <c r="K1949" s="14">
        <v>17.0</v>
      </c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</row>
    <row r="1950">
      <c r="A1950" s="14" t="s">
        <v>7145</v>
      </c>
      <c r="B1950" s="17" t="s">
        <v>7139</v>
      </c>
      <c r="C1950" s="17" t="s">
        <v>7146</v>
      </c>
      <c r="D1950" s="19" t="s">
        <v>7147</v>
      </c>
      <c r="E1950" s="20" t="s">
        <v>5353</v>
      </c>
      <c r="F1950" s="21">
        <v>30944.0</v>
      </c>
      <c r="G1950" s="14">
        <v>41.0</v>
      </c>
      <c r="H1950" s="23" t="s">
        <v>26</v>
      </c>
      <c r="I1950" s="24" t="s">
        <v>27</v>
      </c>
      <c r="J1950" s="19" t="s">
        <v>5953</v>
      </c>
      <c r="K1950" s="14">
        <v>17.0</v>
      </c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</row>
    <row r="1951">
      <c r="A1951" s="14" t="s">
        <v>7148</v>
      </c>
      <c r="B1951" s="17" t="s">
        <v>7149</v>
      </c>
      <c r="C1951" s="17" t="s">
        <v>7150</v>
      </c>
      <c r="D1951" s="19" t="s">
        <v>7151</v>
      </c>
      <c r="E1951" s="20" t="s">
        <v>104</v>
      </c>
      <c r="F1951" s="21">
        <v>36549.0</v>
      </c>
      <c r="G1951" s="14">
        <v>26.0</v>
      </c>
      <c r="H1951" s="23" t="s">
        <v>100</v>
      </c>
      <c r="I1951" s="24" t="s">
        <v>33</v>
      </c>
      <c r="J1951" s="19" t="s">
        <v>328</v>
      </c>
      <c r="K1951" s="14">
        <v>19.0</v>
      </c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</row>
    <row r="1952">
      <c r="A1952" s="14" t="s">
        <v>7152</v>
      </c>
      <c r="B1952" s="17" t="s">
        <v>7149</v>
      </c>
      <c r="C1952" s="17" t="s">
        <v>7153</v>
      </c>
      <c r="D1952" s="19" t="s">
        <v>2757</v>
      </c>
      <c r="E1952" s="20" t="s">
        <v>654</v>
      </c>
      <c r="F1952" s="27">
        <v>24059.0</v>
      </c>
      <c r="G1952" s="14">
        <v>60.0</v>
      </c>
      <c r="H1952" s="23" t="s">
        <v>27</v>
      </c>
      <c r="I1952" s="24" t="s">
        <v>27</v>
      </c>
      <c r="J1952" s="19" t="s">
        <v>328</v>
      </c>
      <c r="K1952" s="14">
        <v>19.0</v>
      </c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</row>
    <row r="1953">
      <c r="A1953" s="14" t="s">
        <v>7154</v>
      </c>
      <c r="B1953" s="17" t="s">
        <v>7155</v>
      </c>
      <c r="C1953" s="17" t="s">
        <v>7156</v>
      </c>
      <c r="D1953" s="19" t="s">
        <v>7157</v>
      </c>
      <c r="E1953" s="20" t="s">
        <v>6260</v>
      </c>
      <c r="F1953" s="21">
        <v>38880.0</v>
      </c>
      <c r="G1953" s="14">
        <v>20.0</v>
      </c>
      <c r="H1953" s="23" t="s">
        <v>100</v>
      </c>
      <c r="I1953" s="24" t="s">
        <v>27</v>
      </c>
      <c r="J1953" s="19" t="s">
        <v>146</v>
      </c>
      <c r="K1953" s="14">
        <v>1.0</v>
      </c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</row>
    <row r="1954">
      <c r="A1954" s="14" t="s">
        <v>7158</v>
      </c>
      <c r="B1954" s="17" t="s">
        <v>7155</v>
      </c>
      <c r="C1954" s="17" t="s">
        <v>7159</v>
      </c>
      <c r="D1954" s="19" t="s">
        <v>7160</v>
      </c>
      <c r="E1954" s="20" t="s">
        <v>1468</v>
      </c>
      <c r="F1954" s="21">
        <v>31525.0</v>
      </c>
      <c r="G1954" s="14">
        <v>40.0</v>
      </c>
      <c r="H1954" s="23" t="s">
        <v>26</v>
      </c>
      <c r="I1954" s="24" t="s">
        <v>27</v>
      </c>
      <c r="J1954" s="19" t="s">
        <v>146</v>
      </c>
      <c r="K1954" s="14">
        <v>1.0</v>
      </c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</row>
    <row r="1955">
      <c r="A1955" s="14" t="s">
        <v>7161</v>
      </c>
      <c r="B1955" s="17" t="s">
        <v>7155</v>
      </c>
      <c r="C1955" s="17" t="s">
        <v>7162</v>
      </c>
      <c r="D1955" s="19" t="s">
        <v>7163</v>
      </c>
      <c r="E1955" s="20" t="s">
        <v>434</v>
      </c>
      <c r="F1955" s="21">
        <v>27535.0</v>
      </c>
      <c r="G1955" s="14">
        <v>51.0</v>
      </c>
      <c r="H1955" s="23" t="s">
        <v>26</v>
      </c>
      <c r="I1955" s="24" t="s">
        <v>33</v>
      </c>
      <c r="J1955" s="19" t="s">
        <v>146</v>
      </c>
      <c r="K1955" s="14">
        <v>1.0</v>
      </c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</row>
    <row r="1956">
      <c r="A1956" s="14" t="s">
        <v>7164</v>
      </c>
      <c r="B1956" s="17" t="s">
        <v>7165</v>
      </c>
      <c r="C1956" s="17" t="s">
        <v>7166</v>
      </c>
      <c r="D1956" s="19" t="s">
        <v>7167</v>
      </c>
      <c r="E1956" s="20" t="s">
        <v>112</v>
      </c>
      <c r="F1956" s="21">
        <v>28977.0</v>
      </c>
      <c r="G1956" s="14">
        <v>47.0</v>
      </c>
      <c r="H1956" s="23" t="s">
        <v>100</v>
      </c>
      <c r="I1956" s="24" t="s">
        <v>33</v>
      </c>
      <c r="J1956" s="19" t="s">
        <v>7168</v>
      </c>
      <c r="K1956" s="14">
        <v>13.0</v>
      </c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</row>
    <row r="1957">
      <c r="A1957" s="14" t="s">
        <v>7169</v>
      </c>
      <c r="B1957" s="17" t="s">
        <v>7170</v>
      </c>
      <c r="C1957" s="17" t="s">
        <v>7171</v>
      </c>
      <c r="D1957" s="19" t="s">
        <v>3759</v>
      </c>
      <c r="E1957" s="20" t="s">
        <v>1084</v>
      </c>
      <c r="F1957" s="21">
        <v>24054.0</v>
      </c>
      <c r="G1957" s="14">
        <v>60.0</v>
      </c>
      <c r="H1957" s="23" t="s">
        <v>26</v>
      </c>
      <c r="I1957" s="24" t="s">
        <v>27</v>
      </c>
      <c r="J1957" s="19" t="s">
        <v>146</v>
      </c>
      <c r="K1957" s="14">
        <v>2.0</v>
      </c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</row>
    <row r="1958">
      <c r="A1958" s="14" t="s">
        <v>7172</v>
      </c>
      <c r="B1958" s="17" t="s">
        <v>7170</v>
      </c>
      <c r="C1958" s="17" t="s">
        <v>7173</v>
      </c>
      <c r="D1958" s="19" t="s">
        <v>2657</v>
      </c>
      <c r="E1958" s="20" t="s">
        <v>7174</v>
      </c>
      <c r="F1958" s="21">
        <v>21059.0</v>
      </c>
      <c r="G1958" s="14">
        <v>69.0</v>
      </c>
      <c r="H1958" s="23" t="s">
        <v>26</v>
      </c>
      <c r="I1958" s="24" t="s">
        <v>33</v>
      </c>
      <c r="J1958" s="19" t="s">
        <v>146</v>
      </c>
      <c r="K1958" s="14">
        <v>2.0</v>
      </c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</row>
    <row r="1959">
      <c r="A1959" s="14" t="s">
        <v>7175</v>
      </c>
      <c r="B1959" s="17" t="s">
        <v>7176</v>
      </c>
      <c r="C1959" s="17" t="s">
        <v>7177</v>
      </c>
      <c r="D1959" s="19" t="s">
        <v>7178</v>
      </c>
      <c r="E1959" s="20" t="s">
        <v>104</v>
      </c>
      <c r="F1959" s="21">
        <v>37492.0</v>
      </c>
      <c r="G1959" s="14">
        <v>24.0</v>
      </c>
      <c r="H1959" s="23" t="s">
        <v>100</v>
      </c>
      <c r="I1959" s="24" t="s">
        <v>33</v>
      </c>
      <c r="J1959" s="19" t="s">
        <v>146</v>
      </c>
      <c r="K1959" s="14">
        <v>1.0</v>
      </c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</row>
    <row r="1960">
      <c r="A1960" s="14" t="s">
        <v>7179</v>
      </c>
      <c r="B1960" s="17" t="s">
        <v>7176</v>
      </c>
      <c r="C1960" s="17" t="s">
        <v>7180</v>
      </c>
      <c r="D1960" s="19" t="s">
        <v>7181</v>
      </c>
      <c r="E1960" s="20" t="s">
        <v>7182</v>
      </c>
      <c r="F1960" s="21">
        <v>30891.0</v>
      </c>
      <c r="G1960" s="14">
        <v>42.0</v>
      </c>
      <c r="H1960" s="23" t="s">
        <v>26</v>
      </c>
      <c r="I1960" s="24" t="s">
        <v>27</v>
      </c>
      <c r="J1960" s="19" t="s">
        <v>146</v>
      </c>
      <c r="K1960" s="14">
        <v>1.0</v>
      </c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</row>
    <row r="1961">
      <c r="A1961" s="14" t="s">
        <v>7183</v>
      </c>
      <c r="B1961" s="17" t="s">
        <v>7176</v>
      </c>
      <c r="C1961" s="17" t="s">
        <v>7184</v>
      </c>
      <c r="D1961" s="19" t="s">
        <v>7185</v>
      </c>
      <c r="E1961" s="20" t="s">
        <v>434</v>
      </c>
      <c r="F1961" s="21">
        <v>27159.0</v>
      </c>
      <c r="G1961" s="14">
        <v>52.0</v>
      </c>
      <c r="H1961" s="23" t="s">
        <v>26</v>
      </c>
      <c r="I1961" s="24" t="s">
        <v>33</v>
      </c>
      <c r="J1961" s="19" t="s">
        <v>146</v>
      </c>
      <c r="K1961" s="14">
        <v>1.0</v>
      </c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</row>
    <row r="1962">
      <c r="A1962" s="14" t="s">
        <v>7186</v>
      </c>
      <c r="B1962" s="17" t="s">
        <v>7187</v>
      </c>
      <c r="C1962" s="17" t="s">
        <v>7188</v>
      </c>
      <c r="D1962" s="19" t="s">
        <v>7189</v>
      </c>
      <c r="E1962" s="20" t="s">
        <v>104</v>
      </c>
      <c r="F1962" s="27">
        <v>36443.0</v>
      </c>
      <c r="G1962" s="14">
        <v>26.0</v>
      </c>
      <c r="H1962" s="23" t="s">
        <v>100</v>
      </c>
      <c r="I1962" s="24" t="s">
        <v>33</v>
      </c>
      <c r="J1962" s="19" t="s">
        <v>146</v>
      </c>
      <c r="K1962" s="14">
        <v>1.0</v>
      </c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</row>
    <row r="1963">
      <c r="A1963" s="14" t="s">
        <v>7190</v>
      </c>
      <c r="B1963" s="17" t="s">
        <v>7187</v>
      </c>
      <c r="C1963" s="17" t="s">
        <v>7191</v>
      </c>
      <c r="D1963" s="19" t="s">
        <v>6991</v>
      </c>
      <c r="E1963" s="20" t="s">
        <v>434</v>
      </c>
      <c r="F1963" s="21">
        <v>24128.0</v>
      </c>
      <c r="G1963" s="14">
        <v>60.0</v>
      </c>
      <c r="H1963" s="23" t="s">
        <v>26</v>
      </c>
      <c r="I1963" s="24" t="s">
        <v>33</v>
      </c>
      <c r="J1963" s="19" t="s">
        <v>146</v>
      </c>
      <c r="K1963" s="14">
        <v>1.0</v>
      </c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</row>
    <row r="1964">
      <c r="A1964" s="14" t="s">
        <v>7192</v>
      </c>
      <c r="B1964" s="17" t="s">
        <v>7193</v>
      </c>
      <c r="C1964" s="17" t="s">
        <v>7194</v>
      </c>
      <c r="D1964" s="19" t="s">
        <v>7195</v>
      </c>
      <c r="E1964" s="20" t="s">
        <v>7182</v>
      </c>
      <c r="F1964" s="21">
        <v>32180.0</v>
      </c>
      <c r="G1964" s="14">
        <v>38.0</v>
      </c>
      <c r="H1964" s="23" t="s">
        <v>26</v>
      </c>
      <c r="I1964" s="24" t="s">
        <v>33</v>
      </c>
      <c r="J1964" s="19" t="s">
        <v>1874</v>
      </c>
      <c r="K1964" s="14">
        <v>27.0</v>
      </c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</row>
    <row r="1965">
      <c r="A1965" s="14" t="s">
        <v>7196</v>
      </c>
      <c r="B1965" s="17" t="s">
        <v>7193</v>
      </c>
      <c r="C1965" s="17" t="s">
        <v>7197</v>
      </c>
      <c r="D1965" s="19" t="s">
        <v>1873</v>
      </c>
      <c r="E1965" s="20" t="s">
        <v>104</v>
      </c>
      <c r="F1965" s="21">
        <v>35813.0</v>
      </c>
      <c r="G1965" s="14">
        <v>28.0</v>
      </c>
      <c r="H1965" s="23" t="s">
        <v>26</v>
      </c>
      <c r="I1965" s="24" t="s">
        <v>27</v>
      </c>
      <c r="J1965" s="19" t="s">
        <v>1866</v>
      </c>
      <c r="K1965" s="14">
        <v>27.0</v>
      </c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</row>
    <row r="1966">
      <c r="A1966" s="14" t="s">
        <v>7198</v>
      </c>
      <c r="B1966" s="17" t="s">
        <v>7199</v>
      </c>
      <c r="C1966" s="17" t="s">
        <v>7200</v>
      </c>
      <c r="D1966" s="19" t="s">
        <v>7201</v>
      </c>
      <c r="E1966" s="20" t="s">
        <v>150</v>
      </c>
      <c r="F1966" s="21">
        <v>35222.0</v>
      </c>
      <c r="G1966" s="14">
        <v>30.0</v>
      </c>
      <c r="H1966" s="23" t="s">
        <v>26</v>
      </c>
      <c r="I1966" s="24" t="s">
        <v>33</v>
      </c>
      <c r="J1966" s="19" t="s">
        <v>282</v>
      </c>
      <c r="K1966" s="14">
        <v>18.0</v>
      </c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</row>
    <row r="1967">
      <c r="A1967" s="14" t="s">
        <v>7202</v>
      </c>
      <c r="B1967" s="17" t="s">
        <v>7203</v>
      </c>
      <c r="C1967" s="17" t="s">
        <v>7204</v>
      </c>
      <c r="D1967" s="19" t="s">
        <v>7205</v>
      </c>
      <c r="E1967" s="20" t="s">
        <v>53</v>
      </c>
      <c r="F1967" s="21">
        <v>33729.0</v>
      </c>
      <c r="G1967" s="14">
        <v>34.0</v>
      </c>
      <c r="H1967" s="23" t="s">
        <v>26</v>
      </c>
      <c r="I1967" s="24" t="s">
        <v>27</v>
      </c>
      <c r="J1967" s="19" t="s">
        <v>257</v>
      </c>
      <c r="K1967" s="14">
        <v>10.0</v>
      </c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</row>
    <row r="1968">
      <c r="A1968" s="14" t="s">
        <v>7206</v>
      </c>
      <c r="B1968" s="17" t="s">
        <v>7203</v>
      </c>
      <c r="C1968" s="17" t="s">
        <v>7207</v>
      </c>
      <c r="D1968" s="19" t="s">
        <v>2657</v>
      </c>
      <c r="E1968" s="20" t="s">
        <v>858</v>
      </c>
      <c r="F1968" s="21">
        <v>32672.0</v>
      </c>
      <c r="G1968" s="14">
        <v>37.0</v>
      </c>
      <c r="H1968" s="23" t="s">
        <v>26</v>
      </c>
      <c r="I1968" s="24" t="s">
        <v>33</v>
      </c>
      <c r="J1968" s="19" t="s">
        <v>282</v>
      </c>
      <c r="K1968" s="14">
        <v>11.0</v>
      </c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</row>
    <row r="1969">
      <c r="A1969" s="14" t="s">
        <v>7208</v>
      </c>
      <c r="B1969" s="17" t="s">
        <v>7209</v>
      </c>
      <c r="C1969" s="17" t="s">
        <v>7210</v>
      </c>
      <c r="D1969" s="19" t="s">
        <v>7211</v>
      </c>
      <c r="E1969" s="20" t="s">
        <v>7212</v>
      </c>
      <c r="F1969" s="21">
        <v>28281.0</v>
      </c>
      <c r="G1969" s="14">
        <v>49.0</v>
      </c>
      <c r="H1969" s="23" t="s">
        <v>26</v>
      </c>
      <c r="I1969" s="24" t="s">
        <v>33</v>
      </c>
      <c r="J1969" s="19" t="s">
        <v>146</v>
      </c>
      <c r="K1969" s="14">
        <v>10.0</v>
      </c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</row>
    <row r="1970">
      <c r="A1970" s="14" t="s">
        <v>7213</v>
      </c>
      <c r="B1970" s="17" t="s">
        <v>7209</v>
      </c>
      <c r="C1970" s="17" t="s">
        <v>7214</v>
      </c>
      <c r="D1970" s="19" t="s">
        <v>7215</v>
      </c>
      <c r="E1970" s="20" t="s">
        <v>67</v>
      </c>
      <c r="F1970" s="21">
        <v>31264.0</v>
      </c>
      <c r="G1970" s="14">
        <v>41.0</v>
      </c>
      <c r="H1970" s="23" t="s">
        <v>26</v>
      </c>
      <c r="I1970" s="24" t="s">
        <v>27</v>
      </c>
      <c r="J1970" s="19" t="s">
        <v>146</v>
      </c>
      <c r="K1970" s="14">
        <v>10.0</v>
      </c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</row>
    <row r="1971">
      <c r="A1971" s="14" t="s">
        <v>7216</v>
      </c>
      <c r="B1971" s="17" t="s">
        <v>7209</v>
      </c>
      <c r="C1971" s="17" t="s">
        <v>7217</v>
      </c>
      <c r="D1971" s="19" t="s">
        <v>7218</v>
      </c>
      <c r="E1971" s="20" t="s">
        <v>1733</v>
      </c>
      <c r="F1971" s="21">
        <v>38323.0</v>
      </c>
      <c r="G1971" s="14">
        <v>21.0</v>
      </c>
      <c r="H1971" s="23" t="s">
        <v>100</v>
      </c>
      <c r="I1971" s="24" t="s">
        <v>33</v>
      </c>
      <c r="J1971" s="19" t="s">
        <v>146</v>
      </c>
      <c r="K1971" s="14">
        <v>10.0</v>
      </c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7"/>
      <c r="Y1971" s="7"/>
    </row>
    <row r="1972">
      <c r="A1972" s="14" t="s">
        <v>7219</v>
      </c>
      <c r="B1972" s="17" t="s">
        <v>7220</v>
      </c>
      <c r="C1972" s="17" t="s">
        <v>7221</v>
      </c>
      <c r="D1972" s="19" t="s">
        <v>7222</v>
      </c>
      <c r="E1972" s="20" t="s">
        <v>104</v>
      </c>
      <c r="F1972" s="21">
        <v>29369.0</v>
      </c>
      <c r="G1972" s="14">
        <v>46.0</v>
      </c>
      <c r="H1972" s="23" t="s">
        <v>26</v>
      </c>
      <c r="I1972" s="24" t="s">
        <v>33</v>
      </c>
      <c r="J1972" s="19" t="s">
        <v>1960</v>
      </c>
      <c r="K1972" s="14">
        <v>31.0</v>
      </c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</row>
    <row r="1973">
      <c r="A1973" s="14" t="s">
        <v>7223</v>
      </c>
      <c r="B1973" s="17" t="s">
        <v>7220</v>
      </c>
      <c r="C1973" s="17" t="s">
        <v>7224</v>
      </c>
      <c r="D1973" s="19" t="s">
        <v>7225</v>
      </c>
      <c r="E1973" s="20" t="s">
        <v>7226</v>
      </c>
      <c r="F1973" s="21">
        <v>34230.0</v>
      </c>
      <c r="G1973" s="14">
        <v>32.0</v>
      </c>
      <c r="H1973" s="23" t="s">
        <v>26</v>
      </c>
      <c r="I1973" s="24" t="s">
        <v>27</v>
      </c>
      <c r="J1973" s="19" t="s">
        <v>1960</v>
      </c>
      <c r="K1973" s="14">
        <v>31.0</v>
      </c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7"/>
    </row>
    <row r="1974">
      <c r="A1974" s="14" t="s">
        <v>7227</v>
      </c>
      <c r="B1974" s="17" t="s">
        <v>7228</v>
      </c>
      <c r="C1974" s="17" t="s">
        <v>7229</v>
      </c>
      <c r="D1974" s="19" t="s">
        <v>7230</v>
      </c>
      <c r="E1974" s="20" t="s">
        <v>104</v>
      </c>
      <c r="F1974" s="21">
        <v>36389.0</v>
      </c>
      <c r="G1974" s="14">
        <v>27.0</v>
      </c>
      <c r="H1974" s="23" t="s">
        <v>100</v>
      </c>
      <c r="I1974" s="24" t="s">
        <v>33</v>
      </c>
      <c r="J1974" s="19" t="s">
        <v>3600</v>
      </c>
      <c r="K1974" s="14">
        <v>30.0</v>
      </c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</row>
    <row r="1975">
      <c r="A1975" s="14" t="s">
        <v>7231</v>
      </c>
      <c r="B1975" s="17" t="s">
        <v>7228</v>
      </c>
      <c r="C1975" s="17" t="s">
        <v>7232</v>
      </c>
      <c r="D1975" s="19" t="s">
        <v>7233</v>
      </c>
      <c r="E1975" s="20" t="s">
        <v>2393</v>
      </c>
      <c r="F1975" s="21">
        <v>20705.0</v>
      </c>
      <c r="G1975" s="14">
        <v>69.0</v>
      </c>
      <c r="H1975" s="23" t="s">
        <v>26</v>
      </c>
      <c r="I1975" s="24" t="s">
        <v>33</v>
      </c>
      <c r="J1975" s="19" t="s">
        <v>3600</v>
      </c>
      <c r="K1975" s="14">
        <v>30.0</v>
      </c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</row>
    <row r="1976">
      <c r="A1976" s="14" t="s">
        <v>7234</v>
      </c>
      <c r="B1976" s="17" t="s">
        <v>7228</v>
      </c>
      <c r="C1976" s="17" t="s">
        <v>7235</v>
      </c>
      <c r="D1976" s="19" t="s">
        <v>1539</v>
      </c>
      <c r="E1976" s="20" t="s">
        <v>1816</v>
      </c>
      <c r="F1976" s="21">
        <v>24016.0</v>
      </c>
      <c r="G1976" s="14">
        <v>60.0</v>
      </c>
      <c r="H1976" s="23" t="s">
        <v>26</v>
      </c>
      <c r="I1976" s="24" t="s">
        <v>27</v>
      </c>
      <c r="J1976" s="19" t="s">
        <v>3600</v>
      </c>
      <c r="K1976" s="14">
        <v>30.0</v>
      </c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</row>
    <row r="1977">
      <c r="A1977" s="14" t="s">
        <v>7236</v>
      </c>
      <c r="B1977" s="17" t="s">
        <v>7237</v>
      </c>
      <c r="C1977" s="17" t="s">
        <v>7238</v>
      </c>
      <c r="D1977" s="19" t="s">
        <v>7239</v>
      </c>
      <c r="E1977" s="20" t="s">
        <v>7240</v>
      </c>
      <c r="F1977" s="21">
        <v>26490.0</v>
      </c>
      <c r="G1977" s="14">
        <v>54.0</v>
      </c>
      <c r="H1977" s="23" t="s">
        <v>26</v>
      </c>
      <c r="I1977" s="24" t="s">
        <v>27</v>
      </c>
      <c r="J1977" s="19" t="s">
        <v>53</v>
      </c>
      <c r="K1977" s="14">
        <v>32.0</v>
      </c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</row>
    <row r="1978">
      <c r="A1978" s="14" t="s">
        <v>7241</v>
      </c>
      <c r="B1978" s="17" t="s">
        <v>7242</v>
      </c>
      <c r="C1978" s="17" t="s">
        <v>7243</v>
      </c>
      <c r="D1978" s="19" t="s">
        <v>7244</v>
      </c>
      <c r="E1978" s="20" t="s">
        <v>104</v>
      </c>
      <c r="F1978" s="27">
        <v>32861.0</v>
      </c>
      <c r="G1978" s="14">
        <v>36.0</v>
      </c>
      <c r="H1978" s="23" t="s">
        <v>27</v>
      </c>
      <c r="I1978" s="24" t="s">
        <v>27</v>
      </c>
      <c r="J1978" s="19" t="s">
        <v>58</v>
      </c>
      <c r="K1978" s="14">
        <v>1.0</v>
      </c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</row>
    <row r="1979">
      <c r="A1979" s="14" t="s">
        <v>7245</v>
      </c>
      <c r="B1979" s="17" t="s">
        <v>7246</v>
      </c>
      <c r="C1979" s="17" t="s">
        <v>7247</v>
      </c>
      <c r="D1979" s="19" t="s">
        <v>7248</v>
      </c>
      <c r="E1979" s="20" t="s">
        <v>1049</v>
      </c>
      <c r="F1979" s="27">
        <v>23678.0</v>
      </c>
      <c r="G1979" s="14">
        <v>61.0</v>
      </c>
      <c r="H1979" s="23" t="s">
        <v>27</v>
      </c>
      <c r="I1979" s="24" t="s">
        <v>27</v>
      </c>
      <c r="J1979" s="19" t="s">
        <v>95</v>
      </c>
      <c r="K1979" s="14">
        <v>15.0</v>
      </c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</row>
    <row r="1980">
      <c r="A1980" s="14" t="s">
        <v>7250</v>
      </c>
      <c r="B1980" s="17" t="s">
        <v>7246</v>
      </c>
      <c r="C1980" s="17" t="s">
        <v>7251</v>
      </c>
      <c r="D1980" s="19" t="s">
        <v>7252</v>
      </c>
      <c r="E1980" s="20" t="s">
        <v>104</v>
      </c>
      <c r="F1980" s="21">
        <v>32225.0</v>
      </c>
      <c r="G1980" s="14">
        <v>38.0</v>
      </c>
      <c r="H1980" s="23" t="s">
        <v>100</v>
      </c>
      <c r="I1980" s="24" t="s">
        <v>33</v>
      </c>
      <c r="J1980" s="19" t="s">
        <v>95</v>
      </c>
      <c r="K1980" s="14">
        <v>15.0</v>
      </c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7"/>
    </row>
    <row r="1981">
      <c r="A1981" s="14" t="s">
        <v>7253</v>
      </c>
      <c r="B1981" s="17" t="s">
        <v>7254</v>
      </c>
      <c r="C1981" s="17" t="s">
        <v>7255</v>
      </c>
      <c r="D1981" s="19" t="s">
        <v>7256</v>
      </c>
      <c r="E1981" s="20" t="s">
        <v>210</v>
      </c>
      <c r="F1981" s="21">
        <v>30964.0</v>
      </c>
      <c r="G1981" s="14">
        <v>41.0</v>
      </c>
      <c r="H1981" s="23" t="s">
        <v>26</v>
      </c>
      <c r="I1981" s="24" t="s">
        <v>27</v>
      </c>
      <c r="J1981" s="19" t="s">
        <v>517</v>
      </c>
      <c r="K1981" s="14">
        <v>5.0</v>
      </c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</row>
    <row r="1982">
      <c r="A1982" s="14" t="s">
        <v>7257</v>
      </c>
      <c r="B1982" s="17" t="s">
        <v>7254</v>
      </c>
      <c r="C1982" s="17" t="s">
        <v>7258</v>
      </c>
      <c r="D1982" s="19" t="s">
        <v>7259</v>
      </c>
      <c r="E1982" s="20" t="s">
        <v>337</v>
      </c>
      <c r="F1982" s="27">
        <v>38273.0</v>
      </c>
      <c r="G1982" s="14">
        <v>21.0</v>
      </c>
      <c r="H1982" s="23" t="s">
        <v>100</v>
      </c>
      <c r="I1982" s="24" t="s">
        <v>27</v>
      </c>
      <c r="J1982" s="19" t="s">
        <v>517</v>
      </c>
      <c r="K1982" s="14">
        <v>5.0</v>
      </c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7"/>
    </row>
    <row r="1983">
      <c r="A1983" s="14" t="s">
        <v>7260</v>
      </c>
      <c r="B1983" s="17" t="s">
        <v>7254</v>
      </c>
      <c r="C1983" s="17" t="s">
        <v>7261</v>
      </c>
      <c r="D1983" s="19" t="s">
        <v>7262</v>
      </c>
      <c r="E1983" s="20" t="s">
        <v>104</v>
      </c>
      <c r="F1983" s="21">
        <v>29561.0</v>
      </c>
      <c r="G1983" s="14">
        <v>45.0</v>
      </c>
      <c r="H1983" s="23" t="s">
        <v>26</v>
      </c>
      <c r="I1983" s="24" t="s">
        <v>33</v>
      </c>
      <c r="J1983" s="19" t="s">
        <v>517</v>
      </c>
      <c r="K1983" s="14">
        <v>5.0</v>
      </c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</row>
    <row r="1984">
      <c r="A1984" s="14" t="s">
        <v>7263</v>
      </c>
      <c r="B1984" s="17" t="s">
        <v>7264</v>
      </c>
      <c r="C1984" s="17" t="s">
        <v>7265</v>
      </c>
      <c r="D1984" s="19" t="s">
        <v>7266</v>
      </c>
      <c r="E1984" s="20" t="s">
        <v>650</v>
      </c>
      <c r="F1984" s="21">
        <v>19785.0</v>
      </c>
      <c r="G1984" s="14">
        <v>72.0</v>
      </c>
      <c r="H1984" s="23" t="s">
        <v>26</v>
      </c>
      <c r="I1984" s="24" t="s">
        <v>33</v>
      </c>
      <c r="J1984" s="19" t="s">
        <v>146</v>
      </c>
      <c r="K1984" s="14">
        <v>5.0</v>
      </c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</row>
    <row r="1985">
      <c r="A1985" s="14" t="s">
        <v>7267</v>
      </c>
      <c r="B1985" s="17" t="s">
        <v>7264</v>
      </c>
      <c r="C1985" s="17" t="s">
        <v>7268</v>
      </c>
      <c r="D1985" s="19" t="s">
        <v>7269</v>
      </c>
      <c r="E1985" s="20" t="s">
        <v>650</v>
      </c>
      <c r="F1985" s="21">
        <v>22302.0</v>
      </c>
      <c r="G1985" s="14">
        <v>65.0</v>
      </c>
      <c r="H1985" s="23" t="s">
        <v>26</v>
      </c>
      <c r="I1985" s="24" t="s">
        <v>27</v>
      </c>
      <c r="J1985" s="19" t="s">
        <v>146</v>
      </c>
      <c r="K1985" s="14">
        <v>5.0</v>
      </c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</row>
    <row r="1986">
      <c r="A1986" s="14" t="s">
        <v>7270</v>
      </c>
      <c r="B1986" s="17" t="s">
        <v>7271</v>
      </c>
      <c r="C1986" s="17" t="s">
        <v>7272</v>
      </c>
      <c r="D1986" s="19" t="s">
        <v>4603</v>
      </c>
      <c r="E1986" s="20" t="s">
        <v>650</v>
      </c>
      <c r="F1986" s="21">
        <v>22426.0</v>
      </c>
      <c r="G1986" s="14">
        <v>65.0</v>
      </c>
      <c r="H1986" s="23" t="s">
        <v>26</v>
      </c>
      <c r="I1986" s="24" t="s">
        <v>27</v>
      </c>
      <c r="J1986" s="19" t="s">
        <v>2019</v>
      </c>
      <c r="K1986" s="14">
        <v>4.0</v>
      </c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</row>
    <row r="1987">
      <c r="A1987" s="14" t="s">
        <v>7273</v>
      </c>
      <c r="B1987" s="17" t="s">
        <v>7274</v>
      </c>
      <c r="C1987" s="17" t="s">
        <v>7275</v>
      </c>
      <c r="D1987" s="19" t="s">
        <v>7276</v>
      </c>
      <c r="E1987" s="20" t="s">
        <v>880</v>
      </c>
      <c r="F1987" s="27">
        <v>29177.0</v>
      </c>
      <c r="G1987" s="14">
        <v>46.0</v>
      </c>
      <c r="H1987" s="23" t="s">
        <v>26</v>
      </c>
      <c r="I1987" s="24" t="s">
        <v>27</v>
      </c>
      <c r="J1987" s="19" t="s">
        <v>146</v>
      </c>
      <c r="K1987" s="14">
        <v>3.0</v>
      </c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</row>
    <row r="1988">
      <c r="A1988" s="14" t="s">
        <v>7277</v>
      </c>
      <c r="B1988" s="17" t="s">
        <v>7274</v>
      </c>
      <c r="C1988" s="17" t="s">
        <v>7278</v>
      </c>
      <c r="D1988" s="19" t="s">
        <v>7279</v>
      </c>
      <c r="E1988" s="20" t="s">
        <v>210</v>
      </c>
      <c r="F1988" s="21">
        <v>27519.0</v>
      </c>
      <c r="G1988" s="14">
        <v>51.0</v>
      </c>
      <c r="H1988" s="23" t="s">
        <v>26</v>
      </c>
      <c r="I1988" s="24" t="s">
        <v>33</v>
      </c>
      <c r="J1988" s="19" t="s">
        <v>146</v>
      </c>
      <c r="K1988" s="14">
        <v>3.0</v>
      </c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7"/>
      <c r="X1988" s="7"/>
      <c r="Y1988" s="7"/>
    </row>
    <row r="1989">
      <c r="A1989" s="14" t="s">
        <v>7280</v>
      </c>
      <c r="B1989" s="17" t="s">
        <v>7274</v>
      </c>
      <c r="C1989" s="17" t="s">
        <v>7281</v>
      </c>
      <c r="D1989" s="19" t="s">
        <v>7282</v>
      </c>
      <c r="E1989" s="20" t="s">
        <v>53</v>
      </c>
      <c r="F1989" s="27">
        <v>36079.0</v>
      </c>
      <c r="G1989" s="14">
        <v>27.0</v>
      </c>
      <c r="H1989" s="23" t="s">
        <v>100</v>
      </c>
      <c r="I1989" s="24" t="s">
        <v>27</v>
      </c>
      <c r="J1989" s="19" t="s">
        <v>146</v>
      </c>
      <c r="K1989" s="14">
        <v>3.0</v>
      </c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</row>
    <row r="1990">
      <c r="A1990" s="14" t="s">
        <v>7283</v>
      </c>
      <c r="B1990" s="17" t="s">
        <v>7274</v>
      </c>
      <c r="C1990" s="17" t="s">
        <v>7284</v>
      </c>
      <c r="D1990" s="19" t="s">
        <v>7285</v>
      </c>
      <c r="E1990" s="20" t="s">
        <v>880</v>
      </c>
      <c r="F1990" s="21">
        <v>20653.0</v>
      </c>
      <c r="G1990" s="14">
        <v>70.0</v>
      </c>
      <c r="H1990" s="23" t="s">
        <v>27</v>
      </c>
      <c r="I1990" s="24" t="s">
        <v>27</v>
      </c>
      <c r="J1990" s="19" t="s">
        <v>146</v>
      </c>
      <c r="K1990" s="14">
        <v>3.0</v>
      </c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7"/>
      <c r="X1990" s="7"/>
      <c r="Y1990" s="7"/>
    </row>
    <row r="1991">
      <c r="A1991" s="14" t="s">
        <v>7286</v>
      </c>
      <c r="B1991" s="17" t="s">
        <v>7287</v>
      </c>
      <c r="C1991" s="17" t="s">
        <v>7288</v>
      </c>
      <c r="D1991" s="19" t="s">
        <v>7289</v>
      </c>
      <c r="E1991" s="20" t="s">
        <v>104</v>
      </c>
      <c r="F1991" s="27">
        <v>38283.0</v>
      </c>
      <c r="G1991" s="14">
        <v>21.0</v>
      </c>
      <c r="H1991" s="23" t="s">
        <v>100</v>
      </c>
      <c r="I1991" s="24" t="s">
        <v>27</v>
      </c>
      <c r="J1991" s="19" t="s">
        <v>146</v>
      </c>
      <c r="K1991" s="14">
        <v>3.0</v>
      </c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</row>
    <row r="1992">
      <c r="A1992" s="14" t="s">
        <v>7290</v>
      </c>
      <c r="B1992" s="17" t="s">
        <v>7287</v>
      </c>
      <c r="C1992" s="17" t="s">
        <v>7291</v>
      </c>
      <c r="D1992" s="19" t="s">
        <v>7292</v>
      </c>
      <c r="E1992" s="20" t="s">
        <v>7293</v>
      </c>
      <c r="F1992" s="21">
        <v>25427.0</v>
      </c>
      <c r="G1992" s="14">
        <v>57.0</v>
      </c>
      <c r="H1992" s="23" t="s">
        <v>26</v>
      </c>
      <c r="I1992" s="24" t="s">
        <v>33</v>
      </c>
      <c r="J1992" s="19" t="s">
        <v>146</v>
      </c>
      <c r="K1992" s="14">
        <v>3.0</v>
      </c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7"/>
      <c r="X1992" s="7"/>
      <c r="Y1992" s="7"/>
    </row>
    <row r="1993">
      <c r="A1993" s="14" t="s">
        <v>7294</v>
      </c>
      <c r="B1993" s="17" t="s">
        <v>7287</v>
      </c>
      <c r="C1993" s="17" t="s">
        <v>7295</v>
      </c>
      <c r="D1993" s="19" t="s">
        <v>1053</v>
      </c>
      <c r="E1993" s="20" t="s">
        <v>7296</v>
      </c>
      <c r="F1993" s="21">
        <v>24692.0</v>
      </c>
      <c r="G1993" s="14">
        <v>59.0</v>
      </c>
      <c r="H1993" s="23" t="s">
        <v>26</v>
      </c>
      <c r="I1993" s="24" t="s">
        <v>27</v>
      </c>
      <c r="J1993" s="19" t="s">
        <v>2038</v>
      </c>
      <c r="K1993" s="14">
        <v>2.0</v>
      </c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</row>
    <row r="1994">
      <c r="A1994" s="14" t="s">
        <v>7297</v>
      </c>
      <c r="B1994" s="17" t="s">
        <v>7298</v>
      </c>
      <c r="C1994" s="17" t="s">
        <v>7299</v>
      </c>
      <c r="D1994" s="19" t="s">
        <v>7300</v>
      </c>
      <c r="E1994" s="20" t="s">
        <v>53</v>
      </c>
      <c r="F1994" s="27">
        <v>36081.0</v>
      </c>
      <c r="G1994" s="14">
        <v>27.0</v>
      </c>
      <c r="H1994" s="23" t="s">
        <v>100</v>
      </c>
      <c r="I1994" s="24" t="s">
        <v>27</v>
      </c>
      <c r="J1994" s="19" t="s">
        <v>328</v>
      </c>
      <c r="K1994" s="14">
        <v>24.0</v>
      </c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</row>
    <row r="1995">
      <c r="A1995" s="14" t="s">
        <v>7301</v>
      </c>
      <c r="B1995" s="17" t="s">
        <v>7298</v>
      </c>
      <c r="C1995" s="17" t="s">
        <v>7302</v>
      </c>
      <c r="D1995" s="19" t="s">
        <v>7303</v>
      </c>
      <c r="E1995" s="20" t="s">
        <v>429</v>
      </c>
      <c r="F1995" s="21">
        <v>25750.0</v>
      </c>
      <c r="G1995" s="14">
        <v>56.0</v>
      </c>
      <c r="H1995" s="23" t="s">
        <v>26</v>
      </c>
      <c r="I1995" s="24" t="s">
        <v>27</v>
      </c>
      <c r="J1995" s="19" t="s">
        <v>328</v>
      </c>
      <c r="K1995" s="14">
        <v>24.0</v>
      </c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</row>
    <row r="1996">
      <c r="A1996" s="14" t="s">
        <v>7304</v>
      </c>
      <c r="B1996" s="17" t="s">
        <v>7298</v>
      </c>
      <c r="C1996" s="17" t="s">
        <v>7305</v>
      </c>
      <c r="D1996" s="19" t="s">
        <v>7306</v>
      </c>
      <c r="E1996" s="20" t="s">
        <v>429</v>
      </c>
      <c r="F1996" s="21">
        <v>21732.0</v>
      </c>
      <c r="G1996" s="14">
        <v>67.0</v>
      </c>
      <c r="H1996" s="23" t="s">
        <v>26</v>
      </c>
      <c r="I1996" s="24" t="s">
        <v>33</v>
      </c>
      <c r="J1996" s="19" t="s">
        <v>328</v>
      </c>
      <c r="K1996" s="14">
        <v>24.0</v>
      </c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</row>
    <row r="1997">
      <c r="A1997" s="14" t="s">
        <v>7307</v>
      </c>
      <c r="B1997" s="17" t="s">
        <v>7298</v>
      </c>
      <c r="C1997" s="17" t="s">
        <v>7308</v>
      </c>
      <c r="D1997" s="19" t="s">
        <v>7309</v>
      </c>
      <c r="E1997" s="20" t="s">
        <v>53</v>
      </c>
      <c r="F1997" s="21">
        <v>34598.0</v>
      </c>
      <c r="G1997" s="14">
        <v>31.0</v>
      </c>
      <c r="H1997" s="23" t="s">
        <v>100</v>
      </c>
      <c r="I1997" s="24" t="s">
        <v>33</v>
      </c>
      <c r="J1997" s="19" t="s">
        <v>328</v>
      </c>
      <c r="K1997" s="14">
        <v>24.0</v>
      </c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</row>
    <row r="1998">
      <c r="A1998" s="14" t="s">
        <v>7310</v>
      </c>
      <c r="B1998" s="17" t="s">
        <v>7311</v>
      </c>
      <c r="C1998" s="17" t="s">
        <v>7312</v>
      </c>
      <c r="D1998" s="19" t="s">
        <v>7313</v>
      </c>
      <c r="E1998" s="20" t="s">
        <v>104</v>
      </c>
      <c r="F1998" s="27">
        <v>31760.0</v>
      </c>
      <c r="G1998" s="14">
        <v>39.0</v>
      </c>
      <c r="H1998" s="23" t="s">
        <v>26</v>
      </c>
      <c r="I1998" s="24" t="s">
        <v>27</v>
      </c>
      <c r="J1998" s="19" t="s">
        <v>726</v>
      </c>
      <c r="K1998" s="14">
        <v>19.0</v>
      </c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</row>
    <row r="1999">
      <c r="A1999" s="14" t="s">
        <v>7314</v>
      </c>
      <c r="B1999" s="17" t="s">
        <v>7311</v>
      </c>
      <c r="C1999" s="17" t="s">
        <v>7315</v>
      </c>
      <c r="D1999" s="19" t="s">
        <v>7316</v>
      </c>
      <c r="E1999" s="20" t="s">
        <v>104</v>
      </c>
      <c r="F1999" s="27">
        <v>31330.0</v>
      </c>
      <c r="G1999" s="14">
        <v>40.0</v>
      </c>
      <c r="H1999" s="23" t="s">
        <v>26</v>
      </c>
      <c r="I1999" s="24" t="s">
        <v>33</v>
      </c>
      <c r="J1999" s="19" t="s">
        <v>726</v>
      </c>
      <c r="K1999" s="14">
        <v>19.0</v>
      </c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7"/>
      <c r="W1999" s="7"/>
      <c r="X1999" s="7"/>
      <c r="Y1999" s="7"/>
    </row>
    <row r="2000">
      <c r="A2000" s="14" t="s">
        <v>7318</v>
      </c>
      <c r="B2000" s="17" t="s">
        <v>7319</v>
      </c>
      <c r="C2000" s="17" t="s">
        <v>7320</v>
      </c>
      <c r="D2000" s="19" t="s">
        <v>7321</v>
      </c>
      <c r="E2000" s="20" t="s">
        <v>210</v>
      </c>
      <c r="F2000" s="21">
        <v>30442.0</v>
      </c>
      <c r="G2000" s="14">
        <v>43.0</v>
      </c>
      <c r="H2000" s="23" t="s">
        <v>26</v>
      </c>
      <c r="I2000" s="24" t="s">
        <v>27</v>
      </c>
      <c r="J2000" s="19" t="s">
        <v>53</v>
      </c>
      <c r="K2000" s="14">
        <v>3.0</v>
      </c>
      <c r="L2000" s="7"/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7"/>
      <c r="X2000" s="7"/>
      <c r="Y2000" s="7"/>
    </row>
    <row r="2001">
      <c r="A2001" s="14" t="s">
        <v>7322</v>
      </c>
      <c r="B2001" s="17" t="s">
        <v>7319</v>
      </c>
      <c r="C2001" s="17" t="s">
        <v>7323</v>
      </c>
      <c r="D2001" s="19" t="s">
        <v>7324</v>
      </c>
      <c r="E2001" s="20" t="s">
        <v>104</v>
      </c>
      <c r="F2001" s="21">
        <v>38750.0</v>
      </c>
      <c r="G2001" s="14">
        <v>20.0</v>
      </c>
      <c r="H2001" s="23" t="s">
        <v>100</v>
      </c>
      <c r="I2001" s="24" t="s">
        <v>33</v>
      </c>
      <c r="J2001" s="19" t="s">
        <v>53</v>
      </c>
      <c r="K2001" s="14">
        <v>3.0</v>
      </c>
      <c r="L2001" s="7"/>
      <c r="M2001" s="7"/>
      <c r="N2001" s="7"/>
      <c r="O2001" s="7"/>
      <c r="P2001" s="7"/>
      <c r="Q2001" s="7"/>
      <c r="R2001" s="7"/>
      <c r="S2001" s="7"/>
      <c r="T2001" s="7"/>
      <c r="U2001" s="7"/>
      <c r="V2001" s="7"/>
      <c r="W2001" s="7"/>
      <c r="X2001" s="7"/>
      <c r="Y2001" s="7"/>
    </row>
    <row r="2002">
      <c r="A2002" s="14" t="s">
        <v>7325</v>
      </c>
      <c r="B2002" s="17" t="s">
        <v>7319</v>
      </c>
      <c r="C2002" s="17" t="s">
        <v>7326</v>
      </c>
      <c r="D2002" s="19" t="s">
        <v>7327</v>
      </c>
      <c r="E2002" s="20" t="s">
        <v>650</v>
      </c>
      <c r="F2002" s="21">
        <v>30015.0</v>
      </c>
      <c r="G2002" s="14">
        <v>44.0</v>
      </c>
      <c r="H2002" s="23" t="s">
        <v>26</v>
      </c>
      <c r="I2002" s="24" t="s">
        <v>33</v>
      </c>
      <c r="J2002" s="19" t="s">
        <v>53</v>
      </c>
      <c r="K2002" s="14">
        <v>3.0</v>
      </c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</row>
    <row r="2003">
      <c r="A2003" s="14" t="s">
        <v>7328</v>
      </c>
      <c r="B2003" s="17" t="s">
        <v>7329</v>
      </c>
      <c r="C2003" s="17" t="s">
        <v>7330</v>
      </c>
      <c r="D2003" s="19" t="s">
        <v>7331</v>
      </c>
      <c r="E2003" s="20" t="s">
        <v>525</v>
      </c>
      <c r="F2003" s="21">
        <v>34019.0</v>
      </c>
      <c r="G2003" s="14">
        <v>33.0</v>
      </c>
      <c r="H2003" s="23" t="s">
        <v>26</v>
      </c>
      <c r="I2003" s="24" t="s">
        <v>33</v>
      </c>
      <c r="J2003" s="19" t="s">
        <v>206</v>
      </c>
      <c r="K2003" s="14">
        <v>1.0</v>
      </c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</row>
    <row r="2004">
      <c r="A2004" s="14" t="s">
        <v>7332</v>
      </c>
      <c r="B2004" s="17" t="s">
        <v>7329</v>
      </c>
      <c r="C2004" s="17" t="s">
        <v>7333</v>
      </c>
      <c r="D2004" s="19" t="s">
        <v>7334</v>
      </c>
      <c r="E2004" s="20" t="s">
        <v>104</v>
      </c>
      <c r="F2004" s="21">
        <v>35552.0</v>
      </c>
      <c r="G2004" s="14">
        <v>29.0</v>
      </c>
      <c r="H2004" s="23" t="s">
        <v>26</v>
      </c>
      <c r="I2004" s="24" t="s">
        <v>27</v>
      </c>
      <c r="J2004" s="19" t="s">
        <v>206</v>
      </c>
      <c r="K2004" s="14">
        <v>1.0</v>
      </c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</row>
    <row r="2005">
      <c r="A2005" s="14" t="s">
        <v>7335</v>
      </c>
      <c r="B2005" s="17" t="s">
        <v>7336</v>
      </c>
      <c r="C2005" s="17" t="s">
        <v>7337</v>
      </c>
      <c r="D2005" s="19" t="s">
        <v>7338</v>
      </c>
      <c r="E2005" s="20" t="s">
        <v>104</v>
      </c>
      <c r="F2005" s="21">
        <v>34570.0</v>
      </c>
      <c r="G2005" s="14">
        <v>32.0</v>
      </c>
      <c r="H2005" s="23" t="s">
        <v>26</v>
      </c>
      <c r="I2005" s="24" t="s">
        <v>33</v>
      </c>
      <c r="J2005" s="19" t="s">
        <v>328</v>
      </c>
      <c r="K2005" s="14">
        <v>19.0</v>
      </c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</row>
    <row r="2006">
      <c r="A2006" s="14" t="s">
        <v>7339</v>
      </c>
      <c r="B2006" s="17" t="s">
        <v>7336</v>
      </c>
      <c r="C2006" s="17" t="s">
        <v>7340</v>
      </c>
      <c r="D2006" s="19" t="s">
        <v>7341</v>
      </c>
      <c r="E2006" s="20" t="s">
        <v>210</v>
      </c>
      <c r="F2006" s="21">
        <v>35938.0</v>
      </c>
      <c r="G2006" s="14">
        <v>28.0</v>
      </c>
      <c r="H2006" s="23" t="s">
        <v>26</v>
      </c>
      <c r="I2006" s="24" t="s">
        <v>27</v>
      </c>
      <c r="J2006" s="19" t="s">
        <v>328</v>
      </c>
      <c r="K2006" s="14">
        <v>19.0</v>
      </c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</row>
    <row r="2007">
      <c r="A2007" s="14" t="s">
        <v>7342</v>
      </c>
      <c r="B2007" s="17" t="s">
        <v>7343</v>
      </c>
      <c r="C2007" s="17" t="s">
        <v>7344</v>
      </c>
      <c r="D2007" s="19" t="s">
        <v>7345</v>
      </c>
      <c r="E2007" s="20" t="s">
        <v>1370</v>
      </c>
      <c r="F2007" s="21">
        <v>31173.0</v>
      </c>
      <c r="G2007" s="14">
        <v>41.0</v>
      </c>
      <c r="H2007" s="23" t="s">
        <v>26</v>
      </c>
      <c r="I2007" s="24" t="s">
        <v>27</v>
      </c>
      <c r="J2007" s="19" t="s">
        <v>53</v>
      </c>
      <c r="K2007" s="14">
        <v>14.0</v>
      </c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</row>
    <row r="2008">
      <c r="A2008" s="14" t="s">
        <v>7346</v>
      </c>
      <c r="B2008" s="17" t="s">
        <v>7343</v>
      </c>
      <c r="C2008" s="17" t="s">
        <v>7347</v>
      </c>
      <c r="D2008" s="19" t="s">
        <v>7348</v>
      </c>
      <c r="E2008" s="20" t="s">
        <v>1370</v>
      </c>
      <c r="F2008" s="21">
        <v>30055.0</v>
      </c>
      <c r="G2008" s="14">
        <v>44.0</v>
      </c>
      <c r="H2008" s="23" t="s">
        <v>26</v>
      </c>
      <c r="I2008" s="24" t="s">
        <v>33</v>
      </c>
      <c r="J2008" s="19" t="s">
        <v>53</v>
      </c>
      <c r="K2008" s="14">
        <v>14.0</v>
      </c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</row>
    <row r="2009">
      <c r="A2009" s="14" t="s">
        <v>7349</v>
      </c>
      <c r="B2009" s="17" t="s">
        <v>7350</v>
      </c>
      <c r="C2009" s="17" t="s">
        <v>7351</v>
      </c>
      <c r="D2009" s="19" t="s">
        <v>7352</v>
      </c>
      <c r="E2009" s="20" t="s">
        <v>7353</v>
      </c>
      <c r="F2009" s="21">
        <v>26180.0</v>
      </c>
      <c r="G2009" s="14">
        <v>54.0</v>
      </c>
      <c r="H2009" s="23" t="s">
        <v>26</v>
      </c>
      <c r="I2009" s="24" t="s">
        <v>33</v>
      </c>
      <c r="J2009" s="19" t="s">
        <v>53</v>
      </c>
      <c r="K2009" s="14">
        <v>11.0</v>
      </c>
      <c r="L2009" s="7"/>
      <c r="M2009" s="7"/>
      <c r="N2009" s="7"/>
      <c r="O2009" s="7"/>
      <c r="P2009" s="7"/>
      <c r="Q2009" s="7"/>
      <c r="R2009" s="7"/>
      <c r="S2009" s="7"/>
      <c r="T2009" s="7"/>
      <c r="U2009" s="7"/>
      <c r="V2009" s="7"/>
      <c r="W2009" s="7"/>
      <c r="X2009" s="7"/>
      <c r="Y2009" s="7"/>
    </row>
    <row r="2010">
      <c r="A2010" s="14" t="s">
        <v>7354</v>
      </c>
      <c r="B2010" s="17" t="s">
        <v>7350</v>
      </c>
      <c r="C2010" s="17" t="s">
        <v>7355</v>
      </c>
      <c r="D2010" s="19" t="s">
        <v>7356</v>
      </c>
      <c r="E2010" s="20" t="s">
        <v>53</v>
      </c>
      <c r="F2010" s="21">
        <v>36169.0</v>
      </c>
      <c r="G2010" s="14">
        <v>27.0</v>
      </c>
      <c r="H2010" s="23" t="s">
        <v>100</v>
      </c>
      <c r="I2010" s="24" t="s">
        <v>33</v>
      </c>
      <c r="J2010" s="19" t="s">
        <v>53</v>
      </c>
      <c r="K2010" s="14">
        <v>11.0</v>
      </c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</row>
    <row r="2011">
      <c r="A2011" s="14" t="s">
        <v>7357</v>
      </c>
      <c r="B2011" s="17" t="s">
        <v>7350</v>
      </c>
      <c r="C2011" s="17" t="s">
        <v>7358</v>
      </c>
      <c r="D2011" s="19" t="s">
        <v>1951</v>
      </c>
      <c r="E2011" s="20" t="s">
        <v>104</v>
      </c>
      <c r="F2011" s="21">
        <v>29768.0</v>
      </c>
      <c r="G2011" s="14">
        <v>45.0</v>
      </c>
      <c r="H2011" s="23" t="s">
        <v>26</v>
      </c>
      <c r="I2011" s="24" t="s">
        <v>27</v>
      </c>
      <c r="J2011" s="19" t="s">
        <v>53</v>
      </c>
      <c r="K2011" s="14">
        <v>11.0</v>
      </c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7"/>
    </row>
    <row r="2012">
      <c r="A2012" s="14" t="s">
        <v>7359</v>
      </c>
      <c r="B2012" s="17" t="s">
        <v>7350</v>
      </c>
      <c r="C2012" s="17" t="s">
        <v>7360</v>
      </c>
      <c r="D2012" s="19" t="s">
        <v>7361</v>
      </c>
      <c r="E2012" s="20" t="s">
        <v>138</v>
      </c>
      <c r="F2012" s="21">
        <v>39223.0</v>
      </c>
      <c r="G2012" s="14">
        <v>19.0</v>
      </c>
      <c r="H2012" s="23" t="s">
        <v>100</v>
      </c>
      <c r="I2012" s="24" t="s">
        <v>27</v>
      </c>
      <c r="J2012" s="19" t="s">
        <v>39</v>
      </c>
      <c r="K2012" s="14">
        <v>11.0</v>
      </c>
      <c r="L2012" s="7"/>
      <c r="M2012" s="7"/>
      <c r="N2012" s="7"/>
      <c r="O2012" s="7"/>
      <c r="P2012" s="7"/>
      <c r="Q2012" s="7"/>
      <c r="R2012" s="7"/>
      <c r="S2012" s="7"/>
      <c r="T2012" s="7"/>
      <c r="U2012" s="7"/>
      <c r="V2012" s="7"/>
      <c r="W2012" s="7"/>
      <c r="X2012" s="7"/>
      <c r="Y2012" s="7"/>
    </row>
    <row r="2013">
      <c r="A2013" s="14" t="s">
        <v>7362</v>
      </c>
      <c r="B2013" s="17" t="s">
        <v>7363</v>
      </c>
      <c r="C2013" s="17" t="s">
        <v>7364</v>
      </c>
      <c r="D2013" s="19" t="s">
        <v>7365</v>
      </c>
      <c r="E2013" s="20" t="s">
        <v>7366</v>
      </c>
      <c r="F2013" s="21">
        <v>32007.0</v>
      </c>
      <c r="G2013" s="14">
        <v>39.0</v>
      </c>
      <c r="H2013" s="23" t="s">
        <v>26</v>
      </c>
      <c r="I2013" s="24" t="s">
        <v>27</v>
      </c>
      <c r="J2013" s="19" t="s">
        <v>328</v>
      </c>
      <c r="K2013" s="14">
        <v>31.0</v>
      </c>
      <c r="L2013" s="7"/>
      <c r="M2013" s="7"/>
      <c r="N2013" s="7"/>
      <c r="O2013" s="7"/>
      <c r="P2013" s="7"/>
      <c r="Q2013" s="7"/>
      <c r="R2013" s="7"/>
      <c r="S2013" s="7"/>
      <c r="T2013" s="7"/>
      <c r="U2013" s="7"/>
      <c r="V2013" s="7"/>
      <c r="W2013" s="7"/>
      <c r="X2013" s="7"/>
      <c r="Y2013" s="7"/>
    </row>
    <row r="2014">
      <c r="A2014" s="14" t="s">
        <v>7367</v>
      </c>
      <c r="B2014" s="17" t="s">
        <v>7363</v>
      </c>
      <c r="C2014" s="17" t="s">
        <v>7368</v>
      </c>
      <c r="D2014" s="19" t="s">
        <v>6855</v>
      </c>
      <c r="E2014" s="20" t="s">
        <v>6256</v>
      </c>
      <c r="F2014" s="21">
        <v>30659.0</v>
      </c>
      <c r="G2014" s="14">
        <v>42.0</v>
      </c>
      <c r="H2014" s="23" t="s">
        <v>26</v>
      </c>
      <c r="I2014" s="24" t="s">
        <v>33</v>
      </c>
      <c r="J2014" s="19" t="s">
        <v>328</v>
      </c>
      <c r="K2014" s="14">
        <v>31.0</v>
      </c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</row>
    <row r="2015">
      <c r="A2015" s="14" t="s">
        <v>7369</v>
      </c>
      <c r="B2015" s="17" t="s">
        <v>7370</v>
      </c>
      <c r="C2015" s="17" t="s">
        <v>7371</v>
      </c>
      <c r="D2015" s="19" t="s">
        <v>7372</v>
      </c>
      <c r="E2015" s="20" t="s">
        <v>231</v>
      </c>
      <c r="F2015" s="21">
        <v>28995.0</v>
      </c>
      <c r="G2015" s="14">
        <v>47.0</v>
      </c>
      <c r="H2015" s="23" t="s">
        <v>27</v>
      </c>
      <c r="I2015" s="24" t="s">
        <v>33</v>
      </c>
      <c r="J2015" s="19" t="s">
        <v>156</v>
      </c>
      <c r="K2015" s="14">
        <v>34.0</v>
      </c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</row>
    <row r="2016">
      <c r="A2016" s="14" t="s">
        <v>7373</v>
      </c>
      <c r="B2016" s="17" t="s">
        <v>7370</v>
      </c>
      <c r="C2016" s="17" t="s">
        <v>7374</v>
      </c>
      <c r="D2016" s="19" t="s">
        <v>7375</v>
      </c>
      <c r="E2016" s="20" t="s">
        <v>104</v>
      </c>
      <c r="F2016" s="21">
        <v>39271.0</v>
      </c>
      <c r="G2016" s="14">
        <v>19.0</v>
      </c>
      <c r="H2016" s="23" t="s">
        <v>100</v>
      </c>
      <c r="I2016" s="24" t="s">
        <v>33</v>
      </c>
      <c r="J2016" s="19" t="s">
        <v>156</v>
      </c>
      <c r="K2016" s="14">
        <v>34.0</v>
      </c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</row>
    <row r="2017">
      <c r="A2017" s="14" t="s">
        <v>7376</v>
      </c>
      <c r="B2017" s="17" t="s">
        <v>7370</v>
      </c>
      <c r="C2017" s="17" t="s">
        <v>7377</v>
      </c>
      <c r="D2017" s="19" t="s">
        <v>7378</v>
      </c>
      <c r="E2017" s="20" t="s">
        <v>231</v>
      </c>
      <c r="F2017" s="21">
        <v>36942.0</v>
      </c>
      <c r="G2017" s="14">
        <v>25.0</v>
      </c>
      <c r="H2017" s="23" t="s">
        <v>100</v>
      </c>
      <c r="I2017" s="24" t="s">
        <v>33</v>
      </c>
      <c r="J2017" s="19" t="s">
        <v>156</v>
      </c>
      <c r="K2017" s="14">
        <v>34.0</v>
      </c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</row>
    <row r="2018">
      <c r="A2018" s="14" t="s">
        <v>7379</v>
      </c>
      <c r="B2018" s="17" t="s">
        <v>7380</v>
      </c>
      <c r="C2018" s="17" t="s">
        <v>7381</v>
      </c>
      <c r="D2018" s="19" t="s">
        <v>7382</v>
      </c>
      <c r="E2018" s="20" t="s">
        <v>53</v>
      </c>
      <c r="F2018" s="27">
        <v>37217.0</v>
      </c>
      <c r="G2018" s="14">
        <v>24.0</v>
      </c>
      <c r="H2018" s="23" t="s">
        <v>100</v>
      </c>
      <c r="I2018" s="24" t="s">
        <v>27</v>
      </c>
      <c r="J2018" s="19" t="s">
        <v>53</v>
      </c>
      <c r="K2018" s="14">
        <v>3.0</v>
      </c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</row>
    <row r="2019">
      <c r="A2019" s="14" t="s">
        <v>7383</v>
      </c>
      <c r="B2019" s="17" t="s">
        <v>7380</v>
      </c>
      <c r="C2019" s="17" t="s">
        <v>7384</v>
      </c>
      <c r="D2019" s="19" t="s">
        <v>7385</v>
      </c>
      <c r="E2019" s="20" t="s">
        <v>7386</v>
      </c>
      <c r="F2019" s="21">
        <v>25027.0</v>
      </c>
      <c r="G2019" s="14">
        <v>58.0</v>
      </c>
      <c r="H2019" s="23" t="s">
        <v>26</v>
      </c>
      <c r="I2019" s="24" t="s">
        <v>33</v>
      </c>
      <c r="J2019" s="19" t="s">
        <v>53</v>
      </c>
      <c r="K2019" s="14">
        <v>3.0</v>
      </c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</row>
    <row r="2020">
      <c r="A2020" s="14" t="s">
        <v>7387</v>
      </c>
      <c r="B2020" s="17" t="s">
        <v>7380</v>
      </c>
      <c r="C2020" s="17" t="s">
        <v>7388</v>
      </c>
      <c r="D2020" s="19" t="s">
        <v>7389</v>
      </c>
      <c r="E2020" s="20" t="s">
        <v>650</v>
      </c>
      <c r="F2020" s="21">
        <v>27227.0</v>
      </c>
      <c r="G2020" s="14">
        <v>52.0</v>
      </c>
      <c r="H2020" s="23" t="s">
        <v>26</v>
      </c>
      <c r="I2020" s="24" t="s">
        <v>27</v>
      </c>
      <c r="J2020" s="19" t="s">
        <v>53</v>
      </c>
      <c r="K2020" s="14">
        <v>3.0</v>
      </c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</row>
    <row r="2021">
      <c r="A2021" s="14" t="s">
        <v>7390</v>
      </c>
      <c r="B2021" s="17" t="s">
        <v>7391</v>
      </c>
      <c r="C2021" s="17" t="s">
        <v>7392</v>
      </c>
      <c r="D2021" s="19" t="s">
        <v>2835</v>
      </c>
      <c r="E2021" s="20" t="s">
        <v>104</v>
      </c>
      <c r="F2021" s="27">
        <v>31026.0</v>
      </c>
      <c r="G2021" s="14">
        <v>41.0</v>
      </c>
      <c r="H2021" s="23" t="s">
        <v>26</v>
      </c>
      <c r="I2021" s="24" t="s">
        <v>27</v>
      </c>
      <c r="J2021" s="19" t="s">
        <v>53</v>
      </c>
      <c r="K2021" s="14">
        <v>3.0</v>
      </c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</row>
    <row r="2022">
      <c r="A2022" s="14" t="s">
        <v>7394</v>
      </c>
      <c r="B2022" s="17" t="s">
        <v>7391</v>
      </c>
      <c r="C2022" s="17" t="s">
        <v>7395</v>
      </c>
      <c r="D2022" s="19" t="s">
        <v>1143</v>
      </c>
      <c r="E2022" s="20" t="s">
        <v>104</v>
      </c>
      <c r="F2022" s="21">
        <v>28326.0</v>
      </c>
      <c r="G2022" s="14">
        <v>49.0</v>
      </c>
      <c r="H2022" s="23" t="s">
        <v>26</v>
      </c>
      <c r="I2022" s="24" t="s">
        <v>33</v>
      </c>
      <c r="J2022" s="19" t="s">
        <v>53</v>
      </c>
      <c r="K2022" s="14">
        <v>3.0</v>
      </c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</row>
    <row r="2023">
      <c r="A2023" s="14" t="s">
        <v>7396</v>
      </c>
      <c r="B2023" s="17" t="s">
        <v>7397</v>
      </c>
      <c r="C2023" s="17" t="s">
        <v>7398</v>
      </c>
      <c r="D2023" s="19" t="s">
        <v>7399</v>
      </c>
      <c r="E2023" s="20" t="s">
        <v>650</v>
      </c>
      <c r="F2023" s="21">
        <v>19113.0</v>
      </c>
      <c r="G2023" s="14">
        <v>74.0</v>
      </c>
      <c r="H2023" s="23" t="s">
        <v>26</v>
      </c>
      <c r="I2023" s="24" t="s">
        <v>33</v>
      </c>
      <c r="J2023" s="19" t="s">
        <v>53</v>
      </c>
      <c r="K2023" s="14">
        <v>3.0</v>
      </c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</row>
    <row r="2024">
      <c r="A2024" s="14" t="s">
        <v>7400</v>
      </c>
      <c r="B2024" s="17" t="s">
        <v>7397</v>
      </c>
      <c r="C2024" s="17" t="s">
        <v>7401</v>
      </c>
      <c r="D2024" s="19" t="s">
        <v>7402</v>
      </c>
      <c r="E2024" s="20" t="s">
        <v>650</v>
      </c>
      <c r="F2024" s="21">
        <v>21940.0</v>
      </c>
      <c r="G2024" s="14">
        <v>66.0</v>
      </c>
      <c r="H2024" s="23" t="s">
        <v>26</v>
      </c>
      <c r="I2024" s="24" t="s">
        <v>27</v>
      </c>
      <c r="J2024" s="19" t="s">
        <v>53</v>
      </c>
      <c r="K2024" s="14">
        <v>3.0</v>
      </c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</row>
    <row r="2025">
      <c r="A2025" s="14" t="s">
        <v>7403</v>
      </c>
      <c r="B2025" s="17" t="s">
        <v>7404</v>
      </c>
      <c r="C2025" s="17" t="s">
        <v>7405</v>
      </c>
      <c r="D2025" s="19" t="s">
        <v>7406</v>
      </c>
      <c r="E2025" s="20" t="s">
        <v>53</v>
      </c>
      <c r="F2025" s="27">
        <v>31013.0</v>
      </c>
      <c r="G2025" s="14">
        <v>41.0</v>
      </c>
      <c r="H2025" s="23" t="s">
        <v>26</v>
      </c>
      <c r="I2025" s="24" t="s">
        <v>27</v>
      </c>
      <c r="J2025" s="19" t="s">
        <v>53</v>
      </c>
      <c r="K2025" s="14">
        <v>3.0</v>
      </c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</row>
    <row r="2026">
      <c r="A2026" s="14" t="s">
        <v>7407</v>
      </c>
      <c r="B2026" s="17" t="s">
        <v>7404</v>
      </c>
      <c r="C2026" s="17" t="s">
        <v>7408</v>
      </c>
      <c r="D2026" s="19" t="s">
        <v>7409</v>
      </c>
      <c r="E2026" s="20" t="s">
        <v>104</v>
      </c>
      <c r="F2026" s="27">
        <v>37909.0</v>
      </c>
      <c r="G2026" s="14">
        <v>22.0</v>
      </c>
      <c r="H2026" s="23" t="s">
        <v>100</v>
      </c>
      <c r="I2026" s="24" t="s">
        <v>33</v>
      </c>
      <c r="J2026" s="19" t="s">
        <v>53</v>
      </c>
      <c r="K2026" s="14">
        <v>3.0</v>
      </c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</row>
    <row r="2027">
      <c r="A2027" s="14" t="s">
        <v>7410</v>
      </c>
      <c r="B2027" s="17" t="s">
        <v>7404</v>
      </c>
      <c r="C2027" s="17" t="s">
        <v>7411</v>
      </c>
      <c r="D2027" s="19" t="s">
        <v>2657</v>
      </c>
      <c r="E2027" s="20" t="s">
        <v>3800</v>
      </c>
      <c r="F2027" s="21">
        <v>29385.0</v>
      </c>
      <c r="G2027" s="14">
        <v>46.0</v>
      </c>
      <c r="H2027" s="23" t="s">
        <v>26</v>
      </c>
      <c r="I2027" s="24" t="s">
        <v>33</v>
      </c>
      <c r="J2027" s="19" t="s">
        <v>53</v>
      </c>
      <c r="K2027" s="14">
        <v>3.0</v>
      </c>
      <c r="L2027" s="7"/>
      <c r="M2027" s="7"/>
      <c r="N2027" s="7"/>
      <c r="O2027" s="7"/>
      <c r="P2027" s="7"/>
      <c r="Q2027" s="7"/>
      <c r="R2027" s="7"/>
      <c r="S2027" s="7"/>
      <c r="T2027" s="7"/>
      <c r="U2027" s="7"/>
      <c r="V2027" s="7"/>
      <c r="W2027" s="7"/>
      <c r="X2027" s="7"/>
      <c r="Y2027" s="7"/>
    </row>
    <row r="2028">
      <c r="A2028" s="14" t="s">
        <v>7412</v>
      </c>
      <c r="B2028" s="17" t="s">
        <v>7413</v>
      </c>
      <c r="C2028" s="17" t="s">
        <v>7414</v>
      </c>
      <c r="D2028" s="19" t="s">
        <v>7415</v>
      </c>
      <c r="E2028" s="20" t="s">
        <v>7416</v>
      </c>
      <c r="F2028" s="21">
        <v>28947.0</v>
      </c>
      <c r="G2028" s="14">
        <v>47.0</v>
      </c>
      <c r="H2028" s="23" t="s">
        <v>26</v>
      </c>
      <c r="I2028" s="24" t="s">
        <v>33</v>
      </c>
      <c r="J2028" s="19" t="s">
        <v>53</v>
      </c>
      <c r="K2028" s="14">
        <v>24.0</v>
      </c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</row>
    <row r="2029">
      <c r="A2029" s="14" t="s">
        <v>7417</v>
      </c>
      <c r="B2029" s="17" t="s">
        <v>7413</v>
      </c>
      <c r="C2029" s="17" t="s">
        <v>7418</v>
      </c>
      <c r="D2029" s="19" t="s">
        <v>7419</v>
      </c>
      <c r="E2029" s="20" t="s">
        <v>112</v>
      </c>
      <c r="F2029" s="21">
        <v>31442.0</v>
      </c>
      <c r="G2029" s="14">
        <v>40.0</v>
      </c>
      <c r="H2029" s="23" t="s">
        <v>26</v>
      </c>
      <c r="I2029" s="24" t="s">
        <v>27</v>
      </c>
      <c r="J2029" s="19" t="s">
        <v>53</v>
      </c>
      <c r="K2029" s="14">
        <v>24.0</v>
      </c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</row>
    <row r="2030">
      <c r="A2030" s="14" t="s">
        <v>7420</v>
      </c>
      <c r="B2030" s="17" t="s">
        <v>7421</v>
      </c>
      <c r="C2030" s="17" t="s">
        <v>7422</v>
      </c>
      <c r="D2030" s="19" t="s">
        <v>7423</v>
      </c>
      <c r="E2030" s="20" t="s">
        <v>429</v>
      </c>
      <c r="F2030" s="21">
        <v>17593.0</v>
      </c>
      <c r="G2030" s="14">
        <v>78.0</v>
      </c>
      <c r="H2030" s="23" t="s">
        <v>26</v>
      </c>
      <c r="I2030" s="24" t="s">
        <v>33</v>
      </c>
      <c r="J2030" s="19" t="s">
        <v>53</v>
      </c>
      <c r="K2030" s="14">
        <v>14.0</v>
      </c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</row>
    <row r="2031">
      <c r="A2031" s="14" t="s">
        <v>7424</v>
      </c>
      <c r="B2031" s="17" t="s">
        <v>7421</v>
      </c>
      <c r="C2031" s="17" t="s">
        <v>7425</v>
      </c>
      <c r="D2031" s="19" t="s">
        <v>7426</v>
      </c>
      <c r="E2031" s="20" t="s">
        <v>429</v>
      </c>
      <c r="F2031" s="27">
        <v>23295.0</v>
      </c>
      <c r="G2031" s="14">
        <v>62.0</v>
      </c>
      <c r="H2031" s="23" t="s">
        <v>26</v>
      </c>
      <c r="I2031" s="24" t="s">
        <v>27</v>
      </c>
      <c r="J2031" s="19" t="s">
        <v>53</v>
      </c>
      <c r="K2031" s="14">
        <v>14.0</v>
      </c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</row>
    <row r="2032">
      <c r="A2032" s="14" t="s">
        <v>7427</v>
      </c>
      <c r="B2032" s="17" t="s">
        <v>7428</v>
      </c>
      <c r="C2032" s="17" t="s">
        <v>7429</v>
      </c>
      <c r="D2032" s="19" t="s">
        <v>7430</v>
      </c>
      <c r="E2032" s="20" t="s">
        <v>53</v>
      </c>
      <c r="F2032" s="21">
        <v>31565.0</v>
      </c>
      <c r="G2032" s="14">
        <v>40.0</v>
      </c>
      <c r="H2032" s="23" t="s">
        <v>26</v>
      </c>
      <c r="I2032" s="24" t="s">
        <v>33</v>
      </c>
      <c r="J2032" s="19" t="s">
        <v>53</v>
      </c>
      <c r="K2032" s="14">
        <v>1.0</v>
      </c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</row>
    <row r="2033">
      <c r="A2033" s="14" t="s">
        <v>7431</v>
      </c>
      <c r="B2033" s="17" t="s">
        <v>7428</v>
      </c>
      <c r="C2033" s="17" t="s">
        <v>7432</v>
      </c>
      <c r="D2033" s="19" t="s">
        <v>7433</v>
      </c>
      <c r="E2033" s="20" t="s">
        <v>7434</v>
      </c>
      <c r="F2033" s="21">
        <v>33307.0</v>
      </c>
      <c r="G2033" s="14">
        <v>35.0</v>
      </c>
      <c r="H2033" s="23" t="s">
        <v>26</v>
      </c>
      <c r="I2033" s="24" t="s">
        <v>27</v>
      </c>
      <c r="J2033" s="19" t="s">
        <v>53</v>
      </c>
      <c r="K2033" s="14">
        <v>1.0</v>
      </c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</row>
    <row r="2034">
      <c r="A2034" s="14" t="s">
        <v>7435</v>
      </c>
      <c r="B2034" s="17" t="s">
        <v>7436</v>
      </c>
      <c r="C2034" s="17" t="s">
        <v>7437</v>
      </c>
      <c r="D2034" s="19" t="s">
        <v>7438</v>
      </c>
      <c r="E2034" s="20" t="s">
        <v>104</v>
      </c>
      <c r="F2034" s="21">
        <v>31717.0</v>
      </c>
      <c r="G2034" s="14">
        <v>39.0</v>
      </c>
      <c r="H2034" s="23" t="s">
        <v>26</v>
      </c>
      <c r="I2034" s="24" t="s">
        <v>33</v>
      </c>
      <c r="J2034" s="19" t="s">
        <v>68</v>
      </c>
      <c r="K2034" s="14">
        <v>35.0</v>
      </c>
      <c r="L2034" s="7"/>
      <c r="M2034" s="7"/>
      <c r="N2034" s="7"/>
      <c r="O2034" s="7"/>
      <c r="P2034" s="7"/>
      <c r="Q2034" s="7"/>
      <c r="R2034" s="7"/>
      <c r="S2034" s="7"/>
      <c r="T2034" s="7"/>
      <c r="U2034" s="7"/>
      <c r="V2034" s="7"/>
      <c r="W2034" s="7"/>
      <c r="X2034" s="7"/>
      <c r="Y2034" s="7"/>
    </row>
    <row r="2035">
      <c r="A2035" s="14" t="s">
        <v>7439</v>
      </c>
      <c r="B2035" s="17" t="s">
        <v>7436</v>
      </c>
      <c r="C2035" s="17" t="s">
        <v>7440</v>
      </c>
      <c r="D2035" s="19" t="s">
        <v>7441</v>
      </c>
      <c r="E2035" s="20" t="s">
        <v>7416</v>
      </c>
      <c r="F2035" s="21">
        <v>32309.0</v>
      </c>
      <c r="G2035" s="14">
        <v>38.0</v>
      </c>
      <c r="H2035" s="23" t="s">
        <v>26</v>
      </c>
      <c r="I2035" s="24" t="s">
        <v>27</v>
      </c>
      <c r="J2035" s="19" t="s">
        <v>68</v>
      </c>
      <c r="K2035" s="14">
        <v>35.0</v>
      </c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</row>
    <row r="2036">
      <c r="A2036" s="14" t="s">
        <v>7442</v>
      </c>
      <c r="B2036" s="17" t="s">
        <v>7443</v>
      </c>
      <c r="C2036" s="17" t="s">
        <v>7444</v>
      </c>
      <c r="D2036" s="19" t="s">
        <v>7445</v>
      </c>
      <c r="E2036" s="20" t="s">
        <v>624</v>
      </c>
      <c r="F2036" s="21">
        <v>33417.0</v>
      </c>
      <c r="G2036" s="14">
        <v>35.0</v>
      </c>
      <c r="H2036" s="23" t="s">
        <v>26</v>
      </c>
      <c r="I2036" s="24" t="s">
        <v>27</v>
      </c>
      <c r="J2036" s="19" t="s">
        <v>7446</v>
      </c>
      <c r="K2036" s="14">
        <v>35.0</v>
      </c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</row>
    <row r="2037">
      <c r="A2037" s="14" t="s">
        <v>7447</v>
      </c>
      <c r="B2037" s="17" t="s">
        <v>7448</v>
      </c>
      <c r="C2037" s="17" t="s">
        <v>7449</v>
      </c>
      <c r="D2037" s="19" t="s">
        <v>7450</v>
      </c>
      <c r="E2037" s="20" t="s">
        <v>274</v>
      </c>
      <c r="F2037" s="21">
        <v>36036.0</v>
      </c>
      <c r="G2037" s="14">
        <v>28.0</v>
      </c>
      <c r="H2037" s="23" t="s">
        <v>100</v>
      </c>
      <c r="I2037" s="24" t="s">
        <v>27</v>
      </c>
      <c r="J2037" s="19" t="s">
        <v>4374</v>
      </c>
      <c r="K2037" s="14">
        <v>5.0</v>
      </c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</row>
    <row r="2038">
      <c r="A2038" s="14" t="s">
        <v>7451</v>
      </c>
      <c r="B2038" s="17" t="s">
        <v>7448</v>
      </c>
      <c r="C2038" s="17" t="s">
        <v>7452</v>
      </c>
      <c r="D2038" s="19" t="s">
        <v>7453</v>
      </c>
      <c r="E2038" s="20" t="s">
        <v>104</v>
      </c>
      <c r="F2038" s="21">
        <v>38300.0</v>
      </c>
      <c r="G2038" s="14">
        <v>21.0</v>
      </c>
      <c r="H2038" s="23" t="s">
        <v>100</v>
      </c>
      <c r="I2038" s="24" t="s">
        <v>33</v>
      </c>
      <c r="J2038" s="19" t="s">
        <v>4374</v>
      </c>
      <c r="K2038" s="14">
        <v>5.0</v>
      </c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</row>
    <row r="2039">
      <c r="A2039" s="14" t="s">
        <v>7454</v>
      </c>
      <c r="B2039" s="17" t="s">
        <v>7448</v>
      </c>
      <c r="C2039" s="17" t="s">
        <v>7455</v>
      </c>
      <c r="D2039" s="19" t="s">
        <v>7456</v>
      </c>
      <c r="E2039" s="20" t="s">
        <v>104</v>
      </c>
      <c r="F2039" s="21">
        <v>39251.0</v>
      </c>
      <c r="G2039" s="14">
        <v>19.0</v>
      </c>
      <c r="H2039" s="23" t="s">
        <v>100</v>
      </c>
      <c r="I2039" s="24" t="s">
        <v>33</v>
      </c>
      <c r="J2039" s="19" t="s">
        <v>4374</v>
      </c>
      <c r="K2039" s="14">
        <v>5.0</v>
      </c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</row>
    <row r="2040">
      <c r="A2040" s="14" t="s">
        <v>7457</v>
      </c>
      <c r="B2040" s="17" t="s">
        <v>7448</v>
      </c>
      <c r="C2040" s="17" t="s">
        <v>7458</v>
      </c>
      <c r="D2040" s="19" t="s">
        <v>7459</v>
      </c>
      <c r="E2040" s="20" t="s">
        <v>1786</v>
      </c>
      <c r="F2040" s="21">
        <v>25693.0</v>
      </c>
      <c r="G2040" s="14">
        <v>56.0</v>
      </c>
      <c r="H2040" s="23" t="s">
        <v>26</v>
      </c>
      <c r="I2040" s="24" t="s">
        <v>33</v>
      </c>
      <c r="J2040" s="19" t="s">
        <v>4374</v>
      </c>
      <c r="K2040" s="14">
        <v>5.0</v>
      </c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</row>
    <row r="2041">
      <c r="A2041" s="14" t="s">
        <v>7460</v>
      </c>
      <c r="B2041" s="17" t="s">
        <v>7448</v>
      </c>
      <c r="C2041" s="17" t="s">
        <v>7461</v>
      </c>
      <c r="D2041" s="19" t="s">
        <v>7462</v>
      </c>
      <c r="E2041" s="20" t="s">
        <v>2505</v>
      </c>
      <c r="F2041" s="21">
        <v>26490.0</v>
      </c>
      <c r="G2041" s="14">
        <v>54.0</v>
      </c>
      <c r="H2041" s="23" t="s">
        <v>26</v>
      </c>
      <c r="I2041" s="24" t="s">
        <v>27</v>
      </c>
      <c r="J2041" s="19" t="s">
        <v>4374</v>
      </c>
      <c r="K2041" s="14">
        <v>5.0</v>
      </c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</row>
    <row r="2042">
      <c r="A2042" s="14" t="s">
        <v>7463</v>
      </c>
      <c r="B2042" s="17" t="s">
        <v>7464</v>
      </c>
      <c r="C2042" s="17" t="s">
        <v>7465</v>
      </c>
      <c r="D2042" s="19" t="s">
        <v>7466</v>
      </c>
      <c r="E2042" s="20" t="s">
        <v>104</v>
      </c>
      <c r="F2042" s="21">
        <v>36326.0</v>
      </c>
      <c r="G2042" s="14">
        <v>27.0</v>
      </c>
      <c r="H2042" s="23" t="s">
        <v>100</v>
      </c>
      <c r="I2042" s="24" t="s">
        <v>33</v>
      </c>
      <c r="J2042" s="19" t="s">
        <v>7467</v>
      </c>
      <c r="K2042" s="14">
        <v>25.0</v>
      </c>
      <c r="L2042" s="7"/>
      <c r="M2042" s="7"/>
      <c r="N2042" s="7"/>
      <c r="O2042" s="7"/>
      <c r="P2042" s="7"/>
      <c r="Q2042" s="7"/>
      <c r="R2042" s="7"/>
      <c r="S2042" s="7"/>
      <c r="T2042" s="7"/>
      <c r="U2042" s="7"/>
      <c r="V2042" s="7"/>
      <c r="W2042" s="7"/>
      <c r="X2042" s="7"/>
      <c r="Y2042" s="7"/>
    </row>
    <row r="2043">
      <c r="A2043" s="14" t="s">
        <v>7468</v>
      </c>
      <c r="B2043" s="17" t="s">
        <v>7464</v>
      </c>
      <c r="C2043" s="17" t="s">
        <v>7469</v>
      </c>
      <c r="D2043" s="19" t="s">
        <v>7470</v>
      </c>
      <c r="E2043" s="20" t="s">
        <v>7471</v>
      </c>
      <c r="F2043" s="21">
        <v>27569.0</v>
      </c>
      <c r="G2043" s="14">
        <v>51.0</v>
      </c>
      <c r="H2043" s="23" t="s">
        <v>26</v>
      </c>
      <c r="I2043" s="24" t="s">
        <v>27</v>
      </c>
      <c r="J2043" s="19" t="s">
        <v>7467</v>
      </c>
      <c r="K2043" s="14">
        <v>25.0</v>
      </c>
      <c r="L2043" s="7"/>
      <c r="M2043" s="7"/>
      <c r="N2043" s="7"/>
      <c r="O2043" s="7"/>
      <c r="P2043" s="7"/>
      <c r="Q2043" s="7"/>
      <c r="R2043" s="7"/>
      <c r="S2043" s="7"/>
      <c r="T2043" s="7"/>
      <c r="U2043" s="7"/>
      <c r="V2043" s="7"/>
      <c r="W2043" s="7"/>
      <c r="X2043" s="7"/>
      <c r="Y2043" s="7"/>
    </row>
    <row r="2044">
      <c r="A2044" s="14" t="s">
        <v>7472</v>
      </c>
      <c r="B2044" s="17" t="s">
        <v>7464</v>
      </c>
      <c r="C2044" s="17" t="s">
        <v>7473</v>
      </c>
      <c r="D2044" s="19" t="s">
        <v>7474</v>
      </c>
      <c r="E2044" s="20" t="s">
        <v>210</v>
      </c>
      <c r="F2044" s="21">
        <v>25328.0</v>
      </c>
      <c r="G2044" s="14">
        <v>57.0</v>
      </c>
      <c r="H2044" s="23" t="s">
        <v>26</v>
      </c>
      <c r="I2044" s="24" t="s">
        <v>33</v>
      </c>
      <c r="J2044" s="19" t="s">
        <v>7467</v>
      </c>
      <c r="K2044" s="14">
        <v>25.0</v>
      </c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</row>
    <row r="2045">
      <c r="A2045" s="14" t="s">
        <v>7475</v>
      </c>
      <c r="B2045" s="17" t="s">
        <v>7476</v>
      </c>
      <c r="C2045" s="17" t="s">
        <v>7477</v>
      </c>
      <c r="D2045" s="19" t="s">
        <v>1160</v>
      </c>
      <c r="E2045" s="20" t="s">
        <v>104</v>
      </c>
      <c r="F2045" s="21">
        <v>37453.0</v>
      </c>
      <c r="G2045" s="14">
        <v>24.0</v>
      </c>
      <c r="H2045" s="23" t="s">
        <v>100</v>
      </c>
      <c r="I2045" s="24" t="s">
        <v>33</v>
      </c>
      <c r="J2045" s="19" t="s">
        <v>328</v>
      </c>
      <c r="K2045" s="14">
        <v>25.0</v>
      </c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/>
    </row>
    <row r="2046">
      <c r="A2046" s="14" t="s">
        <v>7478</v>
      </c>
      <c r="B2046" s="17" t="s">
        <v>7476</v>
      </c>
      <c r="C2046" s="17" t="s">
        <v>7479</v>
      </c>
      <c r="D2046" s="19" t="s">
        <v>3091</v>
      </c>
      <c r="E2046" s="20" t="s">
        <v>1049</v>
      </c>
      <c r="F2046" s="21">
        <v>25989.0</v>
      </c>
      <c r="G2046" s="14">
        <v>55.0</v>
      </c>
      <c r="H2046" s="23" t="s">
        <v>26</v>
      </c>
      <c r="I2046" s="24" t="s">
        <v>27</v>
      </c>
      <c r="J2046" s="19" t="s">
        <v>328</v>
      </c>
      <c r="K2046" s="14">
        <v>25.0</v>
      </c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</row>
    <row r="2047">
      <c r="A2047" s="14" t="s">
        <v>7480</v>
      </c>
      <c r="B2047" s="17" t="s">
        <v>7481</v>
      </c>
      <c r="C2047" s="17" t="s">
        <v>7482</v>
      </c>
      <c r="D2047" s="19" t="s">
        <v>7483</v>
      </c>
      <c r="E2047" s="20" t="s">
        <v>4716</v>
      </c>
      <c r="F2047" s="27">
        <v>22609.0</v>
      </c>
      <c r="G2047" s="14">
        <v>64.0</v>
      </c>
      <c r="H2047" s="23" t="s">
        <v>27</v>
      </c>
      <c r="I2047" s="24" t="s">
        <v>27</v>
      </c>
      <c r="J2047" s="19" t="s">
        <v>68</v>
      </c>
      <c r="K2047" s="14">
        <v>30.0</v>
      </c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/>
    </row>
    <row r="2048">
      <c r="A2048" s="14" t="s">
        <v>7484</v>
      </c>
      <c r="B2048" s="17" t="s">
        <v>7481</v>
      </c>
      <c r="C2048" s="17" t="s">
        <v>7485</v>
      </c>
      <c r="D2048" s="19" t="s">
        <v>7486</v>
      </c>
      <c r="E2048" s="20" t="s">
        <v>4716</v>
      </c>
      <c r="F2048" s="27">
        <v>25528.0</v>
      </c>
      <c r="G2048" s="14">
        <v>56.0</v>
      </c>
      <c r="H2048" s="23" t="s">
        <v>100</v>
      </c>
      <c r="I2048" s="24" t="s">
        <v>27</v>
      </c>
      <c r="J2048" s="19" t="s">
        <v>68</v>
      </c>
      <c r="K2048" s="14">
        <v>30.0</v>
      </c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</row>
    <row r="2049">
      <c r="A2049" s="14" t="s">
        <v>7487</v>
      </c>
      <c r="B2049" s="17" t="s">
        <v>7481</v>
      </c>
      <c r="C2049" s="17" t="s">
        <v>7488</v>
      </c>
      <c r="D2049" s="19" t="s">
        <v>7489</v>
      </c>
      <c r="E2049" s="20" t="s">
        <v>104</v>
      </c>
      <c r="F2049" s="21">
        <v>36918.0</v>
      </c>
      <c r="G2049" s="14">
        <v>25.0</v>
      </c>
      <c r="H2049" s="23" t="s">
        <v>100</v>
      </c>
      <c r="I2049" s="24" t="s">
        <v>27</v>
      </c>
      <c r="J2049" s="19" t="s">
        <v>68</v>
      </c>
      <c r="K2049" s="14">
        <v>30.0</v>
      </c>
      <c r="L2049" s="7"/>
      <c r="M2049" s="7"/>
      <c r="N2049" s="7"/>
      <c r="O2049" s="7"/>
      <c r="P2049" s="7"/>
      <c r="Q2049" s="7"/>
      <c r="R2049" s="7"/>
      <c r="S2049" s="7"/>
      <c r="T2049" s="7"/>
      <c r="U2049" s="7"/>
      <c r="V2049" s="7"/>
      <c r="W2049" s="7"/>
      <c r="X2049" s="7"/>
      <c r="Y2049" s="7"/>
    </row>
    <row r="2050">
      <c r="A2050" s="14" t="s">
        <v>7490</v>
      </c>
      <c r="B2050" s="17" t="s">
        <v>7491</v>
      </c>
      <c r="C2050" s="17" t="s">
        <v>7492</v>
      </c>
      <c r="D2050" s="19" t="s">
        <v>7493</v>
      </c>
      <c r="E2050" s="20" t="s">
        <v>3587</v>
      </c>
      <c r="F2050" s="21">
        <v>22288.0</v>
      </c>
      <c r="G2050" s="14">
        <v>65.0</v>
      </c>
      <c r="H2050" s="23" t="s">
        <v>27</v>
      </c>
      <c r="I2050" s="24" t="s">
        <v>27</v>
      </c>
      <c r="J2050" s="19" t="s">
        <v>282</v>
      </c>
      <c r="K2050" s="14">
        <v>14.0</v>
      </c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</row>
    <row r="2051">
      <c r="A2051" s="14" t="s">
        <v>7494</v>
      </c>
      <c r="B2051" s="17" t="s">
        <v>7495</v>
      </c>
      <c r="C2051" s="17" t="s">
        <v>7496</v>
      </c>
      <c r="D2051" s="19" t="s">
        <v>80</v>
      </c>
      <c r="E2051" s="20" t="s">
        <v>650</v>
      </c>
      <c r="F2051" s="21">
        <v>20653.0</v>
      </c>
      <c r="G2051" s="14">
        <v>70.0</v>
      </c>
      <c r="H2051" s="23" t="s">
        <v>27</v>
      </c>
      <c r="I2051" s="24" t="s">
        <v>27</v>
      </c>
      <c r="J2051" s="19" t="s">
        <v>2019</v>
      </c>
      <c r="K2051" s="14">
        <v>4.0</v>
      </c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/>
    </row>
    <row r="2052">
      <c r="A2052" s="14" t="s">
        <v>7497</v>
      </c>
      <c r="B2052" s="17" t="s">
        <v>7498</v>
      </c>
      <c r="C2052" s="17" t="s">
        <v>7499</v>
      </c>
      <c r="D2052" s="19" t="s">
        <v>7500</v>
      </c>
      <c r="E2052" s="20" t="s">
        <v>650</v>
      </c>
      <c r="F2052" s="21">
        <v>21367.0</v>
      </c>
      <c r="G2052" s="14">
        <v>68.0</v>
      </c>
      <c r="H2052" s="23" t="s">
        <v>27</v>
      </c>
      <c r="I2052" s="24" t="s">
        <v>27</v>
      </c>
      <c r="J2052" s="19" t="s">
        <v>53</v>
      </c>
      <c r="K2052" s="14">
        <v>3.0</v>
      </c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</row>
    <row r="2053">
      <c r="A2053" s="14" t="s">
        <v>7501</v>
      </c>
      <c r="B2053" s="17" t="s">
        <v>7502</v>
      </c>
      <c r="C2053" s="17" t="s">
        <v>7503</v>
      </c>
      <c r="D2053" s="19" t="s">
        <v>7504</v>
      </c>
      <c r="E2053" s="20" t="s">
        <v>1095</v>
      </c>
      <c r="F2053" s="21">
        <v>39266.0</v>
      </c>
      <c r="G2053" s="14">
        <v>19.0</v>
      </c>
      <c r="H2053" s="23" t="s">
        <v>100</v>
      </c>
      <c r="I2053" s="24" t="s">
        <v>33</v>
      </c>
      <c r="J2053" s="19" t="s">
        <v>7505</v>
      </c>
      <c r="K2053" s="14">
        <v>3.0</v>
      </c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</row>
    <row r="2054">
      <c r="A2054" s="14" t="s">
        <v>7506</v>
      </c>
      <c r="B2054" s="17" t="s">
        <v>7502</v>
      </c>
      <c r="C2054" s="17" t="s">
        <v>7507</v>
      </c>
      <c r="D2054" s="19" t="s">
        <v>7508</v>
      </c>
      <c r="E2054" s="20" t="s">
        <v>53</v>
      </c>
      <c r="F2054" s="21">
        <v>28859.0</v>
      </c>
      <c r="G2054" s="14">
        <v>47.0</v>
      </c>
      <c r="H2054" s="23" t="s">
        <v>26</v>
      </c>
      <c r="I2054" s="24" t="s">
        <v>27</v>
      </c>
      <c r="J2054" s="19" t="s">
        <v>7505</v>
      </c>
      <c r="K2054" s="14">
        <v>3.0</v>
      </c>
      <c r="L2054" s="7"/>
      <c r="M2054" s="7"/>
      <c r="N2054" s="7"/>
      <c r="O2054" s="7"/>
      <c r="P2054" s="7"/>
      <c r="Q2054" s="7"/>
      <c r="R2054" s="7"/>
      <c r="S2054" s="7"/>
      <c r="T2054" s="7"/>
      <c r="U2054" s="7"/>
      <c r="V2054" s="7"/>
      <c r="W2054" s="7"/>
      <c r="X2054" s="7"/>
      <c r="Y2054" s="7"/>
    </row>
    <row r="2055">
      <c r="A2055" s="14" t="s">
        <v>7509</v>
      </c>
      <c r="B2055" s="17" t="s">
        <v>7510</v>
      </c>
      <c r="C2055" s="17" t="s">
        <v>7511</v>
      </c>
      <c r="D2055" s="19" t="s">
        <v>7512</v>
      </c>
      <c r="E2055" s="20" t="s">
        <v>7513</v>
      </c>
      <c r="F2055" s="21">
        <v>37369.0</v>
      </c>
      <c r="G2055" s="14">
        <v>24.0</v>
      </c>
      <c r="H2055" s="23" t="s">
        <v>100</v>
      </c>
      <c r="I2055" s="24" t="s">
        <v>33</v>
      </c>
      <c r="J2055" s="19" t="s">
        <v>146</v>
      </c>
      <c r="K2055" s="14">
        <v>10.0</v>
      </c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</row>
    <row r="2056">
      <c r="A2056" s="14" t="s">
        <v>7514</v>
      </c>
      <c r="B2056" s="17" t="s">
        <v>7510</v>
      </c>
      <c r="C2056" s="17" t="s">
        <v>7515</v>
      </c>
      <c r="D2056" s="19" t="s">
        <v>7516</v>
      </c>
      <c r="E2056" s="20" t="s">
        <v>7517</v>
      </c>
      <c r="F2056" s="21">
        <v>24740.0</v>
      </c>
      <c r="G2056" s="14">
        <v>58.0</v>
      </c>
      <c r="H2056" s="23" t="s">
        <v>26</v>
      </c>
      <c r="I2056" s="24" t="s">
        <v>27</v>
      </c>
      <c r="J2056" s="19" t="s">
        <v>146</v>
      </c>
      <c r="K2056" s="14">
        <v>10.0</v>
      </c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</row>
    <row r="2057">
      <c r="A2057" s="14" t="s">
        <v>7518</v>
      </c>
      <c r="B2057" s="17" t="s">
        <v>7519</v>
      </c>
      <c r="C2057" s="17" t="s">
        <v>7520</v>
      </c>
      <c r="D2057" s="19" t="s">
        <v>7521</v>
      </c>
      <c r="E2057" s="20" t="s">
        <v>104</v>
      </c>
      <c r="F2057" s="21">
        <v>29257.0</v>
      </c>
      <c r="G2057" s="14">
        <v>46.0</v>
      </c>
      <c r="H2057" s="23" t="s">
        <v>26</v>
      </c>
      <c r="I2057" s="24" t="s">
        <v>33</v>
      </c>
      <c r="J2057" s="19" t="s">
        <v>68</v>
      </c>
      <c r="K2057" s="14">
        <v>28.0</v>
      </c>
      <c r="L2057" s="7"/>
      <c r="M2057" s="7"/>
      <c r="N2057" s="7"/>
      <c r="O2057" s="7"/>
      <c r="P2057" s="7"/>
      <c r="Q2057" s="7"/>
      <c r="R2057" s="7"/>
      <c r="S2057" s="7"/>
      <c r="T2057" s="7"/>
      <c r="U2057" s="7"/>
      <c r="V2057" s="7"/>
      <c r="W2057" s="7"/>
      <c r="X2057" s="7"/>
      <c r="Y2057" s="7"/>
    </row>
    <row r="2058">
      <c r="A2058" s="14" t="s">
        <v>7522</v>
      </c>
      <c r="B2058" s="17" t="s">
        <v>7519</v>
      </c>
      <c r="C2058" s="17" t="s">
        <v>7523</v>
      </c>
      <c r="D2058" s="19" t="s">
        <v>7524</v>
      </c>
      <c r="E2058" s="20" t="s">
        <v>150</v>
      </c>
      <c r="F2058" s="21">
        <v>32146.0</v>
      </c>
      <c r="G2058" s="14">
        <v>38.0</v>
      </c>
      <c r="H2058" s="23" t="s">
        <v>26</v>
      </c>
      <c r="I2058" s="24" t="s">
        <v>27</v>
      </c>
      <c r="J2058" s="19" t="s">
        <v>68</v>
      </c>
      <c r="K2058" s="14">
        <v>28.0</v>
      </c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</row>
    <row r="2059">
      <c r="A2059" s="14" t="s">
        <v>7525</v>
      </c>
      <c r="B2059" s="17" t="s">
        <v>7526</v>
      </c>
      <c r="C2059" s="17" t="s">
        <v>7527</v>
      </c>
      <c r="D2059" s="19" t="s">
        <v>7528</v>
      </c>
      <c r="E2059" s="20" t="s">
        <v>104</v>
      </c>
      <c r="F2059" s="21">
        <v>29347.0</v>
      </c>
      <c r="G2059" s="14">
        <v>46.0</v>
      </c>
      <c r="H2059" s="23" t="s">
        <v>27</v>
      </c>
      <c r="I2059" s="24" t="s">
        <v>27</v>
      </c>
      <c r="J2059" s="19" t="s">
        <v>53</v>
      </c>
      <c r="K2059" s="14">
        <v>16.0</v>
      </c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</row>
    <row r="2060">
      <c r="A2060" s="14" t="s">
        <v>7529</v>
      </c>
      <c r="B2060" s="17" t="s">
        <v>7526</v>
      </c>
      <c r="C2060" s="17" t="s">
        <v>7530</v>
      </c>
      <c r="D2060" s="19" t="s">
        <v>7531</v>
      </c>
      <c r="E2060" s="20" t="s">
        <v>53</v>
      </c>
      <c r="F2060" s="21">
        <v>37299.0</v>
      </c>
      <c r="G2060" s="14">
        <v>24.0</v>
      </c>
      <c r="H2060" s="23" t="s">
        <v>100</v>
      </c>
      <c r="I2060" s="24" t="s">
        <v>33</v>
      </c>
      <c r="J2060" s="19" t="s">
        <v>53</v>
      </c>
      <c r="K2060" s="14">
        <v>16.0</v>
      </c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</row>
    <row r="2061">
      <c r="A2061" s="14" t="s">
        <v>7532</v>
      </c>
      <c r="B2061" s="17" t="s">
        <v>7533</v>
      </c>
      <c r="C2061" s="17" t="s">
        <v>7534</v>
      </c>
      <c r="D2061" s="19" t="s">
        <v>7535</v>
      </c>
      <c r="E2061" s="20" t="s">
        <v>104</v>
      </c>
      <c r="F2061" s="21">
        <v>35935.0</v>
      </c>
      <c r="G2061" s="14">
        <v>28.0</v>
      </c>
      <c r="H2061" s="23" t="s">
        <v>26</v>
      </c>
      <c r="I2061" s="24" t="s">
        <v>33</v>
      </c>
      <c r="J2061" s="19" t="s">
        <v>68</v>
      </c>
      <c r="K2061" s="14">
        <v>34.0</v>
      </c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</row>
    <row r="2062">
      <c r="A2062" s="14" t="s">
        <v>7536</v>
      </c>
      <c r="B2062" s="17" t="s">
        <v>7533</v>
      </c>
      <c r="C2062" s="17" t="s">
        <v>7537</v>
      </c>
      <c r="D2062" s="19" t="s">
        <v>7538</v>
      </c>
      <c r="E2062" s="20" t="s">
        <v>104</v>
      </c>
      <c r="F2062" s="27">
        <v>37194.0</v>
      </c>
      <c r="G2062" s="14">
        <v>24.0</v>
      </c>
      <c r="H2062" s="23" t="s">
        <v>26</v>
      </c>
      <c r="I2062" s="24" t="s">
        <v>27</v>
      </c>
      <c r="J2062" s="19" t="s">
        <v>68</v>
      </c>
      <c r="K2062" s="14">
        <v>34.0</v>
      </c>
      <c r="L2062" s="7"/>
      <c r="M2062" s="7"/>
      <c r="N2062" s="7"/>
      <c r="O2062" s="7"/>
      <c r="P2062" s="7"/>
      <c r="Q2062" s="7"/>
      <c r="R2062" s="7"/>
      <c r="S2062" s="7"/>
      <c r="T2062" s="7"/>
      <c r="U2062" s="7"/>
      <c r="V2062" s="7"/>
      <c r="W2062" s="7"/>
      <c r="X2062" s="7"/>
      <c r="Y2062" s="7"/>
    </row>
    <row r="2063">
      <c r="A2063" s="14" t="s">
        <v>7539</v>
      </c>
      <c r="B2063" s="17" t="s">
        <v>7540</v>
      </c>
      <c r="C2063" s="17" t="s">
        <v>7541</v>
      </c>
      <c r="D2063" s="19" t="s">
        <v>7542</v>
      </c>
      <c r="E2063" s="20" t="s">
        <v>231</v>
      </c>
      <c r="F2063" s="21">
        <v>34980.0</v>
      </c>
      <c r="G2063" s="14">
        <v>30.0</v>
      </c>
      <c r="H2063" s="23" t="s">
        <v>26</v>
      </c>
      <c r="I2063" s="24" t="s">
        <v>27</v>
      </c>
      <c r="J2063" s="19" t="s">
        <v>53</v>
      </c>
      <c r="K2063" s="14">
        <v>19.0</v>
      </c>
      <c r="L2063" s="7"/>
      <c r="M2063" s="7"/>
      <c r="N2063" s="7"/>
      <c r="O2063" s="7"/>
      <c r="P2063" s="7"/>
      <c r="Q2063" s="7"/>
      <c r="R2063" s="7"/>
      <c r="S2063" s="7"/>
      <c r="T2063" s="7"/>
      <c r="U2063" s="7"/>
      <c r="V2063" s="7"/>
      <c r="W2063" s="7"/>
      <c r="X2063" s="7"/>
      <c r="Y2063" s="7"/>
    </row>
    <row r="2064">
      <c r="A2064" s="14" t="s">
        <v>7543</v>
      </c>
      <c r="B2064" s="17" t="s">
        <v>7540</v>
      </c>
      <c r="C2064" s="17" t="s">
        <v>7544</v>
      </c>
      <c r="D2064" s="19" t="s">
        <v>7545</v>
      </c>
      <c r="E2064" s="20" t="s">
        <v>104</v>
      </c>
      <c r="F2064" s="21">
        <v>34761.0</v>
      </c>
      <c r="G2064" s="14">
        <v>31.0</v>
      </c>
      <c r="H2064" s="23" t="s">
        <v>26</v>
      </c>
      <c r="I2064" s="24" t="s">
        <v>33</v>
      </c>
      <c r="J2064" s="19" t="s">
        <v>53</v>
      </c>
      <c r="K2064" s="14">
        <v>19.0</v>
      </c>
      <c r="L2064" s="7"/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</row>
    <row r="2065">
      <c r="A2065" s="14" t="s">
        <v>7546</v>
      </c>
      <c r="B2065" s="17" t="s">
        <v>7547</v>
      </c>
      <c r="C2065" s="17" t="s">
        <v>7548</v>
      </c>
      <c r="D2065" s="19" t="s">
        <v>7549</v>
      </c>
      <c r="E2065" s="20" t="s">
        <v>1413</v>
      </c>
      <c r="F2065" s="21">
        <v>22188.0</v>
      </c>
      <c r="G2065" s="14">
        <v>65.0</v>
      </c>
      <c r="H2065" s="23" t="s">
        <v>26</v>
      </c>
      <c r="I2065" s="24" t="s">
        <v>27</v>
      </c>
      <c r="J2065" s="19" t="s">
        <v>146</v>
      </c>
      <c r="K2065" s="14">
        <v>8.0</v>
      </c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7"/>
    </row>
    <row r="2066">
      <c r="A2066" s="14" t="s">
        <v>7550</v>
      </c>
      <c r="B2066" s="17" t="s">
        <v>7547</v>
      </c>
      <c r="C2066" s="17" t="s">
        <v>7551</v>
      </c>
      <c r="D2066" s="19" t="s">
        <v>7552</v>
      </c>
      <c r="E2066" s="20" t="s">
        <v>1413</v>
      </c>
      <c r="F2066" s="21">
        <v>19757.0</v>
      </c>
      <c r="G2066" s="14">
        <v>72.0</v>
      </c>
      <c r="H2066" s="23" t="s">
        <v>26</v>
      </c>
      <c r="I2066" s="24" t="s">
        <v>33</v>
      </c>
      <c r="J2066" s="19" t="s">
        <v>146</v>
      </c>
      <c r="K2066" s="14">
        <v>8.0</v>
      </c>
      <c r="L2066" s="7"/>
      <c r="M2066" s="7"/>
      <c r="N2066" s="7"/>
      <c r="O2066" s="7"/>
      <c r="P2066" s="7"/>
      <c r="Q2066" s="7"/>
      <c r="R2066" s="7"/>
      <c r="S2066" s="7"/>
      <c r="T2066" s="7"/>
      <c r="U2066" s="7"/>
      <c r="V2066" s="7"/>
      <c r="W2066" s="7"/>
      <c r="X2066" s="7"/>
      <c r="Y2066" s="7"/>
    </row>
    <row r="2067">
      <c r="A2067" s="14" t="s">
        <v>7553</v>
      </c>
      <c r="B2067" s="17" t="s">
        <v>7554</v>
      </c>
      <c r="C2067" s="17" t="s">
        <v>7555</v>
      </c>
      <c r="D2067" s="19" t="s">
        <v>7556</v>
      </c>
      <c r="E2067" s="20" t="s">
        <v>2079</v>
      </c>
      <c r="F2067" s="21">
        <v>25020.0</v>
      </c>
      <c r="G2067" s="14">
        <v>58.0</v>
      </c>
      <c r="H2067" s="23" t="s">
        <v>27</v>
      </c>
      <c r="I2067" s="24" t="s">
        <v>27</v>
      </c>
      <c r="J2067" s="19" t="s">
        <v>7557</v>
      </c>
      <c r="K2067" s="14">
        <v>1.0</v>
      </c>
      <c r="L2067" s="7"/>
      <c r="M2067" s="7"/>
      <c r="N2067" s="7"/>
      <c r="O2067" s="7"/>
      <c r="P2067" s="7"/>
      <c r="Q2067" s="7"/>
      <c r="R2067" s="7"/>
      <c r="S2067" s="7"/>
      <c r="T2067" s="7"/>
      <c r="U2067" s="7"/>
      <c r="V2067" s="7"/>
      <c r="W2067" s="7"/>
      <c r="X2067" s="7"/>
      <c r="Y2067" s="7"/>
    </row>
    <row r="2068">
      <c r="A2068" s="14" t="s">
        <v>7558</v>
      </c>
      <c r="B2068" s="17" t="s">
        <v>7559</v>
      </c>
      <c r="C2068" s="17" t="s">
        <v>7560</v>
      </c>
      <c r="D2068" s="19" t="s">
        <v>7561</v>
      </c>
      <c r="E2068" s="20" t="s">
        <v>104</v>
      </c>
      <c r="F2068" s="21">
        <v>31527.0</v>
      </c>
      <c r="G2068" s="14">
        <v>40.0</v>
      </c>
      <c r="H2068" s="23" t="s">
        <v>26</v>
      </c>
      <c r="I2068" s="24" t="s">
        <v>33</v>
      </c>
      <c r="J2068" s="19" t="s">
        <v>68</v>
      </c>
      <c r="K2068" s="14">
        <v>29.0</v>
      </c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</row>
    <row r="2069">
      <c r="A2069" s="14" t="s">
        <v>7562</v>
      </c>
      <c r="B2069" s="17" t="s">
        <v>7559</v>
      </c>
      <c r="C2069" s="17" t="s">
        <v>7563</v>
      </c>
      <c r="D2069" s="19" t="s">
        <v>7564</v>
      </c>
      <c r="E2069" s="20" t="s">
        <v>7565</v>
      </c>
      <c r="F2069" s="21">
        <v>34898.0</v>
      </c>
      <c r="G2069" s="14">
        <v>31.0</v>
      </c>
      <c r="H2069" s="23" t="s">
        <v>26</v>
      </c>
      <c r="I2069" s="24" t="s">
        <v>27</v>
      </c>
      <c r="J2069" s="19" t="s">
        <v>68</v>
      </c>
      <c r="K2069" s="14">
        <v>29.0</v>
      </c>
      <c r="L2069" s="7"/>
      <c r="M2069" s="7"/>
      <c r="N2069" s="7"/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7"/>
    </row>
    <row r="2070">
      <c r="A2070" s="14" t="s">
        <v>7566</v>
      </c>
      <c r="B2070" s="17" t="s">
        <v>7567</v>
      </c>
      <c r="C2070" s="17" t="s">
        <v>7568</v>
      </c>
      <c r="D2070" s="19" t="s">
        <v>7569</v>
      </c>
      <c r="E2070" s="20" t="s">
        <v>2680</v>
      </c>
      <c r="F2070" s="21">
        <v>29561.0</v>
      </c>
      <c r="G2070" s="14">
        <v>45.0</v>
      </c>
      <c r="H2070" s="23" t="s">
        <v>26</v>
      </c>
      <c r="I2070" s="24" t="s">
        <v>33</v>
      </c>
      <c r="J2070" s="19" t="s">
        <v>1437</v>
      </c>
      <c r="K2070" s="14">
        <v>28.0</v>
      </c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7"/>
    </row>
    <row r="2071">
      <c r="A2071" s="14" t="s">
        <v>7570</v>
      </c>
      <c r="B2071" s="17" t="s">
        <v>7567</v>
      </c>
      <c r="C2071" s="17" t="s">
        <v>7571</v>
      </c>
      <c r="D2071" s="19" t="s">
        <v>7572</v>
      </c>
      <c r="E2071" s="20" t="s">
        <v>7573</v>
      </c>
      <c r="F2071" s="21">
        <v>39346.0</v>
      </c>
      <c r="G2071" s="14">
        <v>18.0</v>
      </c>
      <c r="H2071" s="23" t="s">
        <v>100</v>
      </c>
      <c r="I2071" s="24" t="s">
        <v>33</v>
      </c>
      <c r="J2071" s="19" t="s">
        <v>1437</v>
      </c>
      <c r="K2071" s="14">
        <v>28.0</v>
      </c>
      <c r="L2071" s="7"/>
      <c r="M2071" s="7"/>
      <c r="N2071" s="7"/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7"/>
    </row>
    <row r="2072">
      <c r="A2072" s="14" t="s">
        <v>7574</v>
      </c>
      <c r="B2072" s="17" t="s">
        <v>7567</v>
      </c>
      <c r="C2072" s="17" t="s">
        <v>7575</v>
      </c>
      <c r="D2072" s="19" t="s">
        <v>7576</v>
      </c>
      <c r="E2072" s="20" t="s">
        <v>53</v>
      </c>
      <c r="F2072" s="21">
        <v>30541.0</v>
      </c>
      <c r="G2072" s="14">
        <v>43.0</v>
      </c>
      <c r="H2072" s="23" t="s">
        <v>26</v>
      </c>
      <c r="I2072" s="24" t="s">
        <v>27</v>
      </c>
      <c r="J2072" s="19" t="s">
        <v>68</v>
      </c>
      <c r="K2072" s="14">
        <v>28.0</v>
      </c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</row>
    <row r="2073">
      <c r="A2073" s="14" t="s">
        <v>7577</v>
      </c>
      <c r="B2073" s="17" t="s">
        <v>7578</v>
      </c>
      <c r="C2073" s="17" t="s">
        <v>7579</v>
      </c>
      <c r="D2073" s="19" t="s">
        <v>7580</v>
      </c>
      <c r="E2073" s="20" t="s">
        <v>104</v>
      </c>
      <c r="F2073" s="21">
        <v>38493.0</v>
      </c>
      <c r="G2073" s="14">
        <v>21.0</v>
      </c>
      <c r="H2073" s="23" t="s">
        <v>100</v>
      </c>
      <c r="I2073" s="24" t="s">
        <v>33</v>
      </c>
      <c r="J2073" s="19" t="s">
        <v>53</v>
      </c>
      <c r="K2073" s="14">
        <v>20.0</v>
      </c>
      <c r="L2073" s="7"/>
      <c r="M2073" s="7"/>
      <c r="N2073" s="7"/>
      <c r="O2073" s="7"/>
      <c r="P2073" s="7"/>
      <c r="Q2073" s="7"/>
      <c r="R2073" s="7"/>
      <c r="S2073" s="7"/>
      <c r="T2073" s="7"/>
      <c r="U2073" s="7"/>
      <c r="V2073" s="7"/>
      <c r="W2073" s="7"/>
      <c r="X2073" s="7"/>
      <c r="Y2073" s="7"/>
    </row>
    <row r="2074">
      <c r="A2074" s="14" t="s">
        <v>7581</v>
      </c>
      <c r="B2074" s="17" t="s">
        <v>7578</v>
      </c>
      <c r="C2074" s="17" t="s">
        <v>7582</v>
      </c>
      <c r="D2074" s="19" t="s">
        <v>7583</v>
      </c>
      <c r="E2074" s="20" t="s">
        <v>632</v>
      </c>
      <c r="F2074" s="21">
        <v>26724.0</v>
      </c>
      <c r="G2074" s="14">
        <v>53.0</v>
      </c>
      <c r="H2074" s="23" t="s">
        <v>26</v>
      </c>
      <c r="I2074" s="24" t="s">
        <v>33</v>
      </c>
      <c r="J2074" s="19" t="s">
        <v>53</v>
      </c>
      <c r="K2074" s="14">
        <v>20.0</v>
      </c>
      <c r="L2074" s="7"/>
      <c r="M2074" s="7"/>
      <c r="N2074" s="7"/>
      <c r="O2074" s="7"/>
      <c r="P2074" s="7"/>
      <c r="Q2074" s="7"/>
      <c r="R2074" s="7"/>
      <c r="S2074" s="7"/>
      <c r="T2074" s="7"/>
      <c r="U2074" s="7"/>
      <c r="V2074" s="7"/>
      <c r="W2074" s="7"/>
      <c r="X2074" s="7"/>
      <c r="Y2074" s="7"/>
    </row>
    <row r="2075">
      <c r="A2075" s="14" t="s">
        <v>7584</v>
      </c>
      <c r="B2075" s="17" t="s">
        <v>7578</v>
      </c>
      <c r="C2075" s="17" t="s">
        <v>7585</v>
      </c>
      <c r="D2075" s="19" t="s">
        <v>7586</v>
      </c>
      <c r="E2075" s="20" t="s">
        <v>104</v>
      </c>
      <c r="F2075" s="21">
        <v>28592.0</v>
      </c>
      <c r="G2075" s="14">
        <v>48.0</v>
      </c>
      <c r="H2075" s="23" t="s">
        <v>26</v>
      </c>
      <c r="I2075" s="24" t="s">
        <v>27</v>
      </c>
      <c r="J2075" s="19" t="s">
        <v>53</v>
      </c>
      <c r="K2075" s="14">
        <v>20.0</v>
      </c>
      <c r="L2075" s="7"/>
      <c r="M2075" s="7"/>
      <c r="N2075" s="7"/>
      <c r="O2075" s="7"/>
      <c r="P2075" s="7"/>
      <c r="Q2075" s="7"/>
      <c r="R2075" s="7"/>
      <c r="S2075" s="7"/>
      <c r="T2075" s="7"/>
      <c r="U2075" s="7"/>
      <c r="V2075" s="7"/>
      <c r="W2075" s="7"/>
      <c r="X2075" s="7"/>
      <c r="Y2075" s="7"/>
    </row>
    <row r="2076">
      <c r="A2076" s="14" t="s">
        <v>7587</v>
      </c>
      <c r="B2076" s="17" t="s">
        <v>7578</v>
      </c>
      <c r="C2076" s="17" t="s">
        <v>7588</v>
      </c>
      <c r="D2076" s="19" t="s">
        <v>7589</v>
      </c>
      <c r="E2076" s="20" t="s">
        <v>53</v>
      </c>
      <c r="F2076" s="21">
        <v>35890.0</v>
      </c>
      <c r="G2076" s="14">
        <v>28.0</v>
      </c>
      <c r="H2076" s="23" t="s">
        <v>100</v>
      </c>
      <c r="I2076" s="24" t="s">
        <v>33</v>
      </c>
      <c r="J2076" s="19" t="s">
        <v>53</v>
      </c>
      <c r="K2076" s="14">
        <v>20.0</v>
      </c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</row>
    <row r="2077">
      <c r="A2077" s="14" t="s">
        <v>7590</v>
      </c>
      <c r="B2077" s="17" t="s">
        <v>7591</v>
      </c>
      <c r="C2077" s="17" t="s">
        <v>7592</v>
      </c>
      <c r="D2077" s="19" t="s">
        <v>7593</v>
      </c>
      <c r="E2077" s="20" t="s">
        <v>880</v>
      </c>
      <c r="F2077" s="21">
        <v>23256.0</v>
      </c>
      <c r="G2077" s="14">
        <v>62.0</v>
      </c>
      <c r="H2077" s="23" t="s">
        <v>26</v>
      </c>
      <c r="I2077" s="24" t="s">
        <v>33</v>
      </c>
      <c r="J2077" s="19" t="s">
        <v>146</v>
      </c>
      <c r="K2077" s="14">
        <v>2.0</v>
      </c>
      <c r="L2077" s="7"/>
      <c r="M2077" s="7"/>
      <c r="N2077" s="7"/>
      <c r="O2077" s="7"/>
      <c r="P2077" s="7"/>
      <c r="Q2077" s="7"/>
      <c r="R2077" s="7"/>
      <c r="S2077" s="7"/>
      <c r="T2077" s="7"/>
      <c r="U2077" s="7"/>
      <c r="V2077" s="7"/>
      <c r="W2077" s="7"/>
      <c r="X2077" s="7"/>
      <c r="Y2077" s="7"/>
    </row>
    <row r="2078">
      <c r="A2078" s="14" t="s">
        <v>7594</v>
      </c>
      <c r="B2078" s="17" t="s">
        <v>7591</v>
      </c>
      <c r="C2078" s="17" t="s">
        <v>7595</v>
      </c>
      <c r="D2078" s="19" t="s">
        <v>7596</v>
      </c>
      <c r="E2078" s="20" t="s">
        <v>880</v>
      </c>
      <c r="F2078" s="21">
        <v>25844.0</v>
      </c>
      <c r="G2078" s="14">
        <v>55.0</v>
      </c>
      <c r="H2078" s="23" t="s">
        <v>26</v>
      </c>
      <c r="I2078" s="24" t="s">
        <v>27</v>
      </c>
      <c r="J2078" s="19" t="s">
        <v>146</v>
      </c>
      <c r="K2078" s="14">
        <v>2.0</v>
      </c>
      <c r="L2078" s="7"/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7"/>
    </row>
    <row r="2079">
      <c r="A2079" s="14" t="s">
        <v>7597</v>
      </c>
      <c r="B2079" s="17" t="s">
        <v>7598</v>
      </c>
      <c r="C2079" s="17" t="s">
        <v>7599</v>
      </c>
      <c r="D2079" s="19" t="s">
        <v>7600</v>
      </c>
      <c r="E2079" s="20" t="s">
        <v>104</v>
      </c>
      <c r="F2079" s="21">
        <v>34893.0</v>
      </c>
      <c r="G2079" s="14">
        <v>31.0</v>
      </c>
      <c r="H2079" s="23" t="s">
        <v>26</v>
      </c>
      <c r="I2079" s="24" t="s">
        <v>33</v>
      </c>
      <c r="J2079" s="19" t="s">
        <v>517</v>
      </c>
      <c r="K2079" s="14">
        <v>7.0</v>
      </c>
      <c r="L2079" s="7"/>
      <c r="M2079" s="7"/>
      <c r="N2079" s="7"/>
      <c r="O2079" s="7"/>
      <c r="P2079" s="7"/>
      <c r="Q2079" s="7"/>
      <c r="R2079" s="7"/>
      <c r="S2079" s="7"/>
      <c r="T2079" s="7"/>
      <c r="U2079" s="7"/>
      <c r="V2079" s="7"/>
      <c r="W2079" s="7"/>
      <c r="X2079" s="7"/>
      <c r="Y2079" s="7"/>
    </row>
    <row r="2080">
      <c r="A2080" s="14" t="s">
        <v>7601</v>
      </c>
      <c r="B2080" s="17" t="s">
        <v>7598</v>
      </c>
      <c r="C2080" s="17" t="s">
        <v>7602</v>
      </c>
      <c r="D2080" s="19" t="s">
        <v>7603</v>
      </c>
      <c r="E2080" s="20" t="s">
        <v>274</v>
      </c>
      <c r="F2080" s="21">
        <v>35325.0</v>
      </c>
      <c r="G2080" s="14">
        <v>29.0</v>
      </c>
      <c r="H2080" s="23" t="s">
        <v>26</v>
      </c>
      <c r="I2080" s="24" t="s">
        <v>27</v>
      </c>
      <c r="J2080" s="19" t="s">
        <v>517</v>
      </c>
      <c r="K2080" s="14">
        <v>7.0</v>
      </c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</row>
    <row r="2081">
      <c r="A2081" s="14" t="s">
        <v>7604</v>
      </c>
      <c r="B2081" s="17" t="s">
        <v>7605</v>
      </c>
      <c r="C2081" s="17" t="s">
        <v>7606</v>
      </c>
      <c r="D2081" s="19" t="s">
        <v>7607</v>
      </c>
      <c r="E2081" s="20" t="s">
        <v>187</v>
      </c>
      <c r="F2081" s="27">
        <v>36081.0</v>
      </c>
      <c r="G2081" s="14">
        <v>27.0</v>
      </c>
      <c r="H2081" s="23" t="s">
        <v>26</v>
      </c>
      <c r="I2081" s="24" t="s">
        <v>27</v>
      </c>
      <c r="J2081" s="19" t="s">
        <v>4020</v>
      </c>
      <c r="K2081" s="14">
        <v>27.0</v>
      </c>
      <c r="L2081" s="7"/>
      <c r="M2081" s="7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</row>
    <row r="2082">
      <c r="A2082" s="14" t="s">
        <v>7608</v>
      </c>
      <c r="B2082" s="17" t="s">
        <v>7605</v>
      </c>
      <c r="C2082" s="17" t="s">
        <v>7609</v>
      </c>
      <c r="D2082" s="19" t="s">
        <v>7610</v>
      </c>
      <c r="E2082" s="20" t="s">
        <v>104</v>
      </c>
      <c r="F2082" s="21">
        <v>33770.0</v>
      </c>
      <c r="G2082" s="14">
        <v>34.0</v>
      </c>
      <c r="H2082" s="23" t="s">
        <v>26</v>
      </c>
      <c r="I2082" s="24" t="s">
        <v>33</v>
      </c>
      <c r="J2082" s="19" t="s">
        <v>4020</v>
      </c>
      <c r="K2082" s="14">
        <v>27.0</v>
      </c>
      <c r="L2082" s="7"/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7"/>
    </row>
    <row r="2083">
      <c r="A2083" s="14" t="s">
        <v>7611</v>
      </c>
      <c r="B2083" s="17" t="s">
        <v>7612</v>
      </c>
      <c r="C2083" s="17" t="s">
        <v>7613</v>
      </c>
      <c r="D2083" s="19" t="s">
        <v>7614</v>
      </c>
      <c r="E2083" s="20" t="s">
        <v>650</v>
      </c>
      <c r="F2083" s="21">
        <v>19176.0</v>
      </c>
      <c r="G2083" s="14">
        <v>74.0</v>
      </c>
      <c r="H2083" s="23" t="s">
        <v>27</v>
      </c>
      <c r="I2083" s="24" t="s">
        <v>27</v>
      </c>
      <c r="J2083" s="19" t="s">
        <v>4020</v>
      </c>
      <c r="K2083" s="14">
        <v>27.0</v>
      </c>
      <c r="L2083" s="7"/>
      <c r="M2083" s="7"/>
      <c r="N2083" s="7"/>
      <c r="O2083" s="7"/>
      <c r="P2083" s="7"/>
      <c r="Q2083" s="7"/>
      <c r="R2083" s="7"/>
      <c r="S2083" s="7"/>
      <c r="T2083" s="7"/>
      <c r="U2083" s="7"/>
      <c r="V2083" s="7"/>
      <c r="W2083" s="7"/>
      <c r="X2083" s="7"/>
      <c r="Y2083" s="7"/>
    </row>
    <row r="2084">
      <c r="A2084" s="14" t="s">
        <v>7615</v>
      </c>
      <c r="B2084" s="17" t="s">
        <v>7616</v>
      </c>
      <c r="C2084" s="17" t="s">
        <v>7617</v>
      </c>
      <c r="D2084" s="19" t="s">
        <v>7618</v>
      </c>
      <c r="E2084" s="20" t="s">
        <v>3357</v>
      </c>
      <c r="F2084" s="21">
        <v>28349.0</v>
      </c>
      <c r="G2084" s="14">
        <v>49.0</v>
      </c>
      <c r="H2084" s="23" t="s">
        <v>26</v>
      </c>
      <c r="I2084" s="24" t="s">
        <v>27</v>
      </c>
      <c r="J2084" s="19" t="s">
        <v>328</v>
      </c>
      <c r="K2084" s="14">
        <v>27.0</v>
      </c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</row>
    <row r="2085">
      <c r="A2085" s="14" t="s">
        <v>7619</v>
      </c>
      <c r="B2085" s="17" t="s">
        <v>7616</v>
      </c>
      <c r="C2085" s="17" t="s">
        <v>7620</v>
      </c>
      <c r="D2085" s="19" t="s">
        <v>7621</v>
      </c>
      <c r="E2085" s="20" t="s">
        <v>337</v>
      </c>
      <c r="F2085" s="21">
        <v>38134.0</v>
      </c>
      <c r="G2085" s="14">
        <v>22.0</v>
      </c>
      <c r="H2085" s="23" t="s">
        <v>100</v>
      </c>
      <c r="I2085" s="24" t="s">
        <v>27</v>
      </c>
      <c r="J2085" s="19" t="s">
        <v>328</v>
      </c>
      <c r="K2085" s="14">
        <v>27.0</v>
      </c>
      <c r="L2085" s="7"/>
      <c r="M2085" s="7"/>
      <c r="N2085" s="7"/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7"/>
    </row>
    <row r="2086">
      <c r="A2086" s="14" t="s">
        <v>7622</v>
      </c>
      <c r="B2086" s="17" t="s">
        <v>7616</v>
      </c>
      <c r="C2086" s="17" t="s">
        <v>7623</v>
      </c>
      <c r="D2086" s="19" t="s">
        <v>2667</v>
      </c>
      <c r="E2086" s="20" t="s">
        <v>1291</v>
      </c>
      <c r="F2086" s="21">
        <v>27529.0</v>
      </c>
      <c r="G2086" s="14">
        <v>51.0</v>
      </c>
      <c r="H2086" s="23" t="s">
        <v>26</v>
      </c>
      <c r="I2086" s="24" t="s">
        <v>33</v>
      </c>
      <c r="J2086" s="19" t="s">
        <v>53</v>
      </c>
      <c r="K2086" s="14">
        <v>27.0</v>
      </c>
      <c r="L2086" s="7"/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7"/>
    </row>
    <row r="2087">
      <c r="A2087" s="14" t="s">
        <v>7624</v>
      </c>
      <c r="B2087" s="17" t="s">
        <v>7625</v>
      </c>
      <c r="C2087" s="17" t="s">
        <v>7626</v>
      </c>
      <c r="D2087" s="19" t="s">
        <v>7627</v>
      </c>
      <c r="E2087" s="20" t="s">
        <v>632</v>
      </c>
      <c r="F2087" s="21">
        <v>16074.0</v>
      </c>
      <c r="G2087" s="14">
        <v>82.0</v>
      </c>
      <c r="H2087" s="23" t="s">
        <v>26</v>
      </c>
      <c r="I2087" s="24" t="s">
        <v>33</v>
      </c>
      <c r="J2087" s="19" t="s">
        <v>328</v>
      </c>
      <c r="K2087" s="14">
        <v>21.0</v>
      </c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7"/>
    </row>
    <row r="2088">
      <c r="A2088" s="14" t="s">
        <v>7628</v>
      </c>
      <c r="B2088" s="17" t="s">
        <v>7625</v>
      </c>
      <c r="C2088" s="17" t="s">
        <v>7629</v>
      </c>
      <c r="D2088" s="19" t="s">
        <v>7630</v>
      </c>
      <c r="E2088" s="20" t="s">
        <v>632</v>
      </c>
      <c r="F2088" s="21">
        <v>20187.0</v>
      </c>
      <c r="G2088" s="14">
        <v>71.0</v>
      </c>
      <c r="H2088" s="23" t="s">
        <v>26</v>
      </c>
      <c r="I2088" s="24" t="s">
        <v>27</v>
      </c>
      <c r="J2088" s="19" t="s">
        <v>328</v>
      </c>
      <c r="K2088" s="14">
        <v>21.0</v>
      </c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</row>
    <row r="2089">
      <c r="A2089" s="14" t="s">
        <v>7631</v>
      </c>
      <c r="B2089" s="17" t="s">
        <v>7632</v>
      </c>
      <c r="C2089" s="17" t="s">
        <v>7633</v>
      </c>
      <c r="D2089" s="19" t="s">
        <v>7634</v>
      </c>
      <c r="E2089" s="20" t="s">
        <v>429</v>
      </c>
      <c r="F2089" s="27">
        <v>27027.0</v>
      </c>
      <c r="G2089" s="14">
        <v>52.0</v>
      </c>
      <c r="H2089" s="23" t="s">
        <v>26</v>
      </c>
      <c r="I2089" s="24" t="s">
        <v>33</v>
      </c>
      <c r="J2089" s="19" t="s">
        <v>53</v>
      </c>
      <c r="K2089" s="14">
        <v>12.0</v>
      </c>
      <c r="L2089" s="7"/>
      <c r="M2089" s="7"/>
      <c r="N2089" s="7"/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7"/>
    </row>
    <row r="2090">
      <c r="A2090" s="14" t="s">
        <v>7635</v>
      </c>
      <c r="B2090" s="17" t="s">
        <v>7632</v>
      </c>
      <c r="C2090" s="17" t="s">
        <v>7636</v>
      </c>
      <c r="D2090" s="19" t="s">
        <v>7637</v>
      </c>
      <c r="E2090" s="20" t="s">
        <v>104</v>
      </c>
      <c r="F2090" s="21">
        <v>30341.0</v>
      </c>
      <c r="G2090" s="14">
        <v>43.0</v>
      </c>
      <c r="H2090" s="23" t="s">
        <v>26</v>
      </c>
      <c r="I2090" s="24" t="s">
        <v>27</v>
      </c>
      <c r="J2090" s="19" t="s">
        <v>53</v>
      </c>
      <c r="K2090" s="14">
        <v>12.0</v>
      </c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7"/>
    </row>
    <row r="2091">
      <c r="A2091" s="14" t="s">
        <v>7638</v>
      </c>
      <c r="B2091" s="17" t="s">
        <v>7639</v>
      </c>
      <c r="C2091" s="17" t="s">
        <v>7640</v>
      </c>
      <c r="D2091" s="19" t="s">
        <v>7641</v>
      </c>
      <c r="E2091" s="20" t="s">
        <v>219</v>
      </c>
      <c r="F2091" s="21">
        <v>22901.0</v>
      </c>
      <c r="G2091" s="14">
        <v>63.0</v>
      </c>
      <c r="H2091" s="23" t="s">
        <v>26</v>
      </c>
      <c r="I2091" s="24" t="s">
        <v>33</v>
      </c>
      <c r="J2091" s="19" t="s">
        <v>328</v>
      </c>
      <c r="K2091" s="14">
        <v>24.0</v>
      </c>
      <c r="L2091" s="7"/>
      <c r="M2091" s="7"/>
      <c r="N2091" s="7"/>
      <c r="O2091" s="7"/>
      <c r="P2091" s="7"/>
      <c r="Q2091" s="7"/>
      <c r="R2091" s="7"/>
      <c r="S2091" s="7"/>
      <c r="T2091" s="7"/>
      <c r="U2091" s="7"/>
      <c r="V2091" s="7"/>
      <c r="W2091" s="7"/>
      <c r="X2091" s="7"/>
      <c r="Y2091" s="7"/>
    </row>
    <row r="2092">
      <c r="A2092" s="14" t="s">
        <v>7642</v>
      </c>
      <c r="B2092" s="17" t="s">
        <v>7639</v>
      </c>
      <c r="C2092" s="17" t="s">
        <v>7643</v>
      </c>
      <c r="D2092" s="19" t="s">
        <v>4730</v>
      </c>
      <c r="E2092" s="20" t="s">
        <v>650</v>
      </c>
      <c r="F2092" s="21">
        <v>23924.0</v>
      </c>
      <c r="G2092" s="14">
        <v>61.0</v>
      </c>
      <c r="H2092" s="23" t="s">
        <v>26</v>
      </c>
      <c r="I2092" s="24" t="s">
        <v>27</v>
      </c>
      <c r="J2092" s="19" t="s">
        <v>328</v>
      </c>
      <c r="K2092" s="14">
        <v>24.0</v>
      </c>
      <c r="L2092" s="7"/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7"/>
    </row>
    <row r="2093">
      <c r="A2093" s="14" t="s">
        <v>7644</v>
      </c>
      <c r="B2093" s="17" t="s">
        <v>7645</v>
      </c>
      <c r="C2093" s="17" t="s">
        <v>7646</v>
      </c>
      <c r="D2093" s="19" t="s">
        <v>7647</v>
      </c>
      <c r="E2093" s="20" t="s">
        <v>219</v>
      </c>
      <c r="F2093" s="21">
        <v>23886.0</v>
      </c>
      <c r="G2093" s="14">
        <v>61.0</v>
      </c>
      <c r="H2093" s="23" t="s">
        <v>26</v>
      </c>
      <c r="I2093" s="24" t="s">
        <v>33</v>
      </c>
      <c r="J2093" s="19" t="s">
        <v>328</v>
      </c>
      <c r="K2093" s="14">
        <v>23.0</v>
      </c>
      <c r="L2093" s="7"/>
      <c r="M2093" s="7"/>
      <c r="N2093" s="7"/>
      <c r="O2093" s="7"/>
      <c r="P2093" s="7"/>
      <c r="Q2093" s="7"/>
      <c r="R2093" s="7"/>
      <c r="S2093" s="7"/>
      <c r="T2093" s="7"/>
      <c r="U2093" s="7"/>
      <c r="V2093" s="7"/>
      <c r="W2093" s="7"/>
      <c r="X2093" s="7"/>
      <c r="Y2093" s="7"/>
    </row>
    <row r="2094">
      <c r="A2094" s="14" t="s">
        <v>7648</v>
      </c>
      <c r="B2094" s="17" t="s">
        <v>7645</v>
      </c>
      <c r="C2094" s="17" t="s">
        <v>7649</v>
      </c>
      <c r="D2094" s="19" t="s">
        <v>7650</v>
      </c>
      <c r="E2094" s="20" t="s">
        <v>1038</v>
      </c>
      <c r="F2094" s="21">
        <v>25205.0</v>
      </c>
      <c r="G2094" s="14">
        <v>57.0</v>
      </c>
      <c r="H2094" s="23" t="s">
        <v>26</v>
      </c>
      <c r="I2094" s="24" t="s">
        <v>27</v>
      </c>
      <c r="J2094" s="19" t="s">
        <v>328</v>
      </c>
      <c r="K2094" s="14">
        <v>23.0</v>
      </c>
      <c r="L2094" s="7"/>
      <c r="M2094" s="7"/>
      <c r="N2094" s="7"/>
      <c r="O2094" s="7"/>
      <c r="P2094" s="7"/>
      <c r="Q2094" s="7"/>
      <c r="R2094" s="7"/>
      <c r="S2094" s="7"/>
      <c r="T2094" s="7"/>
      <c r="U2094" s="7"/>
      <c r="V2094" s="7"/>
      <c r="W2094" s="7"/>
      <c r="X2094" s="7"/>
      <c r="Y2094" s="7"/>
    </row>
    <row r="2095">
      <c r="A2095" s="14" t="s">
        <v>7651</v>
      </c>
      <c r="B2095" s="17" t="s">
        <v>7652</v>
      </c>
      <c r="C2095" s="17" t="s">
        <v>7653</v>
      </c>
      <c r="D2095" s="19" t="s">
        <v>7654</v>
      </c>
      <c r="E2095" s="20" t="s">
        <v>650</v>
      </c>
      <c r="F2095" s="21">
        <v>19541.0</v>
      </c>
      <c r="G2095" s="14">
        <v>73.0</v>
      </c>
      <c r="H2095" s="23" t="s">
        <v>27</v>
      </c>
      <c r="I2095" s="24" t="s">
        <v>27</v>
      </c>
      <c r="J2095" s="19" t="s">
        <v>53</v>
      </c>
      <c r="K2095" s="14">
        <v>5.0</v>
      </c>
      <c r="L2095" s="7"/>
      <c r="M2095" s="7"/>
      <c r="N2095" s="7"/>
      <c r="O2095" s="7"/>
      <c r="P2095" s="7"/>
      <c r="Q2095" s="7"/>
      <c r="R2095" s="7"/>
      <c r="S2095" s="7"/>
      <c r="T2095" s="7"/>
      <c r="U2095" s="7"/>
      <c r="V2095" s="7"/>
      <c r="W2095" s="7"/>
      <c r="X2095" s="7"/>
      <c r="Y2095" s="7"/>
    </row>
    <row r="2096">
      <c r="A2096" s="14" t="s">
        <v>7655</v>
      </c>
      <c r="B2096" s="17" t="s">
        <v>7656</v>
      </c>
      <c r="C2096" s="17" t="s">
        <v>7657</v>
      </c>
      <c r="D2096" s="19" t="s">
        <v>7658</v>
      </c>
      <c r="E2096" s="20" t="s">
        <v>290</v>
      </c>
      <c r="F2096" s="21">
        <v>20944.0</v>
      </c>
      <c r="G2096" s="14">
        <v>69.0</v>
      </c>
      <c r="H2096" s="23" t="s">
        <v>26</v>
      </c>
      <c r="I2096" s="24" t="s">
        <v>27</v>
      </c>
      <c r="J2096" s="19" t="s">
        <v>3387</v>
      </c>
      <c r="K2096" s="14">
        <v>6.0</v>
      </c>
      <c r="L2096" s="7"/>
      <c r="M2096" s="7"/>
      <c r="N2096" s="7"/>
      <c r="O2096" s="7"/>
      <c r="P2096" s="7"/>
      <c r="Q2096" s="7"/>
      <c r="R2096" s="7"/>
      <c r="S2096" s="7"/>
      <c r="T2096" s="7"/>
      <c r="U2096" s="7"/>
      <c r="V2096" s="7"/>
      <c r="W2096" s="7"/>
      <c r="X2096" s="7"/>
      <c r="Y2096" s="7"/>
    </row>
    <row r="2097">
      <c r="A2097" s="14" t="s">
        <v>7659</v>
      </c>
      <c r="B2097" s="17" t="s">
        <v>7656</v>
      </c>
      <c r="C2097" s="17" t="s">
        <v>7660</v>
      </c>
      <c r="D2097" s="19" t="s">
        <v>7661</v>
      </c>
      <c r="E2097" s="20" t="s">
        <v>290</v>
      </c>
      <c r="F2097" s="21">
        <v>19514.0</v>
      </c>
      <c r="G2097" s="14">
        <v>73.0</v>
      </c>
      <c r="H2097" s="23" t="s">
        <v>26</v>
      </c>
      <c r="I2097" s="24" t="s">
        <v>33</v>
      </c>
      <c r="J2097" s="19" t="s">
        <v>3387</v>
      </c>
      <c r="K2097" s="14">
        <v>6.0</v>
      </c>
      <c r="L2097" s="7"/>
      <c r="M2097" s="7"/>
      <c r="N2097" s="7"/>
      <c r="O2097" s="7"/>
      <c r="P2097" s="7"/>
      <c r="Q2097" s="7"/>
      <c r="R2097" s="7"/>
      <c r="S2097" s="7"/>
      <c r="T2097" s="7"/>
      <c r="U2097" s="7"/>
      <c r="V2097" s="7"/>
      <c r="W2097" s="7"/>
      <c r="X2097" s="7"/>
      <c r="Y2097" s="7"/>
    </row>
    <row r="2098">
      <c r="A2098" s="14" t="s">
        <v>7662</v>
      </c>
      <c r="B2098" s="17" t="s">
        <v>7663</v>
      </c>
      <c r="C2098" s="17" t="s">
        <v>7664</v>
      </c>
      <c r="D2098" s="19" t="s">
        <v>7665</v>
      </c>
      <c r="E2098" s="20" t="s">
        <v>104</v>
      </c>
      <c r="F2098" s="21">
        <v>34798.0</v>
      </c>
      <c r="G2098" s="14">
        <v>31.0</v>
      </c>
      <c r="H2098" s="23" t="s">
        <v>26</v>
      </c>
      <c r="I2098" s="24" t="s">
        <v>33</v>
      </c>
      <c r="J2098" s="19" t="s">
        <v>53</v>
      </c>
      <c r="K2098" s="14">
        <v>17.0</v>
      </c>
      <c r="L2098" s="7"/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7"/>
      <c r="X2098" s="7"/>
      <c r="Y2098" s="7"/>
    </row>
    <row r="2099">
      <c r="A2099" s="14" t="s">
        <v>7666</v>
      </c>
      <c r="B2099" s="17" t="s">
        <v>7663</v>
      </c>
      <c r="C2099" s="17" t="s">
        <v>7667</v>
      </c>
      <c r="D2099" s="19" t="s">
        <v>7668</v>
      </c>
      <c r="E2099" s="20" t="s">
        <v>138</v>
      </c>
      <c r="F2099" s="21">
        <v>35953.0</v>
      </c>
      <c r="G2099" s="14">
        <v>28.0</v>
      </c>
      <c r="H2099" s="23" t="s">
        <v>26</v>
      </c>
      <c r="I2099" s="24" t="s">
        <v>27</v>
      </c>
      <c r="J2099" s="19" t="s">
        <v>53</v>
      </c>
      <c r="K2099" s="14">
        <v>17.0</v>
      </c>
      <c r="L2099" s="7"/>
      <c r="M2099" s="7"/>
      <c r="N2099" s="7"/>
      <c r="O2099" s="7"/>
      <c r="P2099" s="7"/>
      <c r="Q2099" s="7"/>
      <c r="R2099" s="7"/>
      <c r="S2099" s="7"/>
      <c r="T2099" s="7"/>
      <c r="U2099" s="7"/>
      <c r="V2099" s="7"/>
      <c r="W2099" s="7"/>
      <c r="X2099" s="7"/>
      <c r="Y2099" s="7"/>
    </row>
    <row r="2100">
      <c r="A2100" s="14" t="s">
        <v>7669</v>
      </c>
      <c r="B2100" s="17" t="s">
        <v>7670</v>
      </c>
      <c r="C2100" s="17" t="s">
        <v>7671</v>
      </c>
      <c r="D2100" s="19" t="s">
        <v>7672</v>
      </c>
      <c r="E2100" s="20" t="s">
        <v>7673</v>
      </c>
      <c r="F2100" s="21">
        <v>35493.0</v>
      </c>
      <c r="G2100" s="14">
        <v>29.0</v>
      </c>
      <c r="H2100" s="23" t="s">
        <v>26</v>
      </c>
      <c r="I2100" s="24" t="s">
        <v>33</v>
      </c>
      <c r="J2100" s="19" t="s">
        <v>68</v>
      </c>
      <c r="K2100" s="14">
        <v>35.0</v>
      </c>
      <c r="L2100" s="7"/>
      <c r="M2100" s="7"/>
      <c r="N2100" s="7"/>
      <c r="O2100" s="7"/>
      <c r="P2100" s="7"/>
      <c r="Q2100" s="7"/>
      <c r="R2100" s="7"/>
      <c r="S2100" s="7"/>
      <c r="T2100" s="7"/>
      <c r="U2100" s="7"/>
      <c r="V2100" s="7"/>
      <c r="W2100" s="7"/>
      <c r="X2100" s="7"/>
      <c r="Y2100" s="7"/>
    </row>
    <row r="2101">
      <c r="A2101" s="14" t="s">
        <v>7674</v>
      </c>
      <c r="B2101" s="17" t="s">
        <v>7670</v>
      </c>
      <c r="C2101" s="17" t="s">
        <v>7675</v>
      </c>
      <c r="D2101" s="19" t="s">
        <v>7676</v>
      </c>
      <c r="E2101" s="20" t="s">
        <v>2551</v>
      </c>
      <c r="F2101" s="21">
        <v>35372.0</v>
      </c>
      <c r="G2101" s="14">
        <v>29.0</v>
      </c>
      <c r="H2101" s="23" t="s">
        <v>26</v>
      </c>
      <c r="I2101" s="24" t="s">
        <v>27</v>
      </c>
      <c r="J2101" s="19" t="s">
        <v>53</v>
      </c>
      <c r="K2101" s="14">
        <v>34.0</v>
      </c>
      <c r="L2101" s="7"/>
      <c r="M2101" s="7"/>
      <c r="N2101" s="7"/>
      <c r="O2101" s="7"/>
      <c r="P2101" s="7"/>
      <c r="Q2101" s="7"/>
      <c r="R2101" s="7"/>
      <c r="S2101" s="7"/>
      <c r="T2101" s="7"/>
      <c r="U2101" s="7"/>
      <c r="V2101" s="7"/>
      <c r="W2101" s="7"/>
      <c r="X2101" s="7"/>
      <c r="Y2101" s="7"/>
    </row>
    <row r="2102">
      <c r="A2102" s="14" t="s">
        <v>7677</v>
      </c>
      <c r="B2102" s="17" t="s">
        <v>7678</v>
      </c>
      <c r="C2102" s="17" t="s">
        <v>7679</v>
      </c>
      <c r="D2102" s="19" t="s">
        <v>7680</v>
      </c>
      <c r="E2102" s="20" t="s">
        <v>104</v>
      </c>
      <c r="F2102" s="21">
        <v>34517.0</v>
      </c>
      <c r="G2102" s="14">
        <v>32.0</v>
      </c>
      <c r="H2102" s="23" t="s">
        <v>100</v>
      </c>
      <c r="I2102" s="24" t="s">
        <v>33</v>
      </c>
      <c r="J2102" s="19" t="s">
        <v>7681</v>
      </c>
      <c r="K2102" s="14">
        <v>29.0</v>
      </c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7"/>
    </row>
    <row r="2103">
      <c r="A2103" s="14" t="s">
        <v>7682</v>
      </c>
      <c r="B2103" s="17" t="s">
        <v>7678</v>
      </c>
      <c r="C2103" s="17" t="s">
        <v>7683</v>
      </c>
      <c r="D2103" s="19" t="s">
        <v>7684</v>
      </c>
      <c r="E2103" s="20" t="s">
        <v>337</v>
      </c>
      <c r="F2103" s="21">
        <v>36417.0</v>
      </c>
      <c r="G2103" s="14">
        <v>26.0</v>
      </c>
      <c r="H2103" s="23" t="s">
        <v>100</v>
      </c>
      <c r="I2103" s="24" t="s">
        <v>33</v>
      </c>
      <c r="J2103" s="19" t="s">
        <v>7681</v>
      </c>
      <c r="K2103" s="14">
        <v>29.0</v>
      </c>
      <c r="L2103" s="7"/>
      <c r="M2103" s="7"/>
      <c r="N2103" s="7"/>
      <c r="O2103" s="7"/>
      <c r="P2103" s="7"/>
      <c r="Q2103" s="7"/>
      <c r="R2103" s="7"/>
      <c r="S2103" s="7"/>
      <c r="T2103" s="7"/>
      <c r="U2103" s="7"/>
      <c r="V2103" s="7"/>
      <c r="W2103" s="7"/>
      <c r="X2103" s="7"/>
      <c r="Y2103" s="7"/>
    </row>
    <row r="2104">
      <c r="A2104" s="14" t="s">
        <v>7685</v>
      </c>
      <c r="B2104" s="17" t="s">
        <v>7678</v>
      </c>
      <c r="C2104" s="17" t="s">
        <v>7686</v>
      </c>
      <c r="D2104" s="19" t="s">
        <v>3173</v>
      </c>
      <c r="E2104" s="20" t="s">
        <v>219</v>
      </c>
      <c r="F2104" s="27">
        <v>24087.0</v>
      </c>
      <c r="G2104" s="14">
        <v>60.0</v>
      </c>
      <c r="H2104" s="23" t="s">
        <v>26</v>
      </c>
      <c r="I2104" s="24" t="s">
        <v>33</v>
      </c>
      <c r="J2104" s="19" t="s">
        <v>7681</v>
      </c>
      <c r="K2104" s="14">
        <v>29.0</v>
      </c>
      <c r="L2104" s="7"/>
      <c r="M2104" s="7"/>
      <c r="N2104" s="7"/>
      <c r="O2104" s="7"/>
      <c r="P2104" s="7"/>
      <c r="Q2104" s="7"/>
      <c r="R2104" s="7"/>
      <c r="S2104" s="7"/>
      <c r="T2104" s="7"/>
      <c r="U2104" s="7"/>
      <c r="V2104" s="7"/>
      <c r="W2104" s="7"/>
      <c r="X2104" s="7"/>
      <c r="Y2104" s="7"/>
    </row>
    <row r="2105">
      <c r="A2105" s="14" t="s">
        <v>7687</v>
      </c>
      <c r="B2105" s="17" t="s">
        <v>7689</v>
      </c>
      <c r="C2105" s="17" t="s">
        <v>7690</v>
      </c>
      <c r="D2105" s="19" t="s">
        <v>7691</v>
      </c>
      <c r="E2105" s="20" t="s">
        <v>104</v>
      </c>
      <c r="F2105" s="21">
        <v>37669.0</v>
      </c>
      <c r="G2105" s="14">
        <v>23.0</v>
      </c>
      <c r="H2105" s="23" t="s">
        <v>100</v>
      </c>
      <c r="I2105" s="24" t="s">
        <v>27</v>
      </c>
      <c r="J2105" s="19" t="s">
        <v>7681</v>
      </c>
      <c r="K2105" s="14">
        <v>30.0</v>
      </c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</row>
    <row r="2106">
      <c r="A2106" s="14" t="s">
        <v>7692</v>
      </c>
      <c r="B2106" s="17" t="s">
        <v>7689</v>
      </c>
      <c r="C2106" s="17" t="s">
        <v>7693</v>
      </c>
      <c r="D2106" s="19" t="s">
        <v>7694</v>
      </c>
      <c r="E2106" s="20" t="s">
        <v>104</v>
      </c>
      <c r="F2106" s="27">
        <v>28411.0</v>
      </c>
      <c r="G2106" s="14">
        <v>48.0</v>
      </c>
      <c r="H2106" s="23" t="s">
        <v>26</v>
      </c>
      <c r="I2106" s="24" t="s">
        <v>33</v>
      </c>
      <c r="J2106" s="19" t="s">
        <v>7681</v>
      </c>
      <c r="K2106" s="14">
        <v>30.0</v>
      </c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</row>
    <row r="2107">
      <c r="A2107" s="14" t="s">
        <v>7695</v>
      </c>
      <c r="B2107" s="17" t="s">
        <v>7689</v>
      </c>
      <c r="C2107" s="17" t="s">
        <v>7696</v>
      </c>
      <c r="D2107" s="19" t="s">
        <v>7697</v>
      </c>
      <c r="E2107" s="20" t="s">
        <v>104</v>
      </c>
      <c r="F2107" s="21">
        <v>30538.0</v>
      </c>
      <c r="G2107" s="14">
        <v>43.0</v>
      </c>
      <c r="H2107" s="23" t="s">
        <v>26</v>
      </c>
      <c r="I2107" s="24" t="s">
        <v>27</v>
      </c>
      <c r="J2107" s="19" t="s">
        <v>7681</v>
      </c>
      <c r="K2107" s="14">
        <v>30.0</v>
      </c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</row>
    <row r="2108">
      <c r="A2108" s="14" t="s">
        <v>7698</v>
      </c>
      <c r="B2108" s="17" t="s">
        <v>7699</v>
      </c>
      <c r="C2108" s="17" t="s">
        <v>7700</v>
      </c>
      <c r="D2108" s="19" t="s">
        <v>7701</v>
      </c>
      <c r="E2108" s="20" t="s">
        <v>104</v>
      </c>
      <c r="F2108" s="21">
        <v>39165.0</v>
      </c>
      <c r="G2108" s="14">
        <v>19.0</v>
      </c>
      <c r="H2108" s="23" t="s">
        <v>100</v>
      </c>
      <c r="I2108" s="24" t="s">
        <v>33</v>
      </c>
      <c r="J2108" s="19" t="s">
        <v>146</v>
      </c>
      <c r="K2108" s="14">
        <v>10.0</v>
      </c>
      <c r="L2108" s="7"/>
      <c r="M2108" s="7"/>
      <c r="N2108" s="7"/>
      <c r="O2108" s="7"/>
      <c r="P2108" s="7"/>
      <c r="Q2108" s="7"/>
      <c r="R2108" s="7"/>
      <c r="S2108" s="7"/>
      <c r="T2108" s="7"/>
      <c r="U2108" s="7"/>
      <c r="V2108" s="7"/>
      <c r="W2108" s="7"/>
      <c r="X2108" s="7"/>
      <c r="Y2108" s="7"/>
    </row>
    <row r="2109">
      <c r="A2109" s="14" t="s">
        <v>7702</v>
      </c>
      <c r="B2109" s="17" t="s">
        <v>7699</v>
      </c>
      <c r="C2109" s="17" t="s">
        <v>7703</v>
      </c>
      <c r="D2109" s="19" t="s">
        <v>7704</v>
      </c>
      <c r="E2109" s="20" t="s">
        <v>53</v>
      </c>
      <c r="F2109" s="21">
        <v>32905.0</v>
      </c>
      <c r="G2109" s="14">
        <v>36.0</v>
      </c>
      <c r="H2109" s="23" t="s">
        <v>26</v>
      </c>
      <c r="I2109" s="24" t="s">
        <v>27</v>
      </c>
      <c r="J2109" s="19" t="s">
        <v>146</v>
      </c>
      <c r="K2109" s="14">
        <v>10.0</v>
      </c>
      <c r="L2109" s="7"/>
      <c r="M2109" s="7"/>
      <c r="N2109" s="7"/>
      <c r="O2109" s="7"/>
      <c r="P2109" s="7"/>
      <c r="Q2109" s="7"/>
      <c r="R2109" s="7"/>
      <c r="S2109" s="7"/>
      <c r="T2109" s="7"/>
      <c r="U2109" s="7"/>
      <c r="V2109" s="7"/>
      <c r="W2109" s="7"/>
      <c r="X2109" s="7"/>
      <c r="Y2109" s="7"/>
    </row>
    <row r="2110">
      <c r="A2110" s="14" t="s">
        <v>7705</v>
      </c>
      <c r="B2110" s="17" t="s">
        <v>7699</v>
      </c>
      <c r="C2110" s="17" t="s">
        <v>7706</v>
      </c>
      <c r="D2110" s="19" t="s">
        <v>7707</v>
      </c>
      <c r="E2110" s="20" t="s">
        <v>666</v>
      </c>
      <c r="F2110" s="21">
        <v>28677.0</v>
      </c>
      <c r="G2110" s="14">
        <v>48.0</v>
      </c>
      <c r="H2110" s="23" t="s">
        <v>26</v>
      </c>
      <c r="I2110" s="24" t="s">
        <v>33</v>
      </c>
      <c r="J2110" s="19" t="s">
        <v>146</v>
      </c>
      <c r="K2110" s="14">
        <v>10.0</v>
      </c>
      <c r="L2110" s="7"/>
      <c r="M2110" s="7"/>
      <c r="N2110" s="7"/>
      <c r="O2110" s="7"/>
      <c r="P2110" s="7"/>
      <c r="Q2110" s="7"/>
      <c r="R2110" s="7"/>
      <c r="S2110" s="7"/>
      <c r="T2110" s="7"/>
      <c r="U2110" s="7"/>
      <c r="V2110" s="7"/>
      <c r="W2110" s="7"/>
      <c r="X2110" s="7"/>
      <c r="Y2110" s="7"/>
    </row>
    <row r="2111">
      <c r="A2111" s="14" t="s">
        <v>7708</v>
      </c>
      <c r="B2111" s="17" t="s">
        <v>7709</v>
      </c>
      <c r="C2111" s="17" t="s">
        <v>7710</v>
      </c>
      <c r="D2111" s="19" t="s">
        <v>7711</v>
      </c>
      <c r="E2111" s="20" t="s">
        <v>53</v>
      </c>
      <c r="F2111" s="21">
        <v>39322.0</v>
      </c>
      <c r="G2111" s="14">
        <v>19.0</v>
      </c>
      <c r="H2111" s="23" t="s">
        <v>100</v>
      </c>
      <c r="I2111" s="24" t="s">
        <v>33</v>
      </c>
      <c r="J2111" s="19" t="s">
        <v>68</v>
      </c>
      <c r="K2111" s="14">
        <v>30.0</v>
      </c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</row>
    <row r="2112">
      <c r="A2112" s="14" t="s">
        <v>7712</v>
      </c>
      <c r="B2112" s="17" t="s">
        <v>7709</v>
      </c>
      <c r="C2112" s="17" t="s">
        <v>7713</v>
      </c>
      <c r="D2112" s="19" t="s">
        <v>7714</v>
      </c>
      <c r="E2112" s="20" t="s">
        <v>654</v>
      </c>
      <c r="F2112" s="21">
        <v>26481.0</v>
      </c>
      <c r="G2112" s="14">
        <v>54.0</v>
      </c>
      <c r="H2112" s="23" t="s">
        <v>26</v>
      </c>
      <c r="I2112" s="24" t="s">
        <v>33</v>
      </c>
      <c r="J2112" s="19" t="s">
        <v>68</v>
      </c>
      <c r="K2112" s="14">
        <v>30.0</v>
      </c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</row>
    <row r="2113">
      <c r="A2113" s="14" t="s">
        <v>7715</v>
      </c>
      <c r="B2113" s="17" t="s">
        <v>7709</v>
      </c>
      <c r="C2113" s="17" t="s">
        <v>7716</v>
      </c>
      <c r="D2113" s="19" t="s">
        <v>5916</v>
      </c>
      <c r="E2113" s="20" t="s">
        <v>654</v>
      </c>
      <c r="F2113" s="21">
        <v>28145.0</v>
      </c>
      <c r="G2113" s="14">
        <v>49.0</v>
      </c>
      <c r="H2113" s="23" t="s">
        <v>26</v>
      </c>
      <c r="I2113" s="24" t="s">
        <v>27</v>
      </c>
      <c r="J2113" s="19" t="s">
        <v>68</v>
      </c>
      <c r="K2113" s="14">
        <v>30.0</v>
      </c>
      <c r="L2113" s="7"/>
      <c r="M2113" s="7"/>
      <c r="N2113" s="7"/>
      <c r="O2113" s="7"/>
      <c r="P2113" s="7"/>
      <c r="Q2113" s="7"/>
      <c r="R2113" s="7"/>
      <c r="S2113" s="7"/>
      <c r="T2113" s="7"/>
      <c r="U2113" s="7"/>
      <c r="V2113" s="7"/>
      <c r="W2113" s="7"/>
      <c r="X2113" s="7"/>
      <c r="Y2113" s="7"/>
    </row>
    <row r="2114">
      <c r="A2114" s="14" t="s">
        <v>7717</v>
      </c>
      <c r="B2114" s="17" t="s">
        <v>7709</v>
      </c>
      <c r="C2114" s="17" t="s">
        <v>7718</v>
      </c>
      <c r="D2114" s="19" t="s">
        <v>7719</v>
      </c>
      <c r="E2114" s="20" t="s">
        <v>104</v>
      </c>
      <c r="F2114" s="21">
        <v>35740.0</v>
      </c>
      <c r="G2114" s="14">
        <v>28.0</v>
      </c>
      <c r="H2114" s="23" t="s">
        <v>100</v>
      </c>
      <c r="I2114" s="24" t="s">
        <v>33</v>
      </c>
      <c r="J2114" s="19" t="s">
        <v>68</v>
      </c>
      <c r="K2114" s="14">
        <v>30.0</v>
      </c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</row>
    <row r="2115">
      <c r="A2115" s="14" t="s">
        <v>7720</v>
      </c>
      <c r="B2115" s="17" t="s">
        <v>7721</v>
      </c>
      <c r="C2115" s="17" t="s">
        <v>7722</v>
      </c>
      <c r="D2115" s="19" t="s">
        <v>7723</v>
      </c>
      <c r="E2115" s="20" t="s">
        <v>7724</v>
      </c>
      <c r="F2115" s="21">
        <v>26115.0</v>
      </c>
      <c r="G2115" s="14">
        <v>55.0</v>
      </c>
      <c r="H2115" s="23" t="s">
        <v>26</v>
      </c>
      <c r="I2115" s="24" t="s">
        <v>27</v>
      </c>
      <c r="J2115" s="19" t="s">
        <v>68</v>
      </c>
      <c r="K2115" s="14">
        <v>29.0</v>
      </c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</row>
    <row r="2116">
      <c r="A2116" s="14" t="s">
        <v>7725</v>
      </c>
      <c r="B2116" s="17" t="s">
        <v>7721</v>
      </c>
      <c r="C2116" s="17" t="s">
        <v>7726</v>
      </c>
      <c r="D2116" s="19" t="s">
        <v>6121</v>
      </c>
      <c r="E2116" s="20" t="s">
        <v>4705</v>
      </c>
      <c r="F2116" s="21">
        <v>25750.0</v>
      </c>
      <c r="G2116" s="14">
        <v>56.0</v>
      </c>
      <c r="H2116" s="23" t="s">
        <v>26</v>
      </c>
      <c r="I2116" s="24" t="s">
        <v>33</v>
      </c>
      <c r="J2116" s="19" t="s">
        <v>68</v>
      </c>
      <c r="K2116" s="14">
        <v>29.0</v>
      </c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</row>
    <row r="2117">
      <c r="A2117" s="14" t="s">
        <v>7727</v>
      </c>
      <c r="B2117" s="17" t="s">
        <v>7728</v>
      </c>
      <c r="C2117" s="17" t="s">
        <v>7729</v>
      </c>
      <c r="D2117" s="19" t="s">
        <v>7730</v>
      </c>
      <c r="E2117" s="20" t="s">
        <v>666</v>
      </c>
      <c r="F2117" s="21">
        <v>23802.0</v>
      </c>
      <c r="G2117" s="14">
        <v>61.0</v>
      </c>
      <c r="H2117" s="23" t="s">
        <v>26</v>
      </c>
      <c r="I2117" s="24" t="s">
        <v>33</v>
      </c>
      <c r="J2117" s="19" t="s">
        <v>95</v>
      </c>
      <c r="K2117" s="14">
        <v>11.0</v>
      </c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</row>
    <row r="2118">
      <c r="A2118" s="14" t="s">
        <v>7731</v>
      </c>
      <c r="B2118" s="17" t="s">
        <v>7728</v>
      </c>
      <c r="C2118" s="17" t="s">
        <v>7732</v>
      </c>
      <c r="D2118" s="19" t="s">
        <v>7733</v>
      </c>
      <c r="E2118" s="20" t="s">
        <v>53</v>
      </c>
      <c r="F2118" s="21">
        <v>36497.0</v>
      </c>
      <c r="G2118" s="14">
        <v>26.0</v>
      </c>
      <c r="H2118" s="23" t="s">
        <v>100</v>
      </c>
      <c r="I2118" s="24" t="s">
        <v>33</v>
      </c>
      <c r="J2118" s="19" t="s">
        <v>95</v>
      </c>
      <c r="K2118" s="14">
        <v>11.0</v>
      </c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</row>
    <row r="2119">
      <c r="A2119" s="14" t="s">
        <v>7734</v>
      </c>
      <c r="B2119" s="17" t="s">
        <v>7728</v>
      </c>
      <c r="C2119" s="17" t="s">
        <v>7735</v>
      </c>
      <c r="D2119" s="19" t="s">
        <v>7736</v>
      </c>
      <c r="E2119" s="20" t="s">
        <v>187</v>
      </c>
      <c r="F2119" s="21">
        <v>27120.0</v>
      </c>
      <c r="G2119" s="14">
        <v>52.0</v>
      </c>
      <c r="H2119" s="23" t="s">
        <v>26</v>
      </c>
      <c r="I2119" s="24" t="s">
        <v>27</v>
      </c>
      <c r="J2119" s="19" t="s">
        <v>95</v>
      </c>
      <c r="K2119" s="14">
        <v>11.0</v>
      </c>
      <c r="L2119" s="7"/>
      <c r="M2119" s="7"/>
      <c r="N2119" s="7"/>
      <c r="O2119" s="7"/>
      <c r="P2119" s="7"/>
      <c r="Q2119" s="7"/>
      <c r="R2119" s="7"/>
      <c r="S2119" s="7"/>
      <c r="T2119" s="7"/>
      <c r="U2119" s="7"/>
      <c r="V2119" s="7"/>
      <c r="W2119" s="7"/>
      <c r="X2119" s="7"/>
      <c r="Y2119" s="7"/>
    </row>
    <row r="2120">
      <c r="A2120" s="14" t="s">
        <v>7737</v>
      </c>
      <c r="B2120" s="17" t="s">
        <v>7738</v>
      </c>
      <c r="C2120" s="17" t="s">
        <v>7739</v>
      </c>
      <c r="D2120" s="19" t="s">
        <v>7740</v>
      </c>
      <c r="E2120" s="20" t="s">
        <v>104</v>
      </c>
      <c r="F2120" s="27">
        <v>36845.0</v>
      </c>
      <c r="G2120" s="14">
        <v>25.0</v>
      </c>
      <c r="H2120" s="23" t="s">
        <v>100</v>
      </c>
      <c r="I2120" s="24" t="s">
        <v>33</v>
      </c>
      <c r="J2120" s="19" t="s">
        <v>53</v>
      </c>
      <c r="K2120" s="14">
        <v>14.0</v>
      </c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</row>
    <row r="2121">
      <c r="A2121" s="14" t="s">
        <v>7741</v>
      </c>
      <c r="B2121" s="17" t="s">
        <v>7742</v>
      </c>
      <c r="C2121" s="17" t="s">
        <v>7743</v>
      </c>
      <c r="D2121" s="19" t="s">
        <v>4911</v>
      </c>
      <c r="E2121" s="20" t="s">
        <v>104</v>
      </c>
      <c r="F2121" s="21">
        <v>31472.0</v>
      </c>
      <c r="G2121" s="14">
        <v>40.0</v>
      </c>
      <c r="H2121" s="23" t="s">
        <v>26</v>
      </c>
      <c r="I2121" s="24" t="s">
        <v>33</v>
      </c>
      <c r="J2121" s="19" t="s">
        <v>95</v>
      </c>
      <c r="K2121" s="14">
        <v>11.0</v>
      </c>
      <c r="L2121" s="7"/>
      <c r="M2121" s="7"/>
      <c r="N2121" s="7"/>
      <c r="O2121" s="7"/>
      <c r="P2121" s="7"/>
      <c r="Q2121" s="7"/>
      <c r="R2121" s="7"/>
      <c r="S2121" s="7"/>
      <c r="T2121" s="7"/>
      <c r="U2121" s="7"/>
      <c r="V2121" s="7"/>
      <c r="W2121" s="7"/>
      <c r="X2121" s="7"/>
      <c r="Y2121" s="7"/>
    </row>
    <row r="2122">
      <c r="A2122" s="14" t="s">
        <v>7744</v>
      </c>
      <c r="B2122" s="17" t="s">
        <v>7742</v>
      </c>
      <c r="C2122" s="17" t="s">
        <v>7745</v>
      </c>
      <c r="D2122" s="19" t="s">
        <v>2456</v>
      </c>
      <c r="E2122" s="20" t="s">
        <v>104</v>
      </c>
      <c r="F2122" s="21">
        <v>32151.0</v>
      </c>
      <c r="G2122" s="14">
        <v>38.0</v>
      </c>
      <c r="H2122" s="23" t="s">
        <v>26</v>
      </c>
      <c r="I2122" s="24" t="s">
        <v>27</v>
      </c>
      <c r="J2122" s="19" t="s">
        <v>95</v>
      </c>
      <c r="K2122" s="14">
        <v>11.0</v>
      </c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</row>
    <row r="2123">
      <c r="A2123" s="14" t="s">
        <v>7746</v>
      </c>
      <c r="B2123" s="17" t="s">
        <v>7747</v>
      </c>
      <c r="C2123" s="17" t="s">
        <v>7748</v>
      </c>
      <c r="D2123" s="19" t="s">
        <v>7749</v>
      </c>
      <c r="E2123" s="20" t="s">
        <v>7517</v>
      </c>
      <c r="F2123" s="21">
        <v>27190.0</v>
      </c>
      <c r="G2123" s="14">
        <v>52.0</v>
      </c>
      <c r="H2123" s="23" t="s">
        <v>26</v>
      </c>
      <c r="I2123" s="24" t="s">
        <v>33</v>
      </c>
      <c r="J2123" s="19" t="s">
        <v>7750</v>
      </c>
      <c r="K2123" s="14">
        <v>3.0</v>
      </c>
      <c r="L2123" s="7"/>
      <c r="M2123" s="7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</row>
    <row r="2124">
      <c r="A2124" s="14" t="s">
        <v>7751</v>
      </c>
      <c r="B2124" s="17" t="s">
        <v>7747</v>
      </c>
      <c r="C2124" s="17" t="s">
        <v>7752</v>
      </c>
      <c r="D2124" s="19" t="s">
        <v>1048</v>
      </c>
      <c r="E2124" s="20" t="s">
        <v>7753</v>
      </c>
      <c r="F2124" s="21">
        <v>27528.0</v>
      </c>
      <c r="G2124" s="14">
        <v>51.0</v>
      </c>
      <c r="H2124" s="23" t="s">
        <v>26</v>
      </c>
      <c r="I2124" s="24" t="s">
        <v>27</v>
      </c>
      <c r="J2124" s="19" t="s">
        <v>7750</v>
      </c>
      <c r="K2124" s="14">
        <v>3.0</v>
      </c>
      <c r="L2124" s="7"/>
      <c r="M2124" s="7"/>
      <c r="N2124" s="7"/>
      <c r="O2124" s="7"/>
      <c r="P2124" s="7"/>
      <c r="Q2124" s="7"/>
      <c r="R2124" s="7"/>
      <c r="S2124" s="7"/>
      <c r="T2124" s="7"/>
      <c r="U2124" s="7"/>
      <c r="V2124" s="7"/>
      <c r="W2124" s="7"/>
      <c r="X2124" s="7"/>
      <c r="Y2124" s="7"/>
    </row>
    <row r="2125">
      <c r="A2125" s="14" t="s">
        <v>7754</v>
      </c>
      <c r="B2125" s="17" t="s">
        <v>7755</v>
      </c>
      <c r="C2125" s="17" t="s">
        <v>7756</v>
      </c>
      <c r="D2125" s="19" t="s">
        <v>7757</v>
      </c>
      <c r="E2125" s="20" t="s">
        <v>7758</v>
      </c>
      <c r="F2125" s="21">
        <v>33360.0</v>
      </c>
      <c r="G2125" s="14">
        <v>35.0</v>
      </c>
      <c r="H2125" s="23" t="s">
        <v>26</v>
      </c>
      <c r="I2125" s="24" t="s">
        <v>27</v>
      </c>
      <c r="J2125" s="19" t="s">
        <v>156</v>
      </c>
      <c r="K2125" s="14">
        <v>28.0</v>
      </c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</row>
    <row r="2126">
      <c r="A2126" s="14" t="s">
        <v>7759</v>
      </c>
      <c r="B2126" s="17" t="s">
        <v>7755</v>
      </c>
      <c r="C2126" s="17" t="s">
        <v>7760</v>
      </c>
      <c r="D2126" s="19" t="s">
        <v>7761</v>
      </c>
      <c r="E2126" s="20" t="s">
        <v>7758</v>
      </c>
      <c r="F2126" s="27">
        <v>29214.0</v>
      </c>
      <c r="G2126" s="14">
        <v>46.0</v>
      </c>
      <c r="H2126" s="23" t="s">
        <v>26</v>
      </c>
      <c r="I2126" s="24" t="s">
        <v>33</v>
      </c>
      <c r="J2126" s="19" t="s">
        <v>156</v>
      </c>
      <c r="K2126" s="14">
        <v>28.0</v>
      </c>
      <c r="L2126" s="7"/>
      <c r="M2126" s="7"/>
      <c r="N2126" s="7"/>
      <c r="O2126" s="7"/>
      <c r="P2126" s="7"/>
      <c r="Q2126" s="7"/>
      <c r="R2126" s="7"/>
      <c r="S2126" s="7"/>
      <c r="T2126" s="7"/>
      <c r="U2126" s="7"/>
      <c r="V2126" s="7"/>
      <c r="W2126" s="7"/>
      <c r="X2126" s="7"/>
      <c r="Y2126" s="7"/>
    </row>
    <row r="2127">
      <c r="A2127" s="14" t="s">
        <v>7762</v>
      </c>
      <c r="B2127" s="17" t="s">
        <v>7763</v>
      </c>
      <c r="C2127" s="17" t="s">
        <v>7764</v>
      </c>
      <c r="D2127" s="19" t="s">
        <v>5493</v>
      </c>
      <c r="E2127" s="20" t="s">
        <v>1370</v>
      </c>
      <c r="F2127" s="21">
        <v>15282.0</v>
      </c>
      <c r="G2127" s="14">
        <v>84.0</v>
      </c>
      <c r="H2127" s="23" t="s">
        <v>27</v>
      </c>
      <c r="I2127" s="24" t="s">
        <v>27</v>
      </c>
      <c r="J2127" s="19" t="s">
        <v>282</v>
      </c>
      <c r="K2127" s="14">
        <v>11.0</v>
      </c>
      <c r="L2127" s="7"/>
      <c r="M2127" s="7"/>
      <c r="N2127" s="7"/>
      <c r="O2127" s="7"/>
      <c r="P2127" s="7"/>
      <c r="Q2127" s="7"/>
      <c r="R2127" s="7"/>
      <c r="S2127" s="7"/>
      <c r="T2127" s="7"/>
      <c r="U2127" s="7"/>
      <c r="V2127" s="7"/>
      <c r="W2127" s="7"/>
      <c r="X2127" s="7"/>
      <c r="Y2127" s="7"/>
    </row>
    <row r="2128">
      <c r="A2128" s="14" t="s">
        <v>7765</v>
      </c>
      <c r="B2128" s="17" t="s">
        <v>7766</v>
      </c>
      <c r="C2128" s="17" t="s">
        <v>7767</v>
      </c>
      <c r="D2128" s="19" t="s">
        <v>7768</v>
      </c>
      <c r="E2128" s="20" t="s">
        <v>7769</v>
      </c>
      <c r="F2128" s="21">
        <v>19998.0</v>
      </c>
      <c r="G2128" s="14">
        <v>71.0</v>
      </c>
      <c r="H2128" s="23" t="s">
        <v>26</v>
      </c>
      <c r="I2128" s="24" t="s">
        <v>33</v>
      </c>
      <c r="J2128" s="19" t="s">
        <v>53</v>
      </c>
      <c r="K2128" s="14">
        <v>24.0</v>
      </c>
      <c r="L2128" s="7"/>
      <c r="M2128" s="7"/>
      <c r="N2128" s="7"/>
      <c r="O2128" s="7"/>
      <c r="P2128" s="7"/>
      <c r="Q2128" s="7"/>
      <c r="R2128" s="7"/>
      <c r="S2128" s="7"/>
      <c r="T2128" s="7"/>
      <c r="U2128" s="7"/>
      <c r="V2128" s="7"/>
      <c r="W2128" s="7"/>
      <c r="X2128" s="7"/>
      <c r="Y2128" s="7"/>
    </row>
    <row r="2129">
      <c r="A2129" s="14" t="s">
        <v>7770</v>
      </c>
      <c r="B2129" s="17" t="s">
        <v>7766</v>
      </c>
      <c r="C2129" s="17" t="s">
        <v>7771</v>
      </c>
      <c r="D2129" s="19" t="s">
        <v>7772</v>
      </c>
      <c r="E2129" s="20" t="s">
        <v>7773</v>
      </c>
      <c r="F2129" s="27">
        <v>21473.0</v>
      </c>
      <c r="G2129" s="14">
        <v>67.0</v>
      </c>
      <c r="H2129" s="23" t="s">
        <v>26</v>
      </c>
      <c r="I2129" s="24" t="s">
        <v>27</v>
      </c>
      <c r="J2129" s="19" t="s">
        <v>53</v>
      </c>
      <c r="K2129" s="14">
        <v>24.0</v>
      </c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</row>
    <row r="2130">
      <c r="A2130" s="14" t="s">
        <v>7774</v>
      </c>
      <c r="B2130" s="17" t="s">
        <v>7775</v>
      </c>
      <c r="C2130" s="17" t="s">
        <v>7776</v>
      </c>
      <c r="D2130" s="19" t="s">
        <v>7777</v>
      </c>
      <c r="E2130" s="20" t="s">
        <v>1058</v>
      </c>
      <c r="F2130" s="21">
        <v>16569.0</v>
      </c>
      <c r="G2130" s="14">
        <v>81.0</v>
      </c>
      <c r="H2130" s="23" t="s">
        <v>27</v>
      </c>
      <c r="I2130" s="24" t="s">
        <v>27</v>
      </c>
      <c r="J2130" s="19" t="s">
        <v>39</v>
      </c>
      <c r="K2130" s="14">
        <v>14.0</v>
      </c>
      <c r="L2130" s="7"/>
      <c r="M2130" s="7"/>
      <c r="N2130" s="7"/>
      <c r="O2130" s="7"/>
      <c r="P2130" s="7"/>
      <c r="Q2130" s="7"/>
      <c r="R2130" s="7"/>
      <c r="S2130" s="7"/>
      <c r="T2130" s="7"/>
      <c r="U2130" s="7"/>
      <c r="V2130" s="7"/>
      <c r="W2130" s="7"/>
      <c r="X2130" s="7"/>
      <c r="Y2130" s="7"/>
    </row>
    <row r="2131">
      <c r="A2131" s="14" t="s">
        <v>7778</v>
      </c>
      <c r="B2131" s="17" t="s">
        <v>7779</v>
      </c>
      <c r="C2131" s="17" t="s">
        <v>7780</v>
      </c>
      <c r="D2131" s="19" t="s">
        <v>7781</v>
      </c>
      <c r="E2131" s="20" t="s">
        <v>654</v>
      </c>
      <c r="F2131" s="21">
        <v>16567.0</v>
      </c>
      <c r="G2131" s="14">
        <v>81.0</v>
      </c>
      <c r="H2131" s="23" t="s">
        <v>27</v>
      </c>
      <c r="I2131" s="24" t="s">
        <v>27</v>
      </c>
      <c r="J2131" s="19" t="s">
        <v>58</v>
      </c>
      <c r="K2131" s="14">
        <v>36.0</v>
      </c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</row>
    <row r="2132">
      <c r="A2132" s="14" t="s">
        <v>7782</v>
      </c>
      <c r="B2132" s="17" t="s">
        <v>7783</v>
      </c>
      <c r="C2132" s="17" t="s">
        <v>7784</v>
      </c>
      <c r="D2132" s="19" t="s">
        <v>7785</v>
      </c>
      <c r="E2132" s="20" t="s">
        <v>138</v>
      </c>
      <c r="F2132" s="21">
        <v>28709.0</v>
      </c>
      <c r="G2132" s="14">
        <v>48.0</v>
      </c>
      <c r="H2132" s="23" t="s">
        <v>100</v>
      </c>
      <c r="I2132" s="24" t="s">
        <v>33</v>
      </c>
      <c r="J2132" s="19" t="s">
        <v>7786</v>
      </c>
      <c r="K2132" s="14">
        <v>16.0</v>
      </c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</row>
    <row r="2133">
      <c r="A2133" s="14" t="s">
        <v>7787</v>
      </c>
      <c r="B2133" s="17" t="s">
        <v>7783</v>
      </c>
      <c r="C2133" s="17" t="s">
        <v>7788</v>
      </c>
      <c r="D2133" s="19" t="s">
        <v>7789</v>
      </c>
      <c r="E2133" s="20" t="s">
        <v>1058</v>
      </c>
      <c r="F2133" s="21">
        <v>22040.0</v>
      </c>
      <c r="G2133" s="14">
        <v>66.0</v>
      </c>
      <c r="H2133" s="23" t="s">
        <v>27</v>
      </c>
      <c r="I2133" s="24" t="s">
        <v>27</v>
      </c>
      <c r="J2133" s="19" t="s">
        <v>7786</v>
      </c>
      <c r="K2133" s="14">
        <v>16.0</v>
      </c>
      <c r="L2133" s="7"/>
      <c r="M2133" s="7"/>
      <c r="N2133" s="7"/>
      <c r="O2133" s="7"/>
      <c r="P2133" s="7"/>
      <c r="Q2133" s="7"/>
      <c r="R2133" s="7"/>
      <c r="S2133" s="7"/>
      <c r="T2133" s="7"/>
      <c r="U2133" s="7"/>
      <c r="V2133" s="7"/>
      <c r="W2133" s="7"/>
      <c r="X2133" s="7"/>
      <c r="Y2133" s="7"/>
    </row>
    <row r="2134">
      <c r="A2134" s="14" t="s">
        <v>7790</v>
      </c>
      <c r="B2134" s="17" t="s">
        <v>7791</v>
      </c>
      <c r="C2134" s="17" t="s">
        <v>7792</v>
      </c>
      <c r="D2134" s="19" t="s">
        <v>7793</v>
      </c>
      <c r="E2134" s="20" t="s">
        <v>104</v>
      </c>
      <c r="F2134" s="21">
        <v>32821.0</v>
      </c>
      <c r="G2134" s="14">
        <v>36.0</v>
      </c>
      <c r="H2134" s="23" t="s">
        <v>26</v>
      </c>
      <c r="I2134" s="24" t="s">
        <v>33</v>
      </c>
      <c r="J2134" s="19" t="s">
        <v>7786</v>
      </c>
      <c r="K2134" s="14">
        <v>16.0</v>
      </c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</row>
    <row r="2135">
      <c r="A2135" s="14" t="s">
        <v>7794</v>
      </c>
      <c r="B2135" s="17" t="s">
        <v>7791</v>
      </c>
      <c r="C2135" s="17" t="s">
        <v>7795</v>
      </c>
      <c r="D2135" s="19" t="s">
        <v>7796</v>
      </c>
      <c r="E2135" s="20" t="s">
        <v>1095</v>
      </c>
      <c r="F2135" s="21">
        <v>34021.0</v>
      </c>
      <c r="G2135" s="14">
        <v>33.0</v>
      </c>
      <c r="H2135" s="23" t="s">
        <v>26</v>
      </c>
      <c r="I2135" s="24" t="s">
        <v>27</v>
      </c>
      <c r="J2135" s="19" t="s">
        <v>7786</v>
      </c>
      <c r="K2135" s="14">
        <v>16.0</v>
      </c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</row>
    <row r="2136">
      <c r="A2136" s="14" t="s">
        <v>7797</v>
      </c>
      <c r="B2136" s="17" t="s">
        <v>7798</v>
      </c>
      <c r="C2136" s="17" t="s">
        <v>7799</v>
      </c>
      <c r="D2136" s="19" t="s">
        <v>7800</v>
      </c>
      <c r="E2136" s="20" t="s">
        <v>7801</v>
      </c>
      <c r="F2136" s="21">
        <v>35593.0</v>
      </c>
      <c r="G2136" s="14">
        <v>29.0</v>
      </c>
      <c r="H2136" s="23" t="s">
        <v>26</v>
      </c>
      <c r="I2136" s="24" t="s">
        <v>27</v>
      </c>
      <c r="J2136" s="19" t="s">
        <v>4079</v>
      </c>
      <c r="K2136" s="14">
        <v>22.0</v>
      </c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</row>
    <row r="2137">
      <c r="A2137" s="14" t="s">
        <v>7802</v>
      </c>
      <c r="B2137" s="17" t="s">
        <v>7798</v>
      </c>
      <c r="C2137" s="17" t="s">
        <v>7803</v>
      </c>
      <c r="D2137" s="19" t="s">
        <v>7804</v>
      </c>
      <c r="E2137" s="20" t="s">
        <v>53</v>
      </c>
      <c r="F2137" s="21">
        <v>36202.0</v>
      </c>
      <c r="G2137" s="14">
        <v>27.0</v>
      </c>
      <c r="H2137" s="23" t="s">
        <v>26</v>
      </c>
      <c r="I2137" s="24" t="s">
        <v>33</v>
      </c>
      <c r="J2137" s="19" t="s">
        <v>4079</v>
      </c>
      <c r="K2137" s="14">
        <v>22.0</v>
      </c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</row>
    <row r="2138">
      <c r="A2138" s="14" t="s">
        <v>7805</v>
      </c>
      <c r="B2138" s="17" t="s">
        <v>7806</v>
      </c>
      <c r="C2138" s="17" t="s">
        <v>7807</v>
      </c>
      <c r="D2138" s="19" t="s">
        <v>7808</v>
      </c>
      <c r="E2138" s="20" t="s">
        <v>210</v>
      </c>
      <c r="F2138" s="21">
        <v>31935.0</v>
      </c>
      <c r="G2138" s="14">
        <v>39.0</v>
      </c>
      <c r="H2138" s="23" t="s">
        <v>26</v>
      </c>
      <c r="I2138" s="24" t="s">
        <v>27</v>
      </c>
      <c r="J2138" s="19" t="s">
        <v>206</v>
      </c>
      <c r="K2138" s="14">
        <v>2.0</v>
      </c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</row>
    <row r="2139">
      <c r="A2139" s="14" t="s">
        <v>7809</v>
      </c>
      <c r="B2139" s="17" t="s">
        <v>7806</v>
      </c>
      <c r="C2139" s="17" t="s">
        <v>7810</v>
      </c>
      <c r="D2139" s="19" t="s">
        <v>7811</v>
      </c>
      <c r="E2139" s="20" t="s">
        <v>138</v>
      </c>
      <c r="F2139" s="21">
        <v>39320.0</v>
      </c>
      <c r="G2139" s="14">
        <v>19.0</v>
      </c>
      <c r="H2139" s="23" t="s">
        <v>100</v>
      </c>
      <c r="I2139" s="24" t="s">
        <v>33</v>
      </c>
      <c r="J2139" s="19" t="s">
        <v>206</v>
      </c>
      <c r="K2139" s="14">
        <v>2.0</v>
      </c>
      <c r="L2139" s="7"/>
      <c r="M2139" s="7"/>
      <c r="N2139" s="7"/>
      <c r="O2139" s="7"/>
      <c r="P2139" s="7"/>
      <c r="Q2139" s="7"/>
      <c r="R2139" s="7"/>
      <c r="S2139" s="7"/>
      <c r="T2139" s="7"/>
      <c r="U2139" s="7"/>
      <c r="V2139" s="7"/>
      <c r="W2139" s="7"/>
      <c r="X2139" s="7"/>
      <c r="Y2139" s="7"/>
    </row>
    <row r="2140">
      <c r="A2140" s="14" t="s">
        <v>7812</v>
      </c>
      <c r="B2140" s="17" t="s">
        <v>7806</v>
      </c>
      <c r="C2140" s="17" t="s">
        <v>7813</v>
      </c>
      <c r="D2140" s="19" t="s">
        <v>7814</v>
      </c>
      <c r="E2140" s="20" t="s">
        <v>7815</v>
      </c>
      <c r="F2140" s="21">
        <v>28677.0</v>
      </c>
      <c r="G2140" s="14">
        <v>48.0</v>
      </c>
      <c r="H2140" s="23" t="s">
        <v>26</v>
      </c>
      <c r="I2140" s="24" t="s">
        <v>33</v>
      </c>
      <c r="J2140" s="19" t="s">
        <v>206</v>
      </c>
      <c r="K2140" s="14">
        <v>2.0</v>
      </c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</row>
    <row r="2141">
      <c r="A2141" s="14" t="s">
        <v>7816</v>
      </c>
      <c r="B2141" s="17" t="s">
        <v>7806</v>
      </c>
      <c r="C2141" s="17" t="s">
        <v>7817</v>
      </c>
      <c r="D2141" s="19" t="s">
        <v>7818</v>
      </c>
      <c r="E2141" s="20" t="s">
        <v>210</v>
      </c>
      <c r="F2141" s="27">
        <v>24061.0</v>
      </c>
      <c r="G2141" s="14">
        <v>60.0</v>
      </c>
      <c r="H2141" s="23" t="s">
        <v>100</v>
      </c>
      <c r="I2141" s="24" t="s">
        <v>27</v>
      </c>
      <c r="J2141" s="19" t="s">
        <v>206</v>
      </c>
      <c r="K2141" s="14">
        <v>2.0</v>
      </c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7"/>
    </row>
    <row r="2142">
      <c r="A2142" s="14" t="s">
        <v>7819</v>
      </c>
      <c r="B2142" s="17" t="s">
        <v>7820</v>
      </c>
      <c r="C2142" s="17" t="s">
        <v>7821</v>
      </c>
      <c r="D2142" s="19" t="s">
        <v>7822</v>
      </c>
      <c r="E2142" s="20" t="s">
        <v>7182</v>
      </c>
      <c r="F2142" s="21">
        <v>32363.0</v>
      </c>
      <c r="G2142" s="14">
        <v>38.0</v>
      </c>
      <c r="H2142" s="23" t="s">
        <v>26</v>
      </c>
      <c r="I2142" s="24" t="s">
        <v>33</v>
      </c>
      <c r="J2142" s="19" t="s">
        <v>206</v>
      </c>
      <c r="K2142" s="14">
        <v>1.0</v>
      </c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</row>
    <row r="2143">
      <c r="A2143" s="14" t="s">
        <v>7823</v>
      </c>
      <c r="B2143" s="17" t="s">
        <v>7820</v>
      </c>
      <c r="C2143" s="17" t="s">
        <v>7824</v>
      </c>
      <c r="D2143" s="19" t="s">
        <v>7825</v>
      </c>
      <c r="E2143" s="20" t="s">
        <v>434</v>
      </c>
      <c r="F2143" s="21">
        <v>32966.0</v>
      </c>
      <c r="G2143" s="14">
        <v>36.0</v>
      </c>
      <c r="H2143" s="23" t="s">
        <v>26</v>
      </c>
      <c r="I2143" s="24" t="s">
        <v>27</v>
      </c>
      <c r="J2143" s="19" t="s">
        <v>206</v>
      </c>
      <c r="K2143" s="14">
        <v>1.0</v>
      </c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7"/>
    </row>
    <row r="2144">
      <c r="A2144" s="14" t="s">
        <v>7826</v>
      </c>
      <c r="B2144" s="17" t="s">
        <v>7827</v>
      </c>
      <c r="C2144" s="17" t="s">
        <v>7828</v>
      </c>
      <c r="D2144" s="19" t="s">
        <v>7829</v>
      </c>
      <c r="E2144" s="20" t="s">
        <v>104</v>
      </c>
      <c r="F2144" s="21">
        <v>35404.0</v>
      </c>
      <c r="G2144" s="14">
        <v>29.0</v>
      </c>
      <c r="H2144" s="23" t="s">
        <v>26</v>
      </c>
      <c r="I2144" s="24" t="s">
        <v>27</v>
      </c>
      <c r="J2144" s="19" t="s">
        <v>146</v>
      </c>
      <c r="K2144" s="14">
        <v>8.0</v>
      </c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</row>
    <row r="2145">
      <c r="A2145" s="14" t="s">
        <v>7830</v>
      </c>
      <c r="B2145" s="17" t="s">
        <v>7827</v>
      </c>
      <c r="C2145" s="17" t="s">
        <v>7831</v>
      </c>
      <c r="D2145" s="19" t="s">
        <v>7832</v>
      </c>
      <c r="E2145" s="20" t="s">
        <v>1622</v>
      </c>
      <c r="F2145" s="21">
        <v>33793.0</v>
      </c>
      <c r="G2145" s="14">
        <v>34.0</v>
      </c>
      <c r="H2145" s="23" t="s">
        <v>26</v>
      </c>
      <c r="I2145" s="24" t="s">
        <v>33</v>
      </c>
      <c r="J2145" s="19" t="s">
        <v>146</v>
      </c>
      <c r="K2145" s="14">
        <v>8.0</v>
      </c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</row>
    <row r="2146">
      <c r="A2146" s="14" t="s">
        <v>7833</v>
      </c>
      <c r="B2146" s="17" t="s">
        <v>7834</v>
      </c>
      <c r="C2146" s="17" t="s">
        <v>7835</v>
      </c>
      <c r="D2146" s="19" t="s">
        <v>7836</v>
      </c>
      <c r="E2146" s="20" t="s">
        <v>337</v>
      </c>
      <c r="F2146" s="21">
        <v>38624.0</v>
      </c>
      <c r="G2146" s="14">
        <v>20.0</v>
      </c>
      <c r="H2146" s="23" t="s">
        <v>100</v>
      </c>
      <c r="I2146" s="24" t="s">
        <v>33</v>
      </c>
      <c r="J2146" s="19" t="s">
        <v>39</v>
      </c>
      <c r="K2146" s="14">
        <v>11.0</v>
      </c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7"/>
    </row>
    <row r="2147">
      <c r="A2147" s="14" t="s">
        <v>7837</v>
      </c>
      <c r="B2147" s="17" t="s">
        <v>7834</v>
      </c>
      <c r="C2147" s="17" t="s">
        <v>7838</v>
      </c>
      <c r="D2147" s="19" t="s">
        <v>5638</v>
      </c>
      <c r="E2147" s="20" t="s">
        <v>4958</v>
      </c>
      <c r="F2147" s="21">
        <v>28985.0</v>
      </c>
      <c r="G2147" s="14">
        <v>47.0</v>
      </c>
      <c r="H2147" s="23" t="s">
        <v>26</v>
      </c>
      <c r="I2147" s="24" t="s">
        <v>33</v>
      </c>
      <c r="J2147" s="19" t="s">
        <v>726</v>
      </c>
      <c r="K2147" s="14">
        <v>11.0</v>
      </c>
      <c r="L2147" s="7"/>
      <c r="M2147" s="7"/>
      <c r="N2147" s="7"/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7"/>
    </row>
    <row r="2148">
      <c r="A2148" s="14" t="s">
        <v>7839</v>
      </c>
      <c r="B2148" s="17" t="s">
        <v>7834</v>
      </c>
      <c r="C2148" s="17" t="s">
        <v>7840</v>
      </c>
      <c r="D2148" s="19" t="s">
        <v>386</v>
      </c>
      <c r="E2148" s="20" t="s">
        <v>53</v>
      </c>
      <c r="F2148" s="21">
        <v>31664.0</v>
      </c>
      <c r="G2148" s="14">
        <v>39.0</v>
      </c>
      <c r="H2148" s="23" t="s">
        <v>26</v>
      </c>
      <c r="I2148" s="24" t="s">
        <v>27</v>
      </c>
      <c r="J2148" s="19" t="s">
        <v>726</v>
      </c>
      <c r="K2148" s="14">
        <v>11.0</v>
      </c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</row>
    <row r="2149">
      <c r="A2149" s="14" t="s">
        <v>7841</v>
      </c>
      <c r="B2149" s="17" t="s">
        <v>7842</v>
      </c>
      <c r="C2149" s="17" t="s">
        <v>7843</v>
      </c>
      <c r="D2149" s="19" t="s">
        <v>7844</v>
      </c>
      <c r="E2149" s="20" t="s">
        <v>53</v>
      </c>
      <c r="F2149" s="27">
        <v>34688.0</v>
      </c>
      <c r="G2149" s="14">
        <v>31.0</v>
      </c>
      <c r="H2149" s="23" t="s">
        <v>26</v>
      </c>
      <c r="I2149" s="24" t="s">
        <v>33</v>
      </c>
      <c r="J2149" s="19" t="s">
        <v>517</v>
      </c>
      <c r="K2149" s="14">
        <v>6.0</v>
      </c>
      <c r="L2149" s="7"/>
      <c r="M2149" s="7"/>
      <c r="N2149" s="7"/>
      <c r="O2149" s="7"/>
      <c r="P2149" s="7"/>
      <c r="Q2149" s="7"/>
      <c r="R2149" s="7"/>
      <c r="S2149" s="7"/>
      <c r="T2149" s="7"/>
      <c r="U2149" s="7"/>
      <c r="V2149" s="7"/>
      <c r="W2149" s="7"/>
      <c r="X2149" s="7"/>
      <c r="Y2149" s="7"/>
    </row>
    <row r="2150">
      <c r="A2150" s="14" t="s">
        <v>7845</v>
      </c>
      <c r="B2150" s="17" t="s">
        <v>7842</v>
      </c>
      <c r="C2150" s="17" t="s">
        <v>7846</v>
      </c>
      <c r="D2150" s="19" t="s">
        <v>7847</v>
      </c>
      <c r="E2150" s="20" t="s">
        <v>53</v>
      </c>
      <c r="F2150" s="21">
        <v>36397.0</v>
      </c>
      <c r="G2150" s="14">
        <v>27.0</v>
      </c>
      <c r="H2150" s="23" t="s">
        <v>26</v>
      </c>
      <c r="I2150" s="24" t="s">
        <v>27</v>
      </c>
      <c r="J2150" s="19" t="s">
        <v>517</v>
      </c>
      <c r="K2150" s="14">
        <v>6.0</v>
      </c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</row>
    <row r="2151">
      <c r="A2151" s="14" t="s">
        <v>7848</v>
      </c>
      <c r="B2151" s="17" t="s">
        <v>7849</v>
      </c>
      <c r="C2151" s="17" t="s">
        <v>7850</v>
      </c>
      <c r="D2151" s="19" t="s">
        <v>7851</v>
      </c>
      <c r="E2151" s="20" t="s">
        <v>53</v>
      </c>
      <c r="F2151" s="21">
        <v>30784.0</v>
      </c>
      <c r="G2151" s="14">
        <v>42.0</v>
      </c>
      <c r="H2151" s="23" t="s">
        <v>26</v>
      </c>
      <c r="I2151" s="24" t="s">
        <v>33</v>
      </c>
      <c r="J2151" s="19" t="s">
        <v>146</v>
      </c>
      <c r="K2151" s="14">
        <v>5.0</v>
      </c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7"/>
    </row>
    <row r="2152">
      <c r="A2152" s="14" t="s">
        <v>7853</v>
      </c>
      <c r="B2152" s="17" t="s">
        <v>7849</v>
      </c>
      <c r="C2152" s="17" t="s">
        <v>7854</v>
      </c>
      <c r="D2152" s="19" t="s">
        <v>2392</v>
      </c>
      <c r="E2152" s="20" t="s">
        <v>7855</v>
      </c>
      <c r="F2152" s="21">
        <v>29990.0</v>
      </c>
      <c r="G2152" s="14">
        <v>44.0</v>
      </c>
      <c r="H2152" s="23" t="s">
        <v>26</v>
      </c>
      <c r="I2152" s="24" t="s">
        <v>27</v>
      </c>
      <c r="J2152" s="19" t="s">
        <v>146</v>
      </c>
      <c r="K2152" s="14">
        <v>5.0</v>
      </c>
      <c r="L2152" s="7"/>
      <c r="M2152" s="7"/>
      <c r="N2152" s="7"/>
      <c r="O2152" s="7"/>
      <c r="P2152" s="7"/>
      <c r="Q2152" s="7"/>
      <c r="R2152" s="7"/>
      <c r="S2152" s="7"/>
      <c r="T2152" s="7"/>
      <c r="U2152" s="7"/>
      <c r="V2152" s="7"/>
      <c r="W2152" s="7"/>
      <c r="X2152" s="7"/>
      <c r="Y2152" s="7"/>
    </row>
    <row r="2153">
      <c r="A2153" s="14" t="s">
        <v>7856</v>
      </c>
      <c r="B2153" s="17" t="s">
        <v>7857</v>
      </c>
      <c r="C2153" s="17" t="s">
        <v>7858</v>
      </c>
      <c r="D2153" s="19" t="s">
        <v>7859</v>
      </c>
      <c r="E2153" s="20" t="s">
        <v>7860</v>
      </c>
      <c r="F2153" s="21">
        <v>33504.0</v>
      </c>
      <c r="G2153" s="14">
        <v>34.0</v>
      </c>
      <c r="H2153" s="23" t="s">
        <v>26</v>
      </c>
      <c r="I2153" s="24" t="s">
        <v>33</v>
      </c>
      <c r="J2153" s="19" t="s">
        <v>146</v>
      </c>
      <c r="K2153" s="14">
        <v>10.0</v>
      </c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7"/>
    </row>
    <row r="2154">
      <c r="A2154" s="14" t="s">
        <v>7861</v>
      </c>
      <c r="B2154" s="17" t="s">
        <v>7857</v>
      </c>
      <c r="C2154" s="17" t="s">
        <v>7862</v>
      </c>
      <c r="D2154" s="19" t="s">
        <v>7863</v>
      </c>
      <c r="E2154" s="20" t="s">
        <v>53</v>
      </c>
      <c r="F2154" s="21">
        <v>34479.0</v>
      </c>
      <c r="G2154" s="14">
        <v>32.0</v>
      </c>
      <c r="H2154" s="23" t="s">
        <v>26</v>
      </c>
      <c r="I2154" s="24" t="s">
        <v>27</v>
      </c>
      <c r="J2154" s="19" t="s">
        <v>146</v>
      </c>
      <c r="K2154" s="14">
        <v>10.0</v>
      </c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7"/>
    </row>
    <row r="2155">
      <c r="A2155" s="14" t="s">
        <v>7864</v>
      </c>
      <c r="B2155" s="17" t="s">
        <v>7865</v>
      </c>
      <c r="C2155" s="17" t="s">
        <v>7866</v>
      </c>
      <c r="D2155" s="19" t="s">
        <v>7867</v>
      </c>
      <c r="E2155" s="20" t="s">
        <v>104</v>
      </c>
      <c r="F2155" s="21">
        <v>36949.0</v>
      </c>
      <c r="G2155" s="14">
        <v>25.0</v>
      </c>
      <c r="H2155" s="23" t="s">
        <v>100</v>
      </c>
      <c r="I2155" s="24" t="s">
        <v>33</v>
      </c>
      <c r="J2155" s="19" t="s">
        <v>206</v>
      </c>
      <c r="K2155" s="14">
        <v>9.0</v>
      </c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7"/>
    </row>
    <row r="2156">
      <c r="A2156" s="14" t="s">
        <v>7868</v>
      </c>
      <c r="B2156" s="17" t="s">
        <v>7865</v>
      </c>
      <c r="C2156" s="17" t="s">
        <v>7869</v>
      </c>
      <c r="D2156" s="19" t="s">
        <v>7870</v>
      </c>
      <c r="E2156" s="20" t="s">
        <v>104</v>
      </c>
      <c r="F2156" s="21">
        <v>28126.0</v>
      </c>
      <c r="G2156" s="14">
        <v>49.0</v>
      </c>
      <c r="H2156" s="23" t="s">
        <v>26</v>
      </c>
      <c r="I2156" s="24" t="s">
        <v>33</v>
      </c>
      <c r="J2156" s="19" t="s">
        <v>206</v>
      </c>
      <c r="K2156" s="14">
        <v>9.0</v>
      </c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</row>
    <row r="2157">
      <c r="A2157" s="14" t="s">
        <v>7871</v>
      </c>
      <c r="B2157" s="17" t="s">
        <v>7865</v>
      </c>
      <c r="C2157" s="17" t="s">
        <v>7872</v>
      </c>
      <c r="D2157" s="19" t="s">
        <v>7873</v>
      </c>
      <c r="E2157" s="20" t="s">
        <v>104</v>
      </c>
      <c r="F2157" s="21">
        <v>30203.0</v>
      </c>
      <c r="G2157" s="14">
        <v>43.0</v>
      </c>
      <c r="H2157" s="23" t="s">
        <v>26</v>
      </c>
      <c r="I2157" s="24" t="s">
        <v>27</v>
      </c>
      <c r="J2157" s="19" t="s">
        <v>206</v>
      </c>
      <c r="K2157" s="14">
        <v>9.0</v>
      </c>
      <c r="L2157" s="7"/>
      <c r="M2157" s="7"/>
      <c r="N2157" s="7"/>
      <c r="O2157" s="7"/>
      <c r="P2157" s="7"/>
      <c r="Q2157" s="7"/>
      <c r="R2157" s="7"/>
      <c r="S2157" s="7"/>
      <c r="T2157" s="7"/>
      <c r="U2157" s="7"/>
      <c r="V2157" s="7"/>
      <c r="W2157" s="7"/>
      <c r="X2157" s="7"/>
      <c r="Y2157" s="7"/>
    </row>
    <row r="2158">
      <c r="A2158" s="14" t="s">
        <v>7874</v>
      </c>
      <c r="B2158" s="17" t="s">
        <v>7875</v>
      </c>
      <c r="C2158" s="17" t="s">
        <v>7876</v>
      </c>
      <c r="D2158" s="19" t="s">
        <v>7877</v>
      </c>
      <c r="E2158" s="20" t="s">
        <v>434</v>
      </c>
      <c r="F2158" s="27">
        <v>20373.0</v>
      </c>
      <c r="G2158" s="14">
        <v>70.0</v>
      </c>
      <c r="H2158" s="23" t="s">
        <v>27</v>
      </c>
      <c r="I2158" s="24" t="s">
        <v>33</v>
      </c>
      <c r="J2158" s="19" t="s">
        <v>517</v>
      </c>
      <c r="K2158" s="14">
        <v>8.0</v>
      </c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</row>
    <row r="2159">
      <c r="A2159" s="14" t="s">
        <v>7878</v>
      </c>
      <c r="B2159" s="17" t="s">
        <v>7879</v>
      </c>
      <c r="C2159" s="17" t="s">
        <v>7880</v>
      </c>
      <c r="D2159" s="19" t="s">
        <v>7881</v>
      </c>
      <c r="E2159" s="20" t="s">
        <v>195</v>
      </c>
      <c r="F2159" s="21">
        <v>29051.0</v>
      </c>
      <c r="G2159" s="14">
        <v>47.0</v>
      </c>
      <c r="H2159" s="23" t="s">
        <v>26</v>
      </c>
      <c r="I2159" s="24" t="s">
        <v>33</v>
      </c>
      <c r="J2159" s="19" t="s">
        <v>517</v>
      </c>
      <c r="K2159" s="14">
        <v>5.0</v>
      </c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7"/>
    </row>
    <row r="2160">
      <c r="A2160" s="14" t="s">
        <v>7882</v>
      </c>
      <c r="B2160" s="17" t="s">
        <v>7879</v>
      </c>
      <c r="C2160" s="17" t="s">
        <v>7883</v>
      </c>
      <c r="D2160" s="19" t="s">
        <v>7884</v>
      </c>
      <c r="E2160" s="20" t="s">
        <v>7885</v>
      </c>
      <c r="F2160" s="21">
        <v>29735.0</v>
      </c>
      <c r="G2160" s="14">
        <v>45.0</v>
      </c>
      <c r="H2160" s="23" t="s">
        <v>26</v>
      </c>
      <c r="I2160" s="24" t="s">
        <v>27</v>
      </c>
      <c r="J2160" s="19" t="s">
        <v>517</v>
      </c>
      <c r="K2160" s="14">
        <v>5.0</v>
      </c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</row>
    <row r="2161">
      <c r="A2161" s="14" t="s">
        <v>7886</v>
      </c>
      <c r="B2161" s="17" t="s">
        <v>7887</v>
      </c>
      <c r="C2161" s="17" t="s">
        <v>7888</v>
      </c>
      <c r="D2161" s="19" t="s">
        <v>7889</v>
      </c>
      <c r="E2161" s="20" t="s">
        <v>104</v>
      </c>
      <c r="F2161" s="21">
        <v>39264.0</v>
      </c>
      <c r="G2161" s="14">
        <v>19.0</v>
      </c>
      <c r="H2161" s="23" t="s">
        <v>100</v>
      </c>
      <c r="I2161" s="24" t="s">
        <v>33</v>
      </c>
      <c r="J2161" s="19" t="s">
        <v>597</v>
      </c>
      <c r="K2161" s="14">
        <v>19.0</v>
      </c>
      <c r="L2161" s="7"/>
      <c r="M2161" s="7"/>
      <c r="N2161" s="7"/>
      <c r="O2161" s="7"/>
      <c r="P2161" s="7"/>
      <c r="Q2161" s="7"/>
      <c r="R2161" s="7"/>
      <c r="S2161" s="7"/>
      <c r="T2161" s="7"/>
      <c r="U2161" s="7"/>
      <c r="V2161" s="7"/>
      <c r="W2161" s="7"/>
      <c r="X2161" s="7"/>
      <c r="Y2161" s="7"/>
    </row>
    <row r="2162">
      <c r="A2162" s="14" t="s">
        <v>7890</v>
      </c>
      <c r="B2162" s="17" t="s">
        <v>7887</v>
      </c>
      <c r="C2162" s="17" t="s">
        <v>7891</v>
      </c>
      <c r="D2162" s="19" t="s">
        <v>7892</v>
      </c>
      <c r="E2162" s="20" t="s">
        <v>7893</v>
      </c>
      <c r="F2162" s="21">
        <v>14793.0</v>
      </c>
      <c r="G2162" s="14">
        <v>86.0</v>
      </c>
      <c r="H2162" s="23" t="s">
        <v>26</v>
      </c>
      <c r="I2162" s="24" t="s">
        <v>27</v>
      </c>
      <c r="J2162" s="19" t="s">
        <v>597</v>
      </c>
      <c r="K2162" s="14">
        <v>19.0</v>
      </c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7"/>
    </row>
    <row r="2163">
      <c r="A2163" s="14" t="s">
        <v>7894</v>
      </c>
      <c r="B2163" s="17" t="s">
        <v>7895</v>
      </c>
      <c r="C2163" s="17" t="s">
        <v>7896</v>
      </c>
      <c r="D2163" s="19" t="s">
        <v>7897</v>
      </c>
      <c r="E2163" s="20" t="s">
        <v>1786</v>
      </c>
      <c r="F2163" s="21">
        <v>25645.0</v>
      </c>
      <c r="G2163" s="14">
        <v>56.0</v>
      </c>
      <c r="H2163" s="23" t="s">
        <v>26</v>
      </c>
      <c r="I2163" s="24" t="s">
        <v>33</v>
      </c>
      <c r="J2163" s="19" t="s">
        <v>146</v>
      </c>
      <c r="K2163" s="14">
        <v>2.0</v>
      </c>
      <c r="L2163" s="7"/>
      <c r="M2163" s="7"/>
      <c r="N2163" s="7"/>
      <c r="O2163" s="7"/>
      <c r="P2163" s="7"/>
      <c r="Q2163" s="7"/>
      <c r="R2163" s="7"/>
      <c r="S2163" s="7"/>
      <c r="T2163" s="7"/>
      <c r="U2163" s="7"/>
      <c r="V2163" s="7"/>
      <c r="W2163" s="7"/>
      <c r="X2163" s="7"/>
      <c r="Y2163" s="7"/>
    </row>
    <row r="2164">
      <c r="A2164" s="14" t="s">
        <v>7898</v>
      </c>
      <c r="B2164" s="17" t="s">
        <v>7895</v>
      </c>
      <c r="C2164" s="17" t="s">
        <v>7899</v>
      </c>
      <c r="D2164" s="19" t="s">
        <v>7900</v>
      </c>
      <c r="E2164" s="20" t="s">
        <v>434</v>
      </c>
      <c r="F2164" s="21">
        <v>26541.0</v>
      </c>
      <c r="G2164" s="14">
        <v>54.0</v>
      </c>
      <c r="H2164" s="23" t="s">
        <v>26</v>
      </c>
      <c r="I2164" s="24" t="s">
        <v>27</v>
      </c>
      <c r="J2164" s="19" t="s">
        <v>146</v>
      </c>
      <c r="K2164" s="14">
        <v>2.0</v>
      </c>
      <c r="L2164" s="7"/>
      <c r="M2164" s="7"/>
      <c r="N2164" s="7"/>
      <c r="O2164" s="7"/>
      <c r="P2164" s="7"/>
      <c r="Q2164" s="7"/>
      <c r="R2164" s="7"/>
      <c r="S2164" s="7"/>
      <c r="T2164" s="7"/>
      <c r="U2164" s="7"/>
      <c r="V2164" s="7"/>
      <c r="W2164" s="7"/>
      <c r="X2164" s="7"/>
      <c r="Y2164" s="7"/>
    </row>
    <row r="2165">
      <c r="A2165" s="14" t="s">
        <v>7901</v>
      </c>
      <c r="B2165" s="17" t="s">
        <v>7902</v>
      </c>
      <c r="C2165" s="17" t="s">
        <v>7903</v>
      </c>
      <c r="D2165" s="19" t="s">
        <v>7904</v>
      </c>
      <c r="E2165" s="20" t="s">
        <v>650</v>
      </c>
      <c r="F2165" s="21">
        <v>22748.0</v>
      </c>
      <c r="G2165" s="14">
        <v>64.0</v>
      </c>
      <c r="H2165" s="23" t="s">
        <v>27</v>
      </c>
      <c r="I2165" s="24" t="s">
        <v>27</v>
      </c>
      <c r="J2165" s="19" t="s">
        <v>7905</v>
      </c>
      <c r="K2165" s="14">
        <v>23.0</v>
      </c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</row>
    <row r="2166">
      <c r="A2166" s="14" t="s">
        <v>7906</v>
      </c>
      <c r="B2166" s="17" t="s">
        <v>7907</v>
      </c>
      <c r="C2166" s="17" t="s">
        <v>7908</v>
      </c>
      <c r="D2166" s="19" t="s">
        <v>7909</v>
      </c>
      <c r="E2166" s="20" t="s">
        <v>7910</v>
      </c>
      <c r="F2166" s="21">
        <v>27576.0</v>
      </c>
      <c r="G2166" s="14">
        <v>51.0</v>
      </c>
      <c r="H2166" s="23" t="s">
        <v>26</v>
      </c>
      <c r="I2166" s="24" t="s">
        <v>33</v>
      </c>
      <c r="J2166" s="19" t="s">
        <v>53</v>
      </c>
      <c r="K2166" s="14">
        <v>29.0</v>
      </c>
      <c r="L2166" s="7"/>
      <c r="M2166" s="7"/>
      <c r="N2166" s="7"/>
      <c r="O2166" s="7"/>
      <c r="P2166" s="7"/>
      <c r="Q2166" s="7"/>
      <c r="R2166" s="7"/>
      <c r="S2166" s="7"/>
      <c r="T2166" s="7"/>
      <c r="U2166" s="7"/>
      <c r="V2166" s="7"/>
      <c r="W2166" s="7"/>
      <c r="X2166" s="7"/>
      <c r="Y2166" s="7"/>
    </row>
    <row r="2167">
      <c r="A2167" s="14" t="s">
        <v>7911</v>
      </c>
      <c r="B2167" s="17" t="s">
        <v>7907</v>
      </c>
      <c r="C2167" s="17" t="s">
        <v>7912</v>
      </c>
      <c r="D2167" s="19" t="s">
        <v>7913</v>
      </c>
      <c r="E2167" s="20" t="s">
        <v>104</v>
      </c>
      <c r="F2167" s="27">
        <v>35064.0</v>
      </c>
      <c r="G2167" s="14">
        <v>30.0</v>
      </c>
      <c r="H2167" s="23" t="s">
        <v>26</v>
      </c>
      <c r="I2167" s="24" t="s">
        <v>27</v>
      </c>
      <c r="J2167" s="19" t="s">
        <v>53</v>
      </c>
      <c r="K2167" s="14">
        <v>29.0</v>
      </c>
      <c r="L2167" s="7"/>
      <c r="M2167" s="7"/>
      <c r="N2167" s="7"/>
      <c r="O2167" s="7"/>
      <c r="P2167" s="7"/>
      <c r="Q2167" s="7"/>
      <c r="R2167" s="7"/>
      <c r="S2167" s="7"/>
      <c r="T2167" s="7"/>
      <c r="U2167" s="7"/>
      <c r="V2167" s="7"/>
      <c r="W2167" s="7"/>
      <c r="X2167" s="7"/>
      <c r="Y2167" s="7"/>
    </row>
    <row r="2168">
      <c r="A2168" s="14" t="s">
        <v>7914</v>
      </c>
      <c r="B2168" s="17" t="s">
        <v>7915</v>
      </c>
      <c r="C2168" s="17" t="s">
        <v>7916</v>
      </c>
      <c r="D2168" s="19" t="s">
        <v>7917</v>
      </c>
      <c r="E2168" s="20" t="s">
        <v>3587</v>
      </c>
      <c r="F2168" s="21">
        <v>27288.0</v>
      </c>
      <c r="G2168" s="14">
        <v>51.0</v>
      </c>
      <c r="H2168" s="23" t="s">
        <v>26</v>
      </c>
      <c r="I2168" s="24" t="s">
        <v>27</v>
      </c>
      <c r="J2168" s="19" t="s">
        <v>146</v>
      </c>
      <c r="K2168" s="14">
        <v>10.0</v>
      </c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7"/>
    </row>
    <row r="2169">
      <c r="A2169" s="14" t="s">
        <v>7918</v>
      </c>
      <c r="B2169" s="17" t="s">
        <v>7915</v>
      </c>
      <c r="C2169" s="17" t="s">
        <v>7919</v>
      </c>
      <c r="D2169" s="19" t="s">
        <v>6215</v>
      </c>
      <c r="E2169" s="20" t="s">
        <v>1816</v>
      </c>
      <c r="F2169" s="21">
        <v>28754.0</v>
      </c>
      <c r="G2169" s="14">
        <v>47.0</v>
      </c>
      <c r="H2169" s="23" t="s">
        <v>26</v>
      </c>
      <c r="I2169" s="24" t="s">
        <v>33</v>
      </c>
      <c r="J2169" s="19" t="s">
        <v>146</v>
      </c>
      <c r="K2169" s="14">
        <v>10.0</v>
      </c>
      <c r="L2169" s="7"/>
      <c r="M2169" s="7"/>
      <c r="N2169" s="7"/>
      <c r="O2169" s="7"/>
      <c r="P2169" s="7"/>
      <c r="Q2169" s="7"/>
      <c r="R2169" s="7"/>
      <c r="S2169" s="7"/>
      <c r="T2169" s="7"/>
      <c r="U2169" s="7"/>
      <c r="V2169" s="7"/>
      <c r="W2169" s="7"/>
      <c r="X2169" s="7"/>
      <c r="Y2169" s="7"/>
    </row>
    <row r="2170">
      <c r="A2170" s="14" t="s">
        <v>7920</v>
      </c>
      <c r="B2170" s="17" t="s">
        <v>7921</v>
      </c>
      <c r="C2170" s="17" t="s">
        <v>7922</v>
      </c>
      <c r="D2170" s="19" t="s">
        <v>7923</v>
      </c>
      <c r="E2170" s="20" t="s">
        <v>650</v>
      </c>
      <c r="F2170" s="21">
        <v>17899.0</v>
      </c>
      <c r="G2170" s="14">
        <v>77.0</v>
      </c>
      <c r="H2170" s="23" t="s">
        <v>27</v>
      </c>
      <c r="I2170" s="24" t="s">
        <v>27</v>
      </c>
      <c r="J2170" s="19" t="s">
        <v>146</v>
      </c>
      <c r="K2170" s="14">
        <v>10.0</v>
      </c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</row>
    <row r="2171">
      <c r="A2171" s="14" t="s">
        <v>7924</v>
      </c>
      <c r="B2171" s="17" t="s">
        <v>7925</v>
      </c>
      <c r="C2171" s="17" t="s">
        <v>7926</v>
      </c>
      <c r="D2171" s="19" t="s">
        <v>7927</v>
      </c>
      <c r="E2171" s="20" t="s">
        <v>104</v>
      </c>
      <c r="F2171" s="27">
        <v>28486.0</v>
      </c>
      <c r="G2171" s="14">
        <v>48.0</v>
      </c>
      <c r="H2171" s="23" t="s">
        <v>26</v>
      </c>
      <c r="I2171" s="24" t="s">
        <v>33</v>
      </c>
      <c r="J2171" s="19" t="s">
        <v>146</v>
      </c>
      <c r="K2171" s="14">
        <v>8.0</v>
      </c>
      <c r="L2171" s="7"/>
      <c r="M2171" s="7"/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7"/>
    </row>
    <row r="2172">
      <c r="A2172" s="14" t="s">
        <v>7928</v>
      </c>
      <c r="B2172" s="17" t="s">
        <v>7925</v>
      </c>
      <c r="C2172" s="17" t="s">
        <v>7929</v>
      </c>
      <c r="D2172" s="19" t="s">
        <v>7930</v>
      </c>
      <c r="E2172" s="20" t="s">
        <v>104</v>
      </c>
      <c r="F2172" s="21">
        <v>37480.0</v>
      </c>
      <c r="G2172" s="14">
        <v>24.0</v>
      </c>
      <c r="H2172" s="23" t="s">
        <v>100</v>
      </c>
      <c r="I2172" s="24" t="s">
        <v>33</v>
      </c>
      <c r="J2172" s="19" t="s">
        <v>146</v>
      </c>
      <c r="K2172" s="14">
        <v>8.0</v>
      </c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</row>
    <row r="2173">
      <c r="A2173" s="14" t="s">
        <v>7931</v>
      </c>
      <c r="B2173" s="17" t="s">
        <v>7925</v>
      </c>
      <c r="C2173" s="17" t="s">
        <v>7932</v>
      </c>
      <c r="D2173" s="19" t="s">
        <v>7933</v>
      </c>
      <c r="E2173" s="20" t="s">
        <v>104</v>
      </c>
      <c r="F2173" s="21">
        <v>29680.0</v>
      </c>
      <c r="G2173" s="14">
        <v>45.0</v>
      </c>
      <c r="H2173" s="23" t="s">
        <v>26</v>
      </c>
      <c r="I2173" s="24" t="s">
        <v>27</v>
      </c>
      <c r="J2173" s="19" t="s">
        <v>146</v>
      </c>
      <c r="K2173" s="14">
        <v>8.0</v>
      </c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7"/>
    </row>
    <row r="2174">
      <c r="A2174" s="14" t="s">
        <v>7934</v>
      </c>
      <c r="B2174" s="17" t="s">
        <v>7935</v>
      </c>
      <c r="C2174" s="17" t="s">
        <v>7936</v>
      </c>
      <c r="D2174" s="19" t="s">
        <v>7937</v>
      </c>
      <c r="E2174" s="20" t="s">
        <v>53</v>
      </c>
      <c r="F2174" s="21">
        <v>36167.0</v>
      </c>
      <c r="G2174" s="14">
        <v>27.0</v>
      </c>
      <c r="H2174" s="23" t="s">
        <v>26</v>
      </c>
      <c r="I2174" s="24" t="s">
        <v>33</v>
      </c>
      <c r="J2174" s="19" t="s">
        <v>328</v>
      </c>
      <c r="K2174" s="14">
        <v>22.0</v>
      </c>
      <c r="L2174" s="7"/>
      <c r="M2174" s="7"/>
      <c r="N2174" s="7"/>
      <c r="O2174" s="7"/>
      <c r="P2174" s="7"/>
      <c r="Q2174" s="7"/>
      <c r="R2174" s="7"/>
      <c r="S2174" s="7"/>
      <c r="T2174" s="7"/>
      <c r="U2174" s="7"/>
      <c r="V2174" s="7"/>
      <c r="W2174" s="7"/>
      <c r="X2174" s="7"/>
      <c r="Y2174" s="7"/>
    </row>
    <row r="2175">
      <c r="A2175" s="14" t="s">
        <v>7938</v>
      </c>
      <c r="B2175" s="17" t="s">
        <v>7935</v>
      </c>
      <c r="C2175" s="17" t="s">
        <v>7939</v>
      </c>
      <c r="D2175" s="19" t="s">
        <v>7940</v>
      </c>
      <c r="E2175" s="20" t="s">
        <v>53</v>
      </c>
      <c r="F2175" s="21">
        <v>36613.0</v>
      </c>
      <c r="G2175" s="14">
        <v>26.0</v>
      </c>
      <c r="H2175" s="23" t="s">
        <v>26</v>
      </c>
      <c r="I2175" s="24" t="s">
        <v>27</v>
      </c>
      <c r="J2175" s="19" t="s">
        <v>328</v>
      </c>
      <c r="K2175" s="14">
        <v>22.0</v>
      </c>
      <c r="L2175" s="7"/>
      <c r="M2175" s="7"/>
      <c r="N2175" s="7"/>
      <c r="O2175" s="7"/>
      <c r="P2175" s="7"/>
      <c r="Q2175" s="7"/>
      <c r="R2175" s="7"/>
      <c r="S2175" s="7"/>
      <c r="T2175" s="7"/>
      <c r="U2175" s="7"/>
      <c r="V2175" s="7"/>
      <c r="W2175" s="7"/>
      <c r="X2175" s="7"/>
      <c r="Y2175" s="7"/>
    </row>
    <row r="2176">
      <c r="A2176" s="14" t="s">
        <v>7941</v>
      </c>
      <c r="B2176" s="17" t="s">
        <v>7942</v>
      </c>
      <c r="C2176" s="17" t="s">
        <v>7943</v>
      </c>
      <c r="D2176" s="19" t="s">
        <v>7944</v>
      </c>
      <c r="E2176" s="20" t="s">
        <v>429</v>
      </c>
      <c r="F2176" s="21">
        <v>11146.0</v>
      </c>
      <c r="G2176" s="14">
        <v>96.0</v>
      </c>
      <c r="H2176" s="23" t="s">
        <v>26</v>
      </c>
      <c r="I2176" s="24" t="s">
        <v>33</v>
      </c>
      <c r="J2176" s="19" t="s">
        <v>7945</v>
      </c>
      <c r="K2176" s="14">
        <v>16.0</v>
      </c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7"/>
    </row>
    <row r="2177">
      <c r="A2177" s="14" t="s">
        <v>7946</v>
      </c>
      <c r="B2177" s="17" t="s">
        <v>7942</v>
      </c>
      <c r="C2177" s="17" t="s">
        <v>7947</v>
      </c>
      <c r="D2177" s="19" t="s">
        <v>3114</v>
      </c>
      <c r="E2177" s="20" t="s">
        <v>231</v>
      </c>
      <c r="F2177" s="21">
        <v>14215.0</v>
      </c>
      <c r="G2177" s="14">
        <v>87.0</v>
      </c>
      <c r="H2177" s="23" t="s">
        <v>26</v>
      </c>
      <c r="I2177" s="24" t="s">
        <v>27</v>
      </c>
      <c r="J2177" s="19" t="s">
        <v>7945</v>
      </c>
      <c r="K2177" s="14">
        <v>16.0</v>
      </c>
      <c r="L2177" s="7"/>
      <c r="M2177" s="7"/>
      <c r="N2177" s="7"/>
      <c r="O2177" s="7"/>
      <c r="P2177" s="7"/>
      <c r="Q2177" s="7"/>
      <c r="R2177" s="7"/>
      <c r="S2177" s="7"/>
      <c r="T2177" s="7"/>
      <c r="U2177" s="7"/>
      <c r="V2177" s="7"/>
      <c r="W2177" s="7"/>
      <c r="X2177" s="7"/>
      <c r="Y2177" s="7"/>
    </row>
    <row r="2178">
      <c r="A2178" s="14" t="s">
        <v>7948</v>
      </c>
      <c r="B2178" s="17" t="s">
        <v>7949</v>
      </c>
      <c r="C2178" s="17" t="s">
        <v>7950</v>
      </c>
      <c r="D2178" s="19" t="s">
        <v>7951</v>
      </c>
      <c r="E2178" s="20" t="s">
        <v>7952</v>
      </c>
      <c r="F2178" s="27">
        <v>35048.0</v>
      </c>
      <c r="G2178" s="14">
        <v>30.0</v>
      </c>
      <c r="H2178" s="23" t="s">
        <v>26</v>
      </c>
      <c r="I2178" s="24" t="s">
        <v>27</v>
      </c>
      <c r="J2178" s="19" t="s">
        <v>156</v>
      </c>
      <c r="K2178" s="14">
        <v>31.0</v>
      </c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7"/>
    </row>
    <row r="2179">
      <c r="A2179" s="14" t="s">
        <v>7953</v>
      </c>
      <c r="B2179" s="17" t="s">
        <v>7949</v>
      </c>
      <c r="C2179" s="17" t="s">
        <v>7954</v>
      </c>
      <c r="D2179" s="19" t="s">
        <v>7955</v>
      </c>
      <c r="E2179" s="20" t="s">
        <v>104</v>
      </c>
      <c r="F2179" s="21">
        <v>33984.0</v>
      </c>
      <c r="G2179" s="14">
        <v>33.0</v>
      </c>
      <c r="H2179" s="23" t="s">
        <v>26</v>
      </c>
      <c r="I2179" s="24" t="s">
        <v>33</v>
      </c>
      <c r="J2179" s="19" t="s">
        <v>156</v>
      </c>
      <c r="K2179" s="14">
        <v>31.0</v>
      </c>
      <c r="L2179" s="7"/>
      <c r="M2179" s="7"/>
      <c r="N2179" s="7"/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7"/>
    </row>
    <row r="2180">
      <c r="A2180" s="14" t="s">
        <v>7956</v>
      </c>
      <c r="B2180" s="17" t="s">
        <v>7957</v>
      </c>
      <c r="C2180" s="17" t="s">
        <v>7958</v>
      </c>
      <c r="D2180" s="19" t="s">
        <v>7959</v>
      </c>
      <c r="E2180" s="20" t="s">
        <v>7960</v>
      </c>
      <c r="F2180" s="21">
        <v>32929.0</v>
      </c>
      <c r="G2180" s="14">
        <v>36.0</v>
      </c>
      <c r="H2180" s="23" t="s">
        <v>26</v>
      </c>
      <c r="I2180" s="24" t="s">
        <v>27</v>
      </c>
      <c r="J2180" s="19" t="s">
        <v>328</v>
      </c>
      <c r="K2180" s="14">
        <v>25.0</v>
      </c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</row>
    <row r="2181">
      <c r="A2181" s="14" t="s">
        <v>7961</v>
      </c>
      <c r="B2181" s="17" t="s">
        <v>7962</v>
      </c>
      <c r="C2181" s="17" t="s">
        <v>7963</v>
      </c>
      <c r="D2181" s="19" t="s">
        <v>7964</v>
      </c>
      <c r="E2181" s="20" t="s">
        <v>303</v>
      </c>
      <c r="F2181" s="21">
        <v>26846.0</v>
      </c>
      <c r="G2181" s="14">
        <v>53.0</v>
      </c>
      <c r="H2181" s="23" t="s">
        <v>26</v>
      </c>
      <c r="I2181" s="24" t="s">
        <v>27</v>
      </c>
      <c r="J2181" s="19" t="s">
        <v>156</v>
      </c>
      <c r="K2181" s="14">
        <v>28.0</v>
      </c>
      <c r="L2181" s="7"/>
      <c r="M2181" s="7"/>
      <c r="N2181" s="7"/>
      <c r="O2181" s="7"/>
      <c r="P2181" s="7"/>
      <c r="Q2181" s="7"/>
      <c r="R2181" s="7"/>
      <c r="S2181" s="7"/>
      <c r="T2181" s="7"/>
      <c r="U2181" s="7"/>
      <c r="V2181" s="7"/>
      <c r="W2181" s="7"/>
      <c r="X2181" s="7"/>
      <c r="Y2181" s="7"/>
    </row>
    <row r="2182">
      <c r="A2182" s="14" t="s">
        <v>7965</v>
      </c>
      <c r="B2182" s="17" t="s">
        <v>7962</v>
      </c>
      <c r="C2182" s="17" t="s">
        <v>7966</v>
      </c>
      <c r="D2182" s="19" t="s">
        <v>7967</v>
      </c>
      <c r="E2182" s="20" t="s">
        <v>290</v>
      </c>
      <c r="F2182" s="21">
        <v>25757.0</v>
      </c>
      <c r="G2182" s="14">
        <v>56.0</v>
      </c>
      <c r="H2182" s="23" t="s">
        <v>26</v>
      </c>
      <c r="I2182" s="24" t="s">
        <v>33</v>
      </c>
      <c r="J2182" s="19" t="s">
        <v>68</v>
      </c>
      <c r="K2182" s="14">
        <v>28.0</v>
      </c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7"/>
    </row>
    <row r="2183">
      <c r="A2183" s="14" t="s">
        <v>7968</v>
      </c>
      <c r="B2183" s="17" t="s">
        <v>7969</v>
      </c>
      <c r="C2183" s="17" t="s">
        <v>7970</v>
      </c>
      <c r="D2183" s="19" t="s">
        <v>7971</v>
      </c>
      <c r="E2183" s="20" t="s">
        <v>605</v>
      </c>
      <c r="F2183" s="21">
        <v>32594.0</v>
      </c>
      <c r="G2183" s="14">
        <v>37.0</v>
      </c>
      <c r="H2183" s="23" t="s">
        <v>26</v>
      </c>
      <c r="I2183" s="24" t="s">
        <v>33</v>
      </c>
      <c r="J2183" s="19" t="s">
        <v>282</v>
      </c>
      <c r="K2183" s="14">
        <v>12.0</v>
      </c>
      <c r="L2183" s="7"/>
      <c r="M2183" s="7"/>
      <c r="N2183" s="7"/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7"/>
    </row>
    <row r="2184">
      <c r="A2184" s="14" t="s">
        <v>7972</v>
      </c>
      <c r="B2184" s="17" t="s">
        <v>7969</v>
      </c>
      <c r="C2184" s="17" t="s">
        <v>7973</v>
      </c>
      <c r="D2184" s="19" t="s">
        <v>7974</v>
      </c>
      <c r="E2184" s="20" t="s">
        <v>53</v>
      </c>
      <c r="F2184" s="21">
        <v>33646.0</v>
      </c>
      <c r="G2184" s="14">
        <v>34.0</v>
      </c>
      <c r="H2184" s="23" t="s">
        <v>26</v>
      </c>
      <c r="I2184" s="24" t="s">
        <v>27</v>
      </c>
      <c r="J2184" s="19" t="s">
        <v>282</v>
      </c>
      <c r="K2184" s="14">
        <v>12.0</v>
      </c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7"/>
    </row>
    <row r="2185">
      <c r="A2185" s="14" t="s">
        <v>7975</v>
      </c>
      <c r="B2185" s="17" t="s">
        <v>7976</v>
      </c>
      <c r="C2185" s="17" t="s">
        <v>7977</v>
      </c>
      <c r="D2185" s="19" t="s">
        <v>7978</v>
      </c>
      <c r="E2185" s="20" t="s">
        <v>104</v>
      </c>
      <c r="F2185" s="21">
        <v>32648.0</v>
      </c>
      <c r="G2185" s="14">
        <v>37.0</v>
      </c>
      <c r="H2185" s="23" t="s">
        <v>26</v>
      </c>
      <c r="I2185" s="24" t="s">
        <v>33</v>
      </c>
      <c r="J2185" s="19" t="s">
        <v>53</v>
      </c>
      <c r="K2185" s="14">
        <v>10.0</v>
      </c>
      <c r="L2185" s="7"/>
      <c r="M2185" s="7"/>
      <c r="N2185" s="7"/>
      <c r="O2185" s="7"/>
      <c r="P2185" s="7"/>
      <c r="Q2185" s="7"/>
      <c r="R2185" s="7"/>
      <c r="S2185" s="7"/>
      <c r="T2185" s="7"/>
      <c r="U2185" s="7"/>
      <c r="V2185" s="7"/>
      <c r="W2185" s="7"/>
      <c r="X2185" s="7"/>
      <c r="Y2185" s="7"/>
    </row>
    <row r="2186">
      <c r="A2186" s="14" t="s">
        <v>7979</v>
      </c>
      <c r="B2186" s="17" t="s">
        <v>7980</v>
      </c>
      <c r="C2186" s="17" t="s">
        <v>7981</v>
      </c>
      <c r="D2186" s="19" t="s">
        <v>7982</v>
      </c>
      <c r="E2186" s="20" t="s">
        <v>138</v>
      </c>
      <c r="F2186" s="27">
        <v>36817.0</v>
      </c>
      <c r="G2186" s="14">
        <v>25.0</v>
      </c>
      <c r="H2186" s="23" t="s">
        <v>26</v>
      </c>
      <c r="I2186" s="24" t="s">
        <v>33</v>
      </c>
      <c r="J2186" s="19" t="s">
        <v>328</v>
      </c>
      <c r="K2186" s="14">
        <v>19.0</v>
      </c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</row>
    <row r="2187">
      <c r="A2187" s="14" t="s">
        <v>7983</v>
      </c>
      <c r="B2187" s="17" t="s">
        <v>7980</v>
      </c>
      <c r="C2187" s="17" t="s">
        <v>7984</v>
      </c>
      <c r="D2187" s="19" t="s">
        <v>7985</v>
      </c>
      <c r="E2187" s="20" t="s">
        <v>104</v>
      </c>
      <c r="F2187" s="21">
        <v>37479.0</v>
      </c>
      <c r="G2187" s="14">
        <v>24.0</v>
      </c>
      <c r="H2187" s="23" t="s">
        <v>26</v>
      </c>
      <c r="I2187" s="24" t="s">
        <v>27</v>
      </c>
      <c r="J2187" s="19" t="s">
        <v>328</v>
      </c>
      <c r="K2187" s="14">
        <v>19.0</v>
      </c>
      <c r="L2187" s="7"/>
      <c r="M2187" s="7"/>
      <c r="N2187" s="7"/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7"/>
    </row>
    <row r="2188">
      <c r="A2188" s="14" t="s">
        <v>7986</v>
      </c>
      <c r="B2188" s="17" t="s">
        <v>7987</v>
      </c>
      <c r="C2188" s="17" t="s">
        <v>7988</v>
      </c>
      <c r="D2188" s="19" t="s">
        <v>7989</v>
      </c>
      <c r="E2188" s="20" t="s">
        <v>53</v>
      </c>
      <c r="F2188" s="21">
        <v>32264.0</v>
      </c>
      <c r="G2188" s="14">
        <v>38.0</v>
      </c>
      <c r="H2188" s="23" t="s">
        <v>100</v>
      </c>
      <c r="I2188" s="24" t="s">
        <v>33</v>
      </c>
      <c r="J2188" s="19" t="s">
        <v>362</v>
      </c>
      <c r="K2188" s="14">
        <v>23.0</v>
      </c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7"/>
    </row>
    <row r="2189">
      <c r="A2189" s="14" t="s">
        <v>7990</v>
      </c>
      <c r="B2189" s="17" t="s">
        <v>7987</v>
      </c>
      <c r="C2189" s="17" t="s">
        <v>7991</v>
      </c>
      <c r="D2189" s="19" t="s">
        <v>7992</v>
      </c>
      <c r="E2189" s="20" t="s">
        <v>624</v>
      </c>
      <c r="F2189" s="21">
        <v>24967.0</v>
      </c>
      <c r="G2189" s="14">
        <v>58.0</v>
      </c>
      <c r="H2189" s="23" t="s">
        <v>26</v>
      </c>
      <c r="I2189" s="24" t="s">
        <v>27</v>
      </c>
      <c r="J2189" s="19" t="s">
        <v>362</v>
      </c>
      <c r="K2189" s="14">
        <v>23.0</v>
      </c>
      <c r="L2189" s="7"/>
      <c r="M2189" s="7"/>
      <c r="N2189" s="7"/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7"/>
    </row>
    <row r="2190">
      <c r="A2190" s="14" t="s">
        <v>7993</v>
      </c>
      <c r="B2190" s="17" t="s">
        <v>7987</v>
      </c>
      <c r="C2190" s="17" t="s">
        <v>7994</v>
      </c>
      <c r="D2190" s="19" t="s">
        <v>7995</v>
      </c>
      <c r="E2190" s="20" t="s">
        <v>53</v>
      </c>
      <c r="F2190" s="21">
        <v>35289.0</v>
      </c>
      <c r="G2190" s="14">
        <v>30.0</v>
      </c>
      <c r="H2190" s="23" t="s">
        <v>100</v>
      </c>
      <c r="I2190" s="24" t="s">
        <v>33</v>
      </c>
      <c r="J2190" s="19" t="s">
        <v>362</v>
      </c>
      <c r="K2190" s="14">
        <v>23.0</v>
      </c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7"/>
    </row>
    <row r="2191">
      <c r="A2191" s="14" t="s">
        <v>7996</v>
      </c>
      <c r="B2191" s="17" t="s">
        <v>7997</v>
      </c>
      <c r="C2191" s="17" t="s">
        <v>7998</v>
      </c>
      <c r="D2191" s="19" t="s">
        <v>7999</v>
      </c>
      <c r="E2191" s="20" t="s">
        <v>624</v>
      </c>
      <c r="F2191" s="21">
        <v>30592.0</v>
      </c>
      <c r="G2191" s="14">
        <v>42.0</v>
      </c>
      <c r="H2191" s="23" t="s">
        <v>26</v>
      </c>
      <c r="I2191" s="24" t="s">
        <v>33</v>
      </c>
      <c r="J2191" s="19" t="s">
        <v>206</v>
      </c>
      <c r="K2191" s="14">
        <v>9.0</v>
      </c>
      <c r="L2191" s="7"/>
      <c r="M2191" s="7"/>
      <c r="N2191" s="7"/>
      <c r="O2191" s="7"/>
      <c r="P2191" s="7"/>
      <c r="Q2191" s="7"/>
      <c r="R2191" s="7"/>
      <c r="S2191" s="7"/>
      <c r="T2191" s="7"/>
      <c r="U2191" s="7"/>
      <c r="V2191" s="7"/>
      <c r="W2191" s="7"/>
      <c r="X2191" s="7"/>
      <c r="Y2191" s="7"/>
    </row>
    <row r="2192">
      <c r="A2192" s="14" t="s">
        <v>8000</v>
      </c>
      <c r="B2192" s="17" t="s">
        <v>7997</v>
      </c>
      <c r="C2192" s="17" t="s">
        <v>8001</v>
      </c>
      <c r="D2192" s="19" t="s">
        <v>8002</v>
      </c>
      <c r="E2192" s="20" t="s">
        <v>53</v>
      </c>
      <c r="F2192" s="21">
        <v>32241.0</v>
      </c>
      <c r="G2192" s="14">
        <v>38.0</v>
      </c>
      <c r="H2192" s="23" t="s">
        <v>26</v>
      </c>
      <c r="I2192" s="24" t="s">
        <v>27</v>
      </c>
      <c r="J2192" s="19" t="s">
        <v>206</v>
      </c>
      <c r="K2192" s="14">
        <v>9.0</v>
      </c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7"/>
    </row>
    <row r="2193">
      <c r="A2193" s="14" t="s">
        <v>8003</v>
      </c>
      <c r="B2193" s="17" t="s">
        <v>8004</v>
      </c>
      <c r="C2193" s="17" t="s">
        <v>8005</v>
      </c>
      <c r="D2193" s="19" t="s">
        <v>8006</v>
      </c>
      <c r="E2193" s="20" t="s">
        <v>104</v>
      </c>
      <c r="F2193" s="21">
        <v>38616.0</v>
      </c>
      <c r="G2193" s="14">
        <v>20.0</v>
      </c>
      <c r="H2193" s="23" t="s">
        <v>100</v>
      </c>
      <c r="I2193" s="24" t="s">
        <v>33</v>
      </c>
      <c r="J2193" s="19" t="s">
        <v>4231</v>
      </c>
      <c r="K2193" s="14">
        <v>20.0</v>
      </c>
      <c r="L2193" s="7"/>
      <c r="M2193" s="7"/>
      <c r="N2193" s="7"/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7"/>
    </row>
    <row r="2194">
      <c r="A2194" s="14" t="s">
        <v>8007</v>
      </c>
      <c r="B2194" s="17" t="s">
        <v>8004</v>
      </c>
      <c r="C2194" s="17" t="s">
        <v>8008</v>
      </c>
      <c r="D2194" s="19" t="s">
        <v>8009</v>
      </c>
      <c r="E2194" s="20" t="s">
        <v>104</v>
      </c>
      <c r="F2194" s="27">
        <v>31014.0</v>
      </c>
      <c r="G2194" s="14">
        <v>41.0</v>
      </c>
      <c r="H2194" s="23" t="s">
        <v>26</v>
      </c>
      <c r="I2194" s="24" t="s">
        <v>33</v>
      </c>
      <c r="J2194" s="19" t="s">
        <v>4231</v>
      </c>
      <c r="K2194" s="14">
        <v>20.0</v>
      </c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</row>
    <row r="2195">
      <c r="A2195" s="14" t="s">
        <v>8010</v>
      </c>
      <c r="B2195" s="17" t="s">
        <v>8004</v>
      </c>
      <c r="C2195" s="17" t="s">
        <v>8011</v>
      </c>
      <c r="D2195" s="19" t="s">
        <v>2074</v>
      </c>
      <c r="E2195" s="20" t="s">
        <v>104</v>
      </c>
      <c r="F2195" s="21">
        <v>32269.0</v>
      </c>
      <c r="G2195" s="14">
        <v>38.0</v>
      </c>
      <c r="H2195" s="23" t="s">
        <v>26</v>
      </c>
      <c r="I2195" s="24" t="s">
        <v>27</v>
      </c>
      <c r="J2195" s="19" t="s">
        <v>328</v>
      </c>
      <c r="K2195" s="14">
        <v>21.0</v>
      </c>
      <c r="L2195" s="7"/>
      <c r="M2195" s="7"/>
      <c r="N2195" s="7"/>
      <c r="O2195" s="7"/>
      <c r="P2195" s="7"/>
      <c r="Q2195" s="7"/>
      <c r="R2195" s="7"/>
      <c r="S2195" s="7"/>
      <c r="T2195" s="7"/>
      <c r="U2195" s="7"/>
      <c r="V2195" s="7"/>
      <c r="W2195" s="7"/>
      <c r="X2195" s="7"/>
      <c r="Y2195" s="7"/>
    </row>
    <row r="2196">
      <c r="A2196" s="14" t="s">
        <v>8012</v>
      </c>
      <c r="B2196" s="17" t="s">
        <v>8013</v>
      </c>
      <c r="C2196" s="17" t="s">
        <v>8014</v>
      </c>
      <c r="D2196" s="19" t="s">
        <v>8015</v>
      </c>
      <c r="E2196" s="20" t="s">
        <v>632</v>
      </c>
      <c r="F2196" s="21">
        <v>14797.0</v>
      </c>
      <c r="G2196" s="14">
        <v>86.0</v>
      </c>
      <c r="H2196" s="23" t="s">
        <v>26</v>
      </c>
      <c r="I2196" s="24" t="s">
        <v>33</v>
      </c>
      <c r="J2196" s="19" t="s">
        <v>328</v>
      </c>
      <c r="K2196" s="14">
        <v>22.0</v>
      </c>
      <c r="L2196" s="7"/>
      <c r="M2196" s="7"/>
      <c r="N2196" s="7"/>
      <c r="O2196" s="7"/>
      <c r="P2196" s="7"/>
      <c r="Q2196" s="7"/>
      <c r="R2196" s="7"/>
      <c r="S2196" s="7"/>
      <c r="T2196" s="7"/>
      <c r="U2196" s="7"/>
      <c r="V2196" s="7"/>
      <c r="W2196" s="7"/>
      <c r="X2196" s="7"/>
      <c r="Y2196" s="7"/>
    </row>
    <row r="2197">
      <c r="A2197" s="14" t="s">
        <v>8016</v>
      </c>
      <c r="B2197" s="17" t="s">
        <v>8017</v>
      </c>
      <c r="C2197" s="17" t="s">
        <v>8018</v>
      </c>
      <c r="D2197" s="19" t="s">
        <v>8019</v>
      </c>
      <c r="E2197" s="20" t="s">
        <v>7100</v>
      </c>
      <c r="F2197" s="21">
        <v>38950.0</v>
      </c>
      <c r="G2197" s="14">
        <v>20.0</v>
      </c>
      <c r="H2197" s="23" t="s">
        <v>100</v>
      </c>
      <c r="I2197" s="24" t="s">
        <v>27</v>
      </c>
      <c r="J2197" s="19" t="s">
        <v>328</v>
      </c>
      <c r="K2197" s="14">
        <v>23.0</v>
      </c>
      <c r="L2197" s="7"/>
      <c r="M2197" s="7"/>
      <c r="N2197" s="7"/>
      <c r="O2197" s="7"/>
      <c r="P2197" s="7"/>
      <c r="Q2197" s="7"/>
      <c r="R2197" s="7"/>
      <c r="S2197" s="7"/>
      <c r="T2197" s="7"/>
      <c r="U2197" s="7"/>
      <c r="V2197" s="7"/>
      <c r="W2197" s="7"/>
      <c r="X2197" s="7"/>
      <c r="Y2197" s="7"/>
    </row>
    <row r="2198">
      <c r="A2198" s="14" t="s">
        <v>8020</v>
      </c>
      <c r="B2198" s="17" t="s">
        <v>8017</v>
      </c>
      <c r="C2198" s="17" t="s">
        <v>8021</v>
      </c>
      <c r="D2198" s="19" t="s">
        <v>8022</v>
      </c>
      <c r="E2198" s="20" t="s">
        <v>104</v>
      </c>
      <c r="F2198" s="21">
        <v>29403.0</v>
      </c>
      <c r="G2198" s="14">
        <v>46.0</v>
      </c>
      <c r="H2198" s="23" t="s">
        <v>26</v>
      </c>
      <c r="I2198" s="24" t="s">
        <v>27</v>
      </c>
      <c r="J2198" s="19" t="s">
        <v>328</v>
      </c>
      <c r="K2198" s="14">
        <v>23.0</v>
      </c>
      <c r="L2198" s="7"/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7"/>
      <c r="X2198" s="7"/>
      <c r="Y2198" s="7"/>
    </row>
    <row r="2199">
      <c r="A2199" s="14" t="s">
        <v>8023</v>
      </c>
      <c r="B2199" s="17" t="s">
        <v>8017</v>
      </c>
      <c r="C2199" s="17" t="s">
        <v>8024</v>
      </c>
      <c r="D2199" s="19" t="s">
        <v>8025</v>
      </c>
      <c r="E2199" s="20" t="s">
        <v>650</v>
      </c>
      <c r="F2199" s="21">
        <v>23890.0</v>
      </c>
      <c r="G2199" s="14">
        <v>61.0</v>
      </c>
      <c r="H2199" s="23" t="s">
        <v>26</v>
      </c>
      <c r="I2199" s="24" t="s">
        <v>33</v>
      </c>
      <c r="J2199" s="19" t="s">
        <v>328</v>
      </c>
      <c r="K2199" s="14">
        <v>23.0</v>
      </c>
      <c r="L2199" s="7"/>
      <c r="M2199" s="7"/>
      <c r="N2199" s="7"/>
      <c r="O2199" s="7"/>
      <c r="P2199" s="7"/>
      <c r="Q2199" s="7"/>
      <c r="R2199" s="7"/>
      <c r="S2199" s="7"/>
      <c r="T2199" s="7"/>
      <c r="U2199" s="7"/>
      <c r="V2199" s="7"/>
      <c r="W2199" s="7"/>
      <c r="X2199" s="7"/>
      <c r="Y2199" s="7"/>
    </row>
    <row r="2200">
      <c r="A2200" s="14" t="s">
        <v>8026</v>
      </c>
      <c r="B2200" s="17" t="s">
        <v>8017</v>
      </c>
      <c r="C2200" s="17" t="s">
        <v>8027</v>
      </c>
      <c r="D2200" s="19" t="s">
        <v>8028</v>
      </c>
      <c r="E2200" s="20" t="s">
        <v>53</v>
      </c>
      <c r="F2200" s="21">
        <v>37488.0</v>
      </c>
      <c r="G2200" s="14">
        <v>24.0</v>
      </c>
      <c r="H2200" s="23" t="s">
        <v>100</v>
      </c>
      <c r="I2200" s="24" t="s">
        <v>27</v>
      </c>
      <c r="J2200" s="19" t="s">
        <v>328</v>
      </c>
      <c r="K2200" s="14">
        <v>23.0</v>
      </c>
      <c r="L2200" s="7"/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</row>
    <row r="2201">
      <c r="A2201" s="14" t="s">
        <v>8029</v>
      </c>
      <c r="B2201" s="17" t="s">
        <v>8030</v>
      </c>
      <c r="C2201" s="17" t="s">
        <v>8031</v>
      </c>
      <c r="D2201" s="19" t="s">
        <v>8032</v>
      </c>
      <c r="E2201" s="20" t="s">
        <v>1084</v>
      </c>
      <c r="F2201" s="21">
        <v>29406.0</v>
      </c>
      <c r="G2201" s="14">
        <v>46.0</v>
      </c>
      <c r="H2201" s="23" t="s">
        <v>27</v>
      </c>
      <c r="I2201" s="24" t="s">
        <v>27</v>
      </c>
      <c r="J2201" s="19" t="s">
        <v>68</v>
      </c>
      <c r="K2201" s="14">
        <v>32.0</v>
      </c>
      <c r="L2201" s="7"/>
      <c r="M2201" s="7"/>
      <c r="N2201" s="7"/>
      <c r="O2201" s="7"/>
      <c r="P2201" s="7"/>
      <c r="Q2201" s="7"/>
      <c r="R2201" s="7"/>
      <c r="S2201" s="7"/>
      <c r="T2201" s="7"/>
      <c r="U2201" s="7"/>
      <c r="V2201" s="7"/>
      <c r="W2201" s="7"/>
      <c r="X2201" s="7"/>
      <c r="Y2201" s="7"/>
    </row>
    <row r="2202">
      <c r="A2202" s="14" t="s">
        <v>8033</v>
      </c>
      <c r="B2202" s="17" t="s">
        <v>8034</v>
      </c>
      <c r="C2202" s="17" t="s">
        <v>8035</v>
      </c>
      <c r="D2202" s="19" t="s">
        <v>1951</v>
      </c>
      <c r="E2202" s="20" t="s">
        <v>104</v>
      </c>
      <c r="F2202" s="21">
        <v>32328.0</v>
      </c>
      <c r="G2202" s="14">
        <v>38.0</v>
      </c>
      <c r="H2202" s="23" t="s">
        <v>27</v>
      </c>
      <c r="I2202" s="24" t="s">
        <v>27</v>
      </c>
      <c r="J2202" s="19" t="s">
        <v>989</v>
      </c>
      <c r="K2202" s="14">
        <v>28.0</v>
      </c>
      <c r="L2202" s="7"/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7"/>
    </row>
    <row r="2203">
      <c r="A2203" s="14" t="s">
        <v>8036</v>
      </c>
      <c r="B2203" s="17" t="s">
        <v>8037</v>
      </c>
      <c r="C2203" s="17" t="s">
        <v>8038</v>
      </c>
      <c r="D2203" s="19" t="s">
        <v>8039</v>
      </c>
      <c r="E2203" s="20" t="s">
        <v>8040</v>
      </c>
      <c r="F2203" s="21">
        <v>34821.0</v>
      </c>
      <c r="G2203" s="14">
        <v>31.0</v>
      </c>
      <c r="H2203" s="23" t="s">
        <v>26</v>
      </c>
      <c r="I2203" s="24" t="s">
        <v>27</v>
      </c>
      <c r="J2203" s="19" t="s">
        <v>1296</v>
      </c>
      <c r="K2203" s="14">
        <v>17.0</v>
      </c>
      <c r="L2203" s="7"/>
      <c r="M2203" s="7"/>
      <c r="N2203" s="7"/>
      <c r="O2203" s="7"/>
      <c r="P2203" s="7"/>
      <c r="Q2203" s="7"/>
      <c r="R2203" s="7"/>
      <c r="S2203" s="7"/>
      <c r="T2203" s="7"/>
      <c r="U2203" s="7"/>
      <c r="V2203" s="7"/>
      <c r="W2203" s="7"/>
      <c r="X2203" s="7"/>
      <c r="Y2203" s="7"/>
    </row>
    <row r="2204">
      <c r="A2204" s="14" t="s">
        <v>8041</v>
      </c>
      <c r="B2204" s="17" t="s">
        <v>8037</v>
      </c>
      <c r="C2204" s="17" t="s">
        <v>8042</v>
      </c>
      <c r="D2204" s="19" t="s">
        <v>8043</v>
      </c>
      <c r="E2204" s="20" t="s">
        <v>337</v>
      </c>
      <c r="F2204" s="21">
        <v>31424.0</v>
      </c>
      <c r="G2204" s="14">
        <v>40.0</v>
      </c>
      <c r="H2204" s="23" t="s">
        <v>26</v>
      </c>
      <c r="I2204" s="24" t="s">
        <v>33</v>
      </c>
      <c r="J2204" s="19" t="s">
        <v>1296</v>
      </c>
      <c r="K2204" s="14">
        <v>17.0</v>
      </c>
      <c r="L2204" s="7"/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7"/>
    </row>
    <row r="2205">
      <c r="A2205" s="14" t="s">
        <v>8044</v>
      </c>
      <c r="B2205" s="17" t="s">
        <v>8045</v>
      </c>
      <c r="C2205" s="17" t="s">
        <v>8046</v>
      </c>
      <c r="D2205" s="19" t="s">
        <v>8047</v>
      </c>
      <c r="E2205" s="20" t="s">
        <v>337</v>
      </c>
      <c r="F2205" s="21">
        <v>36073.0</v>
      </c>
      <c r="G2205" s="14">
        <v>27.0</v>
      </c>
      <c r="H2205" s="23" t="s">
        <v>26</v>
      </c>
      <c r="I2205" s="24" t="s">
        <v>27</v>
      </c>
      <c r="J2205" s="19" t="s">
        <v>989</v>
      </c>
      <c r="K2205" s="14">
        <v>12.0</v>
      </c>
      <c r="L2205" s="7"/>
      <c r="M2205" s="7"/>
      <c r="N2205" s="7"/>
      <c r="O2205" s="7"/>
      <c r="P2205" s="7"/>
      <c r="Q2205" s="7"/>
      <c r="R2205" s="7"/>
      <c r="S2205" s="7"/>
      <c r="T2205" s="7"/>
      <c r="U2205" s="7"/>
      <c r="V2205" s="7"/>
      <c r="W2205" s="7"/>
      <c r="X2205" s="7"/>
      <c r="Y2205" s="7"/>
    </row>
    <row r="2206">
      <c r="A2206" s="14" t="s">
        <v>8048</v>
      </c>
      <c r="B2206" s="17" t="s">
        <v>8045</v>
      </c>
      <c r="C2206" s="17" t="s">
        <v>8049</v>
      </c>
      <c r="D2206" s="19" t="s">
        <v>8050</v>
      </c>
      <c r="E2206" s="20" t="s">
        <v>1733</v>
      </c>
      <c r="F2206" s="21">
        <v>34759.0</v>
      </c>
      <c r="G2206" s="14">
        <v>31.0</v>
      </c>
      <c r="H2206" s="23" t="s">
        <v>26</v>
      </c>
      <c r="I2206" s="24" t="s">
        <v>33</v>
      </c>
      <c r="J2206" s="19" t="s">
        <v>989</v>
      </c>
      <c r="K2206" s="14">
        <v>12.0</v>
      </c>
      <c r="L2206" s="7"/>
      <c r="M2206" s="7"/>
      <c r="N2206" s="7"/>
      <c r="O2206" s="7"/>
      <c r="P2206" s="7"/>
      <c r="Q2206" s="7"/>
      <c r="R2206" s="7"/>
      <c r="S2206" s="7"/>
      <c r="T2206" s="7"/>
      <c r="U2206" s="7"/>
      <c r="V2206" s="7"/>
      <c r="W2206" s="7"/>
      <c r="X2206" s="7"/>
      <c r="Y2206" s="7"/>
    </row>
    <row r="2207">
      <c r="A2207" s="14" t="s">
        <v>8051</v>
      </c>
      <c r="B2207" s="17" t="s">
        <v>8052</v>
      </c>
      <c r="C2207" s="17" t="s">
        <v>8053</v>
      </c>
      <c r="D2207" s="19" t="s">
        <v>8054</v>
      </c>
      <c r="E2207" s="20" t="s">
        <v>67</v>
      </c>
      <c r="F2207" s="21">
        <v>22042.0</v>
      </c>
      <c r="G2207" s="14">
        <v>66.0</v>
      </c>
      <c r="H2207" s="23" t="s">
        <v>26</v>
      </c>
      <c r="I2207" s="24" t="s">
        <v>27</v>
      </c>
      <c r="J2207" s="19" t="s">
        <v>726</v>
      </c>
      <c r="K2207" s="14">
        <v>14.0</v>
      </c>
      <c r="L2207" s="7"/>
      <c r="M2207" s="7"/>
      <c r="N2207" s="7"/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7"/>
    </row>
    <row r="2208">
      <c r="A2208" s="14" t="s">
        <v>8055</v>
      </c>
      <c r="B2208" s="17" t="s">
        <v>8052</v>
      </c>
      <c r="C2208" s="17" t="s">
        <v>8056</v>
      </c>
      <c r="D2208" s="19" t="s">
        <v>8057</v>
      </c>
      <c r="E2208" s="20" t="s">
        <v>67</v>
      </c>
      <c r="F2208" s="21">
        <v>17721.0</v>
      </c>
      <c r="G2208" s="14">
        <v>78.0</v>
      </c>
      <c r="H2208" s="23" t="s">
        <v>26</v>
      </c>
      <c r="I2208" s="24" t="s">
        <v>33</v>
      </c>
      <c r="J2208" s="19" t="s">
        <v>726</v>
      </c>
      <c r="K2208" s="14">
        <v>14.0</v>
      </c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</row>
    <row r="2209">
      <c r="A2209" s="14" t="s">
        <v>8058</v>
      </c>
      <c r="B2209" s="17" t="s">
        <v>8059</v>
      </c>
      <c r="C2209" s="17" t="s">
        <v>8060</v>
      </c>
      <c r="D2209" s="19" t="s">
        <v>4281</v>
      </c>
      <c r="E2209" s="20" t="s">
        <v>104</v>
      </c>
      <c r="F2209" s="21">
        <v>34038.0</v>
      </c>
      <c r="G2209" s="14">
        <v>33.0</v>
      </c>
      <c r="H2209" s="23" t="s">
        <v>26</v>
      </c>
      <c r="I2209" s="24" t="s">
        <v>27</v>
      </c>
      <c r="J2209" s="19" t="s">
        <v>8062</v>
      </c>
      <c r="K2209" s="14">
        <v>19.0</v>
      </c>
      <c r="L2209" s="7"/>
      <c r="M2209" s="7"/>
      <c r="N2209" s="7"/>
      <c r="O2209" s="7"/>
      <c r="P2209" s="7"/>
      <c r="Q2209" s="7"/>
      <c r="R2209" s="7"/>
      <c r="S2209" s="7"/>
      <c r="T2209" s="7"/>
      <c r="U2209" s="7"/>
      <c r="V2209" s="7"/>
      <c r="W2209" s="7"/>
      <c r="X2209" s="7"/>
      <c r="Y2209" s="7"/>
    </row>
    <row r="2210">
      <c r="A2210" s="14" t="s">
        <v>8064</v>
      </c>
      <c r="B2210" s="17" t="s">
        <v>8059</v>
      </c>
      <c r="C2210" s="17" t="s">
        <v>8065</v>
      </c>
      <c r="D2210" s="19" t="s">
        <v>2459</v>
      </c>
      <c r="E2210" s="20" t="s">
        <v>104</v>
      </c>
      <c r="F2210" s="21">
        <v>34762.0</v>
      </c>
      <c r="G2210" s="14">
        <v>31.0</v>
      </c>
      <c r="H2210" s="23" t="s">
        <v>26</v>
      </c>
      <c r="I2210" s="24" t="s">
        <v>33</v>
      </c>
      <c r="J2210" s="19" t="s">
        <v>8062</v>
      </c>
      <c r="K2210" s="14">
        <v>19.0</v>
      </c>
      <c r="L2210" s="7"/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7"/>
      <c r="X2210" s="7"/>
      <c r="Y2210" s="7"/>
    </row>
    <row r="2211">
      <c r="A2211" s="14" t="s">
        <v>8066</v>
      </c>
      <c r="B2211" s="17" t="s">
        <v>8067</v>
      </c>
      <c r="C2211" s="17" t="s">
        <v>8068</v>
      </c>
      <c r="D2211" s="19" t="s">
        <v>8069</v>
      </c>
      <c r="E2211" s="20" t="s">
        <v>53</v>
      </c>
      <c r="F2211" s="21">
        <v>32725.0</v>
      </c>
      <c r="G2211" s="14">
        <v>37.0</v>
      </c>
      <c r="H2211" s="23" t="s">
        <v>26</v>
      </c>
      <c r="I2211" s="24" t="s">
        <v>27</v>
      </c>
      <c r="J2211" s="19" t="s">
        <v>257</v>
      </c>
      <c r="K2211" s="14">
        <v>29.0</v>
      </c>
      <c r="L2211" s="7"/>
      <c r="M2211" s="7"/>
      <c r="N2211" s="7"/>
      <c r="O2211" s="7"/>
      <c r="P2211" s="7"/>
      <c r="Q2211" s="7"/>
      <c r="R2211" s="7"/>
      <c r="S2211" s="7"/>
      <c r="T2211" s="7"/>
      <c r="U2211" s="7"/>
      <c r="V2211" s="7"/>
      <c r="W2211" s="7"/>
      <c r="X2211" s="7"/>
      <c r="Y2211" s="7"/>
    </row>
    <row r="2212">
      <c r="A2212" s="14" t="s">
        <v>8070</v>
      </c>
      <c r="B2212" s="17" t="s">
        <v>8067</v>
      </c>
      <c r="C2212" s="17" t="s">
        <v>8071</v>
      </c>
      <c r="D2212" s="19" t="s">
        <v>8072</v>
      </c>
      <c r="E2212" s="20" t="s">
        <v>53</v>
      </c>
      <c r="F2212" s="21">
        <v>32678.0</v>
      </c>
      <c r="G2212" s="14">
        <v>37.0</v>
      </c>
      <c r="H2212" s="23" t="s">
        <v>26</v>
      </c>
      <c r="I2212" s="24" t="s">
        <v>33</v>
      </c>
      <c r="J2212" s="19" t="s">
        <v>257</v>
      </c>
      <c r="K2212" s="14">
        <v>29.0</v>
      </c>
      <c r="L2212" s="7"/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7"/>
      <c r="X2212" s="7"/>
      <c r="Y2212" s="7"/>
    </row>
    <row r="2213">
      <c r="A2213" s="14" t="s">
        <v>8073</v>
      </c>
      <c r="B2213" s="17" t="s">
        <v>8074</v>
      </c>
      <c r="C2213" s="17" t="s">
        <v>8075</v>
      </c>
      <c r="D2213" s="19" t="s">
        <v>8076</v>
      </c>
      <c r="E2213" s="20" t="s">
        <v>104</v>
      </c>
      <c r="F2213" s="27">
        <v>32822.0</v>
      </c>
      <c r="G2213" s="14">
        <v>36.0</v>
      </c>
      <c r="H2213" s="23" t="s">
        <v>26</v>
      </c>
      <c r="I2213" s="24" t="s">
        <v>27</v>
      </c>
      <c r="J2213" s="19" t="s">
        <v>4374</v>
      </c>
      <c r="K2213" s="14">
        <v>2.0</v>
      </c>
      <c r="L2213" s="7"/>
      <c r="M2213" s="7"/>
      <c r="N2213" s="7"/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7"/>
    </row>
    <row r="2214">
      <c r="A2214" s="14" t="s">
        <v>8077</v>
      </c>
      <c r="B2214" s="17" t="s">
        <v>8074</v>
      </c>
      <c r="C2214" s="17" t="s">
        <v>8078</v>
      </c>
      <c r="D2214" s="19" t="s">
        <v>8079</v>
      </c>
      <c r="E2214" s="20" t="s">
        <v>104</v>
      </c>
      <c r="F2214" s="27">
        <v>31705.0</v>
      </c>
      <c r="G2214" s="14">
        <v>39.0</v>
      </c>
      <c r="H2214" s="23" t="s">
        <v>26</v>
      </c>
      <c r="I2214" s="24" t="s">
        <v>33</v>
      </c>
      <c r="J2214" s="19" t="s">
        <v>4374</v>
      </c>
      <c r="K2214" s="14">
        <v>2.0</v>
      </c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7"/>
    </row>
    <row r="2215">
      <c r="A2215" s="14" t="s">
        <v>8080</v>
      </c>
      <c r="B2215" s="17" t="s">
        <v>8081</v>
      </c>
      <c r="C2215" s="17" t="s">
        <v>8082</v>
      </c>
      <c r="D2215" s="19" t="s">
        <v>8083</v>
      </c>
      <c r="E2215" s="20" t="s">
        <v>274</v>
      </c>
      <c r="F2215" s="21">
        <v>33210.0</v>
      </c>
      <c r="G2215" s="14">
        <v>35.0</v>
      </c>
      <c r="H2215" s="23" t="s">
        <v>26</v>
      </c>
      <c r="I2215" s="24" t="s">
        <v>33</v>
      </c>
      <c r="J2215" s="19" t="s">
        <v>257</v>
      </c>
      <c r="K2215" s="14">
        <v>3.0</v>
      </c>
      <c r="L2215" s="7"/>
      <c r="M2215" s="7"/>
      <c r="N2215" s="7"/>
      <c r="O2215" s="7"/>
      <c r="P2215" s="7"/>
      <c r="Q2215" s="7"/>
      <c r="R2215" s="7"/>
      <c r="S2215" s="7"/>
      <c r="T2215" s="7"/>
      <c r="U2215" s="7"/>
      <c r="V2215" s="7"/>
      <c r="W2215" s="7"/>
      <c r="X2215" s="7"/>
      <c r="Y2215" s="7"/>
    </row>
    <row r="2216">
      <c r="A2216" s="14" t="s">
        <v>8084</v>
      </c>
      <c r="B2216" s="17" t="s">
        <v>8081</v>
      </c>
      <c r="C2216" s="17" t="s">
        <v>8085</v>
      </c>
      <c r="D2216" s="19" t="s">
        <v>8086</v>
      </c>
      <c r="E2216" s="20" t="s">
        <v>104</v>
      </c>
      <c r="F2216" s="21">
        <v>33845.0</v>
      </c>
      <c r="G2216" s="14">
        <v>34.0</v>
      </c>
      <c r="H2216" s="23" t="s">
        <v>26</v>
      </c>
      <c r="I2216" s="24" t="s">
        <v>27</v>
      </c>
      <c r="J2216" s="19" t="s">
        <v>257</v>
      </c>
      <c r="K2216" s="14">
        <v>3.0</v>
      </c>
      <c r="L2216" s="7"/>
      <c r="M2216" s="7"/>
      <c r="N2216" s="7"/>
      <c r="O2216" s="7"/>
      <c r="P2216" s="7"/>
      <c r="Q2216" s="7"/>
      <c r="R2216" s="7"/>
      <c r="S2216" s="7"/>
      <c r="T2216" s="7"/>
      <c r="U2216" s="7"/>
      <c r="V2216" s="7"/>
      <c r="W2216" s="7"/>
      <c r="X2216" s="7"/>
      <c r="Y2216" s="7"/>
    </row>
    <row r="2217">
      <c r="A2217" s="14" t="s">
        <v>8087</v>
      </c>
      <c r="B2217" s="17" t="s">
        <v>8081</v>
      </c>
      <c r="C2217" s="17" t="s">
        <v>8088</v>
      </c>
      <c r="D2217" s="19" t="s">
        <v>8089</v>
      </c>
      <c r="E2217" s="20" t="s">
        <v>8090</v>
      </c>
      <c r="F2217" s="21">
        <v>18858.0</v>
      </c>
      <c r="G2217" s="14">
        <v>75.0</v>
      </c>
      <c r="H2217" s="23" t="s">
        <v>27</v>
      </c>
      <c r="I2217" s="24" t="s">
        <v>27</v>
      </c>
      <c r="J2217" s="19" t="s">
        <v>257</v>
      </c>
      <c r="K2217" s="14">
        <v>3.0</v>
      </c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7"/>
    </row>
    <row r="2218">
      <c r="A2218" s="14" t="s">
        <v>8091</v>
      </c>
      <c r="B2218" s="17" t="s">
        <v>8092</v>
      </c>
      <c r="C2218" s="17" t="s">
        <v>8093</v>
      </c>
      <c r="D2218" s="19" t="s">
        <v>8094</v>
      </c>
      <c r="E2218" s="20" t="s">
        <v>5208</v>
      </c>
      <c r="F2218" s="21">
        <v>34408.0</v>
      </c>
      <c r="G2218" s="14">
        <v>32.0</v>
      </c>
      <c r="H2218" s="23" t="s">
        <v>26</v>
      </c>
      <c r="I2218" s="24" t="s">
        <v>33</v>
      </c>
      <c r="J2218" s="19" t="s">
        <v>206</v>
      </c>
      <c r="K2218" s="14">
        <v>10.0</v>
      </c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7"/>
    </row>
    <row r="2219">
      <c r="A2219" s="14" t="s">
        <v>8095</v>
      </c>
      <c r="B2219" s="17" t="s">
        <v>8092</v>
      </c>
      <c r="C2219" s="17" t="s">
        <v>8096</v>
      </c>
      <c r="D2219" s="19" t="s">
        <v>8097</v>
      </c>
      <c r="E2219" s="20" t="s">
        <v>104</v>
      </c>
      <c r="F2219" s="27">
        <v>34999.0</v>
      </c>
      <c r="G2219" s="14">
        <v>30.0</v>
      </c>
      <c r="H2219" s="23" t="s">
        <v>26</v>
      </c>
      <c r="I2219" s="24" t="s">
        <v>27</v>
      </c>
      <c r="J2219" s="19" t="s">
        <v>206</v>
      </c>
      <c r="K2219" s="14">
        <v>10.0</v>
      </c>
      <c r="L2219" s="7"/>
      <c r="M2219" s="7"/>
      <c r="N2219" s="7"/>
      <c r="O2219" s="7"/>
      <c r="P2219" s="7"/>
      <c r="Q2219" s="7"/>
      <c r="R2219" s="7"/>
      <c r="S2219" s="7"/>
      <c r="T2219" s="7"/>
      <c r="U2219" s="7"/>
      <c r="V2219" s="7"/>
      <c r="W2219" s="7"/>
      <c r="X2219" s="7"/>
      <c r="Y2219" s="7"/>
    </row>
    <row r="2220">
      <c r="A2220" s="14" t="s">
        <v>8098</v>
      </c>
      <c r="B2220" s="17" t="s">
        <v>8099</v>
      </c>
      <c r="C2220" s="17" t="s">
        <v>8100</v>
      </c>
      <c r="D2220" s="19" t="s">
        <v>8101</v>
      </c>
      <c r="E2220" s="20" t="s">
        <v>53</v>
      </c>
      <c r="F2220" s="21">
        <v>30350.0</v>
      </c>
      <c r="G2220" s="14">
        <v>43.0</v>
      </c>
      <c r="H2220" s="23" t="s">
        <v>26</v>
      </c>
      <c r="I2220" s="24" t="s">
        <v>33</v>
      </c>
      <c r="J2220" s="19" t="s">
        <v>156</v>
      </c>
      <c r="K2220" s="14">
        <v>20.0</v>
      </c>
      <c r="L2220" s="7"/>
      <c r="M2220" s="7"/>
      <c r="N2220" s="7"/>
      <c r="O2220" s="7"/>
      <c r="P2220" s="7"/>
      <c r="Q2220" s="7"/>
      <c r="R2220" s="7"/>
      <c r="S2220" s="7"/>
      <c r="T2220" s="7"/>
      <c r="U2220" s="7"/>
      <c r="V2220" s="7"/>
      <c r="W2220" s="7"/>
      <c r="X2220" s="7"/>
      <c r="Y2220" s="7"/>
    </row>
    <row r="2221">
      <c r="A2221" s="14" t="s">
        <v>8102</v>
      </c>
      <c r="B2221" s="17" t="s">
        <v>8099</v>
      </c>
      <c r="C2221" s="17" t="s">
        <v>8103</v>
      </c>
      <c r="D2221" s="19" t="s">
        <v>8104</v>
      </c>
      <c r="E2221" s="20" t="s">
        <v>219</v>
      </c>
      <c r="F2221" s="21">
        <v>32612.0</v>
      </c>
      <c r="G2221" s="14">
        <v>37.0</v>
      </c>
      <c r="H2221" s="23" t="s">
        <v>26</v>
      </c>
      <c r="I2221" s="24" t="s">
        <v>27</v>
      </c>
      <c r="J2221" s="19" t="s">
        <v>156</v>
      </c>
      <c r="K2221" s="14">
        <v>20.0</v>
      </c>
      <c r="L2221" s="7"/>
      <c r="M2221" s="7"/>
      <c r="N2221" s="7"/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7"/>
    </row>
    <row r="2222">
      <c r="A2222" s="14" t="s">
        <v>8105</v>
      </c>
      <c r="B2222" s="17" t="s">
        <v>8106</v>
      </c>
      <c r="C2222" s="17" t="s">
        <v>8107</v>
      </c>
      <c r="D2222" s="19" t="s">
        <v>8108</v>
      </c>
      <c r="E2222" s="20" t="s">
        <v>112</v>
      </c>
      <c r="F2222" s="21">
        <v>20672.0</v>
      </c>
      <c r="G2222" s="14">
        <v>70.0</v>
      </c>
      <c r="H2222" s="23" t="s">
        <v>27</v>
      </c>
      <c r="I2222" s="24" t="s">
        <v>27</v>
      </c>
      <c r="J2222" s="19" t="s">
        <v>362</v>
      </c>
      <c r="K2222" s="14">
        <v>19.0</v>
      </c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7"/>
    </row>
    <row r="2223">
      <c r="A2223" s="14" t="s">
        <v>8109</v>
      </c>
      <c r="B2223" s="17" t="s">
        <v>8110</v>
      </c>
      <c r="C2223" s="17" t="s">
        <v>8111</v>
      </c>
      <c r="D2223" s="19" t="s">
        <v>8112</v>
      </c>
      <c r="E2223" s="20" t="s">
        <v>53</v>
      </c>
      <c r="F2223" s="21">
        <v>36392.0</v>
      </c>
      <c r="G2223" s="14">
        <v>27.0</v>
      </c>
      <c r="H2223" s="23" t="s">
        <v>100</v>
      </c>
      <c r="I2223" s="24" t="s">
        <v>33</v>
      </c>
      <c r="J2223" s="19" t="s">
        <v>53</v>
      </c>
      <c r="K2223" s="14">
        <v>11.0</v>
      </c>
      <c r="L2223" s="7"/>
      <c r="M2223" s="7"/>
      <c r="N2223" s="7"/>
      <c r="O2223" s="7"/>
      <c r="P2223" s="7"/>
      <c r="Q2223" s="7"/>
      <c r="R2223" s="7"/>
      <c r="S2223" s="7"/>
      <c r="T2223" s="7"/>
      <c r="U2223" s="7"/>
      <c r="V2223" s="7"/>
      <c r="W2223" s="7"/>
      <c r="X2223" s="7"/>
      <c r="Y2223" s="7"/>
    </row>
    <row r="2224">
      <c r="A2224" s="14" t="s">
        <v>8113</v>
      </c>
      <c r="B2224" s="17" t="s">
        <v>8110</v>
      </c>
      <c r="C2224" s="17" t="s">
        <v>8114</v>
      </c>
      <c r="D2224" s="19" t="s">
        <v>8115</v>
      </c>
      <c r="E2224" s="20" t="s">
        <v>1370</v>
      </c>
      <c r="F2224" s="21">
        <v>26333.0</v>
      </c>
      <c r="G2224" s="14">
        <v>54.0</v>
      </c>
      <c r="H2224" s="23" t="s">
        <v>26</v>
      </c>
      <c r="I2224" s="24" t="s">
        <v>33</v>
      </c>
      <c r="J2224" s="19" t="s">
        <v>53</v>
      </c>
      <c r="K2224" s="14">
        <v>11.0</v>
      </c>
      <c r="L2224" s="7"/>
      <c r="M2224" s="7"/>
      <c r="N2224" s="7"/>
      <c r="O2224" s="7"/>
      <c r="P2224" s="7"/>
      <c r="Q2224" s="7"/>
      <c r="R2224" s="7"/>
      <c r="S2224" s="7"/>
      <c r="T2224" s="7"/>
      <c r="U2224" s="7"/>
      <c r="V2224" s="7"/>
      <c r="W2224" s="7"/>
      <c r="X2224" s="7"/>
      <c r="Y2224" s="7"/>
    </row>
    <row r="2225">
      <c r="A2225" s="14" t="s">
        <v>8116</v>
      </c>
      <c r="B2225" s="17" t="s">
        <v>8110</v>
      </c>
      <c r="C2225" s="17" t="s">
        <v>8117</v>
      </c>
      <c r="D2225" s="19" t="s">
        <v>4633</v>
      </c>
      <c r="E2225" s="20" t="s">
        <v>104</v>
      </c>
      <c r="F2225" s="21">
        <v>28675.0</v>
      </c>
      <c r="G2225" s="14">
        <v>48.0</v>
      </c>
      <c r="H2225" s="23" t="s">
        <v>26</v>
      </c>
      <c r="I2225" s="24" t="s">
        <v>27</v>
      </c>
      <c r="J2225" s="19" t="s">
        <v>53</v>
      </c>
      <c r="K2225" s="14">
        <v>11.0</v>
      </c>
      <c r="L2225" s="7"/>
      <c r="M2225" s="7"/>
      <c r="N2225" s="7"/>
      <c r="O2225" s="7"/>
      <c r="P2225" s="7"/>
      <c r="Q2225" s="7"/>
      <c r="R2225" s="7"/>
      <c r="S2225" s="7"/>
      <c r="T2225" s="7"/>
      <c r="U2225" s="7"/>
      <c r="V2225" s="7"/>
      <c r="W2225" s="7"/>
      <c r="X2225" s="7"/>
      <c r="Y2225" s="7"/>
    </row>
    <row r="2226">
      <c r="A2226" s="14" t="s">
        <v>8118</v>
      </c>
      <c r="B2226" s="17" t="s">
        <v>8119</v>
      </c>
      <c r="C2226" s="17" t="s">
        <v>8120</v>
      </c>
      <c r="D2226" s="19" t="s">
        <v>8121</v>
      </c>
      <c r="E2226" s="20" t="s">
        <v>632</v>
      </c>
      <c r="F2226" s="21">
        <v>25267.0</v>
      </c>
      <c r="G2226" s="14">
        <v>57.0</v>
      </c>
      <c r="H2226" s="23" t="s">
        <v>27</v>
      </c>
      <c r="I2226" s="24" t="s">
        <v>33</v>
      </c>
      <c r="J2226" s="19" t="s">
        <v>2762</v>
      </c>
      <c r="K2226" s="14">
        <v>11.0</v>
      </c>
      <c r="L2226" s="7"/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7"/>
      <c r="X2226" s="7"/>
      <c r="Y2226" s="7"/>
    </row>
    <row r="2227">
      <c r="A2227" s="14" t="s">
        <v>8123</v>
      </c>
      <c r="B2227" s="17" t="s">
        <v>8124</v>
      </c>
      <c r="C2227" s="17" t="s">
        <v>8125</v>
      </c>
      <c r="D2227" s="19" t="s">
        <v>8126</v>
      </c>
      <c r="E2227" s="20" t="s">
        <v>210</v>
      </c>
      <c r="F2227" s="21">
        <v>28282.0</v>
      </c>
      <c r="G2227" s="14">
        <v>49.0</v>
      </c>
      <c r="H2227" s="23" t="s">
        <v>26</v>
      </c>
      <c r="I2227" s="24" t="s">
        <v>33</v>
      </c>
      <c r="J2227" s="19" t="s">
        <v>53</v>
      </c>
      <c r="K2227" s="14">
        <v>11.0</v>
      </c>
      <c r="L2227" s="7"/>
      <c r="M2227" s="7"/>
      <c r="N2227" s="7"/>
      <c r="O2227" s="7"/>
      <c r="P2227" s="7"/>
      <c r="Q2227" s="7"/>
      <c r="R2227" s="7"/>
      <c r="S2227" s="7"/>
      <c r="T2227" s="7"/>
      <c r="U2227" s="7"/>
      <c r="V2227" s="7"/>
      <c r="W2227" s="7"/>
      <c r="X2227" s="7"/>
      <c r="Y2227" s="7"/>
    </row>
    <row r="2228">
      <c r="A2228" s="14" t="s">
        <v>8127</v>
      </c>
      <c r="B2228" s="17" t="s">
        <v>8124</v>
      </c>
      <c r="C2228" s="17" t="s">
        <v>8128</v>
      </c>
      <c r="D2228" s="19" t="s">
        <v>2074</v>
      </c>
      <c r="E2228" s="20" t="s">
        <v>650</v>
      </c>
      <c r="F2228" s="21">
        <v>29688.0</v>
      </c>
      <c r="G2228" s="14">
        <v>45.0</v>
      </c>
      <c r="H2228" s="23" t="s">
        <v>26</v>
      </c>
      <c r="I2228" s="24" t="s">
        <v>27</v>
      </c>
      <c r="J2228" s="19" t="s">
        <v>146</v>
      </c>
      <c r="K2228" s="14">
        <v>10.0</v>
      </c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</row>
    <row r="2229">
      <c r="A2229" s="14" t="s">
        <v>8129</v>
      </c>
      <c r="B2229" s="17" t="s">
        <v>8124</v>
      </c>
      <c r="C2229" s="17" t="s">
        <v>8130</v>
      </c>
      <c r="D2229" s="19" t="s">
        <v>8131</v>
      </c>
      <c r="E2229" s="20" t="s">
        <v>53</v>
      </c>
      <c r="F2229" s="21">
        <v>37664.0</v>
      </c>
      <c r="G2229" s="14">
        <v>23.0</v>
      </c>
      <c r="H2229" s="23" t="s">
        <v>100</v>
      </c>
      <c r="I2229" s="24" t="s">
        <v>33</v>
      </c>
      <c r="J2229" s="19" t="s">
        <v>53</v>
      </c>
      <c r="K2229" s="14">
        <v>11.0</v>
      </c>
      <c r="L2229" s="7"/>
      <c r="M2229" s="7"/>
      <c r="N2229" s="7"/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7"/>
    </row>
    <row r="2230">
      <c r="A2230" s="14" t="s">
        <v>8132</v>
      </c>
      <c r="B2230" s="17" t="s">
        <v>8133</v>
      </c>
      <c r="C2230" s="17" t="s">
        <v>8134</v>
      </c>
      <c r="D2230" s="19" t="s">
        <v>8135</v>
      </c>
      <c r="E2230" s="20" t="s">
        <v>1370</v>
      </c>
      <c r="F2230" s="21">
        <v>22193.0</v>
      </c>
      <c r="G2230" s="14">
        <v>65.0</v>
      </c>
      <c r="H2230" s="23" t="s">
        <v>26</v>
      </c>
      <c r="I2230" s="24" t="s">
        <v>27</v>
      </c>
      <c r="J2230" s="19" t="s">
        <v>2762</v>
      </c>
      <c r="K2230" s="14">
        <v>11.0</v>
      </c>
      <c r="L2230" s="7"/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</row>
    <row r="2231">
      <c r="A2231" s="14" t="s">
        <v>8136</v>
      </c>
      <c r="B2231" s="17" t="s">
        <v>8137</v>
      </c>
      <c r="C2231" s="17" t="s">
        <v>8138</v>
      </c>
      <c r="D2231" s="19" t="s">
        <v>8139</v>
      </c>
      <c r="E2231" s="20" t="s">
        <v>3552</v>
      </c>
      <c r="F2231" s="21">
        <v>27395.0</v>
      </c>
      <c r="G2231" s="14">
        <v>51.0</v>
      </c>
      <c r="H2231" s="23" t="s">
        <v>26</v>
      </c>
      <c r="I2231" s="24" t="s">
        <v>27</v>
      </c>
      <c r="J2231" s="19" t="s">
        <v>2762</v>
      </c>
      <c r="K2231" s="14">
        <v>11.0</v>
      </c>
      <c r="L2231" s="7"/>
      <c r="M2231" s="7"/>
      <c r="N2231" s="7"/>
      <c r="O2231" s="7"/>
      <c r="P2231" s="7"/>
      <c r="Q2231" s="7"/>
      <c r="R2231" s="7"/>
      <c r="S2231" s="7"/>
      <c r="T2231" s="7"/>
      <c r="U2231" s="7"/>
      <c r="V2231" s="7"/>
      <c r="W2231" s="7"/>
      <c r="X2231" s="7"/>
      <c r="Y2231" s="7"/>
    </row>
    <row r="2232">
      <c r="A2232" s="14" t="s">
        <v>8140</v>
      </c>
      <c r="B2232" s="17" t="s">
        <v>8137</v>
      </c>
      <c r="C2232" s="17" t="s">
        <v>8141</v>
      </c>
      <c r="D2232" s="19" t="s">
        <v>1282</v>
      </c>
      <c r="E2232" s="20" t="s">
        <v>53</v>
      </c>
      <c r="F2232" s="27">
        <v>29578.0</v>
      </c>
      <c r="G2232" s="14">
        <v>45.0</v>
      </c>
      <c r="H2232" s="23" t="s">
        <v>26</v>
      </c>
      <c r="I2232" s="24" t="s">
        <v>33</v>
      </c>
      <c r="J2232" s="19" t="s">
        <v>2762</v>
      </c>
      <c r="K2232" s="14">
        <v>11.0</v>
      </c>
      <c r="L2232" s="7"/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7"/>
      <c r="X2232" s="7"/>
      <c r="Y2232" s="7"/>
    </row>
    <row r="2233">
      <c r="A2233" s="14" t="s">
        <v>8142</v>
      </c>
      <c r="B2233" s="17" t="s">
        <v>8143</v>
      </c>
      <c r="C2233" s="17" t="s">
        <v>8144</v>
      </c>
      <c r="D2233" s="19" t="s">
        <v>8145</v>
      </c>
      <c r="E2233" s="20" t="s">
        <v>104</v>
      </c>
      <c r="F2233" s="21">
        <v>38796.0</v>
      </c>
      <c r="G2233" s="14">
        <v>20.0</v>
      </c>
      <c r="H2233" s="23" t="s">
        <v>100</v>
      </c>
      <c r="I2233" s="24" t="s">
        <v>33</v>
      </c>
      <c r="J2233" s="19" t="s">
        <v>2196</v>
      </c>
      <c r="K2233" s="14">
        <v>11.0</v>
      </c>
      <c r="L2233" s="7"/>
      <c r="M2233" s="7"/>
      <c r="N2233" s="7"/>
      <c r="O2233" s="7"/>
      <c r="P2233" s="7"/>
      <c r="Q2233" s="7"/>
      <c r="R2233" s="7"/>
      <c r="S2233" s="7"/>
      <c r="T2233" s="7"/>
      <c r="U2233" s="7"/>
      <c r="V2233" s="7"/>
      <c r="W2233" s="7"/>
      <c r="X2233" s="7"/>
      <c r="Y2233" s="7"/>
    </row>
    <row r="2234">
      <c r="A2234" s="14" t="s">
        <v>8146</v>
      </c>
      <c r="B2234" s="17" t="s">
        <v>8143</v>
      </c>
      <c r="C2234" s="17" t="s">
        <v>8147</v>
      </c>
      <c r="D2234" s="19" t="s">
        <v>8148</v>
      </c>
      <c r="E2234" s="20" t="s">
        <v>429</v>
      </c>
      <c r="F2234" s="21">
        <v>26492.0</v>
      </c>
      <c r="G2234" s="14">
        <v>54.0</v>
      </c>
      <c r="H2234" s="23" t="s">
        <v>26</v>
      </c>
      <c r="I2234" s="24" t="s">
        <v>33</v>
      </c>
      <c r="J2234" s="19" t="s">
        <v>2196</v>
      </c>
      <c r="K2234" s="14">
        <v>11.0</v>
      </c>
      <c r="L2234" s="7"/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</row>
    <row r="2235">
      <c r="A2235" s="14" t="s">
        <v>8149</v>
      </c>
      <c r="B2235" s="17" t="s">
        <v>8143</v>
      </c>
      <c r="C2235" s="17" t="s">
        <v>8150</v>
      </c>
      <c r="D2235" s="19" t="s">
        <v>8151</v>
      </c>
      <c r="E2235" s="20" t="s">
        <v>104</v>
      </c>
      <c r="F2235" s="21">
        <v>28880.0</v>
      </c>
      <c r="G2235" s="14">
        <v>47.0</v>
      </c>
      <c r="H2235" s="23" t="s">
        <v>26</v>
      </c>
      <c r="I2235" s="24" t="s">
        <v>27</v>
      </c>
      <c r="J2235" s="19" t="s">
        <v>2196</v>
      </c>
      <c r="K2235" s="14">
        <v>11.0</v>
      </c>
      <c r="L2235" s="7"/>
      <c r="M2235" s="7"/>
      <c r="N2235" s="7"/>
      <c r="O2235" s="7"/>
      <c r="P2235" s="7"/>
      <c r="Q2235" s="7"/>
      <c r="R2235" s="7"/>
      <c r="S2235" s="7"/>
      <c r="T2235" s="7"/>
      <c r="U2235" s="7"/>
      <c r="V2235" s="7"/>
      <c r="W2235" s="7"/>
      <c r="X2235" s="7"/>
      <c r="Y2235" s="7"/>
    </row>
    <row r="2236">
      <c r="A2236" s="14" t="s">
        <v>8152</v>
      </c>
      <c r="B2236" s="17" t="s">
        <v>8153</v>
      </c>
      <c r="C2236" s="17" t="s">
        <v>8154</v>
      </c>
      <c r="D2236" s="19" t="s">
        <v>661</v>
      </c>
      <c r="E2236" s="20" t="s">
        <v>671</v>
      </c>
      <c r="F2236" s="21">
        <v>22254.0</v>
      </c>
      <c r="G2236" s="14">
        <v>65.0</v>
      </c>
      <c r="H2236" s="23" t="s">
        <v>26</v>
      </c>
      <c r="I2236" s="24" t="s">
        <v>27</v>
      </c>
      <c r="J2236" s="19" t="s">
        <v>2762</v>
      </c>
      <c r="K2236" s="14">
        <v>11.0</v>
      </c>
      <c r="L2236" s="7"/>
      <c r="M2236" s="7"/>
      <c r="N2236" s="7"/>
      <c r="O2236" s="7"/>
      <c r="P2236" s="7"/>
      <c r="Q2236" s="7"/>
      <c r="R2236" s="7"/>
      <c r="S2236" s="7"/>
      <c r="T2236" s="7"/>
      <c r="U2236" s="7"/>
      <c r="V2236" s="7"/>
      <c r="W2236" s="7"/>
      <c r="X2236" s="7"/>
      <c r="Y2236" s="7"/>
    </row>
    <row r="2237">
      <c r="A2237" s="14" t="s">
        <v>8156</v>
      </c>
      <c r="B2237" s="17" t="s">
        <v>8153</v>
      </c>
      <c r="C2237" s="17" t="s">
        <v>8157</v>
      </c>
      <c r="D2237" s="19" t="s">
        <v>5852</v>
      </c>
      <c r="E2237" s="20" t="s">
        <v>671</v>
      </c>
      <c r="F2237" s="21">
        <v>18312.0</v>
      </c>
      <c r="G2237" s="14">
        <v>76.0</v>
      </c>
      <c r="H2237" s="23" t="s">
        <v>26</v>
      </c>
      <c r="I2237" s="24" t="s">
        <v>33</v>
      </c>
      <c r="J2237" s="19" t="s">
        <v>2762</v>
      </c>
      <c r="K2237" s="14">
        <v>11.0</v>
      </c>
      <c r="L2237" s="7"/>
      <c r="M2237" s="7"/>
      <c r="N2237" s="7"/>
      <c r="O2237" s="7"/>
      <c r="P2237" s="7"/>
      <c r="Q2237" s="7"/>
      <c r="R2237" s="7"/>
      <c r="S2237" s="7"/>
      <c r="T2237" s="7"/>
      <c r="U2237" s="7"/>
      <c r="V2237" s="7"/>
      <c r="W2237" s="7"/>
      <c r="X2237" s="7"/>
      <c r="Y2237" s="7"/>
    </row>
    <row r="2238">
      <c r="A2238" s="14" t="s">
        <v>8158</v>
      </c>
      <c r="B2238" s="17" t="s">
        <v>8159</v>
      </c>
      <c r="C2238" s="17" t="s">
        <v>8160</v>
      </c>
      <c r="D2238" s="19" t="s">
        <v>8161</v>
      </c>
      <c r="E2238" s="20" t="s">
        <v>429</v>
      </c>
      <c r="F2238" s="21">
        <v>27193.0</v>
      </c>
      <c r="G2238" s="14">
        <v>52.0</v>
      </c>
      <c r="H2238" s="23" t="s">
        <v>26</v>
      </c>
      <c r="I2238" s="24" t="s">
        <v>27</v>
      </c>
      <c r="J2238" s="19" t="s">
        <v>2762</v>
      </c>
      <c r="K2238" s="14">
        <v>11.0</v>
      </c>
      <c r="L2238" s="7"/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7"/>
      <c r="X2238" s="7"/>
      <c r="Y2238" s="7"/>
    </row>
    <row r="2239">
      <c r="A2239" s="14" t="s">
        <v>8162</v>
      </c>
      <c r="B2239" s="17" t="s">
        <v>8159</v>
      </c>
      <c r="C2239" s="17" t="s">
        <v>8163</v>
      </c>
      <c r="D2239" s="19" t="s">
        <v>8164</v>
      </c>
      <c r="E2239" s="20" t="s">
        <v>3587</v>
      </c>
      <c r="F2239" s="21">
        <v>25976.0</v>
      </c>
      <c r="G2239" s="14">
        <v>55.0</v>
      </c>
      <c r="H2239" s="23" t="s">
        <v>26</v>
      </c>
      <c r="I2239" s="24" t="s">
        <v>33</v>
      </c>
      <c r="J2239" s="19" t="s">
        <v>2762</v>
      </c>
      <c r="K2239" s="14">
        <v>11.0</v>
      </c>
      <c r="L2239" s="7"/>
      <c r="M2239" s="7"/>
      <c r="N2239" s="7"/>
      <c r="O2239" s="7"/>
      <c r="P2239" s="7"/>
      <c r="Q2239" s="7"/>
      <c r="R2239" s="7"/>
      <c r="S2239" s="7"/>
      <c r="T2239" s="7"/>
      <c r="U2239" s="7"/>
      <c r="V2239" s="7"/>
      <c r="W2239" s="7"/>
      <c r="X2239" s="7"/>
      <c r="Y2239" s="7"/>
    </row>
    <row r="2240">
      <c r="A2240" s="14" t="s">
        <v>8165</v>
      </c>
      <c r="B2240" s="17" t="s">
        <v>8166</v>
      </c>
      <c r="C2240" s="17" t="s">
        <v>8167</v>
      </c>
      <c r="D2240" s="19" t="s">
        <v>1944</v>
      </c>
      <c r="E2240" s="20" t="s">
        <v>104</v>
      </c>
      <c r="F2240" s="21">
        <v>28685.0</v>
      </c>
      <c r="G2240" s="14">
        <v>48.0</v>
      </c>
      <c r="H2240" s="23" t="s">
        <v>26</v>
      </c>
      <c r="I2240" s="24" t="s">
        <v>27</v>
      </c>
      <c r="J2240" s="19" t="s">
        <v>58</v>
      </c>
      <c r="K2240" s="14">
        <v>5.0</v>
      </c>
      <c r="L2240" s="7"/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7"/>
      <c r="X2240" s="7"/>
      <c r="Y2240" s="7"/>
    </row>
    <row r="2241">
      <c r="A2241" s="14" t="s">
        <v>8168</v>
      </c>
      <c r="B2241" s="17" t="s">
        <v>8166</v>
      </c>
      <c r="C2241" s="17" t="s">
        <v>8169</v>
      </c>
      <c r="D2241" s="19" t="s">
        <v>8170</v>
      </c>
      <c r="E2241" s="20" t="s">
        <v>104</v>
      </c>
      <c r="F2241" s="21">
        <v>39284.0</v>
      </c>
      <c r="G2241" s="14">
        <v>19.0</v>
      </c>
      <c r="H2241" s="23" t="s">
        <v>100</v>
      </c>
      <c r="I2241" s="24" t="s">
        <v>27</v>
      </c>
      <c r="J2241" s="19" t="s">
        <v>58</v>
      </c>
      <c r="K2241" s="14">
        <v>5.0</v>
      </c>
      <c r="L2241" s="7"/>
      <c r="M2241" s="7"/>
      <c r="N2241" s="7"/>
      <c r="O2241" s="7"/>
      <c r="P2241" s="7"/>
      <c r="Q2241" s="7"/>
      <c r="R2241" s="7"/>
      <c r="S2241" s="7"/>
      <c r="T2241" s="7"/>
      <c r="U2241" s="7"/>
      <c r="V2241" s="7"/>
      <c r="W2241" s="7"/>
      <c r="X2241" s="7"/>
      <c r="Y2241" s="7"/>
    </row>
    <row r="2242">
      <c r="A2242" s="14" t="s">
        <v>8172</v>
      </c>
      <c r="B2242" s="17" t="s">
        <v>8166</v>
      </c>
      <c r="C2242" s="17" t="s">
        <v>8173</v>
      </c>
      <c r="D2242" s="19" t="s">
        <v>8174</v>
      </c>
      <c r="E2242" s="20" t="s">
        <v>650</v>
      </c>
      <c r="F2242" s="21">
        <v>26056.0</v>
      </c>
      <c r="G2242" s="14">
        <v>55.0</v>
      </c>
      <c r="H2242" s="23" t="s">
        <v>26</v>
      </c>
      <c r="I2242" s="24" t="s">
        <v>33</v>
      </c>
      <c r="J2242" s="19" t="s">
        <v>58</v>
      </c>
      <c r="K2242" s="14">
        <v>5.0</v>
      </c>
      <c r="L2242" s="7"/>
      <c r="M2242" s="7"/>
      <c r="N2242" s="7"/>
      <c r="O2242" s="7"/>
      <c r="P2242" s="7"/>
      <c r="Q2242" s="7"/>
      <c r="R2242" s="7"/>
      <c r="S2242" s="7"/>
      <c r="T2242" s="7"/>
      <c r="U2242" s="7"/>
      <c r="V2242" s="7"/>
      <c r="W2242" s="7"/>
      <c r="X2242" s="7"/>
      <c r="Y2242" s="7"/>
    </row>
    <row r="2243">
      <c r="A2243" s="14" t="s">
        <v>8175</v>
      </c>
      <c r="B2243" s="17" t="s">
        <v>8176</v>
      </c>
      <c r="C2243" s="17" t="s">
        <v>8177</v>
      </c>
      <c r="D2243" s="19" t="s">
        <v>8178</v>
      </c>
      <c r="E2243" s="20" t="s">
        <v>104</v>
      </c>
      <c r="F2243" s="21">
        <v>38419.0</v>
      </c>
      <c r="G2243" s="14">
        <v>21.0</v>
      </c>
      <c r="H2243" s="23" t="s">
        <v>100</v>
      </c>
      <c r="I2243" s="24" t="s">
        <v>33</v>
      </c>
      <c r="J2243" s="19" t="s">
        <v>8179</v>
      </c>
      <c r="K2243" s="14">
        <v>5.0</v>
      </c>
      <c r="L2243" s="7"/>
      <c r="M2243" s="7"/>
      <c r="N2243" s="7"/>
      <c r="O2243" s="7"/>
      <c r="P2243" s="7"/>
      <c r="Q2243" s="7"/>
      <c r="R2243" s="7"/>
      <c r="S2243" s="7"/>
      <c r="T2243" s="7"/>
      <c r="U2243" s="7"/>
      <c r="V2243" s="7"/>
      <c r="W2243" s="7"/>
      <c r="X2243" s="7"/>
      <c r="Y2243" s="7"/>
    </row>
    <row r="2244">
      <c r="A2244" s="14" t="s">
        <v>8180</v>
      </c>
      <c r="B2244" s="17" t="s">
        <v>8176</v>
      </c>
      <c r="C2244" s="17" t="s">
        <v>8181</v>
      </c>
      <c r="D2244" s="19" t="s">
        <v>8182</v>
      </c>
      <c r="E2244" s="20" t="s">
        <v>104</v>
      </c>
      <c r="F2244" s="21">
        <v>37118.0</v>
      </c>
      <c r="G2244" s="14">
        <v>25.0</v>
      </c>
      <c r="H2244" s="23" t="s">
        <v>100</v>
      </c>
      <c r="I2244" s="24" t="s">
        <v>33</v>
      </c>
      <c r="J2244" s="19" t="s">
        <v>146</v>
      </c>
      <c r="K2244" s="14">
        <v>19.0</v>
      </c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7"/>
    </row>
    <row r="2245">
      <c r="A2245" s="14" t="s">
        <v>8183</v>
      </c>
      <c r="B2245" s="17" t="s">
        <v>8184</v>
      </c>
      <c r="C2245" s="17" t="s">
        <v>8185</v>
      </c>
      <c r="D2245" s="19" t="s">
        <v>8186</v>
      </c>
      <c r="E2245" s="20" t="s">
        <v>650</v>
      </c>
      <c r="F2245" s="27">
        <v>25899.0</v>
      </c>
      <c r="G2245" s="14">
        <v>55.0</v>
      </c>
      <c r="H2245" s="23" t="s">
        <v>26</v>
      </c>
      <c r="I2245" s="24" t="s">
        <v>27</v>
      </c>
      <c r="J2245" s="19" t="s">
        <v>2019</v>
      </c>
      <c r="K2245" s="14">
        <v>5.0</v>
      </c>
      <c r="L2245" s="7"/>
      <c r="M2245" s="7"/>
      <c r="N2245" s="7"/>
      <c r="O2245" s="7"/>
      <c r="P2245" s="7"/>
      <c r="Q2245" s="7"/>
      <c r="R2245" s="7"/>
      <c r="S2245" s="7"/>
      <c r="T2245" s="7"/>
      <c r="U2245" s="7"/>
      <c r="V2245" s="7"/>
      <c r="W2245" s="7"/>
      <c r="X2245" s="7"/>
      <c r="Y2245" s="7"/>
    </row>
    <row r="2246">
      <c r="A2246" s="14" t="s">
        <v>8187</v>
      </c>
      <c r="B2246" s="17" t="s">
        <v>8184</v>
      </c>
      <c r="C2246" s="17" t="s">
        <v>8188</v>
      </c>
      <c r="D2246" s="19" t="s">
        <v>8189</v>
      </c>
      <c r="E2246" s="20" t="s">
        <v>8190</v>
      </c>
      <c r="F2246" s="27">
        <v>18546.0</v>
      </c>
      <c r="G2246" s="14">
        <v>75.0</v>
      </c>
      <c r="H2246" s="23" t="s">
        <v>26</v>
      </c>
      <c r="I2246" s="24" t="s">
        <v>33</v>
      </c>
      <c r="J2246" s="19" t="s">
        <v>2019</v>
      </c>
      <c r="K2246" s="14">
        <v>5.0</v>
      </c>
      <c r="L2246" s="7"/>
      <c r="M2246" s="7"/>
      <c r="N2246" s="7"/>
      <c r="O2246" s="7"/>
      <c r="P2246" s="7"/>
      <c r="Q2246" s="7"/>
      <c r="R2246" s="7"/>
      <c r="S2246" s="7"/>
      <c r="T2246" s="7"/>
      <c r="U2246" s="7"/>
      <c r="V2246" s="7"/>
      <c r="W2246" s="7"/>
      <c r="X2246" s="7"/>
      <c r="Y2246" s="7"/>
    </row>
    <row r="2247">
      <c r="A2247" s="14" t="s">
        <v>8191</v>
      </c>
      <c r="B2247" s="17" t="s">
        <v>8192</v>
      </c>
      <c r="C2247" s="17" t="s">
        <v>8193</v>
      </c>
      <c r="D2247" s="19" t="s">
        <v>8194</v>
      </c>
      <c r="E2247" s="20" t="s">
        <v>104</v>
      </c>
      <c r="F2247" s="21">
        <v>38448.0</v>
      </c>
      <c r="G2247" s="14">
        <v>21.0</v>
      </c>
      <c r="H2247" s="23" t="s">
        <v>100</v>
      </c>
      <c r="I2247" s="24" t="s">
        <v>27</v>
      </c>
      <c r="J2247" s="19" t="s">
        <v>2019</v>
      </c>
      <c r="K2247" s="14">
        <v>3.0</v>
      </c>
      <c r="L2247" s="7"/>
      <c r="M2247" s="7"/>
      <c r="N2247" s="7"/>
      <c r="O2247" s="7"/>
      <c r="P2247" s="7"/>
      <c r="Q2247" s="7"/>
      <c r="R2247" s="7"/>
      <c r="S2247" s="7"/>
      <c r="T2247" s="7"/>
      <c r="U2247" s="7"/>
      <c r="V2247" s="7"/>
      <c r="W2247" s="7"/>
      <c r="X2247" s="7"/>
      <c r="Y2247" s="7"/>
    </row>
    <row r="2248">
      <c r="A2248" s="14" t="s">
        <v>8195</v>
      </c>
      <c r="B2248" s="17" t="s">
        <v>8192</v>
      </c>
      <c r="C2248" s="17" t="s">
        <v>8196</v>
      </c>
      <c r="D2248" s="19" t="s">
        <v>8197</v>
      </c>
      <c r="E2248" s="20" t="s">
        <v>104</v>
      </c>
      <c r="F2248" s="21">
        <v>30682.0</v>
      </c>
      <c r="G2248" s="14">
        <v>42.0</v>
      </c>
      <c r="H2248" s="23" t="s">
        <v>26</v>
      </c>
      <c r="I2248" s="24" t="s">
        <v>27</v>
      </c>
      <c r="J2248" s="19" t="s">
        <v>2019</v>
      </c>
      <c r="K2248" s="14">
        <v>3.0</v>
      </c>
      <c r="L2248" s="7"/>
      <c r="M2248" s="7"/>
      <c r="N2248" s="7"/>
      <c r="O2248" s="7"/>
      <c r="P2248" s="7"/>
      <c r="Q2248" s="7"/>
      <c r="R2248" s="7"/>
      <c r="S2248" s="7"/>
      <c r="T2248" s="7"/>
      <c r="U2248" s="7"/>
      <c r="V2248" s="7"/>
      <c r="W2248" s="7"/>
      <c r="X2248" s="7"/>
      <c r="Y2248" s="7"/>
    </row>
    <row r="2249">
      <c r="A2249" s="14" t="s">
        <v>8198</v>
      </c>
      <c r="B2249" s="17" t="s">
        <v>8192</v>
      </c>
      <c r="C2249" s="17" t="s">
        <v>8199</v>
      </c>
      <c r="D2249" s="19" t="s">
        <v>8200</v>
      </c>
      <c r="E2249" s="20" t="s">
        <v>104</v>
      </c>
      <c r="F2249" s="21">
        <v>29754.0</v>
      </c>
      <c r="G2249" s="14">
        <v>45.0</v>
      </c>
      <c r="H2249" s="23" t="s">
        <v>26</v>
      </c>
      <c r="I2249" s="24" t="s">
        <v>33</v>
      </c>
      <c r="J2249" s="19" t="s">
        <v>2019</v>
      </c>
      <c r="K2249" s="14">
        <v>3.0</v>
      </c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7"/>
    </row>
    <row r="2250">
      <c r="A2250" s="14" t="s">
        <v>8201</v>
      </c>
      <c r="B2250" s="17" t="s">
        <v>8202</v>
      </c>
      <c r="C2250" s="17" t="s">
        <v>8203</v>
      </c>
      <c r="D2250" s="19" t="s">
        <v>7785</v>
      </c>
      <c r="E2250" s="20" t="s">
        <v>53</v>
      </c>
      <c r="F2250" s="21">
        <v>32279.0</v>
      </c>
      <c r="G2250" s="14">
        <v>38.0</v>
      </c>
      <c r="H2250" s="23" t="s">
        <v>26</v>
      </c>
      <c r="I2250" s="24" t="s">
        <v>33</v>
      </c>
      <c r="J2250" s="19" t="s">
        <v>68</v>
      </c>
      <c r="K2250" s="14">
        <v>32.0</v>
      </c>
      <c r="L2250" s="7"/>
      <c r="M2250" s="7"/>
      <c r="N2250" s="7"/>
      <c r="O2250" s="7"/>
      <c r="P2250" s="7"/>
      <c r="Q2250" s="7"/>
      <c r="R2250" s="7"/>
      <c r="S2250" s="7"/>
      <c r="T2250" s="7"/>
      <c r="U2250" s="7"/>
      <c r="V2250" s="7"/>
      <c r="W2250" s="7"/>
      <c r="X2250" s="7"/>
      <c r="Y2250" s="7"/>
    </row>
    <row r="2251">
      <c r="A2251" s="14" t="s">
        <v>8204</v>
      </c>
      <c r="B2251" s="17" t="s">
        <v>8202</v>
      </c>
      <c r="C2251" s="17" t="s">
        <v>8205</v>
      </c>
      <c r="D2251" s="19" t="s">
        <v>8206</v>
      </c>
      <c r="E2251" s="20" t="s">
        <v>104</v>
      </c>
      <c r="F2251" s="21">
        <v>35620.0</v>
      </c>
      <c r="G2251" s="14">
        <v>29.0</v>
      </c>
      <c r="H2251" s="23" t="s">
        <v>26</v>
      </c>
      <c r="I2251" s="24" t="s">
        <v>27</v>
      </c>
      <c r="J2251" s="19" t="s">
        <v>68</v>
      </c>
      <c r="K2251" s="14">
        <v>32.0</v>
      </c>
      <c r="L2251" s="7"/>
      <c r="M2251" s="7"/>
      <c r="N2251" s="7"/>
      <c r="O2251" s="7"/>
      <c r="P2251" s="7"/>
      <c r="Q2251" s="7"/>
      <c r="R2251" s="7"/>
      <c r="S2251" s="7"/>
      <c r="T2251" s="7"/>
      <c r="U2251" s="7"/>
      <c r="V2251" s="7"/>
      <c r="W2251" s="7"/>
      <c r="X2251" s="7"/>
      <c r="Y2251" s="7"/>
    </row>
    <row r="2252">
      <c r="A2252" s="14" t="s">
        <v>8207</v>
      </c>
      <c r="B2252" s="17" t="s">
        <v>8208</v>
      </c>
      <c r="C2252" s="17" t="s">
        <v>8209</v>
      </c>
      <c r="D2252" s="19" t="s">
        <v>8210</v>
      </c>
      <c r="E2252" s="20" t="s">
        <v>1291</v>
      </c>
      <c r="F2252" s="21">
        <v>17302.0</v>
      </c>
      <c r="G2252" s="14">
        <v>79.0</v>
      </c>
      <c r="H2252" s="23" t="s">
        <v>27</v>
      </c>
      <c r="I2252" s="24" t="s">
        <v>27</v>
      </c>
      <c r="J2252" s="19" t="s">
        <v>8211</v>
      </c>
      <c r="K2252" s="14">
        <v>34.0</v>
      </c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7"/>
    </row>
    <row r="2253">
      <c r="A2253" s="14" t="s">
        <v>8212</v>
      </c>
      <c r="B2253" s="17" t="s">
        <v>8213</v>
      </c>
      <c r="C2253" s="17" t="s">
        <v>8214</v>
      </c>
      <c r="D2253" s="19" t="s">
        <v>8215</v>
      </c>
      <c r="E2253" s="20" t="s">
        <v>890</v>
      </c>
      <c r="F2253" s="21">
        <v>24244.0</v>
      </c>
      <c r="G2253" s="14">
        <v>60.0</v>
      </c>
      <c r="H2253" s="23" t="s">
        <v>26</v>
      </c>
      <c r="I2253" s="24" t="s">
        <v>33</v>
      </c>
      <c r="J2253" s="19" t="s">
        <v>5953</v>
      </c>
      <c r="K2253" s="14">
        <v>17.0</v>
      </c>
      <c r="L2253" s="7"/>
      <c r="M2253" s="7"/>
      <c r="N2253" s="7"/>
      <c r="O2253" s="7"/>
      <c r="P2253" s="7"/>
      <c r="Q2253" s="7"/>
      <c r="R2253" s="7"/>
      <c r="S2253" s="7"/>
      <c r="T2253" s="7"/>
      <c r="U2253" s="7"/>
      <c r="V2253" s="7"/>
      <c r="W2253" s="7"/>
      <c r="X2253" s="7"/>
      <c r="Y2253" s="7"/>
    </row>
    <row r="2254">
      <c r="A2254" s="14" t="s">
        <v>8216</v>
      </c>
      <c r="B2254" s="17" t="s">
        <v>8213</v>
      </c>
      <c r="C2254" s="17" t="s">
        <v>8217</v>
      </c>
      <c r="D2254" s="19" t="s">
        <v>8218</v>
      </c>
      <c r="E2254" s="20" t="s">
        <v>1049</v>
      </c>
      <c r="F2254" s="21">
        <v>30539.0</v>
      </c>
      <c r="G2254" s="14">
        <v>43.0</v>
      </c>
      <c r="H2254" s="23" t="s">
        <v>26</v>
      </c>
      <c r="I2254" s="24" t="s">
        <v>27</v>
      </c>
      <c r="J2254" s="19" t="s">
        <v>5953</v>
      </c>
      <c r="K2254" s="14">
        <v>17.0</v>
      </c>
      <c r="L2254" s="7"/>
      <c r="M2254" s="7"/>
      <c r="N2254" s="7"/>
      <c r="O2254" s="7"/>
      <c r="P2254" s="7"/>
      <c r="Q2254" s="7"/>
      <c r="R2254" s="7"/>
      <c r="S2254" s="7"/>
      <c r="T2254" s="7"/>
      <c r="U2254" s="7"/>
      <c r="V2254" s="7"/>
      <c r="W2254" s="7"/>
      <c r="X2254" s="7"/>
      <c r="Y2254" s="7"/>
    </row>
    <row r="2255">
      <c r="A2255" s="14" t="s">
        <v>8219</v>
      </c>
      <c r="B2255" s="17" t="s">
        <v>8220</v>
      </c>
      <c r="C2255" s="17" t="s">
        <v>8221</v>
      </c>
      <c r="D2255" s="19" t="s">
        <v>8222</v>
      </c>
      <c r="E2255" s="20" t="s">
        <v>210</v>
      </c>
      <c r="F2255" s="21">
        <v>32343.0</v>
      </c>
      <c r="G2255" s="14">
        <v>38.0</v>
      </c>
      <c r="H2255" s="23" t="s">
        <v>26</v>
      </c>
      <c r="I2255" s="24" t="s">
        <v>33</v>
      </c>
      <c r="J2255" s="19" t="s">
        <v>53</v>
      </c>
      <c r="K2255" s="14">
        <v>22.0</v>
      </c>
      <c r="L2255" s="7"/>
      <c r="M2255" s="7"/>
      <c r="N2255" s="7"/>
      <c r="O2255" s="7"/>
      <c r="P2255" s="7"/>
      <c r="Q2255" s="7"/>
      <c r="R2255" s="7"/>
      <c r="S2255" s="7"/>
      <c r="T2255" s="7"/>
      <c r="U2255" s="7"/>
      <c r="V2255" s="7"/>
      <c r="W2255" s="7"/>
      <c r="X2255" s="7"/>
      <c r="Y2255" s="7"/>
    </row>
    <row r="2256">
      <c r="A2256" s="14" t="s">
        <v>8223</v>
      </c>
      <c r="B2256" s="17" t="s">
        <v>8220</v>
      </c>
      <c r="C2256" s="17" t="s">
        <v>8224</v>
      </c>
      <c r="D2256" s="19" t="s">
        <v>8225</v>
      </c>
      <c r="E2256" s="20" t="s">
        <v>104</v>
      </c>
      <c r="F2256" s="21">
        <v>32737.0</v>
      </c>
      <c r="G2256" s="14">
        <v>37.0</v>
      </c>
      <c r="H2256" s="23" t="s">
        <v>26</v>
      </c>
      <c r="I2256" s="24" t="s">
        <v>27</v>
      </c>
      <c r="J2256" s="19" t="s">
        <v>53</v>
      </c>
      <c r="K2256" s="14">
        <v>22.0</v>
      </c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7"/>
      <c r="X2256" s="7"/>
      <c r="Y2256" s="7"/>
    </row>
    <row r="2257">
      <c r="A2257" s="14" t="s">
        <v>8226</v>
      </c>
      <c r="B2257" s="17" t="s">
        <v>8227</v>
      </c>
      <c r="C2257" s="17" t="s">
        <v>8228</v>
      </c>
      <c r="D2257" s="19" t="s">
        <v>397</v>
      </c>
      <c r="E2257" s="20" t="s">
        <v>3760</v>
      </c>
      <c r="F2257" s="27">
        <v>32837.0</v>
      </c>
      <c r="G2257" s="14">
        <v>36.0</v>
      </c>
      <c r="H2257" s="23" t="s">
        <v>26</v>
      </c>
      <c r="I2257" s="24" t="s">
        <v>33</v>
      </c>
      <c r="J2257" s="19" t="s">
        <v>53</v>
      </c>
      <c r="K2257" s="14">
        <v>15.0</v>
      </c>
      <c r="L2257" s="7"/>
      <c r="M2257" s="7"/>
      <c r="N2257" s="7"/>
      <c r="O2257" s="7"/>
      <c r="P2257" s="7"/>
      <c r="Q2257" s="7"/>
      <c r="R2257" s="7"/>
      <c r="S2257" s="7"/>
      <c r="T2257" s="7"/>
      <c r="U2257" s="7"/>
      <c r="V2257" s="7"/>
      <c r="W2257" s="7"/>
      <c r="X2257" s="7"/>
      <c r="Y2257" s="7"/>
    </row>
    <row r="2258">
      <c r="A2258" s="14" t="s">
        <v>8229</v>
      </c>
      <c r="B2258" s="17" t="s">
        <v>8227</v>
      </c>
      <c r="C2258" s="17" t="s">
        <v>8230</v>
      </c>
      <c r="D2258" s="19" t="s">
        <v>8231</v>
      </c>
      <c r="E2258" s="20" t="s">
        <v>8232</v>
      </c>
      <c r="F2258" s="21">
        <v>33645.0</v>
      </c>
      <c r="G2258" s="14">
        <v>34.0</v>
      </c>
      <c r="H2258" s="23" t="s">
        <v>26</v>
      </c>
      <c r="I2258" s="24" t="s">
        <v>27</v>
      </c>
      <c r="J2258" s="19" t="s">
        <v>53</v>
      </c>
      <c r="K2258" s="14">
        <v>15.0</v>
      </c>
      <c r="L2258" s="7"/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7"/>
      <c r="X2258" s="7"/>
      <c r="Y2258" s="7"/>
    </row>
    <row r="2259">
      <c r="A2259" s="14" t="s">
        <v>8233</v>
      </c>
      <c r="B2259" s="17" t="s">
        <v>8234</v>
      </c>
      <c r="C2259" s="17" t="s">
        <v>8235</v>
      </c>
      <c r="D2259" s="19" t="s">
        <v>8236</v>
      </c>
      <c r="E2259" s="20" t="s">
        <v>8237</v>
      </c>
      <c r="F2259" s="21">
        <v>28246.0</v>
      </c>
      <c r="G2259" s="14">
        <v>49.0</v>
      </c>
      <c r="H2259" s="23" t="s">
        <v>26</v>
      </c>
      <c r="I2259" s="24" t="s">
        <v>33</v>
      </c>
      <c r="J2259" s="19" t="s">
        <v>156</v>
      </c>
      <c r="K2259" s="14">
        <v>35.0</v>
      </c>
      <c r="L2259" s="7"/>
      <c r="M2259" s="7"/>
      <c r="N2259" s="7"/>
      <c r="O2259" s="7"/>
      <c r="P2259" s="7"/>
      <c r="Q2259" s="7"/>
      <c r="R2259" s="7"/>
      <c r="S2259" s="7"/>
      <c r="T2259" s="7"/>
      <c r="U2259" s="7"/>
      <c r="V2259" s="7"/>
      <c r="W2259" s="7"/>
      <c r="X2259" s="7"/>
      <c r="Y2259" s="7"/>
    </row>
    <row r="2260">
      <c r="A2260" s="14" t="s">
        <v>8238</v>
      </c>
      <c r="B2260" s="17" t="s">
        <v>8234</v>
      </c>
      <c r="C2260" s="17" t="s">
        <v>8239</v>
      </c>
      <c r="D2260" s="19" t="s">
        <v>8240</v>
      </c>
      <c r="E2260" s="20" t="s">
        <v>67</v>
      </c>
      <c r="F2260" s="21">
        <v>27547.0</v>
      </c>
      <c r="G2260" s="14">
        <v>51.0</v>
      </c>
      <c r="H2260" s="23" t="s">
        <v>26</v>
      </c>
      <c r="I2260" s="24" t="s">
        <v>27</v>
      </c>
      <c r="J2260" s="19" t="s">
        <v>156</v>
      </c>
      <c r="K2260" s="14">
        <v>35.0</v>
      </c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7"/>
    </row>
    <row r="2261">
      <c r="A2261" s="14" t="s">
        <v>8241</v>
      </c>
      <c r="B2261" s="17" t="s">
        <v>8242</v>
      </c>
      <c r="C2261" s="17" t="s">
        <v>8243</v>
      </c>
      <c r="D2261" s="19" t="s">
        <v>8244</v>
      </c>
      <c r="E2261" s="20" t="s">
        <v>138</v>
      </c>
      <c r="F2261" s="27">
        <v>32128.0</v>
      </c>
      <c r="G2261" s="14">
        <v>38.0</v>
      </c>
      <c r="H2261" s="23" t="s">
        <v>26</v>
      </c>
      <c r="I2261" s="24" t="s">
        <v>27</v>
      </c>
      <c r="J2261" s="19" t="s">
        <v>8245</v>
      </c>
      <c r="K2261" s="14">
        <v>11.0</v>
      </c>
      <c r="L2261" s="7"/>
      <c r="M2261" s="7"/>
      <c r="N2261" s="7"/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</row>
    <row r="2262">
      <c r="A2262" s="14" t="s">
        <v>8246</v>
      </c>
      <c r="B2262" s="17" t="s">
        <v>8242</v>
      </c>
      <c r="C2262" s="17" t="s">
        <v>8247</v>
      </c>
      <c r="D2262" s="19" t="s">
        <v>8248</v>
      </c>
      <c r="E2262" s="20" t="s">
        <v>632</v>
      </c>
      <c r="F2262" s="21">
        <v>26333.0</v>
      </c>
      <c r="G2262" s="14">
        <v>54.0</v>
      </c>
      <c r="H2262" s="23" t="s">
        <v>26</v>
      </c>
      <c r="I2262" s="24" t="s">
        <v>33</v>
      </c>
      <c r="J2262" s="19" t="s">
        <v>8245</v>
      </c>
      <c r="K2262" s="14">
        <v>11.0</v>
      </c>
      <c r="L2262" s="7"/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7"/>
    </row>
    <row r="2263">
      <c r="A2263" s="14" t="s">
        <v>8249</v>
      </c>
      <c r="B2263" s="17" t="s">
        <v>8250</v>
      </c>
      <c r="C2263" s="17" t="s">
        <v>8251</v>
      </c>
      <c r="D2263" s="19" t="s">
        <v>6665</v>
      </c>
      <c r="E2263" s="20" t="s">
        <v>4792</v>
      </c>
      <c r="F2263" s="21">
        <v>26852.0</v>
      </c>
      <c r="G2263" s="14">
        <v>53.0</v>
      </c>
      <c r="H2263" s="23" t="s">
        <v>26</v>
      </c>
      <c r="I2263" s="24" t="s">
        <v>27</v>
      </c>
      <c r="J2263" s="19" t="s">
        <v>53</v>
      </c>
      <c r="K2263" s="14">
        <v>30.0</v>
      </c>
      <c r="L2263" s="7"/>
      <c r="M2263" s="7"/>
      <c r="N2263" s="7"/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7"/>
    </row>
    <row r="2264">
      <c r="A2264" s="14" t="s">
        <v>8252</v>
      </c>
      <c r="B2264" s="17" t="s">
        <v>8250</v>
      </c>
      <c r="C2264" s="17" t="s">
        <v>8253</v>
      </c>
      <c r="D2264" s="19" t="s">
        <v>8254</v>
      </c>
      <c r="E2264" s="20" t="s">
        <v>6944</v>
      </c>
      <c r="F2264" s="21">
        <v>38865.0</v>
      </c>
      <c r="G2264" s="14">
        <v>20.0</v>
      </c>
      <c r="H2264" s="23" t="s">
        <v>100</v>
      </c>
      <c r="I2264" s="24" t="s">
        <v>27</v>
      </c>
      <c r="J2264" s="19" t="s">
        <v>53</v>
      </c>
      <c r="K2264" s="14">
        <v>30.0</v>
      </c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7"/>
    </row>
    <row r="2265">
      <c r="A2265" s="14" t="s">
        <v>8255</v>
      </c>
      <c r="B2265" s="17" t="s">
        <v>8250</v>
      </c>
      <c r="C2265" s="17" t="s">
        <v>8256</v>
      </c>
      <c r="D2265" s="19" t="s">
        <v>8257</v>
      </c>
      <c r="E2265" s="20" t="s">
        <v>4792</v>
      </c>
      <c r="F2265" s="21">
        <v>36935.0</v>
      </c>
      <c r="G2265" s="14">
        <v>25.0</v>
      </c>
      <c r="H2265" s="23" t="s">
        <v>100</v>
      </c>
      <c r="I2265" s="24" t="s">
        <v>33</v>
      </c>
      <c r="J2265" s="19" t="s">
        <v>53</v>
      </c>
      <c r="K2265" s="14">
        <v>30.0</v>
      </c>
      <c r="L2265" s="7"/>
      <c r="M2265" s="7"/>
      <c r="N2265" s="7"/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7"/>
    </row>
    <row r="2266">
      <c r="A2266" s="14" t="s">
        <v>8258</v>
      </c>
      <c r="B2266" s="17" t="s">
        <v>8250</v>
      </c>
      <c r="C2266" s="17" t="s">
        <v>8259</v>
      </c>
      <c r="D2266" s="19" t="s">
        <v>8260</v>
      </c>
      <c r="E2266" s="20" t="s">
        <v>592</v>
      </c>
      <c r="F2266" s="21">
        <v>26424.0</v>
      </c>
      <c r="G2266" s="14">
        <v>54.0</v>
      </c>
      <c r="H2266" s="23" t="s">
        <v>26</v>
      </c>
      <c r="I2266" s="24" t="s">
        <v>33</v>
      </c>
      <c r="J2266" s="19" t="s">
        <v>53</v>
      </c>
      <c r="K2266" s="14">
        <v>30.0</v>
      </c>
      <c r="L2266" s="7"/>
      <c r="M2266" s="7"/>
      <c r="N2266" s="7"/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7"/>
    </row>
    <row r="2267">
      <c r="A2267" s="14" t="s">
        <v>8261</v>
      </c>
      <c r="B2267" s="17" t="s">
        <v>8262</v>
      </c>
      <c r="C2267" s="17" t="s">
        <v>8263</v>
      </c>
      <c r="D2267" s="19" t="s">
        <v>8264</v>
      </c>
      <c r="E2267" s="20" t="s">
        <v>8265</v>
      </c>
      <c r="F2267" s="21">
        <v>32950.0</v>
      </c>
      <c r="G2267" s="14">
        <v>36.0</v>
      </c>
      <c r="H2267" s="23" t="s">
        <v>26</v>
      </c>
      <c r="I2267" s="24" t="s">
        <v>33</v>
      </c>
      <c r="J2267" s="19" t="s">
        <v>328</v>
      </c>
      <c r="K2267" s="14">
        <v>24.0</v>
      </c>
      <c r="L2267" s="7"/>
      <c r="M2267" s="7"/>
      <c r="N2267" s="7"/>
      <c r="O2267" s="7"/>
      <c r="P2267" s="7"/>
      <c r="Q2267" s="7"/>
      <c r="R2267" s="7"/>
      <c r="S2267" s="7"/>
      <c r="T2267" s="7"/>
      <c r="U2267" s="7"/>
      <c r="V2267" s="7"/>
      <c r="W2267" s="7"/>
      <c r="X2267" s="7"/>
      <c r="Y2267" s="7"/>
    </row>
    <row r="2268">
      <c r="A2268" s="14" t="s">
        <v>8266</v>
      </c>
      <c r="B2268" s="17" t="s">
        <v>8262</v>
      </c>
      <c r="C2268" s="17" t="s">
        <v>8267</v>
      </c>
      <c r="D2268" s="19" t="s">
        <v>8268</v>
      </c>
      <c r="E2268" s="20" t="s">
        <v>53</v>
      </c>
      <c r="F2268" s="27">
        <v>33168.0</v>
      </c>
      <c r="G2268" s="14">
        <v>35.0</v>
      </c>
      <c r="H2268" s="23" t="s">
        <v>26</v>
      </c>
      <c r="I2268" s="24" t="s">
        <v>27</v>
      </c>
      <c r="J2268" s="19" t="s">
        <v>328</v>
      </c>
      <c r="K2268" s="14">
        <v>24.0</v>
      </c>
      <c r="L2268" s="7"/>
      <c r="M2268" s="7"/>
      <c r="N2268" s="7"/>
      <c r="O2268" s="7"/>
      <c r="P2268" s="7"/>
      <c r="Q2268" s="7"/>
      <c r="R2268" s="7"/>
      <c r="S2268" s="7"/>
      <c r="T2268" s="7"/>
      <c r="U2268" s="7"/>
      <c r="V2268" s="7"/>
      <c r="W2268" s="7"/>
      <c r="X2268" s="7"/>
      <c r="Y2268" s="7"/>
    </row>
    <row r="2269">
      <c r="A2269" s="14" t="s">
        <v>8269</v>
      </c>
      <c r="B2269" s="17" t="s">
        <v>8270</v>
      </c>
      <c r="C2269" s="17" t="s">
        <v>8271</v>
      </c>
      <c r="D2269" s="19" t="s">
        <v>8272</v>
      </c>
      <c r="E2269" s="20" t="s">
        <v>104</v>
      </c>
      <c r="F2269" s="27">
        <v>35052.0</v>
      </c>
      <c r="G2269" s="14">
        <v>30.0</v>
      </c>
      <c r="H2269" s="23" t="s">
        <v>26</v>
      </c>
      <c r="I2269" s="24" t="s">
        <v>27</v>
      </c>
      <c r="J2269" s="19" t="s">
        <v>726</v>
      </c>
      <c r="K2269" s="14">
        <v>12.0</v>
      </c>
      <c r="L2269" s="7"/>
      <c r="M2269" s="7"/>
      <c r="N2269" s="7"/>
      <c r="O2269" s="7"/>
      <c r="P2269" s="7"/>
      <c r="Q2269" s="7"/>
      <c r="R2269" s="7"/>
      <c r="S2269" s="7"/>
      <c r="T2269" s="7"/>
      <c r="U2269" s="7"/>
      <c r="V2269" s="7"/>
      <c r="W2269" s="7"/>
      <c r="X2269" s="7"/>
      <c r="Y2269" s="7"/>
    </row>
    <row r="2270">
      <c r="A2270" s="14" t="s">
        <v>8273</v>
      </c>
      <c r="B2270" s="17" t="s">
        <v>8270</v>
      </c>
      <c r="C2270" s="17" t="s">
        <v>8274</v>
      </c>
      <c r="D2270" s="19" t="s">
        <v>4399</v>
      </c>
      <c r="E2270" s="20" t="s">
        <v>210</v>
      </c>
      <c r="F2270" s="21">
        <v>33108.0</v>
      </c>
      <c r="G2270" s="14">
        <v>36.0</v>
      </c>
      <c r="H2270" s="23" t="s">
        <v>26</v>
      </c>
      <c r="I2270" s="24" t="s">
        <v>33</v>
      </c>
      <c r="J2270" s="19" t="s">
        <v>726</v>
      </c>
      <c r="K2270" s="14">
        <v>12.0</v>
      </c>
      <c r="L2270" s="7"/>
      <c r="M2270" s="7"/>
      <c r="N2270" s="7"/>
      <c r="O2270" s="7"/>
      <c r="P2270" s="7"/>
      <c r="Q2270" s="7"/>
      <c r="R2270" s="7"/>
      <c r="S2270" s="7"/>
      <c r="T2270" s="7"/>
      <c r="U2270" s="7"/>
      <c r="V2270" s="7"/>
      <c r="W2270" s="7"/>
      <c r="X2270" s="7"/>
      <c r="Y2270" s="7"/>
    </row>
    <row r="2271">
      <c r="A2271" s="14" t="s">
        <v>8275</v>
      </c>
      <c r="B2271" s="17" t="s">
        <v>8276</v>
      </c>
      <c r="C2271" s="17" t="s">
        <v>8277</v>
      </c>
      <c r="D2271" s="19" t="s">
        <v>8278</v>
      </c>
      <c r="E2271" s="20" t="s">
        <v>337</v>
      </c>
      <c r="F2271" s="21">
        <v>37516.0</v>
      </c>
      <c r="G2271" s="14">
        <v>23.0</v>
      </c>
      <c r="H2271" s="23" t="s">
        <v>100</v>
      </c>
      <c r="I2271" s="24" t="s">
        <v>27</v>
      </c>
      <c r="J2271" s="19" t="s">
        <v>2336</v>
      </c>
      <c r="K2271" s="14">
        <v>24.0</v>
      </c>
      <c r="L2271" s="7"/>
      <c r="M2271" s="7"/>
      <c r="N2271" s="7"/>
      <c r="O2271" s="7"/>
      <c r="P2271" s="7"/>
      <c r="Q2271" s="7"/>
      <c r="R2271" s="7"/>
      <c r="S2271" s="7"/>
      <c r="T2271" s="7"/>
      <c r="U2271" s="7"/>
      <c r="V2271" s="7"/>
      <c r="W2271" s="7"/>
      <c r="X2271" s="7"/>
      <c r="Y2271" s="7"/>
    </row>
    <row r="2272">
      <c r="A2272" s="14" t="s">
        <v>8279</v>
      </c>
      <c r="B2272" s="17" t="s">
        <v>8276</v>
      </c>
      <c r="C2272" s="17" t="s">
        <v>8280</v>
      </c>
      <c r="D2272" s="19" t="s">
        <v>8281</v>
      </c>
      <c r="E2272" s="20" t="s">
        <v>8282</v>
      </c>
      <c r="F2272" s="21">
        <v>39022.0</v>
      </c>
      <c r="G2272" s="14">
        <v>19.0</v>
      </c>
      <c r="H2272" s="23" t="s">
        <v>100</v>
      </c>
      <c r="I2272" s="24" t="s">
        <v>33</v>
      </c>
      <c r="J2272" s="19" t="s">
        <v>2336</v>
      </c>
      <c r="K2272" s="14">
        <v>24.0</v>
      </c>
      <c r="L2272" s="7"/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7"/>
      <c r="X2272" s="7"/>
      <c r="Y2272" s="7"/>
    </row>
    <row r="2273">
      <c r="A2273" s="14" t="s">
        <v>8283</v>
      </c>
      <c r="B2273" s="17" t="s">
        <v>8276</v>
      </c>
      <c r="C2273" s="17" t="s">
        <v>8284</v>
      </c>
      <c r="D2273" s="19" t="s">
        <v>7870</v>
      </c>
      <c r="E2273" s="20" t="s">
        <v>654</v>
      </c>
      <c r="F2273" s="21">
        <v>27733.0</v>
      </c>
      <c r="G2273" s="14">
        <v>50.0</v>
      </c>
      <c r="H2273" s="23" t="s">
        <v>26</v>
      </c>
      <c r="I2273" s="24" t="s">
        <v>33</v>
      </c>
      <c r="J2273" s="19" t="s">
        <v>2336</v>
      </c>
      <c r="K2273" s="14">
        <v>24.0</v>
      </c>
      <c r="L2273" s="7"/>
      <c r="M2273" s="7"/>
      <c r="N2273" s="7"/>
      <c r="O2273" s="7"/>
      <c r="P2273" s="7"/>
      <c r="Q2273" s="7"/>
      <c r="R2273" s="7"/>
      <c r="S2273" s="7"/>
      <c r="T2273" s="7"/>
      <c r="U2273" s="7"/>
      <c r="V2273" s="7"/>
      <c r="W2273" s="7"/>
      <c r="X2273" s="7"/>
      <c r="Y2273" s="7"/>
    </row>
    <row r="2274">
      <c r="A2274" s="14" t="s">
        <v>8285</v>
      </c>
      <c r="B2274" s="17" t="s">
        <v>8276</v>
      </c>
      <c r="C2274" s="17" t="s">
        <v>8286</v>
      </c>
      <c r="D2274" s="19" t="s">
        <v>7402</v>
      </c>
      <c r="E2274" s="20" t="s">
        <v>195</v>
      </c>
      <c r="F2274" s="27">
        <v>29947.0</v>
      </c>
      <c r="G2274" s="14">
        <v>44.0</v>
      </c>
      <c r="H2274" s="23" t="s">
        <v>26</v>
      </c>
      <c r="I2274" s="24" t="s">
        <v>27</v>
      </c>
      <c r="J2274" s="19" t="s">
        <v>2336</v>
      </c>
      <c r="K2274" s="14">
        <v>24.0</v>
      </c>
      <c r="L2274" s="7"/>
      <c r="M2274" s="7"/>
      <c r="N2274" s="7"/>
      <c r="O2274" s="7"/>
      <c r="P2274" s="7"/>
      <c r="Q2274" s="7"/>
      <c r="R2274" s="7"/>
      <c r="S2274" s="7"/>
      <c r="T2274" s="7"/>
      <c r="U2274" s="7"/>
      <c r="V2274" s="7"/>
      <c r="W2274" s="7"/>
      <c r="X2274" s="7"/>
      <c r="Y2274" s="7"/>
    </row>
    <row r="2275">
      <c r="A2275" s="14" t="s">
        <v>8287</v>
      </c>
      <c r="B2275" s="17" t="s">
        <v>8288</v>
      </c>
      <c r="C2275" s="17" t="s">
        <v>8289</v>
      </c>
      <c r="D2275" s="19" t="s">
        <v>8290</v>
      </c>
      <c r="E2275" s="20" t="s">
        <v>104</v>
      </c>
      <c r="F2275" s="21">
        <v>37349.0</v>
      </c>
      <c r="G2275" s="14">
        <v>24.0</v>
      </c>
      <c r="H2275" s="23" t="s">
        <v>100</v>
      </c>
      <c r="I2275" s="24" t="s">
        <v>33</v>
      </c>
      <c r="J2275" s="19" t="s">
        <v>2336</v>
      </c>
      <c r="K2275" s="14">
        <v>24.0</v>
      </c>
      <c r="L2275" s="7"/>
      <c r="M2275" s="7"/>
      <c r="N2275" s="7"/>
      <c r="O2275" s="7"/>
      <c r="P2275" s="7"/>
      <c r="Q2275" s="7"/>
      <c r="R2275" s="7"/>
      <c r="S2275" s="7"/>
      <c r="T2275" s="7"/>
      <c r="U2275" s="7"/>
      <c r="V2275" s="7"/>
      <c r="W2275" s="7"/>
      <c r="X2275" s="7"/>
      <c r="Y2275" s="7"/>
    </row>
    <row r="2276">
      <c r="A2276" s="14" t="s">
        <v>8291</v>
      </c>
      <c r="B2276" s="17" t="s">
        <v>8288</v>
      </c>
      <c r="C2276" s="17" t="s">
        <v>8292</v>
      </c>
      <c r="D2276" s="19" t="s">
        <v>8293</v>
      </c>
      <c r="E2276" s="20" t="s">
        <v>5046</v>
      </c>
      <c r="F2276" s="21">
        <v>21716.0</v>
      </c>
      <c r="G2276" s="14">
        <v>67.0</v>
      </c>
      <c r="H2276" s="23" t="s">
        <v>26</v>
      </c>
      <c r="I2276" s="24" t="s">
        <v>33</v>
      </c>
      <c r="J2276" s="19" t="s">
        <v>2336</v>
      </c>
      <c r="K2276" s="14">
        <v>24.0</v>
      </c>
      <c r="L2276" s="7"/>
      <c r="M2276" s="7"/>
      <c r="N2276" s="7"/>
      <c r="O2276" s="7"/>
      <c r="P2276" s="7"/>
      <c r="Q2276" s="7"/>
      <c r="R2276" s="7"/>
      <c r="S2276" s="7"/>
      <c r="T2276" s="7"/>
      <c r="U2276" s="7"/>
      <c r="V2276" s="7"/>
      <c r="W2276" s="7"/>
      <c r="X2276" s="7"/>
      <c r="Y2276" s="7"/>
    </row>
    <row r="2277">
      <c r="A2277" s="14" t="s">
        <v>8294</v>
      </c>
      <c r="B2277" s="17" t="s">
        <v>8288</v>
      </c>
      <c r="C2277" s="17" t="s">
        <v>8296</v>
      </c>
      <c r="D2277" s="19" t="s">
        <v>8297</v>
      </c>
      <c r="E2277" s="20" t="s">
        <v>654</v>
      </c>
      <c r="F2277" s="21">
        <v>27214.0</v>
      </c>
      <c r="G2277" s="14">
        <v>52.0</v>
      </c>
      <c r="H2277" s="23" t="s">
        <v>26</v>
      </c>
      <c r="I2277" s="24" t="s">
        <v>27</v>
      </c>
      <c r="J2277" s="19" t="s">
        <v>2336</v>
      </c>
      <c r="K2277" s="14">
        <v>24.0</v>
      </c>
      <c r="L2277" s="7"/>
      <c r="M2277" s="7"/>
      <c r="N2277" s="7"/>
      <c r="O2277" s="7"/>
      <c r="P2277" s="7"/>
      <c r="Q2277" s="7"/>
      <c r="R2277" s="7"/>
      <c r="S2277" s="7"/>
      <c r="T2277" s="7"/>
      <c r="U2277" s="7"/>
      <c r="V2277" s="7"/>
      <c r="W2277" s="7"/>
      <c r="X2277" s="7"/>
      <c r="Y2277" s="7"/>
    </row>
    <row r="2278">
      <c r="A2278" s="14" t="s">
        <v>8298</v>
      </c>
      <c r="B2278" s="17" t="s">
        <v>8299</v>
      </c>
      <c r="C2278" s="17" t="s">
        <v>8300</v>
      </c>
      <c r="D2278" s="19" t="s">
        <v>8301</v>
      </c>
      <c r="E2278" s="20" t="s">
        <v>8302</v>
      </c>
      <c r="F2278" s="21">
        <v>25877.0</v>
      </c>
      <c r="G2278" s="14">
        <v>55.0</v>
      </c>
      <c r="H2278" s="23" t="s">
        <v>26</v>
      </c>
      <c r="I2278" s="24" t="s">
        <v>27</v>
      </c>
      <c r="J2278" s="19" t="s">
        <v>8211</v>
      </c>
      <c r="K2278" s="14">
        <v>34.0</v>
      </c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7"/>
    </row>
    <row r="2279">
      <c r="A2279" s="14" t="s">
        <v>8303</v>
      </c>
      <c r="B2279" s="17" t="s">
        <v>8299</v>
      </c>
      <c r="C2279" s="17" t="s">
        <v>8304</v>
      </c>
      <c r="D2279" s="19" t="s">
        <v>8305</v>
      </c>
      <c r="E2279" s="20" t="s">
        <v>650</v>
      </c>
      <c r="F2279" s="21">
        <v>23924.0</v>
      </c>
      <c r="G2279" s="14">
        <v>61.0</v>
      </c>
      <c r="H2279" s="23" t="s">
        <v>26</v>
      </c>
      <c r="I2279" s="24" t="s">
        <v>33</v>
      </c>
      <c r="J2279" s="19" t="s">
        <v>8211</v>
      </c>
      <c r="K2279" s="14">
        <v>34.0</v>
      </c>
      <c r="L2279" s="7"/>
      <c r="M2279" s="7"/>
      <c r="N2279" s="7"/>
      <c r="O2279" s="7"/>
      <c r="P2279" s="7"/>
      <c r="Q2279" s="7"/>
      <c r="R2279" s="7"/>
      <c r="S2279" s="7"/>
      <c r="T2279" s="7"/>
      <c r="U2279" s="7"/>
      <c r="V2279" s="7"/>
      <c r="W2279" s="7"/>
      <c r="X2279" s="7"/>
      <c r="Y2279" s="7"/>
    </row>
    <row r="2280">
      <c r="A2280" s="14" t="s">
        <v>8306</v>
      </c>
      <c r="B2280" s="17" t="s">
        <v>8307</v>
      </c>
      <c r="C2280" s="17" t="s">
        <v>8308</v>
      </c>
      <c r="D2280" s="19" t="s">
        <v>4633</v>
      </c>
      <c r="E2280" s="20" t="s">
        <v>53</v>
      </c>
      <c r="F2280" s="21">
        <v>31608.0</v>
      </c>
      <c r="G2280" s="14">
        <v>40.0</v>
      </c>
      <c r="H2280" s="23" t="s">
        <v>26</v>
      </c>
      <c r="I2280" s="24" t="s">
        <v>27</v>
      </c>
      <c r="J2280" s="19" t="s">
        <v>8211</v>
      </c>
      <c r="K2280" s="14">
        <v>34.0</v>
      </c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7"/>
    </row>
    <row r="2281">
      <c r="A2281" s="14" t="s">
        <v>8309</v>
      </c>
      <c r="B2281" s="17" t="s">
        <v>8310</v>
      </c>
      <c r="C2281" s="17" t="s">
        <v>8311</v>
      </c>
      <c r="D2281" s="19" t="s">
        <v>8312</v>
      </c>
      <c r="E2281" s="20" t="s">
        <v>1291</v>
      </c>
      <c r="F2281" s="21">
        <v>18798.0</v>
      </c>
      <c r="G2281" s="14">
        <v>75.0</v>
      </c>
      <c r="H2281" s="23" t="s">
        <v>26</v>
      </c>
      <c r="I2281" s="24" t="s">
        <v>33</v>
      </c>
      <c r="J2281" s="19" t="s">
        <v>8211</v>
      </c>
      <c r="K2281" s="14">
        <v>34.0</v>
      </c>
      <c r="L2281" s="7"/>
      <c r="M2281" s="7"/>
      <c r="N2281" s="7"/>
      <c r="O2281" s="7"/>
      <c r="P2281" s="7"/>
      <c r="Q2281" s="7"/>
      <c r="R2281" s="7"/>
      <c r="S2281" s="7"/>
      <c r="T2281" s="7"/>
      <c r="U2281" s="7"/>
      <c r="V2281" s="7"/>
      <c r="W2281" s="7"/>
      <c r="X2281" s="7"/>
      <c r="Y2281" s="7"/>
    </row>
    <row r="2282">
      <c r="A2282" s="14" t="s">
        <v>8313</v>
      </c>
      <c r="B2282" s="17" t="s">
        <v>8310</v>
      </c>
      <c r="C2282" s="17" t="s">
        <v>8314</v>
      </c>
      <c r="D2282" s="19" t="s">
        <v>8210</v>
      </c>
      <c r="E2282" s="20" t="s">
        <v>1291</v>
      </c>
      <c r="F2282" s="21">
        <v>21310.0</v>
      </c>
      <c r="G2282" s="14">
        <v>68.0</v>
      </c>
      <c r="H2282" s="23" t="s">
        <v>26</v>
      </c>
      <c r="I2282" s="24" t="s">
        <v>27</v>
      </c>
      <c r="J2282" s="19" t="s">
        <v>156</v>
      </c>
      <c r="K2282" s="14">
        <v>34.0</v>
      </c>
      <c r="L2282" s="7"/>
      <c r="M2282" s="7"/>
      <c r="N2282" s="7"/>
      <c r="O2282" s="7"/>
      <c r="P2282" s="7"/>
      <c r="Q2282" s="7"/>
      <c r="R2282" s="7"/>
      <c r="S2282" s="7"/>
      <c r="T2282" s="7"/>
      <c r="U2282" s="7"/>
      <c r="V2282" s="7"/>
      <c r="W2282" s="7"/>
      <c r="X2282" s="7"/>
      <c r="Y2282" s="7"/>
    </row>
    <row r="2283">
      <c r="A2283" s="14" t="s">
        <v>8315</v>
      </c>
      <c r="B2283" s="17" t="s">
        <v>8316</v>
      </c>
      <c r="C2283" s="17" t="s">
        <v>8317</v>
      </c>
      <c r="D2283" s="19" t="s">
        <v>8318</v>
      </c>
      <c r="E2283" s="20" t="s">
        <v>1291</v>
      </c>
      <c r="F2283" s="27">
        <v>19346.0</v>
      </c>
      <c r="G2283" s="14">
        <v>73.0</v>
      </c>
      <c r="H2283" s="23" t="s">
        <v>27</v>
      </c>
      <c r="I2283" s="24" t="s">
        <v>33</v>
      </c>
      <c r="J2283" s="19" t="s">
        <v>68</v>
      </c>
      <c r="K2283" s="14">
        <v>34.0</v>
      </c>
      <c r="L2283" s="7"/>
      <c r="M2283" s="7"/>
      <c r="N2283" s="7"/>
      <c r="O2283" s="7"/>
      <c r="P2283" s="7"/>
      <c r="Q2283" s="7"/>
      <c r="R2283" s="7"/>
      <c r="S2283" s="7"/>
      <c r="T2283" s="7"/>
      <c r="U2283" s="7"/>
      <c r="V2283" s="7"/>
      <c r="W2283" s="7"/>
      <c r="X2283" s="7"/>
      <c r="Y2283" s="7"/>
    </row>
    <row r="2284">
      <c r="A2284" s="14" t="s">
        <v>8319</v>
      </c>
      <c r="B2284" s="17" t="s">
        <v>8320</v>
      </c>
      <c r="C2284" s="17" t="s">
        <v>8321</v>
      </c>
      <c r="D2284" s="19" t="s">
        <v>8322</v>
      </c>
      <c r="E2284" s="20" t="s">
        <v>8323</v>
      </c>
      <c r="F2284" s="21">
        <v>30141.0</v>
      </c>
      <c r="G2284" s="14">
        <v>44.0</v>
      </c>
      <c r="H2284" s="23" t="s">
        <v>26</v>
      </c>
      <c r="I2284" s="24" t="s">
        <v>27</v>
      </c>
      <c r="J2284" s="19" t="s">
        <v>156</v>
      </c>
      <c r="K2284" s="14">
        <v>34.0</v>
      </c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</row>
    <row r="2285">
      <c r="A2285" s="14" t="s">
        <v>8324</v>
      </c>
      <c r="B2285" s="17" t="s">
        <v>8320</v>
      </c>
      <c r="C2285" s="17" t="s">
        <v>8325</v>
      </c>
      <c r="D2285" s="19" t="s">
        <v>8326</v>
      </c>
      <c r="E2285" s="20" t="s">
        <v>104</v>
      </c>
      <c r="F2285" s="21">
        <v>27557.0</v>
      </c>
      <c r="G2285" s="14">
        <v>51.0</v>
      </c>
      <c r="H2285" s="23" t="s">
        <v>26</v>
      </c>
      <c r="I2285" s="24" t="s">
        <v>33</v>
      </c>
      <c r="J2285" s="19" t="s">
        <v>156</v>
      </c>
      <c r="K2285" s="14">
        <v>34.0</v>
      </c>
      <c r="L2285" s="7"/>
      <c r="M2285" s="7"/>
      <c r="N2285" s="7"/>
      <c r="O2285" s="7"/>
      <c r="P2285" s="7"/>
      <c r="Q2285" s="7"/>
      <c r="R2285" s="7"/>
      <c r="S2285" s="7"/>
      <c r="T2285" s="7"/>
      <c r="U2285" s="7"/>
      <c r="V2285" s="7"/>
      <c r="W2285" s="7"/>
      <c r="X2285" s="7"/>
      <c r="Y2285" s="7"/>
    </row>
    <row r="2286">
      <c r="A2286" s="14" t="s">
        <v>8327</v>
      </c>
      <c r="B2286" s="17" t="s">
        <v>8328</v>
      </c>
      <c r="C2286" s="17" t="s">
        <v>8329</v>
      </c>
      <c r="D2286" s="19" t="s">
        <v>8330</v>
      </c>
      <c r="E2286" s="20" t="s">
        <v>8323</v>
      </c>
      <c r="F2286" s="27">
        <v>24035.0</v>
      </c>
      <c r="G2286" s="14">
        <v>60.0</v>
      </c>
      <c r="H2286" s="23" t="s">
        <v>27</v>
      </c>
      <c r="I2286" s="24" t="s">
        <v>33</v>
      </c>
      <c r="J2286" s="19" t="s">
        <v>8211</v>
      </c>
      <c r="K2286" s="14">
        <v>34.0</v>
      </c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7"/>
    </row>
    <row r="2287">
      <c r="A2287" s="14" t="s">
        <v>8331</v>
      </c>
      <c r="B2287" s="17" t="s">
        <v>8332</v>
      </c>
      <c r="C2287" s="17" t="s">
        <v>8333</v>
      </c>
      <c r="D2287" s="19" t="s">
        <v>8334</v>
      </c>
      <c r="E2287" s="20" t="s">
        <v>104</v>
      </c>
      <c r="F2287" s="21">
        <v>37816.0</v>
      </c>
      <c r="G2287" s="14">
        <v>23.0</v>
      </c>
      <c r="H2287" s="23" t="s">
        <v>100</v>
      </c>
      <c r="I2287" s="24" t="s">
        <v>33</v>
      </c>
      <c r="J2287" s="19" t="s">
        <v>53</v>
      </c>
      <c r="K2287" s="14">
        <v>3.0</v>
      </c>
      <c r="L2287" s="7"/>
      <c r="M2287" s="7"/>
      <c r="N2287" s="7"/>
      <c r="O2287" s="7"/>
      <c r="P2287" s="7"/>
      <c r="Q2287" s="7"/>
      <c r="R2287" s="7"/>
      <c r="S2287" s="7"/>
      <c r="T2287" s="7"/>
      <c r="U2287" s="7"/>
      <c r="V2287" s="7"/>
      <c r="W2287" s="7"/>
      <c r="X2287" s="7"/>
      <c r="Y2287" s="7"/>
    </row>
    <row r="2288">
      <c r="A2288" s="14" t="s">
        <v>8335</v>
      </c>
      <c r="B2288" s="17" t="s">
        <v>8332</v>
      </c>
      <c r="C2288" s="17" t="s">
        <v>8336</v>
      </c>
      <c r="D2288" s="19" t="s">
        <v>8337</v>
      </c>
      <c r="E2288" s="20" t="s">
        <v>632</v>
      </c>
      <c r="F2288" s="21">
        <v>27259.0</v>
      </c>
      <c r="G2288" s="14">
        <v>52.0</v>
      </c>
      <c r="H2288" s="23" t="s">
        <v>26</v>
      </c>
      <c r="I2288" s="24" t="s">
        <v>27</v>
      </c>
      <c r="J2288" s="19" t="s">
        <v>53</v>
      </c>
      <c r="K2288" s="14">
        <v>3.0</v>
      </c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7"/>
    </row>
    <row r="2289">
      <c r="A2289" s="14" t="s">
        <v>8338</v>
      </c>
      <c r="B2289" s="17" t="s">
        <v>8332</v>
      </c>
      <c r="C2289" s="17" t="s">
        <v>8339</v>
      </c>
      <c r="D2289" s="19" t="s">
        <v>1282</v>
      </c>
      <c r="E2289" s="20" t="s">
        <v>632</v>
      </c>
      <c r="F2289" s="27">
        <v>25184.0</v>
      </c>
      <c r="G2289" s="14">
        <v>57.0</v>
      </c>
      <c r="H2289" s="23" t="s">
        <v>26</v>
      </c>
      <c r="I2289" s="24" t="s">
        <v>33</v>
      </c>
      <c r="J2289" s="19" t="s">
        <v>53</v>
      </c>
      <c r="K2289" s="14">
        <v>3.0</v>
      </c>
      <c r="L2289" s="7"/>
      <c r="M2289" s="7"/>
      <c r="N2289" s="7"/>
      <c r="O2289" s="7"/>
      <c r="P2289" s="7"/>
      <c r="Q2289" s="7"/>
      <c r="R2289" s="7"/>
      <c r="S2289" s="7"/>
      <c r="T2289" s="7"/>
      <c r="U2289" s="7"/>
      <c r="V2289" s="7"/>
      <c r="W2289" s="7"/>
      <c r="X2289" s="7"/>
      <c r="Y2289" s="7"/>
    </row>
    <row r="2290">
      <c r="A2290" s="14" t="s">
        <v>8340</v>
      </c>
      <c r="B2290" s="17" t="s">
        <v>8341</v>
      </c>
      <c r="C2290" s="17" t="s">
        <v>8342</v>
      </c>
      <c r="D2290" s="19" t="s">
        <v>8343</v>
      </c>
      <c r="E2290" s="20" t="s">
        <v>8344</v>
      </c>
      <c r="F2290" s="21">
        <v>23940.0</v>
      </c>
      <c r="G2290" s="14">
        <v>61.0</v>
      </c>
      <c r="H2290" s="23" t="s">
        <v>26</v>
      </c>
      <c r="I2290" s="24" t="s">
        <v>27</v>
      </c>
      <c r="J2290" s="19" t="s">
        <v>53</v>
      </c>
      <c r="K2290" s="14">
        <v>3.0</v>
      </c>
      <c r="L2290" s="7"/>
      <c r="M2290" s="7"/>
      <c r="N2290" s="7"/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7"/>
    </row>
    <row r="2291">
      <c r="A2291" s="14" t="s">
        <v>8345</v>
      </c>
      <c r="B2291" s="17" t="s">
        <v>8341</v>
      </c>
      <c r="C2291" s="17" t="s">
        <v>8346</v>
      </c>
      <c r="D2291" s="19" t="s">
        <v>8347</v>
      </c>
      <c r="E2291" s="20" t="s">
        <v>104</v>
      </c>
      <c r="F2291" s="21">
        <v>35337.0</v>
      </c>
      <c r="G2291" s="14">
        <v>29.0</v>
      </c>
      <c r="H2291" s="23" t="s">
        <v>100</v>
      </c>
      <c r="I2291" s="24" t="s">
        <v>33</v>
      </c>
      <c r="J2291" s="19" t="s">
        <v>53</v>
      </c>
      <c r="K2291" s="14">
        <v>3.0</v>
      </c>
      <c r="L2291" s="7"/>
      <c r="M2291" s="7"/>
      <c r="N2291" s="7"/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7"/>
    </row>
    <row r="2292">
      <c r="A2292" s="14" t="s">
        <v>8348</v>
      </c>
      <c r="B2292" s="17" t="s">
        <v>8349</v>
      </c>
      <c r="C2292" s="17" t="s">
        <v>8350</v>
      </c>
      <c r="D2292" s="19" t="s">
        <v>8351</v>
      </c>
      <c r="E2292" s="20" t="s">
        <v>104</v>
      </c>
      <c r="F2292" s="21">
        <v>30724.0</v>
      </c>
      <c r="G2292" s="14">
        <v>42.0</v>
      </c>
      <c r="H2292" s="23" t="s">
        <v>26</v>
      </c>
      <c r="I2292" s="24" t="s">
        <v>27</v>
      </c>
      <c r="J2292" s="19" t="s">
        <v>146</v>
      </c>
      <c r="K2292" s="14">
        <v>2.0</v>
      </c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</row>
    <row r="2293">
      <c r="A2293" s="14" t="s">
        <v>8352</v>
      </c>
      <c r="B2293" s="17" t="s">
        <v>8349</v>
      </c>
      <c r="C2293" s="17" t="s">
        <v>8353</v>
      </c>
      <c r="D2293" s="19" t="s">
        <v>8354</v>
      </c>
      <c r="E2293" s="20" t="s">
        <v>8355</v>
      </c>
      <c r="F2293" s="21">
        <v>29002.0</v>
      </c>
      <c r="G2293" s="14">
        <v>47.0</v>
      </c>
      <c r="H2293" s="23" t="s">
        <v>26</v>
      </c>
      <c r="I2293" s="24" t="s">
        <v>33</v>
      </c>
      <c r="J2293" s="19" t="s">
        <v>146</v>
      </c>
      <c r="K2293" s="14">
        <v>2.0</v>
      </c>
      <c r="L2293" s="7"/>
      <c r="M2293" s="7"/>
      <c r="N2293" s="7"/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7"/>
    </row>
    <row r="2294">
      <c r="A2294" s="14" t="s">
        <v>8356</v>
      </c>
      <c r="B2294" s="17" t="s">
        <v>8349</v>
      </c>
      <c r="C2294" s="17" t="s">
        <v>8357</v>
      </c>
      <c r="D2294" s="19" t="s">
        <v>8358</v>
      </c>
      <c r="E2294" s="20" t="s">
        <v>53</v>
      </c>
      <c r="F2294" s="21">
        <v>37342.0</v>
      </c>
      <c r="G2294" s="14">
        <v>24.0</v>
      </c>
      <c r="H2294" s="23" t="s">
        <v>100</v>
      </c>
      <c r="I2294" s="24" t="s">
        <v>27</v>
      </c>
      <c r="J2294" s="19" t="s">
        <v>146</v>
      </c>
      <c r="K2294" s="14">
        <v>2.0</v>
      </c>
      <c r="L2294" s="7"/>
      <c r="M2294" s="7"/>
      <c r="N2294" s="7"/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7"/>
    </row>
    <row r="2295">
      <c r="A2295" s="14" t="s">
        <v>8359</v>
      </c>
      <c r="B2295" s="17" t="s">
        <v>8360</v>
      </c>
      <c r="C2295" s="17" t="s">
        <v>8361</v>
      </c>
      <c r="D2295" s="19" t="s">
        <v>8362</v>
      </c>
      <c r="E2295" s="20" t="s">
        <v>8363</v>
      </c>
      <c r="F2295" s="21">
        <v>27003.0</v>
      </c>
      <c r="G2295" s="14">
        <v>52.0</v>
      </c>
      <c r="H2295" s="23" t="s">
        <v>26</v>
      </c>
      <c r="I2295" s="24" t="s">
        <v>27</v>
      </c>
      <c r="J2295" s="19" t="s">
        <v>53</v>
      </c>
      <c r="K2295" s="14">
        <v>3.0</v>
      </c>
      <c r="L2295" s="7"/>
      <c r="M2295" s="7"/>
      <c r="N2295" s="7"/>
      <c r="O2295" s="7"/>
      <c r="P2295" s="7"/>
      <c r="Q2295" s="7"/>
      <c r="R2295" s="7"/>
      <c r="S2295" s="7"/>
      <c r="T2295" s="7"/>
      <c r="U2295" s="7"/>
      <c r="V2295" s="7"/>
      <c r="W2295" s="7"/>
      <c r="X2295" s="7"/>
      <c r="Y2295" s="7"/>
    </row>
    <row r="2296">
      <c r="A2296" s="14" t="s">
        <v>8364</v>
      </c>
      <c r="B2296" s="17" t="s">
        <v>8360</v>
      </c>
      <c r="C2296" s="17" t="s">
        <v>8365</v>
      </c>
      <c r="D2296" s="19" t="s">
        <v>8366</v>
      </c>
      <c r="E2296" s="20" t="s">
        <v>650</v>
      </c>
      <c r="F2296" s="21">
        <v>26872.0</v>
      </c>
      <c r="G2296" s="14">
        <v>53.0</v>
      </c>
      <c r="H2296" s="23" t="s">
        <v>26</v>
      </c>
      <c r="I2296" s="24" t="s">
        <v>33</v>
      </c>
      <c r="J2296" s="19" t="s">
        <v>53</v>
      </c>
      <c r="K2296" s="14">
        <v>3.0</v>
      </c>
      <c r="L2296" s="7"/>
      <c r="M2296" s="7"/>
      <c r="N2296" s="7"/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7"/>
    </row>
    <row r="2297">
      <c r="A2297" s="14" t="s">
        <v>8367</v>
      </c>
      <c r="B2297" s="17" t="s">
        <v>8360</v>
      </c>
      <c r="C2297" s="17" t="s">
        <v>8368</v>
      </c>
      <c r="D2297" s="19" t="s">
        <v>8369</v>
      </c>
      <c r="E2297" s="20" t="s">
        <v>176</v>
      </c>
      <c r="F2297" s="27">
        <v>39068.0</v>
      </c>
      <c r="G2297" s="14">
        <v>19.0</v>
      </c>
      <c r="H2297" s="23" t="s">
        <v>100</v>
      </c>
      <c r="I2297" s="24" t="s">
        <v>27</v>
      </c>
      <c r="J2297" s="19" t="s">
        <v>53</v>
      </c>
      <c r="K2297" s="14">
        <v>3.0</v>
      </c>
      <c r="L2297" s="7"/>
      <c r="M2297" s="7"/>
      <c r="N2297" s="7"/>
      <c r="O2297" s="7"/>
      <c r="P2297" s="7"/>
      <c r="Q2297" s="7"/>
      <c r="R2297" s="7"/>
      <c r="S2297" s="7"/>
      <c r="T2297" s="7"/>
      <c r="U2297" s="7"/>
      <c r="V2297" s="7"/>
      <c r="W2297" s="7"/>
      <c r="X2297" s="7"/>
      <c r="Y2297" s="7"/>
    </row>
    <row r="2298">
      <c r="A2298" s="14" t="s">
        <v>8370</v>
      </c>
      <c r="B2298" s="17" t="s">
        <v>8371</v>
      </c>
      <c r="C2298" s="17" t="s">
        <v>8372</v>
      </c>
      <c r="D2298" s="19" t="s">
        <v>8373</v>
      </c>
      <c r="E2298" s="20" t="s">
        <v>632</v>
      </c>
      <c r="F2298" s="27">
        <v>20042.0</v>
      </c>
      <c r="G2298" s="14">
        <v>71.0</v>
      </c>
      <c r="H2298" s="23" t="s">
        <v>26</v>
      </c>
      <c r="I2298" s="24" t="s">
        <v>33</v>
      </c>
      <c r="J2298" s="19" t="s">
        <v>146</v>
      </c>
      <c r="K2298" s="14">
        <v>9.0</v>
      </c>
      <c r="L2298" s="7"/>
      <c r="M2298" s="7"/>
      <c r="N2298" s="7"/>
      <c r="O2298" s="7"/>
      <c r="P2298" s="7"/>
      <c r="Q2298" s="7"/>
      <c r="R2298" s="7"/>
      <c r="S2298" s="7"/>
      <c r="T2298" s="7"/>
      <c r="U2298" s="7"/>
      <c r="V2298" s="7"/>
      <c r="W2298" s="7"/>
      <c r="X2298" s="7"/>
      <c r="Y2298" s="7"/>
    </row>
    <row r="2299">
      <c r="A2299" s="14" t="s">
        <v>8374</v>
      </c>
      <c r="B2299" s="17" t="s">
        <v>8371</v>
      </c>
      <c r="C2299" s="17" t="s">
        <v>8375</v>
      </c>
      <c r="D2299" s="19" t="s">
        <v>5916</v>
      </c>
      <c r="E2299" s="20" t="s">
        <v>650</v>
      </c>
      <c r="F2299" s="21">
        <v>21748.0</v>
      </c>
      <c r="G2299" s="14">
        <v>67.0</v>
      </c>
      <c r="H2299" s="23" t="s">
        <v>26</v>
      </c>
      <c r="I2299" s="24" t="s">
        <v>27</v>
      </c>
      <c r="J2299" s="19" t="s">
        <v>146</v>
      </c>
      <c r="K2299" s="14">
        <v>9.0</v>
      </c>
      <c r="L2299" s="7"/>
      <c r="M2299" s="7"/>
      <c r="N2299" s="7"/>
      <c r="O2299" s="7"/>
      <c r="P2299" s="7"/>
      <c r="Q2299" s="7"/>
      <c r="R2299" s="7"/>
      <c r="S2299" s="7"/>
      <c r="T2299" s="7"/>
      <c r="U2299" s="7"/>
      <c r="V2299" s="7"/>
      <c r="W2299" s="7"/>
      <c r="X2299" s="7"/>
      <c r="Y2299" s="7"/>
    </row>
    <row r="2300">
      <c r="A2300" s="14" t="s">
        <v>8376</v>
      </c>
      <c r="B2300" s="17" t="s">
        <v>8377</v>
      </c>
      <c r="C2300" s="17" t="s">
        <v>8378</v>
      </c>
      <c r="D2300" s="19" t="s">
        <v>8379</v>
      </c>
      <c r="E2300" s="20" t="s">
        <v>53</v>
      </c>
      <c r="F2300" s="21">
        <v>34904.0</v>
      </c>
      <c r="G2300" s="14">
        <v>31.0</v>
      </c>
      <c r="H2300" s="23" t="s">
        <v>100</v>
      </c>
      <c r="I2300" s="24" t="s">
        <v>33</v>
      </c>
      <c r="J2300" s="19" t="s">
        <v>156</v>
      </c>
      <c r="K2300" s="14">
        <v>32.0</v>
      </c>
      <c r="L2300" s="7"/>
      <c r="M2300" s="7"/>
      <c r="N2300" s="7"/>
      <c r="O2300" s="7"/>
      <c r="P2300" s="7"/>
      <c r="Q2300" s="7"/>
      <c r="R2300" s="7"/>
      <c r="S2300" s="7"/>
      <c r="T2300" s="7"/>
      <c r="U2300" s="7"/>
      <c r="V2300" s="7"/>
      <c r="W2300" s="7"/>
      <c r="X2300" s="7"/>
      <c r="Y2300" s="7"/>
    </row>
    <row r="2301">
      <c r="A2301" s="14" t="s">
        <v>8380</v>
      </c>
      <c r="B2301" s="17" t="s">
        <v>8381</v>
      </c>
      <c r="C2301" s="17" t="s">
        <v>8382</v>
      </c>
      <c r="D2301" s="19" t="s">
        <v>8383</v>
      </c>
      <c r="E2301" s="20" t="s">
        <v>104</v>
      </c>
      <c r="F2301" s="21">
        <v>31626.0</v>
      </c>
      <c r="G2301" s="14">
        <v>40.0</v>
      </c>
      <c r="H2301" s="23" t="s">
        <v>26</v>
      </c>
      <c r="I2301" s="24" t="s">
        <v>33</v>
      </c>
      <c r="J2301" s="19" t="s">
        <v>104</v>
      </c>
      <c r="K2301" s="14">
        <v>35.0</v>
      </c>
      <c r="L2301" s="7"/>
      <c r="M2301" s="7"/>
      <c r="N2301" s="7"/>
      <c r="O2301" s="7"/>
      <c r="P2301" s="7"/>
      <c r="Q2301" s="7"/>
      <c r="R2301" s="7"/>
      <c r="S2301" s="7"/>
      <c r="T2301" s="7"/>
      <c r="U2301" s="7"/>
      <c r="V2301" s="7"/>
      <c r="W2301" s="7"/>
      <c r="X2301" s="7"/>
      <c r="Y2301" s="7"/>
    </row>
    <row r="2302">
      <c r="A2302" s="14" t="s">
        <v>8384</v>
      </c>
      <c r="B2302" s="17" t="s">
        <v>8385</v>
      </c>
      <c r="C2302" s="17" t="s">
        <v>8386</v>
      </c>
      <c r="D2302" s="19" t="s">
        <v>8387</v>
      </c>
      <c r="E2302" s="20" t="s">
        <v>1550</v>
      </c>
      <c r="F2302" s="27">
        <v>19703.0</v>
      </c>
      <c r="G2302" s="14">
        <v>72.0</v>
      </c>
      <c r="H2302" s="23" t="s">
        <v>27</v>
      </c>
      <c r="I2302" s="24" t="s">
        <v>27</v>
      </c>
      <c r="J2302" s="19" t="s">
        <v>1915</v>
      </c>
      <c r="K2302" s="14">
        <v>11.0</v>
      </c>
      <c r="L2302" s="7"/>
      <c r="M2302" s="7"/>
      <c r="N2302" s="7"/>
      <c r="O2302" s="7"/>
      <c r="P2302" s="7"/>
      <c r="Q2302" s="7"/>
      <c r="R2302" s="7"/>
      <c r="S2302" s="7"/>
      <c r="T2302" s="7"/>
      <c r="U2302" s="7"/>
      <c r="V2302" s="7"/>
      <c r="W2302" s="7"/>
      <c r="X2302" s="7"/>
      <c r="Y2302" s="7"/>
    </row>
    <row r="2303">
      <c r="A2303" s="14" t="s">
        <v>8388</v>
      </c>
      <c r="B2303" s="17" t="s">
        <v>8389</v>
      </c>
      <c r="C2303" s="17" t="s">
        <v>8390</v>
      </c>
      <c r="D2303" s="19" t="s">
        <v>8391</v>
      </c>
      <c r="E2303" s="20" t="s">
        <v>104</v>
      </c>
      <c r="F2303" s="21">
        <v>36578.0</v>
      </c>
      <c r="G2303" s="14">
        <v>26.0</v>
      </c>
      <c r="H2303" s="23" t="s">
        <v>26</v>
      </c>
      <c r="I2303" s="24" t="s">
        <v>27</v>
      </c>
      <c r="J2303" s="19" t="s">
        <v>53</v>
      </c>
      <c r="K2303" s="14">
        <v>35.0</v>
      </c>
      <c r="L2303" s="7"/>
      <c r="M2303" s="7"/>
      <c r="N2303" s="7"/>
      <c r="O2303" s="7"/>
      <c r="P2303" s="7"/>
      <c r="Q2303" s="7"/>
      <c r="R2303" s="7"/>
      <c r="S2303" s="7"/>
      <c r="T2303" s="7"/>
      <c r="U2303" s="7"/>
      <c r="V2303" s="7"/>
      <c r="W2303" s="7"/>
      <c r="X2303" s="7"/>
      <c r="Y2303" s="7"/>
    </row>
    <row r="2304">
      <c r="A2304" s="14" t="s">
        <v>8392</v>
      </c>
      <c r="B2304" s="17" t="s">
        <v>8389</v>
      </c>
      <c r="C2304" s="17" t="s">
        <v>8393</v>
      </c>
      <c r="D2304" s="19" t="s">
        <v>8394</v>
      </c>
      <c r="E2304" s="20" t="s">
        <v>53</v>
      </c>
      <c r="F2304" s="21">
        <v>34023.0</v>
      </c>
      <c r="G2304" s="14">
        <v>33.0</v>
      </c>
      <c r="H2304" s="23" t="s">
        <v>26</v>
      </c>
      <c r="I2304" s="24" t="s">
        <v>33</v>
      </c>
      <c r="J2304" s="19" t="s">
        <v>53</v>
      </c>
      <c r="K2304" s="14">
        <v>35.0</v>
      </c>
      <c r="L2304" s="7"/>
      <c r="M2304" s="7"/>
      <c r="N2304" s="7"/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7"/>
    </row>
    <row r="2305">
      <c r="A2305" s="14" t="s">
        <v>8395</v>
      </c>
      <c r="B2305" s="17" t="s">
        <v>8396</v>
      </c>
      <c r="C2305" s="17" t="s">
        <v>8397</v>
      </c>
      <c r="D2305" s="19" t="s">
        <v>8398</v>
      </c>
      <c r="E2305" s="20" t="s">
        <v>274</v>
      </c>
      <c r="F2305" s="21">
        <v>33311.0</v>
      </c>
      <c r="G2305" s="14">
        <v>35.0</v>
      </c>
      <c r="H2305" s="23" t="s">
        <v>100</v>
      </c>
      <c r="I2305" s="24" t="s">
        <v>33</v>
      </c>
      <c r="J2305" s="19" t="s">
        <v>53</v>
      </c>
      <c r="K2305" s="14">
        <v>28.0</v>
      </c>
      <c r="L2305" s="7"/>
      <c r="M2305" s="7"/>
      <c r="N2305" s="7"/>
      <c r="O2305" s="7"/>
      <c r="P2305" s="7"/>
      <c r="Q2305" s="7"/>
      <c r="R2305" s="7"/>
      <c r="S2305" s="7"/>
      <c r="T2305" s="7"/>
      <c r="U2305" s="7"/>
      <c r="V2305" s="7"/>
      <c r="W2305" s="7"/>
      <c r="X2305" s="7"/>
      <c r="Y2305" s="7"/>
    </row>
    <row r="2306">
      <c r="A2306" s="14" t="s">
        <v>8399</v>
      </c>
      <c r="B2306" s="17" t="s">
        <v>8400</v>
      </c>
      <c r="C2306" s="17" t="s">
        <v>8401</v>
      </c>
      <c r="D2306" s="19" t="s">
        <v>4823</v>
      </c>
      <c r="E2306" s="20" t="s">
        <v>632</v>
      </c>
      <c r="F2306" s="27">
        <v>16005.0</v>
      </c>
      <c r="G2306" s="14">
        <v>82.0</v>
      </c>
      <c r="H2306" s="23" t="s">
        <v>27</v>
      </c>
      <c r="I2306" s="24" t="s">
        <v>27</v>
      </c>
      <c r="J2306" s="19" t="s">
        <v>156</v>
      </c>
      <c r="K2306" s="14">
        <v>29.0</v>
      </c>
      <c r="L2306" s="7"/>
      <c r="M2306" s="7"/>
      <c r="N2306" s="7"/>
      <c r="O2306" s="7"/>
      <c r="P2306" s="7"/>
      <c r="Q2306" s="7"/>
      <c r="R2306" s="7"/>
      <c r="S2306" s="7"/>
      <c r="T2306" s="7"/>
      <c r="U2306" s="7"/>
      <c r="V2306" s="7"/>
      <c r="W2306" s="7"/>
      <c r="X2306" s="7"/>
      <c r="Y2306" s="7"/>
    </row>
    <row r="2307">
      <c r="A2307" s="14" t="s">
        <v>8402</v>
      </c>
      <c r="B2307" s="17" t="s">
        <v>8403</v>
      </c>
      <c r="C2307" s="17" t="s">
        <v>8404</v>
      </c>
      <c r="D2307" s="19" t="s">
        <v>8405</v>
      </c>
      <c r="E2307" s="20" t="s">
        <v>53</v>
      </c>
      <c r="F2307" s="27">
        <v>35415.0</v>
      </c>
      <c r="G2307" s="14">
        <v>29.0</v>
      </c>
      <c r="H2307" s="23" t="s">
        <v>26</v>
      </c>
      <c r="I2307" s="24" t="s">
        <v>33</v>
      </c>
      <c r="J2307" s="19" t="s">
        <v>53</v>
      </c>
      <c r="K2307" s="14">
        <v>16.0</v>
      </c>
      <c r="L2307" s="7"/>
      <c r="M2307" s="7"/>
      <c r="N2307" s="7"/>
      <c r="O2307" s="7"/>
      <c r="P2307" s="7"/>
      <c r="Q2307" s="7"/>
      <c r="R2307" s="7"/>
      <c r="S2307" s="7"/>
      <c r="T2307" s="7"/>
      <c r="U2307" s="7"/>
      <c r="V2307" s="7"/>
      <c r="W2307" s="7"/>
      <c r="X2307" s="7"/>
      <c r="Y2307" s="7"/>
    </row>
    <row r="2308">
      <c r="A2308" s="14" t="s">
        <v>8406</v>
      </c>
      <c r="B2308" s="17" t="s">
        <v>8403</v>
      </c>
      <c r="C2308" s="17" t="s">
        <v>8407</v>
      </c>
      <c r="D2308" s="19" t="s">
        <v>8408</v>
      </c>
      <c r="E2308" s="20" t="s">
        <v>104</v>
      </c>
      <c r="F2308" s="21">
        <v>35242.0</v>
      </c>
      <c r="G2308" s="14">
        <v>30.0</v>
      </c>
      <c r="H2308" s="23" t="s">
        <v>26</v>
      </c>
      <c r="I2308" s="24" t="s">
        <v>27</v>
      </c>
      <c r="J2308" s="19" t="s">
        <v>53</v>
      </c>
      <c r="K2308" s="14">
        <v>16.0</v>
      </c>
      <c r="L2308" s="7"/>
      <c r="M2308" s="7"/>
      <c r="N2308" s="7"/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7"/>
    </row>
    <row r="2309">
      <c r="A2309" s="14" t="s">
        <v>8409</v>
      </c>
      <c r="B2309" s="17" t="s">
        <v>8410</v>
      </c>
      <c r="C2309" s="17" t="s">
        <v>8411</v>
      </c>
      <c r="D2309" s="19" t="s">
        <v>8412</v>
      </c>
      <c r="E2309" s="20" t="s">
        <v>104</v>
      </c>
      <c r="F2309" s="27">
        <v>32095.0</v>
      </c>
      <c r="G2309" s="14">
        <v>38.0</v>
      </c>
      <c r="H2309" s="23" t="s">
        <v>26</v>
      </c>
      <c r="I2309" s="24" t="s">
        <v>33</v>
      </c>
      <c r="J2309" s="19" t="s">
        <v>8413</v>
      </c>
      <c r="K2309" s="14">
        <v>34.0</v>
      </c>
      <c r="L2309" s="7"/>
      <c r="M2309" s="7"/>
      <c r="N2309" s="7"/>
      <c r="O2309" s="7"/>
      <c r="P2309" s="7"/>
      <c r="Q2309" s="7"/>
      <c r="R2309" s="7"/>
      <c r="S2309" s="7"/>
      <c r="T2309" s="7"/>
      <c r="U2309" s="7"/>
      <c r="V2309" s="7"/>
      <c r="W2309" s="7"/>
      <c r="X2309" s="7"/>
      <c r="Y2309" s="7"/>
    </row>
    <row r="2310">
      <c r="A2310" s="14" t="s">
        <v>8414</v>
      </c>
      <c r="B2310" s="17" t="s">
        <v>8410</v>
      </c>
      <c r="C2310" s="17" t="s">
        <v>8415</v>
      </c>
      <c r="D2310" s="19" t="s">
        <v>7445</v>
      </c>
      <c r="E2310" s="20" t="s">
        <v>274</v>
      </c>
      <c r="F2310" s="21">
        <v>33417.0</v>
      </c>
      <c r="G2310" s="14">
        <v>35.0</v>
      </c>
      <c r="H2310" s="23" t="s">
        <v>26</v>
      </c>
      <c r="I2310" s="24" t="s">
        <v>27</v>
      </c>
      <c r="J2310" s="19" t="s">
        <v>8413</v>
      </c>
      <c r="K2310" s="14">
        <v>34.0</v>
      </c>
      <c r="L2310" s="7"/>
      <c r="M2310" s="7"/>
      <c r="N2310" s="7"/>
      <c r="O2310" s="7"/>
      <c r="P2310" s="7"/>
      <c r="Q2310" s="7"/>
      <c r="R2310" s="7"/>
      <c r="S2310" s="7"/>
      <c r="T2310" s="7"/>
      <c r="U2310" s="7"/>
      <c r="V2310" s="7"/>
      <c r="W2310" s="7"/>
      <c r="X2310" s="7"/>
      <c r="Y2310" s="7"/>
    </row>
    <row r="2311">
      <c r="A2311" s="14" t="s">
        <v>8416</v>
      </c>
      <c r="B2311" s="17" t="s">
        <v>8417</v>
      </c>
      <c r="C2311" s="17" t="s">
        <v>8418</v>
      </c>
      <c r="D2311" s="19" t="s">
        <v>8419</v>
      </c>
      <c r="E2311" s="20" t="s">
        <v>210</v>
      </c>
      <c r="F2311" s="21">
        <v>20983.0</v>
      </c>
      <c r="G2311" s="14">
        <v>69.0</v>
      </c>
      <c r="H2311" s="23" t="s">
        <v>26</v>
      </c>
      <c r="I2311" s="24" t="s">
        <v>27</v>
      </c>
      <c r="J2311" s="19" t="s">
        <v>53</v>
      </c>
      <c r="K2311" s="14">
        <v>17.0</v>
      </c>
      <c r="L2311" s="7"/>
      <c r="M2311" s="7"/>
      <c r="N2311" s="7"/>
      <c r="O2311" s="7"/>
      <c r="P2311" s="7"/>
      <c r="Q2311" s="7"/>
      <c r="R2311" s="7"/>
      <c r="S2311" s="7"/>
      <c r="T2311" s="7"/>
      <c r="U2311" s="7"/>
      <c r="V2311" s="7"/>
      <c r="W2311" s="7"/>
      <c r="X2311" s="7"/>
      <c r="Y2311" s="7"/>
    </row>
    <row r="2312">
      <c r="A2312" s="14" t="s">
        <v>8420</v>
      </c>
      <c r="B2312" s="17" t="s">
        <v>8421</v>
      </c>
      <c r="C2312" s="17" t="s">
        <v>8422</v>
      </c>
      <c r="D2312" s="19" t="s">
        <v>8423</v>
      </c>
      <c r="E2312" s="20" t="s">
        <v>104</v>
      </c>
      <c r="F2312" s="21">
        <v>20318.0</v>
      </c>
      <c r="G2312" s="14">
        <v>71.0</v>
      </c>
      <c r="H2312" s="23" t="s">
        <v>27</v>
      </c>
      <c r="I2312" s="24" t="s">
        <v>27</v>
      </c>
      <c r="J2312" s="19" t="s">
        <v>68</v>
      </c>
      <c r="K2312" s="14">
        <v>31.0</v>
      </c>
      <c r="L2312" s="7"/>
      <c r="M2312" s="7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7"/>
    </row>
    <row r="2313">
      <c r="A2313" s="14" t="s">
        <v>8424</v>
      </c>
      <c r="B2313" s="17" t="s">
        <v>8425</v>
      </c>
      <c r="C2313" s="17" t="s">
        <v>8426</v>
      </c>
      <c r="D2313" s="19" t="s">
        <v>8427</v>
      </c>
      <c r="E2313" s="20" t="s">
        <v>53</v>
      </c>
      <c r="F2313" s="21">
        <v>38115.0</v>
      </c>
      <c r="G2313" s="14">
        <v>22.0</v>
      </c>
      <c r="H2313" s="23" t="s">
        <v>100</v>
      </c>
      <c r="I2313" s="24" t="s">
        <v>33</v>
      </c>
      <c r="J2313" s="19" t="s">
        <v>1915</v>
      </c>
      <c r="K2313" s="14">
        <v>12.0</v>
      </c>
      <c r="L2313" s="7"/>
      <c r="M2313" s="7"/>
      <c r="N2313" s="7"/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7"/>
    </row>
    <row r="2314">
      <c r="A2314" s="14" t="s">
        <v>8428</v>
      </c>
      <c r="B2314" s="17" t="s">
        <v>8425</v>
      </c>
      <c r="C2314" s="17" t="s">
        <v>8429</v>
      </c>
      <c r="D2314" s="19" t="s">
        <v>8430</v>
      </c>
      <c r="E2314" s="20" t="s">
        <v>53</v>
      </c>
      <c r="F2314" s="21">
        <v>30933.0</v>
      </c>
      <c r="G2314" s="14">
        <v>41.0</v>
      </c>
      <c r="H2314" s="23" t="s">
        <v>26</v>
      </c>
      <c r="I2314" s="24" t="s">
        <v>27</v>
      </c>
      <c r="J2314" s="19" t="s">
        <v>1915</v>
      </c>
      <c r="K2314" s="14">
        <v>12.0</v>
      </c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</row>
    <row r="2315">
      <c r="A2315" s="14" t="s">
        <v>8431</v>
      </c>
      <c r="B2315" s="17" t="s">
        <v>8425</v>
      </c>
      <c r="C2315" s="17" t="s">
        <v>8432</v>
      </c>
      <c r="D2315" s="19" t="s">
        <v>2459</v>
      </c>
      <c r="E2315" s="20" t="s">
        <v>53</v>
      </c>
      <c r="F2315" s="21">
        <v>29587.0</v>
      </c>
      <c r="G2315" s="14">
        <v>45.0</v>
      </c>
      <c r="H2315" s="23" t="s">
        <v>26</v>
      </c>
      <c r="I2315" s="24" t="s">
        <v>33</v>
      </c>
      <c r="J2315" s="19" t="s">
        <v>328</v>
      </c>
      <c r="K2315" s="14">
        <v>20.0</v>
      </c>
      <c r="L2315" s="7"/>
      <c r="M2315" s="7"/>
      <c r="N2315" s="7"/>
      <c r="O2315" s="7"/>
      <c r="P2315" s="7"/>
      <c r="Q2315" s="7"/>
      <c r="R2315" s="7"/>
      <c r="S2315" s="7"/>
      <c r="T2315" s="7"/>
      <c r="U2315" s="7"/>
      <c r="V2315" s="7"/>
      <c r="W2315" s="7"/>
      <c r="X2315" s="7"/>
      <c r="Y2315" s="7"/>
    </row>
    <row r="2316">
      <c r="A2316" s="14" t="s">
        <v>8433</v>
      </c>
      <c r="B2316" s="17" t="s">
        <v>8434</v>
      </c>
      <c r="C2316" s="17" t="s">
        <v>8435</v>
      </c>
      <c r="D2316" s="19" t="s">
        <v>8436</v>
      </c>
      <c r="E2316" s="20" t="s">
        <v>8437</v>
      </c>
      <c r="F2316" s="21">
        <v>23938.0</v>
      </c>
      <c r="G2316" s="14">
        <v>61.0</v>
      </c>
      <c r="H2316" s="23" t="s">
        <v>26</v>
      </c>
      <c r="I2316" s="24" t="s">
        <v>33</v>
      </c>
      <c r="J2316" s="19" t="s">
        <v>1915</v>
      </c>
      <c r="K2316" s="14">
        <v>12.0</v>
      </c>
      <c r="L2316" s="7"/>
      <c r="M2316" s="7"/>
      <c r="N2316" s="7"/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7"/>
    </row>
    <row r="2317">
      <c r="A2317" s="14" t="s">
        <v>8438</v>
      </c>
      <c r="B2317" s="17" t="s">
        <v>8434</v>
      </c>
      <c r="C2317" s="17" t="s">
        <v>8439</v>
      </c>
      <c r="D2317" s="19" t="s">
        <v>8440</v>
      </c>
      <c r="E2317" s="20" t="s">
        <v>8437</v>
      </c>
      <c r="F2317" s="21">
        <v>24572.0</v>
      </c>
      <c r="G2317" s="14">
        <v>59.0</v>
      </c>
      <c r="H2317" s="23" t="s">
        <v>26</v>
      </c>
      <c r="I2317" s="24" t="s">
        <v>27</v>
      </c>
      <c r="J2317" s="19" t="s">
        <v>1915</v>
      </c>
      <c r="K2317" s="14">
        <v>12.0</v>
      </c>
      <c r="L2317" s="7"/>
      <c r="M2317" s="7"/>
      <c r="N2317" s="7"/>
      <c r="O2317" s="7"/>
      <c r="P2317" s="7"/>
      <c r="Q2317" s="7"/>
      <c r="R2317" s="7"/>
      <c r="S2317" s="7"/>
      <c r="T2317" s="7"/>
      <c r="U2317" s="7"/>
      <c r="V2317" s="7"/>
      <c r="W2317" s="7"/>
      <c r="X2317" s="7"/>
      <c r="Y2317" s="7"/>
    </row>
    <row r="2318">
      <c r="A2318" s="14" t="s">
        <v>8441</v>
      </c>
      <c r="B2318" s="17" t="s">
        <v>8442</v>
      </c>
      <c r="C2318" s="17" t="s">
        <v>8443</v>
      </c>
      <c r="D2318" s="19" t="s">
        <v>8444</v>
      </c>
      <c r="E2318" s="20" t="s">
        <v>53</v>
      </c>
      <c r="F2318" s="21">
        <v>33793.0</v>
      </c>
      <c r="G2318" s="14">
        <v>34.0</v>
      </c>
      <c r="H2318" s="23" t="s">
        <v>100</v>
      </c>
      <c r="I2318" s="24" t="s">
        <v>33</v>
      </c>
      <c r="J2318" s="19" t="s">
        <v>282</v>
      </c>
      <c r="K2318" s="14">
        <v>12.0</v>
      </c>
      <c r="L2318" s="7"/>
      <c r="M2318" s="7"/>
      <c r="N2318" s="7"/>
      <c r="O2318" s="7"/>
      <c r="P2318" s="7"/>
      <c r="Q2318" s="7"/>
      <c r="R2318" s="7"/>
      <c r="S2318" s="7"/>
      <c r="T2318" s="7"/>
      <c r="U2318" s="7"/>
      <c r="V2318" s="7"/>
      <c r="W2318" s="7"/>
      <c r="X2318" s="7"/>
      <c r="Y2318" s="7"/>
    </row>
    <row r="2319">
      <c r="A2319" s="14" t="s">
        <v>8445</v>
      </c>
      <c r="B2319" s="17" t="s">
        <v>8446</v>
      </c>
      <c r="C2319" s="17" t="s">
        <v>8447</v>
      </c>
      <c r="D2319" s="19" t="s">
        <v>8448</v>
      </c>
      <c r="E2319" s="20" t="s">
        <v>195</v>
      </c>
      <c r="F2319" s="21">
        <v>33849.0</v>
      </c>
      <c r="G2319" s="14">
        <v>33.0</v>
      </c>
      <c r="H2319" s="23" t="s">
        <v>26</v>
      </c>
      <c r="I2319" s="24" t="s">
        <v>27</v>
      </c>
      <c r="J2319" s="19" t="s">
        <v>726</v>
      </c>
      <c r="K2319" s="14">
        <v>17.0</v>
      </c>
      <c r="L2319" s="7"/>
      <c r="M2319" s="7"/>
      <c r="N2319" s="7"/>
      <c r="O2319" s="7"/>
      <c r="P2319" s="7"/>
      <c r="Q2319" s="7"/>
      <c r="R2319" s="7"/>
      <c r="S2319" s="7"/>
      <c r="T2319" s="7"/>
      <c r="U2319" s="7"/>
      <c r="V2319" s="7"/>
      <c r="W2319" s="7"/>
      <c r="X2319" s="7"/>
      <c r="Y2319" s="7"/>
    </row>
    <row r="2320">
      <c r="A2320" s="14" t="s">
        <v>8449</v>
      </c>
      <c r="B2320" s="17" t="s">
        <v>8446</v>
      </c>
      <c r="C2320" s="17" t="s">
        <v>8450</v>
      </c>
      <c r="D2320" s="19" t="s">
        <v>1308</v>
      </c>
      <c r="E2320" s="20" t="s">
        <v>104</v>
      </c>
      <c r="F2320" s="21">
        <v>32590.0</v>
      </c>
      <c r="G2320" s="14">
        <v>37.0</v>
      </c>
      <c r="H2320" s="23" t="s">
        <v>26</v>
      </c>
      <c r="I2320" s="24" t="s">
        <v>33</v>
      </c>
      <c r="J2320" s="19" t="s">
        <v>726</v>
      </c>
      <c r="K2320" s="14">
        <v>17.0</v>
      </c>
      <c r="L2320" s="7"/>
      <c r="M2320" s="7"/>
      <c r="N2320" s="7"/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7"/>
    </row>
    <row r="2321">
      <c r="A2321" s="14" t="s">
        <v>8451</v>
      </c>
      <c r="B2321" s="17" t="s">
        <v>8452</v>
      </c>
      <c r="C2321" s="17" t="s">
        <v>8453</v>
      </c>
      <c r="D2321" s="19" t="s">
        <v>8454</v>
      </c>
      <c r="E2321" s="20" t="s">
        <v>7673</v>
      </c>
      <c r="F2321" s="21">
        <v>37885.0</v>
      </c>
      <c r="G2321" s="14">
        <v>22.0</v>
      </c>
      <c r="H2321" s="23" t="s">
        <v>100</v>
      </c>
      <c r="I2321" s="24" t="s">
        <v>33</v>
      </c>
      <c r="J2321" s="19" t="s">
        <v>328</v>
      </c>
      <c r="K2321" s="14">
        <v>21.0</v>
      </c>
      <c r="L2321" s="7"/>
      <c r="M2321" s="7"/>
      <c r="N2321" s="7"/>
      <c r="O2321" s="7"/>
      <c r="P2321" s="7"/>
      <c r="Q2321" s="7"/>
      <c r="R2321" s="7"/>
      <c r="S2321" s="7"/>
      <c r="T2321" s="7"/>
      <c r="U2321" s="7"/>
      <c r="V2321" s="7"/>
      <c r="W2321" s="7"/>
      <c r="X2321" s="7"/>
      <c r="Y2321" s="7"/>
    </row>
    <row r="2322">
      <c r="A2322" s="14" t="s">
        <v>8455</v>
      </c>
      <c r="B2322" s="17" t="s">
        <v>8452</v>
      </c>
      <c r="C2322" s="17" t="s">
        <v>8456</v>
      </c>
      <c r="D2322" s="19" t="s">
        <v>1412</v>
      </c>
      <c r="E2322" s="20" t="s">
        <v>7673</v>
      </c>
      <c r="F2322" s="21">
        <v>30870.0</v>
      </c>
      <c r="G2322" s="14">
        <v>42.0</v>
      </c>
      <c r="H2322" s="23" t="s">
        <v>26</v>
      </c>
      <c r="I2322" s="24" t="s">
        <v>27</v>
      </c>
      <c r="J2322" s="19" t="s">
        <v>328</v>
      </c>
      <c r="K2322" s="14">
        <v>21.0</v>
      </c>
      <c r="L2322" s="7"/>
      <c r="M2322" s="7"/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7"/>
    </row>
    <row r="2323">
      <c r="A2323" s="14" t="s">
        <v>8457</v>
      </c>
      <c r="B2323" s="17" t="s">
        <v>8452</v>
      </c>
      <c r="C2323" s="17" t="s">
        <v>8458</v>
      </c>
      <c r="D2323" s="19" t="s">
        <v>8459</v>
      </c>
      <c r="E2323" s="20" t="s">
        <v>632</v>
      </c>
      <c r="F2323" s="27">
        <v>28112.0</v>
      </c>
      <c r="G2323" s="14">
        <v>49.0</v>
      </c>
      <c r="H2323" s="23" t="s">
        <v>26</v>
      </c>
      <c r="I2323" s="24" t="s">
        <v>33</v>
      </c>
      <c r="J2323" s="19" t="s">
        <v>328</v>
      </c>
      <c r="K2323" s="14">
        <v>21.0</v>
      </c>
      <c r="L2323" s="7"/>
      <c r="M2323" s="7"/>
      <c r="N2323" s="7"/>
      <c r="O2323" s="7"/>
      <c r="P2323" s="7"/>
      <c r="Q2323" s="7"/>
      <c r="R2323" s="7"/>
      <c r="S2323" s="7"/>
      <c r="T2323" s="7"/>
      <c r="U2323" s="7"/>
      <c r="V2323" s="7"/>
      <c r="W2323" s="7"/>
      <c r="X2323" s="7"/>
      <c r="Y2323" s="7"/>
    </row>
    <row r="2324">
      <c r="A2324" s="14" t="s">
        <v>8460</v>
      </c>
      <c r="B2324" s="17" t="s">
        <v>8461</v>
      </c>
      <c r="C2324" s="17" t="s">
        <v>8462</v>
      </c>
      <c r="D2324" s="19" t="s">
        <v>8463</v>
      </c>
      <c r="E2324" s="20" t="s">
        <v>391</v>
      </c>
      <c r="F2324" s="27">
        <v>36092.0</v>
      </c>
      <c r="G2324" s="14">
        <v>27.0</v>
      </c>
      <c r="H2324" s="23" t="s">
        <v>26</v>
      </c>
      <c r="I2324" s="24" t="s">
        <v>27</v>
      </c>
      <c r="J2324" s="19" t="s">
        <v>726</v>
      </c>
      <c r="K2324" s="14">
        <v>17.0</v>
      </c>
      <c r="L2324" s="7"/>
      <c r="M2324" s="7"/>
      <c r="N2324" s="7"/>
      <c r="O2324" s="7"/>
      <c r="P2324" s="7"/>
      <c r="Q2324" s="7"/>
      <c r="R2324" s="7"/>
      <c r="S2324" s="7"/>
      <c r="T2324" s="7"/>
      <c r="U2324" s="7"/>
      <c r="V2324" s="7"/>
      <c r="W2324" s="7"/>
      <c r="X2324" s="7"/>
      <c r="Y2324" s="7"/>
    </row>
    <row r="2325">
      <c r="A2325" s="14" t="s">
        <v>8464</v>
      </c>
      <c r="B2325" s="17" t="s">
        <v>8461</v>
      </c>
      <c r="C2325" s="17" t="s">
        <v>8465</v>
      </c>
      <c r="D2325" s="19" t="s">
        <v>8466</v>
      </c>
      <c r="E2325" s="20" t="s">
        <v>104</v>
      </c>
      <c r="F2325" s="21">
        <v>31430.0</v>
      </c>
      <c r="G2325" s="14">
        <v>40.0</v>
      </c>
      <c r="H2325" s="23" t="s">
        <v>26</v>
      </c>
      <c r="I2325" s="24" t="s">
        <v>33</v>
      </c>
      <c r="J2325" s="19" t="s">
        <v>726</v>
      </c>
      <c r="K2325" s="14">
        <v>17.0</v>
      </c>
      <c r="L2325" s="7"/>
      <c r="M2325" s="7"/>
      <c r="N2325" s="7"/>
      <c r="O2325" s="7"/>
      <c r="P2325" s="7"/>
      <c r="Q2325" s="7"/>
      <c r="R2325" s="7"/>
      <c r="S2325" s="7"/>
      <c r="T2325" s="7"/>
      <c r="U2325" s="7"/>
      <c r="V2325" s="7"/>
      <c r="W2325" s="7"/>
      <c r="X2325" s="7"/>
      <c r="Y2325" s="7"/>
    </row>
    <row r="2326">
      <c r="A2326" s="14" t="s">
        <v>8467</v>
      </c>
      <c r="B2326" s="17" t="s">
        <v>8468</v>
      </c>
      <c r="C2326" s="17" t="s">
        <v>8469</v>
      </c>
      <c r="D2326" s="19" t="s">
        <v>8470</v>
      </c>
      <c r="E2326" s="20" t="s">
        <v>104</v>
      </c>
      <c r="F2326" s="27">
        <v>37601.0</v>
      </c>
      <c r="G2326" s="14">
        <v>23.0</v>
      </c>
      <c r="H2326" s="23" t="s">
        <v>100</v>
      </c>
      <c r="I2326" s="24" t="s">
        <v>27</v>
      </c>
      <c r="J2326" s="19" t="s">
        <v>8471</v>
      </c>
      <c r="K2326" s="14">
        <v>10.0</v>
      </c>
      <c r="L2326" s="7"/>
      <c r="M2326" s="7"/>
      <c r="N2326" s="7"/>
      <c r="O2326" s="7"/>
      <c r="P2326" s="7"/>
      <c r="Q2326" s="7"/>
      <c r="R2326" s="7"/>
      <c r="S2326" s="7"/>
      <c r="T2326" s="7"/>
      <c r="U2326" s="7"/>
      <c r="V2326" s="7"/>
      <c r="W2326" s="7"/>
      <c r="X2326" s="7"/>
      <c r="Y2326" s="7"/>
    </row>
    <row r="2327">
      <c r="A2327" s="14" t="s">
        <v>8472</v>
      </c>
      <c r="B2327" s="17" t="s">
        <v>8468</v>
      </c>
      <c r="C2327" s="17" t="s">
        <v>8473</v>
      </c>
      <c r="D2327" s="19" t="s">
        <v>8474</v>
      </c>
      <c r="E2327" s="20" t="s">
        <v>1622</v>
      </c>
      <c r="F2327" s="21">
        <v>34392.0</v>
      </c>
      <c r="G2327" s="14">
        <v>32.0</v>
      </c>
      <c r="H2327" s="23" t="s">
        <v>100</v>
      </c>
      <c r="I2327" s="24" t="s">
        <v>33</v>
      </c>
      <c r="J2327" s="19" t="s">
        <v>8471</v>
      </c>
      <c r="K2327" s="14">
        <v>10.0</v>
      </c>
      <c r="L2327" s="7"/>
      <c r="M2327" s="7"/>
      <c r="N2327" s="7"/>
      <c r="O2327" s="7"/>
      <c r="P2327" s="7"/>
      <c r="Q2327" s="7"/>
      <c r="R2327" s="7"/>
      <c r="S2327" s="7"/>
      <c r="T2327" s="7"/>
      <c r="U2327" s="7"/>
      <c r="V2327" s="7"/>
      <c r="W2327" s="7"/>
      <c r="X2327" s="7"/>
      <c r="Y2327" s="7"/>
    </row>
    <row r="2328">
      <c r="A2328" s="14" t="s">
        <v>8475</v>
      </c>
      <c r="B2328" s="17" t="s">
        <v>8476</v>
      </c>
      <c r="C2328" s="17" t="s">
        <v>8477</v>
      </c>
      <c r="D2328" s="19" t="s">
        <v>8478</v>
      </c>
      <c r="E2328" s="20" t="s">
        <v>53</v>
      </c>
      <c r="F2328" s="21">
        <v>36040.0</v>
      </c>
      <c r="G2328" s="14">
        <v>27.0</v>
      </c>
      <c r="H2328" s="23" t="s">
        <v>26</v>
      </c>
      <c r="I2328" s="24" t="s">
        <v>33</v>
      </c>
      <c r="J2328" s="19" t="s">
        <v>282</v>
      </c>
      <c r="K2328" s="14">
        <v>16.0</v>
      </c>
      <c r="L2328" s="7"/>
      <c r="M2328" s="7"/>
      <c r="N2328" s="7"/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7"/>
    </row>
    <row r="2329">
      <c r="A2329" s="14" t="s">
        <v>8479</v>
      </c>
      <c r="B2329" s="17" t="s">
        <v>8480</v>
      </c>
      <c r="C2329" s="17" t="s">
        <v>8481</v>
      </c>
      <c r="D2329" s="19" t="s">
        <v>8482</v>
      </c>
      <c r="E2329" s="20" t="s">
        <v>104</v>
      </c>
      <c r="F2329" s="27">
        <v>31393.0</v>
      </c>
      <c r="G2329" s="14">
        <v>40.0</v>
      </c>
      <c r="H2329" s="23" t="s">
        <v>26</v>
      </c>
      <c r="I2329" s="24" t="s">
        <v>33</v>
      </c>
      <c r="J2329" s="19" t="s">
        <v>517</v>
      </c>
      <c r="K2329" s="14">
        <v>9.0</v>
      </c>
      <c r="L2329" s="7"/>
      <c r="M2329" s="7"/>
      <c r="N2329" s="7"/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7"/>
    </row>
    <row r="2330">
      <c r="A2330" s="14" t="s">
        <v>8483</v>
      </c>
      <c r="B2330" s="17" t="s">
        <v>8480</v>
      </c>
      <c r="C2330" s="17" t="s">
        <v>8484</v>
      </c>
      <c r="D2330" s="19" t="s">
        <v>8485</v>
      </c>
      <c r="E2330" s="20" t="s">
        <v>274</v>
      </c>
      <c r="F2330" s="27">
        <v>32863.0</v>
      </c>
      <c r="G2330" s="14">
        <v>36.0</v>
      </c>
      <c r="H2330" s="23" t="s">
        <v>26</v>
      </c>
      <c r="I2330" s="24" t="s">
        <v>27</v>
      </c>
      <c r="J2330" s="19" t="s">
        <v>517</v>
      </c>
      <c r="K2330" s="14">
        <v>9.0</v>
      </c>
      <c r="L2330" s="7"/>
      <c r="M2330" s="7"/>
      <c r="N2330" s="7"/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7"/>
    </row>
    <row r="2331">
      <c r="A2331" s="14" t="s">
        <v>8486</v>
      </c>
      <c r="B2331" s="17" t="s">
        <v>8487</v>
      </c>
      <c r="C2331" s="17" t="s">
        <v>8488</v>
      </c>
      <c r="D2331" s="19" t="s">
        <v>8489</v>
      </c>
      <c r="E2331" s="20" t="s">
        <v>231</v>
      </c>
      <c r="F2331" s="21">
        <v>34503.0</v>
      </c>
      <c r="G2331" s="14">
        <v>32.0</v>
      </c>
      <c r="H2331" s="23" t="s">
        <v>26</v>
      </c>
      <c r="I2331" s="24" t="s">
        <v>33</v>
      </c>
      <c r="J2331" s="19" t="s">
        <v>989</v>
      </c>
      <c r="K2331" s="14">
        <v>3.0</v>
      </c>
      <c r="L2331" s="7"/>
      <c r="M2331" s="7"/>
      <c r="N2331" s="7"/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7"/>
    </row>
    <row r="2332">
      <c r="A2332" s="14" t="s">
        <v>8490</v>
      </c>
      <c r="B2332" s="17" t="s">
        <v>8487</v>
      </c>
      <c r="C2332" s="17" t="s">
        <v>8491</v>
      </c>
      <c r="D2332" s="19" t="s">
        <v>8492</v>
      </c>
      <c r="E2332" s="20" t="s">
        <v>8493</v>
      </c>
      <c r="F2332" s="21">
        <v>35969.0</v>
      </c>
      <c r="G2332" s="14">
        <v>28.0</v>
      </c>
      <c r="H2332" s="23" t="s">
        <v>26</v>
      </c>
      <c r="I2332" s="24" t="s">
        <v>27</v>
      </c>
      <c r="J2332" s="19" t="s">
        <v>989</v>
      </c>
      <c r="K2332" s="14">
        <v>3.0</v>
      </c>
      <c r="L2332" s="7"/>
      <c r="M2332" s="7"/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</row>
    <row r="2333">
      <c r="A2333" s="14" t="s">
        <v>8494</v>
      </c>
      <c r="B2333" s="17" t="s">
        <v>8495</v>
      </c>
      <c r="C2333" s="17" t="s">
        <v>8496</v>
      </c>
      <c r="D2333" s="19" t="s">
        <v>8497</v>
      </c>
      <c r="E2333" s="20" t="s">
        <v>104</v>
      </c>
      <c r="F2333" s="27">
        <v>35383.0</v>
      </c>
      <c r="G2333" s="14">
        <v>29.0</v>
      </c>
      <c r="H2333" s="23" t="s">
        <v>26</v>
      </c>
      <c r="I2333" s="24" t="s">
        <v>27</v>
      </c>
      <c r="J2333" s="19" t="s">
        <v>146</v>
      </c>
      <c r="K2333" s="14">
        <v>1.0</v>
      </c>
      <c r="L2333" s="7"/>
      <c r="M2333" s="7"/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7"/>
    </row>
    <row r="2334">
      <c r="A2334" s="14" t="s">
        <v>8498</v>
      </c>
      <c r="B2334" s="17" t="s">
        <v>8495</v>
      </c>
      <c r="C2334" s="17" t="s">
        <v>8499</v>
      </c>
      <c r="D2334" s="19" t="s">
        <v>8500</v>
      </c>
      <c r="E2334" s="20" t="s">
        <v>104</v>
      </c>
      <c r="F2334" s="21">
        <v>32150.0</v>
      </c>
      <c r="G2334" s="14">
        <v>38.0</v>
      </c>
      <c r="H2334" s="23" t="s">
        <v>26</v>
      </c>
      <c r="I2334" s="24" t="s">
        <v>33</v>
      </c>
      <c r="J2334" s="19" t="s">
        <v>146</v>
      </c>
      <c r="K2334" s="14">
        <v>1.0</v>
      </c>
      <c r="L2334" s="7"/>
      <c r="M2334" s="7"/>
      <c r="N2334" s="7"/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7"/>
    </row>
    <row r="2335">
      <c r="A2335" s="14" t="s">
        <v>8501</v>
      </c>
      <c r="B2335" s="17" t="s">
        <v>8502</v>
      </c>
      <c r="C2335" s="17" t="s">
        <v>8503</v>
      </c>
      <c r="D2335" s="19" t="s">
        <v>8504</v>
      </c>
      <c r="E2335" s="20" t="s">
        <v>8505</v>
      </c>
      <c r="F2335" s="21">
        <v>30095.0</v>
      </c>
      <c r="G2335" s="14">
        <v>44.0</v>
      </c>
      <c r="H2335" s="23" t="s">
        <v>26</v>
      </c>
      <c r="I2335" s="24" t="s">
        <v>33</v>
      </c>
      <c r="J2335" s="19" t="s">
        <v>783</v>
      </c>
      <c r="K2335" s="14">
        <v>21.0</v>
      </c>
      <c r="L2335" s="7"/>
      <c r="M2335" s="7"/>
      <c r="N2335" s="7"/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7"/>
    </row>
    <row r="2336">
      <c r="A2336" s="14" t="s">
        <v>8506</v>
      </c>
      <c r="B2336" s="17" t="s">
        <v>8502</v>
      </c>
      <c r="C2336" s="17" t="s">
        <v>8507</v>
      </c>
      <c r="D2336" s="19" t="s">
        <v>8508</v>
      </c>
      <c r="E2336" s="20" t="s">
        <v>104</v>
      </c>
      <c r="F2336" s="21">
        <v>33060.0</v>
      </c>
      <c r="G2336" s="14">
        <v>36.0</v>
      </c>
      <c r="H2336" s="23" t="s">
        <v>26</v>
      </c>
      <c r="I2336" s="24" t="s">
        <v>27</v>
      </c>
      <c r="J2336" s="19" t="s">
        <v>783</v>
      </c>
      <c r="K2336" s="14">
        <v>21.0</v>
      </c>
      <c r="L2336" s="7"/>
      <c r="M2336" s="7"/>
      <c r="N2336" s="7"/>
      <c r="O2336" s="7"/>
      <c r="P2336" s="7"/>
      <c r="Q2336" s="7"/>
      <c r="R2336" s="7"/>
      <c r="S2336" s="7"/>
      <c r="T2336" s="7"/>
      <c r="U2336" s="7"/>
      <c r="V2336" s="7"/>
      <c r="W2336" s="7"/>
      <c r="X2336" s="7"/>
      <c r="Y2336" s="7"/>
    </row>
    <row r="2337">
      <c r="A2337" s="14" t="s">
        <v>8509</v>
      </c>
      <c r="B2337" s="17" t="s">
        <v>8510</v>
      </c>
      <c r="C2337" s="17" t="s">
        <v>8511</v>
      </c>
      <c r="D2337" s="19" t="s">
        <v>1494</v>
      </c>
      <c r="E2337" s="20" t="s">
        <v>104</v>
      </c>
      <c r="F2337" s="27">
        <v>28851.0</v>
      </c>
      <c r="G2337" s="14">
        <v>47.0</v>
      </c>
      <c r="H2337" s="23" t="s">
        <v>26</v>
      </c>
      <c r="I2337" s="24" t="s">
        <v>27</v>
      </c>
      <c r="J2337" s="19" t="s">
        <v>282</v>
      </c>
      <c r="K2337" s="14">
        <v>14.0</v>
      </c>
      <c r="L2337" s="7"/>
      <c r="M2337" s="7"/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</row>
    <row r="2338">
      <c r="A2338" s="14" t="s">
        <v>8512</v>
      </c>
      <c r="B2338" s="17" t="s">
        <v>8510</v>
      </c>
      <c r="C2338" s="17" t="s">
        <v>8513</v>
      </c>
      <c r="D2338" s="19" t="s">
        <v>8514</v>
      </c>
      <c r="E2338" s="20" t="s">
        <v>624</v>
      </c>
      <c r="F2338" s="21">
        <v>26455.0</v>
      </c>
      <c r="G2338" s="14">
        <v>54.0</v>
      </c>
      <c r="H2338" s="23" t="s">
        <v>26</v>
      </c>
      <c r="I2338" s="24" t="s">
        <v>33</v>
      </c>
      <c r="J2338" s="19" t="s">
        <v>3592</v>
      </c>
      <c r="K2338" s="14">
        <v>16.0</v>
      </c>
      <c r="L2338" s="7"/>
      <c r="M2338" s="7"/>
      <c r="N2338" s="7"/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7"/>
    </row>
    <row r="2339">
      <c r="A2339" s="14" t="s">
        <v>8515</v>
      </c>
      <c r="B2339" s="17" t="s">
        <v>8510</v>
      </c>
      <c r="C2339" s="17" t="s">
        <v>8516</v>
      </c>
      <c r="D2339" s="19" t="s">
        <v>8517</v>
      </c>
      <c r="E2339" s="20" t="s">
        <v>104</v>
      </c>
      <c r="F2339" s="21">
        <v>37658.0</v>
      </c>
      <c r="G2339" s="14">
        <v>23.0</v>
      </c>
      <c r="H2339" s="23" t="s">
        <v>100</v>
      </c>
      <c r="I2339" s="24" t="s">
        <v>27</v>
      </c>
      <c r="J2339" s="19" t="s">
        <v>3592</v>
      </c>
      <c r="K2339" s="14">
        <v>16.0</v>
      </c>
      <c r="L2339" s="7"/>
      <c r="M2339" s="7"/>
      <c r="N2339" s="7"/>
      <c r="O2339" s="7"/>
      <c r="P2339" s="7"/>
      <c r="Q2339" s="7"/>
      <c r="R2339" s="7"/>
      <c r="S2339" s="7"/>
      <c r="T2339" s="7"/>
      <c r="U2339" s="7"/>
      <c r="V2339" s="7"/>
      <c r="W2339" s="7"/>
      <c r="X2339" s="7"/>
      <c r="Y2339" s="7"/>
    </row>
    <row r="2340">
      <c r="A2340" s="14" t="s">
        <v>8518</v>
      </c>
      <c r="B2340" s="17" t="s">
        <v>8519</v>
      </c>
      <c r="C2340" s="17" t="s">
        <v>8520</v>
      </c>
      <c r="D2340" s="19" t="s">
        <v>8521</v>
      </c>
      <c r="E2340" s="20" t="s">
        <v>104</v>
      </c>
      <c r="F2340" s="21">
        <v>27986.0</v>
      </c>
      <c r="G2340" s="14">
        <v>50.0</v>
      </c>
      <c r="H2340" s="23" t="s">
        <v>26</v>
      </c>
      <c r="I2340" s="24" t="s">
        <v>33</v>
      </c>
      <c r="J2340" s="19" t="s">
        <v>7905</v>
      </c>
      <c r="K2340" s="14">
        <v>14.0</v>
      </c>
      <c r="L2340" s="7"/>
      <c r="M2340" s="7"/>
      <c r="N2340" s="7"/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7"/>
    </row>
    <row r="2341">
      <c r="A2341" s="14" t="s">
        <v>8522</v>
      </c>
      <c r="B2341" s="17" t="s">
        <v>8519</v>
      </c>
      <c r="C2341" s="17" t="s">
        <v>8523</v>
      </c>
      <c r="D2341" s="19" t="s">
        <v>8524</v>
      </c>
      <c r="E2341" s="20" t="s">
        <v>53</v>
      </c>
      <c r="F2341" s="21">
        <v>38403.0</v>
      </c>
      <c r="G2341" s="14">
        <v>21.0</v>
      </c>
      <c r="H2341" s="23" t="s">
        <v>100</v>
      </c>
      <c r="I2341" s="24" t="s">
        <v>27</v>
      </c>
      <c r="J2341" s="19" t="s">
        <v>5924</v>
      </c>
      <c r="K2341" s="14">
        <v>16.0</v>
      </c>
      <c r="L2341" s="7"/>
      <c r="M2341" s="7"/>
      <c r="N2341" s="7"/>
      <c r="O2341" s="7"/>
      <c r="P2341" s="7"/>
      <c r="Q2341" s="7"/>
      <c r="R2341" s="7"/>
      <c r="S2341" s="7"/>
      <c r="T2341" s="7"/>
      <c r="U2341" s="7"/>
      <c r="V2341" s="7"/>
      <c r="W2341" s="7"/>
      <c r="X2341" s="7"/>
      <c r="Y2341" s="7"/>
    </row>
    <row r="2342">
      <c r="A2342" s="14" t="s">
        <v>8525</v>
      </c>
      <c r="B2342" s="17" t="s">
        <v>8519</v>
      </c>
      <c r="C2342" s="17" t="s">
        <v>8526</v>
      </c>
      <c r="D2342" s="19" t="s">
        <v>8527</v>
      </c>
      <c r="E2342" s="20" t="s">
        <v>319</v>
      </c>
      <c r="F2342" s="21">
        <v>29656.0</v>
      </c>
      <c r="G2342" s="14">
        <v>45.0</v>
      </c>
      <c r="H2342" s="23" t="s">
        <v>26</v>
      </c>
      <c r="I2342" s="24" t="s">
        <v>27</v>
      </c>
      <c r="J2342" s="19" t="s">
        <v>5924</v>
      </c>
      <c r="K2342" s="14">
        <v>16.0</v>
      </c>
      <c r="L2342" s="7"/>
      <c r="M2342" s="7"/>
      <c r="N2342" s="7"/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7"/>
    </row>
    <row r="2343">
      <c r="A2343" s="14" t="s">
        <v>8528</v>
      </c>
      <c r="B2343" s="17" t="s">
        <v>8529</v>
      </c>
      <c r="C2343" s="17" t="s">
        <v>8530</v>
      </c>
      <c r="D2343" s="19" t="s">
        <v>8531</v>
      </c>
      <c r="E2343" s="20" t="s">
        <v>1291</v>
      </c>
      <c r="F2343" s="21">
        <v>19574.0</v>
      </c>
      <c r="G2343" s="14">
        <v>73.0</v>
      </c>
      <c r="H2343" s="23" t="s">
        <v>26</v>
      </c>
      <c r="I2343" s="24" t="s">
        <v>33</v>
      </c>
      <c r="J2343" s="19" t="s">
        <v>3538</v>
      </c>
      <c r="K2343" s="14">
        <v>22.0</v>
      </c>
      <c r="L2343" s="7"/>
      <c r="M2343" s="7"/>
      <c r="N2343" s="7"/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7"/>
    </row>
    <row r="2344">
      <c r="A2344" s="14" t="s">
        <v>8532</v>
      </c>
      <c r="B2344" s="17" t="s">
        <v>8529</v>
      </c>
      <c r="C2344" s="17" t="s">
        <v>8534</v>
      </c>
      <c r="D2344" s="19" t="s">
        <v>8535</v>
      </c>
      <c r="E2344" s="20" t="s">
        <v>1291</v>
      </c>
      <c r="F2344" s="21">
        <v>20143.0</v>
      </c>
      <c r="G2344" s="14">
        <v>71.0</v>
      </c>
      <c r="H2344" s="23" t="s">
        <v>26</v>
      </c>
      <c r="I2344" s="24" t="s">
        <v>27</v>
      </c>
      <c r="J2344" s="19" t="s">
        <v>3538</v>
      </c>
      <c r="K2344" s="14">
        <v>22.0</v>
      </c>
      <c r="L2344" s="7"/>
      <c r="M2344" s="7"/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</row>
    <row r="2345">
      <c r="A2345" s="14" t="s">
        <v>8536</v>
      </c>
      <c r="B2345" s="17" t="s">
        <v>8537</v>
      </c>
      <c r="C2345" s="17" t="s">
        <v>8538</v>
      </c>
      <c r="D2345" s="19" t="s">
        <v>8539</v>
      </c>
      <c r="E2345" s="20" t="s">
        <v>1291</v>
      </c>
      <c r="F2345" s="21">
        <v>23613.0</v>
      </c>
      <c r="G2345" s="14">
        <v>62.0</v>
      </c>
      <c r="H2345" s="23" t="s">
        <v>26</v>
      </c>
      <c r="I2345" s="24" t="s">
        <v>33</v>
      </c>
      <c r="J2345" s="19" t="s">
        <v>3538</v>
      </c>
      <c r="K2345" s="14">
        <v>22.0</v>
      </c>
      <c r="L2345" s="7"/>
      <c r="M2345" s="7"/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7"/>
    </row>
    <row r="2346">
      <c r="A2346" s="14" t="s">
        <v>8540</v>
      </c>
      <c r="B2346" s="17" t="s">
        <v>8541</v>
      </c>
      <c r="C2346" s="17" t="s">
        <v>8542</v>
      </c>
      <c r="D2346" s="19" t="s">
        <v>8543</v>
      </c>
      <c r="E2346" s="20" t="s">
        <v>104</v>
      </c>
      <c r="F2346" s="21">
        <v>35712.0</v>
      </c>
      <c r="G2346" s="14">
        <v>28.0</v>
      </c>
      <c r="H2346" s="23" t="s">
        <v>100</v>
      </c>
      <c r="I2346" s="24" t="s">
        <v>33</v>
      </c>
      <c r="J2346" s="19" t="s">
        <v>5924</v>
      </c>
      <c r="K2346" s="14">
        <v>16.0</v>
      </c>
      <c r="L2346" s="7"/>
      <c r="M2346" s="7"/>
      <c r="N2346" s="7"/>
      <c r="O2346" s="7"/>
      <c r="P2346" s="7"/>
      <c r="Q2346" s="7"/>
      <c r="R2346" s="7"/>
      <c r="S2346" s="7"/>
      <c r="T2346" s="7"/>
      <c r="U2346" s="7"/>
      <c r="V2346" s="7"/>
      <c r="W2346" s="7"/>
      <c r="X2346" s="7"/>
      <c r="Y2346" s="7"/>
    </row>
    <row r="2347">
      <c r="A2347" s="14" t="s">
        <v>8544</v>
      </c>
      <c r="B2347" s="17" t="s">
        <v>8541</v>
      </c>
      <c r="C2347" s="17" t="s">
        <v>8545</v>
      </c>
      <c r="D2347" s="19" t="s">
        <v>8546</v>
      </c>
      <c r="E2347" s="20" t="s">
        <v>624</v>
      </c>
      <c r="F2347" s="21">
        <v>23892.0</v>
      </c>
      <c r="G2347" s="14">
        <v>61.0</v>
      </c>
      <c r="H2347" s="23" t="s">
        <v>26</v>
      </c>
      <c r="I2347" s="24" t="s">
        <v>27</v>
      </c>
      <c r="J2347" s="19" t="s">
        <v>5924</v>
      </c>
      <c r="K2347" s="14">
        <v>16.0</v>
      </c>
      <c r="L2347" s="7"/>
      <c r="M2347" s="7"/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7"/>
    </row>
    <row r="2348">
      <c r="A2348" s="14" t="s">
        <v>8547</v>
      </c>
      <c r="B2348" s="17" t="s">
        <v>8541</v>
      </c>
      <c r="C2348" s="17" t="s">
        <v>8548</v>
      </c>
      <c r="D2348" s="19" t="s">
        <v>8549</v>
      </c>
      <c r="E2348" s="20" t="s">
        <v>624</v>
      </c>
      <c r="F2348" s="21">
        <v>23924.0</v>
      </c>
      <c r="G2348" s="14">
        <v>61.0</v>
      </c>
      <c r="H2348" s="23" t="s">
        <v>26</v>
      </c>
      <c r="I2348" s="24" t="s">
        <v>33</v>
      </c>
      <c r="J2348" s="19" t="s">
        <v>5924</v>
      </c>
      <c r="K2348" s="14">
        <v>16.0</v>
      </c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</row>
    <row r="2349">
      <c r="A2349" s="14" t="s">
        <v>8550</v>
      </c>
      <c r="B2349" s="17" t="s">
        <v>8551</v>
      </c>
      <c r="C2349" s="17" t="s">
        <v>8552</v>
      </c>
      <c r="D2349" s="19" t="s">
        <v>8553</v>
      </c>
      <c r="E2349" s="20" t="s">
        <v>104</v>
      </c>
      <c r="F2349" s="21">
        <v>33420.0</v>
      </c>
      <c r="G2349" s="14">
        <v>35.0</v>
      </c>
      <c r="H2349" s="23" t="s">
        <v>26</v>
      </c>
      <c r="I2349" s="24" t="s">
        <v>33</v>
      </c>
      <c r="J2349" s="19" t="s">
        <v>895</v>
      </c>
      <c r="K2349" s="14">
        <v>27.0</v>
      </c>
      <c r="L2349" s="7"/>
      <c r="M2349" s="7"/>
      <c r="N2349" s="7"/>
      <c r="O2349" s="7"/>
      <c r="P2349" s="7"/>
      <c r="Q2349" s="7"/>
      <c r="R2349" s="7"/>
      <c r="S2349" s="7"/>
      <c r="T2349" s="7"/>
      <c r="U2349" s="7"/>
      <c r="V2349" s="7"/>
      <c r="W2349" s="7"/>
      <c r="X2349" s="7"/>
      <c r="Y2349" s="7"/>
    </row>
    <row r="2350">
      <c r="A2350" s="14" t="s">
        <v>8554</v>
      </c>
      <c r="B2350" s="17" t="s">
        <v>8551</v>
      </c>
      <c r="C2350" s="17" t="s">
        <v>8555</v>
      </c>
      <c r="D2350" s="19" t="s">
        <v>8556</v>
      </c>
      <c r="E2350" s="20" t="s">
        <v>8557</v>
      </c>
      <c r="F2350" s="27">
        <v>32860.0</v>
      </c>
      <c r="G2350" s="14">
        <v>36.0</v>
      </c>
      <c r="H2350" s="23" t="s">
        <v>26</v>
      </c>
      <c r="I2350" s="24" t="s">
        <v>27</v>
      </c>
      <c r="J2350" s="19" t="s">
        <v>895</v>
      </c>
      <c r="K2350" s="14">
        <v>27.0</v>
      </c>
      <c r="L2350" s="7"/>
      <c r="M2350" s="7"/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</row>
    <row r="2351">
      <c r="A2351" s="14" t="s">
        <v>8558</v>
      </c>
      <c r="B2351" s="17" t="s">
        <v>8559</v>
      </c>
      <c r="C2351" s="17" t="s">
        <v>8560</v>
      </c>
      <c r="D2351" s="19" t="s">
        <v>8561</v>
      </c>
      <c r="E2351" s="20" t="s">
        <v>176</v>
      </c>
      <c r="F2351" s="27">
        <v>31334.0</v>
      </c>
      <c r="G2351" s="14">
        <v>40.0</v>
      </c>
      <c r="H2351" s="23" t="s">
        <v>26</v>
      </c>
      <c r="I2351" s="24" t="s">
        <v>33</v>
      </c>
      <c r="J2351" s="19" t="s">
        <v>8562</v>
      </c>
      <c r="K2351" s="14">
        <v>26.0</v>
      </c>
      <c r="L2351" s="7"/>
      <c r="M2351" s="7"/>
      <c r="N2351" s="7"/>
      <c r="O2351" s="7"/>
      <c r="P2351" s="7"/>
      <c r="Q2351" s="7"/>
      <c r="R2351" s="7"/>
      <c r="S2351" s="7"/>
      <c r="T2351" s="7"/>
      <c r="U2351" s="7"/>
      <c r="V2351" s="7"/>
      <c r="W2351" s="7"/>
      <c r="X2351" s="7"/>
      <c r="Y2351" s="7"/>
    </row>
    <row r="2352">
      <c r="A2352" s="14" t="s">
        <v>8563</v>
      </c>
      <c r="B2352" s="17" t="s">
        <v>8559</v>
      </c>
      <c r="C2352" s="17" t="s">
        <v>8564</v>
      </c>
      <c r="D2352" s="19" t="s">
        <v>8565</v>
      </c>
      <c r="E2352" s="20" t="s">
        <v>53</v>
      </c>
      <c r="F2352" s="27">
        <v>31703.0</v>
      </c>
      <c r="G2352" s="14">
        <v>39.0</v>
      </c>
      <c r="H2352" s="23" t="s">
        <v>26</v>
      </c>
      <c r="I2352" s="24" t="s">
        <v>27</v>
      </c>
      <c r="J2352" s="19" t="s">
        <v>8562</v>
      </c>
      <c r="K2352" s="14">
        <v>26.0</v>
      </c>
      <c r="L2352" s="7"/>
      <c r="M2352" s="7"/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</row>
    <row r="2353">
      <c r="A2353" s="14" t="s">
        <v>8566</v>
      </c>
      <c r="B2353" s="17" t="s">
        <v>8567</v>
      </c>
      <c r="C2353" s="17" t="s">
        <v>8568</v>
      </c>
      <c r="D2353" s="19" t="s">
        <v>8569</v>
      </c>
      <c r="E2353" s="20" t="s">
        <v>53</v>
      </c>
      <c r="F2353" s="21">
        <v>32390.0</v>
      </c>
      <c r="G2353" s="14">
        <v>37.0</v>
      </c>
      <c r="H2353" s="23" t="s">
        <v>26</v>
      </c>
      <c r="I2353" s="24" t="s">
        <v>27</v>
      </c>
      <c r="J2353" s="19" t="s">
        <v>53</v>
      </c>
      <c r="K2353" s="14">
        <v>18.0</v>
      </c>
      <c r="L2353" s="7"/>
      <c r="M2353" s="7"/>
      <c r="N2353" s="7"/>
      <c r="O2353" s="7"/>
      <c r="P2353" s="7"/>
      <c r="Q2353" s="7"/>
      <c r="R2353" s="7"/>
      <c r="S2353" s="7"/>
      <c r="T2353" s="7"/>
      <c r="U2353" s="7"/>
      <c r="V2353" s="7"/>
      <c r="W2353" s="7"/>
      <c r="X2353" s="7"/>
      <c r="Y2353" s="7"/>
    </row>
    <row r="2354">
      <c r="A2354" s="14" t="s">
        <v>8570</v>
      </c>
      <c r="B2354" s="17" t="s">
        <v>8567</v>
      </c>
      <c r="C2354" s="17" t="s">
        <v>8571</v>
      </c>
      <c r="D2354" s="19" t="s">
        <v>8572</v>
      </c>
      <c r="E2354" s="20" t="s">
        <v>8573</v>
      </c>
      <c r="F2354" s="27">
        <v>30965.0</v>
      </c>
      <c r="G2354" s="14">
        <v>41.0</v>
      </c>
      <c r="H2354" s="23" t="s">
        <v>26</v>
      </c>
      <c r="I2354" s="24" t="s">
        <v>33</v>
      </c>
      <c r="J2354" s="19" t="s">
        <v>53</v>
      </c>
      <c r="K2354" s="14">
        <v>18.0</v>
      </c>
      <c r="L2354" s="7"/>
      <c r="M2354" s="7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</row>
    <row r="2355">
      <c r="A2355" s="14" t="s">
        <v>8574</v>
      </c>
      <c r="B2355" s="17" t="s">
        <v>8575</v>
      </c>
      <c r="C2355" s="17" t="s">
        <v>8576</v>
      </c>
      <c r="D2355" s="19" t="s">
        <v>8577</v>
      </c>
      <c r="E2355" s="20" t="s">
        <v>337</v>
      </c>
      <c r="F2355" s="21">
        <v>33415.0</v>
      </c>
      <c r="G2355" s="14">
        <v>35.0</v>
      </c>
      <c r="H2355" s="23" t="s">
        <v>26</v>
      </c>
      <c r="I2355" s="24" t="s">
        <v>33</v>
      </c>
      <c r="J2355" s="19" t="s">
        <v>726</v>
      </c>
      <c r="K2355" s="14">
        <v>17.0</v>
      </c>
      <c r="L2355" s="7"/>
      <c r="M2355" s="7"/>
      <c r="N2355" s="7"/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</row>
    <row r="2356">
      <c r="A2356" s="14" t="s">
        <v>8578</v>
      </c>
      <c r="B2356" s="17" t="s">
        <v>8575</v>
      </c>
      <c r="C2356" s="17" t="s">
        <v>8579</v>
      </c>
      <c r="D2356" s="19" t="s">
        <v>8580</v>
      </c>
      <c r="E2356" s="20" t="s">
        <v>8581</v>
      </c>
      <c r="F2356" s="21">
        <v>34486.0</v>
      </c>
      <c r="G2356" s="14">
        <v>32.0</v>
      </c>
      <c r="H2356" s="23" t="s">
        <v>26</v>
      </c>
      <c r="I2356" s="24" t="s">
        <v>27</v>
      </c>
      <c r="J2356" s="19" t="s">
        <v>726</v>
      </c>
      <c r="K2356" s="14">
        <v>17.0</v>
      </c>
      <c r="L2356" s="7"/>
      <c r="M2356" s="7"/>
      <c r="N2356" s="7"/>
      <c r="O2356" s="7"/>
      <c r="P2356" s="7"/>
      <c r="Q2356" s="7"/>
      <c r="R2356" s="7"/>
      <c r="S2356" s="7"/>
      <c r="T2356" s="7"/>
      <c r="U2356" s="7"/>
      <c r="V2356" s="7"/>
      <c r="W2356" s="7"/>
      <c r="X2356" s="7"/>
      <c r="Y2356" s="7"/>
    </row>
    <row r="2357">
      <c r="A2357" s="14" t="s">
        <v>8582</v>
      </c>
      <c r="B2357" s="17" t="s">
        <v>8583</v>
      </c>
      <c r="C2357" s="17" t="s">
        <v>8584</v>
      </c>
      <c r="D2357" s="19" t="s">
        <v>3756</v>
      </c>
      <c r="E2357" s="20" t="s">
        <v>1049</v>
      </c>
      <c r="F2357" s="27">
        <v>18249.0</v>
      </c>
      <c r="G2357" s="14">
        <v>76.0</v>
      </c>
      <c r="H2357" s="23" t="s">
        <v>26</v>
      </c>
      <c r="I2357" s="24" t="s">
        <v>33</v>
      </c>
      <c r="J2357" s="19" t="s">
        <v>726</v>
      </c>
      <c r="K2357" s="14">
        <v>14.0</v>
      </c>
      <c r="L2357" s="7"/>
      <c r="M2357" s="7"/>
      <c r="N2357" s="7"/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7"/>
    </row>
    <row r="2358">
      <c r="A2358" s="14" t="s">
        <v>8585</v>
      </c>
      <c r="B2358" s="17" t="s">
        <v>8583</v>
      </c>
      <c r="C2358" s="17" t="s">
        <v>8586</v>
      </c>
      <c r="D2358" s="19" t="s">
        <v>2547</v>
      </c>
      <c r="E2358" s="20" t="s">
        <v>1049</v>
      </c>
      <c r="F2358" s="21">
        <v>21622.0</v>
      </c>
      <c r="G2358" s="14">
        <v>67.0</v>
      </c>
      <c r="H2358" s="23" t="s">
        <v>26</v>
      </c>
      <c r="I2358" s="24" t="s">
        <v>27</v>
      </c>
      <c r="J2358" s="19" t="s">
        <v>282</v>
      </c>
      <c r="K2358" s="14">
        <v>16.0</v>
      </c>
      <c r="L2358" s="7"/>
      <c r="M2358" s="7"/>
      <c r="N2358" s="7"/>
      <c r="O2358" s="7"/>
      <c r="P2358" s="7"/>
      <c r="Q2358" s="7"/>
      <c r="R2358" s="7"/>
      <c r="S2358" s="7"/>
      <c r="T2358" s="7"/>
      <c r="U2358" s="7"/>
      <c r="V2358" s="7"/>
      <c r="W2358" s="7"/>
      <c r="X2358" s="7"/>
      <c r="Y2358" s="7"/>
    </row>
    <row r="2359">
      <c r="A2359" s="14" t="s">
        <v>8587</v>
      </c>
      <c r="B2359" s="17" t="s">
        <v>8588</v>
      </c>
      <c r="C2359" s="17" t="s">
        <v>8589</v>
      </c>
      <c r="D2359" s="19" t="s">
        <v>8590</v>
      </c>
      <c r="E2359" s="20" t="s">
        <v>104</v>
      </c>
      <c r="F2359" s="21">
        <v>37088.0</v>
      </c>
      <c r="G2359" s="14">
        <v>25.0</v>
      </c>
      <c r="H2359" s="23" t="s">
        <v>100</v>
      </c>
      <c r="I2359" s="24" t="s">
        <v>33</v>
      </c>
      <c r="J2359" s="19" t="s">
        <v>58</v>
      </c>
      <c r="K2359" s="14">
        <v>9.0</v>
      </c>
      <c r="L2359" s="7"/>
      <c r="M2359" s="7"/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7"/>
    </row>
    <row r="2360">
      <c r="A2360" s="14" t="s">
        <v>8591</v>
      </c>
      <c r="B2360" s="17" t="s">
        <v>8588</v>
      </c>
      <c r="C2360" s="17" t="s">
        <v>8592</v>
      </c>
      <c r="D2360" s="19" t="s">
        <v>8593</v>
      </c>
      <c r="E2360" s="20" t="s">
        <v>104</v>
      </c>
      <c r="F2360" s="21">
        <v>38265.0</v>
      </c>
      <c r="G2360" s="14">
        <v>21.0</v>
      </c>
      <c r="H2360" s="23" t="s">
        <v>100</v>
      </c>
      <c r="I2360" s="24" t="s">
        <v>33</v>
      </c>
      <c r="J2360" s="19" t="s">
        <v>58</v>
      </c>
      <c r="K2360" s="14">
        <v>9.0</v>
      </c>
      <c r="L2360" s="7"/>
      <c r="M2360" s="7"/>
      <c r="N2360" s="7"/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7"/>
    </row>
    <row r="2361">
      <c r="A2361" s="14" t="s">
        <v>8594</v>
      </c>
      <c r="B2361" s="17" t="s">
        <v>8588</v>
      </c>
      <c r="C2361" s="17" t="s">
        <v>8595</v>
      </c>
      <c r="D2361" s="19" t="s">
        <v>4730</v>
      </c>
      <c r="E2361" s="20" t="s">
        <v>1148</v>
      </c>
      <c r="F2361" s="21">
        <v>26481.0</v>
      </c>
      <c r="G2361" s="14">
        <v>54.0</v>
      </c>
      <c r="H2361" s="23" t="s">
        <v>26</v>
      </c>
      <c r="I2361" s="24" t="s">
        <v>27</v>
      </c>
      <c r="J2361" s="19" t="s">
        <v>58</v>
      </c>
      <c r="K2361" s="14">
        <v>9.0</v>
      </c>
      <c r="L2361" s="7"/>
      <c r="M2361" s="7"/>
      <c r="N2361" s="7"/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7"/>
    </row>
    <row r="2362">
      <c r="A2362" s="14" t="s">
        <v>8596</v>
      </c>
      <c r="B2362" s="17" t="s">
        <v>8588</v>
      </c>
      <c r="C2362" s="17" t="s">
        <v>8597</v>
      </c>
      <c r="D2362" s="19" t="s">
        <v>8598</v>
      </c>
      <c r="E2362" s="20" t="s">
        <v>104</v>
      </c>
      <c r="F2362" s="21">
        <v>39177.0</v>
      </c>
      <c r="G2362" s="14">
        <v>19.0</v>
      </c>
      <c r="H2362" s="23" t="s">
        <v>100</v>
      </c>
      <c r="I2362" s="24" t="s">
        <v>27</v>
      </c>
      <c r="J2362" s="19" t="s">
        <v>58</v>
      </c>
      <c r="K2362" s="14">
        <v>9.0</v>
      </c>
      <c r="L2362" s="7"/>
      <c r="M2362" s="7"/>
      <c r="N2362" s="7"/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7"/>
    </row>
    <row r="2363">
      <c r="A2363" s="14" t="s">
        <v>8599</v>
      </c>
      <c r="B2363" s="17" t="s">
        <v>8588</v>
      </c>
      <c r="C2363" s="17" t="s">
        <v>8600</v>
      </c>
      <c r="D2363" s="19" t="s">
        <v>8601</v>
      </c>
      <c r="E2363" s="20" t="s">
        <v>605</v>
      </c>
      <c r="F2363" s="21">
        <v>22508.0</v>
      </c>
      <c r="G2363" s="14">
        <v>65.0</v>
      </c>
      <c r="H2363" s="23" t="s">
        <v>26</v>
      </c>
      <c r="I2363" s="24" t="s">
        <v>33</v>
      </c>
      <c r="J2363" s="19" t="s">
        <v>58</v>
      </c>
      <c r="K2363" s="14">
        <v>9.0</v>
      </c>
      <c r="L2363" s="7"/>
      <c r="M2363" s="7"/>
      <c r="N2363" s="7"/>
      <c r="O2363" s="7"/>
      <c r="P2363" s="7"/>
      <c r="Q2363" s="7"/>
      <c r="R2363" s="7"/>
      <c r="S2363" s="7"/>
      <c r="T2363" s="7"/>
      <c r="U2363" s="7"/>
      <c r="V2363" s="7"/>
      <c r="W2363" s="7"/>
      <c r="X2363" s="7"/>
      <c r="Y2363" s="7"/>
    </row>
    <row r="2364">
      <c r="A2364" s="14" t="s">
        <v>8602</v>
      </c>
      <c r="B2364" s="17" t="s">
        <v>8603</v>
      </c>
      <c r="C2364" s="17" t="s">
        <v>8604</v>
      </c>
      <c r="D2364" s="19" t="s">
        <v>8605</v>
      </c>
      <c r="E2364" s="20" t="s">
        <v>1816</v>
      </c>
      <c r="F2364" s="21">
        <v>27211.0</v>
      </c>
      <c r="G2364" s="14">
        <v>52.0</v>
      </c>
      <c r="H2364" s="23" t="s">
        <v>26</v>
      </c>
      <c r="I2364" s="24" t="s">
        <v>33</v>
      </c>
      <c r="J2364" s="19" t="s">
        <v>68</v>
      </c>
      <c r="K2364" s="14">
        <v>29.0</v>
      </c>
      <c r="L2364" s="7"/>
      <c r="M2364" s="7"/>
      <c r="N2364" s="7"/>
      <c r="O2364" s="7"/>
      <c r="P2364" s="7"/>
      <c r="Q2364" s="7"/>
      <c r="R2364" s="7"/>
      <c r="S2364" s="7"/>
      <c r="T2364" s="7"/>
      <c r="U2364" s="7"/>
      <c r="V2364" s="7"/>
      <c r="W2364" s="7"/>
      <c r="X2364" s="7"/>
      <c r="Y2364" s="7"/>
    </row>
    <row r="2365">
      <c r="A2365" s="14" t="s">
        <v>8606</v>
      </c>
      <c r="B2365" s="17" t="s">
        <v>8603</v>
      </c>
      <c r="C2365" s="17" t="s">
        <v>8607</v>
      </c>
      <c r="D2365" s="19" t="s">
        <v>8608</v>
      </c>
      <c r="E2365" s="20" t="s">
        <v>104</v>
      </c>
      <c r="F2365" s="21">
        <v>38023.0</v>
      </c>
      <c r="G2365" s="14">
        <v>22.0</v>
      </c>
      <c r="H2365" s="23" t="s">
        <v>100</v>
      </c>
      <c r="I2365" s="24" t="s">
        <v>33</v>
      </c>
      <c r="J2365" s="19" t="s">
        <v>68</v>
      </c>
      <c r="K2365" s="14">
        <v>29.0</v>
      </c>
      <c r="L2365" s="7"/>
      <c r="M2365" s="7"/>
      <c r="N2365" s="7"/>
      <c r="O2365" s="7"/>
      <c r="P2365" s="7"/>
      <c r="Q2365" s="7"/>
      <c r="R2365" s="7"/>
      <c r="S2365" s="7"/>
      <c r="T2365" s="7"/>
      <c r="U2365" s="7"/>
      <c r="V2365" s="7"/>
      <c r="W2365" s="7"/>
      <c r="X2365" s="7"/>
      <c r="Y2365" s="7"/>
    </row>
    <row r="2366">
      <c r="A2366" s="14" t="s">
        <v>8609</v>
      </c>
      <c r="B2366" s="17" t="s">
        <v>8603</v>
      </c>
      <c r="C2366" s="17" t="s">
        <v>8610</v>
      </c>
      <c r="D2366" s="19" t="s">
        <v>4730</v>
      </c>
      <c r="E2366" s="20" t="s">
        <v>231</v>
      </c>
      <c r="F2366" s="27">
        <v>28451.0</v>
      </c>
      <c r="G2366" s="14">
        <v>48.0</v>
      </c>
      <c r="H2366" s="23" t="s">
        <v>26</v>
      </c>
      <c r="I2366" s="24" t="s">
        <v>27</v>
      </c>
      <c r="J2366" s="19" t="s">
        <v>4727</v>
      </c>
      <c r="K2366" s="14">
        <v>29.0</v>
      </c>
      <c r="L2366" s="7"/>
      <c r="M2366" s="7"/>
      <c r="N2366" s="7"/>
      <c r="O2366" s="7"/>
      <c r="P2366" s="7"/>
      <c r="Q2366" s="7"/>
      <c r="R2366" s="7"/>
      <c r="S2366" s="7"/>
      <c r="T2366" s="7"/>
      <c r="U2366" s="7"/>
      <c r="V2366" s="7"/>
      <c r="W2366" s="7"/>
      <c r="X2366" s="7"/>
      <c r="Y2366" s="7"/>
    </row>
    <row r="2367">
      <c r="A2367" s="14" t="s">
        <v>8611</v>
      </c>
      <c r="B2367" s="17" t="s">
        <v>8612</v>
      </c>
      <c r="C2367" s="17" t="s">
        <v>8613</v>
      </c>
      <c r="D2367" s="19" t="s">
        <v>8614</v>
      </c>
      <c r="E2367" s="20" t="s">
        <v>2038</v>
      </c>
      <c r="F2367" s="21">
        <v>35038.0</v>
      </c>
      <c r="G2367" s="14">
        <v>30.0</v>
      </c>
      <c r="H2367" s="23" t="s">
        <v>26</v>
      </c>
      <c r="I2367" s="24" t="s">
        <v>33</v>
      </c>
      <c r="J2367" s="19" t="s">
        <v>53</v>
      </c>
      <c r="K2367" s="14">
        <v>34.0</v>
      </c>
      <c r="L2367" s="7"/>
      <c r="M2367" s="7"/>
      <c r="N2367" s="7"/>
      <c r="O2367" s="7"/>
      <c r="P2367" s="7"/>
      <c r="Q2367" s="7"/>
      <c r="R2367" s="7"/>
      <c r="S2367" s="7"/>
      <c r="T2367" s="7"/>
      <c r="U2367" s="7"/>
      <c r="V2367" s="7"/>
      <c r="W2367" s="7"/>
      <c r="X2367" s="7"/>
      <c r="Y2367" s="7"/>
    </row>
    <row r="2368">
      <c r="A2368" s="14" t="s">
        <v>8615</v>
      </c>
      <c r="B2368" s="17" t="s">
        <v>8612</v>
      </c>
      <c r="C2368" s="17" t="s">
        <v>8616</v>
      </c>
      <c r="D2368" s="19" t="s">
        <v>7676</v>
      </c>
      <c r="E2368" s="20" t="s">
        <v>210</v>
      </c>
      <c r="F2368" s="21">
        <v>35220.0</v>
      </c>
      <c r="G2368" s="14">
        <v>30.0</v>
      </c>
      <c r="H2368" s="23" t="s">
        <v>26</v>
      </c>
      <c r="I2368" s="24" t="s">
        <v>27</v>
      </c>
      <c r="J2368" s="19" t="s">
        <v>68</v>
      </c>
      <c r="K2368" s="14">
        <v>35.0</v>
      </c>
      <c r="L2368" s="7"/>
      <c r="M2368" s="7"/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</row>
    <row r="2369">
      <c r="A2369" s="14" t="s">
        <v>8617</v>
      </c>
      <c r="B2369" s="17" t="s">
        <v>8618</v>
      </c>
      <c r="C2369" s="17" t="s">
        <v>8619</v>
      </c>
      <c r="D2369" s="19" t="s">
        <v>8620</v>
      </c>
      <c r="E2369" s="20" t="s">
        <v>104</v>
      </c>
      <c r="F2369" s="21">
        <v>36207.0</v>
      </c>
      <c r="G2369" s="14">
        <v>27.0</v>
      </c>
      <c r="H2369" s="23" t="s">
        <v>26</v>
      </c>
      <c r="I2369" s="24" t="s">
        <v>27</v>
      </c>
      <c r="J2369" s="19" t="s">
        <v>58</v>
      </c>
      <c r="K2369" s="14">
        <v>7.0</v>
      </c>
      <c r="L2369" s="7"/>
      <c r="M2369" s="7"/>
      <c r="N2369" s="7"/>
      <c r="O2369" s="7"/>
      <c r="P2369" s="7"/>
      <c r="Q2369" s="7"/>
      <c r="R2369" s="7"/>
      <c r="S2369" s="7"/>
      <c r="T2369" s="7"/>
      <c r="U2369" s="7"/>
      <c r="V2369" s="7"/>
      <c r="W2369" s="7"/>
      <c r="X2369" s="7"/>
      <c r="Y2369" s="7"/>
    </row>
    <row r="2370">
      <c r="A2370" s="14" t="s">
        <v>8621</v>
      </c>
      <c r="B2370" s="17" t="s">
        <v>8618</v>
      </c>
      <c r="C2370" s="17" t="s">
        <v>8622</v>
      </c>
      <c r="D2370" s="19" t="s">
        <v>8623</v>
      </c>
      <c r="E2370" s="20" t="s">
        <v>155</v>
      </c>
      <c r="F2370" s="21">
        <v>35587.0</v>
      </c>
      <c r="G2370" s="14">
        <v>29.0</v>
      </c>
      <c r="H2370" s="23" t="s">
        <v>26</v>
      </c>
      <c r="I2370" s="24" t="s">
        <v>33</v>
      </c>
      <c r="J2370" s="19" t="s">
        <v>58</v>
      </c>
      <c r="K2370" s="14">
        <v>7.0</v>
      </c>
      <c r="L2370" s="7"/>
      <c r="M2370" s="7"/>
      <c r="N2370" s="7"/>
      <c r="O2370" s="7"/>
      <c r="P2370" s="7"/>
      <c r="Q2370" s="7"/>
      <c r="R2370" s="7"/>
      <c r="S2370" s="7"/>
      <c r="T2370" s="7"/>
      <c r="U2370" s="7"/>
      <c r="V2370" s="7"/>
      <c r="W2370" s="7"/>
      <c r="X2370" s="7"/>
      <c r="Y2370" s="7"/>
    </row>
    <row r="2371">
      <c r="A2371" s="14" t="s">
        <v>8624</v>
      </c>
      <c r="B2371" s="17" t="s">
        <v>8625</v>
      </c>
      <c r="C2371" s="17" t="s">
        <v>8626</v>
      </c>
      <c r="D2371" s="19" t="s">
        <v>8627</v>
      </c>
      <c r="E2371" s="20" t="s">
        <v>53</v>
      </c>
      <c r="F2371" s="27">
        <v>36520.0</v>
      </c>
      <c r="G2371" s="14">
        <v>26.0</v>
      </c>
      <c r="H2371" s="23" t="s">
        <v>26</v>
      </c>
      <c r="I2371" s="24" t="s">
        <v>27</v>
      </c>
      <c r="J2371" s="19" t="s">
        <v>58</v>
      </c>
      <c r="K2371" s="14">
        <v>9.0</v>
      </c>
      <c r="L2371" s="7"/>
      <c r="M2371" s="7"/>
      <c r="N2371" s="7"/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7"/>
    </row>
    <row r="2372">
      <c r="A2372" s="14" t="s">
        <v>8628</v>
      </c>
      <c r="B2372" s="17" t="s">
        <v>8625</v>
      </c>
      <c r="C2372" s="17" t="s">
        <v>8629</v>
      </c>
      <c r="D2372" s="19" t="s">
        <v>8630</v>
      </c>
      <c r="E2372" s="20" t="s">
        <v>536</v>
      </c>
      <c r="F2372" s="27">
        <v>36122.0</v>
      </c>
      <c r="G2372" s="14">
        <v>27.0</v>
      </c>
      <c r="H2372" s="23" t="s">
        <v>26</v>
      </c>
      <c r="I2372" s="24" t="s">
        <v>33</v>
      </c>
      <c r="J2372" s="19" t="s">
        <v>58</v>
      </c>
      <c r="K2372" s="14">
        <v>9.0</v>
      </c>
      <c r="L2372" s="7"/>
      <c r="M2372" s="7"/>
      <c r="N2372" s="7"/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7"/>
    </row>
    <row r="2373">
      <c r="A2373" s="14" t="s">
        <v>8631</v>
      </c>
      <c r="B2373" s="17" t="s">
        <v>8632</v>
      </c>
      <c r="C2373" s="17" t="s">
        <v>8633</v>
      </c>
      <c r="D2373" s="19" t="s">
        <v>8634</v>
      </c>
      <c r="E2373" s="20" t="s">
        <v>337</v>
      </c>
      <c r="F2373" s="21">
        <v>35338.0</v>
      </c>
      <c r="G2373" s="14">
        <v>29.0</v>
      </c>
      <c r="H2373" s="23" t="s">
        <v>26</v>
      </c>
      <c r="I2373" s="24" t="s">
        <v>33</v>
      </c>
      <c r="J2373" s="19" t="s">
        <v>53</v>
      </c>
      <c r="K2373" s="14">
        <v>13.0</v>
      </c>
      <c r="L2373" s="7"/>
      <c r="M2373" s="7"/>
      <c r="N2373" s="7"/>
      <c r="O2373" s="7"/>
      <c r="P2373" s="7"/>
      <c r="Q2373" s="7"/>
      <c r="R2373" s="7"/>
      <c r="S2373" s="7"/>
      <c r="T2373" s="7"/>
      <c r="U2373" s="7"/>
      <c r="V2373" s="7"/>
      <c r="W2373" s="7"/>
      <c r="X2373" s="7"/>
      <c r="Y2373" s="7"/>
    </row>
    <row r="2374">
      <c r="A2374" s="14" t="s">
        <v>8635</v>
      </c>
      <c r="B2374" s="17" t="s">
        <v>8632</v>
      </c>
      <c r="C2374" s="17" t="s">
        <v>8636</v>
      </c>
      <c r="D2374" s="19" t="s">
        <v>8637</v>
      </c>
      <c r="E2374" s="20" t="s">
        <v>53</v>
      </c>
      <c r="F2374" s="27">
        <v>34331.0</v>
      </c>
      <c r="G2374" s="14">
        <v>32.0</v>
      </c>
      <c r="H2374" s="23" t="s">
        <v>26</v>
      </c>
      <c r="I2374" s="24" t="s">
        <v>27</v>
      </c>
      <c r="J2374" s="19" t="s">
        <v>53</v>
      </c>
      <c r="K2374" s="14">
        <v>13.0</v>
      </c>
      <c r="L2374" s="7"/>
      <c r="M2374" s="7"/>
      <c r="N2374" s="7"/>
      <c r="O2374" s="7"/>
      <c r="P2374" s="7"/>
      <c r="Q2374" s="7"/>
      <c r="R2374" s="7"/>
      <c r="S2374" s="7"/>
      <c r="T2374" s="7"/>
      <c r="U2374" s="7"/>
      <c r="V2374" s="7"/>
      <c r="W2374" s="7"/>
      <c r="X2374" s="7"/>
      <c r="Y2374" s="7"/>
    </row>
    <row r="2375">
      <c r="A2375" s="14" t="s">
        <v>8638</v>
      </c>
      <c r="B2375" s="17" t="s">
        <v>8639</v>
      </c>
      <c r="C2375" s="17" t="s">
        <v>8640</v>
      </c>
      <c r="D2375" s="19" t="s">
        <v>8641</v>
      </c>
      <c r="E2375" s="20" t="s">
        <v>104</v>
      </c>
      <c r="F2375" s="21">
        <v>37421.0</v>
      </c>
      <c r="G2375" s="14">
        <v>24.0</v>
      </c>
      <c r="H2375" s="23" t="s">
        <v>100</v>
      </c>
      <c r="I2375" s="24" t="s">
        <v>33</v>
      </c>
      <c r="J2375" s="19" t="s">
        <v>53</v>
      </c>
      <c r="K2375" s="14">
        <v>5.0</v>
      </c>
      <c r="L2375" s="7"/>
      <c r="M2375" s="7"/>
      <c r="N2375" s="7"/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7"/>
    </row>
    <row r="2376">
      <c r="A2376" s="14" t="s">
        <v>8642</v>
      </c>
      <c r="B2376" s="17" t="s">
        <v>8639</v>
      </c>
      <c r="C2376" s="17" t="s">
        <v>8643</v>
      </c>
      <c r="D2376" s="19" t="s">
        <v>7248</v>
      </c>
      <c r="E2376" s="20" t="s">
        <v>290</v>
      </c>
      <c r="F2376" s="27">
        <v>24426.0</v>
      </c>
      <c r="G2376" s="14">
        <v>59.0</v>
      </c>
      <c r="H2376" s="23" t="s">
        <v>26</v>
      </c>
      <c r="I2376" s="24" t="s">
        <v>33</v>
      </c>
      <c r="J2376" s="19" t="s">
        <v>53</v>
      </c>
      <c r="K2376" s="14">
        <v>5.0</v>
      </c>
      <c r="L2376" s="7"/>
      <c r="M2376" s="7"/>
      <c r="N2376" s="7"/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7"/>
    </row>
    <row r="2377">
      <c r="A2377" s="14" t="s">
        <v>8644</v>
      </c>
      <c r="B2377" s="17" t="s">
        <v>8639</v>
      </c>
      <c r="C2377" s="17" t="s">
        <v>8645</v>
      </c>
      <c r="D2377" s="19" t="s">
        <v>8646</v>
      </c>
      <c r="E2377" s="20" t="s">
        <v>544</v>
      </c>
      <c r="F2377" s="21">
        <v>25673.0</v>
      </c>
      <c r="G2377" s="14">
        <v>56.0</v>
      </c>
      <c r="H2377" s="23" t="s">
        <v>26</v>
      </c>
      <c r="I2377" s="24" t="s">
        <v>27</v>
      </c>
      <c r="J2377" s="19" t="s">
        <v>53</v>
      </c>
      <c r="K2377" s="14">
        <v>5.0</v>
      </c>
      <c r="L2377" s="7"/>
      <c r="M2377" s="7"/>
      <c r="N2377" s="7"/>
      <c r="O2377" s="7"/>
      <c r="P2377" s="7"/>
      <c r="Q2377" s="7"/>
      <c r="R2377" s="7"/>
      <c r="S2377" s="7"/>
      <c r="T2377" s="7"/>
      <c r="U2377" s="7"/>
      <c r="V2377" s="7"/>
      <c r="W2377" s="7"/>
      <c r="X2377" s="7"/>
      <c r="Y2377" s="7"/>
    </row>
    <row r="2378">
      <c r="A2378" s="14" t="s">
        <v>8647</v>
      </c>
      <c r="B2378" s="17" t="s">
        <v>8648</v>
      </c>
      <c r="C2378" s="17" t="s">
        <v>8649</v>
      </c>
      <c r="D2378" s="19" t="s">
        <v>8650</v>
      </c>
      <c r="E2378" s="20" t="s">
        <v>3587</v>
      </c>
      <c r="F2378" s="21">
        <v>25251.0</v>
      </c>
      <c r="G2378" s="14">
        <v>57.0</v>
      </c>
      <c r="H2378" s="23" t="s">
        <v>26</v>
      </c>
      <c r="I2378" s="24" t="s">
        <v>33</v>
      </c>
      <c r="J2378" s="19" t="s">
        <v>2019</v>
      </c>
      <c r="K2378" s="14">
        <v>2.0</v>
      </c>
      <c r="L2378" s="7"/>
      <c r="M2378" s="7"/>
      <c r="N2378" s="7"/>
      <c r="O2378" s="7"/>
      <c r="P2378" s="7"/>
      <c r="Q2378" s="7"/>
      <c r="R2378" s="7"/>
      <c r="S2378" s="7"/>
      <c r="T2378" s="7"/>
      <c r="U2378" s="7"/>
      <c r="V2378" s="7"/>
      <c r="W2378" s="7"/>
      <c r="X2378" s="7"/>
      <c r="Y2378" s="7"/>
    </row>
    <row r="2379">
      <c r="A2379" s="14" t="s">
        <v>8651</v>
      </c>
      <c r="B2379" s="17" t="s">
        <v>8648</v>
      </c>
      <c r="C2379" s="17" t="s">
        <v>8652</v>
      </c>
      <c r="D2379" s="19" t="s">
        <v>8653</v>
      </c>
      <c r="E2379" s="20" t="s">
        <v>53</v>
      </c>
      <c r="F2379" s="21">
        <v>35645.0</v>
      </c>
      <c r="G2379" s="14">
        <v>29.0</v>
      </c>
      <c r="H2379" s="23" t="s">
        <v>100</v>
      </c>
      <c r="I2379" s="24" t="s">
        <v>33</v>
      </c>
      <c r="J2379" s="19" t="s">
        <v>2019</v>
      </c>
      <c r="K2379" s="14">
        <v>2.0</v>
      </c>
      <c r="L2379" s="7"/>
      <c r="M2379" s="7"/>
      <c r="N2379" s="7"/>
      <c r="O2379" s="7"/>
      <c r="P2379" s="7"/>
      <c r="Q2379" s="7"/>
      <c r="R2379" s="7"/>
      <c r="S2379" s="7"/>
      <c r="T2379" s="7"/>
      <c r="U2379" s="7"/>
      <c r="V2379" s="7"/>
      <c r="W2379" s="7"/>
      <c r="X2379" s="7"/>
      <c r="Y2379" s="7"/>
    </row>
    <row r="2380">
      <c r="A2380" s="14" t="s">
        <v>8654</v>
      </c>
      <c r="B2380" s="17" t="s">
        <v>8648</v>
      </c>
      <c r="C2380" s="17" t="s">
        <v>8655</v>
      </c>
      <c r="D2380" s="19" t="s">
        <v>8656</v>
      </c>
      <c r="E2380" s="20" t="s">
        <v>53</v>
      </c>
      <c r="F2380" s="21">
        <v>29358.0</v>
      </c>
      <c r="G2380" s="14">
        <v>46.0</v>
      </c>
      <c r="H2380" s="23" t="s">
        <v>26</v>
      </c>
      <c r="I2380" s="24" t="s">
        <v>27</v>
      </c>
      <c r="J2380" s="19" t="s">
        <v>2019</v>
      </c>
      <c r="K2380" s="14">
        <v>2.0</v>
      </c>
      <c r="L2380" s="7"/>
      <c r="M2380" s="7"/>
      <c r="N2380" s="7"/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7"/>
    </row>
    <row r="2381">
      <c r="A2381" s="14" t="s">
        <v>8657</v>
      </c>
      <c r="B2381" s="17" t="s">
        <v>8658</v>
      </c>
      <c r="C2381" s="17" t="s">
        <v>8659</v>
      </c>
      <c r="D2381" s="19" t="s">
        <v>8660</v>
      </c>
      <c r="E2381" s="20" t="s">
        <v>187</v>
      </c>
      <c r="F2381" s="21">
        <v>26417.0</v>
      </c>
      <c r="G2381" s="14">
        <v>54.0</v>
      </c>
      <c r="H2381" s="23" t="s">
        <v>26</v>
      </c>
      <c r="I2381" s="24" t="s">
        <v>33</v>
      </c>
      <c r="J2381" s="19" t="s">
        <v>206</v>
      </c>
      <c r="K2381" s="14">
        <v>2.0</v>
      </c>
      <c r="L2381" s="7"/>
      <c r="M2381" s="7"/>
      <c r="N2381" s="7"/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7"/>
    </row>
    <row r="2382">
      <c r="A2382" s="14" t="s">
        <v>8661</v>
      </c>
      <c r="B2382" s="17" t="s">
        <v>8658</v>
      </c>
      <c r="C2382" s="17" t="s">
        <v>8662</v>
      </c>
      <c r="D2382" s="19" t="s">
        <v>8663</v>
      </c>
      <c r="E2382" s="20" t="s">
        <v>702</v>
      </c>
      <c r="F2382" s="27">
        <v>27019.0</v>
      </c>
      <c r="G2382" s="14">
        <v>52.0</v>
      </c>
      <c r="H2382" s="23" t="s">
        <v>26</v>
      </c>
      <c r="I2382" s="24" t="s">
        <v>27</v>
      </c>
      <c r="J2382" s="19" t="s">
        <v>206</v>
      </c>
      <c r="K2382" s="14">
        <v>2.0</v>
      </c>
      <c r="L2382" s="7"/>
      <c r="M2382" s="7"/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</row>
    <row r="2383">
      <c r="A2383" s="14" t="s">
        <v>8664</v>
      </c>
      <c r="B2383" s="17" t="s">
        <v>8658</v>
      </c>
      <c r="C2383" s="17" t="s">
        <v>8665</v>
      </c>
      <c r="D2383" s="19" t="s">
        <v>8666</v>
      </c>
      <c r="E2383" s="20" t="s">
        <v>104</v>
      </c>
      <c r="F2383" s="21">
        <v>37151.0</v>
      </c>
      <c r="G2383" s="14">
        <v>24.0</v>
      </c>
      <c r="H2383" s="23" t="s">
        <v>100</v>
      </c>
      <c r="I2383" s="24" t="s">
        <v>27</v>
      </c>
      <c r="J2383" s="19" t="s">
        <v>206</v>
      </c>
      <c r="K2383" s="14">
        <v>2.0</v>
      </c>
      <c r="L2383" s="7"/>
      <c r="M2383" s="7"/>
      <c r="N2383" s="7"/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7"/>
    </row>
    <row r="2384">
      <c r="A2384" s="14" t="s">
        <v>8667</v>
      </c>
      <c r="B2384" s="17" t="s">
        <v>8668</v>
      </c>
      <c r="C2384" s="17" t="s">
        <v>8669</v>
      </c>
      <c r="D2384" s="19" t="s">
        <v>8670</v>
      </c>
      <c r="E2384" s="20" t="s">
        <v>104</v>
      </c>
      <c r="F2384" s="21">
        <v>36549.0</v>
      </c>
      <c r="G2384" s="14">
        <v>26.0</v>
      </c>
      <c r="H2384" s="23" t="s">
        <v>100</v>
      </c>
      <c r="I2384" s="24" t="s">
        <v>33</v>
      </c>
      <c r="J2384" s="19" t="s">
        <v>989</v>
      </c>
      <c r="K2384" s="14">
        <v>24.0</v>
      </c>
      <c r="L2384" s="7"/>
      <c r="M2384" s="7"/>
      <c r="N2384" s="7"/>
      <c r="O2384" s="7"/>
      <c r="P2384" s="7"/>
      <c r="Q2384" s="7"/>
      <c r="R2384" s="7"/>
      <c r="S2384" s="7"/>
      <c r="T2384" s="7"/>
      <c r="U2384" s="7"/>
      <c r="V2384" s="7"/>
      <c r="W2384" s="7"/>
      <c r="X2384" s="7"/>
      <c r="Y2384" s="7"/>
    </row>
    <row r="2385">
      <c r="A2385" s="14" t="s">
        <v>8671</v>
      </c>
      <c r="B2385" s="17" t="s">
        <v>8668</v>
      </c>
      <c r="C2385" s="17" t="s">
        <v>8672</v>
      </c>
      <c r="D2385" s="19" t="s">
        <v>8673</v>
      </c>
      <c r="E2385" s="20" t="s">
        <v>104</v>
      </c>
      <c r="F2385" s="21">
        <v>29975.0</v>
      </c>
      <c r="G2385" s="14">
        <v>44.0</v>
      </c>
      <c r="H2385" s="23" t="s">
        <v>26</v>
      </c>
      <c r="I2385" s="24" t="s">
        <v>27</v>
      </c>
      <c r="J2385" s="19" t="s">
        <v>989</v>
      </c>
      <c r="K2385" s="14">
        <v>24.0</v>
      </c>
      <c r="L2385" s="7"/>
      <c r="M2385" s="7"/>
      <c r="N2385" s="7"/>
      <c r="O2385" s="7"/>
      <c r="P2385" s="7"/>
      <c r="Q2385" s="7"/>
      <c r="R2385" s="7"/>
      <c r="S2385" s="7"/>
      <c r="T2385" s="7"/>
      <c r="U2385" s="7"/>
      <c r="V2385" s="7"/>
      <c r="W2385" s="7"/>
      <c r="X2385" s="7"/>
      <c r="Y2385" s="7"/>
    </row>
    <row r="2386">
      <c r="A2386" s="14" t="s">
        <v>8674</v>
      </c>
      <c r="B2386" s="17" t="s">
        <v>8668</v>
      </c>
      <c r="C2386" s="17" t="s">
        <v>8675</v>
      </c>
      <c r="D2386" s="19" t="s">
        <v>8676</v>
      </c>
      <c r="E2386" s="20" t="s">
        <v>104</v>
      </c>
      <c r="F2386" s="27">
        <v>28849.0</v>
      </c>
      <c r="G2386" s="14">
        <v>47.0</v>
      </c>
      <c r="H2386" s="23" t="s">
        <v>26</v>
      </c>
      <c r="I2386" s="24" t="s">
        <v>33</v>
      </c>
      <c r="J2386" s="19" t="s">
        <v>989</v>
      </c>
      <c r="K2386" s="14">
        <v>24.0</v>
      </c>
      <c r="L2386" s="7"/>
      <c r="M2386" s="7"/>
      <c r="N2386" s="7"/>
      <c r="O2386" s="7"/>
      <c r="P2386" s="7"/>
      <c r="Q2386" s="7"/>
      <c r="R2386" s="7"/>
      <c r="S2386" s="7"/>
      <c r="T2386" s="7"/>
      <c r="U2386" s="7"/>
      <c r="V2386" s="7"/>
      <c r="W2386" s="7"/>
      <c r="X2386" s="7"/>
      <c r="Y2386" s="7"/>
    </row>
    <row r="2387">
      <c r="A2387" s="14" t="s">
        <v>8677</v>
      </c>
      <c r="B2387" s="17" t="s">
        <v>8678</v>
      </c>
      <c r="C2387" s="17" t="s">
        <v>8679</v>
      </c>
      <c r="D2387" s="19" t="s">
        <v>8680</v>
      </c>
      <c r="E2387" s="20" t="s">
        <v>6102</v>
      </c>
      <c r="F2387" s="21">
        <v>30160.0</v>
      </c>
      <c r="G2387" s="14">
        <v>44.0</v>
      </c>
      <c r="H2387" s="23" t="s">
        <v>26</v>
      </c>
      <c r="I2387" s="24" t="s">
        <v>27</v>
      </c>
      <c r="J2387" s="19" t="s">
        <v>68</v>
      </c>
      <c r="K2387" s="14">
        <v>28.0</v>
      </c>
      <c r="L2387" s="7"/>
      <c r="M2387" s="7"/>
      <c r="N2387" s="7"/>
      <c r="O2387" s="7"/>
      <c r="P2387" s="7"/>
      <c r="Q2387" s="7"/>
      <c r="R2387" s="7"/>
      <c r="S2387" s="7"/>
      <c r="T2387" s="7"/>
      <c r="U2387" s="7"/>
      <c r="V2387" s="7"/>
      <c r="W2387" s="7"/>
      <c r="X2387" s="7"/>
      <c r="Y2387" s="7"/>
    </row>
    <row r="2388">
      <c r="A2388" s="14" t="s">
        <v>8681</v>
      </c>
      <c r="B2388" s="17" t="s">
        <v>8678</v>
      </c>
      <c r="C2388" s="17" t="s">
        <v>8682</v>
      </c>
      <c r="D2388" s="19" t="s">
        <v>8683</v>
      </c>
      <c r="E2388" s="20" t="s">
        <v>6102</v>
      </c>
      <c r="F2388" s="27">
        <v>29918.0</v>
      </c>
      <c r="G2388" s="14">
        <v>44.0</v>
      </c>
      <c r="H2388" s="23" t="s">
        <v>26</v>
      </c>
      <c r="I2388" s="24" t="s">
        <v>33</v>
      </c>
      <c r="J2388" s="19" t="s">
        <v>68</v>
      </c>
      <c r="K2388" s="14">
        <v>28.0</v>
      </c>
      <c r="L2388" s="7"/>
      <c r="M2388" s="7"/>
      <c r="N2388" s="7"/>
      <c r="O2388" s="7"/>
      <c r="P2388" s="7"/>
      <c r="Q2388" s="7"/>
      <c r="R2388" s="7"/>
      <c r="S2388" s="7"/>
      <c r="T2388" s="7"/>
      <c r="U2388" s="7"/>
      <c r="V2388" s="7"/>
      <c r="W2388" s="7"/>
      <c r="X2388" s="7"/>
      <c r="Y2388" s="7"/>
    </row>
    <row r="2389">
      <c r="A2389" s="14" t="s">
        <v>8684</v>
      </c>
      <c r="B2389" s="17" t="s">
        <v>8685</v>
      </c>
      <c r="C2389" s="17" t="s">
        <v>8686</v>
      </c>
      <c r="D2389" s="19" t="s">
        <v>8687</v>
      </c>
      <c r="E2389" s="20" t="s">
        <v>1468</v>
      </c>
      <c r="F2389" s="21">
        <v>30746.0</v>
      </c>
      <c r="G2389" s="14">
        <v>42.0</v>
      </c>
      <c r="H2389" s="23" t="s">
        <v>26</v>
      </c>
      <c r="I2389" s="24" t="s">
        <v>27</v>
      </c>
      <c r="J2389" s="19" t="s">
        <v>328</v>
      </c>
      <c r="K2389" s="14">
        <v>21.0</v>
      </c>
      <c r="L2389" s="7"/>
      <c r="M2389" s="7"/>
      <c r="N2389" s="7"/>
      <c r="O2389" s="7"/>
      <c r="P2389" s="7"/>
      <c r="Q2389" s="7"/>
      <c r="R2389" s="7"/>
      <c r="S2389" s="7"/>
      <c r="T2389" s="7"/>
      <c r="U2389" s="7"/>
      <c r="V2389" s="7"/>
      <c r="W2389" s="7"/>
      <c r="X2389" s="7"/>
      <c r="Y2389" s="7"/>
    </row>
    <row r="2390">
      <c r="A2390" s="14" t="s">
        <v>8688</v>
      </c>
      <c r="B2390" s="17" t="s">
        <v>8685</v>
      </c>
      <c r="C2390" s="17" t="s">
        <v>8689</v>
      </c>
      <c r="D2390" s="19" t="s">
        <v>8690</v>
      </c>
      <c r="E2390" s="20" t="s">
        <v>104</v>
      </c>
      <c r="F2390" s="21">
        <v>37341.0</v>
      </c>
      <c r="G2390" s="14">
        <v>24.0</v>
      </c>
      <c r="H2390" s="23" t="s">
        <v>100</v>
      </c>
      <c r="I2390" s="24" t="s">
        <v>27</v>
      </c>
      <c r="J2390" s="19" t="s">
        <v>328</v>
      </c>
      <c r="K2390" s="14">
        <v>21.0</v>
      </c>
      <c r="L2390" s="7"/>
      <c r="M2390" s="7"/>
      <c r="N2390" s="7"/>
      <c r="O2390" s="7"/>
      <c r="P2390" s="7"/>
      <c r="Q2390" s="7"/>
      <c r="R2390" s="7"/>
      <c r="S2390" s="7"/>
      <c r="T2390" s="7"/>
      <c r="U2390" s="7"/>
      <c r="V2390" s="7"/>
      <c r="W2390" s="7"/>
      <c r="X2390" s="7"/>
      <c r="Y2390" s="7"/>
    </row>
    <row r="2391">
      <c r="A2391" s="14" t="s">
        <v>8691</v>
      </c>
      <c r="B2391" s="17" t="s">
        <v>8685</v>
      </c>
      <c r="C2391" s="17" t="s">
        <v>8692</v>
      </c>
      <c r="D2391" s="19" t="s">
        <v>6430</v>
      </c>
      <c r="E2391" s="20" t="s">
        <v>632</v>
      </c>
      <c r="F2391" s="27">
        <v>27009.0</v>
      </c>
      <c r="G2391" s="14">
        <v>52.0</v>
      </c>
      <c r="H2391" s="23" t="s">
        <v>26</v>
      </c>
      <c r="I2391" s="24" t="s">
        <v>33</v>
      </c>
      <c r="J2391" s="19" t="s">
        <v>328</v>
      </c>
      <c r="K2391" s="14">
        <v>21.0</v>
      </c>
      <c r="L2391" s="7"/>
      <c r="M2391" s="7"/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</row>
    <row r="2392">
      <c r="A2392" s="14" t="s">
        <v>8693</v>
      </c>
      <c r="B2392" s="17" t="s">
        <v>8694</v>
      </c>
      <c r="C2392" s="17" t="s">
        <v>8695</v>
      </c>
      <c r="D2392" s="19" t="s">
        <v>8696</v>
      </c>
      <c r="E2392" s="20" t="s">
        <v>53</v>
      </c>
      <c r="F2392" s="21">
        <v>33140.0</v>
      </c>
      <c r="G2392" s="14">
        <v>35.0</v>
      </c>
      <c r="H2392" s="23" t="s">
        <v>26</v>
      </c>
      <c r="I2392" s="24" t="s">
        <v>33</v>
      </c>
      <c r="J2392" s="19" t="s">
        <v>146</v>
      </c>
      <c r="K2392" s="14">
        <v>9.0</v>
      </c>
      <c r="L2392" s="7"/>
      <c r="M2392" s="7"/>
      <c r="N2392" s="7"/>
      <c r="O2392" s="7"/>
      <c r="P2392" s="7"/>
      <c r="Q2392" s="7"/>
      <c r="R2392" s="7"/>
      <c r="S2392" s="7"/>
      <c r="T2392" s="7"/>
      <c r="U2392" s="7"/>
      <c r="V2392" s="7"/>
      <c r="W2392" s="7"/>
      <c r="X2392" s="7"/>
      <c r="Y2392" s="7"/>
    </row>
    <row r="2393">
      <c r="A2393" s="14" t="s">
        <v>8697</v>
      </c>
      <c r="B2393" s="17" t="s">
        <v>8694</v>
      </c>
      <c r="C2393" s="17" t="s">
        <v>8698</v>
      </c>
      <c r="D2393" s="19" t="s">
        <v>8699</v>
      </c>
      <c r="E2393" s="20" t="s">
        <v>53</v>
      </c>
      <c r="F2393" s="27">
        <v>33602.0</v>
      </c>
      <c r="G2393" s="14">
        <v>34.0</v>
      </c>
      <c r="H2393" s="23" t="s">
        <v>26</v>
      </c>
      <c r="I2393" s="24" t="s">
        <v>27</v>
      </c>
      <c r="J2393" s="19" t="s">
        <v>146</v>
      </c>
      <c r="K2393" s="14">
        <v>9.0</v>
      </c>
      <c r="L2393" s="7"/>
      <c r="M2393" s="7"/>
      <c r="N2393" s="7"/>
      <c r="O2393" s="7"/>
      <c r="P2393" s="7"/>
      <c r="Q2393" s="7"/>
      <c r="R2393" s="7"/>
      <c r="S2393" s="7"/>
      <c r="T2393" s="7"/>
      <c r="U2393" s="7"/>
      <c r="V2393" s="7"/>
      <c r="W2393" s="7"/>
      <c r="X2393" s="7"/>
      <c r="Y2393" s="7"/>
    </row>
    <row r="2394">
      <c r="A2394" s="14" t="s">
        <v>8700</v>
      </c>
      <c r="B2394" s="17" t="s">
        <v>8701</v>
      </c>
      <c r="C2394" s="17" t="s">
        <v>8702</v>
      </c>
      <c r="D2394" s="19" t="s">
        <v>8703</v>
      </c>
      <c r="E2394" s="20" t="s">
        <v>150</v>
      </c>
      <c r="F2394" s="21">
        <v>36385.0</v>
      </c>
      <c r="G2394" s="14">
        <v>27.0</v>
      </c>
      <c r="H2394" s="23" t="s">
        <v>26</v>
      </c>
      <c r="I2394" s="24" t="s">
        <v>27</v>
      </c>
      <c r="J2394" s="19" t="s">
        <v>146</v>
      </c>
      <c r="K2394" s="14">
        <v>3.0</v>
      </c>
      <c r="L2394" s="7"/>
      <c r="M2394" s="7"/>
      <c r="N2394" s="7"/>
      <c r="O2394" s="7"/>
      <c r="P2394" s="7"/>
      <c r="Q2394" s="7"/>
      <c r="R2394" s="7"/>
      <c r="S2394" s="7"/>
      <c r="T2394" s="7"/>
      <c r="U2394" s="7"/>
      <c r="V2394" s="7"/>
      <c r="W2394" s="7"/>
      <c r="X2394" s="7"/>
      <c r="Y2394" s="7"/>
    </row>
    <row r="2395">
      <c r="A2395" s="14" t="s">
        <v>8704</v>
      </c>
      <c r="B2395" s="17" t="s">
        <v>8701</v>
      </c>
      <c r="C2395" s="17" t="s">
        <v>8705</v>
      </c>
      <c r="D2395" s="19" t="s">
        <v>416</v>
      </c>
      <c r="E2395" s="20" t="s">
        <v>295</v>
      </c>
      <c r="F2395" s="21">
        <v>33384.0</v>
      </c>
      <c r="G2395" s="14">
        <v>35.0</v>
      </c>
      <c r="H2395" s="23" t="s">
        <v>26</v>
      </c>
      <c r="I2395" s="24" t="s">
        <v>33</v>
      </c>
      <c r="J2395" s="19" t="s">
        <v>146</v>
      </c>
      <c r="K2395" s="14">
        <v>3.0</v>
      </c>
      <c r="L2395" s="7"/>
      <c r="M2395" s="7"/>
      <c r="N2395" s="7"/>
      <c r="O2395" s="7"/>
      <c r="P2395" s="7"/>
      <c r="Q2395" s="7"/>
      <c r="R2395" s="7"/>
      <c r="S2395" s="7"/>
      <c r="T2395" s="7"/>
      <c r="U2395" s="7"/>
      <c r="V2395" s="7"/>
      <c r="W2395" s="7"/>
      <c r="X2395" s="7"/>
      <c r="Y2395" s="7"/>
    </row>
    <row r="2396">
      <c r="A2396" s="14" t="s">
        <v>8706</v>
      </c>
      <c r="B2396" s="17" t="s">
        <v>8707</v>
      </c>
      <c r="C2396" s="17" t="s">
        <v>8708</v>
      </c>
      <c r="D2396" s="19" t="s">
        <v>8709</v>
      </c>
      <c r="E2396" s="20" t="s">
        <v>632</v>
      </c>
      <c r="F2396" s="21">
        <v>26886.0</v>
      </c>
      <c r="G2396" s="14">
        <v>53.0</v>
      </c>
      <c r="H2396" s="23" t="s">
        <v>27</v>
      </c>
      <c r="I2396" s="24" t="s">
        <v>27</v>
      </c>
      <c r="J2396" s="19" t="s">
        <v>53</v>
      </c>
      <c r="K2396" s="14">
        <v>27.0</v>
      </c>
      <c r="L2396" s="7"/>
      <c r="M2396" s="7"/>
      <c r="N2396" s="7"/>
      <c r="O2396" s="7"/>
      <c r="P2396" s="7"/>
      <c r="Q2396" s="7"/>
      <c r="R2396" s="7"/>
      <c r="S2396" s="7"/>
      <c r="T2396" s="7"/>
      <c r="U2396" s="7"/>
      <c r="V2396" s="7"/>
      <c r="W2396" s="7"/>
      <c r="X2396" s="7"/>
      <c r="Y2396" s="7"/>
    </row>
    <row r="2397">
      <c r="A2397" s="14" t="s">
        <v>8710</v>
      </c>
      <c r="B2397" s="17" t="s">
        <v>8707</v>
      </c>
      <c r="C2397" s="17" t="s">
        <v>8711</v>
      </c>
      <c r="D2397" s="19" t="s">
        <v>8712</v>
      </c>
      <c r="E2397" s="20" t="s">
        <v>4923</v>
      </c>
      <c r="F2397" s="21">
        <v>36307.0</v>
      </c>
      <c r="G2397" s="14">
        <v>27.0</v>
      </c>
      <c r="H2397" s="23" t="s">
        <v>100</v>
      </c>
      <c r="I2397" s="24" t="s">
        <v>33</v>
      </c>
      <c r="J2397" s="19" t="s">
        <v>53</v>
      </c>
      <c r="K2397" s="14">
        <v>27.0</v>
      </c>
      <c r="L2397" s="7"/>
      <c r="M2397" s="7"/>
      <c r="N2397" s="7"/>
      <c r="O2397" s="7"/>
      <c r="P2397" s="7"/>
      <c r="Q2397" s="7"/>
      <c r="R2397" s="7"/>
      <c r="S2397" s="7"/>
      <c r="T2397" s="7"/>
      <c r="U2397" s="7"/>
      <c r="V2397" s="7"/>
      <c r="W2397" s="7"/>
      <c r="X2397" s="7"/>
      <c r="Y2397" s="7"/>
    </row>
    <row r="2398">
      <c r="A2398" s="14" t="s">
        <v>8713</v>
      </c>
      <c r="B2398" s="17" t="s">
        <v>8714</v>
      </c>
      <c r="C2398" s="17" t="s">
        <v>8715</v>
      </c>
      <c r="D2398" s="19" t="s">
        <v>8716</v>
      </c>
      <c r="E2398" s="20" t="s">
        <v>104</v>
      </c>
      <c r="F2398" s="27">
        <v>32497.0</v>
      </c>
      <c r="G2398" s="14">
        <v>37.0</v>
      </c>
      <c r="H2398" s="23" t="s">
        <v>27</v>
      </c>
      <c r="I2398" s="24" t="s">
        <v>33</v>
      </c>
      <c r="J2398" s="19" t="s">
        <v>68</v>
      </c>
      <c r="K2398" s="14">
        <v>34.0</v>
      </c>
      <c r="L2398" s="7"/>
      <c r="M2398" s="7"/>
      <c r="N2398" s="7"/>
      <c r="O2398" s="7"/>
      <c r="P2398" s="7"/>
      <c r="Q2398" s="7"/>
      <c r="R2398" s="7"/>
      <c r="S2398" s="7"/>
      <c r="T2398" s="7"/>
      <c r="U2398" s="7"/>
      <c r="V2398" s="7"/>
      <c r="W2398" s="7"/>
      <c r="X2398" s="7"/>
      <c r="Y2398" s="7"/>
    </row>
    <row r="2399">
      <c r="A2399" s="14" t="s">
        <v>8717</v>
      </c>
      <c r="B2399" s="17" t="s">
        <v>8718</v>
      </c>
      <c r="C2399" s="17" t="s">
        <v>8719</v>
      </c>
      <c r="D2399" s="19" t="s">
        <v>8720</v>
      </c>
      <c r="E2399" s="20" t="s">
        <v>8721</v>
      </c>
      <c r="F2399" s="21">
        <v>34931.0</v>
      </c>
      <c r="G2399" s="14">
        <v>31.0</v>
      </c>
      <c r="H2399" s="23" t="s">
        <v>26</v>
      </c>
      <c r="I2399" s="24" t="s">
        <v>27</v>
      </c>
      <c r="J2399" s="19" t="s">
        <v>146</v>
      </c>
      <c r="K2399" s="14">
        <v>4.0</v>
      </c>
      <c r="L2399" s="7"/>
      <c r="M2399" s="7"/>
      <c r="N2399" s="7"/>
      <c r="O2399" s="7"/>
      <c r="P2399" s="7"/>
      <c r="Q2399" s="7"/>
      <c r="R2399" s="7"/>
      <c r="S2399" s="7"/>
      <c r="T2399" s="7"/>
      <c r="U2399" s="7"/>
      <c r="V2399" s="7"/>
      <c r="W2399" s="7"/>
      <c r="X2399" s="7"/>
      <c r="Y2399" s="7"/>
    </row>
    <row r="2400">
      <c r="A2400" s="14" t="s">
        <v>8722</v>
      </c>
      <c r="B2400" s="17" t="s">
        <v>8718</v>
      </c>
      <c r="C2400" s="17" t="s">
        <v>8723</v>
      </c>
      <c r="D2400" s="19" t="s">
        <v>8724</v>
      </c>
      <c r="E2400" s="20" t="s">
        <v>53</v>
      </c>
      <c r="F2400" s="21">
        <v>33732.0</v>
      </c>
      <c r="G2400" s="14">
        <v>34.0</v>
      </c>
      <c r="H2400" s="23" t="s">
        <v>26</v>
      </c>
      <c r="I2400" s="24" t="s">
        <v>33</v>
      </c>
      <c r="J2400" s="19" t="s">
        <v>146</v>
      </c>
      <c r="K2400" s="14">
        <v>4.0</v>
      </c>
      <c r="L2400" s="7"/>
      <c r="M2400" s="7"/>
      <c r="N2400" s="7"/>
      <c r="O2400" s="7"/>
      <c r="P2400" s="7"/>
      <c r="Q2400" s="7"/>
      <c r="R2400" s="7"/>
      <c r="S2400" s="7"/>
      <c r="T2400" s="7"/>
      <c r="U2400" s="7"/>
      <c r="V2400" s="7"/>
      <c r="W2400" s="7"/>
      <c r="X2400" s="7"/>
      <c r="Y2400" s="7"/>
    </row>
    <row r="2401">
      <c r="A2401" s="14" t="s">
        <v>8725</v>
      </c>
      <c r="B2401" s="17" t="s">
        <v>8726</v>
      </c>
      <c r="C2401" s="17" t="s">
        <v>8727</v>
      </c>
      <c r="D2401" s="19" t="s">
        <v>8728</v>
      </c>
      <c r="E2401" s="20" t="s">
        <v>53</v>
      </c>
      <c r="F2401" s="21">
        <v>32902.0</v>
      </c>
      <c r="G2401" s="14">
        <v>36.0</v>
      </c>
      <c r="H2401" s="23" t="s">
        <v>26</v>
      </c>
      <c r="I2401" s="24" t="s">
        <v>33</v>
      </c>
      <c r="J2401" s="19" t="s">
        <v>8729</v>
      </c>
      <c r="K2401" s="14">
        <v>9.0</v>
      </c>
      <c r="L2401" s="7"/>
      <c r="M2401" s="7"/>
      <c r="N2401" s="7"/>
      <c r="O2401" s="7"/>
      <c r="P2401" s="7"/>
      <c r="Q2401" s="7"/>
      <c r="R2401" s="7"/>
      <c r="S2401" s="7"/>
      <c r="T2401" s="7"/>
      <c r="U2401" s="7"/>
      <c r="V2401" s="7"/>
      <c r="W2401" s="7"/>
      <c r="X2401" s="7"/>
      <c r="Y2401" s="7"/>
    </row>
    <row r="2402">
      <c r="A2402" s="14" t="s">
        <v>8730</v>
      </c>
      <c r="B2402" s="17" t="s">
        <v>8726</v>
      </c>
      <c r="C2402" s="17" t="s">
        <v>8731</v>
      </c>
      <c r="D2402" s="19" t="s">
        <v>8732</v>
      </c>
      <c r="E2402" s="20" t="s">
        <v>53</v>
      </c>
      <c r="F2402" s="21">
        <v>33271.0</v>
      </c>
      <c r="G2402" s="14">
        <v>35.0</v>
      </c>
      <c r="H2402" s="23" t="s">
        <v>26</v>
      </c>
      <c r="I2402" s="24" t="s">
        <v>27</v>
      </c>
      <c r="J2402" s="19" t="s">
        <v>8729</v>
      </c>
      <c r="K2402" s="14">
        <v>9.0</v>
      </c>
      <c r="L2402" s="7"/>
      <c r="M2402" s="7"/>
      <c r="N2402" s="7"/>
      <c r="O2402" s="7"/>
      <c r="P2402" s="7"/>
      <c r="Q2402" s="7"/>
      <c r="R2402" s="7"/>
      <c r="S2402" s="7"/>
      <c r="T2402" s="7"/>
      <c r="U2402" s="7"/>
      <c r="V2402" s="7"/>
      <c r="W2402" s="7"/>
      <c r="X2402" s="7"/>
      <c r="Y2402" s="7"/>
    </row>
    <row r="2403">
      <c r="A2403" s="14" t="s">
        <v>8733</v>
      </c>
      <c r="B2403" s="17" t="s">
        <v>8734</v>
      </c>
      <c r="C2403" s="17" t="s">
        <v>8735</v>
      </c>
      <c r="D2403" s="19" t="s">
        <v>8736</v>
      </c>
      <c r="E2403" s="20" t="s">
        <v>536</v>
      </c>
      <c r="F2403" s="21">
        <v>37363.0</v>
      </c>
      <c r="G2403" s="14">
        <v>24.0</v>
      </c>
      <c r="H2403" s="23" t="s">
        <v>26</v>
      </c>
      <c r="I2403" s="24" t="s">
        <v>27</v>
      </c>
      <c r="J2403" s="19" t="s">
        <v>58</v>
      </c>
      <c r="K2403" s="14">
        <v>9.0</v>
      </c>
      <c r="L2403" s="7"/>
      <c r="M2403" s="7"/>
      <c r="N2403" s="7"/>
      <c r="O2403" s="7"/>
      <c r="P2403" s="7"/>
      <c r="Q2403" s="7"/>
      <c r="R2403" s="7"/>
      <c r="S2403" s="7"/>
      <c r="T2403" s="7"/>
      <c r="U2403" s="7"/>
      <c r="V2403" s="7"/>
      <c r="W2403" s="7"/>
      <c r="X2403" s="7"/>
      <c r="Y2403" s="7"/>
    </row>
    <row r="2404">
      <c r="A2404" s="14" t="s">
        <v>8737</v>
      </c>
      <c r="B2404" s="17" t="s">
        <v>8738</v>
      </c>
      <c r="C2404" s="17" t="s">
        <v>8739</v>
      </c>
      <c r="D2404" s="19" t="s">
        <v>8740</v>
      </c>
      <c r="E2404" s="20" t="s">
        <v>104</v>
      </c>
      <c r="F2404" s="27">
        <v>38277.0</v>
      </c>
      <c r="G2404" s="14">
        <v>21.0</v>
      </c>
      <c r="H2404" s="23" t="s">
        <v>100</v>
      </c>
      <c r="I2404" s="24" t="s">
        <v>33</v>
      </c>
      <c r="J2404" s="19" t="s">
        <v>6555</v>
      </c>
      <c r="K2404" s="14">
        <v>7.0</v>
      </c>
      <c r="L2404" s="7"/>
      <c r="M2404" s="7"/>
      <c r="N2404" s="7"/>
      <c r="O2404" s="7"/>
      <c r="P2404" s="7"/>
      <c r="Q2404" s="7"/>
      <c r="R2404" s="7"/>
      <c r="S2404" s="7"/>
      <c r="T2404" s="7"/>
      <c r="U2404" s="7"/>
      <c r="V2404" s="7"/>
      <c r="W2404" s="7"/>
      <c r="X2404" s="7"/>
      <c r="Y2404" s="7"/>
    </row>
    <row r="2405">
      <c r="A2405" s="14" t="s">
        <v>8741</v>
      </c>
      <c r="B2405" s="17" t="s">
        <v>8738</v>
      </c>
      <c r="C2405" s="17" t="s">
        <v>8742</v>
      </c>
      <c r="D2405" s="19" t="s">
        <v>8743</v>
      </c>
      <c r="E2405" s="20" t="s">
        <v>104</v>
      </c>
      <c r="F2405" s="27">
        <v>30668.0</v>
      </c>
      <c r="G2405" s="14">
        <v>42.0</v>
      </c>
      <c r="H2405" s="23" t="s">
        <v>26</v>
      </c>
      <c r="I2405" s="24" t="s">
        <v>27</v>
      </c>
      <c r="J2405" s="19" t="s">
        <v>6555</v>
      </c>
      <c r="K2405" s="14">
        <v>7.0</v>
      </c>
      <c r="L2405" s="7"/>
      <c r="M2405" s="7"/>
      <c r="N2405" s="7"/>
      <c r="O2405" s="7"/>
      <c r="P2405" s="7"/>
      <c r="Q2405" s="7"/>
      <c r="R2405" s="7"/>
      <c r="S2405" s="7"/>
      <c r="T2405" s="7"/>
      <c r="U2405" s="7"/>
      <c r="V2405" s="7"/>
      <c r="W2405" s="7"/>
      <c r="X2405" s="7"/>
      <c r="Y2405" s="7"/>
    </row>
    <row r="2406">
      <c r="A2406" s="14" t="s">
        <v>8744</v>
      </c>
      <c r="B2406" s="17" t="s">
        <v>8738</v>
      </c>
      <c r="C2406" s="17" t="s">
        <v>8745</v>
      </c>
      <c r="D2406" s="19" t="s">
        <v>6839</v>
      </c>
      <c r="E2406" s="20" t="s">
        <v>104</v>
      </c>
      <c r="F2406" s="21">
        <v>28373.0</v>
      </c>
      <c r="G2406" s="14">
        <v>48.0</v>
      </c>
      <c r="H2406" s="23" t="s">
        <v>26</v>
      </c>
      <c r="I2406" s="24" t="s">
        <v>33</v>
      </c>
      <c r="J2406" s="19" t="s">
        <v>6555</v>
      </c>
      <c r="K2406" s="14">
        <v>7.0</v>
      </c>
      <c r="L2406" s="7"/>
      <c r="M2406" s="7"/>
      <c r="N2406" s="7"/>
      <c r="O2406" s="7"/>
      <c r="P2406" s="7"/>
      <c r="Q2406" s="7"/>
      <c r="R2406" s="7"/>
      <c r="S2406" s="7"/>
      <c r="T2406" s="7"/>
      <c r="U2406" s="7"/>
      <c r="V2406" s="7"/>
      <c r="W2406" s="7"/>
      <c r="X2406" s="7"/>
      <c r="Y2406" s="7"/>
    </row>
    <row r="2407">
      <c r="A2407" s="14" t="s">
        <v>8746</v>
      </c>
      <c r="B2407" s="17" t="s">
        <v>8747</v>
      </c>
      <c r="C2407" s="17" t="s">
        <v>8748</v>
      </c>
      <c r="D2407" s="19" t="s">
        <v>8749</v>
      </c>
      <c r="E2407" s="20" t="s">
        <v>104</v>
      </c>
      <c r="F2407" s="21">
        <v>38027.0</v>
      </c>
      <c r="G2407" s="14">
        <v>22.0</v>
      </c>
      <c r="H2407" s="23" t="s">
        <v>100</v>
      </c>
      <c r="I2407" s="24" t="s">
        <v>33</v>
      </c>
      <c r="J2407" s="19" t="s">
        <v>2336</v>
      </c>
      <c r="K2407" s="14">
        <v>21.0</v>
      </c>
      <c r="L2407" s="7"/>
      <c r="M2407" s="7"/>
      <c r="N2407" s="7"/>
      <c r="O2407" s="7"/>
      <c r="P2407" s="7"/>
      <c r="Q2407" s="7"/>
      <c r="R2407" s="7"/>
      <c r="S2407" s="7"/>
      <c r="T2407" s="7"/>
      <c r="U2407" s="7"/>
      <c r="V2407" s="7"/>
      <c r="W2407" s="7"/>
      <c r="X2407" s="7"/>
      <c r="Y2407" s="7"/>
    </row>
    <row r="2408">
      <c r="A2408" s="14" t="s">
        <v>8750</v>
      </c>
      <c r="B2408" s="17" t="s">
        <v>8747</v>
      </c>
      <c r="C2408" s="17" t="s">
        <v>8751</v>
      </c>
      <c r="D2408" s="19" t="s">
        <v>8752</v>
      </c>
      <c r="E2408" s="20" t="s">
        <v>138</v>
      </c>
      <c r="F2408" s="21">
        <v>38848.0</v>
      </c>
      <c r="G2408" s="14">
        <v>20.0</v>
      </c>
      <c r="H2408" s="23" t="s">
        <v>100</v>
      </c>
      <c r="I2408" s="24" t="s">
        <v>27</v>
      </c>
      <c r="J2408" s="19" t="s">
        <v>328</v>
      </c>
      <c r="K2408" s="14">
        <v>21.0</v>
      </c>
      <c r="L2408" s="7"/>
      <c r="M2408" s="7"/>
      <c r="N2408" s="7"/>
      <c r="O2408" s="7"/>
      <c r="P2408" s="7"/>
      <c r="Q2408" s="7"/>
      <c r="R2408" s="7"/>
      <c r="S2408" s="7"/>
      <c r="T2408" s="7"/>
      <c r="U2408" s="7"/>
      <c r="V2408" s="7"/>
      <c r="W2408" s="7"/>
      <c r="X2408" s="7"/>
      <c r="Y2408" s="7"/>
    </row>
    <row r="2409">
      <c r="A2409" s="14" t="s">
        <v>8753</v>
      </c>
      <c r="B2409" s="17" t="s">
        <v>8747</v>
      </c>
      <c r="C2409" s="17" t="s">
        <v>8754</v>
      </c>
      <c r="D2409" s="19" t="s">
        <v>554</v>
      </c>
      <c r="E2409" s="20" t="s">
        <v>650</v>
      </c>
      <c r="F2409" s="21">
        <v>23924.0</v>
      </c>
      <c r="G2409" s="14">
        <v>61.0</v>
      </c>
      <c r="H2409" s="23" t="s">
        <v>26</v>
      </c>
      <c r="I2409" s="24" t="s">
        <v>27</v>
      </c>
      <c r="J2409" s="19" t="s">
        <v>2336</v>
      </c>
      <c r="K2409" s="14">
        <v>21.0</v>
      </c>
      <c r="L2409" s="7"/>
      <c r="M2409" s="7"/>
      <c r="N2409" s="7"/>
      <c r="O2409" s="7"/>
      <c r="P2409" s="7"/>
      <c r="Q2409" s="7"/>
      <c r="R2409" s="7"/>
      <c r="S2409" s="7"/>
      <c r="T2409" s="7"/>
      <c r="U2409" s="7"/>
      <c r="V2409" s="7"/>
      <c r="W2409" s="7"/>
      <c r="X2409" s="7"/>
      <c r="Y2409" s="7"/>
    </row>
    <row r="2410">
      <c r="A2410" s="14" t="s">
        <v>8755</v>
      </c>
      <c r="B2410" s="17" t="s">
        <v>8747</v>
      </c>
      <c r="C2410" s="17" t="s">
        <v>8756</v>
      </c>
      <c r="D2410" s="19" t="s">
        <v>8757</v>
      </c>
      <c r="E2410" s="20" t="s">
        <v>632</v>
      </c>
      <c r="F2410" s="27">
        <v>20022.0</v>
      </c>
      <c r="G2410" s="14">
        <v>71.0</v>
      </c>
      <c r="H2410" s="23" t="s">
        <v>26</v>
      </c>
      <c r="I2410" s="24" t="s">
        <v>33</v>
      </c>
      <c r="J2410" s="19" t="s">
        <v>2336</v>
      </c>
      <c r="K2410" s="14">
        <v>21.0</v>
      </c>
      <c r="L2410" s="7"/>
      <c r="M2410" s="7"/>
      <c r="N2410" s="7"/>
      <c r="O2410" s="7"/>
      <c r="P2410" s="7"/>
      <c r="Q2410" s="7"/>
      <c r="R2410" s="7"/>
      <c r="S2410" s="7"/>
      <c r="T2410" s="7"/>
      <c r="U2410" s="7"/>
      <c r="V2410" s="7"/>
      <c r="W2410" s="7"/>
      <c r="X2410" s="7"/>
      <c r="Y2410" s="7"/>
    </row>
    <row r="2411">
      <c r="A2411" s="14" t="s">
        <v>8758</v>
      </c>
      <c r="B2411" s="17" t="s">
        <v>8759</v>
      </c>
      <c r="C2411" s="17" t="s">
        <v>8760</v>
      </c>
      <c r="D2411" s="19" t="s">
        <v>8761</v>
      </c>
      <c r="E2411" s="20" t="s">
        <v>53</v>
      </c>
      <c r="F2411" s="21">
        <v>31324.0</v>
      </c>
      <c r="G2411" s="14">
        <v>40.0</v>
      </c>
      <c r="H2411" s="23" t="s">
        <v>26</v>
      </c>
      <c r="I2411" s="24" t="s">
        <v>27</v>
      </c>
      <c r="J2411" s="19" t="s">
        <v>2336</v>
      </c>
      <c r="K2411" s="14">
        <v>21.0</v>
      </c>
      <c r="L2411" s="7"/>
      <c r="M2411" s="7"/>
      <c r="N2411" s="7"/>
      <c r="O2411" s="7"/>
      <c r="P2411" s="7"/>
      <c r="Q2411" s="7"/>
      <c r="R2411" s="7"/>
      <c r="S2411" s="7"/>
      <c r="T2411" s="7"/>
      <c r="U2411" s="7"/>
      <c r="V2411" s="7"/>
      <c r="W2411" s="7"/>
      <c r="X2411" s="7"/>
      <c r="Y2411" s="7"/>
    </row>
    <row r="2412">
      <c r="A2412" s="14" t="s">
        <v>8762</v>
      </c>
      <c r="B2412" s="17" t="s">
        <v>8759</v>
      </c>
      <c r="C2412" s="17" t="s">
        <v>8763</v>
      </c>
      <c r="D2412" s="19" t="s">
        <v>8764</v>
      </c>
      <c r="E2412" s="20" t="s">
        <v>104</v>
      </c>
      <c r="F2412" s="21">
        <v>38776.0</v>
      </c>
      <c r="G2412" s="14">
        <v>20.0</v>
      </c>
      <c r="H2412" s="23" t="s">
        <v>100</v>
      </c>
      <c r="I2412" s="24" t="s">
        <v>33</v>
      </c>
      <c r="J2412" s="19" t="s">
        <v>2336</v>
      </c>
      <c r="K2412" s="14">
        <v>21.0</v>
      </c>
      <c r="L2412" s="7"/>
      <c r="M2412" s="7"/>
      <c r="N2412" s="7"/>
      <c r="O2412" s="7"/>
      <c r="P2412" s="7"/>
      <c r="Q2412" s="7"/>
      <c r="R2412" s="7"/>
      <c r="S2412" s="7"/>
      <c r="T2412" s="7"/>
      <c r="U2412" s="7"/>
      <c r="V2412" s="7"/>
      <c r="W2412" s="7"/>
      <c r="X2412" s="7"/>
      <c r="Y2412" s="7"/>
    </row>
    <row r="2413">
      <c r="A2413" s="14" t="s">
        <v>8765</v>
      </c>
      <c r="B2413" s="17" t="s">
        <v>8759</v>
      </c>
      <c r="C2413" s="17" t="s">
        <v>8766</v>
      </c>
      <c r="D2413" s="19" t="s">
        <v>8767</v>
      </c>
      <c r="E2413" s="20" t="s">
        <v>1786</v>
      </c>
      <c r="F2413" s="21">
        <v>28904.0</v>
      </c>
      <c r="G2413" s="14">
        <v>47.0</v>
      </c>
      <c r="H2413" s="23" t="s">
        <v>26</v>
      </c>
      <c r="I2413" s="24" t="s">
        <v>33</v>
      </c>
      <c r="J2413" s="19" t="s">
        <v>2336</v>
      </c>
      <c r="K2413" s="14">
        <v>21.0</v>
      </c>
      <c r="L2413" s="7"/>
      <c r="M2413" s="7"/>
      <c r="N2413" s="7"/>
      <c r="O2413" s="7"/>
      <c r="P2413" s="7"/>
      <c r="Q2413" s="7"/>
      <c r="R2413" s="7"/>
      <c r="S2413" s="7"/>
      <c r="T2413" s="7"/>
      <c r="U2413" s="7"/>
      <c r="V2413" s="7"/>
      <c r="W2413" s="7"/>
      <c r="X2413" s="7"/>
      <c r="Y2413" s="7"/>
    </row>
    <row r="2414">
      <c r="A2414" s="14" t="s">
        <v>8768</v>
      </c>
      <c r="B2414" s="17" t="s">
        <v>8769</v>
      </c>
      <c r="C2414" s="17" t="s">
        <v>8770</v>
      </c>
      <c r="D2414" s="19" t="s">
        <v>8771</v>
      </c>
      <c r="E2414" s="20" t="s">
        <v>53</v>
      </c>
      <c r="F2414" s="21">
        <v>29455.0</v>
      </c>
      <c r="G2414" s="14">
        <v>46.0</v>
      </c>
      <c r="H2414" s="23" t="s">
        <v>27</v>
      </c>
      <c r="I2414" s="24" t="s">
        <v>33</v>
      </c>
      <c r="J2414" s="19" t="s">
        <v>53</v>
      </c>
      <c r="K2414" s="14">
        <v>5.0</v>
      </c>
      <c r="L2414" s="7"/>
      <c r="M2414" s="7"/>
      <c r="N2414" s="7"/>
      <c r="O2414" s="7"/>
      <c r="P2414" s="7"/>
      <c r="Q2414" s="7"/>
      <c r="R2414" s="7"/>
      <c r="S2414" s="7"/>
      <c r="T2414" s="7"/>
      <c r="U2414" s="7"/>
      <c r="V2414" s="7"/>
      <c r="W2414" s="7"/>
      <c r="X2414" s="7"/>
      <c r="Y2414" s="7"/>
    </row>
    <row r="2415">
      <c r="A2415" s="14" t="s">
        <v>8772</v>
      </c>
      <c r="B2415" s="17" t="s">
        <v>8773</v>
      </c>
      <c r="C2415" s="17" t="s">
        <v>8774</v>
      </c>
      <c r="D2415" s="19" t="s">
        <v>2809</v>
      </c>
      <c r="E2415" s="20" t="s">
        <v>104</v>
      </c>
      <c r="F2415" s="21">
        <v>33339.0</v>
      </c>
      <c r="G2415" s="14">
        <v>35.0</v>
      </c>
      <c r="H2415" s="23" t="s">
        <v>26</v>
      </c>
      <c r="I2415" s="24" t="s">
        <v>33</v>
      </c>
      <c r="J2415" s="19" t="s">
        <v>362</v>
      </c>
      <c r="K2415" s="14">
        <v>25.0</v>
      </c>
      <c r="L2415" s="7"/>
      <c r="M2415" s="7"/>
      <c r="N2415" s="7"/>
      <c r="O2415" s="7"/>
      <c r="P2415" s="7"/>
      <c r="Q2415" s="7"/>
      <c r="R2415" s="7"/>
      <c r="S2415" s="7"/>
      <c r="T2415" s="7"/>
      <c r="U2415" s="7"/>
      <c r="V2415" s="7"/>
      <c r="W2415" s="7"/>
      <c r="X2415" s="7"/>
      <c r="Y2415" s="7"/>
    </row>
    <row r="2416">
      <c r="A2416" s="14" t="s">
        <v>8776</v>
      </c>
      <c r="B2416" s="17" t="s">
        <v>8773</v>
      </c>
      <c r="C2416" s="17" t="s">
        <v>8777</v>
      </c>
      <c r="D2416" s="19" t="s">
        <v>8778</v>
      </c>
      <c r="E2416" s="20" t="s">
        <v>4662</v>
      </c>
      <c r="F2416" s="21">
        <v>36428.0</v>
      </c>
      <c r="G2416" s="14">
        <v>26.0</v>
      </c>
      <c r="H2416" s="23" t="s">
        <v>26</v>
      </c>
      <c r="I2416" s="24" t="s">
        <v>27</v>
      </c>
      <c r="J2416" s="19" t="s">
        <v>362</v>
      </c>
      <c r="K2416" s="14">
        <v>25.0</v>
      </c>
      <c r="L2416" s="7"/>
      <c r="M2416" s="7"/>
      <c r="N2416" s="7"/>
      <c r="O2416" s="7"/>
      <c r="P2416" s="7"/>
      <c r="Q2416" s="7"/>
      <c r="R2416" s="7"/>
      <c r="S2416" s="7"/>
      <c r="T2416" s="7"/>
      <c r="U2416" s="7"/>
      <c r="V2416" s="7"/>
      <c r="W2416" s="7"/>
      <c r="X2416" s="7"/>
      <c r="Y2416" s="7"/>
    </row>
    <row r="2417">
      <c r="A2417" s="14" t="s">
        <v>8779</v>
      </c>
      <c r="B2417" s="17" t="s">
        <v>8780</v>
      </c>
      <c r="C2417" s="17" t="s">
        <v>8781</v>
      </c>
      <c r="D2417" s="19" t="s">
        <v>8782</v>
      </c>
      <c r="E2417" s="20" t="s">
        <v>654</v>
      </c>
      <c r="F2417" s="21">
        <v>23908.0</v>
      </c>
      <c r="G2417" s="14">
        <v>61.0</v>
      </c>
      <c r="H2417" s="23" t="s">
        <v>26</v>
      </c>
      <c r="I2417" s="24" t="s">
        <v>33</v>
      </c>
      <c r="J2417" s="19" t="s">
        <v>68</v>
      </c>
      <c r="K2417" s="14">
        <v>30.0</v>
      </c>
      <c r="L2417" s="7"/>
      <c r="M2417" s="7"/>
      <c r="N2417" s="7"/>
      <c r="O2417" s="7"/>
      <c r="P2417" s="7"/>
      <c r="Q2417" s="7"/>
      <c r="R2417" s="7"/>
      <c r="S2417" s="7"/>
      <c r="T2417" s="7"/>
      <c r="U2417" s="7"/>
      <c r="V2417" s="7"/>
      <c r="W2417" s="7"/>
      <c r="X2417" s="7"/>
      <c r="Y2417" s="7"/>
    </row>
    <row r="2418">
      <c r="A2418" s="14" t="s">
        <v>8783</v>
      </c>
      <c r="B2418" s="17" t="s">
        <v>8780</v>
      </c>
      <c r="C2418" s="17" t="s">
        <v>8784</v>
      </c>
      <c r="D2418" s="19" t="s">
        <v>3375</v>
      </c>
      <c r="E2418" s="20" t="s">
        <v>654</v>
      </c>
      <c r="F2418" s="27">
        <v>22261.0</v>
      </c>
      <c r="G2418" s="14">
        <v>65.0</v>
      </c>
      <c r="H2418" s="23" t="s">
        <v>26</v>
      </c>
      <c r="I2418" s="24" t="s">
        <v>27</v>
      </c>
      <c r="J2418" s="19" t="s">
        <v>68</v>
      </c>
      <c r="K2418" s="14">
        <v>30.0</v>
      </c>
      <c r="L2418" s="7"/>
      <c r="M2418" s="7"/>
      <c r="N2418" s="7"/>
      <c r="O2418" s="7"/>
      <c r="P2418" s="7"/>
      <c r="Q2418" s="7"/>
      <c r="R2418" s="7"/>
      <c r="S2418" s="7"/>
      <c r="T2418" s="7"/>
      <c r="U2418" s="7"/>
      <c r="V2418" s="7"/>
      <c r="W2418" s="7"/>
      <c r="X2418" s="7"/>
      <c r="Y2418" s="7"/>
    </row>
    <row r="2419">
      <c r="A2419" s="14" t="s">
        <v>8785</v>
      </c>
      <c r="B2419" s="17" t="s">
        <v>8786</v>
      </c>
      <c r="C2419" s="17" t="s">
        <v>8787</v>
      </c>
      <c r="D2419" s="19" t="s">
        <v>4284</v>
      </c>
      <c r="E2419" s="20" t="s">
        <v>319</v>
      </c>
      <c r="F2419" s="21">
        <v>35618.0</v>
      </c>
      <c r="G2419" s="14">
        <v>29.0</v>
      </c>
      <c r="H2419" s="23" t="s">
        <v>100</v>
      </c>
      <c r="I2419" s="24" t="s">
        <v>33</v>
      </c>
      <c r="J2419" s="19" t="s">
        <v>328</v>
      </c>
      <c r="K2419" s="14">
        <v>25.0</v>
      </c>
      <c r="L2419" s="7"/>
      <c r="M2419" s="7"/>
      <c r="N2419" s="7"/>
      <c r="O2419" s="7"/>
      <c r="P2419" s="7"/>
      <c r="Q2419" s="7"/>
      <c r="R2419" s="7"/>
      <c r="S2419" s="7"/>
      <c r="T2419" s="7"/>
      <c r="U2419" s="7"/>
      <c r="V2419" s="7"/>
      <c r="W2419" s="7"/>
      <c r="X2419" s="7"/>
      <c r="Y2419" s="7"/>
    </row>
    <row r="2420">
      <c r="A2420" s="14" t="s">
        <v>8788</v>
      </c>
      <c r="B2420" s="17" t="s">
        <v>8789</v>
      </c>
      <c r="C2420" s="17" t="s">
        <v>8791</v>
      </c>
      <c r="D2420" s="19" t="s">
        <v>8792</v>
      </c>
      <c r="E2420" s="20" t="s">
        <v>8793</v>
      </c>
      <c r="F2420" s="21">
        <v>34223.0</v>
      </c>
      <c r="G2420" s="14">
        <v>32.0</v>
      </c>
      <c r="H2420" s="23" t="s">
        <v>27</v>
      </c>
      <c r="I2420" s="24" t="s">
        <v>33</v>
      </c>
      <c r="J2420" s="19" t="s">
        <v>282</v>
      </c>
      <c r="K2420" s="14">
        <v>11.0</v>
      </c>
      <c r="L2420" s="7"/>
      <c r="M2420" s="7"/>
      <c r="N2420" s="7"/>
      <c r="O2420" s="7"/>
      <c r="P2420" s="7"/>
      <c r="Q2420" s="7"/>
      <c r="R2420" s="7"/>
      <c r="S2420" s="7"/>
      <c r="T2420" s="7"/>
      <c r="U2420" s="7"/>
      <c r="V2420" s="7"/>
      <c r="W2420" s="7"/>
      <c r="X2420" s="7"/>
      <c r="Y2420" s="7"/>
    </row>
    <row r="2421">
      <c r="A2421" s="14" t="s">
        <v>8794</v>
      </c>
      <c r="B2421" s="17" t="s">
        <v>8795</v>
      </c>
      <c r="C2421" s="17" t="s">
        <v>8796</v>
      </c>
      <c r="D2421" s="19" t="s">
        <v>1236</v>
      </c>
      <c r="E2421" s="20" t="s">
        <v>654</v>
      </c>
      <c r="F2421" s="21">
        <v>26481.0</v>
      </c>
      <c r="G2421" s="14">
        <v>54.0</v>
      </c>
      <c r="H2421" s="23" t="s">
        <v>26</v>
      </c>
      <c r="I2421" s="24" t="s">
        <v>27</v>
      </c>
      <c r="J2421" s="19" t="s">
        <v>146</v>
      </c>
      <c r="K2421" s="14">
        <v>9.0</v>
      </c>
      <c r="L2421" s="7"/>
      <c r="M2421" s="7"/>
      <c r="N2421" s="7"/>
      <c r="O2421" s="7"/>
      <c r="P2421" s="7"/>
      <c r="Q2421" s="7"/>
      <c r="R2421" s="7"/>
      <c r="S2421" s="7"/>
      <c r="T2421" s="7"/>
      <c r="U2421" s="7"/>
      <c r="V2421" s="7"/>
      <c r="W2421" s="7"/>
      <c r="X2421" s="7"/>
      <c r="Y2421" s="7"/>
    </row>
    <row r="2422">
      <c r="A2422" s="14" t="s">
        <v>8797</v>
      </c>
      <c r="B2422" s="17" t="s">
        <v>8795</v>
      </c>
      <c r="C2422" s="17" t="s">
        <v>8798</v>
      </c>
      <c r="D2422" s="19" t="s">
        <v>2615</v>
      </c>
      <c r="E2422" s="20" t="s">
        <v>880</v>
      </c>
      <c r="F2422" s="21">
        <v>22828.0</v>
      </c>
      <c r="G2422" s="14">
        <v>64.0</v>
      </c>
      <c r="H2422" s="23" t="s">
        <v>26</v>
      </c>
      <c r="I2422" s="24" t="s">
        <v>33</v>
      </c>
      <c r="J2422" s="19" t="s">
        <v>146</v>
      </c>
      <c r="K2422" s="14">
        <v>9.0</v>
      </c>
      <c r="L2422" s="7"/>
      <c r="M2422" s="7"/>
      <c r="N2422" s="7"/>
      <c r="O2422" s="7"/>
      <c r="P2422" s="7"/>
      <c r="Q2422" s="7"/>
      <c r="R2422" s="7"/>
      <c r="S2422" s="7"/>
      <c r="T2422" s="7"/>
      <c r="U2422" s="7"/>
      <c r="V2422" s="7"/>
      <c r="W2422" s="7"/>
      <c r="X2422" s="7"/>
      <c r="Y2422" s="7"/>
    </row>
    <row r="2423">
      <c r="A2423" s="14" t="s">
        <v>8799</v>
      </c>
      <c r="B2423" s="17" t="s">
        <v>8800</v>
      </c>
      <c r="C2423" s="17" t="s">
        <v>8801</v>
      </c>
      <c r="D2423" s="19" t="s">
        <v>8802</v>
      </c>
      <c r="E2423" s="20" t="s">
        <v>53</v>
      </c>
      <c r="F2423" s="27">
        <v>38653.0</v>
      </c>
      <c r="G2423" s="14">
        <v>20.0</v>
      </c>
      <c r="H2423" s="23" t="s">
        <v>100</v>
      </c>
      <c r="I2423" s="24" t="s">
        <v>33</v>
      </c>
      <c r="J2423" s="19" t="s">
        <v>156</v>
      </c>
      <c r="K2423" s="14">
        <v>33.0</v>
      </c>
      <c r="L2423" s="7"/>
      <c r="M2423" s="7"/>
      <c r="N2423" s="7"/>
      <c r="O2423" s="7"/>
      <c r="P2423" s="7"/>
      <c r="Q2423" s="7"/>
      <c r="R2423" s="7"/>
      <c r="S2423" s="7"/>
      <c r="T2423" s="7"/>
      <c r="U2423" s="7"/>
      <c r="V2423" s="7"/>
      <c r="W2423" s="7"/>
      <c r="X2423" s="7"/>
      <c r="Y2423" s="7"/>
    </row>
    <row r="2424">
      <c r="A2424" s="14" t="s">
        <v>8803</v>
      </c>
      <c r="B2424" s="17" t="s">
        <v>8800</v>
      </c>
      <c r="C2424" s="17" t="s">
        <v>8804</v>
      </c>
      <c r="D2424" s="19" t="s">
        <v>8805</v>
      </c>
      <c r="E2424" s="20" t="s">
        <v>3003</v>
      </c>
      <c r="F2424" s="21">
        <v>29053.0</v>
      </c>
      <c r="G2424" s="14">
        <v>47.0</v>
      </c>
      <c r="H2424" s="23" t="s">
        <v>26</v>
      </c>
      <c r="I2424" s="24" t="s">
        <v>27</v>
      </c>
      <c r="J2424" s="19" t="s">
        <v>156</v>
      </c>
      <c r="K2424" s="14">
        <v>33.0</v>
      </c>
      <c r="L2424" s="7"/>
      <c r="M2424" s="7"/>
      <c r="N2424" s="7"/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7"/>
    </row>
    <row r="2425">
      <c r="A2425" s="14" t="s">
        <v>8806</v>
      </c>
      <c r="B2425" s="17" t="s">
        <v>8800</v>
      </c>
      <c r="C2425" s="17" t="s">
        <v>8807</v>
      </c>
      <c r="D2425" s="19" t="s">
        <v>8808</v>
      </c>
      <c r="E2425" s="20" t="s">
        <v>8809</v>
      </c>
      <c r="F2425" s="21">
        <v>27185.0</v>
      </c>
      <c r="G2425" s="14">
        <v>52.0</v>
      </c>
      <c r="H2425" s="23" t="s">
        <v>26</v>
      </c>
      <c r="I2425" s="24" t="s">
        <v>33</v>
      </c>
      <c r="J2425" s="19" t="s">
        <v>156</v>
      </c>
      <c r="K2425" s="14">
        <v>33.0</v>
      </c>
      <c r="L2425" s="7"/>
      <c r="M2425" s="7"/>
      <c r="N2425" s="7"/>
      <c r="O2425" s="7"/>
      <c r="P2425" s="7"/>
      <c r="Q2425" s="7"/>
      <c r="R2425" s="7"/>
      <c r="S2425" s="7"/>
      <c r="T2425" s="7"/>
      <c r="U2425" s="7"/>
      <c r="V2425" s="7"/>
      <c r="W2425" s="7"/>
      <c r="X2425" s="7"/>
      <c r="Y2425" s="7"/>
    </row>
    <row r="2426">
      <c r="A2426" s="14" t="s">
        <v>8810</v>
      </c>
      <c r="B2426" s="17" t="s">
        <v>8811</v>
      </c>
      <c r="C2426" s="17" t="s">
        <v>8812</v>
      </c>
      <c r="D2426" s="19" t="s">
        <v>8813</v>
      </c>
      <c r="E2426" s="20" t="s">
        <v>1370</v>
      </c>
      <c r="F2426" s="21">
        <v>38561.0</v>
      </c>
      <c r="G2426" s="14">
        <v>21.0</v>
      </c>
      <c r="H2426" s="23" t="s">
        <v>100</v>
      </c>
      <c r="I2426" s="24" t="s">
        <v>27</v>
      </c>
      <c r="J2426" s="19" t="s">
        <v>282</v>
      </c>
      <c r="K2426" s="14">
        <v>14.0</v>
      </c>
      <c r="L2426" s="7"/>
      <c r="M2426" s="7"/>
      <c r="N2426" s="7"/>
      <c r="O2426" s="7"/>
      <c r="P2426" s="7"/>
      <c r="Q2426" s="7"/>
      <c r="R2426" s="7"/>
      <c r="S2426" s="7"/>
      <c r="T2426" s="7"/>
      <c r="U2426" s="7"/>
      <c r="V2426" s="7"/>
      <c r="W2426" s="7"/>
      <c r="X2426" s="7"/>
      <c r="Y2426" s="7"/>
    </row>
    <row r="2427">
      <c r="A2427" s="14" t="s">
        <v>8814</v>
      </c>
      <c r="B2427" s="17" t="s">
        <v>8811</v>
      </c>
      <c r="C2427" s="17" t="s">
        <v>8815</v>
      </c>
      <c r="D2427" s="19" t="s">
        <v>8816</v>
      </c>
      <c r="E2427" s="20" t="s">
        <v>1370</v>
      </c>
      <c r="F2427" s="21">
        <v>31290.0</v>
      </c>
      <c r="G2427" s="14">
        <v>41.0</v>
      </c>
      <c r="H2427" s="23" t="s">
        <v>26</v>
      </c>
      <c r="I2427" s="24" t="s">
        <v>27</v>
      </c>
      <c r="J2427" s="19" t="s">
        <v>282</v>
      </c>
      <c r="K2427" s="14">
        <v>14.0</v>
      </c>
      <c r="L2427" s="7"/>
      <c r="M2427" s="7"/>
      <c r="N2427" s="7"/>
      <c r="O2427" s="7"/>
      <c r="P2427" s="7"/>
      <c r="Q2427" s="7"/>
      <c r="R2427" s="7"/>
      <c r="S2427" s="7"/>
      <c r="T2427" s="7"/>
      <c r="U2427" s="7"/>
      <c r="V2427" s="7"/>
      <c r="W2427" s="7"/>
      <c r="X2427" s="7"/>
      <c r="Y2427" s="7"/>
    </row>
    <row r="2428">
      <c r="A2428" s="14" t="s">
        <v>8817</v>
      </c>
      <c r="B2428" s="17" t="s">
        <v>8811</v>
      </c>
      <c r="C2428" s="17" t="s">
        <v>8818</v>
      </c>
      <c r="D2428" s="19" t="s">
        <v>8819</v>
      </c>
      <c r="E2428" s="20" t="s">
        <v>1370</v>
      </c>
      <c r="F2428" s="21">
        <v>28620.0</v>
      </c>
      <c r="G2428" s="14">
        <v>48.0</v>
      </c>
      <c r="H2428" s="23" t="s">
        <v>26</v>
      </c>
      <c r="I2428" s="24" t="s">
        <v>33</v>
      </c>
      <c r="J2428" s="19" t="s">
        <v>282</v>
      </c>
      <c r="K2428" s="14">
        <v>14.0</v>
      </c>
      <c r="L2428" s="7"/>
      <c r="M2428" s="7"/>
      <c r="N2428" s="7"/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7"/>
    </row>
    <row r="2429">
      <c r="A2429" s="14" t="s">
        <v>8820</v>
      </c>
      <c r="B2429" s="17" t="s">
        <v>8821</v>
      </c>
      <c r="C2429" s="17" t="s">
        <v>8822</v>
      </c>
      <c r="D2429" s="19" t="s">
        <v>8823</v>
      </c>
      <c r="E2429" s="20" t="s">
        <v>4297</v>
      </c>
      <c r="F2429" s="21">
        <v>34358.0</v>
      </c>
      <c r="G2429" s="14">
        <v>32.0</v>
      </c>
      <c r="H2429" s="23" t="s">
        <v>26</v>
      </c>
      <c r="I2429" s="24" t="s">
        <v>33</v>
      </c>
      <c r="J2429" s="19" t="s">
        <v>58</v>
      </c>
      <c r="K2429" s="14">
        <v>9.0</v>
      </c>
      <c r="L2429" s="7"/>
      <c r="M2429" s="7"/>
      <c r="N2429" s="7"/>
      <c r="O2429" s="7"/>
      <c r="P2429" s="7"/>
      <c r="Q2429" s="7"/>
      <c r="R2429" s="7"/>
      <c r="S2429" s="7"/>
      <c r="T2429" s="7"/>
      <c r="U2429" s="7"/>
      <c r="V2429" s="7"/>
      <c r="W2429" s="7"/>
      <c r="X2429" s="7"/>
      <c r="Y2429" s="7"/>
    </row>
    <row r="2430">
      <c r="A2430" s="14" t="s">
        <v>8824</v>
      </c>
      <c r="B2430" s="17" t="s">
        <v>8821</v>
      </c>
      <c r="C2430" s="17" t="s">
        <v>8825</v>
      </c>
      <c r="D2430" s="19" t="s">
        <v>8826</v>
      </c>
      <c r="E2430" s="20" t="s">
        <v>138</v>
      </c>
      <c r="F2430" s="27">
        <v>36155.0</v>
      </c>
      <c r="G2430" s="14">
        <v>27.0</v>
      </c>
      <c r="H2430" s="23" t="s">
        <v>26</v>
      </c>
      <c r="I2430" s="24" t="s">
        <v>27</v>
      </c>
      <c r="J2430" s="19" t="s">
        <v>58</v>
      </c>
      <c r="K2430" s="14">
        <v>9.0</v>
      </c>
      <c r="L2430" s="7"/>
      <c r="M2430" s="7"/>
      <c r="N2430" s="7"/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7"/>
    </row>
    <row r="2431">
      <c r="A2431" s="14" t="s">
        <v>8827</v>
      </c>
      <c r="B2431" s="17" t="s">
        <v>8828</v>
      </c>
      <c r="C2431" s="17" t="s">
        <v>8829</v>
      </c>
      <c r="D2431" s="19" t="s">
        <v>8830</v>
      </c>
      <c r="E2431" s="20" t="s">
        <v>210</v>
      </c>
      <c r="F2431" s="21">
        <v>29290.0</v>
      </c>
      <c r="G2431" s="14">
        <v>46.0</v>
      </c>
      <c r="H2431" s="23" t="s">
        <v>26</v>
      </c>
      <c r="I2431" s="24" t="s">
        <v>27</v>
      </c>
      <c r="J2431" s="19" t="s">
        <v>282</v>
      </c>
      <c r="K2431" s="14">
        <v>13.0</v>
      </c>
      <c r="L2431" s="7"/>
      <c r="M2431" s="7"/>
      <c r="N2431" s="7"/>
      <c r="O2431" s="7"/>
      <c r="P2431" s="7"/>
      <c r="Q2431" s="7"/>
      <c r="R2431" s="7"/>
      <c r="S2431" s="7"/>
      <c r="T2431" s="7"/>
      <c r="U2431" s="7"/>
      <c r="V2431" s="7"/>
      <c r="W2431" s="7"/>
      <c r="X2431" s="7"/>
      <c r="Y2431" s="7"/>
    </row>
    <row r="2432">
      <c r="A2432" s="14" t="s">
        <v>8831</v>
      </c>
      <c r="B2432" s="17" t="s">
        <v>8828</v>
      </c>
      <c r="C2432" s="17" t="s">
        <v>8832</v>
      </c>
      <c r="D2432" s="19" t="s">
        <v>8833</v>
      </c>
      <c r="E2432" s="20" t="s">
        <v>104</v>
      </c>
      <c r="F2432" s="27">
        <v>29138.0</v>
      </c>
      <c r="G2432" s="14">
        <v>46.0</v>
      </c>
      <c r="H2432" s="23" t="s">
        <v>26</v>
      </c>
      <c r="I2432" s="24" t="s">
        <v>33</v>
      </c>
      <c r="J2432" s="19" t="s">
        <v>282</v>
      </c>
      <c r="K2432" s="14">
        <v>13.0</v>
      </c>
      <c r="L2432" s="7"/>
      <c r="M2432" s="7"/>
      <c r="N2432" s="7"/>
      <c r="O2432" s="7"/>
      <c r="P2432" s="7"/>
      <c r="Q2432" s="7"/>
      <c r="R2432" s="7"/>
      <c r="S2432" s="7"/>
      <c r="T2432" s="7"/>
      <c r="U2432" s="7"/>
      <c r="V2432" s="7"/>
      <c r="W2432" s="7"/>
      <c r="X2432" s="7"/>
      <c r="Y2432" s="7"/>
    </row>
    <row r="2433">
      <c r="A2433" s="14" t="s">
        <v>8834</v>
      </c>
      <c r="B2433" s="17" t="s">
        <v>8835</v>
      </c>
      <c r="C2433" s="17" t="s">
        <v>8836</v>
      </c>
      <c r="D2433" s="19" t="s">
        <v>8837</v>
      </c>
      <c r="E2433" s="20" t="s">
        <v>1846</v>
      </c>
      <c r="F2433" s="21">
        <v>27530.0</v>
      </c>
      <c r="G2433" s="14">
        <v>51.0</v>
      </c>
      <c r="H2433" s="23" t="s">
        <v>26</v>
      </c>
      <c r="I2433" s="24" t="s">
        <v>33</v>
      </c>
      <c r="J2433" s="19" t="s">
        <v>206</v>
      </c>
      <c r="K2433" s="14">
        <v>2.0</v>
      </c>
      <c r="L2433" s="7"/>
      <c r="M2433" s="7"/>
      <c r="N2433" s="7"/>
      <c r="O2433" s="7"/>
      <c r="P2433" s="7"/>
      <c r="Q2433" s="7"/>
      <c r="R2433" s="7"/>
      <c r="S2433" s="7"/>
      <c r="T2433" s="7"/>
      <c r="U2433" s="7"/>
      <c r="V2433" s="7"/>
      <c r="W2433" s="7"/>
      <c r="X2433" s="7"/>
      <c r="Y2433" s="7"/>
    </row>
    <row r="2434">
      <c r="A2434" s="14" t="s">
        <v>8838</v>
      </c>
      <c r="B2434" s="17" t="s">
        <v>8835</v>
      </c>
      <c r="C2434" s="17" t="s">
        <v>8839</v>
      </c>
      <c r="D2434" s="19" t="s">
        <v>8840</v>
      </c>
      <c r="E2434" s="20" t="s">
        <v>104</v>
      </c>
      <c r="F2434" s="21">
        <v>36705.0</v>
      </c>
      <c r="G2434" s="14">
        <v>26.0</v>
      </c>
      <c r="H2434" s="23" t="s">
        <v>100</v>
      </c>
      <c r="I2434" s="24" t="s">
        <v>33</v>
      </c>
      <c r="J2434" s="19" t="s">
        <v>206</v>
      </c>
      <c r="K2434" s="14">
        <v>2.0</v>
      </c>
      <c r="L2434" s="7"/>
      <c r="M2434" s="7"/>
      <c r="N2434" s="7"/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7"/>
    </row>
    <row r="2435">
      <c r="A2435" s="14" t="s">
        <v>8841</v>
      </c>
      <c r="B2435" s="17" t="s">
        <v>8835</v>
      </c>
      <c r="C2435" s="17" t="s">
        <v>8842</v>
      </c>
      <c r="D2435" s="19" t="s">
        <v>8843</v>
      </c>
      <c r="E2435" s="20" t="s">
        <v>104</v>
      </c>
      <c r="F2435" s="21">
        <v>37380.0</v>
      </c>
      <c r="G2435" s="14">
        <v>24.0</v>
      </c>
      <c r="H2435" s="23" t="s">
        <v>100</v>
      </c>
      <c r="I2435" s="24" t="s">
        <v>27</v>
      </c>
      <c r="J2435" s="19" t="s">
        <v>206</v>
      </c>
      <c r="K2435" s="14">
        <v>2.0</v>
      </c>
      <c r="L2435" s="7"/>
      <c r="M2435" s="7"/>
      <c r="N2435" s="7"/>
      <c r="O2435" s="7"/>
      <c r="P2435" s="7"/>
      <c r="Q2435" s="7"/>
      <c r="R2435" s="7"/>
      <c r="S2435" s="7"/>
      <c r="T2435" s="7"/>
      <c r="U2435" s="7"/>
      <c r="V2435" s="7"/>
      <c r="W2435" s="7"/>
      <c r="X2435" s="7"/>
      <c r="Y2435" s="7"/>
    </row>
    <row r="2436">
      <c r="A2436" s="14" t="s">
        <v>8844</v>
      </c>
      <c r="B2436" s="17" t="s">
        <v>8835</v>
      </c>
      <c r="C2436" s="17" t="s">
        <v>8845</v>
      </c>
      <c r="D2436" s="19" t="s">
        <v>8846</v>
      </c>
      <c r="E2436" s="20" t="s">
        <v>104</v>
      </c>
      <c r="F2436" s="21">
        <v>29014.0</v>
      </c>
      <c r="G2436" s="14">
        <v>47.0</v>
      </c>
      <c r="H2436" s="23" t="s">
        <v>26</v>
      </c>
      <c r="I2436" s="24" t="s">
        <v>27</v>
      </c>
      <c r="J2436" s="19" t="s">
        <v>206</v>
      </c>
      <c r="K2436" s="14">
        <v>2.0</v>
      </c>
      <c r="L2436" s="7"/>
      <c r="M2436" s="7"/>
      <c r="N2436" s="7"/>
      <c r="O2436" s="7"/>
      <c r="P2436" s="7"/>
      <c r="Q2436" s="7"/>
      <c r="R2436" s="7"/>
      <c r="S2436" s="7"/>
      <c r="T2436" s="7"/>
      <c r="U2436" s="7"/>
      <c r="V2436" s="7"/>
      <c r="W2436" s="7"/>
      <c r="X2436" s="7"/>
      <c r="Y2436" s="7"/>
    </row>
    <row r="2437">
      <c r="A2437" s="14" t="s">
        <v>8847</v>
      </c>
      <c r="B2437" s="17" t="s">
        <v>8848</v>
      </c>
      <c r="C2437" s="17" t="s">
        <v>8849</v>
      </c>
      <c r="D2437" s="19" t="s">
        <v>8850</v>
      </c>
      <c r="E2437" s="20" t="s">
        <v>104</v>
      </c>
      <c r="F2437" s="21">
        <v>32758.0</v>
      </c>
      <c r="G2437" s="14">
        <v>36.0</v>
      </c>
      <c r="H2437" s="23" t="s">
        <v>26</v>
      </c>
      <c r="I2437" s="24" t="s">
        <v>27</v>
      </c>
      <c r="J2437" s="19" t="s">
        <v>58</v>
      </c>
      <c r="K2437" s="14">
        <v>36.0</v>
      </c>
      <c r="L2437" s="7"/>
      <c r="M2437" s="7"/>
      <c r="N2437" s="7"/>
      <c r="O2437" s="7"/>
      <c r="P2437" s="7"/>
      <c r="Q2437" s="7"/>
      <c r="R2437" s="7"/>
      <c r="S2437" s="7"/>
      <c r="T2437" s="7"/>
      <c r="U2437" s="7"/>
      <c r="V2437" s="7"/>
      <c r="W2437" s="7"/>
      <c r="X2437" s="7"/>
      <c r="Y2437" s="7"/>
    </row>
    <row r="2438">
      <c r="A2438" s="14" t="s">
        <v>8851</v>
      </c>
      <c r="B2438" s="17" t="s">
        <v>8848</v>
      </c>
      <c r="C2438" s="17" t="s">
        <v>8852</v>
      </c>
      <c r="D2438" s="19" t="s">
        <v>8853</v>
      </c>
      <c r="E2438" s="20" t="s">
        <v>104</v>
      </c>
      <c r="F2438" s="21">
        <v>30991.0</v>
      </c>
      <c r="G2438" s="14">
        <v>41.0</v>
      </c>
      <c r="H2438" s="23" t="s">
        <v>26</v>
      </c>
      <c r="I2438" s="24" t="s">
        <v>33</v>
      </c>
      <c r="J2438" s="19" t="s">
        <v>53</v>
      </c>
      <c r="K2438" s="14">
        <v>36.0</v>
      </c>
      <c r="L2438" s="7"/>
      <c r="M2438" s="7"/>
      <c r="N2438" s="7"/>
      <c r="O2438" s="7"/>
      <c r="P2438" s="7"/>
      <c r="Q2438" s="7"/>
      <c r="R2438" s="7"/>
      <c r="S2438" s="7"/>
      <c r="T2438" s="7"/>
      <c r="U2438" s="7"/>
      <c r="V2438" s="7"/>
      <c r="W2438" s="7"/>
      <c r="X2438" s="7"/>
      <c r="Y2438" s="7"/>
    </row>
    <row r="2439">
      <c r="A2439" s="14" t="s">
        <v>8854</v>
      </c>
      <c r="B2439" s="17" t="s">
        <v>8855</v>
      </c>
      <c r="C2439" s="17" t="s">
        <v>8856</v>
      </c>
      <c r="D2439" s="19" t="s">
        <v>8857</v>
      </c>
      <c r="E2439" s="20" t="s">
        <v>104</v>
      </c>
      <c r="F2439" s="21">
        <v>33670.0</v>
      </c>
      <c r="G2439" s="14">
        <v>34.0</v>
      </c>
      <c r="H2439" s="23" t="s">
        <v>26</v>
      </c>
      <c r="I2439" s="24" t="s">
        <v>27</v>
      </c>
      <c r="J2439" s="19" t="s">
        <v>1437</v>
      </c>
      <c r="K2439" s="14">
        <v>35.0</v>
      </c>
      <c r="L2439" s="7"/>
      <c r="M2439" s="7"/>
      <c r="N2439" s="7"/>
      <c r="O2439" s="7"/>
      <c r="P2439" s="7"/>
      <c r="Q2439" s="7"/>
      <c r="R2439" s="7"/>
      <c r="S2439" s="7"/>
      <c r="T2439" s="7"/>
      <c r="U2439" s="7"/>
      <c r="V2439" s="7"/>
      <c r="W2439" s="7"/>
      <c r="X2439" s="7"/>
      <c r="Y2439" s="7"/>
    </row>
    <row r="2440">
      <c r="A2440" s="14" t="s">
        <v>8858</v>
      </c>
      <c r="B2440" s="17" t="s">
        <v>8855</v>
      </c>
      <c r="C2440" s="17" t="s">
        <v>8859</v>
      </c>
      <c r="D2440" s="19" t="s">
        <v>8860</v>
      </c>
      <c r="E2440" s="20" t="s">
        <v>8861</v>
      </c>
      <c r="F2440" s="21">
        <v>31626.0</v>
      </c>
      <c r="G2440" s="14">
        <v>40.0</v>
      </c>
      <c r="H2440" s="23" t="s">
        <v>26</v>
      </c>
      <c r="I2440" s="24" t="s">
        <v>33</v>
      </c>
      <c r="J2440" s="19" t="s">
        <v>1437</v>
      </c>
      <c r="K2440" s="14">
        <v>35.0</v>
      </c>
      <c r="L2440" s="7"/>
      <c r="M2440" s="7"/>
      <c r="N2440" s="7"/>
      <c r="O2440" s="7"/>
      <c r="P2440" s="7"/>
      <c r="Q2440" s="7"/>
      <c r="R2440" s="7"/>
      <c r="S2440" s="7"/>
      <c r="T2440" s="7"/>
      <c r="U2440" s="7"/>
      <c r="V2440" s="7"/>
      <c r="W2440" s="7"/>
      <c r="X2440" s="7"/>
      <c r="Y2440" s="7"/>
    </row>
    <row r="2441">
      <c r="A2441" s="14" t="s">
        <v>8862</v>
      </c>
      <c r="B2441" s="17" t="s">
        <v>8863</v>
      </c>
      <c r="C2441" s="17" t="s">
        <v>8864</v>
      </c>
      <c r="D2441" s="19" t="s">
        <v>8865</v>
      </c>
      <c r="E2441" s="20" t="s">
        <v>138</v>
      </c>
      <c r="F2441" s="21">
        <v>30076.0</v>
      </c>
      <c r="G2441" s="14">
        <v>44.0</v>
      </c>
      <c r="H2441" s="23" t="s">
        <v>27</v>
      </c>
      <c r="I2441" s="24" t="s">
        <v>27</v>
      </c>
      <c r="J2441" s="19" t="s">
        <v>1960</v>
      </c>
      <c r="K2441" s="14">
        <v>2.0</v>
      </c>
      <c r="L2441" s="7"/>
      <c r="M2441" s="7"/>
      <c r="N2441" s="7"/>
      <c r="O2441" s="7"/>
      <c r="P2441" s="7"/>
      <c r="Q2441" s="7"/>
      <c r="R2441" s="7"/>
      <c r="S2441" s="7"/>
      <c r="T2441" s="7"/>
      <c r="U2441" s="7"/>
      <c r="V2441" s="7"/>
      <c r="W2441" s="7"/>
      <c r="X2441" s="7"/>
      <c r="Y2441" s="7"/>
    </row>
    <row r="2442">
      <c r="A2442" s="14" t="s">
        <v>8866</v>
      </c>
      <c r="B2442" s="17" t="s">
        <v>8863</v>
      </c>
      <c r="C2442" s="17" t="s">
        <v>8867</v>
      </c>
      <c r="D2442" s="19" t="s">
        <v>8868</v>
      </c>
      <c r="E2442" s="20" t="s">
        <v>104</v>
      </c>
      <c r="F2442" s="21">
        <v>38899.0</v>
      </c>
      <c r="G2442" s="14">
        <v>20.0</v>
      </c>
      <c r="H2442" s="23" t="s">
        <v>100</v>
      </c>
      <c r="I2442" s="24" t="s">
        <v>33</v>
      </c>
      <c r="J2442" s="19" t="s">
        <v>1960</v>
      </c>
      <c r="K2442" s="14">
        <v>2.0</v>
      </c>
      <c r="L2442" s="7"/>
      <c r="M2442" s="7"/>
      <c r="N2442" s="7"/>
      <c r="O2442" s="7"/>
      <c r="P2442" s="7"/>
      <c r="Q2442" s="7"/>
      <c r="R2442" s="7"/>
      <c r="S2442" s="7"/>
      <c r="T2442" s="7"/>
      <c r="U2442" s="7"/>
      <c r="V2442" s="7"/>
      <c r="W2442" s="7"/>
      <c r="X2442" s="7"/>
      <c r="Y2442" s="7"/>
    </row>
    <row r="2443">
      <c r="A2443" s="14" t="s">
        <v>8869</v>
      </c>
      <c r="B2443" s="17" t="s">
        <v>8870</v>
      </c>
      <c r="C2443" s="17" t="s">
        <v>8871</v>
      </c>
      <c r="D2443" s="19" t="s">
        <v>8872</v>
      </c>
      <c r="E2443" s="20" t="s">
        <v>8873</v>
      </c>
      <c r="F2443" s="21">
        <v>12838.0</v>
      </c>
      <c r="G2443" s="14">
        <v>91.0</v>
      </c>
      <c r="H2443" s="23" t="s">
        <v>26</v>
      </c>
      <c r="I2443" s="24" t="s">
        <v>27</v>
      </c>
      <c r="J2443" s="19" t="s">
        <v>8874</v>
      </c>
      <c r="K2443" s="14">
        <v>28.0</v>
      </c>
      <c r="L2443" s="7"/>
      <c r="M2443" s="7"/>
      <c r="N2443" s="7"/>
      <c r="O2443" s="7"/>
      <c r="P2443" s="7"/>
      <c r="Q2443" s="7"/>
      <c r="R2443" s="7"/>
      <c r="S2443" s="7"/>
      <c r="T2443" s="7"/>
      <c r="U2443" s="7"/>
      <c r="V2443" s="7"/>
      <c r="W2443" s="7"/>
      <c r="X2443" s="7"/>
      <c r="Y2443" s="7"/>
    </row>
    <row r="2444">
      <c r="A2444" s="14" t="s">
        <v>8875</v>
      </c>
      <c r="B2444" s="17" t="s">
        <v>8876</v>
      </c>
      <c r="C2444" s="17" t="s">
        <v>8877</v>
      </c>
      <c r="D2444" s="19" t="s">
        <v>8878</v>
      </c>
      <c r="E2444" s="20" t="s">
        <v>104</v>
      </c>
      <c r="F2444" s="21">
        <v>33758.0</v>
      </c>
      <c r="G2444" s="14">
        <v>34.0</v>
      </c>
      <c r="H2444" s="23" t="s">
        <v>27</v>
      </c>
      <c r="I2444" s="24" t="s">
        <v>27</v>
      </c>
      <c r="J2444" s="19" t="s">
        <v>53</v>
      </c>
      <c r="K2444" s="14">
        <v>17.0</v>
      </c>
      <c r="L2444" s="7"/>
      <c r="M2444" s="7"/>
      <c r="N2444" s="7"/>
      <c r="O2444" s="7"/>
      <c r="P2444" s="7"/>
      <c r="Q2444" s="7"/>
      <c r="R2444" s="7"/>
      <c r="S2444" s="7"/>
      <c r="T2444" s="7"/>
      <c r="U2444" s="7"/>
      <c r="V2444" s="7"/>
      <c r="W2444" s="7"/>
      <c r="X2444" s="7"/>
      <c r="Y2444" s="7"/>
    </row>
    <row r="2445">
      <c r="A2445" s="14" t="s">
        <v>8879</v>
      </c>
      <c r="B2445" s="17" t="s">
        <v>8880</v>
      </c>
      <c r="C2445" s="17" t="s">
        <v>8881</v>
      </c>
      <c r="D2445" s="19" t="s">
        <v>8882</v>
      </c>
      <c r="E2445" s="20" t="s">
        <v>104</v>
      </c>
      <c r="F2445" s="21">
        <v>28348.0</v>
      </c>
      <c r="G2445" s="14">
        <v>49.0</v>
      </c>
      <c r="H2445" s="23" t="s">
        <v>100</v>
      </c>
      <c r="I2445" s="24" t="s">
        <v>33</v>
      </c>
      <c r="J2445" s="19" t="s">
        <v>8883</v>
      </c>
      <c r="K2445" s="14">
        <v>5.0</v>
      </c>
      <c r="L2445" s="7"/>
      <c r="M2445" s="7"/>
      <c r="N2445" s="7"/>
      <c r="O2445" s="7"/>
      <c r="P2445" s="7"/>
      <c r="Q2445" s="7"/>
      <c r="R2445" s="7"/>
      <c r="S2445" s="7"/>
      <c r="T2445" s="7"/>
      <c r="U2445" s="7"/>
      <c r="V2445" s="7"/>
      <c r="W2445" s="7"/>
      <c r="X2445" s="7"/>
      <c r="Y2445" s="7"/>
    </row>
    <row r="2446">
      <c r="A2446" s="14" t="s">
        <v>8884</v>
      </c>
      <c r="B2446" s="17" t="s">
        <v>8885</v>
      </c>
      <c r="C2446" s="17" t="s">
        <v>8886</v>
      </c>
      <c r="D2446" s="19" t="s">
        <v>8887</v>
      </c>
      <c r="E2446" s="20" t="s">
        <v>1058</v>
      </c>
      <c r="F2446" s="21">
        <v>28190.0</v>
      </c>
      <c r="G2446" s="14">
        <v>49.0</v>
      </c>
      <c r="H2446" s="23" t="s">
        <v>26</v>
      </c>
      <c r="I2446" s="24" t="s">
        <v>27</v>
      </c>
      <c r="J2446" s="19" t="s">
        <v>68</v>
      </c>
      <c r="K2446" s="14">
        <v>31.0</v>
      </c>
      <c r="L2446" s="7"/>
      <c r="M2446" s="7"/>
      <c r="N2446" s="7"/>
      <c r="O2446" s="7"/>
      <c r="P2446" s="7"/>
      <c r="Q2446" s="7"/>
      <c r="R2446" s="7"/>
      <c r="S2446" s="7"/>
      <c r="T2446" s="7"/>
      <c r="U2446" s="7"/>
      <c r="V2446" s="7"/>
      <c r="W2446" s="7"/>
      <c r="X2446" s="7"/>
      <c r="Y2446" s="7"/>
    </row>
    <row r="2447">
      <c r="A2447" s="14" t="s">
        <v>8888</v>
      </c>
      <c r="B2447" s="17" t="s">
        <v>8885</v>
      </c>
      <c r="C2447" s="17" t="s">
        <v>8889</v>
      </c>
      <c r="D2447" s="19" t="s">
        <v>8890</v>
      </c>
      <c r="E2447" s="20" t="s">
        <v>1058</v>
      </c>
      <c r="F2447" s="21">
        <v>25731.0</v>
      </c>
      <c r="G2447" s="14">
        <v>56.0</v>
      </c>
      <c r="H2447" s="23" t="s">
        <v>26</v>
      </c>
      <c r="I2447" s="24" t="s">
        <v>33</v>
      </c>
      <c r="J2447" s="19" t="s">
        <v>68</v>
      </c>
      <c r="K2447" s="14">
        <v>31.0</v>
      </c>
      <c r="L2447" s="7"/>
      <c r="M2447" s="7"/>
      <c r="N2447" s="7"/>
      <c r="O2447" s="7"/>
      <c r="P2447" s="7"/>
      <c r="Q2447" s="7"/>
      <c r="R2447" s="7"/>
      <c r="S2447" s="7"/>
      <c r="T2447" s="7"/>
      <c r="U2447" s="7"/>
      <c r="V2447" s="7"/>
      <c r="W2447" s="7"/>
      <c r="X2447" s="7"/>
      <c r="Y2447" s="7"/>
    </row>
    <row r="2448">
      <c r="A2448" s="14" t="s">
        <v>8891</v>
      </c>
      <c r="B2448" s="17" t="s">
        <v>8892</v>
      </c>
      <c r="C2448" s="17" t="s">
        <v>8893</v>
      </c>
      <c r="D2448" s="19" t="s">
        <v>8894</v>
      </c>
      <c r="E2448" s="20" t="s">
        <v>104</v>
      </c>
      <c r="F2448" s="21">
        <v>35073.0</v>
      </c>
      <c r="G2448" s="14">
        <v>30.0</v>
      </c>
      <c r="H2448" s="23" t="s">
        <v>100</v>
      </c>
      <c r="I2448" s="24" t="s">
        <v>33</v>
      </c>
      <c r="J2448" s="19" t="s">
        <v>362</v>
      </c>
      <c r="K2448" s="14">
        <v>26.0</v>
      </c>
      <c r="L2448" s="7"/>
      <c r="M2448" s="7"/>
      <c r="N2448" s="7"/>
      <c r="O2448" s="7"/>
      <c r="P2448" s="7"/>
      <c r="Q2448" s="7"/>
      <c r="R2448" s="7"/>
      <c r="S2448" s="7"/>
      <c r="T2448" s="7"/>
      <c r="U2448" s="7"/>
      <c r="V2448" s="7"/>
      <c r="W2448" s="7"/>
      <c r="X2448" s="7"/>
      <c r="Y2448" s="7"/>
    </row>
    <row r="2449">
      <c r="A2449" s="14" t="s">
        <v>8895</v>
      </c>
      <c r="B2449" s="17" t="s">
        <v>8892</v>
      </c>
      <c r="C2449" s="17" t="s">
        <v>8896</v>
      </c>
      <c r="D2449" s="19" t="s">
        <v>8897</v>
      </c>
      <c r="E2449" s="20" t="s">
        <v>632</v>
      </c>
      <c r="F2449" s="21">
        <v>26731.0</v>
      </c>
      <c r="G2449" s="14">
        <v>53.0</v>
      </c>
      <c r="H2449" s="23" t="s">
        <v>26</v>
      </c>
      <c r="I2449" s="24" t="s">
        <v>27</v>
      </c>
      <c r="J2449" s="19" t="s">
        <v>362</v>
      </c>
      <c r="K2449" s="14">
        <v>26.0</v>
      </c>
      <c r="L2449" s="7"/>
      <c r="M2449" s="7"/>
      <c r="N2449" s="7"/>
      <c r="O2449" s="7"/>
      <c r="P2449" s="7"/>
      <c r="Q2449" s="7"/>
      <c r="R2449" s="7"/>
      <c r="S2449" s="7"/>
      <c r="T2449" s="7"/>
      <c r="U2449" s="7"/>
      <c r="V2449" s="7"/>
      <c r="W2449" s="7"/>
      <c r="X2449" s="7"/>
      <c r="Y2449" s="7"/>
    </row>
    <row r="2450">
      <c r="A2450" s="14" t="s">
        <v>8898</v>
      </c>
      <c r="B2450" s="17" t="s">
        <v>8892</v>
      </c>
      <c r="C2450" s="17" t="s">
        <v>8899</v>
      </c>
      <c r="D2450" s="19" t="s">
        <v>8900</v>
      </c>
      <c r="E2450" s="20" t="s">
        <v>632</v>
      </c>
      <c r="F2450" s="21">
        <v>24930.0</v>
      </c>
      <c r="G2450" s="14">
        <v>58.0</v>
      </c>
      <c r="H2450" s="23" t="s">
        <v>26</v>
      </c>
      <c r="I2450" s="24" t="s">
        <v>33</v>
      </c>
      <c r="J2450" s="19" t="s">
        <v>362</v>
      </c>
      <c r="K2450" s="14">
        <v>26.0</v>
      </c>
      <c r="L2450" s="7"/>
      <c r="M2450" s="7"/>
      <c r="N2450" s="7"/>
      <c r="O2450" s="7"/>
      <c r="P2450" s="7"/>
      <c r="Q2450" s="7"/>
      <c r="R2450" s="7"/>
      <c r="S2450" s="7"/>
      <c r="T2450" s="7"/>
      <c r="U2450" s="7"/>
      <c r="V2450" s="7"/>
      <c r="W2450" s="7"/>
      <c r="X2450" s="7"/>
      <c r="Y2450" s="7"/>
    </row>
    <row r="2451">
      <c r="A2451" s="14" t="s">
        <v>8901</v>
      </c>
      <c r="B2451" s="17" t="s">
        <v>8892</v>
      </c>
      <c r="C2451" s="17" t="s">
        <v>8902</v>
      </c>
      <c r="D2451" s="19" t="s">
        <v>8903</v>
      </c>
      <c r="E2451" s="20" t="s">
        <v>104</v>
      </c>
      <c r="F2451" s="21">
        <v>37270.0</v>
      </c>
      <c r="G2451" s="14">
        <v>24.0</v>
      </c>
      <c r="H2451" s="23" t="s">
        <v>100</v>
      </c>
      <c r="I2451" s="24" t="s">
        <v>27</v>
      </c>
      <c r="J2451" s="19" t="s">
        <v>362</v>
      </c>
      <c r="K2451" s="14">
        <v>26.0</v>
      </c>
      <c r="L2451" s="7"/>
      <c r="M2451" s="7"/>
      <c r="N2451" s="7"/>
      <c r="O2451" s="7"/>
      <c r="P2451" s="7"/>
      <c r="Q2451" s="7"/>
      <c r="R2451" s="7"/>
      <c r="S2451" s="7"/>
      <c r="T2451" s="7"/>
      <c r="U2451" s="7"/>
      <c r="V2451" s="7"/>
      <c r="W2451" s="7"/>
      <c r="X2451" s="7"/>
      <c r="Y2451" s="7"/>
    </row>
    <row r="2452">
      <c r="A2452" s="14" t="s">
        <v>8904</v>
      </c>
      <c r="B2452" s="17" t="s">
        <v>8905</v>
      </c>
      <c r="C2452" s="17" t="s">
        <v>8906</v>
      </c>
      <c r="D2452" s="19" t="s">
        <v>8907</v>
      </c>
      <c r="E2452" s="20" t="s">
        <v>53</v>
      </c>
      <c r="F2452" s="27">
        <v>36504.0</v>
      </c>
      <c r="G2452" s="14">
        <v>26.0</v>
      </c>
      <c r="H2452" s="23" t="s">
        <v>100</v>
      </c>
      <c r="I2452" s="24" t="s">
        <v>33</v>
      </c>
      <c r="J2452" s="19" t="s">
        <v>362</v>
      </c>
      <c r="K2452" s="14">
        <v>24.0</v>
      </c>
      <c r="L2452" s="7"/>
      <c r="M2452" s="7"/>
      <c r="N2452" s="7"/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7"/>
    </row>
    <row r="2453">
      <c r="A2453" s="14" t="s">
        <v>8908</v>
      </c>
      <c r="B2453" s="17" t="s">
        <v>8905</v>
      </c>
      <c r="C2453" s="17" t="s">
        <v>8909</v>
      </c>
      <c r="D2453" s="19" t="s">
        <v>8910</v>
      </c>
      <c r="E2453" s="20" t="s">
        <v>104</v>
      </c>
      <c r="F2453" s="21">
        <v>31750.0</v>
      </c>
      <c r="G2453" s="14">
        <v>39.0</v>
      </c>
      <c r="H2453" s="23" t="s">
        <v>100</v>
      </c>
      <c r="I2453" s="24" t="s">
        <v>33</v>
      </c>
      <c r="J2453" s="19" t="s">
        <v>362</v>
      </c>
      <c r="K2453" s="14">
        <v>24.0</v>
      </c>
      <c r="L2453" s="7"/>
      <c r="M2453" s="7"/>
      <c r="N2453" s="7"/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7"/>
    </row>
    <row r="2454">
      <c r="A2454" s="14" t="s">
        <v>8911</v>
      </c>
      <c r="B2454" s="17" t="s">
        <v>8905</v>
      </c>
      <c r="C2454" s="17" t="s">
        <v>8912</v>
      </c>
      <c r="D2454" s="19" t="s">
        <v>8913</v>
      </c>
      <c r="E2454" s="20" t="s">
        <v>3587</v>
      </c>
      <c r="F2454" s="21">
        <v>20181.0</v>
      </c>
      <c r="G2454" s="14">
        <v>71.0</v>
      </c>
      <c r="H2454" s="23" t="s">
        <v>26</v>
      </c>
      <c r="I2454" s="24" t="s">
        <v>33</v>
      </c>
      <c r="J2454" s="19" t="s">
        <v>362</v>
      </c>
      <c r="K2454" s="14">
        <v>24.0</v>
      </c>
      <c r="L2454" s="7"/>
      <c r="M2454" s="7"/>
      <c r="N2454" s="7"/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7"/>
    </row>
    <row r="2455">
      <c r="A2455" s="14" t="s">
        <v>8914</v>
      </c>
      <c r="B2455" s="17" t="s">
        <v>8905</v>
      </c>
      <c r="C2455" s="17" t="s">
        <v>8915</v>
      </c>
      <c r="D2455" s="19" t="s">
        <v>8916</v>
      </c>
      <c r="E2455" s="20" t="s">
        <v>2505</v>
      </c>
      <c r="F2455" s="21">
        <v>22690.0</v>
      </c>
      <c r="G2455" s="14">
        <v>64.0</v>
      </c>
      <c r="H2455" s="23" t="s">
        <v>26</v>
      </c>
      <c r="I2455" s="24" t="s">
        <v>27</v>
      </c>
      <c r="J2455" s="19" t="s">
        <v>362</v>
      </c>
      <c r="K2455" s="14">
        <v>24.0</v>
      </c>
      <c r="L2455" s="7"/>
      <c r="M2455" s="7"/>
      <c r="N2455" s="7"/>
      <c r="O2455" s="7"/>
      <c r="P2455" s="7"/>
      <c r="Q2455" s="7"/>
      <c r="R2455" s="7"/>
      <c r="S2455" s="7"/>
      <c r="T2455" s="7"/>
      <c r="U2455" s="7"/>
      <c r="V2455" s="7"/>
      <c r="W2455" s="7"/>
      <c r="X2455" s="7"/>
      <c r="Y2455" s="7"/>
    </row>
    <row r="2456">
      <c r="A2456" s="14" t="s">
        <v>8917</v>
      </c>
      <c r="B2456" s="17" t="s">
        <v>8918</v>
      </c>
      <c r="C2456" s="17" t="s">
        <v>8919</v>
      </c>
      <c r="D2456" s="19" t="s">
        <v>8920</v>
      </c>
      <c r="E2456" s="20" t="s">
        <v>434</v>
      </c>
      <c r="F2456" s="27">
        <v>15638.0</v>
      </c>
      <c r="G2456" s="14">
        <v>83.0</v>
      </c>
      <c r="H2456" s="23" t="s">
        <v>26</v>
      </c>
      <c r="I2456" s="24" t="s">
        <v>33</v>
      </c>
      <c r="J2456" s="19" t="s">
        <v>146</v>
      </c>
      <c r="K2456" s="14">
        <v>8.0</v>
      </c>
      <c r="L2456" s="7"/>
      <c r="M2456" s="7"/>
      <c r="N2456" s="7"/>
      <c r="O2456" s="7"/>
      <c r="P2456" s="7"/>
      <c r="Q2456" s="7"/>
      <c r="R2456" s="7"/>
      <c r="S2456" s="7"/>
      <c r="T2456" s="7"/>
      <c r="U2456" s="7"/>
      <c r="V2456" s="7"/>
      <c r="W2456" s="7"/>
      <c r="X2456" s="7"/>
      <c r="Y2456" s="7"/>
    </row>
    <row r="2457">
      <c r="A2457" s="14" t="s">
        <v>8921</v>
      </c>
      <c r="B2457" s="17" t="s">
        <v>8922</v>
      </c>
      <c r="C2457" s="17" t="s">
        <v>8923</v>
      </c>
      <c r="D2457" s="19" t="s">
        <v>3756</v>
      </c>
      <c r="E2457" s="20" t="s">
        <v>1058</v>
      </c>
      <c r="F2457" s="21">
        <v>26299.0</v>
      </c>
      <c r="G2457" s="14">
        <v>54.0</v>
      </c>
      <c r="H2457" s="23" t="s">
        <v>26</v>
      </c>
      <c r="I2457" s="24" t="s">
        <v>33</v>
      </c>
      <c r="J2457" s="19" t="s">
        <v>156</v>
      </c>
      <c r="K2457" s="14">
        <v>31.0</v>
      </c>
      <c r="L2457" s="7"/>
      <c r="M2457" s="7"/>
      <c r="N2457" s="7"/>
      <c r="O2457" s="7"/>
      <c r="P2457" s="7"/>
      <c r="Q2457" s="7"/>
      <c r="R2457" s="7"/>
      <c r="S2457" s="7"/>
      <c r="T2457" s="7"/>
      <c r="U2457" s="7"/>
      <c r="V2457" s="7"/>
      <c r="W2457" s="7"/>
      <c r="X2457" s="7"/>
      <c r="Y2457" s="7"/>
    </row>
    <row r="2458">
      <c r="A2458" s="14" t="s">
        <v>8924</v>
      </c>
      <c r="B2458" s="17" t="s">
        <v>8922</v>
      </c>
      <c r="C2458" s="17" t="s">
        <v>8925</v>
      </c>
      <c r="D2458" s="19" t="s">
        <v>8926</v>
      </c>
      <c r="E2458" s="20" t="s">
        <v>8927</v>
      </c>
      <c r="F2458" s="21">
        <v>27892.0</v>
      </c>
      <c r="G2458" s="14">
        <v>50.0</v>
      </c>
      <c r="H2458" s="23" t="s">
        <v>26</v>
      </c>
      <c r="I2458" s="24" t="s">
        <v>27</v>
      </c>
      <c r="J2458" s="19" t="s">
        <v>156</v>
      </c>
      <c r="K2458" s="14">
        <v>31.0</v>
      </c>
      <c r="L2458" s="7"/>
      <c r="M2458" s="7"/>
      <c r="N2458" s="7"/>
      <c r="O2458" s="7"/>
      <c r="P2458" s="7"/>
      <c r="Q2458" s="7"/>
      <c r="R2458" s="7"/>
      <c r="S2458" s="7"/>
      <c r="T2458" s="7"/>
      <c r="U2458" s="7"/>
      <c r="V2458" s="7"/>
      <c r="W2458" s="7"/>
      <c r="X2458" s="7"/>
      <c r="Y2458" s="7"/>
    </row>
    <row r="2459">
      <c r="A2459" s="14" t="s">
        <v>8928</v>
      </c>
      <c r="B2459" s="17" t="s">
        <v>8929</v>
      </c>
      <c r="C2459" s="17" t="s">
        <v>8930</v>
      </c>
      <c r="D2459" s="19" t="s">
        <v>8931</v>
      </c>
      <c r="E2459" s="20" t="s">
        <v>5208</v>
      </c>
      <c r="F2459" s="21">
        <v>31360.0</v>
      </c>
      <c r="G2459" s="14">
        <v>40.0</v>
      </c>
      <c r="H2459" s="23" t="s">
        <v>26</v>
      </c>
      <c r="I2459" s="24" t="s">
        <v>27</v>
      </c>
      <c r="J2459" s="19" t="s">
        <v>156</v>
      </c>
      <c r="K2459" s="14">
        <v>31.0</v>
      </c>
      <c r="L2459" s="7"/>
      <c r="M2459" s="7"/>
      <c r="N2459" s="7"/>
      <c r="O2459" s="7"/>
      <c r="P2459" s="7"/>
      <c r="Q2459" s="7"/>
      <c r="R2459" s="7"/>
      <c r="S2459" s="7"/>
      <c r="T2459" s="7"/>
      <c r="U2459" s="7"/>
      <c r="V2459" s="7"/>
      <c r="W2459" s="7"/>
      <c r="X2459" s="7"/>
      <c r="Y2459" s="7"/>
    </row>
    <row r="2460">
      <c r="A2460" s="14" t="s">
        <v>8932</v>
      </c>
      <c r="B2460" s="17" t="s">
        <v>8929</v>
      </c>
      <c r="C2460" s="17" t="s">
        <v>8933</v>
      </c>
      <c r="D2460" s="19" t="s">
        <v>8934</v>
      </c>
      <c r="E2460" s="20" t="s">
        <v>274</v>
      </c>
      <c r="F2460" s="21">
        <v>29772.0</v>
      </c>
      <c r="G2460" s="14">
        <v>45.0</v>
      </c>
      <c r="H2460" s="23" t="s">
        <v>26</v>
      </c>
      <c r="I2460" s="24" t="s">
        <v>33</v>
      </c>
      <c r="J2460" s="19" t="s">
        <v>156</v>
      </c>
      <c r="K2460" s="14">
        <v>31.0</v>
      </c>
      <c r="L2460" s="7"/>
      <c r="M2460" s="7"/>
      <c r="N2460" s="7"/>
      <c r="O2460" s="7"/>
      <c r="P2460" s="7"/>
      <c r="Q2460" s="7"/>
      <c r="R2460" s="7"/>
      <c r="S2460" s="7"/>
      <c r="T2460" s="7"/>
      <c r="U2460" s="7"/>
      <c r="V2460" s="7"/>
      <c r="W2460" s="7"/>
      <c r="X2460" s="7"/>
      <c r="Y2460" s="7"/>
    </row>
    <row r="2461">
      <c r="A2461" s="14" t="s">
        <v>8935</v>
      </c>
      <c r="B2461" s="17" t="s">
        <v>8936</v>
      </c>
      <c r="C2461" s="17" t="s">
        <v>8937</v>
      </c>
      <c r="D2461" s="19" t="s">
        <v>8938</v>
      </c>
      <c r="E2461" s="20" t="s">
        <v>104</v>
      </c>
      <c r="F2461" s="21">
        <v>33082.0</v>
      </c>
      <c r="G2461" s="14">
        <v>36.0</v>
      </c>
      <c r="H2461" s="23" t="s">
        <v>100</v>
      </c>
      <c r="I2461" s="24" t="s">
        <v>33</v>
      </c>
      <c r="J2461" s="19" t="s">
        <v>146</v>
      </c>
      <c r="K2461" s="14">
        <v>2.0</v>
      </c>
      <c r="L2461" s="7"/>
      <c r="M2461" s="7"/>
      <c r="N2461" s="7"/>
      <c r="O2461" s="7"/>
      <c r="P2461" s="7"/>
      <c r="Q2461" s="7"/>
      <c r="R2461" s="7"/>
      <c r="S2461" s="7"/>
      <c r="T2461" s="7"/>
      <c r="U2461" s="7"/>
      <c r="V2461" s="7"/>
      <c r="W2461" s="7"/>
      <c r="X2461" s="7"/>
      <c r="Y2461" s="7"/>
    </row>
    <row r="2462">
      <c r="A2462" s="14" t="s">
        <v>8939</v>
      </c>
      <c r="B2462" s="17" t="s">
        <v>8940</v>
      </c>
      <c r="C2462" s="17" t="s">
        <v>8941</v>
      </c>
      <c r="D2462" s="19" t="s">
        <v>8942</v>
      </c>
      <c r="E2462" s="20" t="s">
        <v>104</v>
      </c>
      <c r="F2462" s="21">
        <v>36690.0</v>
      </c>
      <c r="G2462" s="14">
        <v>26.0</v>
      </c>
      <c r="H2462" s="23" t="s">
        <v>26</v>
      </c>
      <c r="I2462" s="24" t="s">
        <v>33</v>
      </c>
      <c r="J2462" s="19" t="s">
        <v>146</v>
      </c>
      <c r="K2462" s="14">
        <v>2.0</v>
      </c>
      <c r="L2462" s="7"/>
      <c r="M2462" s="7"/>
      <c r="N2462" s="7"/>
      <c r="O2462" s="7"/>
      <c r="P2462" s="7"/>
      <c r="Q2462" s="7"/>
      <c r="R2462" s="7"/>
      <c r="S2462" s="7"/>
      <c r="T2462" s="7"/>
      <c r="U2462" s="7"/>
      <c r="V2462" s="7"/>
      <c r="W2462" s="7"/>
      <c r="X2462" s="7"/>
      <c r="Y2462" s="7"/>
    </row>
    <row r="2463">
      <c r="A2463" s="14" t="s">
        <v>8943</v>
      </c>
      <c r="B2463" s="17" t="s">
        <v>8940</v>
      </c>
      <c r="C2463" s="17" t="s">
        <v>8944</v>
      </c>
      <c r="D2463" s="19" t="s">
        <v>8945</v>
      </c>
      <c r="E2463" s="20" t="s">
        <v>104</v>
      </c>
      <c r="F2463" s="21">
        <v>37464.0</v>
      </c>
      <c r="G2463" s="14">
        <v>24.0</v>
      </c>
      <c r="H2463" s="23" t="s">
        <v>26</v>
      </c>
      <c r="I2463" s="24" t="s">
        <v>27</v>
      </c>
      <c r="J2463" s="19" t="s">
        <v>146</v>
      </c>
      <c r="K2463" s="14">
        <v>2.0</v>
      </c>
      <c r="L2463" s="7"/>
      <c r="M2463" s="7"/>
      <c r="N2463" s="7"/>
      <c r="O2463" s="7"/>
      <c r="P2463" s="7"/>
      <c r="Q2463" s="7"/>
      <c r="R2463" s="7"/>
      <c r="S2463" s="7"/>
      <c r="T2463" s="7"/>
      <c r="U2463" s="7"/>
      <c r="V2463" s="7"/>
      <c r="W2463" s="7"/>
      <c r="X2463" s="7"/>
      <c r="Y2463" s="7"/>
    </row>
    <row r="2464">
      <c r="A2464" s="14" t="s">
        <v>8946</v>
      </c>
      <c r="B2464" s="17" t="s">
        <v>8947</v>
      </c>
      <c r="C2464" s="17" t="s">
        <v>8948</v>
      </c>
      <c r="D2464" s="19" t="s">
        <v>1471</v>
      </c>
      <c r="E2464" s="20" t="s">
        <v>880</v>
      </c>
      <c r="F2464" s="27">
        <v>27009.0</v>
      </c>
      <c r="G2464" s="14">
        <v>52.0</v>
      </c>
      <c r="H2464" s="23" t="s">
        <v>27</v>
      </c>
      <c r="I2464" s="24" t="s">
        <v>33</v>
      </c>
      <c r="J2464" s="19" t="s">
        <v>6555</v>
      </c>
      <c r="K2464" s="14">
        <v>9.0</v>
      </c>
      <c r="L2464" s="7"/>
      <c r="M2464" s="7"/>
      <c r="N2464" s="7"/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7"/>
    </row>
    <row r="2465">
      <c r="A2465" s="14" t="s">
        <v>8949</v>
      </c>
      <c r="B2465" s="17" t="s">
        <v>8950</v>
      </c>
      <c r="C2465" s="17" t="s">
        <v>8951</v>
      </c>
      <c r="D2465" s="19" t="s">
        <v>8952</v>
      </c>
      <c r="E2465" s="20" t="s">
        <v>632</v>
      </c>
      <c r="F2465" s="21">
        <v>22109.0</v>
      </c>
      <c r="G2465" s="14">
        <v>66.0</v>
      </c>
      <c r="H2465" s="23" t="s">
        <v>26</v>
      </c>
      <c r="I2465" s="24" t="s">
        <v>33</v>
      </c>
      <c r="J2465" s="19" t="s">
        <v>53</v>
      </c>
      <c r="K2465" s="14">
        <v>10.0</v>
      </c>
      <c r="L2465" s="7"/>
      <c r="M2465" s="7"/>
      <c r="N2465" s="7"/>
      <c r="O2465" s="7"/>
      <c r="P2465" s="7"/>
      <c r="Q2465" s="7"/>
      <c r="R2465" s="7"/>
      <c r="S2465" s="7"/>
      <c r="T2465" s="7"/>
      <c r="U2465" s="7"/>
      <c r="V2465" s="7"/>
      <c r="W2465" s="7"/>
      <c r="X2465" s="7"/>
      <c r="Y2465" s="7"/>
    </row>
    <row r="2466">
      <c r="A2466" s="14" t="s">
        <v>8953</v>
      </c>
      <c r="B2466" s="17" t="s">
        <v>8950</v>
      </c>
      <c r="C2466" s="17" t="s">
        <v>8954</v>
      </c>
      <c r="D2466" s="19" t="s">
        <v>8955</v>
      </c>
      <c r="E2466" s="20" t="s">
        <v>632</v>
      </c>
      <c r="F2466" s="21">
        <v>24677.0</v>
      </c>
      <c r="G2466" s="14">
        <v>59.0</v>
      </c>
      <c r="H2466" s="23" t="s">
        <v>26</v>
      </c>
      <c r="I2466" s="24" t="s">
        <v>27</v>
      </c>
      <c r="J2466" s="19" t="s">
        <v>53</v>
      </c>
      <c r="K2466" s="14">
        <v>10.0</v>
      </c>
      <c r="L2466" s="7"/>
      <c r="M2466" s="7"/>
      <c r="N2466" s="7"/>
      <c r="O2466" s="7"/>
      <c r="P2466" s="7"/>
      <c r="Q2466" s="7"/>
      <c r="R2466" s="7"/>
      <c r="S2466" s="7"/>
      <c r="T2466" s="7"/>
      <c r="U2466" s="7"/>
      <c r="V2466" s="7"/>
      <c r="W2466" s="7"/>
      <c r="X2466" s="7"/>
      <c r="Y2466" s="7"/>
    </row>
    <row r="2467">
      <c r="A2467" s="14" t="s">
        <v>8956</v>
      </c>
      <c r="B2467" s="17" t="s">
        <v>8957</v>
      </c>
      <c r="C2467" s="17" t="s">
        <v>8958</v>
      </c>
      <c r="D2467" s="19" t="s">
        <v>8959</v>
      </c>
      <c r="E2467" s="20" t="s">
        <v>112</v>
      </c>
      <c r="F2467" s="21">
        <v>23923.0</v>
      </c>
      <c r="G2467" s="14">
        <v>61.0</v>
      </c>
      <c r="H2467" s="23" t="s">
        <v>26</v>
      </c>
      <c r="I2467" s="24" t="s">
        <v>33</v>
      </c>
      <c r="J2467" s="19" t="s">
        <v>282</v>
      </c>
      <c r="K2467" s="14">
        <v>13.0</v>
      </c>
      <c r="L2467" s="7"/>
      <c r="M2467" s="7"/>
      <c r="N2467" s="7"/>
      <c r="O2467" s="7"/>
      <c r="P2467" s="7"/>
      <c r="Q2467" s="7"/>
      <c r="R2467" s="7"/>
      <c r="S2467" s="7"/>
      <c r="T2467" s="7"/>
      <c r="U2467" s="7"/>
      <c r="V2467" s="7"/>
      <c r="W2467" s="7"/>
      <c r="X2467" s="7"/>
      <c r="Y2467" s="7"/>
    </row>
    <row r="2468">
      <c r="A2468" s="14" t="s">
        <v>8960</v>
      </c>
      <c r="B2468" s="17" t="s">
        <v>8957</v>
      </c>
      <c r="C2468" s="17" t="s">
        <v>8961</v>
      </c>
      <c r="D2468" s="19" t="s">
        <v>8962</v>
      </c>
      <c r="E2468" s="20" t="s">
        <v>2038</v>
      </c>
      <c r="F2468" s="27">
        <v>37225.0</v>
      </c>
      <c r="G2468" s="14">
        <v>24.0</v>
      </c>
      <c r="H2468" s="23" t="s">
        <v>100</v>
      </c>
      <c r="I2468" s="24" t="s">
        <v>33</v>
      </c>
      <c r="J2468" s="19" t="s">
        <v>282</v>
      </c>
      <c r="K2468" s="14">
        <v>13.0</v>
      </c>
      <c r="L2468" s="7"/>
      <c r="M2468" s="7"/>
      <c r="N2468" s="7"/>
      <c r="O2468" s="7"/>
      <c r="P2468" s="7"/>
      <c r="Q2468" s="7"/>
      <c r="R2468" s="7"/>
      <c r="S2468" s="7"/>
      <c r="T2468" s="7"/>
      <c r="U2468" s="7"/>
      <c r="V2468" s="7"/>
      <c r="W2468" s="7"/>
      <c r="X2468" s="7"/>
      <c r="Y2468" s="7"/>
    </row>
    <row r="2469">
      <c r="A2469" s="14" t="s">
        <v>8963</v>
      </c>
      <c r="B2469" s="17" t="s">
        <v>8957</v>
      </c>
      <c r="C2469" s="17" t="s">
        <v>8964</v>
      </c>
      <c r="D2469" s="19" t="s">
        <v>8965</v>
      </c>
      <c r="E2469" s="20" t="s">
        <v>112</v>
      </c>
      <c r="F2469" s="21">
        <v>24288.0</v>
      </c>
      <c r="G2469" s="14">
        <v>60.0</v>
      </c>
      <c r="H2469" s="23" t="s">
        <v>26</v>
      </c>
      <c r="I2469" s="24" t="s">
        <v>27</v>
      </c>
      <c r="J2469" s="19" t="s">
        <v>282</v>
      </c>
      <c r="K2469" s="14">
        <v>13.0</v>
      </c>
      <c r="L2469" s="7"/>
      <c r="M2469" s="7"/>
      <c r="N2469" s="7"/>
      <c r="O2469" s="7"/>
      <c r="P2469" s="7"/>
      <c r="Q2469" s="7"/>
      <c r="R2469" s="7"/>
      <c r="S2469" s="7"/>
      <c r="T2469" s="7"/>
      <c r="U2469" s="7"/>
      <c r="V2469" s="7"/>
      <c r="W2469" s="7"/>
      <c r="X2469" s="7"/>
      <c r="Y2469" s="7"/>
    </row>
    <row r="2470">
      <c r="A2470" s="14" t="s">
        <v>8966</v>
      </c>
      <c r="B2470" s="17" t="s">
        <v>8967</v>
      </c>
      <c r="C2470" s="17" t="s">
        <v>8968</v>
      </c>
      <c r="D2470" s="19" t="s">
        <v>8969</v>
      </c>
      <c r="E2470" s="20" t="s">
        <v>104</v>
      </c>
      <c r="F2470" s="21">
        <v>34341.0</v>
      </c>
      <c r="G2470" s="14">
        <v>32.0</v>
      </c>
      <c r="H2470" s="23" t="s">
        <v>26</v>
      </c>
      <c r="I2470" s="24" t="s">
        <v>27</v>
      </c>
      <c r="J2470" s="19" t="s">
        <v>328</v>
      </c>
      <c r="K2470" s="14">
        <v>26.0</v>
      </c>
      <c r="L2470" s="7"/>
      <c r="M2470" s="7"/>
      <c r="N2470" s="7"/>
      <c r="O2470" s="7"/>
      <c r="P2470" s="7"/>
      <c r="Q2470" s="7"/>
      <c r="R2470" s="7"/>
      <c r="S2470" s="7"/>
      <c r="T2470" s="7"/>
      <c r="U2470" s="7"/>
      <c r="V2470" s="7"/>
      <c r="W2470" s="7"/>
      <c r="X2470" s="7"/>
      <c r="Y2470" s="7"/>
    </row>
    <row r="2471">
      <c r="A2471" s="14" t="s">
        <v>8970</v>
      </c>
      <c r="B2471" s="17" t="s">
        <v>8967</v>
      </c>
      <c r="C2471" s="17" t="s">
        <v>8971</v>
      </c>
      <c r="D2471" s="19" t="s">
        <v>8972</v>
      </c>
      <c r="E2471" s="20" t="s">
        <v>53</v>
      </c>
      <c r="F2471" s="21">
        <v>33389.0</v>
      </c>
      <c r="G2471" s="14">
        <v>35.0</v>
      </c>
      <c r="H2471" s="23" t="s">
        <v>26</v>
      </c>
      <c r="I2471" s="24" t="s">
        <v>33</v>
      </c>
      <c r="J2471" s="19" t="s">
        <v>328</v>
      </c>
      <c r="K2471" s="14">
        <v>26.0</v>
      </c>
      <c r="L2471" s="7"/>
      <c r="M2471" s="7"/>
      <c r="N2471" s="7"/>
      <c r="O2471" s="7"/>
      <c r="P2471" s="7"/>
      <c r="Q2471" s="7"/>
      <c r="R2471" s="7"/>
      <c r="S2471" s="7"/>
      <c r="T2471" s="7"/>
      <c r="U2471" s="7"/>
      <c r="V2471" s="7"/>
      <c r="W2471" s="7"/>
      <c r="X2471" s="7"/>
      <c r="Y2471" s="7"/>
    </row>
    <row r="2472">
      <c r="A2472" s="14" t="s">
        <v>8973</v>
      </c>
      <c r="B2472" s="17" t="s">
        <v>8974</v>
      </c>
      <c r="C2472" s="17" t="s">
        <v>8975</v>
      </c>
      <c r="D2472" s="19" t="s">
        <v>8976</v>
      </c>
      <c r="E2472" s="20" t="s">
        <v>736</v>
      </c>
      <c r="F2472" s="21">
        <v>35335.0</v>
      </c>
      <c r="G2472" s="14">
        <v>29.0</v>
      </c>
      <c r="H2472" s="23" t="s">
        <v>26</v>
      </c>
      <c r="I2472" s="24" t="s">
        <v>27</v>
      </c>
      <c r="J2472" s="19" t="s">
        <v>156</v>
      </c>
      <c r="K2472" s="14">
        <v>31.0</v>
      </c>
      <c r="L2472" s="7"/>
      <c r="M2472" s="7"/>
      <c r="N2472" s="7"/>
      <c r="O2472" s="7"/>
      <c r="P2472" s="7"/>
      <c r="Q2472" s="7"/>
      <c r="R2472" s="7"/>
      <c r="S2472" s="7"/>
      <c r="T2472" s="7"/>
      <c r="U2472" s="7"/>
      <c r="V2472" s="7"/>
      <c r="W2472" s="7"/>
      <c r="X2472" s="7"/>
      <c r="Y2472" s="7"/>
    </row>
    <row r="2473">
      <c r="A2473" s="14" t="s">
        <v>8977</v>
      </c>
      <c r="B2473" s="17" t="s">
        <v>8974</v>
      </c>
      <c r="C2473" s="17" t="s">
        <v>8978</v>
      </c>
      <c r="D2473" s="19" t="s">
        <v>8979</v>
      </c>
      <c r="E2473" s="20" t="s">
        <v>337</v>
      </c>
      <c r="F2473" s="21">
        <v>35534.0</v>
      </c>
      <c r="G2473" s="14">
        <v>29.0</v>
      </c>
      <c r="H2473" s="23" t="s">
        <v>26</v>
      </c>
      <c r="I2473" s="24" t="s">
        <v>33</v>
      </c>
      <c r="J2473" s="19" t="s">
        <v>156</v>
      </c>
      <c r="K2473" s="14">
        <v>31.0</v>
      </c>
      <c r="L2473" s="7"/>
      <c r="M2473" s="7"/>
      <c r="N2473" s="7"/>
      <c r="O2473" s="7"/>
      <c r="P2473" s="7"/>
      <c r="Q2473" s="7"/>
      <c r="R2473" s="7"/>
      <c r="S2473" s="7"/>
      <c r="T2473" s="7"/>
      <c r="U2473" s="7"/>
      <c r="V2473" s="7"/>
      <c r="W2473" s="7"/>
      <c r="X2473" s="7"/>
      <c r="Y2473" s="7"/>
    </row>
    <row r="2474">
      <c r="A2474" s="14" t="s">
        <v>8980</v>
      </c>
      <c r="B2474" s="17" t="s">
        <v>8981</v>
      </c>
      <c r="C2474" s="17" t="s">
        <v>8982</v>
      </c>
      <c r="D2474" s="19" t="s">
        <v>8983</v>
      </c>
      <c r="E2474" s="20" t="s">
        <v>53</v>
      </c>
      <c r="F2474" s="21">
        <v>30047.0</v>
      </c>
      <c r="G2474" s="14">
        <v>44.0</v>
      </c>
      <c r="H2474" s="23" t="s">
        <v>26</v>
      </c>
      <c r="I2474" s="24" t="s">
        <v>33</v>
      </c>
      <c r="J2474" s="19" t="s">
        <v>68</v>
      </c>
      <c r="K2474" s="14">
        <v>34.0</v>
      </c>
      <c r="L2474" s="7"/>
      <c r="M2474" s="7"/>
      <c r="N2474" s="7"/>
      <c r="O2474" s="7"/>
      <c r="P2474" s="7"/>
      <c r="Q2474" s="7"/>
      <c r="R2474" s="7"/>
      <c r="S2474" s="7"/>
      <c r="T2474" s="7"/>
      <c r="U2474" s="7"/>
      <c r="V2474" s="7"/>
      <c r="W2474" s="7"/>
      <c r="X2474" s="7"/>
      <c r="Y2474" s="7"/>
    </row>
    <row r="2475">
      <c r="A2475" s="14" t="s">
        <v>8984</v>
      </c>
      <c r="B2475" s="17" t="s">
        <v>8981</v>
      </c>
      <c r="C2475" s="17" t="s">
        <v>8985</v>
      </c>
      <c r="D2475" s="19" t="s">
        <v>8986</v>
      </c>
      <c r="E2475" s="20" t="s">
        <v>53</v>
      </c>
      <c r="F2475" s="21">
        <v>37841.0</v>
      </c>
      <c r="G2475" s="14">
        <v>23.0</v>
      </c>
      <c r="H2475" s="23" t="s">
        <v>100</v>
      </c>
      <c r="I2475" s="24" t="s">
        <v>27</v>
      </c>
      <c r="J2475" s="19" t="s">
        <v>68</v>
      </c>
      <c r="K2475" s="14">
        <v>34.0</v>
      </c>
      <c r="L2475" s="7"/>
      <c r="M2475" s="7"/>
      <c r="N2475" s="7"/>
      <c r="O2475" s="7"/>
      <c r="P2475" s="7"/>
      <c r="Q2475" s="7"/>
      <c r="R2475" s="7"/>
      <c r="S2475" s="7"/>
      <c r="T2475" s="7"/>
      <c r="U2475" s="7"/>
      <c r="V2475" s="7"/>
      <c r="W2475" s="7"/>
      <c r="X2475" s="7"/>
      <c r="Y2475" s="7"/>
    </row>
    <row r="2476">
      <c r="A2476" s="14" t="s">
        <v>8987</v>
      </c>
      <c r="B2476" s="17" t="s">
        <v>8988</v>
      </c>
      <c r="C2476" s="17" t="s">
        <v>8989</v>
      </c>
      <c r="D2476" s="19" t="s">
        <v>8990</v>
      </c>
      <c r="E2476" s="20" t="s">
        <v>104</v>
      </c>
      <c r="F2476" s="21">
        <v>32240.0</v>
      </c>
      <c r="G2476" s="14">
        <v>38.0</v>
      </c>
      <c r="H2476" s="23" t="s">
        <v>26</v>
      </c>
      <c r="I2476" s="24" t="s">
        <v>33</v>
      </c>
      <c r="J2476" s="19" t="s">
        <v>726</v>
      </c>
      <c r="K2476" s="14">
        <v>12.0</v>
      </c>
      <c r="L2476" s="7"/>
      <c r="M2476" s="7"/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</row>
    <row r="2477">
      <c r="A2477" s="14" t="s">
        <v>8991</v>
      </c>
      <c r="B2477" s="17" t="s">
        <v>8988</v>
      </c>
      <c r="C2477" s="17" t="s">
        <v>8992</v>
      </c>
      <c r="D2477" s="19" t="s">
        <v>8993</v>
      </c>
      <c r="E2477" s="20" t="s">
        <v>67</v>
      </c>
      <c r="F2477" s="21">
        <v>31254.0</v>
      </c>
      <c r="G2477" s="14">
        <v>41.0</v>
      </c>
      <c r="H2477" s="23" t="s">
        <v>26</v>
      </c>
      <c r="I2477" s="24" t="s">
        <v>27</v>
      </c>
      <c r="J2477" s="19" t="s">
        <v>726</v>
      </c>
      <c r="K2477" s="14">
        <v>12.0</v>
      </c>
      <c r="L2477" s="7"/>
      <c r="M2477" s="7"/>
      <c r="N2477" s="7"/>
      <c r="O2477" s="7"/>
      <c r="P2477" s="7"/>
      <c r="Q2477" s="7"/>
      <c r="R2477" s="7"/>
      <c r="S2477" s="7"/>
      <c r="T2477" s="7"/>
      <c r="U2477" s="7"/>
      <c r="V2477" s="7"/>
      <c r="W2477" s="7"/>
      <c r="X2477" s="7"/>
      <c r="Y2477" s="7"/>
    </row>
    <row r="2478">
      <c r="A2478" s="14" t="s">
        <v>8994</v>
      </c>
      <c r="B2478" s="17" t="s">
        <v>8995</v>
      </c>
      <c r="C2478" s="17" t="s">
        <v>8996</v>
      </c>
      <c r="D2478" s="19" t="s">
        <v>8997</v>
      </c>
      <c r="E2478" s="20" t="s">
        <v>6801</v>
      </c>
      <c r="F2478" s="21">
        <v>21043.0</v>
      </c>
      <c r="G2478" s="14">
        <v>69.0</v>
      </c>
      <c r="H2478" s="23" t="s">
        <v>26</v>
      </c>
      <c r="I2478" s="24" t="s">
        <v>33</v>
      </c>
      <c r="J2478" s="19" t="s">
        <v>6797</v>
      </c>
      <c r="K2478" s="14">
        <v>8.0</v>
      </c>
      <c r="L2478" s="7"/>
      <c r="M2478" s="7"/>
      <c r="N2478" s="7"/>
      <c r="O2478" s="7"/>
      <c r="P2478" s="7"/>
      <c r="Q2478" s="7"/>
      <c r="R2478" s="7"/>
      <c r="S2478" s="7"/>
      <c r="T2478" s="7"/>
      <c r="U2478" s="7"/>
      <c r="V2478" s="7"/>
      <c r="W2478" s="7"/>
      <c r="X2478" s="7"/>
      <c r="Y2478" s="7"/>
    </row>
    <row r="2479">
      <c r="A2479" s="14" t="s">
        <v>8998</v>
      </c>
      <c r="B2479" s="17" t="s">
        <v>8999</v>
      </c>
      <c r="C2479" s="17" t="s">
        <v>9000</v>
      </c>
      <c r="D2479" s="19" t="s">
        <v>9001</v>
      </c>
      <c r="E2479" s="20" t="s">
        <v>654</v>
      </c>
      <c r="F2479" s="27">
        <v>25927.0</v>
      </c>
      <c r="G2479" s="14">
        <v>55.0</v>
      </c>
      <c r="H2479" s="23" t="s">
        <v>26</v>
      </c>
      <c r="I2479" s="24" t="s">
        <v>27</v>
      </c>
      <c r="J2479" s="19" t="s">
        <v>726</v>
      </c>
      <c r="K2479" s="14">
        <v>11.0</v>
      </c>
      <c r="L2479" s="7"/>
      <c r="M2479" s="7"/>
      <c r="N2479" s="7"/>
      <c r="O2479" s="7"/>
      <c r="P2479" s="7"/>
      <c r="Q2479" s="7"/>
      <c r="R2479" s="7"/>
      <c r="S2479" s="7"/>
      <c r="T2479" s="7"/>
      <c r="U2479" s="7"/>
      <c r="V2479" s="7"/>
      <c r="W2479" s="7"/>
      <c r="X2479" s="7"/>
      <c r="Y2479" s="7"/>
    </row>
    <row r="2480">
      <c r="A2480" s="14" t="s">
        <v>9002</v>
      </c>
      <c r="B2480" s="17" t="s">
        <v>9003</v>
      </c>
      <c r="C2480" s="17" t="s">
        <v>9004</v>
      </c>
      <c r="D2480" s="19" t="s">
        <v>9005</v>
      </c>
      <c r="E2480" s="20" t="s">
        <v>104</v>
      </c>
      <c r="F2480" s="21">
        <v>31633.0</v>
      </c>
      <c r="G2480" s="14">
        <v>40.0</v>
      </c>
      <c r="H2480" s="23" t="s">
        <v>26</v>
      </c>
      <c r="I2480" s="24" t="s">
        <v>27</v>
      </c>
      <c r="J2480" s="19" t="s">
        <v>282</v>
      </c>
      <c r="K2480" s="14">
        <v>17.0</v>
      </c>
      <c r="L2480" s="7"/>
      <c r="M2480" s="7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</row>
    <row r="2481">
      <c r="A2481" s="14" t="s">
        <v>9006</v>
      </c>
      <c r="B2481" s="17" t="s">
        <v>9003</v>
      </c>
      <c r="C2481" s="17" t="s">
        <v>9007</v>
      </c>
      <c r="D2481" s="19" t="s">
        <v>9008</v>
      </c>
      <c r="E2481" s="20" t="s">
        <v>2680</v>
      </c>
      <c r="F2481" s="21">
        <v>30856.0</v>
      </c>
      <c r="G2481" s="14">
        <v>42.0</v>
      </c>
      <c r="H2481" s="23" t="s">
        <v>26</v>
      </c>
      <c r="I2481" s="24" t="s">
        <v>33</v>
      </c>
      <c r="J2481" s="19" t="s">
        <v>282</v>
      </c>
      <c r="K2481" s="14">
        <v>17.0</v>
      </c>
      <c r="L2481" s="7"/>
      <c r="M2481" s="7"/>
      <c r="N2481" s="7"/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7"/>
    </row>
    <row r="2482">
      <c r="A2482" s="14" t="s">
        <v>9009</v>
      </c>
      <c r="B2482" s="17" t="s">
        <v>9010</v>
      </c>
      <c r="C2482" s="17" t="s">
        <v>9011</v>
      </c>
      <c r="D2482" s="19" t="s">
        <v>9012</v>
      </c>
      <c r="E2482" s="20" t="s">
        <v>104</v>
      </c>
      <c r="F2482" s="21">
        <v>38991.0</v>
      </c>
      <c r="G2482" s="14">
        <v>19.0</v>
      </c>
      <c r="H2482" s="23" t="s">
        <v>100</v>
      </c>
      <c r="I2482" s="24" t="s">
        <v>33</v>
      </c>
      <c r="J2482" s="19" t="s">
        <v>68</v>
      </c>
      <c r="K2482" s="14">
        <v>35.0</v>
      </c>
      <c r="L2482" s="7"/>
      <c r="M2482" s="7"/>
      <c r="N2482" s="7"/>
      <c r="O2482" s="7"/>
      <c r="P2482" s="7"/>
      <c r="Q2482" s="7"/>
      <c r="R2482" s="7"/>
      <c r="S2482" s="7"/>
      <c r="T2482" s="7"/>
      <c r="U2482" s="7"/>
      <c r="V2482" s="7"/>
      <c r="W2482" s="7"/>
      <c r="X2482" s="7"/>
      <c r="Y2482" s="7"/>
    </row>
    <row r="2483">
      <c r="A2483" s="14" t="s">
        <v>9013</v>
      </c>
      <c r="B2483" s="17" t="s">
        <v>9010</v>
      </c>
      <c r="C2483" s="17" t="s">
        <v>9014</v>
      </c>
      <c r="D2483" s="19" t="s">
        <v>9015</v>
      </c>
      <c r="E2483" s="20" t="s">
        <v>2680</v>
      </c>
      <c r="F2483" s="21">
        <v>37475.0</v>
      </c>
      <c r="G2483" s="14">
        <v>24.0</v>
      </c>
      <c r="H2483" s="23" t="s">
        <v>100</v>
      </c>
      <c r="I2483" s="24" t="s">
        <v>27</v>
      </c>
      <c r="J2483" s="19" t="s">
        <v>68</v>
      </c>
      <c r="K2483" s="14">
        <v>35.0</v>
      </c>
      <c r="L2483" s="7"/>
      <c r="M2483" s="7"/>
      <c r="N2483" s="7"/>
      <c r="O2483" s="7"/>
      <c r="P2483" s="7"/>
      <c r="Q2483" s="7"/>
      <c r="R2483" s="7"/>
      <c r="S2483" s="7"/>
      <c r="T2483" s="7"/>
      <c r="U2483" s="7"/>
      <c r="V2483" s="7"/>
      <c r="W2483" s="7"/>
      <c r="X2483" s="7"/>
      <c r="Y2483" s="7"/>
    </row>
    <row r="2484">
      <c r="A2484" s="14" t="s">
        <v>9016</v>
      </c>
      <c r="B2484" s="17" t="s">
        <v>9010</v>
      </c>
      <c r="C2484" s="17" t="s">
        <v>9017</v>
      </c>
      <c r="D2484" s="19" t="s">
        <v>9018</v>
      </c>
      <c r="E2484" s="20" t="s">
        <v>53</v>
      </c>
      <c r="F2484" s="21">
        <v>28576.0</v>
      </c>
      <c r="G2484" s="14">
        <v>48.0</v>
      </c>
      <c r="H2484" s="23" t="s">
        <v>26</v>
      </c>
      <c r="I2484" s="24" t="s">
        <v>33</v>
      </c>
      <c r="J2484" s="19" t="s">
        <v>68</v>
      </c>
      <c r="K2484" s="14">
        <v>35.0</v>
      </c>
      <c r="L2484" s="7"/>
      <c r="M2484" s="7"/>
      <c r="N2484" s="7"/>
      <c r="O2484" s="7"/>
      <c r="P2484" s="7"/>
      <c r="Q2484" s="7"/>
      <c r="R2484" s="7"/>
      <c r="S2484" s="7"/>
      <c r="T2484" s="7"/>
      <c r="U2484" s="7"/>
      <c r="V2484" s="7"/>
      <c r="W2484" s="7"/>
      <c r="X2484" s="7"/>
      <c r="Y2484" s="7"/>
    </row>
    <row r="2485">
      <c r="A2485" s="14" t="s">
        <v>9019</v>
      </c>
      <c r="B2485" s="17" t="s">
        <v>9010</v>
      </c>
      <c r="C2485" s="17" t="s">
        <v>9020</v>
      </c>
      <c r="D2485" s="19" t="s">
        <v>9021</v>
      </c>
      <c r="E2485" s="20" t="s">
        <v>1782</v>
      </c>
      <c r="F2485" s="21">
        <v>28875.0</v>
      </c>
      <c r="G2485" s="14">
        <v>47.0</v>
      </c>
      <c r="H2485" s="23" t="s">
        <v>26</v>
      </c>
      <c r="I2485" s="24" t="s">
        <v>27</v>
      </c>
      <c r="J2485" s="19" t="s">
        <v>68</v>
      </c>
      <c r="K2485" s="14">
        <v>35.0</v>
      </c>
      <c r="L2485" s="7"/>
      <c r="M2485" s="7"/>
      <c r="N2485" s="7"/>
      <c r="O2485" s="7"/>
      <c r="P2485" s="7"/>
      <c r="Q2485" s="7"/>
      <c r="R2485" s="7"/>
      <c r="S2485" s="7"/>
      <c r="T2485" s="7"/>
      <c r="U2485" s="7"/>
      <c r="V2485" s="7"/>
      <c r="W2485" s="7"/>
      <c r="X2485" s="7"/>
      <c r="Y2485" s="7"/>
    </row>
    <row r="2486">
      <c r="A2486" s="14" t="s">
        <v>9022</v>
      </c>
      <c r="B2486" s="17" t="s">
        <v>9023</v>
      </c>
      <c r="C2486" s="17" t="s">
        <v>9024</v>
      </c>
      <c r="D2486" s="19" t="s">
        <v>9025</v>
      </c>
      <c r="E2486" s="20" t="s">
        <v>9026</v>
      </c>
      <c r="F2486" s="21">
        <v>31605.0</v>
      </c>
      <c r="G2486" s="14">
        <v>40.0</v>
      </c>
      <c r="H2486" s="23" t="s">
        <v>27</v>
      </c>
      <c r="I2486" s="24" t="s">
        <v>27</v>
      </c>
      <c r="J2486" s="19" t="s">
        <v>146</v>
      </c>
      <c r="K2486" s="14">
        <v>8.0</v>
      </c>
      <c r="L2486" s="7"/>
      <c r="M2486" s="7"/>
      <c r="N2486" s="7"/>
      <c r="O2486" s="7"/>
      <c r="P2486" s="7"/>
      <c r="Q2486" s="7"/>
      <c r="R2486" s="7"/>
      <c r="S2486" s="7"/>
      <c r="T2486" s="7"/>
      <c r="U2486" s="7"/>
      <c r="V2486" s="7"/>
      <c r="W2486" s="7"/>
      <c r="X2486" s="7"/>
      <c r="Y2486" s="7"/>
    </row>
    <row r="2487">
      <c r="A2487" s="14" t="s">
        <v>9027</v>
      </c>
      <c r="B2487" s="17" t="s">
        <v>9028</v>
      </c>
      <c r="C2487" s="17" t="s">
        <v>9029</v>
      </c>
      <c r="D2487" s="19" t="s">
        <v>9030</v>
      </c>
      <c r="E2487" s="20" t="s">
        <v>337</v>
      </c>
      <c r="F2487" s="21">
        <v>34759.0</v>
      </c>
      <c r="G2487" s="14">
        <v>31.0</v>
      </c>
      <c r="H2487" s="23" t="s">
        <v>26</v>
      </c>
      <c r="I2487" s="24" t="s">
        <v>27</v>
      </c>
      <c r="J2487" s="19" t="s">
        <v>58</v>
      </c>
      <c r="K2487" s="14">
        <v>9.0</v>
      </c>
      <c r="L2487" s="7"/>
      <c r="M2487" s="7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</row>
    <row r="2488">
      <c r="A2488" s="14" t="s">
        <v>9031</v>
      </c>
      <c r="B2488" s="17" t="s">
        <v>9028</v>
      </c>
      <c r="C2488" s="17" t="s">
        <v>9032</v>
      </c>
      <c r="D2488" s="19" t="s">
        <v>9033</v>
      </c>
      <c r="E2488" s="20" t="s">
        <v>7673</v>
      </c>
      <c r="F2488" s="21">
        <v>34750.0</v>
      </c>
      <c r="G2488" s="14">
        <v>31.0</v>
      </c>
      <c r="H2488" s="23" t="s">
        <v>26</v>
      </c>
      <c r="I2488" s="24" t="s">
        <v>33</v>
      </c>
      <c r="J2488" s="19" t="s">
        <v>58</v>
      </c>
      <c r="K2488" s="14">
        <v>9.0</v>
      </c>
      <c r="L2488" s="7"/>
      <c r="M2488" s="7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</row>
    <row r="2489">
      <c r="A2489" s="14" t="s">
        <v>9034</v>
      </c>
      <c r="B2489" s="17" t="s">
        <v>9035</v>
      </c>
      <c r="C2489" s="17" t="s">
        <v>9036</v>
      </c>
      <c r="D2489" s="19" t="s">
        <v>9037</v>
      </c>
      <c r="E2489" s="20" t="s">
        <v>53</v>
      </c>
      <c r="F2489" s="27">
        <v>34331.0</v>
      </c>
      <c r="G2489" s="14">
        <v>32.0</v>
      </c>
      <c r="H2489" s="23" t="s">
        <v>26</v>
      </c>
      <c r="I2489" s="24" t="s">
        <v>33</v>
      </c>
      <c r="J2489" s="19" t="s">
        <v>58</v>
      </c>
      <c r="K2489" s="14">
        <v>6.0</v>
      </c>
      <c r="L2489" s="7"/>
      <c r="M2489" s="7"/>
      <c r="N2489" s="7"/>
      <c r="O2489" s="7"/>
      <c r="P2489" s="7"/>
      <c r="Q2489" s="7"/>
      <c r="R2489" s="7"/>
      <c r="S2489" s="7"/>
      <c r="T2489" s="7"/>
      <c r="U2489" s="7"/>
      <c r="V2489" s="7"/>
      <c r="W2489" s="7"/>
      <c r="X2489" s="7"/>
      <c r="Y2489" s="7"/>
    </row>
    <row r="2490">
      <c r="A2490" s="14" t="s">
        <v>9038</v>
      </c>
      <c r="B2490" s="17" t="s">
        <v>9035</v>
      </c>
      <c r="C2490" s="17" t="s">
        <v>9039</v>
      </c>
      <c r="D2490" s="19" t="s">
        <v>9040</v>
      </c>
      <c r="E2490" s="20" t="s">
        <v>1291</v>
      </c>
      <c r="F2490" s="21">
        <v>36980.0</v>
      </c>
      <c r="G2490" s="14">
        <v>25.0</v>
      </c>
      <c r="H2490" s="23" t="s">
        <v>26</v>
      </c>
      <c r="I2490" s="24" t="s">
        <v>27</v>
      </c>
      <c r="J2490" s="19" t="s">
        <v>58</v>
      </c>
      <c r="K2490" s="14">
        <v>6.0</v>
      </c>
      <c r="L2490" s="7"/>
      <c r="M2490" s="7"/>
      <c r="N2490" s="7"/>
      <c r="O2490" s="7"/>
      <c r="P2490" s="7"/>
      <c r="Q2490" s="7"/>
      <c r="R2490" s="7"/>
      <c r="S2490" s="7"/>
      <c r="T2490" s="7"/>
      <c r="U2490" s="7"/>
      <c r="V2490" s="7"/>
      <c r="W2490" s="7"/>
      <c r="X2490" s="7"/>
      <c r="Y2490" s="7"/>
    </row>
    <row r="2491">
      <c r="A2491" s="14" t="s">
        <v>9041</v>
      </c>
      <c r="B2491" s="17" t="s">
        <v>9042</v>
      </c>
      <c r="C2491" s="17" t="s">
        <v>9043</v>
      </c>
      <c r="D2491" s="19" t="s">
        <v>9044</v>
      </c>
      <c r="E2491" s="20" t="s">
        <v>9045</v>
      </c>
      <c r="F2491" s="21">
        <v>35311.0</v>
      </c>
      <c r="G2491" s="14">
        <v>29.0</v>
      </c>
      <c r="H2491" s="23" t="s">
        <v>26</v>
      </c>
      <c r="I2491" s="24" t="s">
        <v>33</v>
      </c>
      <c r="J2491" s="19" t="s">
        <v>362</v>
      </c>
      <c r="K2491" s="14">
        <v>25.0</v>
      </c>
      <c r="L2491" s="7"/>
      <c r="M2491" s="7"/>
      <c r="N2491" s="7"/>
      <c r="O2491" s="7"/>
      <c r="P2491" s="7"/>
      <c r="Q2491" s="7"/>
      <c r="R2491" s="7"/>
      <c r="S2491" s="7"/>
      <c r="T2491" s="7"/>
      <c r="U2491" s="7"/>
      <c r="V2491" s="7"/>
      <c r="W2491" s="7"/>
      <c r="X2491" s="7"/>
      <c r="Y2491" s="7"/>
    </row>
    <row r="2492">
      <c r="A2492" s="14" t="s">
        <v>9046</v>
      </c>
      <c r="B2492" s="17" t="s">
        <v>9042</v>
      </c>
      <c r="C2492" s="17" t="s">
        <v>9047</v>
      </c>
      <c r="D2492" s="19" t="s">
        <v>9048</v>
      </c>
      <c r="E2492" s="20" t="s">
        <v>104</v>
      </c>
      <c r="F2492" s="21">
        <v>34886.0</v>
      </c>
      <c r="G2492" s="14">
        <v>31.0</v>
      </c>
      <c r="H2492" s="23" t="s">
        <v>26</v>
      </c>
      <c r="I2492" s="24" t="s">
        <v>27</v>
      </c>
      <c r="J2492" s="19" t="s">
        <v>362</v>
      </c>
      <c r="K2492" s="14">
        <v>25.0</v>
      </c>
      <c r="L2492" s="7"/>
      <c r="M2492" s="7"/>
      <c r="N2492" s="7"/>
      <c r="O2492" s="7"/>
      <c r="P2492" s="7"/>
      <c r="Q2492" s="7"/>
      <c r="R2492" s="7"/>
      <c r="S2492" s="7"/>
      <c r="T2492" s="7"/>
      <c r="U2492" s="7"/>
      <c r="V2492" s="7"/>
      <c r="W2492" s="7"/>
      <c r="X2492" s="7"/>
      <c r="Y2492" s="7"/>
    </row>
    <row r="2493">
      <c r="A2493" s="14" t="s">
        <v>9049</v>
      </c>
      <c r="B2493" s="17" t="s">
        <v>9050</v>
      </c>
      <c r="C2493" s="17" t="s">
        <v>9051</v>
      </c>
      <c r="D2493" s="19" t="s">
        <v>9052</v>
      </c>
      <c r="E2493" s="20" t="s">
        <v>104</v>
      </c>
      <c r="F2493" s="21">
        <v>30589.0</v>
      </c>
      <c r="G2493" s="14">
        <v>42.0</v>
      </c>
      <c r="H2493" s="23" t="s">
        <v>100</v>
      </c>
      <c r="I2493" s="24" t="s">
        <v>33</v>
      </c>
      <c r="J2493" s="19" t="s">
        <v>282</v>
      </c>
      <c r="K2493" s="14">
        <v>17.0</v>
      </c>
      <c r="L2493" s="7"/>
      <c r="M2493" s="7"/>
      <c r="N2493" s="7"/>
      <c r="O2493" s="7"/>
      <c r="P2493" s="7"/>
      <c r="Q2493" s="7"/>
      <c r="R2493" s="7"/>
      <c r="S2493" s="7"/>
      <c r="T2493" s="7"/>
      <c r="U2493" s="7"/>
      <c r="V2493" s="7"/>
      <c r="W2493" s="7"/>
      <c r="X2493" s="7"/>
      <c r="Y2493" s="7"/>
    </row>
    <row r="2494">
      <c r="A2494" s="14" t="s">
        <v>9053</v>
      </c>
      <c r="B2494" s="17" t="s">
        <v>9050</v>
      </c>
      <c r="C2494" s="17" t="s">
        <v>9054</v>
      </c>
      <c r="D2494" s="19" t="s">
        <v>9055</v>
      </c>
      <c r="E2494" s="20" t="s">
        <v>9056</v>
      </c>
      <c r="F2494" s="21">
        <v>16225.0</v>
      </c>
      <c r="G2494" s="14">
        <v>82.0</v>
      </c>
      <c r="H2494" s="23" t="s">
        <v>26</v>
      </c>
      <c r="I2494" s="24" t="s">
        <v>33</v>
      </c>
      <c r="J2494" s="19" t="s">
        <v>282</v>
      </c>
      <c r="K2494" s="14">
        <v>17.0</v>
      </c>
      <c r="L2494" s="7"/>
      <c r="M2494" s="7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</row>
    <row r="2495">
      <c r="A2495" s="14" t="s">
        <v>9057</v>
      </c>
      <c r="B2495" s="17" t="s">
        <v>9050</v>
      </c>
      <c r="C2495" s="17" t="s">
        <v>9058</v>
      </c>
      <c r="D2495" s="19" t="s">
        <v>9059</v>
      </c>
      <c r="E2495" s="20" t="s">
        <v>9056</v>
      </c>
      <c r="F2495" s="21">
        <v>19119.0</v>
      </c>
      <c r="G2495" s="14">
        <v>74.0</v>
      </c>
      <c r="H2495" s="23" t="s">
        <v>26</v>
      </c>
      <c r="I2495" s="24" t="s">
        <v>27</v>
      </c>
      <c r="J2495" s="19" t="s">
        <v>282</v>
      </c>
      <c r="K2495" s="14">
        <v>17.0</v>
      </c>
      <c r="L2495" s="7"/>
      <c r="M2495" s="7"/>
      <c r="N2495" s="7"/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7"/>
    </row>
    <row r="2496">
      <c r="A2496" s="14" t="s">
        <v>9060</v>
      </c>
      <c r="B2496" s="17" t="s">
        <v>9061</v>
      </c>
      <c r="C2496" s="17" t="s">
        <v>9062</v>
      </c>
      <c r="D2496" s="19" t="s">
        <v>9063</v>
      </c>
      <c r="E2496" s="20" t="s">
        <v>67</v>
      </c>
      <c r="F2496" s="21">
        <v>37516.0</v>
      </c>
      <c r="G2496" s="14">
        <v>23.0</v>
      </c>
      <c r="H2496" s="23" t="s">
        <v>100</v>
      </c>
      <c r="I2496" s="24" t="s">
        <v>33</v>
      </c>
      <c r="J2496" s="19" t="s">
        <v>53</v>
      </c>
      <c r="K2496" s="14">
        <v>32.0</v>
      </c>
      <c r="L2496" s="7"/>
      <c r="M2496" s="7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</row>
    <row r="2497">
      <c r="A2497" s="14" t="s">
        <v>9064</v>
      </c>
      <c r="B2497" s="17" t="s">
        <v>9065</v>
      </c>
      <c r="C2497" s="17" t="s">
        <v>9066</v>
      </c>
      <c r="D2497" s="19" t="s">
        <v>9067</v>
      </c>
      <c r="E2497" s="20" t="s">
        <v>53</v>
      </c>
      <c r="F2497" s="21">
        <v>35939.0</v>
      </c>
      <c r="G2497" s="14">
        <v>28.0</v>
      </c>
      <c r="H2497" s="23" t="s">
        <v>26</v>
      </c>
      <c r="I2497" s="24" t="s">
        <v>33</v>
      </c>
      <c r="J2497" s="19" t="s">
        <v>68</v>
      </c>
      <c r="K2497" s="14">
        <v>32.0</v>
      </c>
      <c r="L2497" s="7"/>
      <c r="M2497" s="7"/>
      <c r="N2497" s="7"/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7"/>
    </row>
    <row r="2498">
      <c r="A2498" s="14" t="s">
        <v>9068</v>
      </c>
      <c r="B2498" s="17" t="s">
        <v>9065</v>
      </c>
      <c r="C2498" s="17" t="s">
        <v>9069</v>
      </c>
      <c r="D2498" s="19" t="s">
        <v>9070</v>
      </c>
      <c r="E2498" s="20" t="s">
        <v>104</v>
      </c>
      <c r="F2498" s="21">
        <v>37006.0</v>
      </c>
      <c r="G2498" s="14">
        <v>25.0</v>
      </c>
      <c r="H2498" s="23" t="s">
        <v>26</v>
      </c>
      <c r="I2498" s="24" t="s">
        <v>27</v>
      </c>
      <c r="J2498" s="19" t="s">
        <v>68</v>
      </c>
      <c r="K2498" s="14">
        <v>32.0</v>
      </c>
      <c r="L2498" s="7"/>
      <c r="M2498" s="7"/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</row>
    <row r="2499">
      <c r="A2499" s="14" t="s">
        <v>9071</v>
      </c>
      <c r="B2499" s="17" t="s">
        <v>9072</v>
      </c>
      <c r="C2499" s="17" t="s">
        <v>9073</v>
      </c>
      <c r="D2499" s="19" t="s">
        <v>9074</v>
      </c>
      <c r="E2499" s="20" t="s">
        <v>2349</v>
      </c>
      <c r="F2499" s="21">
        <v>35081.0</v>
      </c>
      <c r="G2499" s="14">
        <v>30.0</v>
      </c>
      <c r="H2499" s="23" t="s">
        <v>26</v>
      </c>
      <c r="I2499" s="24" t="s">
        <v>33</v>
      </c>
      <c r="J2499" s="19" t="s">
        <v>206</v>
      </c>
      <c r="K2499" s="14">
        <v>3.0</v>
      </c>
      <c r="L2499" s="7"/>
      <c r="M2499" s="7"/>
      <c r="N2499" s="7"/>
      <c r="O2499" s="7"/>
      <c r="P2499" s="7"/>
      <c r="Q2499" s="7"/>
      <c r="R2499" s="7"/>
      <c r="S2499" s="7"/>
      <c r="T2499" s="7"/>
      <c r="U2499" s="7"/>
      <c r="V2499" s="7"/>
      <c r="W2499" s="7"/>
      <c r="X2499" s="7"/>
      <c r="Y2499" s="7"/>
    </row>
    <row r="2500">
      <c r="A2500" s="14" t="s">
        <v>9075</v>
      </c>
      <c r="B2500" s="17" t="s">
        <v>9072</v>
      </c>
      <c r="C2500" s="17" t="s">
        <v>9076</v>
      </c>
      <c r="D2500" s="19" t="s">
        <v>9077</v>
      </c>
      <c r="E2500" s="20" t="s">
        <v>274</v>
      </c>
      <c r="F2500" s="21">
        <v>34616.0</v>
      </c>
      <c r="G2500" s="14">
        <v>31.0</v>
      </c>
      <c r="H2500" s="23" t="s">
        <v>26</v>
      </c>
      <c r="I2500" s="24" t="s">
        <v>27</v>
      </c>
      <c r="J2500" s="19" t="s">
        <v>206</v>
      </c>
      <c r="K2500" s="14">
        <v>3.0</v>
      </c>
      <c r="L2500" s="7"/>
      <c r="M2500" s="7"/>
      <c r="N2500" s="7"/>
      <c r="O2500" s="7"/>
      <c r="P2500" s="7"/>
      <c r="Q2500" s="7"/>
      <c r="R2500" s="7"/>
      <c r="S2500" s="7"/>
      <c r="T2500" s="7"/>
      <c r="U2500" s="7"/>
      <c r="V2500" s="7"/>
      <c r="W2500" s="7"/>
      <c r="X2500" s="7"/>
      <c r="Y2500" s="7"/>
    </row>
    <row r="2501">
      <c r="A2501" s="14" t="s">
        <v>9078</v>
      </c>
      <c r="B2501" s="17" t="s">
        <v>9079</v>
      </c>
      <c r="C2501" s="17" t="s">
        <v>9080</v>
      </c>
      <c r="D2501" s="19" t="s">
        <v>9081</v>
      </c>
      <c r="E2501" s="20" t="s">
        <v>274</v>
      </c>
      <c r="F2501" s="21">
        <v>30560.0</v>
      </c>
      <c r="G2501" s="14">
        <v>42.0</v>
      </c>
      <c r="H2501" s="23" t="s">
        <v>26</v>
      </c>
      <c r="I2501" s="24" t="s">
        <v>27</v>
      </c>
      <c r="J2501" s="19" t="s">
        <v>362</v>
      </c>
      <c r="K2501" s="14">
        <v>24.0</v>
      </c>
      <c r="L2501" s="7"/>
      <c r="M2501" s="7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</row>
    <row r="2502">
      <c r="A2502" s="14" t="s">
        <v>9082</v>
      </c>
      <c r="B2502" s="17" t="s">
        <v>9079</v>
      </c>
      <c r="C2502" s="17" t="s">
        <v>9083</v>
      </c>
      <c r="D2502" s="19" t="s">
        <v>9084</v>
      </c>
      <c r="E2502" s="20" t="s">
        <v>104</v>
      </c>
      <c r="F2502" s="21">
        <v>38525.0</v>
      </c>
      <c r="G2502" s="14">
        <v>21.0</v>
      </c>
      <c r="H2502" s="23" t="s">
        <v>100</v>
      </c>
      <c r="I2502" s="24" t="s">
        <v>33</v>
      </c>
      <c r="J2502" s="19" t="s">
        <v>362</v>
      </c>
      <c r="K2502" s="14">
        <v>24.0</v>
      </c>
      <c r="L2502" s="7"/>
      <c r="M2502" s="7"/>
      <c r="N2502" s="7"/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7"/>
    </row>
    <row r="2503">
      <c r="A2503" s="14" t="s">
        <v>9085</v>
      </c>
      <c r="B2503" s="17" t="s">
        <v>9079</v>
      </c>
      <c r="C2503" s="17" t="s">
        <v>9086</v>
      </c>
      <c r="D2503" s="19" t="s">
        <v>2994</v>
      </c>
      <c r="E2503" s="20" t="s">
        <v>104</v>
      </c>
      <c r="F2503" s="27">
        <v>29214.0</v>
      </c>
      <c r="G2503" s="14">
        <v>46.0</v>
      </c>
      <c r="H2503" s="23" t="s">
        <v>26</v>
      </c>
      <c r="I2503" s="24" t="s">
        <v>33</v>
      </c>
      <c r="J2503" s="19" t="s">
        <v>362</v>
      </c>
      <c r="K2503" s="14">
        <v>24.0</v>
      </c>
      <c r="L2503" s="7"/>
      <c r="M2503" s="7"/>
      <c r="N2503" s="7"/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7"/>
    </row>
    <row r="2504">
      <c r="A2504" s="14" t="s">
        <v>9087</v>
      </c>
      <c r="B2504" s="17" t="s">
        <v>9088</v>
      </c>
      <c r="C2504" s="17" t="s">
        <v>9089</v>
      </c>
      <c r="D2504" s="19" t="s">
        <v>9090</v>
      </c>
      <c r="E2504" s="20" t="s">
        <v>650</v>
      </c>
      <c r="F2504" s="21">
        <v>19176.0</v>
      </c>
      <c r="G2504" s="14">
        <v>74.0</v>
      </c>
      <c r="H2504" s="23" t="s">
        <v>26</v>
      </c>
      <c r="I2504" s="24" t="s">
        <v>33</v>
      </c>
      <c r="J2504" s="19" t="s">
        <v>2336</v>
      </c>
      <c r="K2504" s="14">
        <v>20.0</v>
      </c>
      <c r="L2504" s="7"/>
      <c r="M2504" s="7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7"/>
    </row>
    <row r="2505">
      <c r="A2505" s="14" t="s">
        <v>9091</v>
      </c>
      <c r="B2505" s="17" t="s">
        <v>9092</v>
      </c>
      <c r="C2505" s="17" t="s">
        <v>9093</v>
      </c>
      <c r="D2505" s="19" t="s">
        <v>9094</v>
      </c>
      <c r="E2505" s="20" t="s">
        <v>104</v>
      </c>
      <c r="F2505" s="21">
        <v>30733.0</v>
      </c>
      <c r="G2505" s="14">
        <v>42.0</v>
      </c>
      <c r="H2505" s="23" t="s">
        <v>26</v>
      </c>
      <c r="I2505" s="24" t="s">
        <v>27</v>
      </c>
      <c r="J2505" s="19" t="s">
        <v>2336</v>
      </c>
      <c r="K2505" s="14">
        <v>20.0</v>
      </c>
      <c r="L2505" s="7"/>
      <c r="M2505" s="7"/>
      <c r="N2505" s="7"/>
      <c r="O2505" s="7"/>
      <c r="P2505" s="7"/>
      <c r="Q2505" s="7"/>
      <c r="R2505" s="7"/>
      <c r="S2505" s="7"/>
      <c r="T2505" s="7"/>
      <c r="U2505" s="7"/>
      <c r="V2505" s="7"/>
      <c r="W2505" s="7"/>
      <c r="X2505" s="7"/>
      <c r="Y2505" s="7"/>
    </row>
    <row r="2506">
      <c r="A2506" s="14" t="s">
        <v>9095</v>
      </c>
      <c r="B2506" s="17" t="s">
        <v>9092</v>
      </c>
      <c r="C2506" s="17" t="s">
        <v>9096</v>
      </c>
      <c r="D2506" s="19" t="s">
        <v>9097</v>
      </c>
      <c r="E2506" s="20" t="s">
        <v>104</v>
      </c>
      <c r="F2506" s="21">
        <v>28270.0</v>
      </c>
      <c r="G2506" s="14">
        <v>49.0</v>
      </c>
      <c r="H2506" s="23" t="s">
        <v>26</v>
      </c>
      <c r="I2506" s="24" t="s">
        <v>33</v>
      </c>
      <c r="J2506" s="19" t="s">
        <v>2336</v>
      </c>
      <c r="K2506" s="14">
        <v>20.0</v>
      </c>
      <c r="L2506" s="7"/>
      <c r="M2506" s="7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</row>
    <row r="2507">
      <c r="A2507" s="14" t="s">
        <v>9098</v>
      </c>
      <c r="B2507" s="17" t="s">
        <v>9099</v>
      </c>
      <c r="C2507" s="17" t="s">
        <v>9100</v>
      </c>
      <c r="D2507" s="19" t="s">
        <v>9101</v>
      </c>
      <c r="E2507" s="20" t="s">
        <v>210</v>
      </c>
      <c r="F2507" s="21">
        <v>34572.0</v>
      </c>
      <c r="G2507" s="14">
        <v>32.0</v>
      </c>
      <c r="H2507" s="23" t="s">
        <v>100</v>
      </c>
      <c r="I2507" s="24" t="s">
        <v>33</v>
      </c>
      <c r="J2507" s="19" t="s">
        <v>68</v>
      </c>
      <c r="K2507" s="14">
        <v>28.0</v>
      </c>
      <c r="L2507" s="7"/>
      <c r="M2507" s="7"/>
      <c r="N2507" s="7"/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7"/>
    </row>
    <row r="2508">
      <c r="A2508" s="14" t="s">
        <v>9102</v>
      </c>
      <c r="B2508" s="17" t="s">
        <v>9099</v>
      </c>
      <c r="C2508" s="17" t="s">
        <v>9103</v>
      </c>
      <c r="D2508" s="19" t="s">
        <v>9104</v>
      </c>
      <c r="E2508" s="20" t="s">
        <v>210</v>
      </c>
      <c r="F2508" s="21">
        <v>24678.0</v>
      </c>
      <c r="G2508" s="14">
        <v>59.0</v>
      </c>
      <c r="H2508" s="23" t="s">
        <v>26</v>
      </c>
      <c r="I2508" s="24" t="s">
        <v>33</v>
      </c>
      <c r="J2508" s="19" t="s">
        <v>68</v>
      </c>
      <c r="K2508" s="14">
        <v>28.0</v>
      </c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</row>
    <row r="2509">
      <c r="A2509" s="14" t="s">
        <v>9105</v>
      </c>
      <c r="B2509" s="17" t="s">
        <v>9099</v>
      </c>
      <c r="C2509" s="17" t="s">
        <v>9106</v>
      </c>
      <c r="D2509" s="19" t="s">
        <v>6661</v>
      </c>
      <c r="E2509" s="20" t="s">
        <v>210</v>
      </c>
      <c r="F2509" s="21">
        <v>26821.0</v>
      </c>
      <c r="G2509" s="14">
        <v>53.0</v>
      </c>
      <c r="H2509" s="23" t="s">
        <v>26</v>
      </c>
      <c r="I2509" s="24" t="s">
        <v>27</v>
      </c>
      <c r="J2509" s="19" t="s">
        <v>68</v>
      </c>
      <c r="K2509" s="14">
        <v>28.0</v>
      </c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</row>
    <row r="2510">
      <c r="A2510" s="14" t="s">
        <v>9107</v>
      </c>
      <c r="B2510" s="17" t="s">
        <v>9108</v>
      </c>
      <c r="C2510" s="17" t="s">
        <v>9109</v>
      </c>
      <c r="D2510" s="19" t="s">
        <v>9110</v>
      </c>
      <c r="E2510" s="20" t="s">
        <v>9111</v>
      </c>
      <c r="F2510" s="21">
        <v>38899.0</v>
      </c>
      <c r="G2510" s="14">
        <v>20.0</v>
      </c>
      <c r="H2510" s="23" t="s">
        <v>100</v>
      </c>
      <c r="I2510" s="24" t="s">
        <v>27</v>
      </c>
      <c r="J2510" s="19" t="s">
        <v>146</v>
      </c>
      <c r="K2510" s="14">
        <v>2.0</v>
      </c>
      <c r="L2510" s="7"/>
      <c r="M2510" s="7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</row>
    <row r="2511">
      <c r="A2511" s="14" t="s">
        <v>9112</v>
      </c>
      <c r="B2511" s="17" t="s">
        <v>9108</v>
      </c>
      <c r="C2511" s="17" t="s">
        <v>9113</v>
      </c>
      <c r="D2511" s="19" t="s">
        <v>760</v>
      </c>
      <c r="E2511" s="20" t="s">
        <v>1468</v>
      </c>
      <c r="F2511" s="21">
        <v>27989.0</v>
      </c>
      <c r="G2511" s="14">
        <v>50.0</v>
      </c>
      <c r="H2511" s="23" t="s">
        <v>26</v>
      </c>
      <c r="I2511" s="24" t="s">
        <v>27</v>
      </c>
      <c r="J2511" s="19" t="s">
        <v>146</v>
      </c>
      <c r="K2511" s="14">
        <v>2.0</v>
      </c>
      <c r="L2511" s="7"/>
      <c r="M2511" s="7"/>
      <c r="N2511" s="7"/>
      <c r="O2511" s="7"/>
      <c r="P2511" s="7"/>
      <c r="Q2511" s="7"/>
      <c r="R2511" s="7"/>
      <c r="S2511" s="7"/>
      <c r="T2511" s="7"/>
      <c r="U2511" s="7"/>
      <c r="V2511" s="7"/>
      <c r="W2511" s="7"/>
      <c r="X2511" s="7"/>
      <c r="Y2511" s="7"/>
    </row>
    <row r="2512">
      <c r="A2512" s="14" t="s">
        <v>9114</v>
      </c>
      <c r="B2512" s="17" t="s">
        <v>9108</v>
      </c>
      <c r="C2512" s="17" t="s">
        <v>9115</v>
      </c>
      <c r="D2512" s="19" t="s">
        <v>5870</v>
      </c>
      <c r="E2512" s="20" t="s">
        <v>1468</v>
      </c>
      <c r="F2512" s="21">
        <v>27341.0</v>
      </c>
      <c r="G2512" s="14">
        <v>51.0</v>
      </c>
      <c r="H2512" s="23" t="s">
        <v>26</v>
      </c>
      <c r="I2512" s="24" t="s">
        <v>33</v>
      </c>
      <c r="J2512" s="19" t="s">
        <v>2762</v>
      </c>
      <c r="K2512" s="14">
        <v>1.0</v>
      </c>
      <c r="L2512" s="7"/>
      <c r="M2512" s="7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7"/>
    </row>
    <row r="2513">
      <c r="A2513" s="14" t="s">
        <v>9116</v>
      </c>
      <c r="B2513" s="17" t="s">
        <v>9108</v>
      </c>
      <c r="C2513" s="17" t="s">
        <v>9117</v>
      </c>
      <c r="D2513" s="19" t="s">
        <v>9118</v>
      </c>
      <c r="E2513" s="20" t="s">
        <v>2200</v>
      </c>
      <c r="F2513" s="21">
        <v>39148.0</v>
      </c>
      <c r="G2513" s="14">
        <v>19.0</v>
      </c>
      <c r="H2513" s="23" t="s">
        <v>100</v>
      </c>
      <c r="I2513" s="24" t="s">
        <v>27</v>
      </c>
      <c r="J2513" s="19" t="s">
        <v>146</v>
      </c>
      <c r="K2513" s="14">
        <v>2.0</v>
      </c>
      <c r="L2513" s="7"/>
      <c r="M2513" s="7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7"/>
    </row>
    <row r="2514">
      <c r="A2514" s="14" t="s">
        <v>9119</v>
      </c>
      <c r="B2514" s="17" t="s">
        <v>9120</v>
      </c>
      <c r="C2514" s="17" t="s">
        <v>9121</v>
      </c>
      <c r="D2514" s="19" t="s">
        <v>9122</v>
      </c>
      <c r="E2514" s="20" t="s">
        <v>7182</v>
      </c>
      <c r="F2514" s="27">
        <v>32107.0</v>
      </c>
      <c r="G2514" s="14">
        <v>38.0</v>
      </c>
      <c r="H2514" s="23" t="s">
        <v>26</v>
      </c>
      <c r="I2514" s="24" t="s">
        <v>33</v>
      </c>
      <c r="J2514" s="19" t="s">
        <v>146</v>
      </c>
      <c r="K2514" s="14">
        <v>2.0</v>
      </c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</row>
    <row r="2515">
      <c r="A2515" s="14" t="s">
        <v>9123</v>
      </c>
      <c r="B2515" s="17" t="s">
        <v>9120</v>
      </c>
      <c r="C2515" s="17" t="s">
        <v>9124</v>
      </c>
      <c r="D2515" s="19" t="s">
        <v>9125</v>
      </c>
      <c r="E2515" s="20" t="s">
        <v>104</v>
      </c>
      <c r="F2515" s="27">
        <v>32801.0</v>
      </c>
      <c r="G2515" s="14">
        <v>36.0</v>
      </c>
      <c r="H2515" s="23" t="s">
        <v>26</v>
      </c>
      <c r="I2515" s="24" t="s">
        <v>27</v>
      </c>
      <c r="J2515" s="19" t="s">
        <v>146</v>
      </c>
      <c r="K2515" s="14">
        <v>2.0</v>
      </c>
      <c r="L2515" s="7"/>
      <c r="M2515" s="7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</row>
    <row r="2516">
      <c r="A2516" s="14" t="s">
        <v>9126</v>
      </c>
      <c r="B2516" s="17" t="s">
        <v>9127</v>
      </c>
      <c r="C2516" s="17" t="s">
        <v>9128</v>
      </c>
      <c r="D2516" s="19" t="s">
        <v>9129</v>
      </c>
      <c r="E2516" s="20" t="s">
        <v>9130</v>
      </c>
      <c r="F2516" s="21">
        <v>29965.0</v>
      </c>
      <c r="G2516" s="14">
        <v>44.0</v>
      </c>
      <c r="H2516" s="23" t="s">
        <v>26</v>
      </c>
      <c r="I2516" s="24" t="s">
        <v>33</v>
      </c>
      <c r="J2516" s="19" t="s">
        <v>726</v>
      </c>
      <c r="K2516" s="14">
        <v>17.0</v>
      </c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</row>
    <row r="2517">
      <c r="A2517" s="14" t="s">
        <v>9131</v>
      </c>
      <c r="B2517" s="17" t="s">
        <v>9127</v>
      </c>
      <c r="C2517" s="17" t="s">
        <v>9132</v>
      </c>
      <c r="D2517" s="19" t="s">
        <v>9133</v>
      </c>
      <c r="E2517" s="20" t="s">
        <v>2700</v>
      </c>
      <c r="F2517" s="21">
        <v>30524.0</v>
      </c>
      <c r="G2517" s="14">
        <v>43.0</v>
      </c>
      <c r="H2517" s="23" t="s">
        <v>26</v>
      </c>
      <c r="I2517" s="24" t="s">
        <v>27</v>
      </c>
      <c r="J2517" s="19" t="s">
        <v>726</v>
      </c>
      <c r="K2517" s="14">
        <v>17.0</v>
      </c>
      <c r="L2517" s="7"/>
      <c r="M2517" s="7"/>
      <c r="N2517" s="7"/>
      <c r="O2517" s="7"/>
      <c r="P2517" s="7"/>
      <c r="Q2517" s="7"/>
      <c r="R2517" s="7"/>
      <c r="S2517" s="7"/>
      <c r="T2517" s="7"/>
      <c r="U2517" s="7"/>
      <c r="V2517" s="7"/>
      <c r="W2517" s="7"/>
      <c r="X2517" s="7"/>
      <c r="Y2517" s="7"/>
    </row>
    <row r="2518">
      <c r="A2518" s="14" t="s">
        <v>9134</v>
      </c>
      <c r="B2518" s="17" t="s">
        <v>9135</v>
      </c>
      <c r="C2518" s="17" t="s">
        <v>9136</v>
      </c>
      <c r="D2518" s="19" t="s">
        <v>9137</v>
      </c>
      <c r="E2518" s="20" t="s">
        <v>195</v>
      </c>
      <c r="F2518" s="21">
        <v>36733.0</v>
      </c>
      <c r="G2518" s="14">
        <v>26.0</v>
      </c>
      <c r="H2518" s="23" t="s">
        <v>100</v>
      </c>
      <c r="I2518" s="24" t="s">
        <v>27</v>
      </c>
      <c r="J2518" s="19" t="s">
        <v>68</v>
      </c>
      <c r="K2518" s="14">
        <v>28.0</v>
      </c>
      <c r="L2518" s="7"/>
      <c r="M2518" s="7"/>
      <c r="N2518" s="7"/>
      <c r="O2518" s="7"/>
      <c r="P2518" s="7"/>
      <c r="Q2518" s="7"/>
      <c r="R2518" s="7"/>
      <c r="S2518" s="7"/>
      <c r="T2518" s="7"/>
      <c r="U2518" s="7"/>
      <c r="V2518" s="7"/>
      <c r="W2518" s="7"/>
      <c r="X2518" s="7"/>
      <c r="Y2518" s="7"/>
    </row>
    <row r="2519">
      <c r="A2519" s="14" t="s">
        <v>9138</v>
      </c>
      <c r="B2519" s="17" t="s">
        <v>9135</v>
      </c>
      <c r="C2519" s="17" t="s">
        <v>9139</v>
      </c>
      <c r="D2519" s="19" t="s">
        <v>9140</v>
      </c>
      <c r="E2519" s="20" t="s">
        <v>67</v>
      </c>
      <c r="F2519" s="27">
        <v>27688.0</v>
      </c>
      <c r="G2519" s="14">
        <v>50.0</v>
      </c>
      <c r="H2519" s="23" t="s">
        <v>26</v>
      </c>
      <c r="I2519" s="24" t="s">
        <v>27</v>
      </c>
      <c r="J2519" s="19" t="s">
        <v>68</v>
      </c>
      <c r="K2519" s="14">
        <v>28.0</v>
      </c>
      <c r="L2519" s="7"/>
      <c r="M2519" s="7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</row>
    <row r="2520">
      <c r="A2520" s="14" t="s">
        <v>9141</v>
      </c>
      <c r="B2520" s="17" t="s">
        <v>9135</v>
      </c>
      <c r="C2520" s="17" t="s">
        <v>9142</v>
      </c>
      <c r="D2520" s="19" t="s">
        <v>9143</v>
      </c>
      <c r="E2520" s="20" t="s">
        <v>53</v>
      </c>
      <c r="F2520" s="21">
        <v>37389.0</v>
      </c>
      <c r="G2520" s="14">
        <v>24.0</v>
      </c>
      <c r="H2520" s="23" t="s">
        <v>100</v>
      </c>
      <c r="I2520" s="24" t="s">
        <v>27</v>
      </c>
      <c r="J2520" s="19" t="s">
        <v>68</v>
      </c>
      <c r="K2520" s="14">
        <v>28.0</v>
      </c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</row>
    <row r="2521">
      <c r="A2521" s="14" t="s">
        <v>9144</v>
      </c>
      <c r="B2521" s="17" t="s">
        <v>9135</v>
      </c>
      <c r="C2521" s="17" t="s">
        <v>9145</v>
      </c>
      <c r="D2521" s="19" t="s">
        <v>9146</v>
      </c>
      <c r="E2521" s="20" t="s">
        <v>195</v>
      </c>
      <c r="F2521" s="21">
        <v>25668.0</v>
      </c>
      <c r="G2521" s="14">
        <v>56.0</v>
      </c>
      <c r="H2521" s="23" t="s">
        <v>26</v>
      </c>
      <c r="I2521" s="24" t="s">
        <v>33</v>
      </c>
      <c r="J2521" s="19" t="s">
        <v>68</v>
      </c>
      <c r="K2521" s="14">
        <v>28.0</v>
      </c>
      <c r="L2521" s="7"/>
      <c r="M2521" s="7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</row>
    <row r="2522">
      <c r="A2522" s="14" t="s">
        <v>9147</v>
      </c>
      <c r="B2522" s="17" t="s">
        <v>9135</v>
      </c>
      <c r="C2522" s="17" t="s">
        <v>9148</v>
      </c>
      <c r="D2522" s="19" t="s">
        <v>9149</v>
      </c>
      <c r="E2522" s="20" t="s">
        <v>104</v>
      </c>
      <c r="F2522" s="21">
        <v>38626.0</v>
      </c>
      <c r="G2522" s="14">
        <v>20.0</v>
      </c>
      <c r="H2522" s="23" t="s">
        <v>100</v>
      </c>
      <c r="I2522" s="24" t="s">
        <v>33</v>
      </c>
      <c r="J2522" s="19" t="s">
        <v>68</v>
      </c>
      <c r="K2522" s="14">
        <v>28.0</v>
      </c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</row>
    <row r="2523">
      <c r="A2523" s="14" t="s">
        <v>9150</v>
      </c>
      <c r="B2523" s="17" t="s">
        <v>9151</v>
      </c>
      <c r="C2523" s="17" t="s">
        <v>9152</v>
      </c>
      <c r="D2523" s="19" t="s">
        <v>9153</v>
      </c>
      <c r="E2523" s="20" t="s">
        <v>3101</v>
      </c>
      <c r="F2523" s="21">
        <v>26203.0</v>
      </c>
      <c r="G2523" s="14">
        <v>54.0</v>
      </c>
      <c r="H2523" s="23" t="s">
        <v>26</v>
      </c>
      <c r="I2523" s="24" t="s">
        <v>33</v>
      </c>
      <c r="J2523" s="19" t="s">
        <v>146</v>
      </c>
      <c r="K2523" s="14">
        <v>10.0</v>
      </c>
      <c r="L2523" s="7"/>
      <c r="M2523" s="7"/>
      <c r="N2523" s="7"/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</row>
    <row r="2524">
      <c r="A2524" s="14" t="s">
        <v>9154</v>
      </c>
      <c r="B2524" s="17" t="s">
        <v>9151</v>
      </c>
      <c r="C2524" s="17" t="s">
        <v>9155</v>
      </c>
      <c r="D2524" s="19" t="s">
        <v>9156</v>
      </c>
      <c r="E2524" s="20" t="s">
        <v>104</v>
      </c>
      <c r="F2524" s="21">
        <v>37843.0</v>
      </c>
      <c r="G2524" s="14">
        <v>23.0</v>
      </c>
      <c r="H2524" s="23" t="s">
        <v>100</v>
      </c>
      <c r="I2524" s="24" t="s">
        <v>27</v>
      </c>
      <c r="J2524" s="19" t="s">
        <v>146</v>
      </c>
      <c r="K2524" s="14">
        <v>10.0</v>
      </c>
      <c r="L2524" s="7"/>
      <c r="M2524" s="7"/>
      <c r="N2524" s="7"/>
      <c r="O2524" s="7"/>
      <c r="P2524" s="7"/>
      <c r="Q2524" s="7"/>
      <c r="R2524" s="7"/>
      <c r="S2524" s="7"/>
      <c r="T2524" s="7"/>
      <c r="U2524" s="7"/>
      <c r="V2524" s="7"/>
      <c r="W2524" s="7"/>
      <c r="X2524" s="7"/>
      <c r="Y2524" s="7"/>
    </row>
    <row r="2525">
      <c r="A2525" s="14" t="s">
        <v>9157</v>
      </c>
      <c r="B2525" s="17" t="s">
        <v>9151</v>
      </c>
      <c r="C2525" s="17" t="s">
        <v>9158</v>
      </c>
      <c r="D2525" s="19" t="s">
        <v>9159</v>
      </c>
      <c r="E2525" s="20" t="s">
        <v>104</v>
      </c>
      <c r="F2525" s="21">
        <v>38428.0</v>
      </c>
      <c r="G2525" s="14">
        <v>21.0</v>
      </c>
      <c r="H2525" s="23" t="s">
        <v>100</v>
      </c>
      <c r="I2525" s="24" t="s">
        <v>33</v>
      </c>
      <c r="J2525" s="19" t="s">
        <v>146</v>
      </c>
      <c r="K2525" s="14">
        <v>10.0</v>
      </c>
      <c r="L2525" s="7"/>
      <c r="M2525" s="7"/>
      <c r="N2525" s="7"/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7"/>
    </row>
    <row r="2526">
      <c r="A2526" s="14" t="s">
        <v>9160</v>
      </c>
      <c r="B2526" s="17" t="s">
        <v>9151</v>
      </c>
      <c r="C2526" s="17" t="s">
        <v>9161</v>
      </c>
      <c r="D2526" s="19" t="s">
        <v>5060</v>
      </c>
      <c r="E2526" s="20" t="s">
        <v>3101</v>
      </c>
      <c r="F2526" s="27">
        <v>29220.0</v>
      </c>
      <c r="G2526" s="14">
        <v>46.0</v>
      </c>
      <c r="H2526" s="23" t="s">
        <v>26</v>
      </c>
      <c r="I2526" s="24" t="s">
        <v>27</v>
      </c>
      <c r="J2526" s="19" t="s">
        <v>146</v>
      </c>
      <c r="K2526" s="14">
        <v>10.0</v>
      </c>
      <c r="L2526" s="7"/>
      <c r="M2526" s="7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</row>
    <row r="2527">
      <c r="A2527" s="14" t="s">
        <v>9162</v>
      </c>
      <c r="B2527" s="17" t="s">
        <v>9163</v>
      </c>
      <c r="C2527" s="17" t="s">
        <v>9164</v>
      </c>
      <c r="D2527" s="19" t="s">
        <v>9165</v>
      </c>
      <c r="E2527" s="20" t="s">
        <v>104</v>
      </c>
      <c r="F2527" s="21">
        <v>37040.0</v>
      </c>
      <c r="G2527" s="14">
        <v>25.0</v>
      </c>
      <c r="H2527" s="23" t="s">
        <v>26</v>
      </c>
      <c r="I2527" s="24" t="s">
        <v>27</v>
      </c>
      <c r="J2527" s="19" t="s">
        <v>68</v>
      </c>
      <c r="K2527" s="14">
        <v>29.0</v>
      </c>
      <c r="L2527" s="7"/>
      <c r="M2527" s="7"/>
      <c r="N2527" s="7"/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7"/>
    </row>
    <row r="2528">
      <c r="A2528" s="14" t="s">
        <v>9166</v>
      </c>
      <c r="B2528" s="17" t="s">
        <v>9163</v>
      </c>
      <c r="C2528" s="17" t="s">
        <v>9167</v>
      </c>
      <c r="D2528" s="19" t="s">
        <v>9168</v>
      </c>
      <c r="E2528" s="20" t="s">
        <v>104</v>
      </c>
      <c r="F2528" s="21">
        <v>33380.0</v>
      </c>
      <c r="G2528" s="14">
        <v>35.0</v>
      </c>
      <c r="H2528" s="23" t="s">
        <v>26</v>
      </c>
      <c r="I2528" s="24" t="s">
        <v>33</v>
      </c>
      <c r="J2528" s="19" t="s">
        <v>68</v>
      </c>
      <c r="K2528" s="14">
        <v>29.0</v>
      </c>
      <c r="L2528" s="7"/>
      <c r="M2528" s="7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</row>
    <row r="2529">
      <c r="A2529" s="14" t="s">
        <v>9169</v>
      </c>
      <c r="B2529" s="17" t="s">
        <v>9170</v>
      </c>
      <c r="C2529" s="17" t="s">
        <v>9171</v>
      </c>
      <c r="D2529" s="19" t="s">
        <v>9172</v>
      </c>
      <c r="E2529" s="20" t="s">
        <v>802</v>
      </c>
      <c r="F2529" s="21">
        <v>24362.0</v>
      </c>
      <c r="G2529" s="14">
        <v>59.0</v>
      </c>
      <c r="H2529" s="23" t="s">
        <v>26</v>
      </c>
      <c r="I2529" s="24" t="s">
        <v>33</v>
      </c>
      <c r="J2529" s="19" t="s">
        <v>328</v>
      </c>
      <c r="K2529" s="14">
        <v>25.0</v>
      </c>
      <c r="L2529" s="7"/>
      <c r="M2529" s="7"/>
      <c r="N2529" s="7"/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7"/>
    </row>
    <row r="2530">
      <c r="A2530" s="14" t="s">
        <v>9173</v>
      </c>
      <c r="B2530" s="17" t="s">
        <v>9170</v>
      </c>
      <c r="C2530" s="17" t="s">
        <v>9174</v>
      </c>
      <c r="D2530" s="19" t="s">
        <v>9175</v>
      </c>
      <c r="E2530" s="20" t="s">
        <v>138</v>
      </c>
      <c r="F2530" s="21">
        <v>33668.0</v>
      </c>
      <c r="G2530" s="14">
        <v>34.0</v>
      </c>
      <c r="H2530" s="23" t="s">
        <v>100</v>
      </c>
      <c r="I2530" s="24" t="s">
        <v>33</v>
      </c>
      <c r="J2530" s="19" t="s">
        <v>328</v>
      </c>
      <c r="K2530" s="14">
        <v>25.0</v>
      </c>
      <c r="L2530" s="7"/>
      <c r="M2530" s="7"/>
      <c r="N2530" s="7"/>
      <c r="O2530" s="7"/>
      <c r="P2530" s="7"/>
      <c r="Q2530" s="7"/>
      <c r="R2530" s="7"/>
      <c r="S2530" s="7"/>
      <c r="T2530" s="7"/>
      <c r="U2530" s="7"/>
      <c r="V2530" s="7"/>
      <c r="W2530" s="7"/>
      <c r="X2530" s="7"/>
      <c r="Y2530" s="7"/>
    </row>
    <row r="2531">
      <c r="A2531" s="14" t="s">
        <v>9176</v>
      </c>
      <c r="B2531" s="17" t="s">
        <v>9170</v>
      </c>
      <c r="C2531" s="17" t="s">
        <v>9177</v>
      </c>
      <c r="D2531" s="19" t="s">
        <v>9178</v>
      </c>
      <c r="E2531" s="20" t="s">
        <v>138</v>
      </c>
      <c r="F2531" s="21">
        <v>39178.0</v>
      </c>
      <c r="G2531" s="14">
        <v>19.0</v>
      </c>
      <c r="H2531" s="23" t="s">
        <v>100</v>
      </c>
      <c r="I2531" s="24" t="s">
        <v>33</v>
      </c>
      <c r="J2531" s="19" t="s">
        <v>5770</v>
      </c>
      <c r="K2531" s="14">
        <v>25.0</v>
      </c>
      <c r="L2531" s="7"/>
      <c r="M2531" s="7"/>
      <c r="N2531" s="7"/>
      <c r="O2531" s="7"/>
      <c r="P2531" s="7"/>
      <c r="Q2531" s="7"/>
      <c r="R2531" s="7"/>
      <c r="S2531" s="7"/>
      <c r="T2531" s="7"/>
      <c r="U2531" s="7"/>
      <c r="V2531" s="7"/>
      <c r="W2531" s="7"/>
      <c r="X2531" s="7"/>
      <c r="Y2531" s="7"/>
    </row>
    <row r="2532">
      <c r="A2532" s="14" t="s">
        <v>9180</v>
      </c>
      <c r="B2532" s="17" t="s">
        <v>9170</v>
      </c>
      <c r="C2532" s="17" t="s">
        <v>9181</v>
      </c>
      <c r="D2532" s="19" t="s">
        <v>9182</v>
      </c>
      <c r="E2532" s="20" t="s">
        <v>138</v>
      </c>
      <c r="F2532" s="21">
        <v>37475.0</v>
      </c>
      <c r="G2532" s="14">
        <v>24.0</v>
      </c>
      <c r="H2532" s="23" t="s">
        <v>100</v>
      </c>
      <c r="I2532" s="24" t="s">
        <v>27</v>
      </c>
      <c r="J2532" s="19" t="s">
        <v>328</v>
      </c>
      <c r="K2532" s="14">
        <v>25.0</v>
      </c>
      <c r="L2532" s="7"/>
      <c r="M2532" s="7"/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</row>
    <row r="2533">
      <c r="A2533" s="14" t="s">
        <v>9183</v>
      </c>
      <c r="B2533" s="17" t="s">
        <v>9170</v>
      </c>
      <c r="C2533" s="17" t="s">
        <v>9184</v>
      </c>
      <c r="D2533" s="19" t="s">
        <v>9185</v>
      </c>
      <c r="E2533" s="20" t="s">
        <v>9186</v>
      </c>
      <c r="F2533" s="21">
        <v>26799.0</v>
      </c>
      <c r="G2533" s="14">
        <v>53.0</v>
      </c>
      <c r="H2533" s="23" t="s">
        <v>26</v>
      </c>
      <c r="I2533" s="24" t="s">
        <v>27</v>
      </c>
      <c r="J2533" s="19" t="s">
        <v>328</v>
      </c>
      <c r="K2533" s="14">
        <v>25.0</v>
      </c>
      <c r="L2533" s="7"/>
      <c r="M2533" s="7"/>
      <c r="N2533" s="7"/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7"/>
    </row>
    <row r="2534">
      <c r="A2534" s="14" t="s">
        <v>9187</v>
      </c>
      <c r="B2534" s="17" t="s">
        <v>9188</v>
      </c>
      <c r="C2534" s="17" t="s">
        <v>9189</v>
      </c>
      <c r="D2534" s="19" t="s">
        <v>9190</v>
      </c>
      <c r="E2534" s="20" t="s">
        <v>654</v>
      </c>
      <c r="F2534" s="21">
        <v>26057.0</v>
      </c>
      <c r="G2534" s="14">
        <v>55.0</v>
      </c>
      <c r="H2534" s="23" t="s">
        <v>27</v>
      </c>
      <c r="I2534" s="24" t="s">
        <v>27</v>
      </c>
      <c r="J2534" s="19" t="s">
        <v>53</v>
      </c>
      <c r="K2534" s="14">
        <v>7.0</v>
      </c>
      <c r="L2534" s="7"/>
      <c r="M2534" s="7"/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</row>
    <row r="2535">
      <c r="A2535" s="14" t="s">
        <v>9191</v>
      </c>
      <c r="B2535" s="17" t="s">
        <v>9192</v>
      </c>
      <c r="C2535" s="17" t="s">
        <v>9193</v>
      </c>
      <c r="D2535" s="19" t="s">
        <v>5232</v>
      </c>
      <c r="E2535" s="20" t="s">
        <v>53</v>
      </c>
      <c r="F2535" s="21">
        <v>34734.0</v>
      </c>
      <c r="G2535" s="14">
        <v>31.0</v>
      </c>
      <c r="H2535" s="23" t="s">
        <v>26</v>
      </c>
      <c r="I2535" s="24" t="s">
        <v>33</v>
      </c>
      <c r="J2535" s="19" t="s">
        <v>53</v>
      </c>
      <c r="K2535" s="14">
        <v>2.0</v>
      </c>
      <c r="L2535" s="7"/>
      <c r="M2535" s="7"/>
      <c r="N2535" s="7"/>
      <c r="O2535" s="7"/>
      <c r="P2535" s="7"/>
      <c r="Q2535" s="7"/>
      <c r="R2535" s="7"/>
      <c r="S2535" s="7"/>
      <c r="T2535" s="7"/>
      <c r="U2535" s="7"/>
      <c r="V2535" s="7"/>
      <c r="W2535" s="7"/>
      <c r="X2535" s="7"/>
      <c r="Y2535" s="7"/>
    </row>
    <row r="2536">
      <c r="A2536" s="14" t="s">
        <v>9194</v>
      </c>
      <c r="B2536" s="17" t="s">
        <v>9195</v>
      </c>
      <c r="C2536" s="17" t="s">
        <v>9196</v>
      </c>
      <c r="D2536" s="19" t="s">
        <v>9197</v>
      </c>
      <c r="E2536" s="20" t="s">
        <v>138</v>
      </c>
      <c r="F2536" s="27">
        <v>35054.0</v>
      </c>
      <c r="G2536" s="14">
        <v>30.0</v>
      </c>
      <c r="H2536" s="23" t="s">
        <v>100</v>
      </c>
      <c r="I2536" s="24" t="s">
        <v>27</v>
      </c>
      <c r="J2536" s="19" t="s">
        <v>726</v>
      </c>
      <c r="K2536" s="14">
        <v>11.0</v>
      </c>
      <c r="L2536" s="7"/>
      <c r="M2536" s="7"/>
      <c r="N2536" s="7"/>
      <c r="O2536" s="7"/>
      <c r="P2536" s="7"/>
      <c r="Q2536" s="7"/>
      <c r="R2536" s="7"/>
      <c r="S2536" s="7"/>
      <c r="T2536" s="7"/>
      <c r="U2536" s="7"/>
      <c r="V2536" s="7"/>
      <c r="W2536" s="7"/>
      <c r="X2536" s="7"/>
      <c r="Y2536" s="7"/>
    </row>
    <row r="2537">
      <c r="A2537" s="14" t="s">
        <v>9198</v>
      </c>
      <c r="B2537" s="17" t="s">
        <v>9199</v>
      </c>
      <c r="C2537" s="17" t="s">
        <v>9200</v>
      </c>
      <c r="D2537" s="19" t="s">
        <v>9201</v>
      </c>
      <c r="E2537" s="20" t="s">
        <v>290</v>
      </c>
      <c r="F2537" s="21">
        <v>23503.0</v>
      </c>
      <c r="G2537" s="14">
        <v>62.0</v>
      </c>
      <c r="H2537" s="23" t="s">
        <v>26</v>
      </c>
      <c r="I2537" s="24" t="s">
        <v>27</v>
      </c>
      <c r="J2537" s="19" t="s">
        <v>517</v>
      </c>
      <c r="K2537" s="14">
        <v>6.0</v>
      </c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</row>
    <row r="2538">
      <c r="A2538" s="14" t="s">
        <v>9202</v>
      </c>
      <c r="B2538" s="17" t="s">
        <v>9199</v>
      </c>
      <c r="C2538" s="17" t="s">
        <v>9203</v>
      </c>
      <c r="D2538" s="19" t="s">
        <v>9204</v>
      </c>
      <c r="E2538" s="20" t="s">
        <v>150</v>
      </c>
      <c r="F2538" s="21">
        <v>35138.0</v>
      </c>
      <c r="G2538" s="14">
        <v>30.0</v>
      </c>
      <c r="H2538" s="23" t="s">
        <v>26</v>
      </c>
      <c r="I2538" s="24" t="s">
        <v>27</v>
      </c>
      <c r="J2538" s="19" t="s">
        <v>517</v>
      </c>
      <c r="K2538" s="14">
        <v>6.0</v>
      </c>
      <c r="L2538" s="7"/>
      <c r="M2538" s="7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</row>
    <row r="2539">
      <c r="A2539" s="14" t="s">
        <v>9205</v>
      </c>
      <c r="B2539" s="17" t="s">
        <v>9199</v>
      </c>
      <c r="C2539" s="17" t="s">
        <v>9206</v>
      </c>
      <c r="D2539" s="19" t="s">
        <v>9207</v>
      </c>
      <c r="E2539" s="20" t="s">
        <v>53</v>
      </c>
      <c r="F2539" s="21">
        <v>33788.0</v>
      </c>
      <c r="G2539" s="14">
        <v>34.0</v>
      </c>
      <c r="H2539" s="23" t="s">
        <v>26</v>
      </c>
      <c r="I2539" s="24" t="s">
        <v>33</v>
      </c>
      <c r="J2539" s="19" t="s">
        <v>517</v>
      </c>
      <c r="K2539" s="14">
        <v>6.0</v>
      </c>
      <c r="L2539" s="7"/>
      <c r="M2539" s="7"/>
      <c r="N2539" s="7"/>
      <c r="O2539" s="7"/>
      <c r="P2539" s="7"/>
      <c r="Q2539" s="7"/>
      <c r="R2539" s="7"/>
      <c r="S2539" s="7"/>
      <c r="T2539" s="7"/>
      <c r="U2539" s="7"/>
      <c r="V2539" s="7"/>
      <c r="W2539" s="7"/>
      <c r="X2539" s="7"/>
      <c r="Y2539" s="7"/>
    </row>
    <row r="2540">
      <c r="A2540" s="14" t="s">
        <v>9208</v>
      </c>
      <c r="B2540" s="17" t="s">
        <v>9209</v>
      </c>
      <c r="C2540" s="17" t="s">
        <v>9210</v>
      </c>
      <c r="D2540" s="19" t="s">
        <v>9211</v>
      </c>
      <c r="E2540" s="20" t="s">
        <v>104</v>
      </c>
      <c r="F2540" s="21">
        <v>34833.0</v>
      </c>
      <c r="G2540" s="14">
        <v>31.0</v>
      </c>
      <c r="H2540" s="23" t="s">
        <v>26</v>
      </c>
      <c r="I2540" s="24" t="s">
        <v>27</v>
      </c>
      <c r="J2540" s="19" t="s">
        <v>328</v>
      </c>
      <c r="K2540" s="14">
        <v>23.0</v>
      </c>
      <c r="L2540" s="7"/>
      <c r="M2540" s="7"/>
      <c r="N2540" s="7"/>
      <c r="O2540" s="7"/>
      <c r="P2540" s="7"/>
      <c r="Q2540" s="7"/>
      <c r="R2540" s="7"/>
      <c r="S2540" s="7"/>
      <c r="T2540" s="7"/>
      <c r="U2540" s="7"/>
      <c r="V2540" s="7"/>
      <c r="W2540" s="7"/>
      <c r="X2540" s="7"/>
      <c r="Y2540" s="7"/>
    </row>
    <row r="2541">
      <c r="A2541" s="14" t="s">
        <v>9212</v>
      </c>
      <c r="B2541" s="17" t="s">
        <v>9209</v>
      </c>
      <c r="C2541" s="17" t="s">
        <v>9213</v>
      </c>
      <c r="D2541" s="19" t="s">
        <v>4523</v>
      </c>
      <c r="E2541" s="20" t="s">
        <v>1468</v>
      </c>
      <c r="F2541" s="21">
        <v>32703.0</v>
      </c>
      <c r="G2541" s="14">
        <v>37.0</v>
      </c>
      <c r="H2541" s="23" t="s">
        <v>26</v>
      </c>
      <c r="I2541" s="24" t="s">
        <v>33</v>
      </c>
      <c r="J2541" s="19" t="s">
        <v>328</v>
      </c>
      <c r="K2541" s="14">
        <v>23.0</v>
      </c>
      <c r="L2541" s="7"/>
      <c r="M2541" s="7"/>
      <c r="N2541" s="7"/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7"/>
    </row>
    <row r="2542">
      <c r="A2542" s="14" t="s">
        <v>9214</v>
      </c>
      <c r="B2542" s="17" t="s">
        <v>9215</v>
      </c>
      <c r="C2542" s="17" t="s">
        <v>9216</v>
      </c>
      <c r="D2542" s="19" t="s">
        <v>9217</v>
      </c>
      <c r="E2542" s="20" t="s">
        <v>632</v>
      </c>
      <c r="F2542" s="21">
        <v>23081.0</v>
      </c>
      <c r="G2542" s="14">
        <v>63.0</v>
      </c>
      <c r="H2542" s="23" t="s">
        <v>27</v>
      </c>
      <c r="I2542" s="24" t="s">
        <v>27</v>
      </c>
      <c r="J2542" s="19" t="s">
        <v>328</v>
      </c>
      <c r="K2542" s="14">
        <v>23.0</v>
      </c>
      <c r="L2542" s="7"/>
      <c r="M2542" s="7"/>
      <c r="N2542" s="7"/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7"/>
    </row>
    <row r="2543">
      <c r="A2543" s="14" t="s">
        <v>9218</v>
      </c>
      <c r="B2543" s="17" t="s">
        <v>9219</v>
      </c>
      <c r="C2543" s="17" t="s">
        <v>9220</v>
      </c>
      <c r="D2543" s="19" t="s">
        <v>9221</v>
      </c>
      <c r="E2543" s="20" t="s">
        <v>5476</v>
      </c>
      <c r="F2543" s="21">
        <v>36433.0</v>
      </c>
      <c r="G2543" s="14">
        <v>26.0</v>
      </c>
      <c r="H2543" s="23" t="s">
        <v>100</v>
      </c>
      <c r="I2543" s="24" t="s">
        <v>33</v>
      </c>
      <c r="J2543" s="19" t="s">
        <v>282</v>
      </c>
      <c r="K2543" s="14">
        <v>12.0</v>
      </c>
      <c r="L2543" s="7"/>
      <c r="M2543" s="7"/>
      <c r="N2543" s="7"/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7"/>
    </row>
    <row r="2544">
      <c r="A2544" s="14" t="s">
        <v>9222</v>
      </c>
      <c r="B2544" s="17" t="s">
        <v>9219</v>
      </c>
      <c r="C2544" s="17" t="s">
        <v>9223</v>
      </c>
      <c r="D2544" s="19" t="s">
        <v>3110</v>
      </c>
      <c r="E2544" s="20" t="s">
        <v>112</v>
      </c>
      <c r="F2544" s="27">
        <v>28839.0</v>
      </c>
      <c r="G2544" s="14">
        <v>47.0</v>
      </c>
      <c r="H2544" s="23" t="s">
        <v>27</v>
      </c>
      <c r="I2544" s="24" t="s">
        <v>27</v>
      </c>
      <c r="J2544" s="19" t="s">
        <v>328</v>
      </c>
      <c r="K2544" s="14">
        <v>19.0</v>
      </c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</row>
    <row r="2545">
      <c r="A2545" s="14" t="s">
        <v>9224</v>
      </c>
      <c r="B2545" s="17" t="s">
        <v>9225</v>
      </c>
      <c r="C2545" s="17" t="s">
        <v>9226</v>
      </c>
      <c r="D2545" s="19" t="s">
        <v>9227</v>
      </c>
      <c r="E2545" s="20" t="s">
        <v>104</v>
      </c>
      <c r="F2545" s="21">
        <v>29074.0</v>
      </c>
      <c r="G2545" s="14">
        <v>47.0</v>
      </c>
      <c r="H2545" s="23" t="s">
        <v>26</v>
      </c>
      <c r="I2545" s="24" t="s">
        <v>33</v>
      </c>
      <c r="J2545" s="19" t="s">
        <v>206</v>
      </c>
      <c r="K2545" s="14">
        <v>2.0</v>
      </c>
      <c r="L2545" s="7"/>
      <c r="M2545" s="7"/>
      <c r="N2545" s="7"/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7"/>
    </row>
    <row r="2546">
      <c r="A2546" s="14" t="s">
        <v>9228</v>
      </c>
      <c r="B2546" s="17" t="s">
        <v>9225</v>
      </c>
      <c r="C2546" s="17" t="s">
        <v>9229</v>
      </c>
      <c r="D2546" s="19" t="s">
        <v>9230</v>
      </c>
      <c r="E2546" s="20" t="s">
        <v>104</v>
      </c>
      <c r="F2546" s="21">
        <v>37272.0</v>
      </c>
      <c r="G2546" s="14">
        <v>24.0</v>
      </c>
      <c r="H2546" s="23" t="s">
        <v>100</v>
      </c>
      <c r="I2546" s="24" t="s">
        <v>33</v>
      </c>
      <c r="J2546" s="19" t="s">
        <v>206</v>
      </c>
      <c r="K2546" s="14">
        <v>2.0</v>
      </c>
      <c r="L2546" s="7"/>
      <c r="M2546" s="7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</row>
    <row r="2547">
      <c r="A2547" s="14" t="s">
        <v>9231</v>
      </c>
      <c r="B2547" s="17" t="s">
        <v>9225</v>
      </c>
      <c r="C2547" s="17" t="s">
        <v>9232</v>
      </c>
      <c r="D2547" s="19" t="s">
        <v>9233</v>
      </c>
      <c r="E2547" s="20" t="s">
        <v>1468</v>
      </c>
      <c r="F2547" s="21">
        <v>30514.0</v>
      </c>
      <c r="G2547" s="14">
        <v>43.0</v>
      </c>
      <c r="H2547" s="23" t="s">
        <v>26</v>
      </c>
      <c r="I2547" s="24" t="s">
        <v>27</v>
      </c>
      <c r="J2547" s="19" t="s">
        <v>206</v>
      </c>
      <c r="K2547" s="14">
        <v>2.0</v>
      </c>
      <c r="L2547" s="7"/>
      <c r="M2547" s="7"/>
      <c r="N2547" s="7"/>
      <c r="O2547" s="7"/>
      <c r="P2547" s="7"/>
      <c r="Q2547" s="7"/>
      <c r="R2547" s="7"/>
      <c r="S2547" s="7"/>
      <c r="T2547" s="7"/>
      <c r="U2547" s="7"/>
      <c r="V2547" s="7"/>
      <c r="W2547" s="7"/>
      <c r="X2547" s="7"/>
      <c r="Y2547" s="7"/>
    </row>
    <row r="2548">
      <c r="A2548" s="14" t="s">
        <v>9234</v>
      </c>
      <c r="B2548" s="17" t="s">
        <v>9235</v>
      </c>
      <c r="C2548" s="17" t="s">
        <v>9236</v>
      </c>
      <c r="D2548" s="19" t="s">
        <v>9237</v>
      </c>
      <c r="E2548" s="20" t="s">
        <v>104</v>
      </c>
      <c r="F2548" s="21">
        <v>37380.0</v>
      </c>
      <c r="G2548" s="14">
        <v>24.0</v>
      </c>
      <c r="H2548" s="23" t="s">
        <v>100</v>
      </c>
      <c r="I2548" s="24" t="s">
        <v>33</v>
      </c>
      <c r="J2548" s="19" t="s">
        <v>146</v>
      </c>
      <c r="K2548" s="14">
        <v>2.0</v>
      </c>
      <c r="L2548" s="7"/>
      <c r="M2548" s="7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</row>
    <row r="2549">
      <c r="A2549" s="14" t="s">
        <v>9238</v>
      </c>
      <c r="B2549" s="17" t="s">
        <v>9235</v>
      </c>
      <c r="C2549" s="17" t="s">
        <v>9239</v>
      </c>
      <c r="D2549" s="19" t="s">
        <v>9240</v>
      </c>
      <c r="E2549" s="20" t="s">
        <v>666</v>
      </c>
      <c r="F2549" s="27">
        <v>28408.0</v>
      </c>
      <c r="G2549" s="14">
        <v>48.0</v>
      </c>
      <c r="H2549" s="23" t="s">
        <v>26</v>
      </c>
      <c r="I2549" s="24" t="s">
        <v>33</v>
      </c>
      <c r="J2549" s="19" t="s">
        <v>146</v>
      </c>
      <c r="K2549" s="14">
        <v>2.0</v>
      </c>
      <c r="L2549" s="7"/>
      <c r="M2549" s="7"/>
      <c r="N2549" s="7"/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7"/>
    </row>
    <row r="2550">
      <c r="A2550" s="14" t="s">
        <v>9241</v>
      </c>
      <c r="B2550" s="17" t="s">
        <v>9235</v>
      </c>
      <c r="C2550" s="17" t="s">
        <v>9242</v>
      </c>
      <c r="D2550" s="19" t="s">
        <v>9243</v>
      </c>
      <c r="E2550" s="20" t="s">
        <v>53</v>
      </c>
      <c r="F2550" s="21">
        <v>38565.0</v>
      </c>
      <c r="G2550" s="14">
        <v>21.0</v>
      </c>
      <c r="H2550" s="23" t="s">
        <v>100</v>
      </c>
      <c r="I2550" s="24" t="s">
        <v>27</v>
      </c>
      <c r="J2550" s="19" t="s">
        <v>146</v>
      </c>
      <c r="K2550" s="14">
        <v>2.0</v>
      </c>
      <c r="L2550" s="7"/>
      <c r="M2550" s="7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</row>
    <row r="2551">
      <c r="A2551" s="14" t="s">
        <v>9244</v>
      </c>
      <c r="B2551" s="17" t="s">
        <v>9235</v>
      </c>
      <c r="C2551" s="17" t="s">
        <v>9245</v>
      </c>
      <c r="D2551" s="19" t="s">
        <v>9246</v>
      </c>
      <c r="E2551" s="20" t="s">
        <v>104</v>
      </c>
      <c r="F2551" s="21">
        <v>28614.0</v>
      </c>
      <c r="G2551" s="14">
        <v>48.0</v>
      </c>
      <c r="H2551" s="23" t="s">
        <v>26</v>
      </c>
      <c r="I2551" s="24" t="s">
        <v>27</v>
      </c>
      <c r="J2551" s="19" t="s">
        <v>146</v>
      </c>
      <c r="K2551" s="14">
        <v>2.0</v>
      </c>
      <c r="L2551" s="7"/>
      <c r="M2551" s="7"/>
      <c r="N2551" s="7"/>
      <c r="O2551" s="7"/>
      <c r="P2551" s="7"/>
      <c r="Q2551" s="7"/>
      <c r="R2551" s="7"/>
      <c r="S2551" s="7"/>
      <c r="T2551" s="7"/>
      <c r="U2551" s="7"/>
      <c r="V2551" s="7"/>
      <c r="W2551" s="7"/>
      <c r="X2551" s="7"/>
      <c r="Y2551" s="7"/>
    </row>
    <row r="2552">
      <c r="A2552" s="14" t="s">
        <v>9247</v>
      </c>
      <c r="B2552" s="17" t="s">
        <v>9248</v>
      </c>
      <c r="C2552" s="17" t="s">
        <v>9249</v>
      </c>
      <c r="D2552" s="19" t="s">
        <v>9250</v>
      </c>
      <c r="E2552" s="20" t="s">
        <v>1870</v>
      </c>
      <c r="F2552" s="21">
        <v>38887.0</v>
      </c>
      <c r="G2552" s="14">
        <v>20.0</v>
      </c>
      <c r="H2552" s="23" t="s">
        <v>100</v>
      </c>
      <c r="I2552" s="24" t="s">
        <v>27</v>
      </c>
      <c r="J2552" s="19" t="s">
        <v>146</v>
      </c>
      <c r="K2552" s="14">
        <v>2.0</v>
      </c>
      <c r="L2552" s="7"/>
      <c r="M2552" s="7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</row>
    <row r="2553">
      <c r="A2553" s="14" t="s">
        <v>9251</v>
      </c>
      <c r="B2553" s="17" t="s">
        <v>9248</v>
      </c>
      <c r="C2553" s="17" t="s">
        <v>9252</v>
      </c>
      <c r="D2553" s="19" t="s">
        <v>9253</v>
      </c>
      <c r="E2553" s="20" t="s">
        <v>53</v>
      </c>
      <c r="F2553" s="21">
        <v>36973.0</v>
      </c>
      <c r="G2553" s="14">
        <v>25.0</v>
      </c>
      <c r="H2553" s="23" t="s">
        <v>100</v>
      </c>
      <c r="I2553" s="24" t="s">
        <v>33</v>
      </c>
      <c r="J2553" s="19" t="s">
        <v>146</v>
      </c>
      <c r="K2553" s="14">
        <v>2.0</v>
      </c>
      <c r="L2553" s="7"/>
      <c r="M2553" s="7"/>
      <c r="N2553" s="7"/>
      <c r="O2553" s="7"/>
      <c r="P2553" s="7"/>
      <c r="Q2553" s="7"/>
      <c r="R2553" s="7"/>
      <c r="S2553" s="7"/>
      <c r="T2553" s="7"/>
      <c r="U2553" s="7"/>
      <c r="V2553" s="7"/>
      <c r="W2553" s="7"/>
      <c r="X2553" s="7"/>
      <c r="Y2553" s="7"/>
    </row>
    <row r="2554">
      <c r="A2554" s="14" t="s">
        <v>9254</v>
      </c>
      <c r="B2554" s="17" t="s">
        <v>9248</v>
      </c>
      <c r="C2554" s="17" t="s">
        <v>9255</v>
      </c>
      <c r="D2554" s="19" t="s">
        <v>9256</v>
      </c>
      <c r="E2554" s="20" t="s">
        <v>434</v>
      </c>
      <c r="F2554" s="21">
        <v>24361.0</v>
      </c>
      <c r="G2554" s="14">
        <v>59.0</v>
      </c>
      <c r="H2554" s="23" t="s">
        <v>26</v>
      </c>
      <c r="I2554" s="24" t="s">
        <v>33</v>
      </c>
      <c r="J2554" s="19" t="s">
        <v>146</v>
      </c>
      <c r="K2554" s="14">
        <v>2.0</v>
      </c>
      <c r="L2554" s="7"/>
      <c r="M2554" s="7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</row>
    <row r="2555">
      <c r="A2555" s="14" t="s">
        <v>9257</v>
      </c>
      <c r="B2555" s="17" t="s">
        <v>9248</v>
      </c>
      <c r="C2555" s="17" t="s">
        <v>9258</v>
      </c>
      <c r="D2555" s="19" t="s">
        <v>9259</v>
      </c>
      <c r="E2555" s="20" t="s">
        <v>434</v>
      </c>
      <c r="F2555" s="21">
        <v>29330.0</v>
      </c>
      <c r="G2555" s="14">
        <v>46.0</v>
      </c>
      <c r="H2555" s="23" t="s">
        <v>26</v>
      </c>
      <c r="I2555" s="24" t="s">
        <v>27</v>
      </c>
      <c r="J2555" s="19" t="s">
        <v>146</v>
      </c>
      <c r="K2555" s="14">
        <v>2.0</v>
      </c>
      <c r="L2555" s="7"/>
      <c r="M2555" s="7"/>
      <c r="N2555" s="7"/>
      <c r="O2555" s="7"/>
      <c r="P2555" s="7"/>
      <c r="Q2555" s="7"/>
      <c r="R2555" s="7"/>
      <c r="S2555" s="7"/>
      <c r="T2555" s="7"/>
      <c r="U2555" s="7"/>
      <c r="V2555" s="7"/>
      <c r="W2555" s="7"/>
      <c r="X2555" s="7"/>
      <c r="Y2555" s="7"/>
    </row>
    <row r="2556">
      <c r="A2556" s="14" t="s">
        <v>9260</v>
      </c>
      <c r="B2556" s="17" t="s">
        <v>9261</v>
      </c>
      <c r="C2556" s="17" t="s">
        <v>9262</v>
      </c>
      <c r="D2556" s="19" t="s">
        <v>9263</v>
      </c>
      <c r="E2556" s="20" t="s">
        <v>9264</v>
      </c>
      <c r="F2556" s="27">
        <v>31330.0</v>
      </c>
      <c r="G2556" s="14">
        <v>40.0</v>
      </c>
      <c r="H2556" s="23" t="s">
        <v>26</v>
      </c>
      <c r="I2556" s="24" t="s">
        <v>27</v>
      </c>
      <c r="J2556" s="19" t="s">
        <v>757</v>
      </c>
      <c r="K2556" s="14">
        <v>1.0</v>
      </c>
      <c r="L2556" s="7"/>
      <c r="M2556" s="7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</row>
    <row r="2557">
      <c r="A2557" s="14" t="s">
        <v>9265</v>
      </c>
      <c r="B2557" s="17" t="s">
        <v>9261</v>
      </c>
      <c r="C2557" s="17" t="s">
        <v>9266</v>
      </c>
      <c r="D2557" s="19" t="s">
        <v>9267</v>
      </c>
      <c r="E2557" s="20" t="s">
        <v>9268</v>
      </c>
      <c r="F2557" s="21">
        <v>30288.0</v>
      </c>
      <c r="G2557" s="14">
        <v>43.0</v>
      </c>
      <c r="H2557" s="23" t="s">
        <v>26</v>
      </c>
      <c r="I2557" s="24" t="s">
        <v>27</v>
      </c>
      <c r="J2557" s="19" t="s">
        <v>146</v>
      </c>
      <c r="K2557" s="14">
        <v>2.0</v>
      </c>
      <c r="L2557" s="7"/>
      <c r="M2557" s="7"/>
      <c r="N2557" s="7"/>
      <c r="O2557" s="7"/>
      <c r="P2557" s="7"/>
      <c r="Q2557" s="7"/>
      <c r="R2557" s="7"/>
      <c r="S2557" s="7"/>
      <c r="T2557" s="7"/>
      <c r="U2557" s="7"/>
      <c r="V2557" s="7"/>
      <c r="W2557" s="7"/>
      <c r="X2557" s="7"/>
      <c r="Y2557" s="7"/>
    </row>
    <row r="2558">
      <c r="A2558" s="14" t="s">
        <v>9269</v>
      </c>
      <c r="B2558" s="17" t="s">
        <v>9261</v>
      </c>
      <c r="C2558" s="17" t="s">
        <v>9270</v>
      </c>
      <c r="D2558" s="19" t="s">
        <v>9271</v>
      </c>
      <c r="E2558" s="20" t="s">
        <v>104</v>
      </c>
      <c r="F2558" s="21">
        <v>28286.0</v>
      </c>
      <c r="G2558" s="14">
        <v>49.0</v>
      </c>
      <c r="H2558" s="23" t="s">
        <v>26</v>
      </c>
      <c r="I2558" s="24" t="s">
        <v>33</v>
      </c>
      <c r="J2558" s="19" t="s">
        <v>146</v>
      </c>
      <c r="K2558" s="14">
        <v>2.0</v>
      </c>
      <c r="L2558" s="7"/>
      <c r="M2558" s="7"/>
      <c r="N2558" s="7"/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7"/>
    </row>
    <row r="2559">
      <c r="A2559" s="14" t="s">
        <v>9272</v>
      </c>
      <c r="B2559" s="17" t="s">
        <v>9261</v>
      </c>
      <c r="C2559" s="17" t="s">
        <v>9273</v>
      </c>
      <c r="D2559" s="19" t="s">
        <v>9274</v>
      </c>
      <c r="E2559" s="20" t="s">
        <v>210</v>
      </c>
      <c r="F2559" s="27">
        <v>29582.0</v>
      </c>
      <c r="G2559" s="14">
        <v>45.0</v>
      </c>
      <c r="H2559" s="23" t="s">
        <v>26</v>
      </c>
      <c r="I2559" s="24" t="s">
        <v>33</v>
      </c>
      <c r="J2559" s="19" t="s">
        <v>757</v>
      </c>
      <c r="K2559" s="14">
        <v>1.0</v>
      </c>
      <c r="L2559" s="7"/>
      <c r="M2559" s="7"/>
      <c r="N2559" s="7"/>
      <c r="O2559" s="7"/>
      <c r="P2559" s="7"/>
      <c r="Q2559" s="7"/>
      <c r="R2559" s="7"/>
      <c r="S2559" s="7"/>
      <c r="T2559" s="7"/>
      <c r="U2559" s="7"/>
      <c r="V2559" s="7"/>
      <c r="W2559" s="7"/>
      <c r="X2559" s="7"/>
      <c r="Y2559" s="7"/>
    </row>
    <row r="2560">
      <c r="A2560" s="14" t="s">
        <v>9275</v>
      </c>
      <c r="B2560" s="17" t="s">
        <v>9276</v>
      </c>
      <c r="C2560" s="17" t="s">
        <v>9277</v>
      </c>
      <c r="D2560" s="19" t="s">
        <v>6768</v>
      </c>
      <c r="E2560" s="20" t="s">
        <v>4976</v>
      </c>
      <c r="F2560" s="21">
        <v>18568.0</v>
      </c>
      <c r="G2560" s="14">
        <v>75.0</v>
      </c>
      <c r="H2560" s="23" t="s">
        <v>27</v>
      </c>
      <c r="I2560" s="24" t="s">
        <v>27</v>
      </c>
      <c r="J2560" s="19" t="s">
        <v>282</v>
      </c>
      <c r="K2560" s="14">
        <v>17.0</v>
      </c>
      <c r="L2560" s="7"/>
      <c r="M2560" s="7"/>
      <c r="N2560" s="7"/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7"/>
    </row>
    <row r="2561">
      <c r="A2561" s="14" t="s">
        <v>9278</v>
      </c>
      <c r="B2561" s="17" t="s">
        <v>9279</v>
      </c>
      <c r="C2561" s="17" t="s">
        <v>9280</v>
      </c>
      <c r="D2561" s="19" t="s">
        <v>5461</v>
      </c>
      <c r="E2561" s="20" t="s">
        <v>632</v>
      </c>
      <c r="F2561" s="27">
        <v>25547.0</v>
      </c>
      <c r="G2561" s="14">
        <v>56.0</v>
      </c>
      <c r="H2561" s="23" t="s">
        <v>27</v>
      </c>
      <c r="I2561" s="24" t="s">
        <v>27</v>
      </c>
      <c r="J2561" s="19" t="s">
        <v>53</v>
      </c>
      <c r="K2561" s="14">
        <v>30.0</v>
      </c>
      <c r="L2561" s="7"/>
      <c r="M2561" s="7"/>
      <c r="N2561" s="7"/>
      <c r="O2561" s="7"/>
      <c r="P2561" s="7"/>
      <c r="Q2561" s="7"/>
      <c r="R2561" s="7"/>
      <c r="S2561" s="7"/>
      <c r="T2561" s="7"/>
      <c r="U2561" s="7"/>
      <c r="V2561" s="7"/>
      <c r="W2561" s="7"/>
      <c r="X2561" s="7"/>
      <c r="Y2561" s="7"/>
    </row>
    <row r="2562">
      <c r="A2562" s="14" t="s">
        <v>9281</v>
      </c>
      <c r="B2562" s="17" t="s">
        <v>9282</v>
      </c>
      <c r="C2562" s="17" t="s">
        <v>9283</v>
      </c>
      <c r="D2562" s="19" t="s">
        <v>9284</v>
      </c>
      <c r="E2562" s="20" t="s">
        <v>53</v>
      </c>
      <c r="F2562" s="21">
        <v>28338.0</v>
      </c>
      <c r="G2562" s="14">
        <v>49.0</v>
      </c>
      <c r="H2562" s="23" t="s">
        <v>26</v>
      </c>
      <c r="I2562" s="24" t="s">
        <v>33</v>
      </c>
      <c r="J2562" s="19" t="s">
        <v>726</v>
      </c>
      <c r="K2562" s="14">
        <v>11.0</v>
      </c>
      <c r="L2562" s="7"/>
      <c r="M2562" s="7"/>
      <c r="N2562" s="7"/>
      <c r="O2562" s="7"/>
      <c r="P2562" s="7"/>
      <c r="Q2562" s="7"/>
      <c r="R2562" s="7"/>
      <c r="S2562" s="7"/>
      <c r="T2562" s="7"/>
      <c r="U2562" s="7"/>
      <c r="V2562" s="7"/>
      <c r="W2562" s="7"/>
      <c r="X2562" s="7"/>
      <c r="Y2562" s="7"/>
    </row>
    <row r="2563">
      <c r="A2563" s="14" t="s">
        <v>9285</v>
      </c>
      <c r="B2563" s="17" t="s">
        <v>9282</v>
      </c>
      <c r="C2563" s="17" t="s">
        <v>9286</v>
      </c>
      <c r="D2563" s="19" t="s">
        <v>9287</v>
      </c>
      <c r="E2563" s="20" t="s">
        <v>104</v>
      </c>
      <c r="F2563" s="21">
        <v>37454.0</v>
      </c>
      <c r="G2563" s="14">
        <v>24.0</v>
      </c>
      <c r="H2563" s="23" t="s">
        <v>100</v>
      </c>
      <c r="I2563" s="24" t="s">
        <v>27</v>
      </c>
      <c r="J2563" s="19" t="s">
        <v>726</v>
      </c>
      <c r="K2563" s="14">
        <v>11.0</v>
      </c>
      <c r="L2563" s="7"/>
      <c r="M2563" s="7"/>
      <c r="N2563" s="7"/>
      <c r="O2563" s="7"/>
      <c r="P2563" s="7"/>
      <c r="Q2563" s="7"/>
      <c r="R2563" s="7"/>
      <c r="S2563" s="7"/>
      <c r="T2563" s="7"/>
      <c r="U2563" s="7"/>
      <c r="V2563" s="7"/>
      <c r="W2563" s="7"/>
      <c r="X2563" s="7"/>
      <c r="Y2563" s="7"/>
    </row>
    <row r="2564">
      <c r="A2564" s="14" t="s">
        <v>9288</v>
      </c>
      <c r="B2564" s="17" t="s">
        <v>9282</v>
      </c>
      <c r="C2564" s="17" t="s">
        <v>9289</v>
      </c>
      <c r="D2564" s="19" t="s">
        <v>9290</v>
      </c>
      <c r="E2564" s="20" t="s">
        <v>104</v>
      </c>
      <c r="F2564" s="21">
        <v>29696.0</v>
      </c>
      <c r="G2564" s="14">
        <v>45.0</v>
      </c>
      <c r="H2564" s="23" t="s">
        <v>26</v>
      </c>
      <c r="I2564" s="24" t="s">
        <v>27</v>
      </c>
      <c r="J2564" s="19" t="s">
        <v>726</v>
      </c>
      <c r="K2564" s="14">
        <v>11.0</v>
      </c>
      <c r="L2564" s="7"/>
      <c r="M2564" s="7"/>
      <c r="N2564" s="7"/>
      <c r="O2564" s="7"/>
      <c r="P2564" s="7"/>
      <c r="Q2564" s="7"/>
      <c r="R2564" s="7"/>
      <c r="S2564" s="7"/>
      <c r="T2564" s="7"/>
      <c r="U2564" s="7"/>
      <c r="V2564" s="7"/>
      <c r="W2564" s="7"/>
      <c r="X2564" s="7"/>
      <c r="Y2564" s="7"/>
    </row>
    <row r="2565">
      <c r="A2565" s="14" t="s">
        <v>9291</v>
      </c>
      <c r="B2565" s="17" t="s">
        <v>9292</v>
      </c>
      <c r="C2565" s="17" t="s">
        <v>9293</v>
      </c>
      <c r="D2565" s="19" t="s">
        <v>3928</v>
      </c>
      <c r="E2565" s="20" t="s">
        <v>53</v>
      </c>
      <c r="F2565" s="21">
        <v>29468.0</v>
      </c>
      <c r="G2565" s="14">
        <v>45.0</v>
      </c>
      <c r="H2565" s="23" t="s">
        <v>26</v>
      </c>
      <c r="I2565" s="24" t="s">
        <v>33</v>
      </c>
      <c r="J2565" s="19" t="s">
        <v>146</v>
      </c>
      <c r="K2565" s="14">
        <v>3.0</v>
      </c>
      <c r="L2565" s="7"/>
      <c r="M2565" s="7"/>
      <c r="N2565" s="7"/>
      <c r="O2565" s="7"/>
      <c r="P2565" s="7"/>
      <c r="Q2565" s="7"/>
      <c r="R2565" s="7"/>
      <c r="S2565" s="7"/>
      <c r="T2565" s="7"/>
      <c r="U2565" s="7"/>
      <c r="V2565" s="7"/>
      <c r="W2565" s="7"/>
      <c r="X2565" s="7"/>
      <c r="Y2565" s="7"/>
    </row>
    <row r="2566">
      <c r="A2566" s="14" t="s">
        <v>9294</v>
      </c>
      <c r="B2566" s="17" t="s">
        <v>9292</v>
      </c>
      <c r="C2566" s="17" t="s">
        <v>9295</v>
      </c>
      <c r="D2566" s="19" t="s">
        <v>9296</v>
      </c>
      <c r="E2566" s="20" t="s">
        <v>624</v>
      </c>
      <c r="F2566" s="27">
        <v>35355.0</v>
      </c>
      <c r="G2566" s="14">
        <v>29.0</v>
      </c>
      <c r="H2566" s="23" t="s">
        <v>26</v>
      </c>
      <c r="I2566" s="24" t="s">
        <v>27</v>
      </c>
      <c r="J2566" s="19" t="s">
        <v>146</v>
      </c>
      <c r="K2566" s="14">
        <v>3.0</v>
      </c>
      <c r="L2566" s="7"/>
      <c r="M2566" s="7"/>
      <c r="N2566" s="7"/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7"/>
    </row>
    <row r="2567">
      <c r="A2567" s="14" t="s">
        <v>9297</v>
      </c>
      <c r="B2567" s="17" t="s">
        <v>9298</v>
      </c>
      <c r="C2567" s="17" t="s">
        <v>9299</v>
      </c>
      <c r="D2567" s="19" t="s">
        <v>1279</v>
      </c>
      <c r="E2567" s="20" t="s">
        <v>9056</v>
      </c>
      <c r="F2567" s="21">
        <v>32258.0</v>
      </c>
      <c r="G2567" s="14">
        <v>38.0</v>
      </c>
      <c r="H2567" s="23" t="s">
        <v>26</v>
      </c>
      <c r="I2567" s="24" t="s">
        <v>27</v>
      </c>
      <c r="J2567" s="19" t="s">
        <v>517</v>
      </c>
      <c r="K2567" s="14">
        <v>8.0</v>
      </c>
      <c r="L2567" s="7"/>
      <c r="M2567" s="7"/>
      <c r="N2567" s="7"/>
      <c r="O2567" s="7"/>
      <c r="P2567" s="7"/>
      <c r="Q2567" s="7"/>
      <c r="R2567" s="7"/>
      <c r="S2567" s="7"/>
      <c r="T2567" s="7"/>
      <c r="U2567" s="7"/>
      <c r="V2567" s="7"/>
      <c r="W2567" s="7"/>
      <c r="X2567" s="7"/>
      <c r="Y2567" s="7"/>
    </row>
    <row r="2568">
      <c r="A2568" s="14" t="s">
        <v>9300</v>
      </c>
      <c r="B2568" s="17" t="s">
        <v>9298</v>
      </c>
      <c r="C2568" s="17" t="s">
        <v>9301</v>
      </c>
      <c r="D2568" s="19" t="s">
        <v>2257</v>
      </c>
      <c r="E2568" s="20" t="s">
        <v>632</v>
      </c>
      <c r="F2568" s="21">
        <v>28576.0</v>
      </c>
      <c r="G2568" s="14">
        <v>48.0</v>
      </c>
      <c r="H2568" s="23" t="s">
        <v>26</v>
      </c>
      <c r="I2568" s="24" t="s">
        <v>33</v>
      </c>
      <c r="J2568" s="19" t="s">
        <v>517</v>
      </c>
      <c r="K2568" s="14">
        <v>8.0</v>
      </c>
      <c r="L2568" s="7"/>
      <c r="M2568" s="7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</row>
    <row r="2569">
      <c r="A2569" s="14" t="s">
        <v>9302</v>
      </c>
      <c r="B2569" s="17" t="s">
        <v>9303</v>
      </c>
      <c r="C2569" s="17" t="s">
        <v>9304</v>
      </c>
      <c r="D2569" s="19" t="s">
        <v>9305</v>
      </c>
      <c r="E2569" s="20" t="s">
        <v>104</v>
      </c>
      <c r="F2569" s="21">
        <v>33369.0</v>
      </c>
      <c r="G2569" s="14">
        <v>35.0</v>
      </c>
      <c r="H2569" s="23" t="s">
        <v>26</v>
      </c>
      <c r="I2569" s="24" t="s">
        <v>27</v>
      </c>
      <c r="J2569" s="19" t="s">
        <v>53</v>
      </c>
      <c r="K2569" s="14">
        <v>5.0</v>
      </c>
      <c r="L2569" s="7"/>
      <c r="M2569" s="7"/>
      <c r="N2569" s="7"/>
      <c r="O2569" s="7"/>
      <c r="P2569" s="7"/>
      <c r="Q2569" s="7"/>
      <c r="R2569" s="7"/>
      <c r="S2569" s="7"/>
      <c r="T2569" s="7"/>
      <c r="U2569" s="7"/>
      <c r="V2569" s="7"/>
      <c r="W2569" s="7"/>
      <c r="X2569" s="7"/>
      <c r="Y2569" s="7"/>
    </row>
    <row r="2570">
      <c r="A2570" s="14" t="s">
        <v>9306</v>
      </c>
      <c r="B2570" s="17" t="s">
        <v>9303</v>
      </c>
      <c r="C2570" s="17" t="s">
        <v>9307</v>
      </c>
      <c r="D2570" s="19" t="s">
        <v>9308</v>
      </c>
      <c r="E2570" s="20" t="s">
        <v>650</v>
      </c>
      <c r="F2570" s="21">
        <v>22114.0</v>
      </c>
      <c r="G2570" s="14">
        <v>66.0</v>
      </c>
      <c r="H2570" s="23" t="s">
        <v>27</v>
      </c>
      <c r="I2570" s="24" t="s">
        <v>27</v>
      </c>
      <c r="J2570" s="19" t="s">
        <v>2431</v>
      </c>
      <c r="K2570" s="14">
        <v>5.0</v>
      </c>
      <c r="L2570" s="7"/>
      <c r="M2570" s="7"/>
      <c r="N2570" s="7"/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7"/>
    </row>
    <row r="2571">
      <c r="A2571" s="14" t="s">
        <v>9310</v>
      </c>
      <c r="B2571" s="17" t="s">
        <v>9311</v>
      </c>
      <c r="C2571" s="17" t="s">
        <v>9312</v>
      </c>
      <c r="D2571" s="19" t="s">
        <v>9313</v>
      </c>
      <c r="E2571" s="20" t="s">
        <v>632</v>
      </c>
      <c r="F2571" s="21">
        <v>27621.0</v>
      </c>
      <c r="G2571" s="14">
        <v>51.0</v>
      </c>
      <c r="H2571" s="23" t="s">
        <v>26</v>
      </c>
      <c r="I2571" s="24" t="s">
        <v>27</v>
      </c>
      <c r="J2571" s="19" t="s">
        <v>146</v>
      </c>
      <c r="K2571" s="14">
        <v>5.0</v>
      </c>
      <c r="L2571" s="7"/>
      <c r="M2571" s="7"/>
      <c r="N2571" s="7"/>
      <c r="O2571" s="7"/>
      <c r="P2571" s="7"/>
      <c r="Q2571" s="7"/>
      <c r="R2571" s="7"/>
      <c r="S2571" s="7"/>
      <c r="T2571" s="7"/>
      <c r="U2571" s="7"/>
      <c r="V2571" s="7"/>
      <c r="W2571" s="7"/>
      <c r="X2571" s="7"/>
      <c r="Y2571" s="7"/>
    </row>
    <row r="2572">
      <c r="A2572" s="14" t="s">
        <v>9314</v>
      </c>
      <c r="B2572" s="17" t="s">
        <v>9311</v>
      </c>
      <c r="C2572" s="17" t="s">
        <v>9315</v>
      </c>
      <c r="D2572" s="19" t="s">
        <v>9316</v>
      </c>
      <c r="E2572" s="20" t="s">
        <v>53</v>
      </c>
      <c r="F2572" s="21">
        <v>37888.0</v>
      </c>
      <c r="G2572" s="14">
        <v>22.0</v>
      </c>
      <c r="H2572" s="23" t="s">
        <v>100</v>
      </c>
      <c r="I2572" s="24" t="s">
        <v>33</v>
      </c>
      <c r="J2572" s="19" t="s">
        <v>146</v>
      </c>
      <c r="K2572" s="14">
        <v>5.0</v>
      </c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</row>
    <row r="2573">
      <c r="A2573" s="14" t="s">
        <v>9317</v>
      </c>
      <c r="B2573" s="17" t="s">
        <v>9311</v>
      </c>
      <c r="C2573" s="17" t="s">
        <v>9318</v>
      </c>
      <c r="D2573" s="19" t="s">
        <v>9319</v>
      </c>
      <c r="E2573" s="20" t="s">
        <v>290</v>
      </c>
      <c r="F2573" s="21">
        <v>26429.0</v>
      </c>
      <c r="G2573" s="14">
        <v>54.0</v>
      </c>
      <c r="H2573" s="23" t="s">
        <v>26</v>
      </c>
      <c r="I2573" s="24" t="s">
        <v>33</v>
      </c>
      <c r="J2573" s="19" t="s">
        <v>146</v>
      </c>
      <c r="K2573" s="14">
        <v>5.0</v>
      </c>
      <c r="L2573" s="7"/>
      <c r="M2573" s="7"/>
      <c r="N2573" s="7"/>
      <c r="O2573" s="7"/>
      <c r="P2573" s="7"/>
      <c r="Q2573" s="7"/>
      <c r="R2573" s="7"/>
      <c r="S2573" s="7"/>
      <c r="T2573" s="7"/>
      <c r="U2573" s="7"/>
      <c r="V2573" s="7"/>
      <c r="W2573" s="7"/>
      <c r="X2573" s="7"/>
      <c r="Y2573" s="7"/>
    </row>
    <row r="2574">
      <c r="A2574" s="14" t="s">
        <v>9320</v>
      </c>
      <c r="B2574" s="17" t="s">
        <v>9321</v>
      </c>
      <c r="C2574" s="17" t="s">
        <v>9322</v>
      </c>
      <c r="D2574" s="19" t="s">
        <v>9323</v>
      </c>
      <c r="E2574" s="20" t="s">
        <v>274</v>
      </c>
      <c r="F2574" s="21">
        <v>32029.0</v>
      </c>
      <c r="G2574" s="14">
        <v>38.0</v>
      </c>
      <c r="H2574" s="23" t="s">
        <v>26</v>
      </c>
      <c r="I2574" s="24" t="s">
        <v>33</v>
      </c>
      <c r="J2574" s="19" t="s">
        <v>146</v>
      </c>
      <c r="K2574" s="14">
        <v>3.0</v>
      </c>
      <c r="L2574" s="7"/>
      <c r="M2574" s="7"/>
      <c r="N2574" s="7"/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7"/>
    </row>
    <row r="2575">
      <c r="A2575" s="14" t="s">
        <v>9325</v>
      </c>
      <c r="B2575" s="17" t="s">
        <v>9321</v>
      </c>
      <c r="C2575" s="17" t="s">
        <v>9326</v>
      </c>
      <c r="D2575" s="19" t="s">
        <v>9327</v>
      </c>
      <c r="E2575" s="20" t="s">
        <v>231</v>
      </c>
      <c r="F2575" s="21">
        <v>32510.0</v>
      </c>
      <c r="G2575" s="14">
        <v>37.0</v>
      </c>
      <c r="H2575" s="23" t="s">
        <v>26</v>
      </c>
      <c r="I2575" s="24" t="s">
        <v>27</v>
      </c>
      <c r="J2575" s="19" t="s">
        <v>146</v>
      </c>
      <c r="K2575" s="14">
        <v>3.0</v>
      </c>
      <c r="L2575" s="7"/>
      <c r="M2575" s="7"/>
      <c r="N2575" s="7"/>
      <c r="O2575" s="7"/>
      <c r="P2575" s="7"/>
      <c r="Q2575" s="7"/>
      <c r="R2575" s="7"/>
      <c r="S2575" s="7"/>
      <c r="T2575" s="7"/>
      <c r="U2575" s="7"/>
      <c r="V2575" s="7"/>
      <c r="W2575" s="7"/>
      <c r="X2575" s="7"/>
      <c r="Y2575" s="7"/>
    </row>
    <row r="2576">
      <c r="A2576" s="14" t="s">
        <v>9329</v>
      </c>
      <c r="B2576" s="17" t="s">
        <v>9330</v>
      </c>
      <c r="C2576" s="17" t="s">
        <v>9331</v>
      </c>
      <c r="D2576" s="19" t="s">
        <v>9332</v>
      </c>
      <c r="E2576" s="20" t="s">
        <v>8190</v>
      </c>
      <c r="F2576" s="21">
        <v>18849.0</v>
      </c>
      <c r="G2576" s="14">
        <v>75.0</v>
      </c>
      <c r="H2576" s="23" t="s">
        <v>27</v>
      </c>
      <c r="I2576" s="24" t="s">
        <v>27</v>
      </c>
      <c r="J2576" s="19" t="s">
        <v>206</v>
      </c>
      <c r="K2576" s="14">
        <v>1.0</v>
      </c>
      <c r="L2576" s="7"/>
      <c r="M2576" s="7"/>
      <c r="N2576" s="7"/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7"/>
    </row>
    <row r="2577">
      <c r="A2577" s="14" t="s">
        <v>9333</v>
      </c>
      <c r="B2577" s="17" t="s">
        <v>9334</v>
      </c>
      <c r="C2577" s="17" t="s">
        <v>9335</v>
      </c>
      <c r="D2577" s="19" t="s">
        <v>9336</v>
      </c>
      <c r="E2577" s="20" t="s">
        <v>632</v>
      </c>
      <c r="F2577" s="21">
        <v>26868.0</v>
      </c>
      <c r="G2577" s="14">
        <v>53.0</v>
      </c>
      <c r="H2577" s="23" t="s">
        <v>26</v>
      </c>
      <c r="I2577" s="24" t="s">
        <v>33</v>
      </c>
      <c r="J2577" s="19" t="s">
        <v>53</v>
      </c>
      <c r="K2577" s="14">
        <v>27.0</v>
      </c>
      <c r="L2577" s="7"/>
      <c r="M2577" s="7"/>
      <c r="N2577" s="7"/>
      <c r="O2577" s="7"/>
      <c r="P2577" s="7"/>
      <c r="Q2577" s="7"/>
      <c r="R2577" s="7"/>
      <c r="S2577" s="7"/>
      <c r="T2577" s="7"/>
      <c r="U2577" s="7"/>
      <c r="V2577" s="7"/>
      <c r="W2577" s="7"/>
      <c r="X2577" s="7"/>
      <c r="Y2577" s="7"/>
    </row>
    <row r="2578">
      <c r="A2578" s="14" t="s">
        <v>9337</v>
      </c>
      <c r="B2578" s="17" t="s">
        <v>9334</v>
      </c>
      <c r="C2578" s="17" t="s">
        <v>9338</v>
      </c>
      <c r="D2578" s="19" t="s">
        <v>9339</v>
      </c>
      <c r="E2578" s="20" t="s">
        <v>104</v>
      </c>
      <c r="F2578" s="21">
        <v>29531.0</v>
      </c>
      <c r="G2578" s="14">
        <v>45.0</v>
      </c>
      <c r="H2578" s="23" t="s">
        <v>26</v>
      </c>
      <c r="I2578" s="24" t="s">
        <v>27</v>
      </c>
      <c r="J2578" s="19" t="s">
        <v>53</v>
      </c>
      <c r="K2578" s="14">
        <v>27.0</v>
      </c>
      <c r="L2578" s="7"/>
      <c r="M2578" s="7"/>
      <c r="N2578" s="7"/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7"/>
    </row>
    <row r="2579">
      <c r="A2579" s="14" t="s">
        <v>9340</v>
      </c>
      <c r="B2579" s="17" t="s">
        <v>9334</v>
      </c>
      <c r="C2579" s="17" t="s">
        <v>9341</v>
      </c>
      <c r="D2579" s="19" t="s">
        <v>9342</v>
      </c>
      <c r="E2579" s="20" t="s">
        <v>53</v>
      </c>
      <c r="F2579" s="21">
        <v>36863.0</v>
      </c>
      <c r="G2579" s="14">
        <v>25.0</v>
      </c>
      <c r="H2579" s="23" t="s">
        <v>100</v>
      </c>
      <c r="I2579" s="24" t="s">
        <v>27</v>
      </c>
      <c r="J2579" s="19" t="s">
        <v>53</v>
      </c>
      <c r="K2579" s="14">
        <v>27.0</v>
      </c>
      <c r="L2579" s="7"/>
      <c r="M2579" s="7"/>
      <c r="N2579" s="7"/>
      <c r="O2579" s="7"/>
      <c r="P2579" s="7"/>
      <c r="Q2579" s="7"/>
      <c r="R2579" s="7"/>
      <c r="S2579" s="7"/>
      <c r="T2579" s="7"/>
      <c r="U2579" s="7"/>
      <c r="V2579" s="7"/>
      <c r="W2579" s="7"/>
      <c r="X2579" s="7"/>
      <c r="Y2579" s="7"/>
    </row>
    <row r="2580">
      <c r="A2580" s="14" t="s">
        <v>9343</v>
      </c>
      <c r="B2580" s="17" t="s">
        <v>9344</v>
      </c>
      <c r="C2580" s="17" t="s">
        <v>9345</v>
      </c>
      <c r="D2580" s="19" t="s">
        <v>9346</v>
      </c>
      <c r="E2580" s="20" t="s">
        <v>9347</v>
      </c>
      <c r="F2580" s="27">
        <v>37193.0</v>
      </c>
      <c r="G2580" s="14">
        <v>24.0</v>
      </c>
      <c r="H2580" s="23" t="s">
        <v>100</v>
      </c>
      <c r="I2580" s="24" t="s">
        <v>33</v>
      </c>
      <c r="J2580" s="19" t="s">
        <v>206</v>
      </c>
      <c r="K2580" s="14">
        <v>3.0</v>
      </c>
      <c r="L2580" s="7"/>
      <c r="M2580" s="7"/>
      <c r="N2580" s="7"/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7"/>
    </row>
    <row r="2581">
      <c r="A2581" s="14" t="s">
        <v>9348</v>
      </c>
      <c r="B2581" s="17" t="s">
        <v>9344</v>
      </c>
      <c r="C2581" s="17" t="s">
        <v>9349</v>
      </c>
      <c r="D2581" s="19" t="s">
        <v>9350</v>
      </c>
      <c r="E2581" s="20" t="s">
        <v>195</v>
      </c>
      <c r="F2581" s="21">
        <v>34360.0</v>
      </c>
      <c r="G2581" s="14">
        <v>32.0</v>
      </c>
      <c r="H2581" s="23" t="s">
        <v>100</v>
      </c>
      <c r="I2581" s="24" t="s">
        <v>33</v>
      </c>
      <c r="J2581" s="19" t="s">
        <v>206</v>
      </c>
      <c r="K2581" s="14">
        <v>3.0</v>
      </c>
      <c r="L2581" s="7"/>
      <c r="M2581" s="7"/>
      <c r="N2581" s="7"/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7"/>
    </row>
    <row r="2582">
      <c r="A2582" s="14" t="s">
        <v>9351</v>
      </c>
      <c r="B2582" s="17" t="s">
        <v>9344</v>
      </c>
      <c r="C2582" s="17" t="s">
        <v>9352</v>
      </c>
      <c r="D2582" s="19" t="s">
        <v>9353</v>
      </c>
      <c r="E2582" s="20" t="s">
        <v>9347</v>
      </c>
      <c r="F2582" s="21">
        <v>24943.0</v>
      </c>
      <c r="G2582" s="14">
        <v>58.0</v>
      </c>
      <c r="H2582" s="23" t="s">
        <v>27</v>
      </c>
      <c r="I2582" s="24" t="s">
        <v>27</v>
      </c>
      <c r="J2582" s="19" t="s">
        <v>206</v>
      </c>
      <c r="K2582" s="14">
        <v>3.0</v>
      </c>
      <c r="L2582" s="7"/>
      <c r="M2582" s="7"/>
      <c r="N2582" s="7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</row>
    <row r="2583">
      <c r="A2583" s="14" t="s">
        <v>9354</v>
      </c>
      <c r="B2583" s="17" t="s">
        <v>9355</v>
      </c>
      <c r="C2583" s="17" t="s">
        <v>9356</v>
      </c>
      <c r="D2583" s="19" t="s">
        <v>9357</v>
      </c>
      <c r="E2583" s="20" t="s">
        <v>104</v>
      </c>
      <c r="F2583" s="21">
        <v>36650.0</v>
      </c>
      <c r="G2583" s="14">
        <v>26.0</v>
      </c>
      <c r="H2583" s="23" t="s">
        <v>26</v>
      </c>
      <c r="I2583" s="24" t="s">
        <v>33</v>
      </c>
      <c r="J2583" s="19" t="s">
        <v>53</v>
      </c>
      <c r="K2583" s="14">
        <v>33.0</v>
      </c>
      <c r="L2583" s="7"/>
      <c r="M2583" s="7"/>
      <c r="N2583" s="7"/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7"/>
    </row>
    <row r="2584">
      <c r="A2584" s="14" t="s">
        <v>9358</v>
      </c>
      <c r="B2584" s="17" t="s">
        <v>9355</v>
      </c>
      <c r="C2584" s="17" t="s">
        <v>9359</v>
      </c>
      <c r="D2584" s="19" t="s">
        <v>9360</v>
      </c>
      <c r="E2584" s="20" t="s">
        <v>1626</v>
      </c>
      <c r="F2584" s="21">
        <v>36892.0</v>
      </c>
      <c r="G2584" s="14">
        <v>25.0</v>
      </c>
      <c r="H2584" s="23" t="s">
        <v>26</v>
      </c>
      <c r="I2584" s="24" t="s">
        <v>27</v>
      </c>
      <c r="J2584" s="19" t="s">
        <v>53</v>
      </c>
      <c r="K2584" s="14">
        <v>33.0</v>
      </c>
      <c r="L2584" s="7"/>
      <c r="M2584" s="7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</row>
    <row r="2585">
      <c r="A2585" s="14" t="s">
        <v>9361</v>
      </c>
      <c r="B2585" s="17" t="s">
        <v>9362</v>
      </c>
      <c r="C2585" s="17" t="s">
        <v>9363</v>
      </c>
      <c r="D2585" s="19" t="s">
        <v>9364</v>
      </c>
      <c r="E2585" s="20" t="s">
        <v>104</v>
      </c>
      <c r="F2585" s="21">
        <v>36708.0</v>
      </c>
      <c r="G2585" s="14">
        <v>26.0</v>
      </c>
      <c r="H2585" s="23" t="s">
        <v>100</v>
      </c>
      <c r="I2585" s="24" t="s">
        <v>33</v>
      </c>
      <c r="J2585" s="19" t="s">
        <v>328</v>
      </c>
      <c r="K2585" s="14">
        <v>25.0</v>
      </c>
      <c r="L2585" s="7"/>
      <c r="M2585" s="7"/>
      <c r="N2585" s="7"/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7"/>
    </row>
    <row r="2586">
      <c r="A2586" s="14" t="s">
        <v>9365</v>
      </c>
      <c r="B2586" s="17" t="s">
        <v>9362</v>
      </c>
      <c r="C2586" s="17" t="s">
        <v>9366</v>
      </c>
      <c r="D2586" s="19" t="s">
        <v>9367</v>
      </c>
      <c r="E2586" s="20" t="s">
        <v>1058</v>
      </c>
      <c r="F2586" s="21">
        <v>21038.0</v>
      </c>
      <c r="G2586" s="14">
        <v>69.0</v>
      </c>
      <c r="H2586" s="23" t="s">
        <v>26</v>
      </c>
      <c r="I2586" s="24" t="s">
        <v>33</v>
      </c>
      <c r="J2586" s="19" t="s">
        <v>328</v>
      </c>
      <c r="K2586" s="14">
        <v>25.0</v>
      </c>
      <c r="L2586" s="7"/>
      <c r="M2586" s="7"/>
      <c r="N2586" s="7"/>
      <c r="O2586" s="7"/>
      <c r="P2586" s="7"/>
      <c r="Q2586" s="7"/>
      <c r="R2586" s="7"/>
      <c r="S2586" s="7"/>
      <c r="T2586" s="7"/>
      <c r="U2586" s="7"/>
      <c r="V2586" s="7"/>
      <c r="W2586" s="7"/>
      <c r="X2586" s="7"/>
      <c r="Y2586" s="7"/>
    </row>
    <row r="2587">
      <c r="A2587" s="14" t="s">
        <v>9368</v>
      </c>
      <c r="B2587" s="17" t="s">
        <v>9369</v>
      </c>
      <c r="C2587" s="17" t="s">
        <v>9370</v>
      </c>
      <c r="D2587" s="19" t="s">
        <v>9371</v>
      </c>
      <c r="E2587" s="20" t="s">
        <v>219</v>
      </c>
      <c r="F2587" s="21">
        <v>35230.0</v>
      </c>
      <c r="G2587" s="14">
        <v>30.0</v>
      </c>
      <c r="H2587" s="23" t="s">
        <v>26</v>
      </c>
      <c r="I2587" s="24" t="s">
        <v>33</v>
      </c>
      <c r="J2587" s="19" t="s">
        <v>68</v>
      </c>
      <c r="K2587" s="14">
        <v>33.0</v>
      </c>
      <c r="L2587" s="7"/>
      <c r="M2587" s="7"/>
      <c r="N2587" s="7"/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7"/>
    </row>
    <row r="2588">
      <c r="A2588" s="14" t="s">
        <v>9372</v>
      </c>
      <c r="B2588" s="17" t="s">
        <v>9369</v>
      </c>
      <c r="C2588" s="17" t="s">
        <v>9373</v>
      </c>
      <c r="D2588" s="19" t="s">
        <v>9374</v>
      </c>
      <c r="E2588" s="20" t="s">
        <v>104</v>
      </c>
      <c r="F2588" s="21">
        <v>35150.0</v>
      </c>
      <c r="G2588" s="14">
        <v>30.0</v>
      </c>
      <c r="H2588" s="23" t="s">
        <v>26</v>
      </c>
      <c r="I2588" s="24" t="s">
        <v>27</v>
      </c>
      <c r="J2588" s="19" t="s">
        <v>68</v>
      </c>
      <c r="K2588" s="14">
        <v>33.0</v>
      </c>
      <c r="L2588" s="7"/>
      <c r="M2588" s="7"/>
      <c r="N2588" s="7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</row>
    <row r="2589">
      <c r="A2589" s="14" t="s">
        <v>9375</v>
      </c>
      <c r="B2589" s="17" t="s">
        <v>9376</v>
      </c>
      <c r="C2589" s="17" t="s">
        <v>9377</v>
      </c>
      <c r="D2589" s="19" t="s">
        <v>9378</v>
      </c>
      <c r="E2589" s="20" t="s">
        <v>654</v>
      </c>
      <c r="F2589" s="27">
        <v>34680.0</v>
      </c>
      <c r="G2589" s="14">
        <v>31.0</v>
      </c>
      <c r="H2589" s="23" t="s">
        <v>26</v>
      </c>
      <c r="I2589" s="24" t="s">
        <v>33</v>
      </c>
      <c r="J2589" s="19" t="s">
        <v>328</v>
      </c>
      <c r="K2589" s="14">
        <v>19.0</v>
      </c>
      <c r="L2589" s="7"/>
      <c r="M2589" s="7"/>
      <c r="N2589" s="7"/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7"/>
    </row>
    <row r="2590">
      <c r="A2590" s="14" t="s">
        <v>9379</v>
      </c>
      <c r="B2590" s="17" t="s">
        <v>9376</v>
      </c>
      <c r="C2590" s="17" t="s">
        <v>9380</v>
      </c>
      <c r="D2590" s="19" t="s">
        <v>9381</v>
      </c>
      <c r="E2590" s="20" t="s">
        <v>9382</v>
      </c>
      <c r="F2590" s="27">
        <v>35413.0</v>
      </c>
      <c r="G2590" s="14">
        <v>29.0</v>
      </c>
      <c r="H2590" s="23" t="s">
        <v>26</v>
      </c>
      <c r="I2590" s="24" t="s">
        <v>27</v>
      </c>
      <c r="J2590" s="19" t="s">
        <v>328</v>
      </c>
      <c r="K2590" s="14">
        <v>19.0</v>
      </c>
      <c r="L2590" s="7"/>
      <c r="M2590" s="7"/>
      <c r="N2590" s="7"/>
      <c r="O2590" s="7"/>
      <c r="P2590" s="7"/>
      <c r="Q2590" s="7"/>
      <c r="R2590" s="7"/>
      <c r="S2590" s="7"/>
      <c r="T2590" s="7"/>
      <c r="U2590" s="7"/>
      <c r="V2590" s="7"/>
      <c r="W2590" s="7"/>
      <c r="X2590" s="7"/>
      <c r="Y2590" s="7"/>
    </row>
    <row r="2591">
      <c r="A2591" s="14" t="s">
        <v>9383</v>
      </c>
      <c r="B2591" s="17" t="s">
        <v>9384</v>
      </c>
      <c r="C2591" s="17" t="s">
        <v>9385</v>
      </c>
      <c r="D2591" s="19" t="s">
        <v>3783</v>
      </c>
      <c r="E2591" s="20" t="s">
        <v>434</v>
      </c>
      <c r="F2591" s="21">
        <v>21371.0</v>
      </c>
      <c r="G2591" s="14">
        <v>68.0</v>
      </c>
      <c r="H2591" s="23" t="s">
        <v>26</v>
      </c>
      <c r="I2591" s="24" t="s">
        <v>33</v>
      </c>
      <c r="J2591" s="19" t="s">
        <v>3128</v>
      </c>
      <c r="K2591" s="14">
        <v>1.0</v>
      </c>
      <c r="L2591" s="7"/>
      <c r="M2591" s="7"/>
      <c r="N2591" s="7"/>
      <c r="O2591" s="7"/>
      <c r="P2591" s="7"/>
      <c r="Q2591" s="7"/>
      <c r="R2591" s="7"/>
      <c r="S2591" s="7"/>
      <c r="T2591" s="7"/>
      <c r="U2591" s="7"/>
      <c r="V2591" s="7"/>
      <c r="W2591" s="7"/>
      <c r="X2591" s="7"/>
      <c r="Y2591" s="7"/>
    </row>
    <row r="2592">
      <c r="A2592" s="14" t="s">
        <v>9386</v>
      </c>
      <c r="B2592" s="17" t="s">
        <v>9384</v>
      </c>
      <c r="C2592" s="17" t="s">
        <v>9387</v>
      </c>
      <c r="D2592" s="19" t="s">
        <v>9388</v>
      </c>
      <c r="E2592" s="20" t="s">
        <v>434</v>
      </c>
      <c r="F2592" s="21">
        <v>25329.0</v>
      </c>
      <c r="G2592" s="14">
        <v>57.0</v>
      </c>
      <c r="H2592" s="23" t="s">
        <v>26</v>
      </c>
      <c r="I2592" s="24" t="s">
        <v>27</v>
      </c>
      <c r="J2592" s="19" t="s">
        <v>206</v>
      </c>
      <c r="K2592" s="14">
        <v>1.0</v>
      </c>
      <c r="L2592" s="7"/>
      <c r="M2592" s="7"/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</row>
    <row r="2593">
      <c r="A2593" s="14" t="s">
        <v>9389</v>
      </c>
      <c r="B2593" s="17" t="s">
        <v>9384</v>
      </c>
      <c r="C2593" s="17" t="s">
        <v>9390</v>
      </c>
      <c r="D2593" s="19" t="s">
        <v>9391</v>
      </c>
      <c r="E2593" s="20" t="s">
        <v>138</v>
      </c>
      <c r="F2593" s="21">
        <v>36056.0</v>
      </c>
      <c r="G2593" s="14">
        <v>27.0</v>
      </c>
      <c r="H2593" s="23" t="s">
        <v>26</v>
      </c>
      <c r="I2593" s="24" t="s">
        <v>33</v>
      </c>
      <c r="J2593" s="19" t="s">
        <v>206</v>
      </c>
      <c r="K2593" s="14">
        <v>1.0</v>
      </c>
      <c r="L2593" s="7"/>
      <c r="M2593" s="7"/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</row>
    <row r="2594">
      <c r="A2594" s="14" t="s">
        <v>9392</v>
      </c>
      <c r="B2594" s="17" t="s">
        <v>9393</v>
      </c>
      <c r="C2594" s="17" t="s">
        <v>9394</v>
      </c>
      <c r="D2594" s="19" t="s">
        <v>1432</v>
      </c>
      <c r="E2594" s="20" t="s">
        <v>434</v>
      </c>
      <c r="F2594" s="21">
        <v>23836.0</v>
      </c>
      <c r="G2594" s="14">
        <v>61.0</v>
      </c>
      <c r="H2594" s="23" t="s">
        <v>26</v>
      </c>
      <c r="I2594" s="24" t="s">
        <v>27</v>
      </c>
      <c r="J2594" s="19" t="s">
        <v>206</v>
      </c>
      <c r="K2594" s="14">
        <v>1.0</v>
      </c>
      <c r="L2594" s="7"/>
      <c r="M2594" s="7"/>
      <c r="N2594" s="7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</row>
    <row r="2595">
      <c r="A2595" s="14" t="s">
        <v>9395</v>
      </c>
      <c r="B2595" s="17" t="s">
        <v>9393</v>
      </c>
      <c r="C2595" s="17" t="s">
        <v>9396</v>
      </c>
      <c r="D2595" s="19" t="s">
        <v>9397</v>
      </c>
      <c r="E2595" s="20" t="s">
        <v>434</v>
      </c>
      <c r="F2595" s="21">
        <v>22533.0</v>
      </c>
      <c r="G2595" s="14">
        <v>64.0</v>
      </c>
      <c r="H2595" s="23" t="s">
        <v>26</v>
      </c>
      <c r="I2595" s="24" t="s">
        <v>33</v>
      </c>
      <c r="J2595" s="19" t="s">
        <v>53</v>
      </c>
      <c r="K2595" s="14">
        <v>2.0</v>
      </c>
      <c r="L2595" s="7"/>
      <c r="M2595" s="7"/>
      <c r="N2595" s="7"/>
      <c r="O2595" s="7"/>
      <c r="P2595" s="7"/>
      <c r="Q2595" s="7"/>
      <c r="R2595" s="7"/>
      <c r="S2595" s="7"/>
      <c r="T2595" s="7"/>
      <c r="U2595" s="7"/>
      <c r="V2595" s="7"/>
      <c r="W2595" s="7"/>
      <c r="X2595" s="7"/>
      <c r="Y2595" s="7"/>
    </row>
    <row r="2596">
      <c r="A2596" s="14" t="s">
        <v>9398</v>
      </c>
      <c r="B2596" s="17" t="s">
        <v>9399</v>
      </c>
      <c r="C2596" s="17" t="s">
        <v>9400</v>
      </c>
      <c r="D2596" s="19" t="s">
        <v>9401</v>
      </c>
      <c r="E2596" s="20" t="s">
        <v>434</v>
      </c>
      <c r="F2596" s="21">
        <v>24327.0</v>
      </c>
      <c r="G2596" s="14">
        <v>60.0</v>
      </c>
      <c r="H2596" s="23" t="s">
        <v>26</v>
      </c>
      <c r="I2596" s="24" t="s">
        <v>33</v>
      </c>
      <c r="J2596" s="19" t="s">
        <v>206</v>
      </c>
      <c r="K2596" s="14">
        <v>1.0</v>
      </c>
      <c r="L2596" s="7"/>
      <c r="M2596" s="7"/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</row>
    <row r="2597">
      <c r="A2597" s="14" t="s">
        <v>9402</v>
      </c>
      <c r="B2597" s="17" t="s">
        <v>9399</v>
      </c>
      <c r="C2597" s="17" t="s">
        <v>9403</v>
      </c>
      <c r="D2597" s="19" t="s">
        <v>9404</v>
      </c>
      <c r="E2597" s="20" t="s">
        <v>104</v>
      </c>
      <c r="F2597" s="21">
        <v>38867.0</v>
      </c>
      <c r="G2597" s="14">
        <v>20.0</v>
      </c>
      <c r="H2597" s="23" t="s">
        <v>100</v>
      </c>
      <c r="I2597" s="24" t="s">
        <v>27</v>
      </c>
      <c r="J2597" s="19" t="s">
        <v>206</v>
      </c>
      <c r="K2597" s="14">
        <v>1.0</v>
      </c>
      <c r="L2597" s="7"/>
      <c r="M2597" s="7"/>
      <c r="N2597" s="7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</row>
    <row r="2598">
      <c r="A2598" s="14" t="s">
        <v>9405</v>
      </c>
      <c r="B2598" s="17" t="s">
        <v>9399</v>
      </c>
      <c r="C2598" s="17" t="s">
        <v>9406</v>
      </c>
      <c r="D2598" s="19" t="s">
        <v>9407</v>
      </c>
      <c r="E2598" s="20" t="s">
        <v>434</v>
      </c>
      <c r="F2598" s="21">
        <v>27557.0</v>
      </c>
      <c r="G2598" s="14">
        <v>51.0</v>
      </c>
      <c r="H2598" s="23" t="s">
        <v>26</v>
      </c>
      <c r="I2598" s="24" t="s">
        <v>27</v>
      </c>
      <c r="J2598" s="19" t="s">
        <v>206</v>
      </c>
      <c r="K2598" s="14">
        <v>1.0</v>
      </c>
      <c r="L2598" s="7"/>
      <c r="M2598" s="7"/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</row>
    <row r="2599">
      <c r="A2599" s="14" t="s">
        <v>9408</v>
      </c>
      <c r="B2599" s="17" t="s">
        <v>9399</v>
      </c>
      <c r="C2599" s="17" t="s">
        <v>9409</v>
      </c>
      <c r="D2599" s="19" t="s">
        <v>9410</v>
      </c>
      <c r="E2599" s="20" t="s">
        <v>104</v>
      </c>
      <c r="F2599" s="21">
        <v>36324.0</v>
      </c>
      <c r="G2599" s="14">
        <v>27.0</v>
      </c>
      <c r="H2599" s="23" t="s">
        <v>100</v>
      </c>
      <c r="I2599" s="24" t="s">
        <v>33</v>
      </c>
      <c r="J2599" s="19" t="s">
        <v>206</v>
      </c>
      <c r="K2599" s="14">
        <v>1.0</v>
      </c>
      <c r="L2599" s="7"/>
      <c r="M2599" s="7"/>
      <c r="N2599" s="7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</row>
    <row r="2600">
      <c r="A2600" s="14" t="s">
        <v>9411</v>
      </c>
      <c r="B2600" s="17" t="s">
        <v>9412</v>
      </c>
      <c r="C2600" s="17" t="s">
        <v>9413</v>
      </c>
      <c r="D2600" s="19" t="s">
        <v>9414</v>
      </c>
      <c r="E2600" s="20" t="s">
        <v>104</v>
      </c>
      <c r="F2600" s="27">
        <v>37935.0</v>
      </c>
      <c r="G2600" s="14">
        <v>22.0</v>
      </c>
      <c r="H2600" s="23" t="s">
        <v>100</v>
      </c>
      <c r="I2600" s="24" t="s">
        <v>33</v>
      </c>
      <c r="J2600" s="19" t="s">
        <v>2019</v>
      </c>
      <c r="K2600" s="14">
        <v>3.0</v>
      </c>
      <c r="L2600" s="7"/>
      <c r="M2600" s="7"/>
      <c r="N2600" s="7"/>
      <c r="O2600" s="7"/>
      <c r="P2600" s="7"/>
      <c r="Q2600" s="7"/>
      <c r="R2600" s="7"/>
      <c r="S2600" s="7"/>
      <c r="T2600" s="7"/>
      <c r="U2600" s="7"/>
      <c r="V2600" s="7"/>
      <c r="W2600" s="7"/>
      <c r="X2600" s="7"/>
      <c r="Y2600" s="7"/>
    </row>
    <row r="2601">
      <c r="A2601" s="14" t="s">
        <v>9415</v>
      </c>
      <c r="B2601" s="17" t="s">
        <v>9412</v>
      </c>
      <c r="C2601" s="17" t="s">
        <v>9416</v>
      </c>
      <c r="D2601" s="19" t="s">
        <v>8218</v>
      </c>
      <c r="E2601" s="20" t="s">
        <v>632</v>
      </c>
      <c r="F2601" s="21">
        <v>26973.0</v>
      </c>
      <c r="G2601" s="14">
        <v>52.0</v>
      </c>
      <c r="H2601" s="23" t="s">
        <v>26</v>
      </c>
      <c r="I2601" s="24" t="s">
        <v>27</v>
      </c>
      <c r="J2601" s="19" t="s">
        <v>2019</v>
      </c>
      <c r="K2601" s="14">
        <v>3.0</v>
      </c>
      <c r="L2601" s="7"/>
      <c r="M2601" s="7"/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</row>
    <row r="2602">
      <c r="A2602" s="14" t="s">
        <v>9417</v>
      </c>
      <c r="B2602" s="17" t="s">
        <v>9412</v>
      </c>
      <c r="C2602" s="17" t="s">
        <v>9418</v>
      </c>
      <c r="D2602" s="19" t="s">
        <v>9419</v>
      </c>
      <c r="E2602" s="20" t="s">
        <v>1291</v>
      </c>
      <c r="F2602" s="21">
        <v>24909.0</v>
      </c>
      <c r="G2602" s="14">
        <v>58.0</v>
      </c>
      <c r="H2602" s="23" t="s">
        <v>26</v>
      </c>
      <c r="I2602" s="24" t="s">
        <v>33</v>
      </c>
      <c r="J2602" s="19" t="s">
        <v>2019</v>
      </c>
      <c r="K2602" s="14">
        <v>3.0</v>
      </c>
      <c r="L2602" s="7"/>
      <c r="M2602" s="7"/>
      <c r="N2602" s="7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</row>
    <row r="2603">
      <c r="A2603" s="14" t="s">
        <v>9420</v>
      </c>
      <c r="B2603" s="17" t="s">
        <v>9421</v>
      </c>
      <c r="C2603" s="17" t="s">
        <v>9422</v>
      </c>
      <c r="D2603" s="19" t="s">
        <v>9423</v>
      </c>
      <c r="E2603" s="20" t="s">
        <v>434</v>
      </c>
      <c r="F2603" s="21">
        <v>20882.0</v>
      </c>
      <c r="G2603" s="14">
        <v>69.0</v>
      </c>
      <c r="H2603" s="23" t="s">
        <v>26</v>
      </c>
      <c r="I2603" s="24" t="s">
        <v>27</v>
      </c>
      <c r="J2603" s="19" t="s">
        <v>206</v>
      </c>
      <c r="K2603" s="14">
        <v>1.0</v>
      </c>
      <c r="L2603" s="7"/>
      <c r="M2603" s="7"/>
      <c r="N2603" s="7"/>
      <c r="O2603" s="7"/>
      <c r="P2603" s="7"/>
      <c r="Q2603" s="7"/>
      <c r="R2603" s="7"/>
      <c r="S2603" s="7"/>
      <c r="T2603" s="7"/>
      <c r="U2603" s="7"/>
      <c r="V2603" s="7"/>
      <c r="W2603" s="7"/>
      <c r="X2603" s="7"/>
      <c r="Y2603" s="7"/>
    </row>
    <row r="2604">
      <c r="A2604" s="14" t="s">
        <v>9424</v>
      </c>
      <c r="B2604" s="17" t="s">
        <v>9421</v>
      </c>
      <c r="C2604" s="17" t="s">
        <v>9425</v>
      </c>
      <c r="D2604" s="19" t="s">
        <v>9426</v>
      </c>
      <c r="E2604" s="20" t="s">
        <v>434</v>
      </c>
      <c r="F2604" s="21">
        <v>18810.0</v>
      </c>
      <c r="G2604" s="14">
        <v>75.0</v>
      </c>
      <c r="H2604" s="23" t="s">
        <v>26</v>
      </c>
      <c r="I2604" s="24" t="s">
        <v>33</v>
      </c>
      <c r="J2604" s="19" t="s">
        <v>206</v>
      </c>
      <c r="K2604" s="14">
        <v>1.0</v>
      </c>
      <c r="L2604" s="7"/>
      <c r="M2604" s="7"/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</row>
    <row r="2605">
      <c r="A2605" s="14" t="s">
        <v>9427</v>
      </c>
      <c r="B2605" s="17" t="s">
        <v>9428</v>
      </c>
      <c r="C2605" s="17" t="s">
        <v>9429</v>
      </c>
      <c r="D2605" s="19" t="s">
        <v>9430</v>
      </c>
      <c r="E2605" s="20" t="s">
        <v>5871</v>
      </c>
      <c r="F2605" s="21">
        <v>17292.0</v>
      </c>
      <c r="G2605" s="14">
        <v>79.0</v>
      </c>
      <c r="H2605" s="23" t="s">
        <v>26</v>
      </c>
      <c r="I2605" s="24" t="s">
        <v>33</v>
      </c>
      <c r="J2605" s="19" t="s">
        <v>7557</v>
      </c>
      <c r="K2605" s="14">
        <v>1.0</v>
      </c>
      <c r="L2605" s="7"/>
      <c r="M2605" s="7"/>
      <c r="N2605" s="7"/>
      <c r="O2605" s="7"/>
      <c r="P2605" s="7"/>
      <c r="Q2605" s="7"/>
      <c r="R2605" s="7"/>
      <c r="S2605" s="7"/>
      <c r="T2605" s="7"/>
      <c r="U2605" s="7"/>
      <c r="V2605" s="7"/>
      <c r="W2605" s="7"/>
      <c r="X2605" s="7"/>
      <c r="Y2605" s="7"/>
    </row>
    <row r="2606">
      <c r="A2606" s="14" t="s">
        <v>9431</v>
      </c>
      <c r="B2606" s="17" t="s">
        <v>9428</v>
      </c>
      <c r="C2606" s="17" t="s">
        <v>9432</v>
      </c>
      <c r="D2606" s="19" t="s">
        <v>7556</v>
      </c>
      <c r="E2606" s="20" t="s">
        <v>434</v>
      </c>
      <c r="F2606" s="21">
        <v>27366.0</v>
      </c>
      <c r="G2606" s="14">
        <v>51.0</v>
      </c>
      <c r="H2606" s="23" t="s">
        <v>26</v>
      </c>
      <c r="I2606" s="24" t="s">
        <v>27</v>
      </c>
      <c r="J2606" s="19" t="s">
        <v>146</v>
      </c>
      <c r="K2606" s="14">
        <v>2.0</v>
      </c>
      <c r="L2606" s="7"/>
      <c r="M2606" s="7"/>
      <c r="N2606" s="7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</row>
    <row r="2607">
      <c r="A2607" s="14" t="s">
        <v>9433</v>
      </c>
      <c r="B2607" s="17" t="s">
        <v>9434</v>
      </c>
      <c r="C2607" s="17" t="s">
        <v>9435</v>
      </c>
      <c r="D2607" s="19" t="s">
        <v>9436</v>
      </c>
      <c r="E2607" s="20" t="s">
        <v>434</v>
      </c>
      <c r="F2607" s="21">
        <v>25806.0</v>
      </c>
      <c r="G2607" s="14">
        <v>56.0</v>
      </c>
      <c r="H2607" s="23" t="s">
        <v>26</v>
      </c>
      <c r="I2607" s="24" t="s">
        <v>33</v>
      </c>
      <c r="J2607" s="19" t="s">
        <v>206</v>
      </c>
      <c r="K2607" s="14">
        <v>1.0</v>
      </c>
      <c r="L2607" s="7"/>
      <c r="M2607" s="7"/>
      <c r="N2607" s="7"/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</row>
    <row r="2608">
      <c r="A2608" s="14" t="s">
        <v>9437</v>
      </c>
      <c r="B2608" s="17" t="s">
        <v>9434</v>
      </c>
      <c r="C2608" s="17" t="s">
        <v>9438</v>
      </c>
      <c r="D2608" s="19" t="s">
        <v>9439</v>
      </c>
      <c r="E2608" s="20" t="s">
        <v>219</v>
      </c>
      <c r="F2608" s="27">
        <v>26277.0</v>
      </c>
      <c r="G2608" s="14">
        <v>54.0</v>
      </c>
      <c r="H2608" s="23" t="s">
        <v>26</v>
      </c>
      <c r="I2608" s="24" t="s">
        <v>27</v>
      </c>
      <c r="J2608" s="19" t="s">
        <v>206</v>
      </c>
      <c r="K2608" s="14">
        <v>1.0</v>
      </c>
      <c r="L2608" s="7"/>
      <c r="M2608" s="7"/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</row>
    <row r="2609">
      <c r="A2609" s="14" t="s">
        <v>9440</v>
      </c>
      <c r="B2609" s="17" t="s">
        <v>9441</v>
      </c>
      <c r="C2609" s="17" t="s">
        <v>9442</v>
      </c>
      <c r="D2609" s="19" t="s">
        <v>9443</v>
      </c>
      <c r="E2609" s="20" t="s">
        <v>654</v>
      </c>
      <c r="F2609" s="21">
        <v>22396.0</v>
      </c>
      <c r="G2609" s="14">
        <v>65.0</v>
      </c>
      <c r="H2609" s="23" t="s">
        <v>26</v>
      </c>
      <c r="I2609" s="24" t="s">
        <v>27</v>
      </c>
      <c r="J2609" s="19" t="s">
        <v>206</v>
      </c>
      <c r="K2609" s="14">
        <v>1.0</v>
      </c>
      <c r="L2609" s="7"/>
      <c r="M2609" s="7"/>
      <c r="N2609" s="7"/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7"/>
    </row>
    <row r="2610">
      <c r="A2610" s="14" t="s">
        <v>9444</v>
      </c>
      <c r="B2610" s="17" t="s">
        <v>9445</v>
      </c>
      <c r="C2610" s="17" t="s">
        <v>9446</v>
      </c>
      <c r="D2610" s="19" t="s">
        <v>835</v>
      </c>
      <c r="E2610" s="20" t="s">
        <v>104</v>
      </c>
      <c r="F2610" s="21">
        <v>31156.0</v>
      </c>
      <c r="G2610" s="14">
        <v>41.0</v>
      </c>
      <c r="H2610" s="23" t="s">
        <v>26</v>
      </c>
      <c r="I2610" s="24" t="s">
        <v>27</v>
      </c>
      <c r="J2610" s="19" t="s">
        <v>939</v>
      </c>
      <c r="K2610" s="14">
        <v>7.0</v>
      </c>
      <c r="L2610" s="7"/>
      <c r="M2610" s="7"/>
      <c r="N2610" s="7"/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7"/>
    </row>
    <row r="2611">
      <c r="A2611" s="14" t="s">
        <v>9447</v>
      </c>
      <c r="B2611" s="17" t="s">
        <v>9445</v>
      </c>
      <c r="C2611" s="17" t="s">
        <v>9448</v>
      </c>
      <c r="D2611" s="19" t="s">
        <v>8802</v>
      </c>
      <c r="E2611" s="20" t="s">
        <v>104</v>
      </c>
      <c r="F2611" s="21">
        <v>38135.0</v>
      </c>
      <c r="G2611" s="14">
        <v>22.0</v>
      </c>
      <c r="H2611" s="23" t="s">
        <v>100</v>
      </c>
      <c r="I2611" s="24" t="s">
        <v>33</v>
      </c>
      <c r="J2611" s="19" t="s">
        <v>939</v>
      </c>
      <c r="K2611" s="14">
        <v>7.0</v>
      </c>
      <c r="L2611" s="7"/>
      <c r="M2611" s="7"/>
      <c r="N2611" s="7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</row>
    <row r="2612">
      <c r="A2612" s="14" t="s">
        <v>9450</v>
      </c>
      <c r="B2612" s="17" t="s">
        <v>9445</v>
      </c>
      <c r="C2612" s="17" t="s">
        <v>9451</v>
      </c>
      <c r="D2612" s="19" t="s">
        <v>9452</v>
      </c>
      <c r="E2612" s="20" t="s">
        <v>104</v>
      </c>
      <c r="F2612" s="21">
        <v>30385.0</v>
      </c>
      <c r="G2612" s="14">
        <v>43.0</v>
      </c>
      <c r="H2612" s="23" t="s">
        <v>26</v>
      </c>
      <c r="I2612" s="24" t="s">
        <v>33</v>
      </c>
      <c r="J2612" s="19" t="s">
        <v>939</v>
      </c>
      <c r="K2612" s="14">
        <v>7.0</v>
      </c>
      <c r="L2612" s="7"/>
      <c r="M2612" s="7"/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</row>
    <row r="2613">
      <c r="A2613" s="14" t="s">
        <v>9453</v>
      </c>
      <c r="B2613" s="17" t="s">
        <v>9454</v>
      </c>
      <c r="C2613" s="17" t="s">
        <v>9455</v>
      </c>
      <c r="D2613" s="19" t="s">
        <v>9456</v>
      </c>
      <c r="E2613" s="20" t="s">
        <v>53</v>
      </c>
      <c r="F2613" s="27">
        <v>36870.0</v>
      </c>
      <c r="G2613" s="14">
        <v>25.0</v>
      </c>
      <c r="H2613" s="23" t="s">
        <v>26</v>
      </c>
      <c r="I2613" s="24" t="s">
        <v>27</v>
      </c>
      <c r="J2613" s="19" t="s">
        <v>517</v>
      </c>
      <c r="K2613" s="14">
        <v>7.0</v>
      </c>
      <c r="L2613" s="7"/>
      <c r="M2613" s="7"/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</row>
    <row r="2614">
      <c r="A2614" s="14" t="s">
        <v>9457</v>
      </c>
      <c r="B2614" s="17" t="s">
        <v>9454</v>
      </c>
      <c r="C2614" s="17" t="s">
        <v>9458</v>
      </c>
      <c r="D2614" s="19" t="s">
        <v>9459</v>
      </c>
      <c r="E2614" s="20" t="s">
        <v>650</v>
      </c>
      <c r="F2614" s="21">
        <v>24543.0</v>
      </c>
      <c r="G2614" s="14">
        <v>59.0</v>
      </c>
      <c r="H2614" s="23" t="s">
        <v>26</v>
      </c>
      <c r="I2614" s="24" t="s">
        <v>33</v>
      </c>
      <c r="J2614" s="19" t="s">
        <v>517</v>
      </c>
      <c r="K2614" s="14">
        <v>7.0</v>
      </c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</row>
    <row r="2615">
      <c r="A2615" s="14" t="s">
        <v>9460</v>
      </c>
      <c r="B2615" s="17" t="s">
        <v>9454</v>
      </c>
      <c r="C2615" s="17" t="s">
        <v>9461</v>
      </c>
      <c r="D2615" s="19" t="s">
        <v>9462</v>
      </c>
      <c r="E2615" s="20" t="s">
        <v>53</v>
      </c>
      <c r="F2615" s="21">
        <v>35875.0</v>
      </c>
      <c r="G2615" s="14">
        <v>28.0</v>
      </c>
      <c r="H2615" s="23" t="s">
        <v>100</v>
      </c>
      <c r="I2615" s="24" t="s">
        <v>33</v>
      </c>
      <c r="J2615" s="19" t="s">
        <v>517</v>
      </c>
      <c r="K2615" s="14">
        <v>7.0</v>
      </c>
      <c r="L2615" s="7"/>
      <c r="M2615" s="7"/>
      <c r="N2615" s="7"/>
      <c r="O2615" s="7"/>
      <c r="P2615" s="7"/>
      <c r="Q2615" s="7"/>
      <c r="R2615" s="7"/>
      <c r="S2615" s="7"/>
      <c r="T2615" s="7"/>
      <c r="U2615" s="7"/>
      <c r="V2615" s="7"/>
      <c r="W2615" s="7"/>
      <c r="X2615" s="7"/>
      <c r="Y2615" s="7"/>
    </row>
    <row r="2616">
      <c r="A2616" s="14" t="s">
        <v>9463</v>
      </c>
      <c r="B2616" s="17" t="s">
        <v>9454</v>
      </c>
      <c r="C2616" s="17" t="s">
        <v>9464</v>
      </c>
      <c r="D2616" s="19" t="s">
        <v>9465</v>
      </c>
      <c r="E2616" s="20" t="s">
        <v>104</v>
      </c>
      <c r="F2616" s="21">
        <v>28688.0</v>
      </c>
      <c r="G2616" s="14">
        <v>48.0</v>
      </c>
      <c r="H2616" s="23" t="s">
        <v>26</v>
      </c>
      <c r="I2616" s="24" t="s">
        <v>27</v>
      </c>
      <c r="J2616" s="19" t="s">
        <v>517</v>
      </c>
      <c r="K2616" s="14">
        <v>7.0</v>
      </c>
      <c r="L2616" s="7"/>
      <c r="M2616" s="7"/>
      <c r="N2616" s="7"/>
      <c r="O2616" s="7"/>
      <c r="P2616" s="7"/>
      <c r="Q2616" s="7"/>
      <c r="R2616" s="7"/>
      <c r="S2616" s="7"/>
      <c r="T2616" s="7"/>
      <c r="U2616" s="7"/>
      <c r="V2616" s="7"/>
      <c r="W2616" s="7"/>
      <c r="X2616" s="7"/>
      <c r="Y2616" s="7"/>
    </row>
    <row r="2617">
      <c r="A2617" s="14" t="s">
        <v>9466</v>
      </c>
      <c r="B2617" s="17" t="s">
        <v>9467</v>
      </c>
      <c r="C2617" s="17" t="s">
        <v>9468</v>
      </c>
      <c r="D2617" s="19" t="s">
        <v>9469</v>
      </c>
      <c r="E2617" s="20" t="s">
        <v>650</v>
      </c>
      <c r="F2617" s="21">
        <v>21748.0</v>
      </c>
      <c r="G2617" s="14">
        <v>67.0</v>
      </c>
      <c r="H2617" s="23" t="s">
        <v>26</v>
      </c>
      <c r="I2617" s="24" t="s">
        <v>33</v>
      </c>
      <c r="J2617" s="19" t="s">
        <v>939</v>
      </c>
      <c r="K2617" s="14">
        <v>6.0</v>
      </c>
      <c r="L2617" s="7"/>
      <c r="M2617" s="7"/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</row>
    <row r="2618">
      <c r="A2618" s="14" t="s">
        <v>9470</v>
      </c>
      <c r="B2618" s="17" t="s">
        <v>9467</v>
      </c>
      <c r="C2618" s="17" t="s">
        <v>9471</v>
      </c>
      <c r="D2618" s="19" t="s">
        <v>9472</v>
      </c>
      <c r="E2618" s="20" t="s">
        <v>1038</v>
      </c>
      <c r="F2618" s="27">
        <v>25549.0</v>
      </c>
      <c r="G2618" s="14">
        <v>56.0</v>
      </c>
      <c r="H2618" s="23" t="s">
        <v>26</v>
      </c>
      <c r="I2618" s="24" t="s">
        <v>27</v>
      </c>
      <c r="J2618" s="19" t="s">
        <v>939</v>
      </c>
      <c r="K2618" s="14">
        <v>6.0</v>
      </c>
      <c r="L2618" s="7"/>
      <c r="M2618" s="7"/>
      <c r="N2618" s="7"/>
      <c r="O2618" s="7"/>
      <c r="P2618" s="7"/>
      <c r="Q2618" s="7"/>
      <c r="R2618" s="7"/>
      <c r="S2618" s="7"/>
      <c r="T2618" s="7"/>
      <c r="U2618" s="7"/>
      <c r="V2618" s="7"/>
      <c r="W2618" s="7"/>
      <c r="X2618" s="7"/>
      <c r="Y2618" s="7"/>
    </row>
    <row r="2619">
      <c r="A2619" s="14" t="s">
        <v>9473</v>
      </c>
      <c r="B2619" s="17" t="s">
        <v>9474</v>
      </c>
      <c r="C2619" s="17" t="s">
        <v>9475</v>
      </c>
      <c r="D2619" s="19" t="s">
        <v>9476</v>
      </c>
      <c r="E2619" s="20" t="s">
        <v>632</v>
      </c>
      <c r="F2619" s="21">
        <v>26882.0</v>
      </c>
      <c r="G2619" s="14">
        <v>53.0</v>
      </c>
      <c r="H2619" s="23" t="s">
        <v>26</v>
      </c>
      <c r="I2619" s="24" t="s">
        <v>33</v>
      </c>
      <c r="J2619" s="19" t="s">
        <v>362</v>
      </c>
      <c r="K2619" s="14">
        <v>23.0</v>
      </c>
      <c r="L2619" s="7"/>
      <c r="M2619" s="7"/>
      <c r="N2619" s="7"/>
      <c r="O2619" s="7"/>
      <c r="P2619" s="7"/>
      <c r="Q2619" s="7"/>
      <c r="R2619" s="7"/>
      <c r="S2619" s="7"/>
      <c r="T2619" s="7"/>
      <c r="U2619" s="7"/>
      <c r="V2619" s="7"/>
      <c r="W2619" s="7"/>
      <c r="X2619" s="7"/>
      <c r="Y2619" s="7"/>
    </row>
    <row r="2620">
      <c r="A2620" s="14" t="s">
        <v>9477</v>
      </c>
      <c r="B2620" s="17" t="s">
        <v>9474</v>
      </c>
      <c r="C2620" s="17" t="s">
        <v>9478</v>
      </c>
      <c r="D2620" s="19" t="s">
        <v>9479</v>
      </c>
      <c r="E2620" s="20" t="s">
        <v>104</v>
      </c>
      <c r="F2620" s="21">
        <v>39360.0</v>
      </c>
      <c r="G2620" s="14">
        <v>18.0</v>
      </c>
      <c r="H2620" s="23" t="s">
        <v>100</v>
      </c>
      <c r="I2620" s="24" t="s">
        <v>33</v>
      </c>
      <c r="J2620" s="19" t="s">
        <v>362</v>
      </c>
      <c r="K2620" s="14">
        <v>23.0</v>
      </c>
      <c r="L2620" s="7"/>
      <c r="M2620" s="7"/>
      <c r="N2620" s="7"/>
      <c r="O2620" s="7"/>
      <c r="P2620" s="7"/>
      <c r="Q2620" s="7"/>
      <c r="R2620" s="7"/>
      <c r="S2620" s="7"/>
      <c r="T2620" s="7"/>
      <c r="U2620" s="7"/>
      <c r="V2620" s="7"/>
      <c r="W2620" s="7"/>
      <c r="X2620" s="7"/>
      <c r="Y2620" s="7"/>
    </row>
    <row r="2621">
      <c r="A2621" s="14" t="s">
        <v>9480</v>
      </c>
      <c r="B2621" s="17" t="s">
        <v>9474</v>
      </c>
      <c r="C2621" s="17" t="s">
        <v>9481</v>
      </c>
      <c r="D2621" s="19" t="s">
        <v>9482</v>
      </c>
      <c r="E2621" s="20" t="s">
        <v>104</v>
      </c>
      <c r="F2621" s="21">
        <v>35573.0</v>
      </c>
      <c r="G2621" s="14">
        <v>29.0</v>
      </c>
      <c r="H2621" s="23" t="s">
        <v>100</v>
      </c>
      <c r="I2621" s="24" t="s">
        <v>33</v>
      </c>
      <c r="J2621" s="19" t="s">
        <v>362</v>
      </c>
      <c r="K2621" s="14">
        <v>23.0</v>
      </c>
      <c r="L2621" s="7"/>
      <c r="M2621" s="7"/>
      <c r="N2621" s="7"/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7"/>
    </row>
    <row r="2622">
      <c r="A2622" s="14" t="s">
        <v>9483</v>
      </c>
      <c r="B2622" s="17" t="s">
        <v>9474</v>
      </c>
      <c r="C2622" s="17" t="s">
        <v>9484</v>
      </c>
      <c r="D2622" s="19" t="s">
        <v>5447</v>
      </c>
      <c r="E2622" s="20" t="s">
        <v>195</v>
      </c>
      <c r="F2622" s="21">
        <v>26481.0</v>
      </c>
      <c r="G2622" s="14">
        <v>54.0</v>
      </c>
      <c r="H2622" s="23" t="s">
        <v>26</v>
      </c>
      <c r="I2622" s="24" t="s">
        <v>27</v>
      </c>
      <c r="J2622" s="19" t="s">
        <v>362</v>
      </c>
      <c r="K2622" s="14">
        <v>23.0</v>
      </c>
      <c r="L2622" s="7"/>
      <c r="M2622" s="7"/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</row>
    <row r="2623">
      <c r="A2623" s="14" t="s">
        <v>9485</v>
      </c>
      <c r="B2623" s="17" t="s">
        <v>9474</v>
      </c>
      <c r="C2623" s="17" t="s">
        <v>9486</v>
      </c>
      <c r="D2623" s="19" t="s">
        <v>9487</v>
      </c>
      <c r="E2623" s="20" t="s">
        <v>6420</v>
      </c>
      <c r="F2623" s="27">
        <v>37543.0</v>
      </c>
      <c r="G2623" s="14">
        <v>23.0</v>
      </c>
      <c r="H2623" s="23" t="s">
        <v>100</v>
      </c>
      <c r="I2623" s="24" t="s">
        <v>33</v>
      </c>
      <c r="J2623" s="19" t="s">
        <v>362</v>
      </c>
      <c r="K2623" s="14">
        <v>23.0</v>
      </c>
      <c r="L2623" s="7"/>
      <c r="M2623" s="7"/>
      <c r="N2623" s="7"/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7"/>
    </row>
    <row r="2624">
      <c r="A2624" s="14" t="s">
        <v>9488</v>
      </c>
      <c r="B2624" s="38" t="s">
        <v>9489</v>
      </c>
      <c r="C2624" s="17" t="s">
        <v>9490</v>
      </c>
      <c r="D2624" s="19" t="s">
        <v>9491</v>
      </c>
      <c r="E2624" s="20" t="s">
        <v>104</v>
      </c>
      <c r="F2624" s="21">
        <v>30387.0</v>
      </c>
      <c r="G2624" s="14">
        <v>43.0</v>
      </c>
      <c r="H2624" s="23" t="s">
        <v>100</v>
      </c>
      <c r="I2624" s="24" t="s">
        <v>33</v>
      </c>
      <c r="J2624" s="19" t="s">
        <v>517</v>
      </c>
      <c r="K2624" s="14">
        <v>9.0</v>
      </c>
      <c r="L2624" s="7"/>
      <c r="M2624" s="7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</row>
    <row r="2625">
      <c r="A2625" s="14" t="s">
        <v>4098</v>
      </c>
      <c r="B2625" s="17" t="s">
        <v>9492</v>
      </c>
      <c r="C2625" s="17" t="s">
        <v>4099</v>
      </c>
      <c r="D2625" s="19" t="s">
        <v>4100</v>
      </c>
      <c r="E2625" s="20" t="s">
        <v>104</v>
      </c>
      <c r="F2625" s="21">
        <v>34304.0</v>
      </c>
      <c r="G2625" s="14">
        <v>32.0</v>
      </c>
      <c r="H2625" s="23" t="s">
        <v>100</v>
      </c>
      <c r="I2625" s="24" t="s">
        <v>33</v>
      </c>
      <c r="J2625" s="19" t="s">
        <v>517</v>
      </c>
      <c r="K2625" s="14">
        <v>10.0</v>
      </c>
      <c r="L2625" s="7"/>
      <c r="M2625" s="7"/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</row>
    <row r="2626">
      <c r="A2626" s="14" t="s">
        <v>9493</v>
      </c>
      <c r="B2626" s="38" t="s">
        <v>9489</v>
      </c>
      <c r="C2626" s="17" t="s">
        <v>9494</v>
      </c>
      <c r="D2626" s="19" t="s">
        <v>9495</v>
      </c>
      <c r="E2626" s="20" t="s">
        <v>654</v>
      </c>
      <c r="F2626" s="21">
        <v>22120.0</v>
      </c>
      <c r="G2626" s="14">
        <v>66.0</v>
      </c>
      <c r="H2626" s="23" t="s">
        <v>27</v>
      </c>
      <c r="I2626" s="24" t="s">
        <v>27</v>
      </c>
      <c r="J2626" s="19" t="s">
        <v>517</v>
      </c>
      <c r="K2626" s="14">
        <v>9.0</v>
      </c>
      <c r="L2626" s="7"/>
      <c r="M2626" s="7"/>
      <c r="N2626" s="7"/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7"/>
    </row>
    <row r="2627">
      <c r="A2627" s="14" t="s">
        <v>9496</v>
      </c>
      <c r="B2627" s="17" t="s">
        <v>9497</v>
      </c>
      <c r="C2627" s="17" t="s">
        <v>9498</v>
      </c>
      <c r="D2627" s="19" t="s">
        <v>9499</v>
      </c>
      <c r="E2627" s="20" t="s">
        <v>274</v>
      </c>
      <c r="F2627" s="27">
        <v>29871.0</v>
      </c>
      <c r="G2627" s="14">
        <v>44.0</v>
      </c>
      <c r="H2627" s="23" t="s">
        <v>26</v>
      </c>
      <c r="I2627" s="24" t="s">
        <v>27</v>
      </c>
      <c r="J2627" s="19" t="s">
        <v>328</v>
      </c>
      <c r="K2627" s="14">
        <v>19.0</v>
      </c>
      <c r="L2627" s="7"/>
      <c r="M2627" s="7"/>
      <c r="N2627" s="7"/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7"/>
    </row>
    <row r="2628">
      <c r="A2628" s="14" t="s">
        <v>9500</v>
      </c>
      <c r="B2628" s="17" t="s">
        <v>9497</v>
      </c>
      <c r="C2628" s="17" t="s">
        <v>9501</v>
      </c>
      <c r="D2628" s="19" t="s">
        <v>9502</v>
      </c>
      <c r="E2628" s="20" t="s">
        <v>112</v>
      </c>
      <c r="F2628" s="21">
        <v>26269.0</v>
      </c>
      <c r="G2628" s="14">
        <v>54.0</v>
      </c>
      <c r="H2628" s="23" t="s">
        <v>26</v>
      </c>
      <c r="I2628" s="24" t="s">
        <v>33</v>
      </c>
      <c r="J2628" s="19" t="s">
        <v>328</v>
      </c>
      <c r="K2628" s="14">
        <v>19.0</v>
      </c>
      <c r="L2628" s="7"/>
      <c r="M2628" s="7"/>
      <c r="N2628" s="7"/>
      <c r="O2628" s="7"/>
      <c r="P2628" s="7"/>
      <c r="Q2628" s="7"/>
      <c r="R2628" s="7"/>
      <c r="S2628" s="7"/>
      <c r="T2628" s="7"/>
      <c r="U2628" s="7"/>
      <c r="V2628" s="7"/>
      <c r="W2628" s="7"/>
      <c r="X2628" s="7"/>
      <c r="Y2628" s="7"/>
    </row>
    <row r="2629">
      <c r="A2629" s="14" t="s">
        <v>9503</v>
      </c>
      <c r="B2629" s="17" t="s">
        <v>9504</v>
      </c>
      <c r="C2629" s="17" t="s">
        <v>9505</v>
      </c>
      <c r="D2629" s="19" t="s">
        <v>9506</v>
      </c>
      <c r="E2629" s="20" t="s">
        <v>53</v>
      </c>
      <c r="F2629" s="21">
        <v>33466.0</v>
      </c>
      <c r="G2629" s="14">
        <v>35.0</v>
      </c>
      <c r="H2629" s="23" t="s">
        <v>26</v>
      </c>
      <c r="I2629" s="24" t="s">
        <v>33</v>
      </c>
      <c r="J2629" s="19" t="s">
        <v>53</v>
      </c>
      <c r="K2629" s="14">
        <v>10.0</v>
      </c>
      <c r="L2629" s="7"/>
      <c r="M2629" s="7"/>
      <c r="N2629" s="7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</row>
    <row r="2630">
      <c r="A2630" s="14" t="s">
        <v>9507</v>
      </c>
      <c r="B2630" s="17" t="s">
        <v>9504</v>
      </c>
      <c r="C2630" s="17" t="s">
        <v>9508</v>
      </c>
      <c r="D2630" s="19" t="s">
        <v>9509</v>
      </c>
      <c r="E2630" s="20" t="s">
        <v>104</v>
      </c>
      <c r="F2630" s="21">
        <v>38191.0</v>
      </c>
      <c r="G2630" s="14">
        <v>22.0</v>
      </c>
      <c r="H2630" s="23" t="s">
        <v>100</v>
      </c>
      <c r="I2630" s="24" t="s">
        <v>27</v>
      </c>
      <c r="J2630" s="19" t="s">
        <v>53</v>
      </c>
      <c r="K2630" s="14">
        <v>10.0</v>
      </c>
      <c r="L2630" s="7"/>
      <c r="M2630" s="7"/>
      <c r="N2630" s="7"/>
      <c r="O2630" s="7"/>
      <c r="P2630" s="7"/>
      <c r="Q2630" s="7"/>
      <c r="R2630" s="7"/>
      <c r="S2630" s="7"/>
      <c r="T2630" s="7"/>
      <c r="U2630" s="7"/>
      <c r="V2630" s="7"/>
      <c r="W2630" s="7"/>
      <c r="X2630" s="7"/>
      <c r="Y2630" s="7"/>
    </row>
    <row r="2631">
      <c r="A2631" s="14" t="s">
        <v>9510</v>
      </c>
      <c r="B2631" s="17" t="s">
        <v>9504</v>
      </c>
      <c r="C2631" s="17" t="s">
        <v>9511</v>
      </c>
      <c r="D2631" s="19" t="s">
        <v>9512</v>
      </c>
      <c r="E2631" s="20" t="s">
        <v>104</v>
      </c>
      <c r="F2631" s="21">
        <v>31249.0</v>
      </c>
      <c r="G2631" s="14">
        <v>41.0</v>
      </c>
      <c r="H2631" s="23" t="s">
        <v>26</v>
      </c>
      <c r="I2631" s="24" t="s">
        <v>27</v>
      </c>
      <c r="J2631" s="19" t="s">
        <v>53</v>
      </c>
      <c r="K2631" s="14">
        <v>10.0</v>
      </c>
      <c r="L2631" s="7"/>
      <c r="M2631" s="7"/>
      <c r="N2631" s="7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</row>
    <row r="2632">
      <c r="A2632" s="14" t="s">
        <v>9513</v>
      </c>
      <c r="B2632" s="17" t="s">
        <v>9514</v>
      </c>
      <c r="C2632" s="17" t="s">
        <v>9515</v>
      </c>
      <c r="D2632" s="19" t="s">
        <v>9516</v>
      </c>
      <c r="E2632" s="20" t="s">
        <v>104</v>
      </c>
      <c r="F2632" s="21">
        <v>34923.0</v>
      </c>
      <c r="G2632" s="14">
        <v>31.0</v>
      </c>
      <c r="H2632" s="23" t="s">
        <v>100</v>
      </c>
      <c r="I2632" s="24" t="s">
        <v>33</v>
      </c>
      <c r="J2632" s="19" t="s">
        <v>53</v>
      </c>
      <c r="K2632" s="14">
        <v>14.0</v>
      </c>
      <c r="L2632" s="7"/>
      <c r="M2632" s="7"/>
      <c r="N2632" s="7"/>
      <c r="O2632" s="7"/>
      <c r="P2632" s="7"/>
      <c r="Q2632" s="7"/>
      <c r="R2632" s="7"/>
      <c r="S2632" s="7"/>
      <c r="T2632" s="7"/>
      <c r="U2632" s="7"/>
      <c r="V2632" s="7"/>
      <c r="W2632" s="7"/>
      <c r="X2632" s="7"/>
      <c r="Y2632" s="7"/>
    </row>
    <row r="2633">
      <c r="A2633" s="14" t="s">
        <v>9517</v>
      </c>
      <c r="B2633" s="17" t="s">
        <v>9514</v>
      </c>
      <c r="C2633" s="17" t="s">
        <v>9518</v>
      </c>
      <c r="D2633" s="19" t="s">
        <v>1116</v>
      </c>
      <c r="E2633" s="20" t="s">
        <v>290</v>
      </c>
      <c r="F2633" s="27">
        <v>23731.0</v>
      </c>
      <c r="G2633" s="14">
        <v>61.0</v>
      </c>
      <c r="H2633" s="23" t="s">
        <v>27</v>
      </c>
      <c r="I2633" s="24" t="s">
        <v>27</v>
      </c>
      <c r="J2633" s="19" t="s">
        <v>53</v>
      </c>
      <c r="K2633" s="14">
        <v>14.0</v>
      </c>
      <c r="L2633" s="7"/>
      <c r="M2633" s="7"/>
      <c r="N2633" s="7"/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7"/>
    </row>
    <row r="2634">
      <c r="A2634" s="14" t="s">
        <v>9519</v>
      </c>
      <c r="B2634" s="17" t="s">
        <v>9514</v>
      </c>
      <c r="C2634" s="17" t="s">
        <v>9520</v>
      </c>
      <c r="D2634" s="19" t="s">
        <v>9521</v>
      </c>
      <c r="E2634" s="20" t="s">
        <v>67</v>
      </c>
      <c r="F2634" s="21">
        <v>31300.0</v>
      </c>
      <c r="G2634" s="14">
        <v>40.0</v>
      </c>
      <c r="H2634" s="23" t="s">
        <v>100</v>
      </c>
      <c r="I2634" s="24" t="s">
        <v>33</v>
      </c>
      <c r="J2634" s="19" t="s">
        <v>53</v>
      </c>
      <c r="K2634" s="14">
        <v>14.0</v>
      </c>
      <c r="L2634" s="7"/>
      <c r="M2634" s="7"/>
      <c r="N2634" s="7"/>
      <c r="O2634" s="7"/>
      <c r="P2634" s="7"/>
      <c r="Q2634" s="7"/>
      <c r="R2634" s="7"/>
      <c r="S2634" s="7"/>
      <c r="T2634" s="7"/>
      <c r="U2634" s="7"/>
      <c r="V2634" s="7"/>
      <c r="W2634" s="7"/>
      <c r="X2634" s="7"/>
      <c r="Y2634" s="7"/>
    </row>
    <row r="2635">
      <c r="A2635" s="14" t="s">
        <v>9522</v>
      </c>
      <c r="B2635" s="17" t="s">
        <v>9523</v>
      </c>
      <c r="C2635" s="17" t="s">
        <v>9524</v>
      </c>
      <c r="D2635" s="19" t="s">
        <v>9525</v>
      </c>
      <c r="E2635" s="20" t="s">
        <v>104</v>
      </c>
      <c r="F2635" s="21">
        <v>34523.0</v>
      </c>
      <c r="G2635" s="14">
        <v>32.0</v>
      </c>
      <c r="H2635" s="23" t="s">
        <v>26</v>
      </c>
      <c r="I2635" s="24" t="s">
        <v>33</v>
      </c>
      <c r="J2635" s="19" t="s">
        <v>58</v>
      </c>
      <c r="K2635" s="14">
        <v>8.0</v>
      </c>
      <c r="L2635" s="7"/>
      <c r="M2635" s="7"/>
      <c r="N2635" s="7"/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7"/>
    </row>
    <row r="2636">
      <c r="A2636" s="14" t="s">
        <v>9526</v>
      </c>
      <c r="B2636" s="17" t="s">
        <v>9523</v>
      </c>
      <c r="C2636" s="17" t="s">
        <v>9527</v>
      </c>
      <c r="D2636" s="19" t="s">
        <v>9528</v>
      </c>
      <c r="E2636" s="20" t="s">
        <v>104</v>
      </c>
      <c r="F2636" s="21">
        <v>33286.0</v>
      </c>
      <c r="G2636" s="14">
        <v>35.0</v>
      </c>
      <c r="H2636" s="23" t="s">
        <v>26</v>
      </c>
      <c r="I2636" s="24" t="s">
        <v>27</v>
      </c>
      <c r="J2636" s="19" t="s">
        <v>58</v>
      </c>
      <c r="K2636" s="14">
        <v>8.0</v>
      </c>
      <c r="L2636" s="7"/>
      <c r="M2636" s="7"/>
      <c r="N2636" s="7"/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7"/>
    </row>
    <row r="2637">
      <c r="A2637" s="14" t="s">
        <v>9529</v>
      </c>
      <c r="B2637" s="17" t="s">
        <v>9530</v>
      </c>
      <c r="C2637" s="17" t="s">
        <v>9531</v>
      </c>
      <c r="D2637" s="19" t="s">
        <v>9532</v>
      </c>
      <c r="E2637" s="20" t="s">
        <v>195</v>
      </c>
      <c r="F2637" s="21">
        <v>31665.0</v>
      </c>
      <c r="G2637" s="14">
        <v>39.0</v>
      </c>
      <c r="H2637" s="23" t="s">
        <v>26</v>
      </c>
      <c r="I2637" s="24" t="s">
        <v>33</v>
      </c>
      <c r="J2637" s="19" t="s">
        <v>53</v>
      </c>
      <c r="K2637" s="14">
        <v>20.0</v>
      </c>
      <c r="L2637" s="7"/>
      <c r="M2637" s="7"/>
      <c r="N2637" s="7"/>
      <c r="O2637" s="7"/>
      <c r="P2637" s="7"/>
      <c r="Q2637" s="7"/>
      <c r="R2637" s="7"/>
      <c r="S2637" s="7"/>
      <c r="T2637" s="7"/>
      <c r="U2637" s="7"/>
      <c r="V2637" s="7"/>
      <c r="W2637" s="7"/>
      <c r="X2637" s="7"/>
      <c r="Y2637" s="7"/>
    </row>
    <row r="2638">
      <c r="A2638" s="14" t="s">
        <v>9533</v>
      </c>
      <c r="B2638" s="17" t="s">
        <v>9530</v>
      </c>
      <c r="C2638" s="17" t="s">
        <v>9534</v>
      </c>
      <c r="D2638" s="19" t="s">
        <v>9465</v>
      </c>
      <c r="E2638" s="20" t="s">
        <v>104</v>
      </c>
      <c r="F2638" s="21">
        <v>33125.0</v>
      </c>
      <c r="G2638" s="14">
        <v>35.0</v>
      </c>
      <c r="H2638" s="23" t="s">
        <v>26</v>
      </c>
      <c r="I2638" s="24" t="s">
        <v>27</v>
      </c>
      <c r="J2638" s="19" t="s">
        <v>53</v>
      </c>
      <c r="K2638" s="14">
        <v>20.0</v>
      </c>
      <c r="L2638" s="7"/>
      <c r="M2638" s="7"/>
      <c r="N2638" s="7"/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7"/>
    </row>
    <row r="2639">
      <c r="A2639" s="14" t="s">
        <v>9535</v>
      </c>
      <c r="B2639" s="17" t="s">
        <v>9536</v>
      </c>
      <c r="C2639" s="17" t="s">
        <v>9537</v>
      </c>
      <c r="D2639" s="19" t="s">
        <v>9538</v>
      </c>
      <c r="E2639" s="20" t="s">
        <v>104</v>
      </c>
      <c r="F2639" s="27">
        <v>35387.0</v>
      </c>
      <c r="G2639" s="14">
        <v>29.0</v>
      </c>
      <c r="H2639" s="23" t="s">
        <v>26</v>
      </c>
      <c r="I2639" s="24" t="s">
        <v>27</v>
      </c>
      <c r="J2639" s="19" t="s">
        <v>146</v>
      </c>
      <c r="K2639" s="14">
        <v>4.0</v>
      </c>
      <c r="L2639" s="7"/>
      <c r="M2639" s="7"/>
      <c r="N2639" s="7"/>
      <c r="O2639" s="7"/>
      <c r="P2639" s="7"/>
      <c r="Q2639" s="7"/>
      <c r="R2639" s="7"/>
      <c r="S2639" s="7"/>
      <c r="T2639" s="7"/>
      <c r="U2639" s="7"/>
      <c r="V2639" s="7"/>
      <c r="W2639" s="7"/>
      <c r="X2639" s="7"/>
      <c r="Y2639" s="7"/>
    </row>
    <row r="2640">
      <c r="A2640" s="14" t="s">
        <v>9539</v>
      </c>
      <c r="B2640" s="17" t="s">
        <v>9536</v>
      </c>
      <c r="C2640" s="17" t="s">
        <v>9540</v>
      </c>
      <c r="D2640" s="19" t="s">
        <v>9541</v>
      </c>
      <c r="E2640" s="20" t="s">
        <v>104</v>
      </c>
      <c r="F2640" s="27">
        <v>32806.0</v>
      </c>
      <c r="G2640" s="14">
        <v>36.0</v>
      </c>
      <c r="H2640" s="23" t="s">
        <v>26</v>
      </c>
      <c r="I2640" s="24" t="s">
        <v>33</v>
      </c>
      <c r="J2640" s="19" t="s">
        <v>146</v>
      </c>
      <c r="K2640" s="14">
        <v>4.0</v>
      </c>
      <c r="L2640" s="7"/>
      <c r="M2640" s="7"/>
      <c r="N2640" s="7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</row>
    <row r="2641">
      <c r="A2641" s="14" t="s">
        <v>9542</v>
      </c>
      <c r="B2641" s="17" t="s">
        <v>9543</v>
      </c>
      <c r="C2641" s="17" t="s">
        <v>9544</v>
      </c>
      <c r="D2641" s="19" t="s">
        <v>9545</v>
      </c>
      <c r="E2641" s="20" t="s">
        <v>7801</v>
      </c>
      <c r="F2641" s="21">
        <v>37323.0</v>
      </c>
      <c r="G2641" s="14">
        <v>24.0</v>
      </c>
      <c r="H2641" s="23" t="s">
        <v>26</v>
      </c>
      <c r="I2641" s="24" t="s">
        <v>33</v>
      </c>
      <c r="J2641" s="19" t="s">
        <v>53</v>
      </c>
      <c r="K2641" s="14">
        <v>9.0</v>
      </c>
      <c r="L2641" s="7"/>
      <c r="M2641" s="7"/>
      <c r="N2641" s="7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</row>
    <row r="2642">
      <c r="A2642" s="14" t="s">
        <v>9546</v>
      </c>
      <c r="B2642" s="17" t="s">
        <v>9543</v>
      </c>
      <c r="C2642" s="17" t="s">
        <v>9547</v>
      </c>
      <c r="D2642" s="19" t="s">
        <v>9548</v>
      </c>
      <c r="E2642" s="20" t="s">
        <v>337</v>
      </c>
      <c r="F2642" s="27">
        <v>37554.0</v>
      </c>
      <c r="G2642" s="14">
        <v>23.0</v>
      </c>
      <c r="H2642" s="23" t="s">
        <v>26</v>
      </c>
      <c r="I2642" s="24" t="s">
        <v>27</v>
      </c>
      <c r="J2642" s="19" t="s">
        <v>517</v>
      </c>
      <c r="K2642" s="14">
        <v>9.0</v>
      </c>
      <c r="L2642" s="7"/>
      <c r="M2642" s="7"/>
      <c r="N2642" s="7"/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7"/>
    </row>
    <row r="2643">
      <c r="A2643" s="14" t="s">
        <v>9549</v>
      </c>
      <c r="B2643" s="17" t="s">
        <v>9550</v>
      </c>
      <c r="C2643" s="17" t="s">
        <v>9551</v>
      </c>
      <c r="D2643" s="19" t="s">
        <v>7292</v>
      </c>
      <c r="E2643" s="20" t="s">
        <v>67</v>
      </c>
      <c r="F2643" s="21">
        <v>24540.0</v>
      </c>
      <c r="G2643" s="14">
        <v>59.0</v>
      </c>
      <c r="H2643" s="23" t="s">
        <v>26</v>
      </c>
      <c r="I2643" s="24" t="s">
        <v>33</v>
      </c>
      <c r="J2643" s="19" t="s">
        <v>68</v>
      </c>
      <c r="K2643" s="14">
        <v>34.0</v>
      </c>
      <c r="L2643" s="7"/>
      <c r="M2643" s="7"/>
      <c r="N2643" s="7"/>
      <c r="O2643" s="7"/>
      <c r="P2643" s="7"/>
      <c r="Q2643" s="7"/>
      <c r="R2643" s="7"/>
      <c r="S2643" s="7"/>
      <c r="T2643" s="7"/>
      <c r="U2643" s="7"/>
      <c r="V2643" s="7"/>
      <c r="W2643" s="7"/>
      <c r="X2643" s="7"/>
      <c r="Y2643" s="7"/>
    </row>
    <row r="2644">
      <c r="A2644" s="14" t="s">
        <v>9552</v>
      </c>
      <c r="B2644" s="17" t="s">
        <v>9550</v>
      </c>
      <c r="C2644" s="17" t="s">
        <v>9553</v>
      </c>
      <c r="D2644" s="19" t="s">
        <v>9554</v>
      </c>
      <c r="E2644" s="20" t="s">
        <v>53</v>
      </c>
      <c r="F2644" s="21">
        <v>28566.0</v>
      </c>
      <c r="G2644" s="14">
        <v>48.0</v>
      </c>
      <c r="H2644" s="23" t="s">
        <v>26</v>
      </c>
      <c r="I2644" s="24" t="s">
        <v>27</v>
      </c>
      <c r="J2644" s="19" t="s">
        <v>68</v>
      </c>
      <c r="K2644" s="14">
        <v>34.0</v>
      </c>
      <c r="L2644" s="7"/>
      <c r="M2644" s="7"/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</row>
    <row r="2645">
      <c r="A2645" s="14" t="s">
        <v>9555</v>
      </c>
      <c r="B2645" s="17" t="s">
        <v>9556</v>
      </c>
      <c r="C2645" s="17" t="s">
        <v>9557</v>
      </c>
      <c r="D2645" s="19" t="s">
        <v>9558</v>
      </c>
      <c r="E2645" s="20" t="s">
        <v>8323</v>
      </c>
      <c r="F2645" s="21">
        <v>28828.0</v>
      </c>
      <c r="G2645" s="14">
        <v>47.0</v>
      </c>
      <c r="H2645" s="23" t="s">
        <v>26</v>
      </c>
      <c r="I2645" s="24" t="s">
        <v>27</v>
      </c>
      <c r="J2645" s="19" t="s">
        <v>68</v>
      </c>
      <c r="K2645" s="14">
        <v>33.0</v>
      </c>
      <c r="L2645" s="7"/>
      <c r="M2645" s="7"/>
      <c r="N2645" s="7"/>
      <c r="O2645" s="7"/>
      <c r="P2645" s="7"/>
      <c r="Q2645" s="7"/>
      <c r="R2645" s="7"/>
      <c r="S2645" s="7"/>
      <c r="T2645" s="7"/>
      <c r="U2645" s="7"/>
      <c r="V2645" s="7"/>
      <c r="W2645" s="7"/>
      <c r="X2645" s="7"/>
      <c r="Y2645" s="7"/>
    </row>
    <row r="2646">
      <c r="A2646" s="14" t="s">
        <v>9559</v>
      </c>
      <c r="B2646" s="17" t="s">
        <v>9556</v>
      </c>
      <c r="C2646" s="17" t="s">
        <v>9560</v>
      </c>
      <c r="D2646" s="19" t="s">
        <v>3451</v>
      </c>
      <c r="E2646" s="20" t="s">
        <v>1291</v>
      </c>
      <c r="F2646" s="21">
        <v>24021.0</v>
      </c>
      <c r="G2646" s="14">
        <v>60.0</v>
      </c>
      <c r="H2646" s="23" t="s">
        <v>26</v>
      </c>
      <c r="I2646" s="24" t="s">
        <v>33</v>
      </c>
      <c r="J2646" s="19" t="s">
        <v>68</v>
      </c>
      <c r="K2646" s="14">
        <v>33.0</v>
      </c>
      <c r="L2646" s="7"/>
      <c r="M2646" s="7"/>
      <c r="N2646" s="7"/>
      <c r="O2646" s="7"/>
      <c r="P2646" s="7"/>
      <c r="Q2646" s="7"/>
      <c r="R2646" s="7"/>
      <c r="S2646" s="7"/>
      <c r="T2646" s="7"/>
      <c r="U2646" s="7"/>
      <c r="V2646" s="7"/>
      <c r="W2646" s="7"/>
      <c r="X2646" s="7"/>
      <c r="Y2646" s="7"/>
    </row>
    <row r="2647">
      <c r="A2647" s="14" t="s">
        <v>9561</v>
      </c>
      <c r="B2647" s="17" t="s">
        <v>9562</v>
      </c>
      <c r="C2647" s="17" t="s">
        <v>9563</v>
      </c>
      <c r="D2647" s="19" t="s">
        <v>9564</v>
      </c>
      <c r="E2647" s="20" t="s">
        <v>1291</v>
      </c>
      <c r="F2647" s="21">
        <v>23778.0</v>
      </c>
      <c r="G2647" s="14">
        <v>61.0</v>
      </c>
      <c r="H2647" s="23" t="s">
        <v>26</v>
      </c>
      <c r="I2647" s="24" t="s">
        <v>27</v>
      </c>
      <c r="J2647" s="19" t="s">
        <v>156</v>
      </c>
      <c r="K2647" s="14">
        <v>33.0</v>
      </c>
      <c r="L2647" s="7"/>
      <c r="M2647" s="7"/>
      <c r="N2647" s="7"/>
      <c r="O2647" s="7"/>
      <c r="P2647" s="7"/>
      <c r="Q2647" s="7"/>
      <c r="R2647" s="7"/>
      <c r="S2647" s="7"/>
      <c r="T2647" s="7"/>
      <c r="U2647" s="7"/>
      <c r="V2647" s="7"/>
      <c r="W2647" s="7"/>
      <c r="X2647" s="7"/>
      <c r="Y2647" s="7"/>
    </row>
    <row r="2648">
      <c r="A2648" s="14" t="s">
        <v>9565</v>
      </c>
      <c r="B2648" s="17" t="s">
        <v>9562</v>
      </c>
      <c r="C2648" s="17" t="s">
        <v>9566</v>
      </c>
      <c r="D2648" s="19" t="s">
        <v>8057</v>
      </c>
      <c r="E2648" s="20" t="s">
        <v>1291</v>
      </c>
      <c r="F2648" s="21">
        <v>23026.0</v>
      </c>
      <c r="G2648" s="14">
        <v>63.0</v>
      </c>
      <c r="H2648" s="23" t="s">
        <v>26</v>
      </c>
      <c r="I2648" s="24" t="s">
        <v>33</v>
      </c>
      <c r="J2648" s="19" t="s">
        <v>156</v>
      </c>
      <c r="K2648" s="14">
        <v>33.0</v>
      </c>
      <c r="L2648" s="7"/>
      <c r="M2648" s="7"/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</row>
    <row r="2649">
      <c r="A2649" s="14" t="s">
        <v>9567</v>
      </c>
      <c r="B2649" s="17" t="s">
        <v>9568</v>
      </c>
      <c r="C2649" s="17" t="s">
        <v>9569</v>
      </c>
      <c r="D2649" s="19" t="s">
        <v>9570</v>
      </c>
      <c r="E2649" s="20" t="s">
        <v>138</v>
      </c>
      <c r="F2649" s="21">
        <v>39119.0</v>
      </c>
      <c r="G2649" s="14">
        <v>19.0</v>
      </c>
      <c r="H2649" s="23" t="s">
        <v>100</v>
      </c>
      <c r="I2649" s="24" t="s">
        <v>27</v>
      </c>
      <c r="J2649" s="19" t="s">
        <v>9571</v>
      </c>
      <c r="K2649" s="14">
        <v>23.0</v>
      </c>
      <c r="L2649" s="7"/>
      <c r="M2649" s="7"/>
      <c r="N2649" s="7"/>
      <c r="O2649" s="7"/>
      <c r="P2649" s="7"/>
      <c r="Q2649" s="7"/>
      <c r="R2649" s="7"/>
      <c r="S2649" s="7"/>
      <c r="T2649" s="7"/>
      <c r="U2649" s="7"/>
      <c r="V2649" s="7"/>
      <c r="W2649" s="7"/>
      <c r="X2649" s="7"/>
      <c r="Y2649" s="7"/>
    </row>
    <row r="2650">
      <c r="A2650" s="14" t="s">
        <v>9572</v>
      </c>
      <c r="B2650" s="17" t="s">
        <v>9568</v>
      </c>
      <c r="C2650" s="17" t="s">
        <v>9573</v>
      </c>
      <c r="D2650" s="19" t="s">
        <v>9574</v>
      </c>
      <c r="E2650" s="20" t="s">
        <v>9575</v>
      </c>
      <c r="F2650" s="21">
        <v>27896.0</v>
      </c>
      <c r="G2650" s="14">
        <v>50.0</v>
      </c>
      <c r="H2650" s="23" t="s">
        <v>26</v>
      </c>
      <c r="I2650" s="24" t="s">
        <v>33</v>
      </c>
      <c r="J2650" s="19" t="s">
        <v>9571</v>
      </c>
      <c r="K2650" s="14">
        <v>23.0</v>
      </c>
      <c r="L2650" s="7"/>
      <c r="M2650" s="7"/>
      <c r="N2650" s="7"/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7"/>
    </row>
    <row r="2651">
      <c r="A2651" s="14" t="s">
        <v>9576</v>
      </c>
      <c r="B2651" s="17" t="s">
        <v>9568</v>
      </c>
      <c r="C2651" s="17" t="s">
        <v>9577</v>
      </c>
      <c r="D2651" s="19" t="s">
        <v>9578</v>
      </c>
      <c r="E2651" s="20" t="s">
        <v>104</v>
      </c>
      <c r="F2651" s="21">
        <v>30710.0</v>
      </c>
      <c r="G2651" s="14">
        <v>42.0</v>
      </c>
      <c r="H2651" s="23" t="s">
        <v>26</v>
      </c>
      <c r="I2651" s="24" t="s">
        <v>27</v>
      </c>
      <c r="J2651" s="19" t="s">
        <v>3560</v>
      </c>
      <c r="K2651" s="14">
        <v>33.0</v>
      </c>
      <c r="L2651" s="7"/>
      <c r="M2651" s="7"/>
      <c r="N2651" s="7"/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7"/>
    </row>
    <row r="2652">
      <c r="A2652" s="14" t="s">
        <v>9579</v>
      </c>
      <c r="B2652" s="17" t="s">
        <v>9580</v>
      </c>
      <c r="C2652" s="17" t="s">
        <v>9581</v>
      </c>
      <c r="D2652" s="19" t="s">
        <v>9582</v>
      </c>
      <c r="E2652" s="20" t="s">
        <v>654</v>
      </c>
      <c r="F2652" s="21">
        <v>22842.0</v>
      </c>
      <c r="G2652" s="14">
        <v>64.0</v>
      </c>
      <c r="H2652" s="23" t="s">
        <v>26</v>
      </c>
      <c r="I2652" s="24" t="s">
        <v>27</v>
      </c>
      <c r="J2652" s="19" t="s">
        <v>68</v>
      </c>
      <c r="K2652" s="14">
        <v>33.0</v>
      </c>
      <c r="L2652" s="7"/>
      <c r="M2652" s="7"/>
      <c r="N2652" s="7"/>
      <c r="O2652" s="7"/>
      <c r="P2652" s="7"/>
      <c r="Q2652" s="7"/>
      <c r="R2652" s="7"/>
      <c r="S2652" s="7"/>
      <c r="T2652" s="7"/>
      <c r="U2652" s="7"/>
      <c r="V2652" s="7"/>
      <c r="W2652" s="7"/>
      <c r="X2652" s="7"/>
      <c r="Y2652" s="7"/>
    </row>
    <row r="2653">
      <c r="A2653" s="14" t="s">
        <v>9583</v>
      </c>
      <c r="B2653" s="17" t="s">
        <v>9584</v>
      </c>
      <c r="C2653" s="17" t="s">
        <v>9585</v>
      </c>
      <c r="D2653" s="19" t="s">
        <v>9586</v>
      </c>
      <c r="E2653" s="20" t="s">
        <v>104</v>
      </c>
      <c r="F2653" s="21">
        <v>30046.0</v>
      </c>
      <c r="G2653" s="14">
        <v>44.0</v>
      </c>
      <c r="H2653" s="23" t="s">
        <v>26</v>
      </c>
      <c r="I2653" s="24" t="s">
        <v>27</v>
      </c>
      <c r="J2653" s="19" t="s">
        <v>53</v>
      </c>
      <c r="K2653" s="14">
        <v>1.0</v>
      </c>
      <c r="L2653" s="7"/>
      <c r="M2653" s="7"/>
      <c r="N2653" s="7"/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7"/>
    </row>
    <row r="2654">
      <c r="A2654" s="14" t="s">
        <v>9587</v>
      </c>
      <c r="B2654" s="17" t="s">
        <v>9584</v>
      </c>
      <c r="C2654" s="17" t="s">
        <v>9588</v>
      </c>
      <c r="D2654" s="19" t="s">
        <v>9589</v>
      </c>
      <c r="E2654" s="20" t="s">
        <v>858</v>
      </c>
      <c r="F2654" s="21">
        <v>26636.0</v>
      </c>
      <c r="G2654" s="14">
        <v>53.0</v>
      </c>
      <c r="H2654" s="23" t="s">
        <v>26</v>
      </c>
      <c r="I2654" s="24" t="s">
        <v>33</v>
      </c>
      <c r="J2654" s="19" t="s">
        <v>53</v>
      </c>
      <c r="K2654" s="14">
        <v>1.0</v>
      </c>
      <c r="L2654" s="7"/>
      <c r="M2654" s="7"/>
      <c r="N2654" s="7"/>
      <c r="O2654" s="7"/>
      <c r="P2654" s="7"/>
      <c r="Q2654" s="7"/>
      <c r="R2654" s="7"/>
      <c r="S2654" s="7"/>
      <c r="T2654" s="7"/>
      <c r="U2654" s="7"/>
      <c r="V2654" s="7"/>
      <c r="W2654" s="7"/>
      <c r="X2654" s="7"/>
      <c r="Y2654" s="7"/>
    </row>
    <row r="2655">
      <c r="A2655" s="14" t="s">
        <v>9590</v>
      </c>
      <c r="B2655" s="17" t="s">
        <v>9591</v>
      </c>
      <c r="C2655" s="17" t="s">
        <v>9592</v>
      </c>
      <c r="D2655" s="19" t="s">
        <v>9593</v>
      </c>
      <c r="E2655" s="20" t="s">
        <v>654</v>
      </c>
      <c r="F2655" s="21">
        <v>17731.0</v>
      </c>
      <c r="G2655" s="14">
        <v>78.0</v>
      </c>
      <c r="H2655" s="23" t="s">
        <v>26</v>
      </c>
      <c r="I2655" s="24" t="s">
        <v>33</v>
      </c>
      <c r="J2655" s="19" t="s">
        <v>9594</v>
      </c>
      <c r="K2655" s="14">
        <v>7.0</v>
      </c>
      <c r="L2655" s="7"/>
      <c r="M2655" s="7"/>
      <c r="N2655" s="7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7"/>
    </row>
    <row r="2656">
      <c r="A2656" s="14" t="s">
        <v>9595</v>
      </c>
      <c r="B2656" s="17" t="s">
        <v>9591</v>
      </c>
      <c r="C2656" s="17" t="s">
        <v>9596</v>
      </c>
      <c r="D2656" s="19" t="s">
        <v>9597</v>
      </c>
      <c r="E2656" s="20" t="s">
        <v>654</v>
      </c>
      <c r="F2656" s="21">
        <v>20653.0</v>
      </c>
      <c r="G2656" s="14">
        <v>70.0</v>
      </c>
      <c r="H2656" s="23" t="s">
        <v>26</v>
      </c>
      <c r="I2656" s="24" t="s">
        <v>27</v>
      </c>
      <c r="J2656" s="19" t="s">
        <v>9594</v>
      </c>
      <c r="K2656" s="14">
        <v>7.0</v>
      </c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</row>
    <row r="2657">
      <c r="A2657" s="14" t="s">
        <v>9598</v>
      </c>
      <c r="B2657" s="17" t="s">
        <v>9599</v>
      </c>
      <c r="C2657" s="17" t="s">
        <v>9600</v>
      </c>
      <c r="D2657" s="19" t="s">
        <v>9601</v>
      </c>
      <c r="E2657" s="20" t="s">
        <v>104</v>
      </c>
      <c r="F2657" s="21">
        <v>32260.0</v>
      </c>
      <c r="G2657" s="14">
        <v>38.0</v>
      </c>
      <c r="H2657" s="23" t="s">
        <v>26</v>
      </c>
      <c r="I2657" s="24" t="s">
        <v>27</v>
      </c>
      <c r="J2657" s="19" t="s">
        <v>53</v>
      </c>
      <c r="K2657" s="14">
        <v>27.0</v>
      </c>
      <c r="L2657" s="7"/>
      <c r="M2657" s="7"/>
      <c r="N2657" s="7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</row>
    <row r="2658">
      <c r="A2658" s="14" t="s">
        <v>9602</v>
      </c>
      <c r="B2658" s="17" t="s">
        <v>9599</v>
      </c>
      <c r="C2658" s="17" t="s">
        <v>9603</v>
      </c>
      <c r="D2658" s="19" t="s">
        <v>2667</v>
      </c>
      <c r="E2658" s="20" t="s">
        <v>1095</v>
      </c>
      <c r="F2658" s="27">
        <v>29153.0</v>
      </c>
      <c r="G2658" s="14">
        <v>46.0</v>
      </c>
      <c r="H2658" s="23" t="s">
        <v>26</v>
      </c>
      <c r="I2658" s="24" t="s">
        <v>33</v>
      </c>
      <c r="J2658" s="19" t="s">
        <v>328</v>
      </c>
      <c r="K2658" s="14">
        <v>27.0</v>
      </c>
      <c r="L2658" s="7"/>
      <c r="M2658" s="7"/>
      <c r="N2658" s="7"/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7"/>
    </row>
    <row r="2659">
      <c r="A2659" s="14" t="s">
        <v>9604</v>
      </c>
      <c r="B2659" s="17" t="s">
        <v>9599</v>
      </c>
      <c r="C2659" s="17" t="s">
        <v>9605</v>
      </c>
      <c r="D2659" s="19" t="s">
        <v>9606</v>
      </c>
      <c r="E2659" s="20" t="s">
        <v>104</v>
      </c>
      <c r="F2659" s="21">
        <v>39344.0</v>
      </c>
      <c r="G2659" s="14">
        <v>18.0</v>
      </c>
      <c r="H2659" s="23" t="s">
        <v>100</v>
      </c>
      <c r="I2659" s="24" t="s">
        <v>33</v>
      </c>
      <c r="J2659" s="19" t="s">
        <v>53</v>
      </c>
      <c r="K2659" s="14">
        <v>27.0</v>
      </c>
      <c r="L2659" s="7"/>
      <c r="M2659" s="7"/>
      <c r="N2659" s="7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7"/>
    </row>
    <row r="2660">
      <c r="A2660" s="14" t="s">
        <v>9607</v>
      </c>
      <c r="B2660" s="17" t="s">
        <v>9608</v>
      </c>
      <c r="C2660" s="17" t="s">
        <v>9609</v>
      </c>
      <c r="D2660" s="19" t="s">
        <v>9610</v>
      </c>
      <c r="E2660" s="20" t="s">
        <v>632</v>
      </c>
      <c r="F2660" s="21">
        <v>20519.0</v>
      </c>
      <c r="G2660" s="14">
        <v>70.0</v>
      </c>
      <c r="H2660" s="23" t="s">
        <v>26</v>
      </c>
      <c r="I2660" s="24" t="s">
        <v>33</v>
      </c>
      <c r="J2660" s="19" t="s">
        <v>53</v>
      </c>
      <c r="K2660" s="14">
        <v>21.0</v>
      </c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</row>
    <row r="2661">
      <c r="A2661" s="14" t="s">
        <v>9611</v>
      </c>
      <c r="B2661" s="17" t="s">
        <v>9608</v>
      </c>
      <c r="C2661" s="17" t="s">
        <v>9612</v>
      </c>
      <c r="D2661" s="19" t="s">
        <v>6315</v>
      </c>
      <c r="E2661" s="20" t="s">
        <v>632</v>
      </c>
      <c r="F2661" s="21">
        <v>21785.0</v>
      </c>
      <c r="G2661" s="14">
        <v>67.0</v>
      </c>
      <c r="H2661" s="23" t="s">
        <v>26</v>
      </c>
      <c r="I2661" s="24" t="s">
        <v>27</v>
      </c>
      <c r="J2661" s="19" t="s">
        <v>53</v>
      </c>
      <c r="K2661" s="14">
        <v>21.0</v>
      </c>
      <c r="L2661" s="7"/>
      <c r="M2661" s="7"/>
      <c r="N2661" s="7"/>
      <c r="O2661" s="7"/>
      <c r="P2661" s="7"/>
      <c r="Q2661" s="7"/>
      <c r="R2661" s="7"/>
      <c r="S2661" s="7"/>
      <c r="T2661" s="7"/>
      <c r="U2661" s="7"/>
      <c r="V2661" s="7"/>
      <c r="W2661" s="7"/>
      <c r="X2661" s="7"/>
      <c r="Y2661" s="7"/>
    </row>
    <row r="2662">
      <c r="A2662" s="14" t="s">
        <v>9613</v>
      </c>
      <c r="B2662" s="17" t="s">
        <v>9614</v>
      </c>
      <c r="C2662" s="17" t="s">
        <v>9615</v>
      </c>
      <c r="D2662" s="19" t="s">
        <v>9616</v>
      </c>
      <c r="E2662" s="20" t="s">
        <v>1038</v>
      </c>
      <c r="F2662" s="21">
        <v>18573.0</v>
      </c>
      <c r="G2662" s="14">
        <v>75.0</v>
      </c>
      <c r="H2662" s="23" t="s">
        <v>26</v>
      </c>
      <c r="I2662" s="24" t="s">
        <v>33</v>
      </c>
      <c r="J2662" s="19" t="s">
        <v>53</v>
      </c>
      <c r="K2662" s="14">
        <v>27.0</v>
      </c>
      <c r="L2662" s="7"/>
      <c r="M2662" s="7"/>
      <c r="N2662" s="7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</row>
    <row r="2663">
      <c r="A2663" s="14" t="s">
        <v>9617</v>
      </c>
      <c r="B2663" s="17" t="s">
        <v>9618</v>
      </c>
      <c r="C2663" s="17" t="s">
        <v>9619</v>
      </c>
      <c r="D2663" s="19" t="s">
        <v>9620</v>
      </c>
      <c r="E2663" s="20" t="s">
        <v>1058</v>
      </c>
      <c r="F2663" s="21">
        <v>21016.0</v>
      </c>
      <c r="G2663" s="14">
        <v>69.0</v>
      </c>
      <c r="H2663" s="23" t="s">
        <v>26</v>
      </c>
      <c r="I2663" s="24" t="s">
        <v>33</v>
      </c>
      <c r="J2663" s="19" t="s">
        <v>53</v>
      </c>
      <c r="K2663" s="14">
        <v>15.0</v>
      </c>
      <c r="L2663" s="7"/>
      <c r="M2663" s="7"/>
      <c r="N2663" s="7"/>
      <c r="O2663" s="7"/>
      <c r="P2663" s="7"/>
      <c r="Q2663" s="7"/>
      <c r="R2663" s="7"/>
      <c r="S2663" s="7"/>
      <c r="T2663" s="7"/>
      <c r="U2663" s="7"/>
      <c r="V2663" s="7"/>
      <c r="W2663" s="7"/>
      <c r="X2663" s="7"/>
      <c r="Y2663" s="7"/>
    </row>
    <row r="2664">
      <c r="A2664" s="14" t="s">
        <v>9621</v>
      </c>
      <c r="B2664" s="17" t="s">
        <v>9618</v>
      </c>
      <c r="C2664" s="17" t="s">
        <v>9622</v>
      </c>
      <c r="D2664" s="19" t="s">
        <v>9623</v>
      </c>
      <c r="E2664" s="20" t="s">
        <v>1058</v>
      </c>
      <c r="F2664" s="21">
        <v>21312.0</v>
      </c>
      <c r="G2664" s="14">
        <v>68.0</v>
      </c>
      <c r="H2664" s="23" t="s">
        <v>26</v>
      </c>
      <c r="I2664" s="24" t="s">
        <v>27</v>
      </c>
      <c r="J2664" s="19" t="s">
        <v>53</v>
      </c>
      <c r="K2664" s="14">
        <v>15.0</v>
      </c>
      <c r="L2664" s="7"/>
      <c r="M2664" s="7"/>
      <c r="N2664" s="7"/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7"/>
    </row>
    <row r="2665">
      <c r="A2665" s="14" t="s">
        <v>9624</v>
      </c>
      <c r="B2665" s="17" t="s">
        <v>9625</v>
      </c>
      <c r="C2665" s="17" t="s">
        <v>9626</v>
      </c>
      <c r="D2665" s="19" t="s">
        <v>3662</v>
      </c>
      <c r="E2665" s="20" t="s">
        <v>632</v>
      </c>
      <c r="F2665" s="21">
        <v>22647.0</v>
      </c>
      <c r="G2665" s="14">
        <v>64.0</v>
      </c>
      <c r="H2665" s="23" t="s">
        <v>26</v>
      </c>
      <c r="I2665" s="24" t="s">
        <v>33</v>
      </c>
      <c r="J2665" s="19" t="s">
        <v>3538</v>
      </c>
      <c r="K2665" s="14">
        <v>20.0</v>
      </c>
      <c r="L2665" s="7"/>
      <c r="M2665" s="7"/>
      <c r="N2665" s="7"/>
      <c r="O2665" s="7"/>
      <c r="P2665" s="7"/>
      <c r="Q2665" s="7"/>
      <c r="R2665" s="7"/>
      <c r="S2665" s="7"/>
      <c r="T2665" s="7"/>
      <c r="U2665" s="7"/>
      <c r="V2665" s="7"/>
      <c r="W2665" s="7"/>
      <c r="X2665" s="7"/>
      <c r="Y2665" s="7"/>
    </row>
    <row r="2666">
      <c r="A2666" s="14" t="s">
        <v>9627</v>
      </c>
      <c r="B2666" s="17" t="s">
        <v>9625</v>
      </c>
      <c r="C2666" s="17" t="s">
        <v>9628</v>
      </c>
      <c r="D2666" s="19" t="s">
        <v>9629</v>
      </c>
      <c r="E2666" s="20" t="s">
        <v>53</v>
      </c>
      <c r="F2666" s="21">
        <v>37475.0</v>
      </c>
      <c r="G2666" s="14">
        <v>24.0</v>
      </c>
      <c r="H2666" s="23" t="s">
        <v>100</v>
      </c>
      <c r="I2666" s="24" t="s">
        <v>33</v>
      </c>
      <c r="J2666" s="19" t="s">
        <v>53</v>
      </c>
      <c r="K2666" s="14">
        <v>13.0</v>
      </c>
      <c r="L2666" s="7"/>
      <c r="M2666" s="7"/>
      <c r="N2666" s="7"/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7"/>
    </row>
    <row r="2667">
      <c r="A2667" s="14" t="s">
        <v>9630</v>
      </c>
      <c r="B2667" s="17" t="s">
        <v>9625</v>
      </c>
      <c r="C2667" s="17" t="s">
        <v>9631</v>
      </c>
      <c r="D2667" s="19" t="s">
        <v>3759</v>
      </c>
      <c r="E2667" s="20" t="s">
        <v>429</v>
      </c>
      <c r="F2667" s="21">
        <v>25723.0</v>
      </c>
      <c r="G2667" s="14">
        <v>56.0</v>
      </c>
      <c r="H2667" s="23" t="s">
        <v>26</v>
      </c>
      <c r="I2667" s="24" t="s">
        <v>27</v>
      </c>
      <c r="J2667" s="19" t="s">
        <v>53</v>
      </c>
      <c r="K2667" s="14">
        <v>13.0</v>
      </c>
      <c r="L2667" s="7"/>
      <c r="M2667" s="7"/>
      <c r="N2667" s="7"/>
      <c r="O2667" s="7"/>
      <c r="P2667" s="7"/>
      <c r="Q2667" s="7"/>
      <c r="R2667" s="7"/>
      <c r="S2667" s="7"/>
      <c r="T2667" s="7"/>
      <c r="U2667" s="7"/>
      <c r="V2667" s="7"/>
      <c r="W2667" s="7"/>
      <c r="X2667" s="7"/>
      <c r="Y2667" s="7"/>
    </row>
    <row r="2668">
      <c r="A2668" s="14" t="s">
        <v>1758</v>
      </c>
      <c r="B2668" s="17" t="s">
        <v>9632</v>
      </c>
      <c r="C2668" s="17" t="s">
        <v>1760</v>
      </c>
      <c r="D2668" s="19" t="s">
        <v>1761</v>
      </c>
      <c r="E2668" s="20" t="s">
        <v>104</v>
      </c>
      <c r="F2668" s="27">
        <v>35002.0</v>
      </c>
      <c r="G2668" s="14">
        <v>30.0</v>
      </c>
      <c r="H2668" s="23" t="s">
        <v>100</v>
      </c>
      <c r="I2668" s="24" t="s">
        <v>33</v>
      </c>
      <c r="J2668" s="19" t="s">
        <v>58</v>
      </c>
      <c r="K2668" s="14">
        <v>36.0</v>
      </c>
      <c r="L2668" s="7"/>
      <c r="M2668" s="7"/>
      <c r="N2668" s="7"/>
      <c r="O2668" s="7"/>
      <c r="P2668" s="7"/>
      <c r="Q2668" s="7"/>
      <c r="R2668" s="7"/>
      <c r="S2668" s="7"/>
      <c r="T2668" s="7"/>
      <c r="U2668" s="7"/>
      <c r="V2668" s="7"/>
      <c r="W2668" s="7"/>
      <c r="X2668" s="7"/>
      <c r="Y2668" s="7"/>
    </row>
    <row r="2669">
      <c r="A2669" s="14" t="s">
        <v>9633</v>
      </c>
      <c r="B2669" s="17" t="s">
        <v>9632</v>
      </c>
      <c r="C2669" s="17" t="s">
        <v>9634</v>
      </c>
      <c r="D2669" s="19" t="s">
        <v>9635</v>
      </c>
      <c r="E2669" s="20" t="s">
        <v>1908</v>
      </c>
      <c r="F2669" s="21">
        <v>27070.0</v>
      </c>
      <c r="G2669" s="14">
        <v>52.0</v>
      </c>
      <c r="H2669" s="23" t="s">
        <v>26</v>
      </c>
      <c r="I2669" s="24" t="s">
        <v>27</v>
      </c>
      <c r="J2669" s="19" t="s">
        <v>58</v>
      </c>
      <c r="K2669" s="14">
        <v>36.0</v>
      </c>
      <c r="L2669" s="7"/>
      <c r="M2669" s="7"/>
      <c r="N2669" s="7"/>
      <c r="O2669" s="7"/>
      <c r="P2669" s="7"/>
      <c r="Q2669" s="7"/>
      <c r="R2669" s="7"/>
      <c r="S2669" s="7"/>
      <c r="T2669" s="7"/>
      <c r="U2669" s="7"/>
      <c r="V2669" s="7"/>
      <c r="W2669" s="7"/>
      <c r="X2669" s="7"/>
      <c r="Y2669" s="7"/>
    </row>
    <row r="2670">
      <c r="A2670" s="14" t="s">
        <v>9636</v>
      </c>
      <c r="B2670" s="17" t="s">
        <v>9632</v>
      </c>
      <c r="C2670" s="17" t="s">
        <v>9637</v>
      </c>
      <c r="D2670" s="19" t="s">
        <v>6215</v>
      </c>
      <c r="E2670" s="20" t="s">
        <v>544</v>
      </c>
      <c r="F2670" s="21">
        <v>24447.0</v>
      </c>
      <c r="G2670" s="14">
        <v>59.0</v>
      </c>
      <c r="H2670" s="23" t="s">
        <v>26</v>
      </c>
      <c r="I2670" s="24" t="s">
        <v>33</v>
      </c>
      <c r="J2670" s="19" t="s">
        <v>58</v>
      </c>
      <c r="K2670" s="14">
        <v>36.0</v>
      </c>
      <c r="L2670" s="7"/>
      <c r="M2670" s="7"/>
      <c r="N2670" s="7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</row>
    <row r="2671">
      <c r="A2671" s="14" t="s">
        <v>9638</v>
      </c>
      <c r="B2671" s="17" t="s">
        <v>9639</v>
      </c>
      <c r="C2671" s="17" t="s">
        <v>9640</v>
      </c>
      <c r="D2671" s="19" t="s">
        <v>9641</v>
      </c>
      <c r="E2671" s="20" t="s">
        <v>104</v>
      </c>
      <c r="F2671" s="27">
        <v>36822.0</v>
      </c>
      <c r="G2671" s="14">
        <v>25.0</v>
      </c>
      <c r="H2671" s="23" t="s">
        <v>100</v>
      </c>
      <c r="I2671" s="24" t="s">
        <v>33</v>
      </c>
      <c r="J2671" s="19" t="s">
        <v>146</v>
      </c>
      <c r="K2671" s="14">
        <v>10.0</v>
      </c>
      <c r="L2671" s="7"/>
      <c r="M2671" s="7"/>
      <c r="N2671" s="7"/>
      <c r="O2671" s="7"/>
      <c r="P2671" s="7"/>
      <c r="Q2671" s="7"/>
      <c r="R2671" s="7"/>
      <c r="S2671" s="7"/>
      <c r="T2671" s="7"/>
      <c r="U2671" s="7"/>
      <c r="V2671" s="7"/>
      <c r="W2671" s="7"/>
      <c r="X2671" s="7"/>
      <c r="Y2671" s="7"/>
    </row>
    <row r="2672">
      <c r="A2672" s="14" t="s">
        <v>9642</v>
      </c>
      <c r="B2672" s="17" t="s">
        <v>9639</v>
      </c>
      <c r="C2672" s="17" t="s">
        <v>9643</v>
      </c>
      <c r="D2672" s="19" t="s">
        <v>9644</v>
      </c>
      <c r="E2672" s="20" t="s">
        <v>654</v>
      </c>
      <c r="F2672" s="21">
        <v>27592.0</v>
      </c>
      <c r="G2672" s="14">
        <v>51.0</v>
      </c>
      <c r="H2672" s="23" t="s">
        <v>26</v>
      </c>
      <c r="I2672" s="24" t="s">
        <v>27</v>
      </c>
      <c r="J2672" s="19" t="s">
        <v>146</v>
      </c>
      <c r="K2672" s="14">
        <v>10.0</v>
      </c>
      <c r="L2672" s="7"/>
      <c r="M2672" s="7"/>
      <c r="N2672" s="7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</row>
    <row r="2673">
      <c r="A2673" s="14" t="s">
        <v>9645</v>
      </c>
      <c r="B2673" s="17" t="s">
        <v>9639</v>
      </c>
      <c r="C2673" s="17" t="s">
        <v>9646</v>
      </c>
      <c r="D2673" s="19" t="s">
        <v>9647</v>
      </c>
      <c r="E2673" s="20" t="s">
        <v>104</v>
      </c>
      <c r="F2673" s="21">
        <v>38614.0</v>
      </c>
      <c r="G2673" s="14">
        <v>20.0</v>
      </c>
      <c r="H2673" s="23" t="s">
        <v>100</v>
      </c>
      <c r="I2673" s="24" t="s">
        <v>27</v>
      </c>
      <c r="J2673" s="19" t="s">
        <v>146</v>
      </c>
      <c r="K2673" s="14">
        <v>10.0</v>
      </c>
      <c r="L2673" s="7"/>
      <c r="M2673" s="7"/>
      <c r="N2673" s="7"/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7"/>
    </row>
    <row r="2674">
      <c r="A2674" s="14" t="s">
        <v>9648</v>
      </c>
      <c r="B2674" s="17" t="s">
        <v>9639</v>
      </c>
      <c r="C2674" s="17" t="s">
        <v>9649</v>
      </c>
      <c r="D2674" s="19" t="s">
        <v>8521</v>
      </c>
      <c r="E2674" s="20" t="s">
        <v>654</v>
      </c>
      <c r="F2674" s="21">
        <v>25766.0</v>
      </c>
      <c r="G2674" s="14">
        <v>56.0</v>
      </c>
      <c r="H2674" s="23" t="s">
        <v>26</v>
      </c>
      <c r="I2674" s="24" t="s">
        <v>33</v>
      </c>
      <c r="J2674" s="19" t="s">
        <v>146</v>
      </c>
      <c r="K2674" s="14">
        <v>10.0</v>
      </c>
      <c r="L2674" s="7"/>
      <c r="M2674" s="7"/>
      <c r="N2674" s="7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</row>
    <row r="2675">
      <c r="A2675" s="14" t="s">
        <v>9650</v>
      </c>
      <c r="B2675" s="17" t="s">
        <v>9651</v>
      </c>
      <c r="C2675" s="17" t="s">
        <v>9652</v>
      </c>
      <c r="D2675" s="19" t="s">
        <v>9653</v>
      </c>
      <c r="E2675" s="20" t="s">
        <v>1049</v>
      </c>
      <c r="F2675" s="21">
        <v>26552.0</v>
      </c>
      <c r="G2675" s="14">
        <v>53.0</v>
      </c>
      <c r="H2675" s="23" t="s">
        <v>26</v>
      </c>
      <c r="I2675" s="24" t="s">
        <v>33</v>
      </c>
      <c r="J2675" s="19" t="s">
        <v>53</v>
      </c>
      <c r="K2675" s="14">
        <v>30.0</v>
      </c>
      <c r="L2675" s="7"/>
      <c r="M2675" s="7"/>
      <c r="N2675" s="7"/>
      <c r="O2675" s="7"/>
      <c r="P2675" s="7"/>
      <c r="Q2675" s="7"/>
      <c r="R2675" s="7"/>
      <c r="S2675" s="7"/>
      <c r="T2675" s="7"/>
      <c r="U2675" s="7"/>
      <c r="V2675" s="7"/>
      <c r="W2675" s="7"/>
      <c r="X2675" s="7"/>
      <c r="Y2675" s="7"/>
    </row>
    <row r="2676">
      <c r="A2676" s="14" t="s">
        <v>9654</v>
      </c>
      <c r="B2676" s="17" t="s">
        <v>9651</v>
      </c>
      <c r="C2676" s="17" t="s">
        <v>9655</v>
      </c>
      <c r="D2676" s="19" t="s">
        <v>9656</v>
      </c>
      <c r="E2676" s="20" t="s">
        <v>138</v>
      </c>
      <c r="F2676" s="21">
        <v>36687.0</v>
      </c>
      <c r="G2676" s="14">
        <v>26.0</v>
      </c>
      <c r="H2676" s="23" t="s">
        <v>100</v>
      </c>
      <c r="I2676" s="24" t="s">
        <v>33</v>
      </c>
      <c r="J2676" s="19" t="s">
        <v>53</v>
      </c>
      <c r="K2676" s="14">
        <v>30.0</v>
      </c>
      <c r="L2676" s="7"/>
      <c r="M2676" s="7"/>
      <c r="N2676" s="7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</row>
    <row r="2677">
      <c r="A2677" s="14" t="s">
        <v>9657</v>
      </c>
      <c r="B2677" s="17" t="s">
        <v>9651</v>
      </c>
      <c r="C2677" s="17" t="s">
        <v>9658</v>
      </c>
      <c r="D2677" s="19" t="s">
        <v>9659</v>
      </c>
      <c r="E2677" s="20" t="s">
        <v>104</v>
      </c>
      <c r="F2677" s="21">
        <v>37171.0</v>
      </c>
      <c r="G2677" s="14">
        <v>24.0</v>
      </c>
      <c r="H2677" s="23" t="s">
        <v>100</v>
      </c>
      <c r="I2677" s="24" t="s">
        <v>33</v>
      </c>
      <c r="J2677" s="19" t="s">
        <v>53</v>
      </c>
      <c r="K2677" s="14">
        <v>30.0</v>
      </c>
      <c r="L2677" s="7"/>
      <c r="M2677" s="7"/>
      <c r="N2677" s="7"/>
      <c r="O2677" s="7"/>
      <c r="P2677" s="7"/>
      <c r="Q2677" s="7"/>
      <c r="R2677" s="7"/>
      <c r="S2677" s="7"/>
      <c r="T2677" s="7"/>
      <c r="U2677" s="7"/>
      <c r="V2677" s="7"/>
      <c r="W2677" s="7"/>
      <c r="X2677" s="7"/>
      <c r="Y2677" s="7"/>
    </row>
    <row r="2678">
      <c r="A2678" s="14" t="s">
        <v>9660</v>
      </c>
      <c r="B2678" s="17" t="s">
        <v>9661</v>
      </c>
      <c r="C2678" s="17" t="s">
        <v>9662</v>
      </c>
      <c r="D2678" s="19" t="s">
        <v>9663</v>
      </c>
      <c r="E2678" s="20" t="s">
        <v>624</v>
      </c>
      <c r="F2678" s="21">
        <v>25401.0</v>
      </c>
      <c r="G2678" s="14">
        <v>57.0</v>
      </c>
      <c r="H2678" s="23" t="s">
        <v>26</v>
      </c>
      <c r="I2678" s="24" t="s">
        <v>27</v>
      </c>
      <c r="J2678" s="19" t="s">
        <v>53</v>
      </c>
      <c r="K2678" s="14">
        <v>10.0</v>
      </c>
      <c r="L2678" s="7"/>
      <c r="M2678" s="7"/>
      <c r="N2678" s="7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</row>
    <row r="2679">
      <c r="A2679" s="14" t="s">
        <v>9664</v>
      </c>
      <c r="B2679" s="17" t="s">
        <v>9661</v>
      </c>
      <c r="C2679" s="17" t="s">
        <v>9665</v>
      </c>
      <c r="D2679" s="19" t="s">
        <v>9666</v>
      </c>
      <c r="E2679" s="20" t="s">
        <v>219</v>
      </c>
      <c r="F2679" s="21">
        <v>23940.0</v>
      </c>
      <c r="G2679" s="14">
        <v>61.0</v>
      </c>
      <c r="H2679" s="23" t="s">
        <v>26</v>
      </c>
      <c r="I2679" s="24" t="s">
        <v>33</v>
      </c>
      <c r="J2679" s="19" t="s">
        <v>53</v>
      </c>
      <c r="K2679" s="14">
        <v>10.0</v>
      </c>
      <c r="L2679" s="7"/>
      <c r="M2679" s="7"/>
      <c r="N2679" s="7"/>
      <c r="O2679" s="7"/>
      <c r="P2679" s="7"/>
      <c r="Q2679" s="7"/>
      <c r="R2679" s="7"/>
      <c r="S2679" s="7"/>
      <c r="T2679" s="7"/>
      <c r="U2679" s="7"/>
      <c r="V2679" s="7"/>
      <c r="W2679" s="7"/>
      <c r="X2679" s="7"/>
      <c r="Y2679" s="7"/>
    </row>
    <row r="2680">
      <c r="A2680" s="14" t="s">
        <v>9667</v>
      </c>
      <c r="B2680" s="17" t="s">
        <v>9668</v>
      </c>
      <c r="C2680" s="17" t="s">
        <v>9669</v>
      </c>
      <c r="D2680" s="19" t="s">
        <v>9670</v>
      </c>
      <c r="E2680" s="20" t="s">
        <v>605</v>
      </c>
      <c r="F2680" s="21">
        <v>27649.0</v>
      </c>
      <c r="G2680" s="14">
        <v>50.0</v>
      </c>
      <c r="H2680" s="23" t="s">
        <v>26</v>
      </c>
      <c r="I2680" s="24" t="s">
        <v>33</v>
      </c>
      <c r="J2680" s="19" t="s">
        <v>6555</v>
      </c>
      <c r="K2680" s="14">
        <v>7.0</v>
      </c>
      <c r="L2680" s="7"/>
      <c r="M2680" s="7"/>
      <c r="N2680" s="7"/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7"/>
    </row>
    <row r="2681">
      <c r="A2681" s="14" t="s">
        <v>9671</v>
      </c>
      <c r="B2681" s="17" t="s">
        <v>9668</v>
      </c>
      <c r="C2681" s="17" t="s">
        <v>9672</v>
      </c>
      <c r="D2681" s="19" t="s">
        <v>9673</v>
      </c>
      <c r="E2681" s="20" t="s">
        <v>104</v>
      </c>
      <c r="F2681" s="27">
        <v>37244.0</v>
      </c>
      <c r="G2681" s="14">
        <v>24.0</v>
      </c>
      <c r="H2681" s="23" t="s">
        <v>100</v>
      </c>
      <c r="I2681" s="24" t="s">
        <v>33</v>
      </c>
      <c r="J2681" s="19" t="s">
        <v>6555</v>
      </c>
      <c r="K2681" s="14">
        <v>7.0</v>
      </c>
      <c r="L2681" s="7"/>
      <c r="M2681" s="7"/>
      <c r="N2681" s="7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</row>
    <row r="2682">
      <c r="A2682" s="14" t="s">
        <v>9674</v>
      </c>
      <c r="B2682" s="17" t="s">
        <v>9668</v>
      </c>
      <c r="C2682" s="17" t="s">
        <v>9675</v>
      </c>
      <c r="D2682" s="19" t="s">
        <v>5916</v>
      </c>
      <c r="E2682" s="20" t="s">
        <v>104</v>
      </c>
      <c r="F2682" s="21">
        <v>29844.0</v>
      </c>
      <c r="G2682" s="14">
        <v>44.0</v>
      </c>
      <c r="H2682" s="23" t="s">
        <v>26</v>
      </c>
      <c r="I2682" s="24" t="s">
        <v>27</v>
      </c>
      <c r="J2682" s="19" t="s">
        <v>6555</v>
      </c>
      <c r="K2682" s="14">
        <v>7.0</v>
      </c>
      <c r="L2682" s="7"/>
      <c r="M2682" s="7"/>
      <c r="N2682" s="7"/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7"/>
    </row>
    <row r="2683">
      <c r="A2683" s="14" t="s">
        <v>9676</v>
      </c>
      <c r="B2683" s="17" t="s">
        <v>9677</v>
      </c>
      <c r="C2683" s="17" t="s">
        <v>9678</v>
      </c>
      <c r="D2683" s="19" t="s">
        <v>9679</v>
      </c>
      <c r="E2683" s="20" t="s">
        <v>138</v>
      </c>
      <c r="F2683" s="27">
        <v>25520.0</v>
      </c>
      <c r="G2683" s="14">
        <v>56.0</v>
      </c>
      <c r="H2683" s="23" t="s">
        <v>26</v>
      </c>
      <c r="I2683" s="24" t="s">
        <v>33</v>
      </c>
      <c r="J2683" s="19" t="s">
        <v>39</v>
      </c>
      <c r="K2683" s="14">
        <v>16.0</v>
      </c>
      <c r="L2683" s="7"/>
      <c r="M2683" s="7"/>
      <c r="N2683" s="7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7"/>
    </row>
    <row r="2684">
      <c r="A2684" s="14" t="s">
        <v>9680</v>
      </c>
      <c r="B2684" s="17" t="s">
        <v>9677</v>
      </c>
      <c r="C2684" s="17" t="s">
        <v>9681</v>
      </c>
      <c r="D2684" s="19" t="s">
        <v>9682</v>
      </c>
      <c r="E2684" s="20" t="s">
        <v>104</v>
      </c>
      <c r="F2684" s="21">
        <v>36600.0</v>
      </c>
      <c r="G2684" s="14">
        <v>26.0</v>
      </c>
      <c r="H2684" s="23" t="s">
        <v>100</v>
      </c>
      <c r="I2684" s="24" t="s">
        <v>33</v>
      </c>
      <c r="J2684" s="19" t="s">
        <v>39</v>
      </c>
      <c r="K2684" s="14">
        <v>16.0</v>
      </c>
      <c r="L2684" s="7"/>
      <c r="M2684" s="7"/>
      <c r="N2684" s="7"/>
      <c r="O2684" s="7"/>
      <c r="P2684" s="7"/>
      <c r="Q2684" s="7"/>
      <c r="R2684" s="7"/>
      <c r="S2684" s="7"/>
      <c r="T2684" s="7"/>
      <c r="U2684" s="7"/>
      <c r="V2684" s="7"/>
      <c r="W2684" s="7"/>
      <c r="X2684" s="7"/>
      <c r="Y2684" s="7"/>
    </row>
    <row r="2685">
      <c r="A2685" s="14" t="s">
        <v>9683</v>
      </c>
      <c r="B2685" s="17" t="s">
        <v>9677</v>
      </c>
      <c r="C2685" s="17" t="s">
        <v>9684</v>
      </c>
      <c r="D2685" s="19" t="s">
        <v>9685</v>
      </c>
      <c r="E2685" s="20" t="s">
        <v>9686</v>
      </c>
      <c r="F2685" s="27">
        <v>28490.0</v>
      </c>
      <c r="G2685" s="14">
        <v>48.0</v>
      </c>
      <c r="H2685" s="23" t="s">
        <v>26</v>
      </c>
      <c r="I2685" s="24" t="s">
        <v>27</v>
      </c>
      <c r="J2685" s="19" t="s">
        <v>39</v>
      </c>
      <c r="K2685" s="14">
        <v>16.0</v>
      </c>
      <c r="L2685" s="7"/>
      <c r="M2685" s="7"/>
      <c r="N2685" s="7"/>
      <c r="O2685" s="7"/>
      <c r="P2685" s="7"/>
      <c r="Q2685" s="7"/>
      <c r="R2685" s="7"/>
      <c r="S2685" s="7"/>
      <c r="T2685" s="7"/>
      <c r="U2685" s="7"/>
      <c r="V2685" s="7"/>
      <c r="W2685" s="7"/>
      <c r="X2685" s="7"/>
      <c r="Y2685" s="7"/>
    </row>
    <row r="2686">
      <c r="A2686" s="14" t="s">
        <v>9687</v>
      </c>
      <c r="B2686" s="17" t="s">
        <v>9688</v>
      </c>
      <c r="C2686" s="17" t="s">
        <v>9689</v>
      </c>
      <c r="D2686" s="19" t="s">
        <v>9690</v>
      </c>
      <c r="E2686" s="20" t="s">
        <v>195</v>
      </c>
      <c r="F2686" s="21">
        <v>31138.0</v>
      </c>
      <c r="G2686" s="14">
        <v>41.0</v>
      </c>
      <c r="H2686" s="23" t="s">
        <v>26</v>
      </c>
      <c r="I2686" s="24" t="s">
        <v>33</v>
      </c>
      <c r="J2686" s="19" t="s">
        <v>3723</v>
      </c>
      <c r="K2686" s="14">
        <v>1.0</v>
      </c>
      <c r="L2686" s="7"/>
      <c r="M2686" s="7"/>
      <c r="N2686" s="7"/>
      <c r="O2686" s="7"/>
      <c r="P2686" s="7"/>
      <c r="Q2686" s="7"/>
      <c r="R2686" s="7"/>
      <c r="S2686" s="7"/>
      <c r="T2686" s="7"/>
      <c r="U2686" s="7"/>
      <c r="V2686" s="7"/>
      <c r="W2686" s="7"/>
      <c r="X2686" s="7"/>
      <c r="Y2686" s="7"/>
    </row>
    <row r="2687">
      <c r="A2687" s="14" t="s">
        <v>9692</v>
      </c>
      <c r="B2687" s="17" t="s">
        <v>9688</v>
      </c>
      <c r="C2687" s="17" t="s">
        <v>9693</v>
      </c>
      <c r="D2687" s="19" t="s">
        <v>9694</v>
      </c>
      <c r="E2687" s="20" t="s">
        <v>104</v>
      </c>
      <c r="F2687" s="21">
        <v>32669.0</v>
      </c>
      <c r="G2687" s="14">
        <v>37.0</v>
      </c>
      <c r="H2687" s="23" t="s">
        <v>26</v>
      </c>
      <c r="I2687" s="24" t="s">
        <v>27</v>
      </c>
      <c r="J2687" s="19" t="s">
        <v>3723</v>
      </c>
      <c r="K2687" s="14">
        <v>1.0</v>
      </c>
      <c r="L2687" s="7"/>
      <c r="M2687" s="7"/>
      <c r="N2687" s="7"/>
      <c r="O2687" s="7"/>
      <c r="P2687" s="7"/>
      <c r="Q2687" s="7"/>
      <c r="R2687" s="7"/>
      <c r="S2687" s="7"/>
      <c r="T2687" s="7"/>
      <c r="U2687" s="7"/>
      <c r="V2687" s="7"/>
      <c r="W2687" s="7"/>
      <c r="X2687" s="7"/>
      <c r="Y2687" s="7"/>
    </row>
    <row r="2688">
      <c r="A2688" s="14" t="s">
        <v>9695</v>
      </c>
      <c r="B2688" s="17" t="s">
        <v>9696</v>
      </c>
      <c r="C2688" s="17" t="s">
        <v>9697</v>
      </c>
      <c r="D2688" s="19" t="s">
        <v>9698</v>
      </c>
      <c r="E2688" s="20" t="s">
        <v>9699</v>
      </c>
      <c r="F2688" s="21">
        <v>33424.0</v>
      </c>
      <c r="G2688" s="14">
        <v>35.0</v>
      </c>
      <c r="H2688" s="23" t="s">
        <v>26</v>
      </c>
      <c r="I2688" s="24" t="s">
        <v>33</v>
      </c>
      <c r="J2688" s="19" t="s">
        <v>726</v>
      </c>
      <c r="K2688" s="14">
        <v>11.0</v>
      </c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7"/>
    </row>
    <row r="2689">
      <c r="A2689" s="14" t="s">
        <v>9701</v>
      </c>
      <c r="B2689" s="17" t="s">
        <v>9696</v>
      </c>
      <c r="C2689" s="17" t="s">
        <v>9702</v>
      </c>
      <c r="D2689" s="19" t="s">
        <v>9703</v>
      </c>
      <c r="E2689" s="20" t="s">
        <v>104</v>
      </c>
      <c r="F2689" s="27">
        <v>34332.0</v>
      </c>
      <c r="G2689" s="14">
        <v>32.0</v>
      </c>
      <c r="H2689" s="23" t="s">
        <v>26</v>
      </c>
      <c r="I2689" s="24" t="s">
        <v>27</v>
      </c>
      <c r="J2689" s="19" t="s">
        <v>726</v>
      </c>
      <c r="K2689" s="14">
        <v>11.0</v>
      </c>
      <c r="L2689" s="7"/>
      <c r="M2689" s="7"/>
      <c r="N2689" s="7"/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7"/>
    </row>
    <row r="2690">
      <c r="A2690" s="14" t="s">
        <v>9704</v>
      </c>
      <c r="B2690" s="17" t="s">
        <v>9705</v>
      </c>
      <c r="C2690" s="17" t="s">
        <v>9706</v>
      </c>
      <c r="D2690" s="19" t="s">
        <v>9707</v>
      </c>
      <c r="E2690" s="20" t="s">
        <v>104</v>
      </c>
      <c r="F2690" s="21">
        <v>36935.0</v>
      </c>
      <c r="G2690" s="14">
        <v>25.0</v>
      </c>
      <c r="H2690" s="23" t="s">
        <v>100</v>
      </c>
      <c r="I2690" s="24" t="s">
        <v>33</v>
      </c>
      <c r="J2690" s="19" t="s">
        <v>53</v>
      </c>
      <c r="K2690" s="14">
        <v>25.0</v>
      </c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7"/>
    </row>
    <row r="2691">
      <c r="A2691" s="14" t="s">
        <v>9708</v>
      </c>
      <c r="B2691" s="17" t="s">
        <v>9705</v>
      </c>
      <c r="C2691" s="17" t="s">
        <v>9709</v>
      </c>
      <c r="D2691" s="19" t="s">
        <v>9710</v>
      </c>
      <c r="E2691" s="20" t="s">
        <v>654</v>
      </c>
      <c r="F2691" s="21">
        <v>28401.0</v>
      </c>
      <c r="G2691" s="14">
        <v>48.0</v>
      </c>
      <c r="H2691" s="23" t="s">
        <v>26</v>
      </c>
      <c r="I2691" s="24" t="s">
        <v>27</v>
      </c>
      <c r="J2691" s="19" t="s">
        <v>53</v>
      </c>
      <c r="K2691" s="14">
        <v>25.0</v>
      </c>
      <c r="L2691" s="7"/>
      <c r="M2691" s="7"/>
      <c r="N2691" s="7"/>
      <c r="O2691" s="7"/>
      <c r="P2691" s="7"/>
      <c r="Q2691" s="7"/>
      <c r="R2691" s="7"/>
      <c r="S2691" s="7"/>
      <c r="T2691" s="7"/>
      <c r="U2691" s="7"/>
      <c r="V2691" s="7"/>
      <c r="W2691" s="7"/>
      <c r="X2691" s="7"/>
      <c r="Y2691" s="7"/>
    </row>
    <row r="2692">
      <c r="A2692" s="14" t="s">
        <v>9711</v>
      </c>
      <c r="B2692" s="17" t="s">
        <v>9712</v>
      </c>
      <c r="C2692" s="17" t="s">
        <v>9713</v>
      </c>
      <c r="D2692" s="19" t="s">
        <v>5746</v>
      </c>
      <c r="E2692" s="20" t="s">
        <v>544</v>
      </c>
      <c r="F2692" s="21">
        <v>18757.0</v>
      </c>
      <c r="G2692" s="14">
        <v>75.0</v>
      </c>
      <c r="H2692" s="23" t="s">
        <v>27</v>
      </c>
      <c r="I2692" s="24" t="s">
        <v>27</v>
      </c>
      <c r="J2692" s="19" t="s">
        <v>53</v>
      </c>
      <c r="K2692" s="14">
        <v>7.0</v>
      </c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7"/>
    </row>
    <row r="2693">
      <c r="A2693" s="14" t="s">
        <v>9714</v>
      </c>
      <c r="B2693" s="17" t="s">
        <v>9715</v>
      </c>
      <c r="C2693" s="17" t="s">
        <v>9716</v>
      </c>
      <c r="D2693" s="19" t="s">
        <v>9717</v>
      </c>
      <c r="E2693" s="20" t="s">
        <v>2038</v>
      </c>
      <c r="F2693" s="21">
        <v>31962.0</v>
      </c>
      <c r="G2693" s="14">
        <v>39.0</v>
      </c>
      <c r="H2693" s="23" t="s">
        <v>26</v>
      </c>
      <c r="I2693" s="24" t="s">
        <v>27</v>
      </c>
      <c r="J2693" s="19" t="s">
        <v>517</v>
      </c>
      <c r="K2693" s="14">
        <v>7.0</v>
      </c>
      <c r="L2693" s="7"/>
      <c r="M2693" s="7"/>
      <c r="N2693" s="7"/>
      <c r="O2693" s="7"/>
      <c r="P2693" s="7"/>
      <c r="Q2693" s="7"/>
      <c r="R2693" s="7"/>
      <c r="S2693" s="7"/>
      <c r="T2693" s="7"/>
      <c r="U2693" s="7"/>
      <c r="V2693" s="7"/>
      <c r="W2693" s="7"/>
      <c r="X2693" s="7"/>
      <c r="Y2693" s="7"/>
    </row>
    <row r="2694">
      <c r="A2694" s="14" t="s">
        <v>9718</v>
      </c>
      <c r="B2694" s="17" t="s">
        <v>9715</v>
      </c>
      <c r="C2694" s="17" t="s">
        <v>9719</v>
      </c>
      <c r="D2694" s="19" t="s">
        <v>9720</v>
      </c>
      <c r="E2694" s="20" t="s">
        <v>6269</v>
      </c>
      <c r="F2694" s="21">
        <v>35444.0</v>
      </c>
      <c r="G2694" s="14">
        <v>29.0</v>
      </c>
      <c r="H2694" s="23" t="s">
        <v>26</v>
      </c>
      <c r="I2694" s="24" t="s">
        <v>33</v>
      </c>
      <c r="J2694" s="19" t="s">
        <v>517</v>
      </c>
      <c r="K2694" s="14">
        <v>7.0</v>
      </c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</row>
    <row r="2695">
      <c r="A2695" s="14" t="s">
        <v>9721</v>
      </c>
      <c r="B2695" s="17" t="s">
        <v>9722</v>
      </c>
      <c r="C2695" s="17" t="s">
        <v>9723</v>
      </c>
      <c r="D2695" s="19" t="s">
        <v>9724</v>
      </c>
      <c r="E2695" s="20" t="s">
        <v>3552</v>
      </c>
      <c r="F2695" s="21">
        <v>31151.0</v>
      </c>
      <c r="G2695" s="14">
        <v>41.0</v>
      </c>
      <c r="H2695" s="23" t="s">
        <v>26</v>
      </c>
      <c r="I2695" s="24" t="s">
        <v>33</v>
      </c>
      <c r="J2695" s="19" t="s">
        <v>68</v>
      </c>
      <c r="K2695" s="14">
        <v>30.0</v>
      </c>
      <c r="L2695" s="7"/>
      <c r="M2695" s="7"/>
      <c r="N2695" s="7"/>
      <c r="O2695" s="7"/>
      <c r="P2695" s="7"/>
      <c r="Q2695" s="7"/>
      <c r="R2695" s="7"/>
      <c r="S2695" s="7"/>
      <c r="T2695" s="7"/>
      <c r="U2695" s="7"/>
      <c r="V2695" s="7"/>
      <c r="W2695" s="7"/>
      <c r="X2695" s="7"/>
      <c r="Y2695" s="7"/>
    </row>
    <row r="2696">
      <c r="A2696" s="14" t="s">
        <v>9725</v>
      </c>
      <c r="B2696" s="17" t="s">
        <v>9722</v>
      </c>
      <c r="C2696" s="17" t="s">
        <v>9726</v>
      </c>
      <c r="D2696" s="19" t="s">
        <v>9727</v>
      </c>
      <c r="E2696" s="20" t="s">
        <v>104</v>
      </c>
      <c r="F2696" s="21">
        <v>32653.0</v>
      </c>
      <c r="G2696" s="14">
        <v>37.0</v>
      </c>
      <c r="H2696" s="23" t="s">
        <v>26</v>
      </c>
      <c r="I2696" s="24" t="s">
        <v>27</v>
      </c>
      <c r="J2696" s="19" t="s">
        <v>68</v>
      </c>
      <c r="K2696" s="14">
        <v>30.0</v>
      </c>
      <c r="L2696" s="7"/>
      <c r="M2696" s="7"/>
      <c r="N2696" s="7"/>
      <c r="O2696" s="7"/>
      <c r="P2696" s="7"/>
      <c r="Q2696" s="7"/>
      <c r="R2696" s="7"/>
      <c r="S2696" s="7"/>
      <c r="T2696" s="7"/>
      <c r="U2696" s="7"/>
      <c r="V2696" s="7"/>
      <c r="W2696" s="7"/>
      <c r="X2696" s="7"/>
      <c r="Y2696" s="7"/>
    </row>
    <row r="2697">
      <c r="A2697" s="14" t="s">
        <v>9728</v>
      </c>
      <c r="B2697" s="17" t="s">
        <v>9729</v>
      </c>
      <c r="C2697" s="17" t="s">
        <v>9730</v>
      </c>
      <c r="D2697" s="19" t="s">
        <v>9731</v>
      </c>
      <c r="E2697" s="20" t="s">
        <v>104</v>
      </c>
      <c r="F2697" s="21">
        <v>32201.0</v>
      </c>
      <c r="G2697" s="14">
        <v>38.0</v>
      </c>
      <c r="H2697" s="23" t="s">
        <v>26</v>
      </c>
      <c r="I2697" s="24" t="s">
        <v>27</v>
      </c>
      <c r="J2697" s="19" t="s">
        <v>726</v>
      </c>
      <c r="K2697" s="14">
        <v>17.0</v>
      </c>
      <c r="L2697" s="7"/>
      <c r="M2697" s="7"/>
      <c r="N2697" s="7"/>
      <c r="O2697" s="7"/>
      <c r="P2697" s="7"/>
      <c r="Q2697" s="7"/>
      <c r="R2697" s="7"/>
      <c r="S2697" s="7"/>
      <c r="T2697" s="7"/>
      <c r="U2697" s="7"/>
      <c r="V2697" s="7"/>
      <c r="W2697" s="7"/>
      <c r="X2697" s="7"/>
      <c r="Y2697" s="7"/>
    </row>
    <row r="2698">
      <c r="A2698" s="14" t="s">
        <v>9732</v>
      </c>
      <c r="B2698" s="17" t="s">
        <v>9729</v>
      </c>
      <c r="C2698" s="17" t="s">
        <v>9733</v>
      </c>
      <c r="D2698" s="19" t="s">
        <v>9734</v>
      </c>
      <c r="E2698" s="20" t="s">
        <v>274</v>
      </c>
      <c r="F2698" s="21">
        <v>30141.0</v>
      </c>
      <c r="G2698" s="14">
        <v>44.0</v>
      </c>
      <c r="H2698" s="23" t="s">
        <v>26</v>
      </c>
      <c r="I2698" s="24" t="s">
        <v>33</v>
      </c>
      <c r="J2698" s="19" t="s">
        <v>726</v>
      </c>
      <c r="K2698" s="14">
        <v>17.0</v>
      </c>
      <c r="L2698" s="7"/>
      <c r="M2698" s="7"/>
      <c r="N2698" s="7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</row>
    <row r="2699">
      <c r="A2699" s="14" t="s">
        <v>9735</v>
      </c>
      <c r="B2699" s="17" t="s">
        <v>9736</v>
      </c>
      <c r="C2699" s="17" t="s">
        <v>9737</v>
      </c>
      <c r="D2699" s="19" t="s">
        <v>5352</v>
      </c>
      <c r="E2699" s="20" t="s">
        <v>1370</v>
      </c>
      <c r="F2699" s="21">
        <v>23567.0</v>
      </c>
      <c r="G2699" s="14">
        <v>62.0</v>
      </c>
      <c r="H2699" s="23" t="s">
        <v>26</v>
      </c>
      <c r="I2699" s="24" t="s">
        <v>33</v>
      </c>
      <c r="J2699" s="19" t="s">
        <v>726</v>
      </c>
      <c r="K2699" s="14">
        <v>16.0</v>
      </c>
      <c r="L2699" s="7"/>
      <c r="M2699" s="7"/>
      <c r="N2699" s="7"/>
      <c r="O2699" s="7"/>
      <c r="P2699" s="7"/>
      <c r="Q2699" s="7"/>
      <c r="R2699" s="7"/>
      <c r="S2699" s="7"/>
      <c r="T2699" s="7"/>
      <c r="U2699" s="7"/>
      <c r="V2699" s="7"/>
      <c r="W2699" s="7"/>
      <c r="X2699" s="7"/>
      <c r="Y2699" s="7"/>
    </row>
    <row r="2700">
      <c r="A2700" s="14" t="s">
        <v>9738</v>
      </c>
      <c r="B2700" s="17" t="s">
        <v>9736</v>
      </c>
      <c r="C2700" s="17" t="s">
        <v>9739</v>
      </c>
      <c r="D2700" s="19" t="s">
        <v>9740</v>
      </c>
      <c r="E2700" s="20" t="s">
        <v>1058</v>
      </c>
      <c r="F2700" s="21">
        <v>24234.0</v>
      </c>
      <c r="G2700" s="14">
        <v>60.0</v>
      </c>
      <c r="H2700" s="23" t="s">
        <v>26</v>
      </c>
      <c r="I2700" s="24" t="s">
        <v>27</v>
      </c>
      <c r="J2700" s="19" t="s">
        <v>726</v>
      </c>
      <c r="K2700" s="14">
        <v>16.0</v>
      </c>
      <c r="L2700" s="7"/>
      <c r="M2700" s="7"/>
      <c r="N2700" s="7"/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7"/>
    </row>
    <row r="2701">
      <c r="A2701" s="14" t="s">
        <v>9741</v>
      </c>
      <c r="B2701" s="17" t="s">
        <v>9742</v>
      </c>
      <c r="C2701" s="17" t="s">
        <v>9743</v>
      </c>
      <c r="D2701" s="19" t="s">
        <v>9744</v>
      </c>
      <c r="E2701" s="20" t="s">
        <v>104</v>
      </c>
      <c r="F2701" s="21">
        <v>31274.0</v>
      </c>
      <c r="G2701" s="14">
        <v>41.0</v>
      </c>
      <c r="H2701" s="23" t="s">
        <v>26</v>
      </c>
      <c r="I2701" s="24" t="s">
        <v>33</v>
      </c>
      <c r="J2701" s="19" t="s">
        <v>68</v>
      </c>
      <c r="K2701" s="14">
        <v>33.0</v>
      </c>
      <c r="L2701" s="7"/>
      <c r="M2701" s="7"/>
      <c r="N2701" s="7"/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7"/>
    </row>
    <row r="2702">
      <c r="A2702" s="14" t="s">
        <v>9745</v>
      </c>
      <c r="B2702" s="17" t="s">
        <v>9742</v>
      </c>
      <c r="C2702" s="17" t="s">
        <v>9746</v>
      </c>
      <c r="D2702" s="19" t="s">
        <v>9747</v>
      </c>
      <c r="E2702" s="20" t="s">
        <v>9748</v>
      </c>
      <c r="F2702" s="21">
        <v>32628.0</v>
      </c>
      <c r="G2702" s="14">
        <v>37.0</v>
      </c>
      <c r="H2702" s="23" t="s">
        <v>26</v>
      </c>
      <c r="I2702" s="24" t="s">
        <v>27</v>
      </c>
      <c r="J2702" s="19" t="s">
        <v>68</v>
      </c>
      <c r="K2702" s="14">
        <v>33.0</v>
      </c>
      <c r="L2702" s="7"/>
      <c r="M2702" s="7"/>
      <c r="N2702" s="7"/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7"/>
    </row>
    <row r="2703">
      <c r="A2703" s="14" t="s">
        <v>9749</v>
      </c>
      <c r="B2703" s="17" t="s">
        <v>9750</v>
      </c>
      <c r="C2703" s="17" t="s">
        <v>9751</v>
      </c>
      <c r="D2703" s="19" t="s">
        <v>9752</v>
      </c>
      <c r="E2703" s="20" t="s">
        <v>67</v>
      </c>
      <c r="F2703" s="21">
        <v>23543.0</v>
      </c>
      <c r="G2703" s="14">
        <v>62.0</v>
      </c>
      <c r="H2703" s="23" t="s">
        <v>26</v>
      </c>
      <c r="I2703" s="24" t="s">
        <v>27</v>
      </c>
      <c r="J2703" s="19" t="s">
        <v>726</v>
      </c>
      <c r="K2703" s="14">
        <v>18.0</v>
      </c>
      <c r="L2703" s="7"/>
      <c r="M2703" s="7"/>
      <c r="N2703" s="7"/>
      <c r="O2703" s="7"/>
      <c r="P2703" s="7"/>
      <c r="Q2703" s="7"/>
      <c r="R2703" s="7"/>
      <c r="S2703" s="7"/>
      <c r="T2703" s="7"/>
      <c r="U2703" s="7"/>
      <c r="V2703" s="7"/>
      <c r="W2703" s="7"/>
      <c r="X2703" s="7"/>
      <c r="Y2703" s="7"/>
    </row>
    <row r="2704">
      <c r="A2704" s="14" t="s">
        <v>9753</v>
      </c>
      <c r="B2704" s="17" t="s">
        <v>9750</v>
      </c>
      <c r="C2704" s="17" t="s">
        <v>9754</v>
      </c>
      <c r="D2704" s="19" t="s">
        <v>9755</v>
      </c>
      <c r="E2704" s="20" t="s">
        <v>104</v>
      </c>
      <c r="F2704" s="21">
        <v>38408.0</v>
      </c>
      <c r="G2704" s="14">
        <v>21.0</v>
      </c>
      <c r="H2704" s="23" t="s">
        <v>100</v>
      </c>
      <c r="I2704" s="24" t="s">
        <v>33</v>
      </c>
      <c r="J2704" s="19" t="s">
        <v>726</v>
      </c>
      <c r="K2704" s="14">
        <v>18.0</v>
      </c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</row>
    <row r="2705">
      <c r="A2705" s="14" t="s">
        <v>9756</v>
      </c>
      <c r="B2705" s="17" t="s">
        <v>9757</v>
      </c>
      <c r="C2705" s="17" t="s">
        <v>9758</v>
      </c>
      <c r="D2705" s="19" t="s">
        <v>9759</v>
      </c>
      <c r="E2705" s="20" t="s">
        <v>210</v>
      </c>
      <c r="F2705" s="21">
        <v>34827.0</v>
      </c>
      <c r="G2705" s="14">
        <v>31.0</v>
      </c>
      <c r="H2705" s="23" t="s">
        <v>100</v>
      </c>
      <c r="I2705" s="24" t="s">
        <v>33</v>
      </c>
      <c r="J2705" s="19" t="s">
        <v>9760</v>
      </c>
      <c r="K2705" s="14">
        <v>3.0</v>
      </c>
      <c r="L2705" s="7"/>
      <c r="M2705" s="7"/>
      <c r="N2705" s="7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</row>
    <row r="2706">
      <c r="A2706" s="14" t="s">
        <v>9761</v>
      </c>
      <c r="B2706" s="17" t="s">
        <v>9757</v>
      </c>
      <c r="C2706" s="17" t="s">
        <v>9762</v>
      </c>
      <c r="D2706" s="19" t="s">
        <v>9763</v>
      </c>
      <c r="E2706" s="20" t="s">
        <v>7893</v>
      </c>
      <c r="F2706" s="27">
        <v>27345.0</v>
      </c>
      <c r="G2706" s="14">
        <v>51.0</v>
      </c>
      <c r="H2706" s="23" t="s">
        <v>26</v>
      </c>
      <c r="I2706" s="24" t="s">
        <v>27</v>
      </c>
      <c r="J2706" s="19" t="s">
        <v>9760</v>
      </c>
      <c r="K2706" s="14">
        <v>3.0</v>
      </c>
      <c r="L2706" s="7"/>
      <c r="M2706" s="7"/>
      <c r="N2706" s="7"/>
      <c r="O2706" s="7"/>
      <c r="P2706" s="7"/>
      <c r="Q2706" s="7"/>
      <c r="R2706" s="7"/>
      <c r="S2706" s="7"/>
      <c r="T2706" s="7"/>
      <c r="U2706" s="7"/>
      <c r="V2706" s="7"/>
      <c r="W2706" s="7"/>
      <c r="X2706" s="7"/>
      <c r="Y2706" s="7"/>
    </row>
    <row r="2707">
      <c r="A2707" s="14" t="s">
        <v>9764</v>
      </c>
      <c r="B2707" s="17" t="s">
        <v>9757</v>
      </c>
      <c r="C2707" s="17" t="s">
        <v>9765</v>
      </c>
      <c r="D2707" s="19" t="s">
        <v>9766</v>
      </c>
      <c r="E2707" s="20" t="s">
        <v>9767</v>
      </c>
      <c r="F2707" s="27">
        <v>36444.0</v>
      </c>
      <c r="G2707" s="14">
        <v>26.0</v>
      </c>
      <c r="H2707" s="23" t="s">
        <v>100</v>
      </c>
      <c r="I2707" s="24" t="s">
        <v>33</v>
      </c>
      <c r="J2707" s="19" t="s">
        <v>9760</v>
      </c>
      <c r="K2707" s="14">
        <v>3.0</v>
      </c>
      <c r="L2707" s="7"/>
      <c r="M2707" s="7"/>
      <c r="N2707" s="7"/>
      <c r="O2707" s="7"/>
      <c r="P2707" s="7"/>
      <c r="Q2707" s="7"/>
      <c r="R2707" s="7"/>
      <c r="S2707" s="7"/>
      <c r="T2707" s="7"/>
      <c r="U2707" s="7"/>
      <c r="V2707" s="7"/>
      <c r="W2707" s="7"/>
      <c r="X2707" s="7"/>
      <c r="Y2707" s="7"/>
    </row>
    <row r="2708">
      <c r="A2708" s="14" t="s">
        <v>9768</v>
      </c>
      <c r="B2708" s="17" t="s">
        <v>9757</v>
      </c>
      <c r="C2708" s="17" t="s">
        <v>9769</v>
      </c>
      <c r="D2708" s="19" t="s">
        <v>9770</v>
      </c>
      <c r="E2708" s="20" t="s">
        <v>9767</v>
      </c>
      <c r="F2708" s="21">
        <v>37753.0</v>
      </c>
      <c r="G2708" s="14">
        <v>23.0</v>
      </c>
      <c r="H2708" s="23" t="s">
        <v>100</v>
      </c>
      <c r="I2708" s="24" t="s">
        <v>33</v>
      </c>
      <c r="J2708" s="19" t="s">
        <v>9760</v>
      </c>
      <c r="K2708" s="14">
        <v>3.0</v>
      </c>
      <c r="L2708" s="7"/>
      <c r="M2708" s="7"/>
      <c r="N2708" s="7"/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7"/>
    </row>
    <row r="2709">
      <c r="A2709" s="14" t="s">
        <v>9771</v>
      </c>
      <c r="B2709" s="17" t="s">
        <v>9757</v>
      </c>
      <c r="C2709" s="17" t="s">
        <v>9772</v>
      </c>
      <c r="D2709" s="19" t="s">
        <v>8057</v>
      </c>
      <c r="E2709" s="20" t="s">
        <v>9767</v>
      </c>
      <c r="F2709" s="21">
        <v>24505.0</v>
      </c>
      <c r="G2709" s="14">
        <v>59.0</v>
      </c>
      <c r="H2709" s="23" t="s">
        <v>26</v>
      </c>
      <c r="I2709" s="24" t="s">
        <v>33</v>
      </c>
      <c r="J2709" s="19" t="s">
        <v>9760</v>
      </c>
      <c r="K2709" s="14">
        <v>3.0</v>
      </c>
      <c r="L2709" s="7"/>
      <c r="M2709" s="7"/>
      <c r="N2709" s="7"/>
      <c r="O2709" s="7"/>
      <c r="P2709" s="7"/>
      <c r="Q2709" s="7"/>
      <c r="R2709" s="7"/>
      <c r="S2709" s="7"/>
      <c r="T2709" s="7"/>
      <c r="U2709" s="7"/>
      <c r="V2709" s="7"/>
      <c r="W2709" s="7"/>
      <c r="X2709" s="7"/>
      <c r="Y2709" s="7"/>
    </row>
    <row r="2710">
      <c r="A2710" s="14" t="s">
        <v>9773</v>
      </c>
      <c r="B2710" s="17" t="s">
        <v>9774</v>
      </c>
      <c r="C2710" s="17" t="s">
        <v>9775</v>
      </c>
      <c r="D2710" s="19" t="s">
        <v>9776</v>
      </c>
      <c r="E2710" s="20" t="s">
        <v>434</v>
      </c>
      <c r="F2710" s="21">
        <v>25709.0</v>
      </c>
      <c r="G2710" s="14">
        <v>56.0</v>
      </c>
      <c r="H2710" s="23" t="s">
        <v>26</v>
      </c>
      <c r="I2710" s="24" t="s">
        <v>33</v>
      </c>
      <c r="J2710" s="19" t="s">
        <v>206</v>
      </c>
      <c r="K2710" s="14">
        <v>1.0</v>
      </c>
      <c r="L2710" s="7"/>
      <c r="M2710" s="7"/>
      <c r="N2710" s="7"/>
      <c r="O2710" s="7"/>
      <c r="P2710" s="7"/>
      <c r="Q2710" s="7"/>
      <c r="R2710" s="7"/>
      <c r="S2710" s="7"/>
      <c r="T2710" s="7"/>
      <c r="U2710" s="7"/>
      <c r="V2710" s="7"/>
      <c r="W2710" s="7"/>
      <c r="X2710" s="7"/>
      <c r="Y2710" s="7"/>
    </row>
    <row r="2711">
      <c r="A2711" s="14" t="s">
        <v>9777</v>
      </c>
      <c r="B2711" s="17" t="s">
        <v>9774</v>
      </c>
      <c r="C2711" s="17" t="s">
        <v>9778</v>
      </c>
      <c r="D2711" s="19" t="s">
        <v>9779</v>
      </c>
      <c r="E2711" s="20" t="s">
        <v>104</v>
      </c>
      <c r="F2711" s="21">
        <v>37726.0</v>
      </c>
      <c r="G2711" s="14">
        <v>23.0</v>
      </c>
      <c r="H2711" s="23" t="s">
        <v>26</v>
      </c>
      <c r="I2711" s="24" t="s">
        <v>27</v>
      </c>
      <c r="J2711" s="19" t="s">
        <v>206</v>
      </c>
      <c r="K2711" s="14">
        <v>1.0</v>
      </c>
      <c r="L2711" s="7"/>
      <c r="M2711" s="7"/>
      <c r="N2711" s="7"/>
      <c r="O2711" s="7"/>
      <c r="P2711" s="7"/>
      <c r="Q2711" s="7"/>
      <c r="R2711" s="7"/>
      <c r="S2711" s="7"/>
      <c r="T2711" s="7"/>
      <c r="U2711" s="7"/>
      <c r="V2711" s="7"/>
      <c r="W2711" s="7"/>
      <c r="X2711" s="7"/>
      <c r="Y2711" s="7"/>
    </row>
    <row r="2712">
      <c r="A2712" s="14" t="s">
        <v>9780</v>
      </c>
      <c r="B2712" s="17" t="s">
        <v>9781</v>
      </c>
      <c r="C2712" s="17" t="s">
        <v>9782</v>
      </c>
      <c r="D2712" s="19" t="s">
        <v>9783</v>
      </c>
      <c r="E2712" s="20" t="s">
        <v>104</v>
      </c>
      <c r="F2712" s="21">
        <v>34116.0</v>
      </c>
      <c r="G2712" s="14">
        <v>33.0</v>
      </c>
      <c r="H2712" s="23" t="s">
        <v>26</v>
      </c>
      <c r="I2712" s="24" t="s">
        <v>33</v>
      </c>
      <c r="J2712" s="19" t="s">
        <v>53</v>
      </c>
      <c r="K2712" s="14">
        <v>18.0</v>
      </c>
      <c r="L2712" s="7"/>
      <c r="M2712" s="7"/>
      <c r="N2712" s="7"/>
      <c r="O2712" s="7"/>
      <c r="P2712" s="7"/>
      <c r="Q2712" s="7"/>
      <c r="R2712" s="7"/>
      <c r="S2712" s="7"/>
      <c r="T2712" s="7"/>
      <c r="U2712" s="7"/>
      <c r="V2712" s="7"/>
      <c r="W2712" s="7"/>
      <c r="X2712" s="7"/>
      <c r="Y2712" s="7"/>
    </row>
    <row r="2713">
      <c r="A2713" s="14" t="s">
        <v>9784</v>
      </c>
      <c r="B2713" s="17" t="s">
        <v>9781</v>
      </c>
      <c r="C2713" s="17" t="s">
        <v>9785</v>
      </c>
      <c r="D2713" s="19" t="s">
        <v>9786</v>
      </c>
      <c r="E2713" s="20" t="s">
        <v>104</v>
      </c>
      <c r="F2713" s="21">
        <v>35972.0</v>
      </c>
      <c r="G2713" s="14">
        <v>28.0</v>
      </c>
      <c r="H2713" s="23" t="s">
        <v>26</v>
      </c>
      <c r="I2713" s="24" t="s">
        <v>27</v>
      </c>
      <c r="J2713" s="19" t="s">
        <v>53</v>
      </c>
      <c r="K2713" s="14">
        <v>18.0</v>
      </c>
      <c r="L2713" s="7"/>
      <c r="M2713" s="7"/>
      <c r="N2713" s="7"/>
      <c r="O2713" s="7"/>
      <c r="P2713" s="7"/>
      <c r="Q2713" s="7"/>
      <c r="R2713" s="7"/>
      <c r="S2713" s="7"/>
      <c r="T2713" s="7"/>
      <c r="U2713" s="7"/>
      <c r="V2713" s="7"/>
      <c r="W2713" s="7"/>
      <c r="X2713" s="7"/>
      <c r="Y2713" s="7"/>
    </row>
    <row r="2714">
      <c r="A2714" s="14" t="s">
        <v>9787</v>
      </c>
      <c r="B2714" s="17" t="s">
        <v>9788</v>
      </c>
      <c r="C2714" s="17" t="s">
        <v>9789</v>
      </c>
      <c r="D2714" s="19" t="s">
        <v>9790</v>
      </c>
      <c r="E2714" s="20" t="s">
        <v>104</v>
      </c>
      <c r="F2714" s="21">
        <v>38377.0</v>
      </c>
      <c r="G2714" s="14">
        <v>21.0</v>
      </c>
      <c r="H2714" s="23" t="s">
        <v>100</v>
      </c>
      <c r="I2714" s="24" t="s">
        <v>27</v>
      </c>
      <c r="J2714" s="19" t="s">
        <v>328</v>
      </c>
      <c r="K2714" s="14">
        <v>22.0</v>
      </c>
      <c r="L2714" s="7"/>
      <c r="M2714" s="7"/>
      <c r="N2714" s="7"/>
      <c r="O2714" s="7"/>
      <c r="P2714" s="7"/>
      <c r="Q2714" s="7"/>
      <c r="R2714" s="7"/>
      <c r="S2714" s="7"/>
      <c r="T2714" s="7"/>
      <c r="U2714" s="7"/>
      <c r="V2714" s="7"/>
      <c r="W2714" s="7"/>
      <c r="X2714" s="7"/>
      <c r="Y2714" s="7"/>
    </row>
    <row r="2715">
      <c r="A2715" s="14" t="s">
        <v>9791</v>
      </c>
      <c r="B2715" s="17" t="s">
        <v>9788</v>
      </c>
      <c r="C2715" s="17" t="s">
        <v>9792</v>
      </c>
      <c r="D2715" s="19" t="s">
        <v>9793</v>
      </c>
      <c r="E2715" s="20" t="s">
        <v>138</v>
      </c>
      <c r="F2715" s="21">
        <v>36651.0</v>
      </c>
      <c r="G2715" s="14">
        <v>26.0</v>
      </c>
      <c r="H2715" s="23" t="s">
        <v>100</v>
      </c>
      <c r="I2715" s="24" t="s">
        <v>27</v>
      </c>
      <c r="J2715" s="19" t="s">
        <v>328</v>
      </c>
      <c r="K2715" s="14">
        <v>22.0</v>
      </c>
      <c r="L2715" s="7"/>
      <c r="M2715" s="7"/>
      <c r="N2715" s="7"/>
      <c r="O2715" s="7"/>
      <c r="P2715" s="7"/>
      <c r="Q2715" s="7"/>
      <c r="R2715" s="7"/>
      <c r="S2715" s="7"/>
      <c r="T2715" s="7"/>
      <c r="U2715" s="7"/>
      <c r="V2715" s="7"/>
      <c r="W2715" s="7"/>
      <c r="X2715" s="7"/>
      <c r="Y2715" s="7"/>
    </row>
    <row r="2716">
      <c r="A2716" s="14" t="s">
        <v>9794</v>
      </c>
      <c r="B2716" s="17" t="s">
        <v>9788</v>
      </c>
      <c r="C2716" s="17" t="s">
        <v>9795</v>
      </c>
      <c r="D2716" s="19" t="s">
        <v>9796</v>
      </c>
      <c r="E2716" s="20" t="s">
        <v>6256</v>
      </c>
      <c r="F2716" s="21">
        <v>26120.0</v>
      </c>
      <c r="G2716" s="14">
        <v>55.0</v>
      </c>
      <c r="H2716" s="23" t="s">
        <v>26</v>
      </c>
      <c r="I2716" s="24" t="s">
        <v>33</v>
      </c>
      <c r="J2716" s="19" t="s">
        <v>328</v>
      </c>
      <c r="K2716" s="14">
        <v>22.0</v>
      </c>
      <c r="L2716" s="7"/>
      <c r="M2716" s="7"/>
      <c r="N2716" s="7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</row>
    <row r="2717">
      <c r="A2717" s="14" t="s">
        <v>9797</v>
      </c>
      <c r="B2717" s="17" t="s">
        <v>9788</v>
      </c>
      <c r="C2717" s="17" t="s">
        <v>9798</v>
      </c>
      <c r="D2717" s="19" t="s">
        <v>9799</v>
      </c>
      <c r="E2717" s="20" t="s">
        <v>880</v>
      </c>
      <c r="F2717" s="27">
        <v>26947.0</v>
      </c>
      <c r="G2717" s="14">
        <v>52.0</v>
      </c>
      <c r="H2717" s="23" t="s">
        <v>26</v>
      </c>
      <c r="I2717" s="24" t="s">
        <v>27</v>
      </c>
      <c r="J2717" s="19" t="s">
        <v>328</v>
      </c>
      <c r="K2717" s="14">
        <v>22.0</v>
      </c>
      <c r="L2717" s="7"/>
      <c r="M2717" s="7"/>
      <c r="N2717" s="7"/>
      <c r="O2717" s="7"/>
      <c r="P2717" s="7"/>
      <c r="Q2717" s="7"/>
      <c r="R2717" s="7"/>
      <c r="S2717" s="7"/>
      <c r="T2717" s="7"/>
      <c r="U2717" s="7"/>
      <c r="V2717" s="7"/>
      <c r="W2717" s="7"/>
      <c r="X2717" s="7"/>
      <c r="Y2717" s="7"/>
    </row>
    <row r="2718">
      <c r="A2718" s="14" t="s">
        <v>9800</v>
      </c>
      <c r="B2718" s="17" t="s">
        <v>9801</v>
      </c>
      <c r="C2718" s="17" t="s">
        <v>9802</v>
      </c>
      <c r="D2718" s="19" t="s">
        <v>9803</v>
      </c>
      <c r="E2718" s="20" t="s">
        <v>1386</v>
      </c>
      <c r="F2718" s="27">
        <v>33892.0</v>
      </c>
      <c r="G2718" s="14">
        <v>33.0</v>
      </c>
      <c r="H2718" s="23" t="s">
        <v>26</v>
      </c>
      <c r="I2718" s="24" t="s">
        <v>27</v>
      </c>
      <c r="J2718" s="19" t="s">
        <v>726</v>
      </c>
      <c r="K2718" s="14">
        <v>18.0</v>
      </c>
      <c r="L2718" s="7"/>
      <c r="M2718" s="7"/>
      <c r="N2718" s="7"/>
      <c r="O2718" s="7"/>
      <c r="P2718" s="7"/>
      <c r="Q2718" s="7"/>
      <c r="R2718" s="7"/>
      <c r="S2718" s="7"/>
      <c r="T2718" s="7"/>
      <c r="U2718" s="7"/>
      <c r="V2718" s="7"/>
      <c r="W2718" s="7"/>
      <c r="X2718" s="7"/>
      <c r="Y2718" s="7"/>
    </row>
    <row r="2719">
      <c r="A2719" s="14" t="s">
        <v>9804</v>
      </c>
      <c r="B2719" s="17" t="s">
        <v>9801</v>
      </c>
      <c r="C2719" s="17" t="s">
        <v>9805</v>
      </c>
      <c r="D2719" s="19" t="s">
        <v>9806</v>
      </c>
      <c r="E2719" s="20" t="s">
        <v>104</v>
      </c>
      <c r="F2719" s="21">
        <v>33084.0</v>
      </c>
      <c r="G2719" s="14">
        <v>36.0</v>
      </c>
      <c r="H2719" s="23" t="s">
        <v>26</v>
      </c>
      <c r="I2719" s="24" t="s">
        <v>33</v>
      </c>
      <c r="J2719" s="19" t="s">
        <v>726</v>
      </c>
      <c r="K2719" s="14">
        <v>18.0</v>
      </c>
      <c r="L2719" s="7"/>
      <c r="M2719" s="7"/>
      <c r="N2719" s="7"/>
      <c r="O2719" s="7"/>
      <c r="P2719" s="7"/>
      <c r="Q2719" s="7"/>
      <c r="R2719" s="7"/>
      <c r="S2719" s="7"/>
      <c r="T2719" s="7"/>
      <c r="U2719" s="7"/>
      <c r="V2719" s="7"/>
      <c r="W2719" s="7"/>
      <c r="X2719" s="7"/>
      <c r="Y2719" s="7"/>
    </row>
    <row r="2720">
      <c r="A2720" s="14" t="s">
        <v>9807</v>
      </c>
      <c r="B2720" s="17" t="s">
        <v>9808</v>
      </c>
      <c r="C2720" s="17" t="s">
        <v>9809</v>
      </c>
      <c r="D2720" s="19" t="s">
        <v>9810</v>
      </c>
      <c r="E2720" s="20" t="s">
        <v>53</v>
      </c>
      <c r="F2720" s="21">
        <v>29596.0</v>
      </c>
      <c r="G2720" s="14">
        <v>45.0</v>
      </c>
      <c r="H2720" s="23" t="s">
        <v>26</v>
      </c>
      <c r="I2720" s="24" t="s">
        <v>33</v>
      </c>
      <c r="J2720" s="19" t="s">
        <v>362</v>
      </c>
      <c r="K2720" s="14">
        <v>24.0</v>
      </c>
      <c r="L2720" s="7"/>
      <c r="M2720" s="7"/>
      <c r="N2720" s="7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</row>
    <row r="2721">
      <c r="A2721" s="14" t="s">
        <v>9811</v>
      </c>
      <c r="B2721" s="17" t="s">
        <v>9808</v>
      </c>
      <c r="C2721" s="17" t="s">
        <v>9812</v>
      </c>
      <c r="D2721" s="19" t="s">
        <v>9813</v>
      </c>
      <c r="E2721" s="20" t="s">
        <v>274</v>
      </c>
      <c r="F2721" s="21">
        <v>32942.0</v>
      </c>
      <c r="G2721" s="14">
        <v>36.0</v>
      </c>
      <c r="H2721" s="23" t="s">
        <v>26</v>
      </c>
      <c r="I2721" s="24" t="s">
        <v>27</v>
      </c>
      <c r="J2721" s="19" t="s">
        <v>362</v>
      </c>
      <c r="K2721" s="14">
        <v>24.0</v>
      </c>
      <c r="L2721" s="7"/>
      <c r="M2721" s="7"/>
      <c r="N2721" s="7"/>
      <c r="O2721" s="7"/>
      <c r="P2721" s="7"/>
      <c r="Q2721" s="7"/>
      <c r="R2721" s="7"/>
      <c r="S2721" s="7"/>
      <c r="T2721" s="7"/>
      <c r="U2721" s="7"/>
      <c r="V2721" s="7"/>
      <c r="W2721" s="7"/>
      <c r="X2721" s="7"/>
      <c r="Y2721" s="7"/>
    </row>
    <row r="2722">
      <c r="A2722" s="14" t="s">
        <v>9814</v>
      </c>
      <c r="B2722" s="17" t="s">
        <v>9815</v>
      </c>
      <c r="C2722" s="17" t="s">
        <v>9816</v>
      </c>
      <c r="D2722" s="19" t="s">
        <v>9817</v>
      </c>
      <c r="E2722" s="20" t="s">
        <v>104</v>
      </c>
      <c r="F2722" s="21">
        <v>33850.0</v>
      </c>
      <c r="G2722" s="14">
        <v>33.0</v>
      </c>
      <c r="H2722" s="23" t="s">
        <v>26</v>
      </c>
      <c r="I2722" s="24" t="s">
        <v>33</v>
      </c>
      <c r="J2722" s="19" t="s">
        <v>146</v>
      </c>
      <c r="K2722" s="14">
        <v>2.0</v>
      </c>
      <c r="L2722" s="7"/>
      <c r="M2722" s="7"/>
      <c r="N2722" s="7"/>
      <c r="O2722" s="7"/>
      <c r="P2722" s="7"/>
      <c r="Q2722" s="7"/>
      <c r="R2722" s="7"/>
      <c r="S2722" s="7"/>
      <c r="T2722" s="7"/>
      <c r="U2722" s="7"/>
      <c r="V2722" s="7"/>
      <c r="W2722" s="7"/>
      <c r="X2722" s="7"/>
      <c r="Y2722" s="7"/>
    </row>
    <row r="2723">
      <c r="A2723" s="14" t="s">
        <v>9818</v>
      </c>
      <c r="B2723" s="17" t="s">
        <v>9815</v>
      </c>
      <c r="C2723" s="17" t="s">
        <v>9819</v>
      </c>
      <c r="D2723" s="19" t="s">
        <v>9820</v>
      </c>
      <c r="E2723" s="20" t="s">
        <v>104</v>
      </c>
      <c r="F2723" s="21">
        <v>34974.0</v>
      </c>
      <c r="G2723" s="14">
        <v>30.0</v>
      </c>
      <c r="H2723" s="23" t="s">
        <v>26</v>
      </c>
      <c r="I2723" s="24" t="s">
        <v>27</v>
      </c>
      <c r="J2723" s="19" t="s">
        <v>146</v>
      </c>
      <c r="K2723" s="14">
        <v>2.0</v>
      </c>
      <c r="L2723" s="7"/>
      <c r="M2723" s="7"/>
      <c r="N2723" s="7"/>
      <c r="O2723" s="7"/>
      <c r="P2723" s="7"/>
      <c r="Q2723" s="7"/>
      <c r="R2723" s="7"/>
      <c r="S2723" s="7"/>
      <c r="T2723" s="7"/>
      <c r="U2723" s="7"/>
      <c r="V2723" s="7"/>
      <c r="W2723" s="7"/>
      <c r="X2723" s="7"/>
      <c r="Y2723" s="7"/>
    </row>
    <row r="2724">
      <c r="A2724" s="14" t="s">
        <v>9821</v>
      </c>
      <c r="B2724" s="17" t="s">
        <v>9822</v>
      </c>
      <c r="C2724" s="17" t="s">
        <v>9823</v>
      </c>
      <c r="D2724" s="19" t="s">
        <v>9824</v>
      </c>
      <c r="E2724" s="20" t="s">
        <v>104</v>
      </c>
      <c r="F2724" s="21">
        <v>30576.0</v>
      </c>
      <c r="G2724" s="14">
        <v>42.0</v>
      </c>
      <c r="H2724" s="23" t="s">
        <v>27</v>
      </c>
      <c r="I2724" s="24" t="s">
        <v>33</v>
      </c>
      <c r="J2724" s="19" t="s">
        <v>282</v>
      </c>
      <c r="K2724" s="14">
        <v>13.0</v>
      </c>
      <c r="L2724" s="7"/>
      <c r="M2724" s="7"/>
      <c r="N2724" s="7"/>
      <c r="O2724" s="7"/>
      <c r="P2724" s="7"/>
      <c r="Q2724" s="7"/>
      <c r="R2724" s="7"/>
      <c r="S2724" s="7"/>
      <c r="T2724" s="7"/>
      <c r="U2724" s="7"/>
      <c r="V2724" s="7"/>
      <c r="W2724" s="7"/>
      <c r="X2724" s="7"/>
      <c r="Y2724" s="7"/>
    </row>
    <row r="2725">
      <c r="A2725" s="14" t="s">
        <v>9825</v>
      </c>
      <c r="B2725" s="17" t="s">
        <v>9826</v>
      </c>
      <c r="C2725" s="17" t="s">
        <v>9827</v>
      </c>
      <c r="D2725" s="19" t="s">
        <v>9828</v>
      </c>
      <c r="E2725" s="20" t="s">
        <v>104</v>
      </c>
      <c r="F2725" s="21">
        <v>37046.0</v>
      </c>
      <c r="G2725" s="14">
        <v>25.0</v>
      </c>
      <c r="H2725" s="23" t="s">
        <v>100</v>
      </c>
      <c r="I2725" s="24" t="s">
        <v>33</v>
      </c>
      <c r="J2725" s="19" t="s">
        <v>282</v>
      </c>
      <c r="K2725" s="14">
        <v>13.0</v>
      </c>
      <c r="L2725" s="7"/>
      <c r="M2725" s="7"/>
      <c r="N2725" s="7"/>
      <c r="O2725" s="7"/>
      <c r="P2725" s="7"/>
      <c r="Q2725" s="7"/>
      <c r="R2725" s="7"/>
      <c r="S2725" s="7"/>
      <c r="T2725" s="7"/>
      <c r="U2725" s="7"/>
      <c r="V2725" s="7"/>
      <c r="W2725" s="7"/>
      <c r="X2725" s="7"/>
      <c r="Y2725" s="7"/>
    </row>
    <row r="2726">
      <c r="A2726" s="14" t="s">
        <v>9829</v>
      </c>
      <c r="B2726" s="17" t="s">
        <v>9826</v>
      </c>
      <c r="C2726" s="17" t="s">
        <v>9830</v>
      </c>
      <c r="D2726" s="19" t="s">
        <v>9831</v>
      </c>
      <c r="E2726" s="20" t="s">
        <v>112</v>
      </c>
      <c r="F2726" s="21">
        <v>24574.0</v>
      </c>
      <c r="G2726" s="14">
        <v>59.0</v>
      </c>
      <c r="H2726" s="23" t="s">
        <v>27</v>
      </c>
      <c r="I2726" s="24" t="s">
        <v>27</v>
      </c>
      <c r="J2726" s="19" t="s">
        <v>282</v>
      </c>
      <c r="K2726" s="14">
        <v>13.0</v>
      </c>
      <c r="L2726" s="7"/>
      <c r="M2726" s="7"/>
      <c r="N2726" s="7"/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7"/>
    </row>
    <row r="2727">
      <c r="A2727" s="14" t="s">
        <v>9832</v>
      </c>
      <c r="B2727" s="17" t="s">
        <v>9833</v>
      </c>
      <c r="C2727" s="17" t="s">
        <v>9834</v>
      </c>
      <c r="D2727" s="19" t="s">
        <v>7345</v>
      </c>
      <c r="E2727" s="20" t="s">
        <v>104</v>
      </c>
      <c r="F2727" s="21">
        <v>27870.0</v>
      </c>
      <c r="G2727" s="14">
        <v>50.0</v>
      </c>
      <c r="H2727" s="23" t="s">
        <v>27</v>
      </c>
      <c r="I2727" s="24" t="s">
        <v>27</v>
      </c>
      <c r="J2727" s="19" t="s">
        <v>895</v>
      </c>
      <c r="K2727" s="14">
        <v>26.0</v>
      </c>
      <c r="L2727" s="7"/>
      <c r="M2727" s="7"/>
      <c r="N2727" s="7"/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7"/>
    </row>
    <row r="2728">
      <c r="A2728" s="14" t="s">
        <v>9835</v>
      </c>
      <c r="B2728" s="17" t="s">
        <v>9836</v>
      </c>
      <c r="C2728" s="17" t="s">
        <v>9837</v>
      </c>
      <c r="D2728" s="19" t="s">
        <v>9838</v>
      </c>
      <c r="E2728" s="20" t="s">
        <v>104</v>
      </c>
      <c r="F2728" s="27">
        <v>30668.0</v>
      </c>
      <c r="G2728" s="14">
        <v>42.0</v>
      </c>
      <c r="H2728" s="23" t="s">
        <v>26</v>
      </c>
      <c r="I2728" s="24" t="s">
        <v>33</v>
      </c>
      <c r="J2728" s="19" t="s">
        <v>68</v>
      </c>
      <c r="K2728" s="14">
        <v>32.0</v>
      </c>
      <c r="L2728" s="7"/>
      <c r="M2728" s="7"/>
      <c r="N2728" s="7"/>
      <c r="O2728" s="7"/>
      <c r="P2728" s="7"/>
      <c r="Q2728" s="7"/>
      <c r="R2728" s="7"/>
      <c r="S2728" s="7"/>
      <c r="T2728" s="7"/>
      <c r="U2728" s="7"/>
      <c r="V2728" s="7"/>
      <c r="W2728" s="7"/>
      <c r="X2728" s="7"/>
      <c r="Y2728" s="7"/>
    </row>
    <row r="2729">
      <c r="A2729" s="14" t="s">
        <v>9839</v>
      </c>
      <c r="B2729" s="17" t="s">
        <v>9836</v>
      </c>
      <c r="C2729" s="17" t="s">
        <v>9840</v>
      </c>
      <c r="D2729" s="19" t="s">
        <v>9841</v>
      </c>
      <c r="E2729" s="20" t="s">
        <v>7960</v>
      </c>
      <c r="F2729" s="21">
        <v>34848.0</v>
      </c>
      <c r="G2729" s="14">
        <v>31.0</v>
      </c>
      <c r="H2729" s="23" t="s">
        <v>26</v>
      </c>
      <c r="I2729" s="24" t="s">
        <v>27</v>
      </c>
      <c r="J2729" s="19" t="s">
        <v>68</v>
      </c>
      <c r="K2729" s="14">
        <v>32.0</v>
      </c>
      <c r="L2729" s="7"/>
      <c r="M2729" s="7"/>
      <c r="N2729" s="7"/>
      <c r="O2729" s="7"/>
      <c r="P2729" s="7"/>
      <c r="Q2729" s="7"/>
      <c r="R2729" s="7"/>
      <c r="S2729" s="7"/>
      <c r="T2729" s="7"/>
      <c r="U2729" s="7"/>
      <c r="V2729" s="7"/>
      <c r="W2729" s="7"/>
      <c r="X2729" s="7"/>
      <c r="Y2729" s="7"/>
    </row>
    <row r="2730">
      <c r="A2730" s="14" t="s">
        <v>9842</v>
      </c>
      <c r="B2730" s="17" t="s">
        <v>9843</v>
      </c>
      <c r="C2730" s="17" t="s">
        <v>9844</v>
      </c>
      <c r="D2730" s="19" t="s">
        <v>9296</v>
      </c>
      <c r="E2730" s="20" t="s">
        <v>9845</v>
      </c>
      <c r="F2730" s="21">
        <v>35554.0</v>
      </c>
      <c r="G2730" s="14">
        <v>29.0</v>
      </c>
      <c r="H2730" s="23" t="s">
        <v>26</v>
      </c>
      <c r="I2730" s="24" t="s">
        <v>27</v>
      </c>
      <c r="J2730" s="19" t="s">
        <v>146</v>
      </c>
      <c r="K2730" s="14">
        <v>3.0</v>
      </c>
      <c r="L2730" s="7"/>
      <c r="M2730" s="7"/>
      <c r="N2730" s="7"/>
      <c r="O2730" s="7"/>
      <c r="P2730" s="7"/>
      <c r="Q2730" s="7"/>
      <c r="R2730" s="7"/>
      <c r="S2730" s="7"/>
      <c r="T2730" s="7"/>
      <c r="U2730" s="7"/>
      <c r="V2730" s="7"/>
      <c r="W2730" s="7"/>
      <c r="X2730" s="7"/>
      <c r="Y2730" s="7"/>
    </row>
    <row r="2731">
      <c r="A2731" s="14" t="s">
        <v>9846</v>
      </c>
      <c r="B2731" s="17" t="s">
        <v>9843</v>
      </c>
      <c r="C2731" s="17" t="s">
        <v>9847</v>
      </c>
      <c r="D2731" s="19" t="s">
        <v>9848</v>
      </c>
      <c r="E2731" s="20" t="s">
        <v>9849</v>
      </c>
      <c r="F2731" s="21">
        <v>32733.0</v>
      </c>
      <c r="G2731" s="14">
        <v>37.0</v>
      </c>
      <c r="H2731" s="23" t="s">
        <v>26</v>
      </c>
      <c r="I2731" s="24" t="s">
        <v>33</v>
      </c>
      <c r="J2731" s="19" t="s">
        <v>146</v>
      </c>
      <c r="K2731" s="14">
        <v>3.0</v>
      </c>
      <c r="L2731" s="7"/>
      <c r="M2731" s="7"/>
      <c r="N2731" s="7"/>
      <c r="O2731" s="7"/>
      <c r="P2731" s="7"/>
      <c r="Q2731" s="7"/>
      <c r="R2731" s="7"/>
      <c r="S2731" s="7"/>
      <c r="T2731" s="7"/>
      <c r="U2731" s="7"/>
      <c r="V2731" s="7"/>
      <c r="W2731" s="7"/>
      <c r="X2731" s="7"/>
      <c r="Y2731" s="7"/>
    </row>
    <row r="2732">
      <c r="A2732" s="14" t="s">
        <v>9850</v>
      </c>
      <c r="B2732" s="17" t="s">
        <v>9851</v>
      </c>
      <c r="C2732" s="17" t="s">
        <v>9852</v>
      </c>
      <c r="D2732" s="19" t="s">
        <v>7576</v>
      </c>
      <c r="E2732" s="20" t="s">
        <v>104</v>
      </c>
      <c r="F2732" s="21">
        <v>33655.0</v>
      </c>
      <c r="G2732" s="14">
        <v>34.0</v>
      </c>
      <c r="H2732" s="23" t="s">
        <v>27</v>
      </c>
      <c r="I2732" s="24" t="s">
        <v>27</v>
      </c>
      <c r="J2732" s="19" t="s">
        <v>1437</v>
      </c>
      <c r="K2732" s="14">
        <v>28.0</v>
      </c>
      <c r="L2732" s="7"/>
      <c r="M2732" s="7"/>
      <c r="N2732" s="7"/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7"/>
    </row>
    <row r="2733">
      <c r="A2733" s="14" t="s">
        <v>9853</v>
      </c>
      <c r="B2733" s="17" t="s">
        <v>9854</v>
      </c>
      <c r="C2733" s="17" t="s">
        <v>9855</v>
      </c>
      <c r="D2733" s="19" t="s">
        <v>5221</v>
      </c>
      <c r="E2733" s="20" t="s">
        <v>67</v>
      </c>
      <c r="F2733" s="21">
        <v>20552.0</v>
      </c>
      <c r="G2733" s="14">
        <v>70.0</v>
      </c>
      <c r="H2733" s="23" t="s">
        <v>27</v>
      </c>
      <c r="I2733" s="24" t="s">
        <v>27</v>
      </c>
      <c r="J2733" s="19" t="s">
        <v>146</v>
      </c>
      <c r="K2733" s="14">
        <v>7.0</v>
      </c>
      <c r="L2733" s="7"/>
      <c r="M2733" s="7"/>
      <c r="N2733" s="7"/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7"/>
    </row>
    <row r="2734">
      <c r="A2734" s="14" t="s">
        <v>9856</v>
      </c>
      <c r="B2734" s="17" t="s">
        <v>9857</v>
      </c>
      <c r="C2734" s="17" t="s">
        <v>9858</v>
      </c>
      <c r="D2734" s="19" t="s">
        <v>9859</v>
      </c>
      <c r="E2734" s="20" t="s">
        <v>104</v>
      </c>
      <c r="F2734" s="21">
        <v>34049.0</v>
      </c>
      <c r="G2734" s="14">
        <v>33.0</v>
      </c>
      <c r="H2734" s="23" t="s">
        <v>26</v>
      </c>
      <c r="I2734" s="24" t="s">
        <v>27</v>
      </c>
      <c r="J2734" s="19" t="s">
        <v>282</v>
      </c>
      <c r="K2734" s="14">
        <v>17.0</v>
      </c>
      <c r="L2734" s="7"/>
      <c r="M2734" s="7"/>
      <c r="N2734" s="7"/>
      <c r="O2734" s="7"/>
      <c r="P2734" s="7"/>
      <c r="Q2734" s="7"/>
      <c r="R2734" s="7"/>
      <c r="S2734" s="7"/>
      <c r="T2734" s="7"/>
      <c r="U2734" s="7"/>
      <c r="V2734" s="7"/>
      <c r="W2734" s="7"/>
      <c r="X2734" s="7"/>
      <c r="Y2734" s="7"/>
    </row>
    <row r="2735">
      <c r="A2735" s="14" t="s">
        <v>9860</v>
      </c>
      <c r="B2735" s="17" t="s">
        <v>9857</v>
      </c>
      <c r="C2735" s="17" t="s">
        <v>9861</v>
      </c>
      <c r="D2735" s="19" t="s">
        <v>9862</v>
      </c>
      <c r="E2735" s="20" t="s">
        <v>1058</v>
      </c>
      <c r="F2735" s="21">
        <v>32039.0</v>
      </c>
      <c r="G2735" s="14">
        <v>38.0</v>
      </c>
      <c r="H2735" s="23" t="s">
        <v>26</v>
      </c>
      <c r="I2735" s="24" t="s">
        <v>33</v>
      </c>
      <c r="J2735" s="19" t="s">
        <v>282</v>
      </c>
      <c r="K2735" s="14">
        <v>17.0</v>
      </c>
      <c r="L2735" s="7"/>
      <c r="M2735" s="7"/>
      <c r="N2735" s="7"/>
      <c r="O2735" s="7"/>
      <c r="P2735" s="7"/>
      <c r="Q2735" s="7"/>
      <c r="R2735" s="7"/>
      <c r="S2735" s="7"/>
      <c r="T2735" s="7"/>
      <c r="U2735" s="7"/>
      <c r="V2735" s="7"/>
      <c r="W2735" s="7"/>
      <c r="X2735" s="7"/>
      <c r="Y2735" s="7"/>
    </row>
    <row r="2736">
      <c r="A2736" s="14" t="s">
        <v>9863</v>
      </c>
      <c r="B2736" s="17" t="s">
        <v>9864</v>
      </c>
      <c r="C2736" s="17" t="s">
        <v>9865</v>
      </c>
      <c r="D2736" s="19" t="s">
        <v>9866</v>
      </c>
      <c r="E2736" s="20" t="s">
        <v>104</v>
      </c>
      <c r="F2736" s="27">
        <v>34635.0</v>
      </c>
      <c r="G2736" s="14">
        <v>31.0</v>
      </c>
      <c r="H2736" s="23" t="s">
        <v>26</v>
      </c>
      <c r="I2736" s="24" t="s">
        <v>27</v>
      </c>
      <c r="J2736" s="19" t="s">
        <v>9867</v>
      </c>
      <c r="K2736" s="14">
        <v>35.0</v>
      </c>
      <c r="L2736" s="7"/>
      <c r="M2736" s="7"/>
      <c r="N2736" s="7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</row>
    <row r="2737">
      <c r="A2737" s="14" t="s">
        <v>9868</v>
      </c>
      <c r="B2737" s="17" t="s">
        <v>9864</v>
      </c>
      <c r="C2737" s="17" t="s">
        <v>9869</v>
      </c>
      <c r="D2737" s="19" t="s">
        <v>9870</v>
      </c>
      <c r="E2737" s="20" t="s">
        <v>104</v>
      </c>
      <c r="F2737" s="21">
        <v>33382.0</v>
      </c>
      <c r="G2737" s="14">
        <v>35.0</v>
      </c>
      <c r="H2737" s="23" t="s">
        <v>26</v>
      </c>
      <c r="I2737" s="24" t="s">
        <v>33</v>
      </c>
      <c r="J2737" s="19" t="s">
        <v>9867</v>
      </c>
      <c r="K2737" s="14">
        <v>35.0</v>
      </c>
      <c r="L2737" s="7"/>
      <c r="M2737" s="7"/>
      <c r="N2737" s="7"/>
      <c r="O2737" s="7"/>
      <c r="P2737" s="7"/>
      <c r="Q2737" s="7"/>
      <c r="R2737" s="7"/>
      <c r="S2737" s="7"/>
      <c r="T2737" s="7"/>
      <c r="U2737" s="7"/>
      <c r="V2737" s="7"/>
      <c r="W2737" s="7"/>
      <c r="X2737" s="7"/>
      <c r="Y2737" s="7"/>
    </row>
    <row r="2738">
      <c r="A2738" s="14" t="s">
        <v>9871</v>
      </c>
      <c r="B2738" s="17" t="s">
        <v>9872</v>
      </c>
      <c r="C2738" s="17" t="s">
        <v>9873</v>
      </c>
      <c r="D2738" s="19" t="s">
        <v>9874</v>
      </c>
      <c r="E2738" s="20" t="s">
        <v>9875</v>
      </c>
      <c r="F2738" s="27">
        <v>35051.0</v>
      </c>
      <c r="G2738" s="14">
        <v>30.0</v>
      </c>
      <c r="H2738" s="23" t="s">
        <v>26</v>
      </c>
      <c r="I2738" s="24" t="s">
        <v>33</v>
      </c>
      <c r="J2738" s="19" t="s">
        <v>206</v>
      </c>
      <c r="K2738" s="14">
        <v>10.0</v>
      </c>
      <c r="L2738" s="7"/>
      <c r="M2738" s="7"/>
      <c r="N2738" s="7"/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7"/>
    </row>
    <row r="2739">
      <c r="A2739" s="14" t="s">
        <v>9876</v>
      </c>
      <c r="B2739" s="17" t="s">
        <v>9872</v>
      </c>
      <c r="C2739" s="17" t="s">
        <v>9877</v>
      </c>
      <c r="D2739" s="19" t="s">
        <v>9878</v>
      </c>
      <c r="E2739" s="20" t="s">
        <v>9879</v>
      </c>
      <c r="F2739" s="21">
        <v>35181.0</v>
      </c>
      <c r="G2739" s="14">
        <v>30.0</v>
      </c>
      <c r="H2739" s="23" t="s">
        <v>26</v>
      </c>
      <c r="I2739" s="24" t="s">
        <v>27</v>
      </c>
      <c r="J2739" s="19" t="s">
        <v>206</v>
      </c>
      <c r="K2739" s="14">
        <v>10.0</v>
      </c>
      <c r="L2739" s="7"/>
      <c r="M2739" s="7"/>
      <c r="N2739" s="7"/>
      <c r="O2739" s="7"/>
      <c r="P2739" s="7"/>
      <c r="Q2739" s="7"/>
      <c r="R2739" s="7"/>
      <c r="S2739" s="7"/>
      <c r="T2739" s="7"/>
      <c r="U2739" s="7"/>
      <c r="V2739" s="7"/>
      <c r="W2739" s="7"/>
      <c r="X2739" s="7"/>
      <c r="Y2739" s="7"/>
    </row>
    <row r="2740">
      <c r="A2740" s="14" t="s">
        <v>9880</v>
      </c>
      <c r="B2740" s="17" t="s">
        <v>9881</v>
      </c>
      <c r="C2740" s="17" t="s">
        <v>9882</v>
      </c>
      <c r="D2740" s="19" t="s">
        <v>4240</v>
      </c>
      <c r="E2740" s="20" t="s">
        <v>104</v>
      </c>
      <c r="F2740" s="27">
        <v>33533.0</v>
      </c>
      <c r="G2740" s="14">
        <v>34.0</v>
      </c>
      <c r="H2740" s="23" t="s">
        <v>26</v>
      </c>
      <c r="I2740" s="24" t="s">
        <v>33</v>
      </c>
      <c r="J2740" s="19" t="s">
        <v>68</v>
      </c>
      <c r="K2740" s="14">
        <v>31.0</v>
      </c>
      <c r="L2740" s="7"/>
      <c r="M2740" s="7"/>
      <c r="N2740" s="7"/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7"/>
    </row>
    <row r="2741">
      <c r="A2741" s="14" t="s">
        <v>9883</v>
      </c>
      <c r="B2741" s="17" t="s">
        <v>9881</v>
      </c>
      <c r="C2741" s="17" t="s">
        <v>9884</v>
      </c>
      <c r="D2741" s="19" t="s">
        <v>9885</v>
      </c>
      <c r="E2741" s="20" t="s">
        <v>9886</v>
      </c>
      <c r="F2741" s="21">
        <v>30522.0</v>
      </c>
      <c r="G2741" s="14">
        <v>43.0</v>
      </c>
      <c r="H2741" s="23" t="s">
        <v>26</v>
      </c>
      <c r="I2741" s="24" t="s">
        <v>27</v>
      </c>
      <c r="J2741" s="19" t="s">
        <v>68</v>
      </c>
      <c r="K2741" s="14">
        <v>34.0</v>
      </c>
      <c r="L2741" s="7"/>
      <c r="M2741" s="7"/>
      <c r="N2741" s="7"/>
      <c r="O2741" s="7"/>
      <c r="P2741" s="7"/>
      <c r="Q2741" s="7"/>
      <c r="R2741" s="7"/>
      <c r="S2741" s="7"/>
      <c r="T2741" s="7"/>
      <c r="U2741" s="7"/>
      <c r="V2741" s="7"/>
      <c r="W2741" s="7"/>
      <c r="X2741" s="7"/>
      <c r="Y2741" s="7"/>
    </row>
    <row r="2742">
      <c r="A2742" s="14" t="s">
        <v>9887</v>
      </c>
      <c r="B2742" s="17" t="s">
        <v>9888</v>
      </c>
      <c r="C2742" s="17" t="s">
        <v>9889</v>
      </c>
      <c r="D2742" s="19" t="s">
        <v>9890</v>
      </c>
      <c r="E2742" s="20" t="s">
        <v>1826</v>
      </c>
      <c r="F2742" s="27">
        <v>34668.0</v>
      </c>
      <c r="G2742" s="14">
        <v>31.0</v>
      </c>
      <c r="H2742" s="23" t="s">
        <v>26</v>
      </c>
      <c r="I2742" s="24" t="s">
        <v>33</v>
      </c>
      <c r="J2742" s="19" t="s">
        <v>53</v>
      </c>
      <c r="K2742" s="14">
        <v>33.0</v>
      </c>
      <c r="L2742" s="7"/>
      <c r="M2742" s="7"/>
      <c r="N2742" s="7"/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7"/>
    </row>
    <row r="2743">
      <c r="A2743" s="14" t="s">
        <v>9891</v>
      </c>
      <c r="B2743" s="17" t="s">
        <v>9888</v>
      </c>
      <c r="C2743" s="17" t="s">
        <v>9892</v>
      </c>
      <c r="D2743" s="19" t="s">
        <v>9893</v>
      </c>
      <c r="E2743" s="20" t="s">
        <v>104</v>
      </c>
      <c r="F2743" s="21">
        <v>36035.0</v>
      </c>
      <c r="G2743" s="14">
        <v>28.0</v>
      </c>
      <c r="H2743" s="23" t="s">
        <v>26</v>
      </c>
      <c r="I2743" s="24" t="s">
        <v>27</v>
      </c>
      <c r="J2743" s="19" t="s">
        <v>53</v>
      </c>
      <c r="K2743" s="14">
        <v>33.0</v>
      </c>
      <c r="L2743" s="7"/>
      <c r="M2743" s="7"/>
      <c r="N2743" s="7"/>
      <c r="O2743" s="7"/>
      <c r="P2743" s="7"/>
      <c r="Q2743" s="7"/>
      <c r="R2743" s="7"/>
      <c r="S2743" s="7"/>
      <c r="T2743" s="7"/>
      <c r="U2743" s="7"/>
      <c r="V2743" s="7"/>
      <c r="W2743" s="7"/>
      <c r="X2743" s="7"/>
      <c r="Y2743" s="7"/>
    </row>
    <row r="2744">
      <c r="A2744" s="14" t="s">
        <v>9894</v>
      </c>
      <c r="B2744" s="17" t="s">
        <v>9895</v>
      </c>
      <c r="C2744" s="17" t="s">
        <v>9896</v>
      </c>
      <c r="D2744" s="19" t="s">
        <v>9897</v>
      </c>
      <c r="E2744" s="20" t="s">
        <v>104</v>
      </c>
      <c r="F2744" s="21">
        <v>29867.0</v>
      </c>
      <c r="G2744" s="14">
        <v>44.0</v>
      </c>
      <c r="H2744" s="23" t="s">
        <v>26</v>
      </c>
      <c r="I2744" s="24" t="s">
        <v>33</v>
      </c>
      <c r="J2744" s="19" t="s">
        <v>9898</v>
      </c>
      <c r="K2744" s="14">
        <v>13.0</v>
      </c>
      <c r="L2744" s="7"/>
      <c r="M2744" s="7"/>
      <c r="N2744" s="7"/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7"/>
    </row>
    <row r="2745">
      <c r="A2745" s="14" t="s">
        <v>9899</v>
      </c>
      <c r="B2745" s="17" t="s">
        <v>9895</v>
      </c>
      <c r="C2745" s="17" t="s">
        <v>9900</v>
      </c>
      <c r="D2745" s="19" t="s">
        <v>9901</v>
      </c>
      <c r="E2745" s="20" t="s">
        <v>138</v>
      </c>
      <c r="F2745" s="21">
        <v>33043.0</v>
      </c>
      <c r="G2745" s="14">
        <v>36.0</v>
      </c>
      <c r="H2745" s="23" t="s">
        <v>26</v>
      </c>
      <c r="I2745" s="24" t="s">
        <v>27</v>
      </c>
      <c r="J2745" s="19" t="s">
        <v>9898</v>
      </c>
      <c r="K2745" s="14">
        <v>13.0</v>
      </c>
      <c r="L2745" s="7"/>
      <c r="M2745" s="7"/>
      <c r="N2745" s="7"/>
      <c r="O2745" s="7"/>
      <c r="P2745" s="7"/>
      <c r="Q2745" s="7"/>
      <c r="R2745" s="7"/>
      <c r="S2745" s="7"/>
      <c r="T2745" s="7"/>
      <c r="U2745" s="7"/>
      <c r="V2745" s="7"/>
      <c r="W2745" s="7"/>
      <c r="X2745" s="7"/>
      <c r="Y2745" s="7"/>
    </row>
    <row r="2746">
      <c r="A2746" s="14" t="s">
        <v>9902</v>
      </c>
      <c r="B2746" s="17" t="s">
        <v>9903</v>
      </c>
      <c r="C2746" s="17" t="s">
        <v>9904</v>
      </c>
      <c r="D2746" s="19" t="s">
        <v>9905</v>
      </c>
      <c r="E2746" s="20" t="s">
        <v>104</v>
      </c>
      <c r="F2746" s="21">
        <v>31456.0</v>
      </c>
      <c r="G2746" s="14">
        <v>40.0</v>
      </c>
      <c r="H2746" s="23" t="s">
        <v>26</v>
      </c>
      <c r="I2746" s="24" t="s">
        <v>27</v>
      </c>
      <c r="J2746" s="19" t="s">
        <v>328</v>
      </c>
      <c r="K2746" s="14">
        <v>19.0</v>
      </c>
      <c r="L2746" s="7"/>
      <c r="M2746" s="7"/>
      <c r="N2746" s="7"/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7"/>
    </row>
    <row r="2747">
      <c r="A2747" s="14" t="s">
        <v>9906</v>
      </c>
      <c r="B2747" s="17" t="s">
        <v>9903</v>
      </c>
      <c r="C2747" s="17" t="s">
        <v>9907</v>
      </c>
      <c r="D2747" s="19" t="s">
        <v>9908</v>
      </c>
      <c r="E2747" s="20" t="s">
        <v>112</v>
      </c>
      <c r="F2747" s="21">
        <v>27563.0</v>
      </c>
      <c r="G2747" s="14">
        <v>51.0</v>
      </c>
      <c r="H2747" s="23" t="s">
        <v>26</v>
      </c>
      <c r="I2747" s="24" t="s">
        <v>33</v>
      </c>
      <c r="J2747" s="19" t="s">
        <v>328</v>
      </c>
      <c r="K2747" s="14">
        <v>19.0</v>
      </c>
      <c r="L2747" s="7"/>
      <c r="M2747" s="7"/>
      <c r="N2747" s="7"/>
      <c r="O2747" s="7"/>
      <c r="P2747" s="7"/>
      <c r="Q2747" s="7"/>
      <c r="R2747" s="7"/>
      <c r="S2747" s="7"/>
      <c r="T2747" s="7"/>
      <c r="U2747" s="7"/>
      <c r="V2747" s="7"/>
      <c r="W2747" s="7"/>
      <c r="X2747" s="7"/>
      <c r="Y2747" s="7"/>
    </row>
    <row r="2748">
      <c r="A2748" s="14" t="s">
        <v>9909</v>
      </c>
      <c r="B2748" s="17" t="s">
        <v>9910</v>
      </c>
      <c r="C2748" s="17" t="s">
        <v>9911</v>
      </c>
      <c r="D2748" s="19" t="s">
        <v>2069</v>
      </c>
      <c r="E2748" s="20" t="s">
        <v>104</v>
      </c>
      <c r="F2748" s="21">
        <v>35223.0</v>
      </c>
      <c r="G2748" s="14">
        <v>30.0</v>
      </c>
      <c r="H2748" s="23" t="s">
        <v>100</v>
      </c>
      <c r="I2748" s="24" t="s">
        <v>33</v>
      </c>
      <c r="J2748" s="19" t="s">
        <v>328</v>
      </c>
      <c r="K2748" s="14">
        <v>5.0</v>
      </c>
      <c r="L2748" s="7"/>
      <c r="M2748" s="7"/>
      <c r="N2748" s="7"/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7"/>
    </row>
    <row r="2749">
      <c r="A2749" s="14" t="s">
        <v>9912</v>
      </c>
      <c r="B2749" s="17" t="s">
        <v>9910</v>
      </c>
      <c r="C2749" s="17" t="s">
        <v>9913</v>
      </c>
      <c r="D2749" s="19" t="s">
        <v>9914</v>
      </c>
      <c r="E2749" s="20" t="s">
        <v>3295</v>
      </c>
      <c r="F2749" s="21">
        <v>38750.0</v>
      </c>
      <c r="G2749" s="14">
        <v>20.0</v>
      </c>
      <c r="H2749" s="23" t="s">
        <v>100</v>
      </c>
      <c r="I2749" s="24" t="s">
        <v>27</v>
      </c>
      <c r="J2749" s="19" t="s">
        <v>328</v>
      </c>
      <c r="K2749" s="14">
        <v>5.0</v>
      </c>
      <c r="L2749" s="7"/>
      <c r="M2749" s="7"/>
      <c r="N2749" s="7"/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7"/>
    </row>
    <row r="2750">
      <c r="A2750" s="14" t="s">
        <v>9915</v>
      </c>
      <c r="B2750" s="17" t="s">
        <v>9916</v>
      </c>
      <c r="C2750" s="17" t="s">
        <v>9917</v>
      </c>
      <c r="D2750" s="19" t="s">
        <v>8601</v>
      </c>
      <c r="E2750" s="20" t="s">
        <v>67</v>
      </c>
      <c r="F2750" s="21">
        <v>22021.0</v>
      </c>
      <c r="G2750" s="14">
        <v>66.0</v>
      </c>
      <c r="H2750" s="23" t="s">
        <v>26</v>
      </c>
      <c r="I2750" s="24" t="s">
        <v>33</v>
      </c>
      <c r="J2750" s="19" t="s">
        <v>68</v>
      </c>
      <c r="K2750" s="14">
        <v>34.0</v>
      </c>
      <c r="L2750" s="7"/>
      <c r="M2750" s="7"/>
      <c r="N2750" s="7"/>
      <c r="O2750" s="7"/>
      <c r="P2750" s="7"/>
      <c r="Q2750" s="7"/>
      <c r="R2750" s="7"/>
      <c r="S2750" s="7"/>
      <c r="T2750" s="7"/>
      <c r="U2750" s="7"/>
      <c r="V2750" s="7"/>
      <c r="W2750" s="7"/>
      <c r="X2750" s="7"/>
      <c r="Y2750" s="7"/>
    </row>
    <row r="2751">
      <c r="A2751" s="14" t="s">
        <v>9918</v>
      </c>
      <c r="B2751" s="17" t="s">
        <v>9916</v>
      </c>
      <c r="C2751" s="17" t="s">
        <v>9919</v>
      </c>
      <c r="D2751" s="19" t="s">
        <v>9920</v>
      </c>
      <c r="E2751" s="20" t="s">
        <v>67</v>
      </c>
      <c r="F2751" s="21">
        <v>24612.0</v>
      </c>
      <c r="G2751" s="14">
        <v>59.0</v>
      </c>
      <c r="H2751" s="23" t="s">
        <v>26</v>
      </c>
      <c r="I2751" s="24" t="s">
        <v>27</v>
      </c>
      <c r="J2751" s="19" t="s">
        <v>68</v>
      </c>
      <c r="K2751" s="14">
        <v>34.0</v>
      </c>
      <c r="L2751" s="7"/>
      <c r="M2751" s="7"/>
      <c r="N2751" s="7"/>
      <c r="O2751" s="7"/>
      <c r="P2751" s="7"/>
      <c r="Q2751" s="7"/>
      <c r="R2751" s="7"/>
      <c r="S2751" s="7"/>
      <c r="T2751" s="7"/>
      <c r="U2751" s="7"/>
      <c r="V2751" s="7"/>
      <c r="W2751" s="7"/>
      <c r="X2751" s="7"/>
      <c r="Y2751" s="7"/>
    </row>
    <row r="2752">
      <c r="A2752" s="14" t="s">
        <v>9921</v>
      </c>
      <c r="B2752" s="17" t="s">
        <v>9916</v>
      </c>
      <c r="C2752" s="17" t="s">
        <v>9922</v>
      </c>
      <c r="D2752" s="19" t="s">
        <v>9923</v>
      </c>
      <c r="E2752" s="20" t="s">
        <v>104</v>
      </c>
      <c r="F2752" s="21">
        <v>38251.0</v>
      </c>
      <c r="G2752" s="14">
        <v>21.0</v>
      </c>
      <c r="H2752" s="23" t="s">
        <v>100</v>
      </c>
      <c r="I2752" s="24" t="s">
        <v>27</v>
      </c>
      <c r="J2752" s="19" t="s">
        <v>68</v>
      </c>
      <c r="K2752" s="14">
        <v>34.0</v>
      </c>
      <c r="L2752" s="7"/>
      <c r="M2752" s="7"/>
      <c r="N2752" s="7"/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</row>
    <row r="2753">
      <c r="A2753" s="14" t="s">
        <v>9924</v>
      </c>
      <c r="B2753" s="17" t="s">
        <v>9925</v>
      </c>
      <c r="C2753" s="17" t="s">
        <v>9926</v>
      </c>
      <c r="D2753" s="19" t="s">
        <v>9927</v>
      </c>
      <c r="E2753" s="20" t="s">
        <v>104</v>
      </c>
      <c r="F2753" s="21">
        <v>38507.0</v>
      </c>
      <c r="G2753" s="14">
        <v>21.0</v>
      </c>
      <c r="H2753" s="23" t="s">
        <v>100</v>
      </c>
      <c r="I2753" s="24" t="s">
        <v>27</v>
      </c>
      <c r="J2753" s="19" t="s">
        <v>68</v>
      </c>
      <c r="K2753" s="14">
        <v>31.0</v>
      </c>
      <c r="L2753" s="7"/>
      <c r="M2753" s="7"/>
      <c r="N2753" s="7"/>
      <c r="O2753" s="7"/>
      <c r="P2753" s="7"/>
      <c r="Q2753" s="7"/>
      <c r="R2753" s="7"/>
      <c r="S2753" s="7"/>
      <c r="T2753" s="7"/>
      <c r="U2753" s="7"/>
      <c r="V2753" s="7"/>
      <c r="W2753" s="7"/>
      <c r="X2753" s="7"/>
      <c r="Y2753" s="7"/>
    </row>
    <row r="2754">
      <c r="A2754" s="14" t="s">
        <v>9928</v>
      </c>
      <c r="B2754" s="17" t="s">
        <v>9925</v>
      </c>
      <c r="C2754" s="17" t="s">
        <v>9929</v>
      </c>
      <c r="D2754" s="19" t="s">
        <v>9930</v>
      </c>
      <c r="E2754" s="20" t="s">
        <v>67</v>
      </c>
      <c r="F2754" s="21">
        <v>29922.0</v>
      </c>
      <c r="G2754" s="14">
        <v>44.0</v>
      </c>
      <c r="H2754" s="23" t="s">
        <v>26</v>
      </c>
      <c r="I2754" s="24" t="s">
        <v>27</v>
      </c>
      <c r="J2754" s="19" t="s">
        <v>68</v>
      </c>
      <c r="K2754" s="14">
        <v>31.0</v>
      </c>
      <c r="L2754" s="7"/>
      <c r="M2754" s="7"/>
      <c r="N2754" s="7"/>
      <c r="O2754" s="7"/>
      <c r="P2754" s="7"/>
      <c r="Q2754" s="7"/>
      <c r="R2754" s="7"/>
      <c r="S2754" s="7"/>
      <c r="T2754" s="7"/>
      <c r="U2754" s="7"/>
      <c r="V2754" s="7"/>
      <c r="W2754" s="7"/>
      <c r="X2754" s="7"/>
      <c r="Y2754" s="7"/>
    </row>
    <row r="2755">
      <c r="A2755" s="14" t="s">
        <v>9931</v>
      </c>
      <c r="B2755" s="17" t="s">
        <v>9925</v>
      </c>
      <c r="C2755" s="17" t="s">
        <v>9932</v>
      </c>
      <c r="D2755" s="19" t="s">
        <v>9933</v>
      </c>
      <c r="E2755" s="20" t="s">
        <v>67</v>
      </c>
      <c r="F2755" s="21">
        <v>26893.0</v>
      </c>
      <c r="G2755" s="14">
        <v>53.0</v>
      </c>
      <c r="H2755" s="23" t="s">
        <v>26</v>
      </c>
      <c r="I2755" s="24" t="s">
        <v>33</v>
      </c>
      <c r="J2755" s="19" t="s">
        <v>68</v>
      </c>
      <c r="K2755" s="14">
        <v>31.0</v>
      </c>
      <c r="L2755" s="7"/>
      <c r="M2755" s="7"/>
      <c r="N2755" s="7"/>
      <c r="O2755" s="7"/>
      <c r="P2755" s="7"/>
      <c r="Q2755" s="7"/>
      <c r="R2755" s="7"/>
      <c r="S2755" s="7"/>
      <c r="T2755" s="7"/>
      <c r="U2755" s="7"/>
      <c r="V2755" s="7"/>
      <c r="W2755" s="7"/>
      <c r="X2755" s="7"/>
      <c r="Y2755" s="7"/>
    </row>
    <row r="2756">
      <c r="A2756" s="14" t="s">
        <v>9934</v>
      </c>
      <c r="B2756" s="17" t="s">
        <v>9935</v>
      </c>
      <c r="C2756" s="17" t="s">
        <v>9936</v>
      </c>
      <c r="D2756" s="19" t="s">
        <v>9937</v>
      </c>
      <c r="E2756" s="20" t="s">
        <v>654</v>
      </c>
      <c r="F2756" s="27">
        <v>21104.0</v>
      </c>
      <c r="G2756" s="14">
        <v>68.0</v>
      </c>
      <c r="H2756" s="23" t="s">
        <v>26</v>
      </c>
      <c r="I2756" s="24" t="s">
        <v>33</v>
      </c>
      <c r="J2756" s="19" t="s">
        <v>9938</v>
      </c>
      <c r="K2756" s="14">
        <v>26.0</v>
      </c>
      <c r="L2756" s="7"/>
      <c r="M2756" s="7"/>
      <c r="N2756" s="7"/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</row>
    <row r="2757">
      <c r="A2757" s="14" t="s">
        <v>9939</v>
      </c>
      <c r="B2757" s="17" t="s">
        <v>9940</v>
      </c>
      <c r="C2757" s="17" t="s">
        <v>9941</v>
      </c>
      <c r="D2757" s="19" t="s">
        <v>9942</v>
      </c>
      <c r="E2757" s="20" t="s">
        <v>104</v>
      </c>
      <c r="F2757" s="21">
        <v>32278.0</v>
      </c>
      <c r="G2757" s="14">
        <v>38.0</v>
      </c>
      <c r="H2757" s="23" t="s">
        <v>26</v>
      </c>
      <c r="I2757" s="24" t="s">
        <v>33</v>
      </c>
      <c r="J2757" s="19" t="s">
        <v>68</v>
      </c>
      <c r="K2757" s="14">
        <v>32.0</v>
      </c>
      <c r="L2757" s="7"/>
      <c r="M2757" s="7"/>
      <c r="N2757" s="7"/>
      <c r="O2757" s="7"/>
      <c r="P2757" s="7"/>
      <c r="Q2757" s="7"/>
      <c r="R2757" s="7"/>
      <c r="S2757" s="7"/>
      <c r="T2757" s="7"/>
      <c r="U2757" s="7"/>
      <c r="V2757" s="7"/>
      <c r="W2757" s="7"/>
      <c r="X2757" s="7"/>
      <c r="Y2757" s="7"/>
    </row>
    <row r="2758">
      <c r="A2758" s="14" t="s">
        <v>9943</v>
      </c>
      <c r="B2758" s="17" t="s">
        <v>9940</v>
      </c>
      <c r="C2758" s="17" t="s">
        <v>9944</v>
      </c>
      <c r="D2758" s="19" t="s">
        <v>9945</v>
      </c>
      <c r="E2758" s="20" t="s">
        <v>104</v>
      </c>
      <c r="F2758" s="21">
        <v>33097.0</v>
      </c>
      <c r="G2758" s="14">
        <v>36.0</v>
      </c>
      <c r="H2758" s="23" t="s">
        <v>26</v>
      </c>
      <c r="I2758" s="24" t="s">
        <v>27</v>
      </c>
      <c r="J2758" s="19" t="s">
        <v>68</v>
      </c>
      <c r="K2758" s="14">
        <v>32.0</v>
      </c>
      <c r="L2758" s="7"/>
      <c r="M2758" s="7"/>
      <c r="N2758" s="7"/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7"/>
    </row>
    <row r="2759">
      <c r="A2759" s="14" t="s">
        <v>9946</v>
      </c>
      <c r="B2759" s="17" t="s">
        <v>9947</v>
      </c>
      <c r="C2759" s="17" t="s">
        <v>9948</v>
      </c>
      <c r="D2759" s="19" t="s">
        <v>9949</v>
      </c>
      <c r="E2759" s="20" t="s">
        <v>138</v>
      </c>
      <c r="F2759" s="21">
        <v>36364.0</v>
      </c>
      <c r="G2759" s="14">
        <v>27.0</v>
      </c>
      <c r="H2759" s="23" t="s">
        <v>26</v>
      </c>
      <c r="I2759" s="24" t="s">
        <v>27</v>
      </c>
      <c r="J2759" s="19" t="s">
        <v>282</v>
      </c>
      <c r="K2759" s="14">
        <v>17.0</v>
      </c>
      <c r="L2759" s="7"/>
      <c r="M2759" s="7"/>
      <c r="N2759" s="7"/>
      <c r="O2759" s="7"/>
      <c r="P2759" s="7"/>
      <c r="Q2759" s="7"/>
      <c r="R2759" s="7"/>
      <c r="S2759" s="7"/>
      <c r="T2759" s="7"/>
      <c r="U2759" s="7"/>
      <c r="V2759" s="7"/>
      <c r="W2759" s="7"/>
      <c r="X2759" s="7"/>
      <c r="Y2759" s="7"/>
    </row>
    <row r="2760">
      <c r="A2760" s="14" t="s">
        <v>9950</v>
      </c>
      <c r="B2760" s="17" t="s">
        <v>9947</v>
      </c>
      <c r="C2760" s="17" t="s">
        <v>9951</v>
      </c>
      <c r="D2760" s="19" t="s">
        <v>9952</v>
      </c>
      <c r="E2760" s="20" t="s">
        <v>9953</v>
      </c>
      <c r="F2760" s="21">
        <v>34831.0</v>
      </c>
      <c r="G2760" s="14">
        <v>31.0</v>
      </c>
      <c r="H2760" s="23" t="s">
        <v>26</v>
      </c>
      <c r="I2760" s="24" t="s">
        <v>33</v>
      </c>
      <c r="J2760" s="19" t="s">
        <v>282</v>
      </c>
      <c r="K2760" s="14">
        <v>17.0</v>
      </c>
      <c r="L2760" s="7"/>
      <c r="M2760" s="7"/>
      <c r="N2760" s="7"/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</row>
    <row r="2761">
      <c r="A2761" s="14" t="s">
        <v>9954</v>
      </c>
      <c r="B2761" s="17" t="s">
        <v>9955</v>
      </c>
      <c r="C2761" s="17" t="s">
        <v>9956</v>
      </c>
      <c r="D2761" s="19" t="s">
        <v>9957</v>
      </c>
      <c r="E2761" s="20" t="s">
        <v>104</v>
      </c>
      <c r="F2761" s="21">
        <v>37888.0</v>
      </c>
      <c r="G2761" s="14">
        <v>22.0</v>
      </c>
      <c r="H2761" s="23" t="s">
        <v>100</v>
      </c>
      <c r="I2761" s="24" t="s">
        <v>33</v>
      </c>
      <c r="J2761" s="19" t="s">
        <v>53</v>
      </c>
      <c r="K2761" s="14">
        <v>18.0</v>
      </c>
      <c r="L2761" s="7"/>
      <c r="M2761" s="7"/>
      <c r="N2761" s="7"/>
      <c r="O2761" s="7"/>
      <c r="P2761" s="7"/>
      <c r="Q2761" s="7"/>
      <c r="R2761" s="7"/>
      <c r="S2761" s="7"/>
      <c r="T2761" s="7"/>
      <c r="U2761" s="7"/>
      <c r="V2761" s="7"/>
      <c r="W2761" s="7"/>
      <c r="X2761" s="7"/>
      <c r="Y2761" s="7"/>
    </row>
    <row r="2762">
      <c r="A2762" s="14" t="s">
        <v>9958</v>
      </c>
      <c r="B2762" s="17" t="s">
        <v>9955</v>
      </c>
      <c r="C2762" s="17" t="s">
        <v>9959</v>
      </c>
      <c r="D2762" s="19" t="s">
        <v>9960</v>
      </c>
      <c r="E2762" s="20" t="s">
        <v>104</v>
      </c>
      <c r="F2762" s="21">
        <v>37450.0</v>
      </c>
      <c r="G2762" s="14">
        <v>24.0</v>
      </c>
      <c r="H2762" s="23" t="s">
        <v>100</v>
      </c>
      <c r="I2762" s="24" t="s">
        <v>27</v>
      </c>
      <c r="J2762" s="19" t="s">
        <v>53</v>
      </c>
      <c r="K2762" s="14">
        <v>18.0</v>
      </c>
      <c r="L2762" s="7"/>
      <c r="M2762" s="7"/>
      <c r="N2762" s="7"/>
      <c r="O2762" s="7"/>
      <c r="P2762" s="7"/>
      <c r="Q2762" s="7"/>
      <c r="R2762" s="7"/>
      <c r="S2762" s="7"/>
      <c r="T2762" s="7"/>
      <c r="U2762" s="7"/>
      <c r="V2762" s="7"/>
      <c r="W2762" s="7"/>
      <c r="X2762" s="7"/>
      <c r="Y2762" s="7"/>
    </row>
    <row r="2763">
      <c r="A2763" s="14" t="s">
        <v>9961</v>
      </c>
      <c r="B2763" s="17" t="s">
        <v>9955</v>
      </c>
      <c r="C2763" s="17" t="s">
        <v>9962</v>
      </c>
      <c r="D2763" s="19" t="s">
        <v>9963</v>
      </c>
      <c r="E2763" s="20" t="s">
        <v>654</v>
      </c>
      <c r="F2763" s="21">
        <v>24563.0</v>
      </c>
      <c r="G2763" s="14">
        <v>59.0</v>
      </c>
      <c r="H2763" s="23" t="s">
        <v>26</v>
      </c>
      <c r="I2763" s="24" t="s">
        <v>33</v>
      </c>
      <c r="J2763" s="19" t="s">
        <v>53</v>
      </c>
      <c r="K2763" s="14">
        <v>18.0</v>
      </c>
      <c r="L2763" s="7"/>
      <c r="M2763" s="7"/>
      <c r="N2763" s="7"/>
      <c r="O2763" s="7"/>
      <c r="P2763" s="7"/>
      <c r="Q2763" s="7"/>
      <c r="R2763" s="7"/>
      <c r="S2763" s="7"/>
      <c r="T2763" s="7"/>
      <c r="U2763" s="7"/>
      <c r="V2763" s="7"/>
      <c r="W2763" s="7"/>
      <c r="X2763" s="7"/>
      <c r="Y2763" s="7"/>
    </row>
    <row r="2764">
      <c r="A2764" s="14" t="s">
        <v>9964</v>
      </c>
      <c r="B2764" s="17" t="s">
        <v>9955</v>
      </c>
      <c r="C2764" s="17" t="s">
        <v>9965</v>
      </c>
      <c r="D2764" s="19" t="s">
        <v>9966</v>
      </c>
      <c r="E2764" s="20" t="s">
        <v>9967</v>
      </c>
      <c r="F2764" s="21">
        <v>26905.0</v>
      </c>
      <c r="G2764" s="14">
        <v>53.0</v>
      </c>
      <c r="H2764" s="23" t="s">
        <v>26</v>
      </c>
      <c r="I2764" s="24" t="s">
        <v>27</v>
      </c>
      <c r="J2764" s="19" t="s">
        <v>53</v>
      </c>
      <c r="K2764" s="14">
        <v>18.0</v>
      </c>
      <c r="L2764" s="7"/>
      <c r="M2764" s="7"/>
      <c r="N2764" s="7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</row>
    <row r="2765">
      <c r="A2765" s="14" t="s">
        <v>9968</v>
      </c>
      <c r="B2765" s="17" t="s">
        <v>9969</v>
      </c>
      <c r="C2765" s="17" t="s">
        <v>9970</v>
      </c>
      <c r="D2765" s="19" t="s">
        <v>9971</v>
      </c>
      <c r="E2765" s="20" t="s">
        <v>1049</v>
      </c>
      <c r="F2765" s="21">
        <v>18412.0</v>
      </c>
      <c r="G2765" s="14">
        <v>76.0</v>
      </c>
      <c r="H2765" s="23" t="s">
        <v>26</v>
      </c>
      <c r="I2765" s="24" t="s">
        <v>27</v>
      </c>
      <c r="J2765" s="19" t="s">
        <v>53</v>
      </c>
      <c r="K2765" s="14">
        <v>18.0</v>
      </c>
      <c r="L2765" s="7"/>
      <c r="M2765" s="7"/>
      <c r="N2765" s="7"/>
      <c r="O2765" s="7"/>
      <c r="P2765" s="7"/>
      <c r="Q2765" s="7"/>
      <c r="R2765" s="7"/>
      <c r="S2765" s="7"/>
      <c r="T2765" s="7"/>
      <c r="U2765" s="7"/>
      <c r="V2765" s="7"/>
      <c r="W2765" s="7"/>
      <c r="X2765" s="7"/>
      <c r="Y2765" s="7"/>
    </row>
    <row r="2766">
      <c r="A2766" s="14" t="s">
        <v>9972</v>
      </c>
      <c r="B2766" s="17" t="s">
        <v>9973</v>
      </c>
      <c r="C2766" s="17" t="s">
        <v>9974</v>
      </c>
      <c r="D2766" s="19" t="s">
        <v>9975</v>
      </c>
      <c r="E2766" s="20" t="s">
        <v>104</v>
      </c>
      <c r="F2766" s="21">
        <v>38076.0</v>
      </c>
      <c r="G2766" s="14">
        <v>22.0</v>
      </c>
      <c r="H2766" s="23" t="s">
        <v>100</v>
      </c>
      <c r="I2766" s="24" t="s">
        <v>33</v>
      </c>
      <c r="J2766" s="19" t="s">
        <v>53</v>
      </c>
      <c r="K2766" s="14">
        <v>3.0</v>
      </c>
      <c r="L2766" s="7"/>
      <c r="M2766" s="7"/>
      <c r="N2766" s="7"/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7"/>
    </row>
    <row r="2767">
      <c r="A2767" s="14" t="s">
        <v>9976</v>
      </c>
      <c r="B2767" s="17" t="s">
        <v>9973</v>
      </c>
      <c r="C2767" s="17" t="s">
        <v>9977</v>
      </c>
      <c r="D2767" s="19" t="s">
        <v>9978</v>
      </c>
      <c r="E2767" s="20" t="s">
        <v>434</v>
      </c>
      <c r="F2767" s="21">
        <v>27659.0</v>
      </c>
      <c r="G2767" s="14">
        <v>50.0</v>
      </c>
      <c r="H2767" s="23" t="s">
        <v>26</v>
      </c>
      <c r="I2767" s="24" t="s">
        <v>27</v>
      </c>
      <c r="J2767" s="19" t="s">
        <v>53</v>
      </c>
      <c r="K2767" s="14">
        <v>3.0</v>
      </c>
      <c r="L2767" s="7"/>
      <c r="M2767" s="7"/>
      <c r="N2767" s="7"/>
      <c r="O2767" s="7"/>
      <c r="P2767" s="7"/>
      <c r="Q2767" s="7"/>
      <c r="R2767" s="7"/>
      <c r="S2767" s="7"/>
      <c r="T2767" s="7"/>
      <c r="U2767" s="7"/>
      <c r="V2767" s="7"/>
      <c r="W2767" s="7"/>
      <c r="X2767" s="7"/>
      <c r="Y2767" s="7"/>
    </row>
    <row r="2768">
      <c r="A2768" s="14" t="s">
        <v>9979</v>
      </c>
      <c r="B2768" s="17" t="s">
        <v>9973</v>
      </c>
      <c r="C2768" s="17" t="s">
        <v>9980</v>
      </c>
      <c r="D2768" s="19" t="s">
        <v>2429</v>
      </c>
      <c r="E2768" s="20" t="s">
        <v>434</v>
      </c>
      <c r="F2768" s="21">
        <v>27301.0</v>
      </c>
      <c r="G2768" s="14">
        <v>51.0</v>
      </c>
      <c r="H2768" s="23" t="s">
        <v>26</v>
      </c>
      <c r="I2768" s="24" t="s">
        <v>33</v>
      </c>
      <c r="J2768" s="19" t="s">
        <v>53</v>
      </c>
      <c r="K2768" s="14">
        <v>3.0</v>
      </c>
      <c r="L2768" s="7"/>
      <c r="M2768" s="7"/>
      <c r="N2768" s="7"/>
      <c r="O2768" s="7"/>
      <c r="P2768" s="7"/>
      <c r="Q2768" s="7"/>
      <c r="R2768" s="7"/>
      <c r="S2768" s="7"/>
      <c r="T2768" s="7"/>
      <c r="U2768" s="7"/>
      <c r="V2768" s="7"/>
      <c r="W2768" s="7"/>
      <c r="X2768" s="7"/>
      <c r="Y2768" s="7"/>
    </row>
    <row r="2769">
      <c r="A2769" s="14" t="s">
        <v>9981</v>
      </c>
      <c r="B2769" s="17" t="s">
        <v>9982</v>
      </c>
      <c r="C2769" s="17" t="s">
        <v>9983</v>
      </c>
      <c r="D2769" s="19" t="s">
        <v>9397</v>
      </c>
      <c r="E2769" s="20" t="s">
        <v>290</v>
      </c>
      <c r="F2769" s="21">
        <v>23184.0</v>
      </c>
      <c r="G2769" s="14">
        <v>63.0</v>
      </c>
      <c r="H2769" s="23" t="s">
        <v>27</v>
      </c>
      <c r="I2769" s="24" t="s">
        <v>33</v>
      </c>
      <c r="J2769" s="19" t="s">
        <v>206</v>
      </c>
      <c r="K2769" s="14">
        <v>1.0</v>
      </c>
      <c r="L2769" s="7"/>
      <c r="M2769" s="7"/>
      <c r="N2769" s="7"/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7"/>
    </row>
    <row r="2770">
      <c r="A2770" s="14" t="s">
        <v>9984</v>
      </c>
      <c r="B2770" s="17" t="s">
        <v>9985</v>
      </c>
      <c r="C2770" s="17" t="s">
        <v>9986</v>
      </c>
      <c r="D2770" s="19" t="s">
        <v>9987</v>
      </c>
      <c r="E2770" s="20" t="s">
        <v>2079</v>
      </c>
      <c r="F2770" s="21">
        <v>34051.0</v>
      </c>
      <c r="G2770" s="14">
        <v>33.0</v>
      </c>
      <c r="H2770" s="23" t="s">
        <v>26</v>
      </c>
      <c r="I2770" s="24" t="s">
        <v>27</v>
      </c>
      <c r="J2770" s="19" t="s">
        <v>2196</v>
      </c>
      <c r="K2770" s="14">
        <v>17.0</v>
      </c>
      <c r="L2770" s="7"/>
      <c r="M2770" s="7"/>
      <c r="N2770" s="7"/>
      <c r="O2770" s="7"/>
      <c r="P2770" s="7"/>
      <c r="Q2770" s="7"/>
      <c r="R2770" s="7"/>
      <c r="S2770" s="7"/>
      <c r="T2770" s="7"/>
      <c r="U2770" s="7"/>
      <c r="V2770" s="7"/>
      <c r="W2770" s="7"/>
      <c r="X2770" s="7"/>
      <c r="Y2770" s="7"/>
    </row>
    <row r="2771">
      <c r="A2771" s="14" t="s">
        <v>9988</v>
      </c>
      <c r="B2771" s="17" t="s">
        <v>9989</v>
      </c>
      <c r="C2771" s="17" t="s">
        <v>9990</v>
      </c>
      <c r="D2771" s="19" t="s">
        <v>9991</v>
      </c>
      <c r="E2771" s="20" t="s">
        <v>104</v>
      </c>
      <c r="F2771" s="21">
        <v>29811.0</v>
      </c>
      <c r="G2771" s="14">
        <v>45.0</v>
      </c>
      <c r="H2771" s="23" t="s">
        <v>26</v>
      </c>
      <c r="I2771" s="24" t="s">
        <v>27</v>
      </c>
      <c r="J2771" s="19" t="s">
        <v>53</v>
      </c>
      <c r="K2771" s="14">
        <v>15.0</v>
      </c>
      <c r="L2771" s="7"/>
      <c r="M2771" s="7"/>
      <c r="N2771" s="7"/>
      <c r="O2771" s="7"/>
      <c r="P2771" s="7"/>
      <c r="Q2771" s="7"/>
      <c r="R2771" s="7"/>
      <c r="S2771" s="7"/>
      <c r="T2771" s="7"/>
      <c r="U2771" s="7"/>
      <c r="V2771" s="7"/>
      <c r="W2771" s="7"/>
      <c r="X2771" s="7"/>
      <c r="Y2771" s="7"/>
    </row>
    <row r="2772">
      <c r="A2772" s="14" t="s">
        <v>9992</v>
      </c>
      <c r="B2772" s="17" t="s">
        <v>9989</v>
      </c>
      <c r="C2772" s="17" t="s">
        <v>9993</v>
      </c>
      <c r="D2772" s="19" t="s">
        <v>9994</v>
      </c>
      <c r="E2772" s="20" t="s">
        <v>176</v>
      </c>
      <c r="F2772" s="21">
        <v>27988.0</v>
      </c>
      <c r="G2772" s="14">
        <v>50.0</v>
      </c>
      <c r="H2772" s="23" t="s">
        <v>26</v>
      </c>
      <c r="I2772" s="24" t="s">
        <v>33</v>
      </c>
      <c r="J2772" s="19" t="s">
        <v>53</v>
      </c>
      <c r="K2772" s="14">
        <v>15.0</v>
      </c>
      <c r="L2772" s="7"/>
      <c r="M2772" s="7"/>
      <c r="N2772" s="7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</row>
    <row r="2773">
      <c r="A2773" s="14" t="s">
        <v>9995</v>
      </c>
      <c r="B2773" s="17" t="s">
        <v>9989</v>
      </c>
      <c r="C2773" s="17" t="s">
        <v>9996</v>
      </c>
      <c r="D2773" s="19" t="s">
        <v>9997</v>
      </c>
      <c r="E2773" s="20" t="s">
        <v>195</v>
      </c>
      <c r="F2773" s="21">
        <v>38766.0</v>
      </c>
      <c r="G2773" s="14">
        <v>20.0</v>
      </c>
      <c r="H2773" s="23" t="s">
        <v>100</v>
      </c>
      <c r="I2773" s="24" t="s">
        <v>33</v>
      </c>
      <c r="J2773" s="19" t="s">
        <v>53</v>
      </c>
      <c r="K2773" s="14">
        <v>15.0</v>
      </c>
      <c r="L2773" s="7"/>
      <c r="M2773" s="7"/>
      <c r="N2773" s="7"/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7"/>
    </row>
    <row r="2774">
      <c r="A2774" s="14" t="s">
        <v>9998</v>
      </c>
      <c r="B2774" s="17" t="s">
        <v>9989</v>
      </c>
      <c r="C2774" s="17" t="s">
        <v>9999</v>
      </c>
      <c r="D2774" s="19" t="s">
        <v>10000</v>
      </c>
      <c r="E2774" s="20" t="s">
        <v>195</v>
      </c>
      <c r="F2774" s="21">
        <v>37873.0</v>
      </c>
      <c r="G2774" s="14">
        <v>22.0</v>
      </c>
      <c r="H2774" s="23" t="s">
        <v>100</v>
      </c>
      <c r="I2774" s="24" t="s">
        <v>33</v>
      </c>
      <c r="J2774" s="19" t="s">
        <v>53</v>
      </c>
      <c r="K2774" s="14">
        <v>15.0</v>
      </c>
      <c r="L2774" s="7"/>
      <c r="M2774" s="7"/>
      <c r="N2774" s="7"/>
      <c r="O2774" s="7"/>
      <c r="P2774" s="7"/>
      <c r="Q2774" s="7"/>
      <c r="R2774" s="7"/>
      <c r="S2774" s="7"/>
      <c r="T2774" s="7"/>
      <c r="U2774" s="7"/>
      <c r="V2774" s="7"/>
      <c r="W2774" s="7"/>
      <c r="X2774" s="7"/>
      <c r="Y2774" s="7"/>
    </row>
    <row r="2775">
      <c r="A2775" s="14" t="s">
        <v>10001</v>
      </c>
      <c r="B2775" s="17" t="s">
        <v>10002</v>
      </c>
      <c r="C2775" s="17" t="s">
        <v>10003</v>
      </c>
      <c r="D2775" s="19" t="s">
        <v>10004</v>
      </c>
      <c r="E2775" s="20" t="s">
        <v>544</v>
      </c>
      <c r="F2775" s="21">
        <v>24972.0</v>
      </c>
      <c r="G2775" s="14">
        <v>58.0</v>
      </c>
      <c r="H2775" s="23" t="s">
        <v>26</v>
      </c>
      <c r="I2775" s="24" t="s">
        <v>33</v>
      </c>
      <c r="J2775" s="19" t="s">
        <v>58</v>
      </c>
      <c r="K2775" s="14">
        <v>7.0</v>
      </c>
      <c r="L2775" s="7"/>
      <c r="M2775" s="7"/>
      <c r="N2775" s="7"/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7"/>
    </row>
    <row r="2776">
      <c r="A2776" s="14" t="s">
        <v>10005</v>
      </c>
      <c r="B2776" s="17" t="s">
        <v>10002</v>
      </c>
      <c r="C2776" s="17" t="s">
        <v>10006</v>
      </c>
      <c r="D2776" s="19" t="s">
        <v>10007</v>
      </c>
      <c r="E2776" s="20" t="s">
        <v>1870</v>
      </c>
      <c r="F2776" s="21">
        <v>38358.0</v>
      </c>
      <c r="G2776" s="14">
        <v>21.0</v>
      </c>
      <c r="H2776" s="23" t="s">
        <v>100</v>
      </c>
      <c r="I2776" s="24" t="s">
        <v>27</v>
      </c>
      <c r="J2776" s="19" t="s">
        <v>58</v>
      </c>
      <c r="K2776" s="14">
        <v>7.0</v>
      </c>
      <c r="L2776" s="7"/>
      <c r="M2776" s="7"/>
      <c r="N2776" s="7"/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7"/>
    </row>
    <row r="2777">
      <c r="A2777" s="14" t="s">
        <v>10008</v>
      </c>
      <c r="B2777" s="17" t="s">
        <v>10002</v>
      </c>
      <c r="C2777" s="17" t="s">
        <v>10009</v>
      </c>
      <c r="D2777" s="19" t="s">
        <v>10010</v>
      </c>
      <c r="E2777" s="20" t="s">
        <v>3552</v>
      </c>
      <c r="F2777" s="21">
        <v>25734.0</v>
      </c>
      <c r="G2777" s="14">
        <v>56.0</v>
      </c>
      <c r="H2777" s="23" t="s">
        <v>26</v>
      </c>
      <c r="I2777" s="24" t="s">
        <v>27</v>
      </c>
      <c r="J2777" s="19" t="s">
        <v>58</v>
      </c>
      <c r="K2777" s="14">
        <v>7.0</v>
      </c>
      <c r="L2777" s="7"/>
      <c r="M2777" s="7"/>
      <c r="N2777" s="7"/>
      <c r="O2777" s="7"/>
      <c r="P2777" s="7"/>
      <c r="Q2777" s="7"/>
      <c r="R2777" s="7"/>
      <c r="S2777" s="7"/>
      <c r="T2777" s="7"/>
      <c r="U2777" s="7"/>
      <c r="V2777" s="7"/>
      <c r="W2777" s="7"/>
      <c r="X2777" s="7"/>
      <c r="Y2777" s="7"/>
    </row>
    <row r="2778">
      <c r="A2778" s="14" t="s">
        <v>10011</v>
      </c>
      <c r="B2778" s="17" t="s">
        <v>10012</v>
      </c>
      <c r="C2778" s="17" t="s">
        <v>10013</v>
      </c>
      <c r="D2778" s="19" t="s">
        <v>10014</v>
      </c>
      <c r="E2778" s="20" t="s">
        <v>10015</v>
      </c>
      <c r="F2778" s="21">
        <v>39129.0</v>
      </c>
      <c r="G2778" s="14">
        <v>19.0</v>
      </c>
      <c r="H2778" s="23" t="s">
        <v>100</v>
      </c>
      <c r="I2778" s="24" t="s">
        <v>33</v>
      </c>
      <c r="J2778" s="19" t="s">
        <v>3387</v>
      </c>
      <c r="K2778" s="14">
        <v>7.0</v>
      </c>
      <c r="L2778" s="7"/>
      <c r="M2778" s="7"/>
      <c r="N2778" s="7"/>
      <c r="O2778" s="7"/>
      <c r="P2778" s="7"/>
      <c r="Q2778" s="7"/>
      <c r="R2778" s="7"/>
      <c r="S2778" s="7"/>
      <c r="T2778" s="7"/>
      <c r="U2778" s="7"/>
      <c r="V2778" s="7"/>
      <c r="W2778" s="7"/>
      <c r="X2778" s="7"/>
      <c r="Y2778" s="7"/>
    </row>
    <row r="2779">
      <c r="A2779" s="14" t="s">
        <v>10016</v>
      </c>
      <c r="B2779" s="17" t="s">
        <v>10012</v>
      </c>
      <c r="C2779" s="17" t="s">
        <v>10017</v>
      </c>
      <c r="D2779" s="19" t="s">
        <v>9601</v>
      </c>
      <c r="E2779" s="20" t="s">
        <v>187</v>
      </c>
      <c r="F2779" s="21">
        <v>28987.0</v>
      </c>
      <c r="G2779" s="14">
        <v>47.0</v>
      </c>
      <c r="H2779" s="23" t="s">
        <v>26</v>
      </c>
      <c r="I2779" s="24" t="s">
        <v>27</v>
      </c>
      <c r="J2779" s="19" t="s">
        <v>3387</v>
      </c>
      <c r="K2779" s="14">
        <v>7.0</v>
      </c>
      <c r="L2779" s="7"/>
      <c r="M2779" s="7"/>
      <c r="N2779" s="7"/>
      <c r="O2779" s="7"/>
      <c r="P2779" s="7"/>
      <c r="Q2779" s="7"/>
      <c r="R2779" s="7"/>
      <c r="S2779" s="7"/>
      <c r="T2779" s="7"/>
      <c r="U2779" s="7"/>
      <c r="V2779" s="7"/>
      <c r="W2779" s="7"/>
      <c r="X2779" s="7"/>
      <c r="Y2779" s="7"/>
    </row>
    <row r="2780">
      <c r="A2780" s="14" t="s">
        <v>10018</v>
      </c>
      <c r="B2780" s="17" t="s">
        <v>10012</v>
      </c>
      <c r="C2780" s="17" t="s">
        <v>10019</v>
      </c>
      <c r="D2780" s="19" t="s">
        <v>10020</v>
      </c>
      <c r="E2780" s="20" t="s">
        <v>10015</v>
      </c>
      <c r="F2780" s="27">
        <v>26991.0</v>
      </c>
      <c r="G2780" s="14">
        <v>52.0</v>
      </c>
      <c r="H2780" s="23" t="s">
        <v>26</v>
      </c>
      <c r="I2780" s="24" t="s">
        <v>33</v>
      </c>
      <c r="J2780" s="19" t="s">
        <v>3387</v>
      </c>
      <c r="K2780" s="14">
        <v>7.0</v>
      </c>
      <c r="L2780" s="7"/>
      <c r="M2780" s="7"/>
      <c r="N2780" s="7"/>
      <c r="O2780" s="7"/>
      <c r="P2780" s="7"/>
      <c r="Q2780" s="7"/>
      <c r="R2780" s="7"/>
      <c r="S2780" s="7"/>
      <c r="T2780" s="7"/>
      <c r="U2780" s="7"/>
      <c r="V2780" s="7"/>
      <c r="W2780" s="7"/>
      <c r="X2780" s="7"/>
      <c r="Y2780" s="7"/>
    </row>
    <row r="2781">
      <c r="A2781" s="14" t="s">
        <v>10021</v>
      </c>
      <c r="B2781" s="17" t="s">
        <v>10022</v>
      </c>
      <c r="C2781" s="17" t="s">
        <v>10023</v>
      </c>
      <c r="D2781" s="19" t="s">
        <v>10024</v>
      </c>
      <c r="E2781" s="20" t="s">
        <v>53</v>
      </c>
      <c r="F2781" s="21">
        <v>37172.0</v>
      </c>
      <c r="G2781" s="14">
        <v>24.0</v>
      </c>
      <c r="H2781" s="23" t="s">
        <v>100</v>
      </c>
      <c r="I2781" s="24" t="s">
        <v>27</v>
      </c>
      <c r="J2781" s="19" t="s">
        <v>58</v>
      </c>
      <c r="K2781" s="14">
        <v>6.0</v>
      </c>
      <c r="L2781" s="7"/>
      <c r="M2781" s="7"/>
      <c r="N2781" s="7"/>
      <c r="O2781" s="7"/>
      <c r="P2781" s="7"/>
      <c r="Q2781" s="7"/>
      <c r="R2781" s="7"/>
      <c r="S2781" s="7"/>
      <c r="T2781" s="7"/>
      <c r="U2781" s="7"/>
      <c r="V2781" s="7"/>
      <c r="W2781" s="7"/>
      <c r="X2781" s="7"/>
      <c r="Y2781" s="7"/>
    </row>
    <row r="2782">
      <c r="A2782" s="14" t="s">
        <v>10025</v>
      </c>
      <c r="B2782" s="17" t="s">
        <v>10022</v>
      </c>
      <c r="C2782" s="17" t="s">
        <v>10026</v>
      </c>
      <c r="D2782" s="19" t="s">
        <v>10027</v>
      </c>
      <c r="E2782" s="20" t="s">
        <v>104</v>
      </c>
      <c r="F2782" s="21">
        <v>29389.0</v>
      </c>
      <c r="G2782" s="14">
        <v>46.0</v>
      </c>
      <c r="H2782" s="23" t="s">
        <v>26</v>
      </c>
      <c r="I2782" s="24" t="s">
        <v>27</v>
      </c>
      <c r="J2782" s="19" t="s">
        <v>58</v>
      </c>
      <c r="K2782" s="14">
        <v>6.0</v>
      </c>
      <c r="L2782" s="7"/>
      <c r="M2782" s="7"/>
      <c r="N2782" s="7"/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7"/>
    </row>
    <row r="2783">
      <c r="A2783" s="14" t="s">
        <v>10028</v>
      </c>
      <c r="B2783" s="17" t="s">
        <v>10022</v>
      </c>
      <c r="C2783" s="17" t="s">
        <v>10029</v>
      </c>
      <c r="D2783" s="19" t="s">
        <v>10030</v>
      </c>
      <c r="E2783" s="20" t="s">
        <v>5389</v>
      </c>
      <c r="F2783" s="21">
        <v>28745.0</v>
      </c>
      <c r="G2783" s="14">
        <v>47.0</v>
      </c>
      <c r="H2783" s="23" t="s">
        <v>26</v>
      </c>
      <c r="I2783" s="24" t="s">
        <v>33</v>
      </c>
      <c r="J2783" s="19" t="s">
        <v>58</v>
      </c>
      <c r="K2783" s="14">
        <v>6.0</v>
      </c>
      <c r="L2783" s="7"/>
      <c r="M2783" s="7"/>
      <c r="N2783" s="7"/>
      <c r="O2783" s="7"/>
      <c r="P2783" s="7"/>
      <c r="Q2783" s="7"/>
      <c r="R2783" s="7"/>
      <c r="S2783" s="7"/>
      <c r="T2783" s="7"/>
      <c r="U2783" s="7"/>
      <c r="V2783" s="7"/>
      <c r="W2783" s="7"/>
      <c r="X2783" s="7"/>
      <c r="Y2783" s="7"/>
    </row>
    <row r="2784">
      <c r="A2784" s="14" t="s">
        <v>10031</v>
      </c>
      <c r="B2784" s="17" t="s">
        <v>10032</v>
      </c>
      <c r="C2784" s="17" t="s">
        <v>10033</v>
      </c>
      <c r="D2784" s="19" t="s">
        <v>10034</v>
      </c>
      <c r="E2784" s="20" t="s">
        <v>632</v>
      </c>
      <c r="F2784" s="21">
        <v>26820.0</v>
      </c>
      <c r="G2784" s="14">
        <v>53.0</v>
      </c>
      <c r="H2784" s="23" t="s">
        <v>26</v>
      </c>
      <c r="I2784" s="24" t="s">
        <v>27</v>
      </c>
      <c r="J2784" s="19" t="s">
        <v>206</v>
      </c>
      <c r="K2784" s="14">
        <v>2.0</v>
      </c>
      <c r="L2784" s="7"/>
      <c r="M2784" s="7"/>
      <c r="N2784" s="7"/>
      <c r="O2784" s="7"/>
      <c r="P2784" s="7"/>
      <c r="Q2784" s="7"/>
      <c r="R2784" s="7"/>
      <c r="S2784" s="7"/>
      <c r="T2784" s="7"/>
      <c r="U2784" s="7"/>
      <c r="V2784" s="7"/>
      <c r="W2784" s="7"/>
      <c r="X2784" s="7"/>
      <c r="Y2784" s="7"/>
    </row>
    <row r="2785">
      <c r="A2785" s="14" t="s">
        <v>10035</v>
      </c>
      <c r="B2785" s="17" t="s">
        <v>10032</v>
      </c>
      <c r="C2785" s="17" t="s">
        <v>10036</v>
      </c>
      <c r="D2785" s="19" t="s">
        <v>10037</v>
      </c>
      <c r="E2785" s="20" t="s">
        <v>880</v>
      </c>
      <c r="F2785" s="21">
        <v>25715.0</v>
      </c>
      <c r="G2785" s="14">
        <v>56.0</v>
      </c>
      <c r="H2785" s="23" t="s">
        <v>26</v>
      </c>
      <c r="I2785" s="24" t="s">
        <v>33</v>
      </c>
      <c r="J2785" s="19" t="s">
        <v>206</v>
      </c>
      <c r="K2785" s="14">
        <v>2.0</v>
      </c>
      <c r="L2785" s="7"/>
      <c r="M2785" s="7"/>
      <c r="N2785" s="7"/>
      <c r="O2785" s="7"/>
      <c r="P2785" s="7"/>
      <c r="Q2785" s="7"/>
      <c r="R2785" s="7"/>
      <c r="S2785" s="7"/>
      <c r="T2785" s="7"/>
      <c r="U2785" s="7"/>
      <c r="V2785" s="7"/>
      <c r="W2785" s="7"/>
      <c r="X2785" s="7"/>
      <c r="Y2785" s="7"/>
    </row>
    <row r="2786">
      <c r="A2786" s="14" t="s">
        <v>10038</v>
      </c>
      <c r="B2786" s="17" t="s">
        <v>10039</v>
      </c>
      <c r="C2786" s="17" t="s">
        <v>10040</v>
      </c>
      <c r="D2786" s="19" t="s">
        <v>10041</v>
      </c>
      <c r="E2786" s="20" t="s">
        <v>112</v>
      </c>
      <c r="F2786" s="27">
        <v>28118.0</v>
      </c>
      <c r="G2786" s="14">
        <v>49.0</v>
      </c>
      <c r="H2786" s="23" t="s">
        <v>26</v>
      </c>
      <c r="I2786" s="24" t="s">
        <v>33</v>
      </c>
      <c r="J2786" s="19" t="s">
        <v>206</v>
      </c>
      <c r="K2786" s="14">
        <v>9.0</v>
      </c>
      <c r="L2786" s="7"/>
      <c r="M2786" s="7"/>
      <c r="N2786" s="7"/>
      <c r="O2786" s="7"/>
      <c r="P2786" s="7"/>
      <c r="Q2786" s="7"/>
      <c r="R2786" s="7"/>
      <c r="S2786" s="7"/>
      <c r="T2786" s="7"/>
      <c r="U2786" s="7"/>
      <c r="V2786" s="7"/>
      <c r="W2786" s="7"/>
      <c r="X2786" s="7"/>
      <c r="Y2786" s="7"/>
    </row>
    <row r="2787">
      <c r="A2787" s="14" t="s">
        <v>10042</v>
      </c>
      <c r="B2787" s="17" t="s">
        <v>10039</v>
      </c>
      <c r="C2787" s="17" t="s">
        <v>10043</v>
      </c>
      <c r="D2787" s="19" t="s">
        <v>3966</v>
      </c>
      <c r="E2787" s="20" t="s">
        <v>104</v>
      </c>
      <c r="F2787" s="27">
        <v>32477.0</v>
      </c>
      <c r="G2787" s="14">
        <v>37.0</v>
      </c>
      <c r="H2787" s="23" t="s">
        <v>26</v>
      </c>
      <c r="I2787" s="24" t="s">
        <v>27</v>
      </c>
      <c r="J2787" s="19" t="s">
        <v>206</v>
      </c>
      <c r="K2787" s="14">
        <v>9.0</v>
      </c>
      <c r="L2787" s="7"/>
      <c r="M2787" s="7"/>
      <c r="N2787" s="7"/>
      <c r="O2787" s="7"/>
      <c r="P2787" s="7"/>
      <c r="Q2787" s="7"/>
      <c r="R2787" s="7"/>
      <c r="S2787" s="7"/>
      <c r="T2787" s="7"/>
      <c r="U2787" s="7"/>
      <c r="V2787" s="7"/>
      <c r="W2787" s="7"/>
      <c r="X2787" s="7"/>
      <c r="Y2787" s="7"/>
    </row>
    <row r="2788">
      <c r="A2788" s="14" t="s">
        <v>10044</v>
      </c>
      <c r="B2788" s="17" t="s">
        <v>10045</v>
      </c>
      <c r="C2788" s="17" t="s">
        <v>10046</v>
      </c>
      <c r="D2788" s="19" t="s">
        <v>10047</v>
      </c>
      <c r="E2788" s="20" t="s">
        <v>104</v>
      </c>
      <c r="F2788" s="21">
        <v>38942.0</v>
      </c>
      <c r="G2788" s="14">
        <v>20.0</v>
      </c>
      <c r="H2788" s="23" t="s">
        <v>100</v>
      </c>
      <c r="I2788" s="24" t="s">
        <v>33</v>
      </c>
      <c r="J2788" s="19" t="s">
        <v>726</v>
      </c>
      <c r="K2788" s="14">
        <v>15.0</v>
      </c>
      <c r="L2788" s="7"/>
      <c r="M2788" s="7"/>
      <c r="N2788" s="7"/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</row>
    <row r="2789">
      <c r="A2789" s="14" t="s">
        <v>10048</v>
      </c>
      <c r="B2789" s="17" t="s">
        <v>10045</v>
      </c>
      <c r="C2789" s="17" t="s">
        <v>10049</v>
      </c>
      <c r="D2789" s="19" t="s">
        <v>3759</v>
      </c>
      <c r="E2789" s="20" t="s">
        <v>104</v>
      </c>
      <c r="F2789" s="21">
        <v>30891.0</v>
      </c>
      <c r="G2789" s="14">
        <v>42.0</v>
      </c>
      <c r="H2789" s="23" t="s">
        <v>26</v>
      </c>
      <c r="I2789" s="24" t="s">
        <v>27</v>
      </c>
      <c r="J2789" s="19" t="s">
        <v>726</v>
      </c>
      <c r="K2789" s="14">
        <v>15.0</v>
      </c>
      <c r="L2789" s="7"/>
      <c r="M2789" s="7"/>
      <c r="N2789" s="7"/>
      <c r="O2789" s="7"/>
      <c r="P2789" s="7"/>
      <c r="Q2789" s="7"/>
      <c r="R2789" s="7"/>
      <c r="S2789" s="7"/>
      <c r="T2789" s="7"/>
      <c r="U2789" s="7"/>
      <c r="V2789" s="7"/>
      <c r="W2789" s="7"/>
      <c r="X2789" s="7"/>
      <c r="Y2789" s="7"/>
    </row>
    <row r="2790">
      <c r="A2790" s="14" t="s">
        <v>10050</v>
      </c>
      <c r="B2790" s="17" t="s">
        <v>10045</v>
      </c>
      <c r="C2790" s="17" t="s">
        <v>10051</v>
      </c>
      <c r="D2790" s="19" t="s">
        <v>10052</v>
      </c>
      <c r="E2790" s="20" t="s">
        <v>210</v>
      </c>
      <c r="F2790" s="21">
        <v>29759.0</v>
      </c>
      <c r="G2790" s="14">
        <v>45.0</v>
      </c>
      <c r="H2790" s="23" t="s">
        <v>26</v>
      </c>
      <c r="I2790" s="24" t="s">
        <v>33</v>
      </c>
      <c r="J2790" s="19" t="s">
        <v>726</v>
      </c>
      <c r="K2790" s="14">
        <v>15.0</v>
      </c>
      <c r="L2790" s="7"/>
      <c r="M2790" s="7"/>
      <c r="N2790" s="7"/>
      <c r="O2790" s="7"/>
      <c r="P2790" s="7"/>
      <c r="Q2790" s="7"/>
      <c r="R2790" s="7"/>
      <c r="S2790" s="7"/>
      <c r="T2790" s="7"/>
      <c r="U2790" s="7"/>
      <c r="V2790" s="7"/>
      <c r="W2790" s="7"/>
      <c r="X2790" s="7"/>
      <c r="Y2790" s="7"/>
    </row>
    <row r="2791">
      <c r="A2791" s="14" t="s">
        <v>10053</v>
      </c>
      <c r="B2791" s="17" t="s">
        <v>10054</v>
      </c>
      <c r="C2791" s="17" t="s">
        <v>10055</v>
      </c>
      <c r="D2791" s="19" t="s">
        <v>10056</v>
      </c>
      <c r="E2791" s="20" t="s">
        <v>53</v>
      </c>
      <c r="F2791" s="21">
        <v>38080.0</v>
      </c>
      <c r="G2791" s="14">
        <v>22.0</v>
      </c>
      <c r="H2791" s="23" t="s">
        <v>100</v>
      </c>
      <c r="I2791" s="24" t="s">
        <v>27</v>
      </c>
      <c r="J2791" s="19" t="s">
        <v>282</v>
      </c>
      <c r="K2791" s="14">
        <v>11.0</v>
      </c>
      <c r="L2791" s="7"/>
      <c r="M2791" s="7"/>
      <c r="N2791" s="7"/>
      <c r="O2791" s="7"/>
      <c r="P2791" s="7"/>
      <c r="Q2791" s="7"/>
      <c r="R2791" s="7"/>
      <c r="S2791" s="7"/>
      <c r="T2791" s="7"/>
      <c r="U2791" s="7"/>
      <c r="V2791" s="7"/>
      <c r="W2791" s="7"/>
      <c r="X2791" s="7"/>
      <c r="Y2791" s="7"/>
    </row>
    <row r="2792">
      <c r="A2792" s="14" t="s">
        <v>10057</v>
      </c>
      <c r="B2792" s="17" t="s">
        <v>10054</v>
      </c>
      <c r="C2792" s="17" t="s">
        <v>10058</v>
      </c>
      <c r="D2792" s="19" t="s">
        <v>6661</v>
      </c>
      <c r="E2792" s="20" t="s">
        <v>53</v>
      </c>
      <c r="F2792" s="21">
        <v>29057.0</v>
      </c>
      <c r="G2792" s="14">
        <v>47.0</v>
      </c>
      <c r="H2792" s="23" t="s">
        <v>27</v>
      </c>
      <c r="I2792" s="24" t="s">
        <v>27</v>
      </c>
      <c r="J2792" s="19" t="s">
        <v>282</v>
      </c>
      <c r="K2792" s="14">
        <v>11.0</v>
      </c>
      <c r="L2792" s="7"/>
      <c r="M2792" s="7"/>
      <c r="N2792" s="7"/>
      <c r="O2792" s="7"/>
      <c r="P2792" s="7"/>
      <c r="Q2792" s="7"/>
      <c r="R2792" s="7"/>
      <c r="S2792" s="7"/>
      <c r="T2792" s="7"/>
      <c r="U2792" s="7"/>
      <c r="V2792" s="7"/>
      <c r="W2792" s="7"/>
      <c r="X2792" s="7"/>
      <c r="Y2792" s="7"/>
    </row>
    <row r="2793">
      <c r="A2793" s="14" t="s">
        <v>10059</v>
      </c>
      <c r="B2793" s="17" t="s">
        <v>10060</v>
      </c>
      <c r="C2793" s="17" t="s">
        <v>10061</v>
      </c>
      <c r="D2793" s="19" t="s">
        <v>1549</v>
      </c>
      <c r="E2793" s="20" t="s">
        <v>1058</v>
      </c>
      <c r="F2793" s="21">
        <v>23479.0</v>
      </c>
      <c r="G2793" s="14">
        <v>62.0</v>
      </c>
      <c r="H2793" s="23" t="s">
        <v>26</v>
      </c>
      <c r="I2793" s="24" t="s">
        <v>27</v>
      </c>
      <c r="J2793" s="19" t="s">
        <v>282</v>
      </c>
      <c r="K2793" s="14">
        <v>14.0</v>
      </c>
      <c r="L2793" s="7"/>
      <c r="M2793" s="7"/>
      <c r="N2793" s="7"/>
      <c r="O2793" s="7"/>
      <c r="P2793" s="7"/>
      <c r="Q2793" s="7"/>
      <c r="R2793" s="7"/>
      <c r="S2793" s="7"/>
      <c r="T2793" s="7"/>
      <c r="U2793" s="7"/>
      <c r="V2793" s="7"/>
      <c r="W2793" s="7"/>
      <c r="X2793" s="7"/>
      <c r="Y2793" s="7"/>
    </row>
    <row r="2794">
      <c r="A2794" s="14" t="s">
        <v>10062</v>
      </c>
      <c r="B2794" s="17" t="s">
        <v>10060</v>
      </c>
      <c r="C2794" s="17" t="s">
        <v>10063</v>
      </c>
      <c r="D2794" s="19" t="s">
        <v>10064</v>
      </c>
      <c r="E2794" s="20" t="s">
        <v>1058</v>
      </c>
      <c r="F2794" s="21">
        <v>22809.0</v>
      </c>
      <c r="G2794" s="14">
        <v>64.0</v>
      </c>
      <c r="H2794" s="23" t="s">
        <v>26</v>
      </c>
      <c r="I2794" s="24" t="s">
        <v>33</v>
      </c>
      <c r="J2794" s="19" t="s">
        <v>282</v>
      </c>
      <c r="K2794" s="14">
        <v>14.0</v>
      </c>
      <c r="L2794" s="7"/>
      <c r="M2794" s="7"/>
      <c r="N2794" s="7"/>
      <c r="O2794" s="7"/>
      <c r="P2794" s="7"/>
      <c r="Q2794" s="7"/>
      <c r="R2794" s="7"/>
      <c r="S2794" s="7"/>
      <c r="T2794" s="7"/>
      <c r="U2794" s="7"/>
      <c r="V2794" s="7"/>
      <c r="W2794" s="7"/>
      <c r="X2794" s="7"/>
      <c r="Y2794" s="7"/>
    </row>
    <row r="2795">
      <c r="A2795" s="14" t="s">
        <v>10065</v>
      </c>
      <c r="B2795" s="17" t="s">
        <v>10066</v>
      </c>
      <c r="C2795" s="17" t="s">
        <v>10067</v>
      </c>
      <c r="D2795" s="19" t="s">
        <v>10068</v>
      </c>
      <c r="E2795" s="20" t="s">
        <v>67</v>
      </c>
      <c r="F2795" s="27">
        <v>26644.0</v>
      </c>
      <c r="G2795" s="14">
        <v>53.0</v>
      </c>
      <c r="H2795" s="23" t="s">
        <v>26</v>
      </c>
      <c r="I2795" s="24" t="s">
        <v>33</v>
      </c>
      <c r="J2795" s="19" t="s">
        <v>282</v>
      </c>
      <c r="K2795" s="14">
        <v>14.0</v>
      </c>
      <c r="L2795" s="7"/>
      <c r="M2795" s="7"/>
      <c r="N2795" s="7"/>
      <c r="O2795" s="7"/>
      <c r="P2795" s="7"/>
      <c r="Q2795" s="7"/>
      <c r="R2795" s="7"/>
      <c r="S2795" s="7"/>
      <c r="T2795" s="7"/>
      <c r="U2795" s="7"/>
      <c r="V2795" s="7"/>
      <c r="W2795" s="7"/>
      <c r="X2795" s="7"/>
      <c r="Y2795" s="7"/>
    </row>
    <row r="2796">
      <c r="A2796" s="14" t="s">
        <v>10069</v>
      </c>
      <c r="B2796" s="17" t="s">
        <v>10066</v>
      </c>
      <c r="C2796" s="17" t="s">
        <v>10070</v>
      </c>
      <c r="D2796" s="19" t="s">
        <v>10071</v>
      </c>
      <c r="E2796" s="20" t="s">
        <v>104</v>
      </c>
      <c r="F2796" s="21">
        <v>38903.0</v>
      </c>
      <c r="G2796" s="14">
        <v>20.0</v>
      </c>
      <c r="H2796" s="23" t="s">
        <v>100</v>
      </c>
      <c r="I2796" s="24" t="s">
        <v>33</v>
      </c>
      <c r="J2796" s="19" t="s">
        <v>282</v>
      </c>
      <c r="K2796" s="14">
        <v>14.0</v>
      </c>
      <c r="L2796" s="7"/>
      <c r="M2796" s="7"/>
      <c r="N2796" s="7"/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7"/>
    </row>
    <row r="2797">
      <c r="A2797" s="14" t="s">
        <v>10072</v>
      </c>
      <c r="B2797" s="17" t="s">
        <v>10066</v>
      </c>
      <c r="C2797" s="17" t="s">
        <v>10073</v>
      </c>
      <c r="D2797" s="19" t="s">
        <v>1494</v>
      </c>
      <c r="E2797" s="20" t="s">
        <v>104</v>
      </c>
      <c r="F2797" s="21">
        <v>29063.0</v>
      </c>
      <c r="G2797" s="14">
        <v>47.0</v>
      </c>
      <c r="H2797" s="23" t="s">
        <v>26</v>
      </c>
      <c r="I2797" s="24" t="s">
        <v>27</v>
      </c>
      <c r="J2797" s="19" t="s">
        <v>3592</v>
      </c>
      <c r="K2797" s="14">
        <v>16.0</v>
      </c>
      <c r="L2797" s="7"/>
      <c r="M2797" s="7"/>
      <c r="N2797" s="7"/>
      <c r="O2797" s="7"/>
      <c r="P2797" s="7"/>
      <c r="Q2797" s="7"/>
      <c r="R2797" s="7"/>
      <c r="S2797" s="7"/>
      <c r="T2797" s="7"/>
      <c r="U2797" s="7"/>
      <c r="V2797" s="7"/>
      <c r="W2797" s="7"/>
      <c r="X2797" s="7"/>
      <c r="Y2797" s="7"/>
    </row>
    <row r="2798">
      <c r="A2798" s="14" t="s">
        <v>10074</v>
      </c>
      <c r="B2798" s="17" t="s">
        <v>10075</v>
      </c>
      <c r="C2798" s="17" t="s">
        <v>10076</v>
      </c>
      <c r="D2798" s="19" t="s">
        <v>10077</v>
      </c>
      <c r="E2798" s="20" t="s">
        <v>1830</v>
      </c>
      <c r="F2798" s="21">
        <v>37155.0</v>
      </c>
      <c r="G2798" s="14">
        <v>24.0</v>
      </c>
      <c r="H2798" s="23" t="s">
        <v>26</v>
      </c>
      <c r="I2798" s="24" t="s">
        <v>27</v>
      </c>
      <c r="J2798" s="19" t="s">
        <v>58</v>
      </c>
      <c r="K2798" s="14">
        <v>36.0</v>
      </c>
      <c r="L2798" s="7"/>
      <c r="M2798" s="7"/>
      <c r="N2798" s="7"/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7"/>
    </row>
    <row r="2799">
      <c r="A2799" s="14" t="s">
        <v>10078</v>
      </c>
      <c r="B2799" s="17" t="s">
        <v>10075</v>
      </c>
      <c r="C2799" s="17" t="s">
        <v>10079</v>
      </c>
      <c r="D2799" s="19" t="s">
        <v>10080</v>
      </c>
      <c r="E2799" s="20" t="s">
        <v>10081</v>
      </c>
      <c r="F2799" s="27">
        <v>35414.0</v>
      </c>
      <c r="G2799" s="14">
        <v>29.0</v>
      </c>
      <c r="H2799" s="23" t="s">
        <v>26</v>
      </c>
      <c r="I2799" s="24" t="s">
        <v>33</v>
      </c>
      <c r="J2799" s="19" t="s">
        <v>58</v>
      </c>
      <c r="K2799" s="14">
        <v>36.0</v>
      </c>
      <c r="L2799" s="7"/>
      <c r="M2799" s="7"/>
      <c r="N2799" s="7"/>
      <c r="O2799" s="7"/>
      <c r="P2799" s="7"/>
      <c r="Q2799" s="7"/>
      <c r="R2799" s="7"/>
      <c r="S2799" s="7"/>
      <c r="T2799" s="7"/>
      <c r="U2799" s="7"/>
      <c r="V2799" s="7"/>
      <c r="W2799" s="7"/>
      <c r="X2799" s="7"/>
      <c r="Y2799" s="7"/>
    </row>
    <row r="2800">
      <c r="A2800" s="14" t="s">
        <v>10082</v>
      </c>
      <c r="B2800" s="17" t="s">
        <v>10083</v>
      </c>
      <c r="C2800" s="17" t="s">
        <v>10084</v>
      </c>
      <c r="D2800" s="19" t="s">
        <v>10085</v>
      </c>
      <c r="E2800" s="20" t="s">
        <v>10086</v>
      </c>
      <c r="F2800" s="21">
        <v>21056.0</v>
      </c>
      <c r="G2800" s="14">
        <v>69.0</v>
      </c>
      <c r="H2800" s="23" t="s">
        <v>27</v>
      </c>
      <c r="I2800" s="24" t="s">
        <v>33</v>
      </c>
      <c r="J2800" s="19" t="s">
        <v>156</v>
      </c>
      <c r="K2800" s="14">
        <v>33.0</v>
      </c>
      <c r="L2800" s="7"/>
      <c r="M2800" s="7"/>
      <c r="N2800" s="7"/>
      <c r="O2800" s="7"/>
      <c r="P2800" s="7"/>
      <c r="Q2800" s="7"/>
      <c r="R2800" s="7"/>
      <c r="S2800" s="7"/>
      <c r="T2800" s="7"/>
      <c r="U2800" s="7"/>
      <c r="V2800" s="7"/>
      <c r="W2800" s="7"/>
      <c r="X2800" s="7"/>
      <c r="Y2800" s="7"/>
    </row>
    <row r="2801">
      <c r="A2801" s="14" t="s">
        <v>10087</v>
      </c>
      <c r="B2801" s="17" t="s">
        <v>10088</v>
      </c>
      <c r="C2801" s="17" t="s">
        <v>10089</v>
      </c>
      <c r="D2801" s="19" t="s">
        <v>10090</v>
      </c>
      <c r="E2801" s="20" t="s">
        <v>53</v>
      </c>
      <c r="F2801" s="21">
        <v>36285.0</v>
      </c>
      <c r="G2801" s="14">
        <v>27.0</v>
      </c>
      <c r="H2801" s="23" t="s">
        <v>26</v>
      </c>
      <c r="I2801" s="24" t="s">
        <v>27</v>
      </c>
      <c r="J2801" s="19" t="s">
        <v>68</v>
      </c>
      <c r="K2801" s="14">
        <v>32.0</v>
      </c>
      <c r="L2801" s="7"/>
      <c r="M2801" s="7"/>
      <c r="N2801" s="7"/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</row>
    <row r="2802">
      <c r="A2802" s="14" t="s">
        <v>10091</v>
      </c>
      <c r="B2802" s="17" t="s">
        <v>10088</v>
      </c>
      <c r="C2802" s="17" t="s">
        <v>10092</v>
      </c>
      <c r="D2802" s="19" t="s">
        <v>8808</v>
      </c>
      <c r="E2802" s="20" t="s">
        <v>104</v>
      </c>
      <c r="F2802" s="21">
        <v>35577.0</v>
      </c>
      <c r="G2802" s="14">
        <v>29.0</v>
      </c>
      <c r="H2802" s="23" t="s">
        <v>26</v>
      </c>
      <c r="I2802" s="24" t="s">
        <v>33</v>
      </c>
      <c r="J2802" s="19" t="s">
        <v>68</v>
      </c>
      <c r="K2802" s="14">
        <v>32.0</v>
      </c>
      <c r="L2802" s="7"/>
      <c r="M2802" s="7"/>
      <c r="N2802" s="7"/>
      <c r="O2802" s="7"/>
      <c r="P2802" s="7"/>
      <c r="Q2802" s="7"/>
      <c r="R2802" s="7"/>
      <c r="S2802" s="7"/>
      <c r="T2802" s="7"/>
      <c r="U2802" s="7"/>
      <c r="V2802" s="7"/>
      <c r="W2802" s="7"/>
      <c r="X2802" s="7"/>
      <c r="Y2802" s="7"/>
    </row>
    <row r="2803">
      <c r="A2803" s="14" t="s">
        <v>10093</v>
      </c>
      <c r="B2803" s="17" t="s">
        <v>10094</v>
      </c>
      <c r="C2803" s="17" t="s">
        <v>10095</v>
      </c>
      <c r="D2803" s="19" t="s">
        <v>4450</v>
      </c>
      <c r="E2803" s="20" t="s">
        <v>2014</v>
      </c>
      <c r="F2803" s="21">
        <v>23168.0</v>
      </c>
      <c r="G2803" s="14">
        <v>63.0</v>
      </c>
      <c r="H2803" s="23" t="s">
        <v>27</v>
      </c>
      <c r="I2803" s="24" t="s">
        <v>33</v>
      </c>
      <c r="J2803" s="19" t="s">
        <v>472</v>
      </c>
      <c r="K2803" s="14">
        <v>19.0</v>
      </c>
      <c r="L2803" s="7"/>
      <c r="M2803" s="7"/>
      <c r="N2803" s="7"/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</row>
    <row r="2804">
      <c r="A2804" s="14" t="s">
        <v>10096</v>
      </c>
      <c r="B2804" s="17" t="s">
        <v>10097</v>
      </c>
      <c r="C2804" s="17" t="s">
        <v>10098</v>
      </c>
      <c r="D2804" s="19" t="s">
        <v>10099</v>
      </c>
      <c r="E2804" s="20" t="s">
        <v>104</v>
      </c>
      <c r="F2804" s="21">
        <v>33292.0</v>
      </c>
      <c r="G2804" s="14">
        <v>35.0</v>
      </c>
      <c r="H2804" s="23" t="s">
        <v>26</v>
      </c>
      <c r="I2804" s="24" t="s">
        <v>33</v>
      </c>
      <c r="J2804" s="19" t="s">
        <v>68</v>
      </c>
      <c r="K2804" s="14">
        <v>34.0</v>
      </c>
      <c r="L2804" s="7"/>
      <c r="M2804" s="7"/>
      <c r="N2804" s="7"/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7"/>
    </row>
    <row r="2805">
      <c r="A2805" s="14" t="s">
        <v>10100</v>
      </c>
      <c r="B2805" s="17" t="s">
        <v>10097</v>
      </c>
      <c r="C2805" s="17" t="s">
        <v>10101</v>
      </c>
      <c r="D2805" s="19" t="s">
        <v>10102</v>
      </c>
      <c r="E2805" s="20" t="s">
        <v>391</v>
      </c>
      <c r="F2805" s="21">
        <v>34025.0</v>
      </c>
      <c r="G2805" s="14">
        <v>33.0</v>
      </c>
      <c r="H2805" s="23" t="s">
        <v>26</v>
      </c>
      <c r="I2805" s="24" t="s">
        <v>27</v>
      </c>
      <c r="J2805" s="19" t="s">
        <v>68</v>
      </c>
      <c r="K2805" s="14">
        <v>34.0</v>
      </c>
      <c r="L2805" s="7"/>
      <c r="M2805" s="7"/>
      <c r="N2805" s="7"/>
      <c r="O2805" s="7"/>
      <c r="P2805" s="7"/>
      <c r="Q2805" s="7"/>
      <c r="R2805" s="7"/>
      <c r="S2805" s="7"/>
      <c r="T2805" s="7"/>
      <c r="U2805" s="7"/>
      <c r="V2805" s="7"/>
      <c r="W2805" s="7"/>
      <c r="X2805" s="7"/>
      <c r="Y2805" s="7"/>
    </row>
    <row r="2806">
      <c r="A2806" s="14" t="s">
        <v>10103</v>
      </c>
      <c r="B2806" s="17" t="s">
        <v>10104</v>
      </c>
      <c r="C2806" s="17" t="s">
        <v>10105</v>
      </c>
      <c r="D2806" s="19" t="s">
        <v>10106</v>
      </c>
      <c r="E2806" s="20" t="s">
        <v>10107</v>
      </c>
      <c r="F2806" s="21">
        <v>33749.0</v>
      </c>
      <c r="G2806" s="14">
        <v>34.0</v>
      </c>
      <c r="H2806" s="23" t="s">
        <v>26</v>
      </c>
      <c r="I2806" s="24" t="s">
        <v>33</v>
      </c>
      <c r="J2806" s="19" t="s">
        <v>58</v>
      </c>
      <c r="K2806" s="14">
        <v>1.0</v>
      </c>
      <c r="L2806" s="7"/>
      <c r="M2806" s="7"/>
      <c r="N2806" s="7"/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</row>
    <row r="2807">
      <c r="A2807" s="14" t="s">
        <v>10108</v>
      </c>
      <c r="B2807" s="17" t="s">
        <v>10104</v>
      </c>
      <c r="C2807" s="17" t="s">
        <v>10109</v>
      </c>
      <c r="D2807" s="19" t="s">
        <v>10110</v>
      </c>
      <c r="E2807" s="20" t="s">
        <v>53</v>
      </c>
      <c r="F2807" s="21">
        <v>35256.0</v>
      </c>
      <c r="G2807" s="14">
        <v>30.0</v>
      </c>
      <c r="H2807" s="23" t="s">
        <v>26</v>
      </c>
      <c r="I2807" s="24" t="s">
        <v>27</v>
      </c>
      <c r="J2807" s="19" t="s">
        <v>58</v>
      </c>
      <c r="K2807" s="14">
        <v>5.0</v>
      </c>
      <c r="L2807" s="7"/>
      <c r="M2807" s="7"/>
      <c r="N2807" s="7"/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</row>
    <row r="2808">
      <c r="A2808" s="14" t="s">
        <v>10111</v>
      </c>
      <c r="B2808" s="17" t="s">
        <v>10112</v>
      </c>
      <c r="C2808" s="17" t="s">
        <v>10113</v>
      </c>
      <c r="D2808" s="19" t="s">
        <v>10114</v>
      </c>
      <c r="E2808" s="20" t="s">
        <v>434</v>
      </c>
      <c r="F2808" s="27">
        <v>23697.0</v>
      </c>
      <c r="G2808" s="14">
        <v>61.0</v>
      </c>
      <c r="H2808" s="23" t="s">
        <v>26</v>
      </c>
      <c r="I2808" s="24" t="s">
        <v>27</v>
      </c>
      <c r="J2808" s="19" t="s">
        <v>53</v>
      </c>
      <c r="K2808" s="14">
        <v>9.0</v>
      </c>
      <c r="L2808" s="7"/>
      <c r="M2808" s="7"/>
      <c r="N2808" s="7"/>
      <c r="O2808" s="7"/>
      <c r="P2808" s="7"/>
      <c r="Q2808" s="7"/>
      <c r="R2808" s="7"/>
      <c r="S2808" s="7"/>
      <c r="T2808" s="7"/>
      <c r="U2808" s="7"/>
      <c r="V2808" s="7"/>
      <c r="W2808" s="7"/>
      <c r="X2808" s="7"/>
      <c r="Y2808" s="7"/>
    </row>
    <row r="2809">
      <c r="A2809" s="14" t="s">
        <v>10115</v>
      </c>
      <c r="B2809" s="17" t="s">
        <v>10116</v>
      </c>
      <c r="C2809" s="17" t="s">
        <v>10117</v>
      </c>
      <c r="D2809" s="19" t="s">
        <v>10118</v>
      </c>
      <c r="E2809" s="20" t="s">
        <v>544</v>
      </c>
      <c r="F2809" s="27">
        <v>22992.0</v>
      </c>
      <c r="G2809" s="14">
        <v>63.0</v>
      </c>
      <c r="H2809" s="23" t="s">
        <v>26</v>
      </c>
      <c r="I2809" s="24" t="s">
        <v>33</v>
      </c>
      <c r="J2809" s="19" t="s">
        <v>58</v>
      </c>
      <c r="K2809" s="14">
        <v>7.0</v>
      </c>
      <c r="L2809" s="7"/>
      <c r="M2809" s="7"/>
      <c r="N2809" s="7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</row>
    <row r="2810">
      <c r="A2810" s="14" t="s">
        <v>10119</v>
      </c>
      <c r="B2810" s="17" t="s">
        <v>10116</v>
      </c>
      <c r="C2810" s="17" t="s">
        <v>10120</v>
      </c>
      <c r="D2810" s="19" t="s">
        <v>10121</v>
      </c>
      <c r="E2810" s="20" t="s">
        <v>53</v>
      </c>
      <c r="F2810" s="27">
        <v>38686.0</v>
      </c>
      <c r="G2810" s="14">
        <v>20.0</v>
      </c>
      <c r="H2810" s="23" t="s">
        <v>100</v>
      </c>
      <c r="I2810" s="24" t="s">
        <v>33</v>
      </c>
      <c r="J2810" s="19" t="s">
        <v>58</v>
      </c>
      <c r="K2810" s="14">
        <v>7.0</v>
      </c>
      <c r="L2810" s="7"/>
      <c r="M2810" s="7"/>
      <c r="N2810" s="7"/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7"/>
    </row>
    <row r="2811">
      <c r="A2811" s="14" t="s">
        <v>10122</v>
      </c>
      <c r="B2811" s="17" t="s">
        <v>10116</v>
      </c>
      <c r="C2811" s="17" t="s">
        <v>10123</v>
      </c>
      <c r="D2811" s="19" t="s">
        <v>10124</v>
      </c>
      <c r="E2811" s="20" t="s">
        <v>544</v>
      </c>
      <c r="F2811" s="21">
        <v>25055.0</v>
      </c>
      <c r="G2811" s="14">
        <v>58.0</v>
      </c>
      <c r="H2811" s="23" t="s">
        <v>26</v>
      </c>
      <c r="I2811" s="24" t="s">
        <v>27</v>
      </c>
      <c r="J2811" s="19" t="s">
        <v>58</v>
      </c>
      <c r="K2811" s="14">
        <v>7.0</v>
      </c>
      <c r="L2811" s="7"/>
      <c r="M2811" s="7"/>
      <c r="N2811" s="7"/>
      <c r="O2811" s="7"/>
      <c r="P2811" s="7"/>
      <c r="Q2811" s="7"/>
      <c r="R2811" s="7"/>
      <c r="S2811" s="7"/>
      <c r="T2811" s="7"/>
      <c r="U2811" s="7"/>
      <c r="V2811" s="7"/>
      <c r="W2811" s="7"/>
      <c r="X2811" s="7"/>
      <c r="Y2811" s="7"/>
    </row>
    <row r="2812">
      <c r="A2812" s="14" t="s">
        <v>10125</v>
      </c>
      <c r="B2812" s="17" t="s">
        <v>10116</v>
      </c>
      <c r="C2812" s="17" t="s">
        <v>10126</v>
      </c>
      <c r="D2812" s="19" t="s">
        <v>10127</v>
      </c>
      <c r="E2812" s="20" t="s">
        <v>104</v>
      </c>
      <c r="F2812" s="21">
        <v>37005.0</v>
      </c>
      <c r="G2812" s="14">
        <v>25.0</v>
      </c>
      <c r="H2812" s="23" t="s">
        <v>100</v>
      </c>
      <c r="I2812" s="24" t="s">
        <v>33</v>
      </c>
      <c r="J2812" s="19" t="s">
        <v>58</v>
      </c>
      <c r="K2812" s="14">
        <v>7.0</v>
      </c>
      <c r="L2812" s="7"/>
      <c r="M2812" s="7"/>
      <c r="N2812" s="7"/>
      <c r="O2812" s="7"/>
      <c r="P2812" s="7"/>
      <c r="Q2812" s="7"/>
      <c r="R2812" s="7"/>
      <c r="S2812" s="7"/>
      <c r="T2812" s="7"/>
      <c r="U2812" s="7"/>
      <c r="V2812" s="7"/>
      <c r="W2812" s="7"/>
      <c r="X2812" s="7"/>
      <c r="Y2812" s="7"/>
    </row>
    <row r="2813">
      <c r="A2813" s="14" t="s">
        <v>10128</v>
      </c>
      <c r="B2813" s="17" t="s">
        <v>10129</v>
      </c>
      <c r="C2813" s="17" t="s">
        <v>10130</v>
      </c>
      <c r="D2813" s="19" t="s">
        <v>5617</v>
      </c>
      <c r="E2813" s="20" t="s">
        <v>984</v>
      </c>
      <c r="F2813" s="27">
        <v>22960.0</v>
      </c>
      <c r="G2813" s="14">
        <v>63.0</v>
      </c>
      <c r="H2813" s="23" t="s">
        <v>27</v>
      </c>
      <c r="I2813" s="24" t="s">
        <v>33</v>
      </c>
      <c r="J2813" s="19" t="s">
        <v>328</v>
      </c>
      <c r="K2813" s="14">
        <v>19.0</v>
      </c>
      <c r="L2813" s="7"/>
      <c r="M2813" s="7"/>
      <c r="N2813" s="7"/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7"/>
    </row>
    <row r="2814">
      <c r="A2814" s="14" t="s">
        <v>10131</v>
      </c>
      <c r="B2814" s="17" t="s">
        <v>10132</v>
      </c>
      <c r="C2814" s="17" t="s">
        <v>10133</v>
      </c>
      <c r="D2814" s="19" t="s">
        <v>10134</v>
      </c>
      <c r="E2814" s="20" t="s">
        <v>104</v>
      </c>
      <c r="F2814" s="27">
        <v>35792.0</v>
      </c>
      <c r="G2814" s="14">
        <v>28.0</v>
      </c>
      <c r="H2814" s="23" t="s">
        <v>100</v>
      </c>
      <c r="I2814" s="24" t="s">
        <v>33</v>
      </c>
      <c r="J2814" s="19" t="s">
        <v>146</v>
      </c>
      <c r="K2814" s="14">
        <v>2.0</v>
      </c>
      <c r="L2814" s="7"/>
      <c r="M2814" s="7"/>
      <c r="N2814" s="7"/>
      <c r="O2814" s="7"/>
      <c r="P2814" s="7"/>
      <c r="Q2814" s="7"/>
      <c r="R2814" s="7"/>
      <c r="S2814" s="7"/>
      <c r="T2814" s="7"/>
      <c r="U2814" s="7"/>
      <c r="V2814" s="7"/>
      <c r="W2814" s="7"/>
      <c r="X2814" s="7"/>
      <c r="Y2814" s="7"/>
    </row>
    <row r="2815">
      <c r="A2815" s="14" t="s">
        <v>10135</v>
      </c>
      <c r="B2815" s="17" t="s">
        <v>10132</v>
      </c>
      <c r="C2815" s="17" t="s">
        <v>10136</v>
      </c>
      <c r="D2815" s="19" t="s">
        <v>10137</v>
      </c>
      <c r="E2815" s="20" t="s">
        <v>104</v>
      </c>
      <c r="F2815" s="21">
        <v>28888.0</v>
      </c>
      <c r="G2815" s="14">
        <v>47.0</v>
      </c>
      <c r="H2815" s="23" t="s">
        <v>26</v>
      </c>
      <c r="I2815" s="24" t="s">
        <v>27</v>
      </c>
      <c r="J2815" s="19" t="s">
        <v>146</v>
      </c>
      <c r="K2815" s="14">
        <v>2.0</v>
      </c>
      <c r="L2815" s="7"/>
      <c r="M2815" s="7"/>
      <c r="N2815" s="7"/>
      <c r="O2815" s="7"/>
      <c r="P2815" s="7"/>
      <c r="Q2815" s="7"/>
      <c r="R2815" s="7"/>
      <c r="S2815" s="7"/>
      <c r="T2815" s="7"/>
      <c r="U2815" s="7"/>
      <c r="V2815" s="7"/>
      <c r="W2815" s="7"/>
      <c r="X2815" s="7"/>
      <c r="Y2815" s="7"/>
    </row>
    <row r="2816">
      <c r="A2816" s="14" t="s">
        <v>10138</v>
      </c>
      <c r="B2816" s="17" t="s">
        <v>10132</v>
      </c>
      <c r="C2816" s="17" t="s">
        <v>10139</v>
      </c>
      <c r="D2816" s="19" t="s">
        <v>10140</v>
      </c>
      <c r="E2816" s="20" t="s">
        <v>632</v>
      </c>
      <c r="F2816" s="21">
        <v>25430.0</v>
      </c>
      <c r="G2816" s="14">
        <v>57.0</v>
      </c>
      <c r="H2816" s="23" t="s">
        <v>26</v>
      </c>
      <c r="I2816" s="24" t="s">
        <v>33</v>
      </c>
      <c r="J2816" s="19" t="s">
        <v>146</v>
      </c>
      <c r="K2816" s="14">
        <v>2.0</v>
      </c>
      <c r="L2816" s="7"/>
      <c r="M2816" s="7"/>
      <c r="N2816" s="7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</row>
    <row r="2817">
      <c r="A2817" s="14" t="s">
        <v>10141</v>
      </c>
      <c r="B2817" s="17" t="s">
        <v>10142</v>
      </c>
      <c r="C2817" s="17" t="s">
        <v>10143</v>
      </c>
      <c r="D2817" s="19" t="s">
        <v>10144</v>
      </c>
      <c r="E2817" s="20" t="s">
        <v>53</v>
      </c>
      <c r="F2817" s="21">
        <v>34527.0</v>
      </c>
      <c r="G2817" s="14">
        <v>32.0</v>
      </c>
      <c r="H2817" s="23" t="s">
        <v>26</v>
      </c>
      <c r="I2817" s="24" t="s">
        <v>33</v>
      </c>
      <c r="J2817" s="19" t="s">
        <v>282</v>
      </c>
      <c r="K2817" s="14">
        <v>16.0</v>
      </c>
      <c r="L2817" s="7"/>
      <c r="M2817" s="7"/>
      <c r="N2817" s="7"/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</row>
    <row r="2818">
      <c r="A2818" s="14" t="s">
        <v>10145</v>
      </c>
      <c r="B2818" s="17" t="s">
        <v>10142</v>
      </c>
      <c r="C2818" s="17" t="s">
        <v>10146</v>
      </c>
      <c r="D2818" s="19" t="s">
        <v>10147</v>
      </c>
      <c r="E2818" s="20" t="s">
        <v>104</v>
      </c>
      <c r="F2818" s="21">
        <v>34931.0</v>
      </c>
      <c r="G2818" s="14">
        <v>31.0</v>
      </c>
      <c r="H2818" s="23" t="s">
        <v>26</v>
      </c>
      <c r="I2818" s="24" t="s">
        <v>27</v>
      </c>
      <c r="J2818" s="19" t="s">
        <v>282</v>
      </c>
      <c r="K2818" s="14">
        <v>16.0</v>
      </c>
      <c r="L2818" s="7"/>
      <c r="M2818" s="7"/>
      <c r="N2818" s="7"/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7"/>
    </row>
    <row r="2819">
      <c r="A2819" s="14" t="s">
        <v>10148</v>
      </c>
      <c r="B2819" s="17" t="s">
        <v>10149</v>
      </c>
      <c r="C2819" s="17" t="s">
        <v>10150</v>
      </c>
      <c r="D2819" s="19" t="s">
        <v>10151</v>
      </c>
      <c r="E2819" s="20" t="s">
        <v>210</v>
      </c>
      <c r="F2819" s="27">
        <v>21500.0</v>
      </c>
      <c r="G2819" s="14">
        <v>67.0</v>
      </c>
      <c r="H2819" s="23" t="s">
        <v>26</v>
      </c>
      <c r="I2819" s="24" t="s">
        <v>33</v>
      </c>
      <c r="J2819" s="19" t="s">
        <v>328</v>
      </c>
      <c r="K2819" s="14">
        <v>23.0</v>
      </c>
      <c r="L2819" s="7"/>
      <c r="M2819" s="7"/>
      <c r="N2819" s="7"/>
      <c r="O2819" s="7"/>
      <c r="P2819" s="7"/>
      <c r="Q2819" s="7"/>
      <c r="R2819" s="7"/>
      <c r="S2819" s="7"/>
      <c r="T2819" s="7"/>
      <c r="U2819" s="7"/>
      <c r="V2819" s="7"/>
      <c r="W2819" s="7"/>
      <c r="X2819" s="7"/>
      <c r="Y2819" s="7"/>
    </row>
    <row r="2820">
      <c r="A2820" s="14" t="s">
        <v>10152</v>
      </c>
      <c r="B2820" s="17" t="s">
        <v>10149</v>
      </c>
      <c r="C2820" s="17" t="s">
        <v>10153</v>
      </c>
      <c r="D2820" s="19" t="s">
        <v>10154</v>
      </c>
      <c r="E2820" s="20" t="s">
        <v>632</v>
      </c>
      <c r="F2820" s="21">
        <v>19943.0</v>
      </c>
      <c r="G2820" s="14">
        <v>72.0</v>
      </c>
      <c r="H2820" s="23" t="s">
        <v>26</v>
      </c>
      <c r="I2820" s="24" t="s">
        <v>27</v>
      </c>
      <c r="J2820" s="19" t="s">
        <v>328</v>
      </c>
      <c r="K2820" s="14">
        <v>23.0</v>
      </c>
      <c r="L2820" s="7"/>
      <c r="M2820" s="7"/>
      <c r="N2820" s="7"/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7"/>
    </row>
    <row r="2821">
      <c r="A2821" s="14" t="s">
        <v>10155</v>
      </c>
      <c r="B2821" s="17" t="s">
        <v>10156</v>
      </c>
      <c r="C2821" s="17" t="s">
        <v>10157</v>
      </c>
      <c r="D2821" s="19" t="s">
        <v>10158</v>
      </c>
      <c r="E2821" s="20" t="s">
        <v>372</v>
      </c>
      <c r="F2821" s="21">
        <v>30139.0</v>
      </c>
      <c r="G2821" s="14">
        <v>44.0</v>
      </c>
      <c r="H2821" s="23" t="s">
        <v>26</v>
      </c>
      <c r="I2821" s="24" t="s">
        <v>33</v>
      </c>
      <c r="J2821" s="19" t="s">
        <v>282</v>
      </c>
      <c r="K2821" s="14">
        <v>14.0</v>
      </c>
      <c r="L2821" s="7"/>
      <c r="M2821" s="7"/>
      <c r="N2821" s="7"/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7"/>
    </row>
    <row r="2822">
      <c r="A2822" s="14" t="s">
        <v>10159</v>
      </c>
      <c r="B2822" s="17" t="s">
        <v>10156</v>
      </c>
      <c r="C2822" s="17" t="s">
        <v>10160</v>
      </c>
      <c r="D2822" s="19" t="s">
        <v>10161</v>
      </c>
      <c r="E2822" s="20" t="s">
        <v>53</v>
      </c>
      <c r="F2822" s="21">
        <v>31721.0</v>
      </c>
      <c r="G2822" s="14">
        <v>39.0</v>
      </c>
      <c r="H2822" s="23" t="s">
        <v>26</v>
      </c>
      <c r="I2822" s="24" t="s">
        <v>27</v>
      </c>
      <c r="J2822" s="19" t="s">
        <v>282</v>
      </c>
      <c r="K2822" s="14">
        <v>14.0</v>
      </c>
      <c r="L2822" s="7"/>
      <c r="M2822" s="7"/>
      <c r="N2822" s="7"/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7"/>
    </row>
    <row r="2823">
      <c r="A2823" s="14" t="s">
        <v>10162</v>
      </c>
      <c r="B2823" s="17" t="s">
        <v>10163</v>
      </c>
      <c r="C2823" s="17" t="s">
        <v>10164</v>
      </c>
      <c r="D2823" s="19" t="s">
        <v>10165</v>
      </c>
      <c r="E2823" s="20" t="s">
        <v>104</v>
      </c>
      <c r="F2823" s="21">
        <v>35822.0</v>
      </c>
      <c r="G2823" s="14">
        <v>28.0</v>
      </c>
      <c r="H2823" s="23" t="s">
        <v>26</v>
      </c>
      <c r="I2823" s="24" t="s">
        <v>33</v>
      </c>
      <c r="J2823" s="19" t="s">
        <v>53</v>
      </c>
      <c r="K2823" s="14">
        <v>18.0</v>
      </c>
      <c r="L2823" s="7"/>
      <c r="M2823" s="7"/>
      <c r="N2823" s="7"/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7"/>
    </row>
    <row r="2824">
      <c r="A2824" s="14" t="s">
        <v>10166</v>
      </c>
      <c r="B2824" s="17" t="s">
        <v>10163</v>
      </c>
      <c r="C2824" s="17" t="s">
        <v>10167</v>
      </c>
      <c r="D2824" s="19" t="s">
        <v>10168</v>
      </c>
      <c r="E2824" s="20" t="s">
        <v>104</v>
      </c>
      <c r="F2824" s="27">
        <v>35427.0</v>
      </c>
      <c r="G2824" s="14">
        <v>29.0</v>
      </c>
      <c r="H2824" s="23" t="s">
        <v>26</v>
      </c>
      <c r="I2824" s="24" t="s">
        <v>27</v>
      </c>
      <c r="J2824" s="19" t="s">
        <v>53</v>
      </c>
      <c r="K2824" s="14">
        <v>18.0</v>
      </c>
      <c r="L2824" s="7"/>
      <c r="M2824" s="7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</row>
    <row r="2825">
      <c r="A2825" s="14" t="s">
        <v>10169</v>
      </c>
      <c r="B2825" s="17" t="s">
        <v>10170</v>
      </c>
      <c r="C2825" s="17" t="s">
        <v>10171</v>
      </c>
      <c r="D2825" s="19" t="s">
        <v>10172</v>
      </c>
      <c r="E2825" s="20" t="s">
        <v>4388</v>
      </c>
      <c r="F2825" s="27">
        <v>25852.0</v>
      </c>
      <c r="G2825" s="14">
        <v>55.0</v>
      </c>
      <c r="H2825" s="23" t="s">
        <v>26</v>
      </c>
      <c r="I2825" s="24" t="s">
        <v>27</v>
      </c>
      <c r="J2825" s="19" t="s">
        <v>362</v>
      </c>
      <c r="K2825" s="14">
        <v>25.0</v>
      </c>
      <c r="L2825" s="7"/>
      <c r="M2825" s="7"/>
      <c r="N2825" s="7"/>
      <c r="O2825" s="7"/>
      <c r="P2825" s="7"/>
      <c r="Q2825" s="7"/>
      <c r="R2825" s="7"/>
      <c r="S2825" s="7"/>
      <c r="T2825" s="7"/>
      <c r="U2825" s="7"/>
      <c r="V2825" s="7"/>
      <c r="W2825" s="7"/>
      <c r="X2825" s="7"/>
      <c r="Y2825" s="7"/>
    </row>
    <row r="2826">
      <c r="A2826" s="14" t="s">
        <v>10173</v>
      </c>
      <c r="B2826" s="17" t="s">
        <v>10170</v>
      </c>
      <c r="C2826" s="17" t="s">
        <v>10174</v>
      </c>
      <c r="D2826" s="19" t="s">
        <v>10175</v>
      </c>
      <c r="E2826" s="20" t="s">
        <v>6102</v>
      </c>
      <c r="F2826" s="21">
        <v>23897.0</v>
      </c>
      <c r="G2826" s="14">
        <v>61.0</v>
      </c>
      <c r="H2826" s="23" t="s">
        <v>26</v>
      </c>
      <c r="I2826" s="24" t="s">
        <v>33</v>
      </c>
      <c r="J2826" s="19" t="s">
        <v>362</v>
      </c>
      <c r="K2826" s="14">
        <v>25.0</v>
      </c>
      <c r="L2826" s="7"/>
      <c r="M2826" s="7"/>
      <c r="N2826" s="7"/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7"/>
    </row>
    <row r="2827">
      <c r="A2827" s="14" t="s">
        <v>10176</v>
      </c>
      <c r="B2827" s="17" t="s">
        <v>10177</v>
      </c>
      <c r="C2827" s="17" t="s">
        <v>10178</v>
      </c>
      <c r="D2827" s="19" t="s">
        <v>10179</v>
      </c>
      <c r="E2827" s="20" t="s">
        <v>104</v>
      </c>
      <c r="F2827" s="21">
        <v>34040.0</v>
      </c>
      <c r="G2827" s="14">
        <v>33.0</v>
      </c>
      <c r="H2827" s="23" t="s">
        <v>26</v>
      </c>
      <c r="I2827" s="24" t="s">
        <v>33</v>
      </c>
      <c r="J2827" s="19" t="s">
        <v>146</v>
      </c>
      <c r="K2827" s="14">
        <v>3.0</v>
      </c>
      <c r="L2827" s="7"/>
      <c r="M2827" s="7"/>
      <c r="N2827" s="7"/>
      <c r="O2827" s="7"/>
      <c r="P2827" s="7"/>
      <c r="Q2827" s="7"/>
      <c r="R2827" s="7"/>
      <c r="S2827" s="7"/>
      <c r="T2827" s="7"/>
      <c r="U2827" s="7"/>
      <c r="V2827" s="7"/>
      <c r="W2827" s="7"/>
      <c r="X2827" s="7"/>
      <c r="Y2827" s="7"/>
    </row>
    <row r="2828">
      <c r="A2828" s="14" t="s">
        <v>10180</v>
      </c>
      <c r="B2828" s="17" t="s">
        <v>10177</v>
      </c>
      <c r="C2828" s="17" t="s">
        <v>10181</v>
      </c>
      <c r="D2828" s="19" t="s">
        <v>10182</v>
      </c>
      <c r="E2828" s="20" t="s">
        <v>85</v>
      </c>
      <c r="F2828" s="21">
        <v>33832.0</v>
      </c>
      <c r="G2828" s="14">
        <v>34.0</v>
      </c>
      <c r="H2828" s="23" t="s">
        <v>26</v>
      </c>
      <c r="I2828" s="24" t="s">
        <v>27</v>
      </c>
      <c r="J2828" s="19" t="s">
        <v>146</v>
      </c>
      <c r="K2828" s="14">
        <v>3.0</v>
      </c>
      <c r="L2828" s="7"/>
      <c r="M2828" s="7"/>
      <c r="N2828" s="7"/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7"/>
    </row>
    <row r="2829">
      <c r="A2829" s="14" t="s">
        <v>10183</v>
      </c>
      <c r="B2829" s="17" t="s">
        <v>10184</v>
      </c>
      <c r="C2829" s="17" t="s">
        <v>10185</v>
      </c>
      <c r="D2829" s="19" t="s">
        <v>10186</v>
      </c>
      <c r="E2829" s="20" t="s">
        <v>104</v>
      </c>
      <c r="F2829" s="21">
        <v>36342.0</v>
      </c>
      <c r="G2829" s="14">
        <v>27.0</v>
      </c>
      <c r="H2829" s="23" t="s">
        <v>100</v>
      </c>
      <c r="I2829" s="24" t="s">
        <v>33</v>
      </c>
      <c r="J2829" s="19" t="s">
        <v>328</v>
      </c>
      <c r="K2829" s="14">
        <v>23.0</v>
      </c>
      <c r="L2829" s="7"/>
      <c r="M2829" s="7"/>
      <c r="N2829" s="7"/>
      <c r="O2829" s="7"/>
      <c r="P2829" s="7"/>
      <c r="Q2829" s="7"/>
      <c r="R2829" s="7"/>
      <c r="S2829" s="7"/>
      <c r="T2829" s="7"/>
      <c r="U2829" s="7"/>
      <c r="V2829" s="7"/>
      <c r="W2829" s="7"/>
      <c r="X2829" s="7"/>
      <c r="Y2829" s="7"/>
    </row>
    <row r="2830">
      <c r="A2830" s="14" t="s">
        <v>10187</v>
      </c>
      <c r="B2830" s="17" t="s">
        <v>10184</v>
      </c>
      <c r="C2830" s="17" t="s">
        <v>10188</v>
      </c>
      <c r="D2830" s="19" t="s">
        <v>3759</v>
      </c>
      <c r="E2830" s="20" t="s">
        <v>650</v>
      </c>
      <c r="F2830" s="21">
        <v>26481.0</v>
      </c>
      <c r="G2830" s="14">
        <v>54.0</v>
      </c>
      <c r="H2830" s="23" t="s">
        <v>27</v>
      </c>
      <c r="I2830" s="24" t="s">
        <v>27</v>
      </c>
      <c r="J2830" s="19" t="s">
        <v>726</v>
      </c>
      <c r="K2830" s="14">
        <v>14.0</v>
      </c>
      <c r="L2830" s="7"/>
      <c r="M2830" s="7"/>
      <c r="N2830" s="7"/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7"/>
    </row>
    <row r="2831">
      <c r="A2831" s="14" t="s">
        <v>10189</v>
      </c>
      <c r="B2831" s="17" t="s">
        <v>10190</v>
      </c>
      <c r="C2831" s="17" t="s">
        <v>10191</v>
      </c>
      <c r="D2831" s="19" t="s">
        <v>10192</v>
      </c>
      <c r="E2831" s="20" t="s">
        <v>654</v>
      </c>
      <c r="F2831" s="21">
        <v>23774.0</v>
      </c>
      <c r="G2831" s="14">
        <v>61.0</v>
      </c>
      <c r="H2831" s="23" t="s">
        <v>26</v>
      </c>
      <c r="I2831" s="24" t="s">
        <v>33</v>
      </c>
      <c r="J2831" s="19" t="s">
        <v>53</v>
      </c>
      <c r="K2831" s="14">
        <v>18.0</v>
      </c>
      <c r="L2831" s="7"/>
      <c r="M2831" s="7"/>
      <c r="N2831" s="7"/>
      <c r="O2831" s="7"/>
      <c r="P2831" s="7"/>
      <c r="Q2831" s="7"/>
      <c r="R2831" s="7"/>
      <c r="S2831" s="7"/>
      <c r="T2831" s="7"/>
      <c r="U2831" s="7"/>
      <c r="V2831" s="7"/>
      <c r="W2831" s="7"/>
      <c r="X2831" s="7"/>
      <c r="Y2831" s="7"/>
    </row>
    <row r="2832">
      <c r="A2832" s="14" t="s">
        <v>10193</v>
      </c>
      <c r="B2832" s="17" t="s">
        <v>10190</v>
      </c>
      <c r="C2832" s="17" t="s">
        <v>10194</v>
      </c>
      <c r="D2832" s="19" t="s">
        <v>10195</v>
      </c>
      <c r="E2832" s="20" t="s">
        <v>654</v>
      </c>
      <c r="F2832" s="21">
        <v>25509.0</v>
      </c>
      <c r="G2832" s="14">
        <v>56.0</v>
      </c>
      <c r="H2832" s="23" t="s">
        <v>26</v>
      </c>
      <c r="I2832" s="24" t="s">
        <v>27</v>
      </c>
      <c r="J2832" s="19" t="s">
        <v>53</v>
      </c>
      <c r="K2832" s="14">
        <v>18.0</v>
      </c>
      <c r="L2832" s="7"/>
      <c r="M2832" s="7"/>
      <c r="N2832" s="7"/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7"/>
    </row>
    <row r="2833">
      <c r="A2833" s="14" t="s">
        <v>10196</v>
      </c>
      <c r="B2833" s="17" t="s">
        <v>10197</v>
      </c>
      <c r="C2833" s="17" t="s">
        <v>10198</v>
      </c>
      <c r="D2833" s="19" t="s">
        <v>10199</v>
      </c>
      <c r="E2833" s="20" t="s">
        <v>650</v>
      </c>
      <c r="F2833" s="21">
        <v>23896.0</v>
      </c>
      <c r="G2833" s="14">
        <v>61.0</v>
      </c>
      <c r="H2833" s="23" t="s">
        <v>26</v>
      </c>
      <c r="I2833" s="24" t="s">
        <v>27</v>
      </c>
      <c r="J2833" s="19" t="s">
        <v>53</v>
      </c>
      <c r="K2833" s="14">
        <v>18.0</v>
      </c>
      <c r="L2833" s="7"/>
      <c r="M2833" s="7"/>
      <c r="N2833" s="7"/>
      <c r="O2833" s="7"/>
      <c r="P2833" s="7"/>
      <c r="Q2833" s="7"/>
      <c r="R2833" s="7"/>
      <c r="S2833" s="7"/>
      <c r="T2833" s="7"/>
      <c r="U2833" s="7"/>
      <c r="V2833" s="7"/>
      <c r="W2833" s="7"/>
      <c r="X2833" s="7"/>
      <c r="Y2833" s="7"/>
    </row>
    <row r="2834">
      <c r="A2834" s="14" t="s">
        <v>10200</v>
      </c>
      <c r="B2834" s="17" t="s">
        <v>10197</v>
      </c>
      <c r="C2834" s="17" t="s">
        <v>10201</v>
      </c>
      <c r="D2834" s="19" t="s">
        <v>10202</v>
      </c>
      <c r="E2834" s="20" t="s">
        <v>650</v>
      </c>
      <c r="F2834" s="21">
        <v>21956.0</v>
      </c>
      <c r="G2834" s="14">
        <v>66.0</v>
      </c>
      <c r="H2834" s="23" t="s">
        <v>26</v>
      </c>
      <c r="I2834" s="24" t="s">
        <v>33</v>
      </c>
      <c r="J2834" s="19" t="s">
        <v>53</v>
      </c>
      <c r="K2834" s="14">
        <v>18.0</v>
      </c>
      <c r="L2834" s="7"/>
      <c r="M2834" s="7"/>
      <c r="N2834" s="7"/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7"/>
    </row>
    <row r="2835">
      <c r="A2835" s="14" t="s">
        <v>10203</v>
      </c>
      <c r="B2835" s="17" t="s">
        <v>10204</v>
      </c>
      <c r="C2835" s="17" t="s">
        <v>10205</v>
      </c>
      <c r="D2835" s="19" t="s">
        <v>10206</v>
      </c>
      <c r="E2835" s="20" t="s">
        <v>53</v>
      </c>
      <c r="F2835" s="21">
        <v>35875.0</v>
      </c>
      <c r="G2835" s="14">
        <v>28.0</v>
      </c>
      <c r="H2835" s="23" t="s">
        <v>26</v>
      </c>
      <c r="I2835" s="24" t="s">
        <v>27</v>
      </c>
      <c r="J2835" s="19" t="s">
        <v>10207</v>
      </c>
      <c r="K2835" s="14">
        <v>16.0</v>
      </c>
      <c r="L2835" s="7"/>
      <c r="M2835" s="7"/>
      <c r="N2835" s="7"/>
      <c r="O2835" s="7"/>
      <c r="P2835" s="7"/>
      <c r="Q2835" s="7"/>
      <c r="R2835" s="7"/>
      <c r="S2835" s="7"/>
      <c r="T2835" s="7"/>
      <c r="U2835" s="7"/>
      <c r="V2835" s="7"/>
      <c r="W2835" s="7"/>
      <c r="X2835" s="7"/>
      <c r="Y2835" s="7"/>
    </row>
    <row r="2836">
      <c r="A2836" s="14" t="s">
        <v>10208</v>
      </c>
      <c r="B2836" s="17" t="s">
        <v>10204</v>
      </c>
      <c r="C2836" s="17" t="s">
        <v>10209</v>
      </c>
      <c r="D2836" s="19" t="s">
        <v>10210</v>
      </c>
      <c r="E2836" s="20" t="s">
        <v>337</v>
      </c>
      <c r="F2836" s="27">
        <v>35393.0</v>
      </c>
      <c r="G2836" s="14">
        <v>29.0</v>
      </c>
      <c r="H2836" s="23" t="s">
        <v>26</v>
      </c>
      <c r="I2836" s="24" t="s">
        <v>33</v>
      </c>
      <c r="J2836" s="19" t="s">
        <v>10207</v>
      </c>
      <c r="K2836" s="14">
        <v>16.0</v>
      </c>
      <c r="L2836" s="7"/>
      <c r="M2836" s="7"/>
      <c r="N2836" s="7"/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7"/>
    </row>
    <row r="2837">
      <c r="A2837" s="14" t="s">
        <v>10211</v>
      </c>
      <c r="B2837" s="17" t="s">
        <v>10212</v>
      </c>
      <c r="C2837" s="17" t="s">
        <v>10213</v>
      </c>
      <c r="D2837" s="19" t="s">
        <v>10214</v>
      </c>
      <c r="E2837" s="20" t="s">
        <v>53</v>
      </c>
      <c r="F2837" s="21">
        <v>27458.0</v>
      </c>
      <c r="G2837" s="14">
        <v>51.0</v>
      </c>
      <c r="H2837" s="23" t="s">
        <v>26</v>
      </c>
      <c r="I2837" s="24" t="s">
        <v>33</v>
      </c>
      <c r="J2837" s="19" t="s">
        <v>282</v>
      </c>
      <c r="K2837" s="14">
        <v>17.0</v>
      </c>
      <c r="L2837" s="7"/>
      <c r="M2837" s="7"/>
      <c r="N2837" s="7"/>
      <c r="O2837" s="7"/>
      <c r="P2837" s="7"/>
      <c r="Q2837" s="7"/>
      <c r="R2837" s="7"/>
      <c r="S2837" s="7"/>
      <c r="T2837" s="7"/>
      <c r="U2837" s="7"/>
      <c r="V2837" s="7"/>
      <c r="W2837" s="7"/>
      <c r="X2837" s="7"/>
      <c r="Y2837" s="7"/>
    </row>
    <row r="2838">
      <c r="A2838" s="14" t="s">
        <v>10215</v>
      </c>
      <c r="B2838" s="17" t="s">
        <v>10212</v>
      </c>
      <c r="C2838" s="17" t="s">
        <v>10216</v>
      </c>
      <c r="D2838" s="19" t="s">
        <v>10217</v>
      </c>
      <c r="E2838" s="20" t="s">
        <v>195</v>
      </c>
      <c r="F2838" s="21">
        <v>30203.0</v>
      </c>
      <c r="G2838" s="14">
        <v>43.0</v>
      </c>
      <c r="H2838" s="23" t="s">
        <v>26</v>
      </c>
      <c r="I2838" s="24" t="s">
        <v>27</v>
      </c>
      <c r="J2838" s="19" t="s">
        <v>282</v>
      </c>
      <c r="K2838" s="14">
        <v>17.0</v>
      </c>
      <c r="L2838" s="7"/>
      <c r="M2838" s="7"/>
      <c r="N2838" s="7"/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7"/>
    </row>
    <row r="2839">
      <c r="A2839" s="14" t="s">
        <v>10218</v>
      </c>
      <c r="B2839" s="17" t="s">
        <v>10219</v>
      </c>
      <c r="C2839" s="17" t="s">
        <v>10220</v>
      </c>
      <c r="D2839" s="19" t="s">
        <v>10221</v>
      </c>
      <c r="E2839" s="20" t="s">
        <v>5570</v>
      </c>
      <c r="F2839" s="27">
        <v>35763.0</v>
      </c>
      <c r="G2839" s="14">
        <v>28.0</v>
      </c>
      <c r="H2839" s="23" t="s">
        <v>26</v>
      </c>
      <c r="I2839" s="24" t="s">
        <v>27</v>
      </c>
      <c r="J2839" s="19" t="s">
        <v>282</v>
      </c>
      <c r="K2839" s="14">
        <v>18.0</v>
      </c>
      <c r="L2839" s="7"/>
      <c r="M2839" s="7"/>
      <c r="N2839" s="7"/>
      <c r="O2839" s="7"/>
      <c r="P2839" s="7"/>
      <c r="Q2839" s="7"/>
      <c r="R2839" s="7"/>
      <c r="S2839" s="7"/>
      <c r="T2839" s="7"/>
      <c r="U2839" s="7"/>
      <c r="V2839" s="7"/>
      <c r="W2839" s="7"/>
      <c r="X2839" s="7"/>
      <c r="Y2839" s="7"/>
    </row>
    <row r="2840">
      <c r="A2840" s="14" t="s">
        <v>10222</v>
      </c>
      <c r="B2840" s="17" t="s">
        <v>10219</v>
      </c>
      <c r="C2840" s="17" t="s">
        <v>10223</v>
      </c>
      <c r="D2840" s="19" t="s">
        <v>10224</v>
      </c>
      <c r="E2840" s="20" t="s">
        <v>104</v>
      </c>
      <c r="F2840" s="21">
        <v>35634.0</v>
      </c>
      <c r="G2840" s="14">
        <v>29.0</v>
      </c>
      <c r="H2840" s="23" t="s">
        <v>26</v>
      </c>
      <c r="I2840" s="24" t="s">
        <v>33</v>
      </c>
      <c r="J2840" s="19" t="s">
        <v>282</v>
      </c>
      <c r="K2840" s="14">
        <v>18.0</v>
      </c>
      <c r="L2840" s="7"/>
      <c r="M2840" s="7"/>
      <c r="N2840" s="7"/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7"/>
    </row>
    <row r="2841">
      <c r="A2841" s="14" t="s">
        <v>10225</v>
      </c>
      <c r="B2841" s="17" t="s">
        <v>10226</v>
      </c>
      <c r="C2841" s="17" t="s">
        <v>10227</v>
      </c>
      <c r="D2841" s="19" t="s">
        <v>10228</v>
      </c>
      <c r="E2841" s="20" t="s">
        <v>10229</v>
      </c>
      <c r="F2841" s="21">
        <v>35925.0</v>
      </c>
      <c r="G2841" s="14">
        <v>28.0</v>
      </c>
      <c r="H2841" s="23" t="s">
        <v>26</v>
      </c>
      <c r="I2841" s="24" t="s">
        <v>27</v>
      </c>
      <c r="J2841" s="19" t="s">
        <v>53</v>
      </c>
      <c r="K2841" s="14">
        <v>34.0</v>
      </c>
      <c r="L2841" s="7"/>
      <c r="M2841" s="7"/>
      <c r="N2841" s="7"/>
      <c r="O2841" s="7"/>
      <c r="P2841" s="7"/>
      <c r="Q2841" s="7"/>
      <c r="R2841" s="7"/>
      <c r="S2841" s="7"/>
      <c r="T2841" s="7"/>
      <c r="U2841" s="7"/>
      <c r="V2841" s="7"/>
      <c r="W2841" s="7"/>
      <c r="X2841" s="7"/>
      <c r="Y2841" s="7"/>
    </row>
    <row r="2842">
      <c r="A2842" s="14" t="s">
        <v>10230</v>
      </c>
      <c r="B2842" s="17" t="s">
        <v>10226</v>
      </c>
      <c r="C2842" s="17" t="s">
        <v>10231</v>
      </c>
      <c r="D2842" s="19" t="s">
        <v>10232</v>
      </c>
      <c r="E2842" s="20" t="s">
        <v>104</v>
      </c>
      <c r="F2842" s="21">
        <v>35652.0</v>
      </c>
      <c r="G2842" s="14">
        <v>29.0</v>
      </c>
      <c r="H2842" s="23" t="s">
        <v>26</v>
      </c>
      <c r="I2842" s="24" t="s">
        <v>33</v>
      </c>
      <c r="J2842" s="19" t="s">
        <v>53</v>
      </c>
      <c r="K2842" s="14">
        <v>34.0</v>
      </c>
      <c r="L2842" s="7"/>
      <c r="M2842" s="7"/>
      <c r="N2842" s="7"/>
      <c r="O2842" s="7"/>
      <c r="P2842" s="7"/>
      <c r="Q2842" s="7"/>
      <c r="R2842" s="7"/>
      <c r="S2842" s="7"/>
      <c r="T2842" s="7"/>
      <c r="U2842" s="7"/>
      <c r="V2842" s="7"/>
      <c r="W2842" s="7"/>
      <c r="X2842" s="7"/>
      <c r="Y2842" s="7"/>
    </row>
    <row r="2843">
      <c r="A2843" s="14" t="s">
        <v>10233</v>
      </c>
      <c r="B2843" s="17" t="s">
        <v>10234</v>
      </c>
      <c r="C2843" s="17" t="s">
        <v>10235</v>
      </c>
      <c r="D2843" s="19" t="s">
        <v>10236</v>
      </c>
      <c r="E2843" s="20" t="s">
        <v>10237</v>
      </c>
      <c r="F2843" s="21">
        <v>25091.0</v>
      </c>
      <c r="G2843" s="14">
        <v>57.0</v>
      </c>
      <c r="H2843" s="23" t="s">
        <v>27</v>
      </c>
      <c r="I2843" s="24" t="s">
        <v>27</v>
      </c>
      <c r="J2843" s="19" t="s">
        <v>2196</v>
      </c>
      <c r="K2843" s="14">
        <v>11.0</v>
      </c>
      <c r="L2843" s="7"/>
      <c r="M2843" s="7"/>
      <c r="N2843" s="7"/>
      <c r="O2843" s="7"/>
      <c r="P2843" s="7"/>
      <c r="Q2843" s="7"/>
      <c r="R2843" s="7"/>
      <c r="S2843" s="7"/>
      <c r="T2843" s="7"/>
      <c r="U2843" s="7"/>
      <c r="V2843" s="7"/>
      <c r="W2843" s="7"/>
      <c r="X2843" s="7"/>
      <c r="Y2843" s="7"/>
    </row>
    <row r="2844">
      <c r="A2844" s="14" t="s">
        <v>10238</v>
      </c>
      <c r="B2844" s="17" t="s">
        <v>10234</v>
      </c>
      <c r="C2844" s="17" t="s">
        <v>10239</v>
      </c>
      <c r="D2844" s="19" t="s">
        <v>10240</v>
      </c>
      <c r="E2844" s="20" t="s">
        <v>104</v>
      </c>
      <c r="F2844" s="21">
        <v>37322.0</v>
      </c>
      <c r="G2844" s="14">
        <v>24.0</v>
      </c>
      <c r="H2844" s="23" t="s">
        <v>100</v>
      </c>
      <c r="I2844" s="24" t="s">
        <v>27</v>
      </c>
      <c r="J2844" s="19" t="s">
        <v>2196</v>
      </c>
      <c r="K2844" s="14">
        <v>11.0</v>
      </c>
      <c r="L2844" s="7"/>
      <c r="M2844" s="7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7"/>
    </row>
    <row r="2845">
      <c r="A2845" s="14" t="s">
        <v>10241</v>
      </c>
      <c r="B2845" s="17" t="s">
        <v>10234</v>
      </c>
      <c r="C2845" s="17" t="s">
        <v>10242</v>
      </c>
      <c r="D2845" s="19" t="s">
        <v>10243</v>
      </c>
      <c r="E2845" s="20" t="s">
        <v>104</v>
      </c>
      <c r="F2845" s="21">
        <v>36171.0</v>
      </c>
      <c r="G2845" s="14">
        <v>27.0</v>
      </c>
      <c r="H2845" s="23" t="s">
        <v>100</v>
      </c>
      <c r="I2845" s="24" t="s">
        <v>33</v>
      </c>
      <c r="J2845" s="19" t="s">
        <v>2196</v>
      </c>
      <c r="K2845" s="14">
        <v>11.0</v>
      </c>
      <c r="L2845" s="7"/>
      <c r="M2845" s="7"/>
      <c r="N2845" s="7"/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7"/>
    </row>
    <row r="2846">
      <c r="A2846" s="14" t="s">
        <v>10244</v>
      </c>
      <c r="B2846" s="17" t="s">
        <v>10245</v>
      </c>
      <c r="C2846" s="17" t="s">
        <v>10246</v>
      </c>
      <c r="D2846" s="19" t="s">
        <v>10247</v>
      </c>
      <c r="E2846" s="20" t="s">
        <v>632</v>
      </c>
      <c r="F2846" s="21">
        <v>25677.0</v>
      </c>
      <c r="G2846" s="14">
        <v>56.0</v>
      </c>
      <c r="H2846" s="23" t="s">
        <v>26</v>
      </c>
      <c r="I2846" s="24" t="s">
        <v>33</v>
      </c>
      <c r="J2846" s="19" t="s">
        <v>68</v>
      </c>
      <c r="K2846" s="14">
        <v>29.0</v>
      </c>
      <c r="L2846" s="7"/>
      <c r="M2846" s="7"/>
      <c r="N2846" s="7"/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7"/>
    </row>
    <row r="2847">
      <c r="A2847" s="14" t="s">
        <v>10248</v>
      </c>
      <c r="B2847" s="17" t="s">
        <v>10245</v>
      </c>
      <c r="C2847" s="17" t="s">
        <v>10249</v>
      </c>
      <c r="D2847" s="19" t="s">
        <v>10250</v>
      </c>
      <c r="E2847" s="20" t="s">
        <v>53</v>
      </c>
      <c r="F2847" s="21">
        <v>31073.0</v>
      </c>
      <c r="G2847" s="14">
        <v>41.0</v>
      </c>
      <c r="H2847" s="23" t="s">
        <v>26</v>
      </c>
      <c r="I2847" s="24" t="s">
        <v>27</v>
      </c>
      <c r="J2847" s="19" t="s">
        <v>68</v>
      </c>
      <c r="K2847" s="14">
        <v>29.0</v>
      </c>
      <c r="L2847" s="7"/>
      <c r="M2847" s="7"/>
      <c r="N2847" s="7"/>
      <c r="O2847" s="7"/>
      <c r="P2847" s="7"/>
      <c r="Q2847" s="7"/>
      <c r="R2847" s="7"/>
      <c r="S2847" s="7"/>
      <c r="T2847" s="7"/>
      <c r="U2847" s="7"/>
      <c r="V2847" s="7"/>
      <c r="W2847" s="7"/>
      <c r="X2847" s="7"/>
      <c r="Y2847" s="7"/>
    </row>
    <row r="2848">
      <c r="A2848" s="14" t="s">
        <v>10251</v>
      </c>
      <c r="B2848" s="17" t="s">
        <v>10252</v>
      </c>
      <c r="C2848" s="17" t="s">
        <v>10253</v>
      </c>
      <c r="D2848" s="19" t="s">
        <v>10254</v>
      </c>
      <c r="E2848" s="20" t="s">
        <v>1058</v>
      </c>
      <c r="F2848" s="21">
        <v>18361.0</v>
      </c>
      <c r="G2848" s="14">
        <v>76.0</v>
      </c>
      <c r="H2848" s="23" t="s">
        <v>26</v>
      </c>
      <c r="I2848" s="24" t="s">
        <v>27</v>
      </c>
      <c r="J2848" s="19" t="s">
        <v>726</v>
      </c>
      <c r="K2848" s="14">
        <v>14.0</v>
      </c>
      <c r="L2848" s="7"/>
      <c r="M2848" s="7"/>
      <c r="N2848" s="7"/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7"/>
    </row>
    <row r="2849">
      <c r="A2849" s="14" t="s">
        <v>10256</v>
      </c>
      <c r="B2849" s="17" t="s">
        <v>10252</v>
      </c>
      <c r="C2849" s="17" t="s">
        <v>10257</v>
      </c>
      <c r="D2849" s="19" t="s">
        <v>10258</v>
      </c>
      <c r="E2849" s="20" t="s">
        <v>1058</v>
      </c>
      <c r="F2849" s="21">
        <v>20280.0</v>
      </c>
      <c r="G2849" s="14">
        <v>71.0</v>
      </c>
      <c r="H2849" s="23" t="s">
        <v>26</v>
      </c>
      <c r="I2849" s="24" t="s">
        <v>33</v>
      </c>
      <c r="J2849" s="19" t="s">
        <v>726</v>
      </c>
      <c r="K2849" s="14">
        <v>14.0</v>
      </c>
      <c r="L2849" s="7"/>
      <c r="M2849" s="7"/>
      <c r="N2849" s="7"/>
      <c r="O2849" s="7"/>
      <c r="P2849" s="7"/>
      <c r="Q2849" s="7"/>
      <c r="R2849" s="7"/>
      <c r="S2849" s="7"/>
      <c r="T2849" s="7"/>
      <c r="U2849" s="7"/>
      <c r="V2849" s="7"/>
      <c r="W2849" s="7"/>
      <c r="X2849" s="7"/>
      <c r="Y2849" s="7"/>
    </row>
    <row r="2850">
      <c r="A2850" s="14" t="s">
        <v>10259</v>
      </c>
      <c r="B2850" s="17" t="s">
        <v>10260</v>
      </c>
      <c r="C2850" s="17" t="s">
        <v>10261</v>
      </c>
      <c r="D2850" s="19" t="s">
        <v>8423</v>
      </c>
      <c r="E2850" s="20" t="s">
        <v>112</v>
      </c>
      <c r="F2850" s="27">
        <v>19292.0</v>
      </c>
      <c r="G2850" s="14">
        <v>73.0</v>
      </c>
      <c r="H2850" s="23" t="s">
        <v>27</v>
      </c>
      <c r="I2850" s="24" t="s">
        <v>27</v>
      </c>
      <c r="J2850" s="19" t="s">
        <v>3387</v>
      </c>
      <c r="K2850" s="14">
        <v>9.0</v>
      </c>
      <c r="L2850" s="7"/>
      <c r="M2850" s="7"/>
      <c r="N2850" s="7"/>
      <c r="O2850" s="7"/>
      <c r="P2850" s="7"/>
      <c r="Q2850" s="7"/>
      <c r="R2850" s="7"/>
      <c r="S2850" s="7"/>
      <c r="T2850" s="7"/>
      <c r="U2850" s="7"/>
      <c r="V2850" s="7"/>
      <c r="W2850" s="7"/>
      <c r="X2850" s="7"/>
      <c r="Y2850" s="7"/>
    </row>
    <row r="2851">
      <c r="A2851" s="14" t="s">
        <v>10262</v>
      </c>
      <c r="B2851" s="17" t="s">
        <v>10263</v>
      </c>
      <c r="C2851" s="17" t="s">
        <v>10264</v>
      </c>
      <c r="D2851" s="19" t="s">
        <v>10265</v>
      </c>
      <c r="E2851" s="20" t="s">
        <v>10266</v>
      </c>
      <c r="F2851" s="21">
        <v>30076.0</v>
      </c>
      <c r="G2851" s="14">
        <v>44.0</v>
      </c>
      <c r="H2851" s="23" t="s">
        <v>26</v>
      </c>
      <c r="I2851" s="24" t="s">
        <v>33</v>
      </c>
      <c r="J2851" s="19" t="s">
        <v>206</v>
      </c>
      <c r="K2851" s="14">
        <v>2.0</v>
      </c>
      <c r="L2851" s="7"/>
      <c r="M2851" s="7"/>
      <c r="N2851" s="7"/>
      <c r="O2851" s="7"/>
      <c r="P2851" s="7"/>
      <c r="Q2851" s="7"/>
      <c r="R2851" s="7"/>
      <c r="S2851" s="7"/>
      <c r="T2851" s="7"/>
      <c r="U2851" s="7"/>
      <c r="V2851" s="7"/>
      <c r="W2851" s="7"/>
      <c r="X2851" s="7"/>
      <c r="Y2851" s="7"/>
    </row>
    <row r="2852">
      <c r="A2852" s="14" t="s">
        <v>10267</v>
      </c>
      <c r="B2852" s="17" t="s">
        <v>10263</v>
      </c>
      <c r="C2852" s="17" t="s">
        <v>10268</v>
      </c>
      <c r="D2852" s="19" t="s">
        <v>10269</v>
      </c>
      <c r="E2852" s="20" t="s">
        <v>1291</v>
      </c>
      <c r="F2852" s="21">
        <v>25096.0</v>
      </c>
      <c r="G2852" s="14">
        <v>57.0</v>
      </c>
      <c r="H2852" s="23" t="s">
        <v>26</v>
      </c>
      <c r="I2852" s="24" t="s">
        <v>27</v>
      </c>
      <c r="J2852" s="19" t="s">
        <v>206</v>
      </c>
      <c r="K2852" s="14">
        <v>2.0</v>
      </c>
      <c r="L2852" s="7"/>
      <c r="M2852" s="7"/>
      <c r="N2852" s="7"/>
      <c r="O2852" s="7"/>
      <c r="P2852" s="7"/>
      <c r="Q2852" s="7"/>
      <c r="R2852" s="7"/>
      <c r="S2852" s="7"/>
      <c r="T2852" s="7"/>
      <c r="U2852" s="7"/>
      <c r="V2852" s="7"/>
      <c r="W2852" s="7"/>
      <c r="X2852" s="7"/>
      <c r="Y2852" s="7"/>
    </row>
    <row r="2853">
      <c r="A2853" s="14" t="s">
        <v>10270</v>
      </c>
      <c r="B2853" s="17" t="s">
        <v>10271</v>
      </c>
      <c r="C2853" s="17" t="s">
        <v>10272</v>
      </c>
      <c r="D2853" s="19" t="s">
        <v>10273</v>
      </c>
      <c r="E2853" s="20" t="s">
        <v>104</v>
      </c>
      <c r="F2853" s="21">
        <v>35209.0</v>
      </c>
      <c r="G2853" s="14">
        <v>30.0</v>
      </c>
      <c r="H2853" s="23" t="s">
        <v>26</v>
      </c>
      <c r="I2853" s="24" t="s">
        <v>27</v>
      </c>
      <c r="J2853" s="19" t="s">
        <v>328</v>
      </c>
      <c r="K2853" s="14">
        <v>21.0</v>
      </c>
      <c r="L2853" s="7"/>
      <c r="M2853" s="7"/>
      <c r="N2853" s="7"/>
      <c r="O2853" s="7"/>
      <c r="P2853" s="7"/>
      <c r="Q2853" s="7"/>
      <c r="R2853" s="7"/>
      <c r="S2853" s="7"/>
      <c r="T2853" s="7"/>
      <c r="U2853" s="7"/>
      <c r="V2853" s="7"/>
      <c r="W2853" s="7"/>
      <c r="X2853" s="7"/>
      <c r="Y2853" s="7"/>
    </row>
    <row r="2854">
      <c r="A2854" s="14" t="s">
        <v>10274</v>
      </c>
      <c r="B2854" s="17" t="s">
        <v>10271</v>
      </c>
      <c r="C2854" s="17" t="s">
        <v>10275</v>
      </c>
      <c r="D2854" s="19" t="s">
        <v>10276</v>
      </c>
      <c r="E2854" s="20" t="s">
        <v>104</v>
      </c>
      <c r="F2854" s="21">
        <v>34464.0</v>
      </c>
      <c r="G2854" s="14">
        <v>32.0</v>
      </c>
      <c r="H2854" s="23" t="s">
        <v>26</v>
      </c>
      <c r="I2854" s="24" t="s">
        <v>33</v>
      </c>
      <c r="J2854" s="19" t="s">
        <v>328</v>
      </c>
      <c r="K2854" s="14">
        <v>21.0</v>
      </c>
      <c r="L2854" s="7"/>
      <c r="M2854" s="7"/>
      <c r="N2854" s="7"/>
      <c r="O2854" s="7"/>
      <c r="P2854" s="7"/>
      <c r="Q2854" s="7"/>
      <c r="R2854" s="7"/>
      <c r="S2854" s="7"/>
      <c r="T2854" s="7"/>
      <c r="U2854" s="7"/>
      <c r="V2854" s="7"/>
      <c r="W2854" s="7"/>
      <c r="X2854" s="7"/>
      <c r="Y2854" s="7"/>
    </row>
    <row r="2855">
      <c r="A2855" s="14" t="s">
        <v>10277</v>
      </c>
      <c r="B2855" s="17" t="s">
        <v>10278</v>
      </c>
      <c r="C2855" s="17" t="s">
        <v>10279</v>
      </c>
      <c r="D2855" s="19" t="s">
        <v>10280</v>
      </c>
      <c r="E2855" s="20" t="s">
        <v>421</v>
      </c>
      <c r="F2855" s="21">
        <v>32906.0</v>
      </c>
      <c r="G2855" s="14">
        <v>36.0</v>
      </c>
      <c r="H2855" s="23" t="s">
        <v>26</v>
      </c>
      <c r="I2855" s="24" t="s">
        <v>33</v>
      </c>
      <c r="J2855" s="19" t="s">
        <v>257</v>
      </c>
      <c r="K2855" s="14">
        <v>18.0</v>
      </c>
      <c r="L2855" s="7"/>
      <c r="M2855" s="7"/>
      <c r="N2855" s="7"/>
      <c r="O2855" s="7"/>
      <c r="P2855" s="7"/>
      <c r="Q2855" s="7"/>
      <c r="R2855" s="7"/>
      <c r="S2855" s="7"/>
      <c r="T2855" s="7"/>
      <c r="U2855" s="7"/>
      <c r="V2855" s="7"/>
      <c r="W2855" s="7"/>
      <c r="X2855" s="7"/>
      <c r="Y2855" s="7"/>
    </row>
    <row r="2856">
      <c r="A2856" s="14" t="s">
        <v>10281</v>
      </c>
      <c r="B2856" s="17" t="s">
        <v>10278</v>
      </c>
      <c r="C2856" s="17" t="s">
        <v>10282</v>
      </c>
      <c r="D2856" s="19" t="s">
        <v>10283</v>
      </c>
      <c r="E2856" s="20" t="s">
        <v>104</v>
      </c>
      <c r="F2856" s="21">
        <v>34177.0</v>
      </c>
      <c r="G2856" s="14">
        <v>33.0</v>
      </c>
      <c r="H2856" s="23" t="s">
        <v>26</v>
      </c>
      <c r="I2856" s="24" t="s">
        <v>27</v>
      </c>
      <c r="J2856" s="19" t="s">
        <v>257</v>
      </c>
      <c r="K2856" s="14">
        <v>18.0</v>
      </c>
      <c r="L2856" s="7"/>
      <c r="M2856" s="7"/>
      <c r="N2856" s="7"/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7"/>
    </row>
    <row r="2857">
      <c r="A2857" s="14" t="s">
        <v>10284</v>
      </c>
      <c r="B2857" s="17" t="s">
        <v>10285</v>
      </c>
      <c r="C2857" s="17" t="s">
        <v>10286</v>
      </c>
      <c r="D2857" s="19" t="s">
        <v>10287</v>
      </c>
      <c r="E2857" s="20" t="s">
        <v>104</v>
      </c>
      <c r="F2857" s="21">
        <v>37538.0</v>
      </c>
      <c r="G2857" s="14">
        <v>23.0</v>
      </c>
      <c r="H2857" s="23" t="s">
        <v>100</v>
      </c>
      <c r="I2857" s="24" t="s">
        <v>33</v>
      </c>
      <c r="J2857" s="19" t="s">
        <v>53</v>
      </c>
      <c r="K2857" s="14">
        <v>10.0</v>
      </c>
      <c r="L2857" s="7"/>
      <c r="M2857" s="7"/>
      <c r="N2857" s="7"/>
      <c r="O2857" s="7"/>
      <c r="P2857" s="7"/>
      <c r="Q2857" s="7"/>
      <c r="R2857" s="7"/>
      <c r="S2857" s="7"/>
      <c r="T2857" s="7"/>
      <c r="U2857" s="7"/>
      <c r="V2857" s="7"/>
      <c r="W2857" s="7"/>
      <c r="X2857" s="7"/>
      <c r="Y2857" s="7"/>
    </row>
    <row r="2858">
      <c r="A2858" s="14" t="s">
        <v>10288</v>
      </c>
      <c r="B2858" s="17" t="s">
        <v>10285</v>
      </c>
      <c r="C2858" s="17" t="s">
        <v>10289</v>
      </c>
      <c r="D2858" s="19" t="s">
        <v>10290</v>
      </c>
      <c r="E2858" s="20" t="s">
        <v>10291</v>
      </c>
      <c r="F2858" s="21">
        <v>21652.0</v>
      </c>
      <c r="G2858" s="14">
        <v>67.0</v>
      </c>
      <c r="H2858" s="23" t="s">
        <v>27</v>
      </c>
      <c r="I2858" s="24" t="s">
        <v>33</v>
      </c>
      <c r="J2858" s="19" t="s">
        <v>53</v>
      </c>
      <c r="K2858" s="14">
        <v>10.0</v>
      </c>
      <c r="L2858" s="7"/>
      <c r="M2858" s="7"/>
      <c r="N2858" s="7"/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7"/>
    </row>
    <row r="2859">
      <c r="A2859" s="14" t="s">
        <v>10292</v>
      </c>
      <c r="B2859" s="17" t="s">
        <v>10293</v>
      </c>
      <c r="C2859" s="17" t="s">
        <v>10294</v>
      </c>
      <c r="D2859" s="19" t="s">
        <v>10295</v>
      </c>
      <c r="E2859" s="20" t="s">
        <v>138</v>
      </c>
      <c r="F2859" s="27">
        <v>36515.0</v>
      </c>
      <c r="G2859" s="14">
        <v>26.0</v>
      </c>
      <c r="H2859" s="23" t="s">
        <v>26</v>
      </c>
      <c r="I2859" s="24" t="s">
        <v>27</v>
      </c>
      <c r="J2859" s="19" t="s">
        <v>95</v>
      </c>
      <c r="K2859" s="14">
        <v>13.0</v>
      </c>
      <c r="L2859" s="7"/>
      <c r="M2859" s="7"/>
      <c r="N2859" s="7"/>
      <c r="O2859" s="7"/>
      <c r="P2859" s="7"/>
      <c r="Q2859" s="7"/>
      <c r="R2859" s="7"/>
      <c r="S2859" s="7"/>
      <c r="T2859" s="7"/>
      <c r="U2859" s="7"/>
      <c r="V2859" s="7"/>
      <c r="W2859" s="7"/>
      <c r="X2859" s="7"/>
      <c r="Y2859" s="7"/>
    </row>
    <row r="2860">
      <c r="A2860" s="14" t="s">
        <v>10296</v>
      </c>
      <c r="B2860" s="17" t="s">
        <v>10293</v>
      </c>
      <c r="C2860" s="17" t="s">
        <v>10297</v>
      </c>
      <c r="D2860" s="19" t="s">
        <v>10298</v>
      </c>
      <c r="E2860" s="20" t="s">
        <v>150</v>
      </c>
      <c r="F2860" s="21">
        <v>36725.0</v>
      </c>
      <c r="G2860" s="14">
        <v>26.0</v>
      </c>
      <c r="H2860" s="23" t="s">
        <v>26</v>
      </c>
      <c r="I2860" s="24" t="s">
        <v>33</v>
      </c>
      <c r="J2860" s="19" t="s">
        <v>95</v>
      </c>
      <c r="K2860" s="14">
        <v>13.0</v>
      </c>
      <c r="L2860" s="7"/>
      <c r="M2860" s="7"/>
      <c r="N2860" s="7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</row>
    <row r="2861">
      <c r="A2861" s="14" t="s">
        <v>10299</v>
      </c>
      <c r="B2861" s="17" t="s">
        <v>10300</v>
      </c>
      <c r="C2861" s="17" t="s">
        <v>10301</v>
      </c>
      <c r="D2861" s="19" t="s">
        <v>10302</v>
      </c>
      <c r="E2861" s="20" t="s">
        <v>880</v>
      </c>
      <c r="F2861" s="21">
        <v>16511.0</v>
      </c>
      <c r="G2861" s="14">
        <v>81.0</v>
      </c>
      <c r="H2861" s="23" t="s">
        <v>26</v>
      </c>
      <c r="I2861" s="24" t="s">
        <v>27</v>
      </c>
      <c r="J2861" s="19" t="s">
        <v>53</v>
      </c>
      <c r="K2861" s="14">
        <v>18.0</v>
      </c>
      <c r="L2861" s="7"/>
      <c r="M2861" s="7"/>
      <c r="N2861" s="7"/>
      <c r="O2861" s="7"/>
      <c r="P2861" s="7"/>
      <c r="Q2861" s="7"/>
      <c r="R2861" s="7"/>
      <c r="S2861" s="7"/>
      <c r="T2861" s="7"/>
      <c r="U2861" s="7"/>
      <c r="V2861" s="7"/>
      <c r="W2861" s="7"/>
      <c r="X2861" s="7"/>
      <c r="Y2861" s="7"/>
    </row>
    <row r="2862">
      <c r="A2862" s="14" t="s">
        <v>10303</v>
      </c>
      <c r="B2862" s="17" t="s">
        <v>10300</v>
      </c>
      <c r="C2862" s="17" t="s">
        <v>10304</v>
      </c>
      <c r="D2862" s="19" t="s">
        <v>10305</v>
      </c>
      <c r="E2862" s="20" t="s">
        <v>10306</v>
      </c>
      <c r="F2862" s="21">
        <v>15463.0</v>
      </c>
      <c r="G2862" s="14">
        <v>84.0</v>
      </c>
      <c r="H2862" s="23" t="s">
        <v>26</v>
      </c>
      <c r="I2862" s="24" t="s">
        <v>33</v>
      </c>
      <c r="J2862" s="19" t="s">
        <v>53</v>
      </c>
      <c r="K2862" s="14">
        <v>18.0</v>
      </c>
      <c r="L2862" s="7"/>
      <c r="M2862" s="7"/>
      <c r="N2862" s="7"/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7"/>
    </row>
    <row r="2863">
      <c r="A2863" s="14" t="s">
        <v>10307</v>
      </c>
      <c r="B2863" s="17" t="s">
        <v>10308</v>
      </c>
      <c r="C2863" s="17" t="s">
        <v>10309</v>
      </c>
      <c r="D2863" s="19" t="s">
        <v>10310</v>
      </c>
      <c r="E2863" s="20" t="s">
        <v>53</v>
      </c>
      <c r="F2863" s="21">
        <v>38954.0</v>
      </c>
      <c r="G2863" s="14">
        <v>20.0</v>
      </c>
      <c r="H2863" s="23" t="s">
        <v>100</v>
      </c>
      <c r="I2863" s="24" t="s">
        <v>27</v>
      </c>
      <c r="J2863" s="19" t="s">
        <v>53</v>
      </c>
      <c r="K2863" s="14">
        <v>18.0</v>
      </c>
      <c r="L2863" s="7"/>
      <c r="M2863" s="7"/>
      <c r="N2863" s="7"/>
      <c r="O2863" s="7"/>
      <c r="P2863" s="7"/>
      <c r="Q2863" s="7"/>
      <c r="R2863" s="7"/>
      <c r="S2863" s="7"/>
      <c r="T2863" s="7"/>
      <c r="U2863" s="7"/>
      <c r="V2863" s="7"/>
      <c r="W2863" s="7"/>
      <c r="X2863" s="7"/>
      <c r="Y2863" s="7"/>
    </row>
    <row r="2864">
      <c r="A2864" s="14" t="s">
        <v>10311</v>
      </c>
      <c r="B2864" s="17" t="s">
        <v>10308</v>
      </c>
      <c r="C2864" s="17" t="s">
        <v>10312</v>
      </c>
      <c r="D2864" s="19" t="s">
        <v>8108</v>
      </c>
      <c r="E2864" s="20" t="s">
        <v>1058</v>
      </c>
      <c r="F2864" s="21">
        <v>27231.0</v>
      </c>
      <c r="G2864" s="14">
        <v>52.0</v>
      </c>
      <c r="H2864" s="23" t="s">
        <v>26</v>
      </c>
      <c r="I2864" s="24" t="s">
        <v>27</v>
      </c>
      <c r="J2864" s="19" t="s">
        <v>53</v>
      </c>
      <c r="K2864" s="14">
        <v>18.0</v>
      </c>
      <c r="L2864" s="7"/>
      <c r="M2864" s="7"/>
      <c r="N2864" s="7"/>
      <c r="O2864" s="7"/>
      <c r="P2864" s="7"/>
      <c r="Q2864" s="7"/>
      <c r="R2864" s="7"/>
      <c r="S2864" s="7"/>
      <c r="T2864" s="7"/>
      <c r="U2864" s="7"/>
      <c r="V2864" s="7"/>
      <c r="W2864" s="7"/>
      <c r="X2864" s="7"/>
      <c r="Y2864" s="7"/>
    </row>
    <row r="2865">
      <c r="A2865" s="14" t="s">
        <v>10313</v>
      </c>
      <c r="B2865" s="17" t="s">
        <v>10308</v>
      </c>
      <c r="C2865" s="17" t="s">
        <v>10314</v>
      </c>
      <c r="D2865" s="19" t="s">
        <v>1143</v>
      </c>
      <c r="E2865" s="20" t="s">
        <v>1058</v>
      </c>
      <c r="F2865" s="21">
        <v>28360.0</v>
      </c>
      <c r="G2865" s="14">
        <v>49.0</v>
      </c>
      <c r="H2865" s="23" t="s">
        <v>26</v>
      </c>
      <c r="I2865" s="24" t="s">
        <v>33</v>
      </c>
      <c r="J2865" s="19" t="s">
        <v>53</v>
      </c>
      <c r="K2865" s="14">
        <v>18.0</v>
      </c>
      <c r="L2865" s="7"/>
      <c r="M2865" s="7"/>
      <c r="N2865" s="7"/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7"/>
    </row>
    <row r="2866">
      <c r="A2866" s="14" t="s">
        <v>10315</v>
      </c>
      <c r="B2866" s="17" t="s">
        <v>10316</v>
      </c>
      <c r="C2866" s="17" t="s">
        <v>10317</v>
      </c>
      <c r="D2866" s="19" t="s">
        <v>10318</v>
      </c>
      <c r="E2866" s="20" t="s">
        <v>666</v>
      </c>
      <c r="F2866" s="27">
        <v>23325.0</v>
      </c>
      <c r="G2866" s="14">
        <v>62.0</v>
      </c>
      <c r="H2866" s="23" t="s">
        <v>26</v>
      </c>
      <c r="I2866" s="24" t="s">
        <v>33</v>
      </c>
      <c r="J2866" s="19" t="s">
        <v>53</v>
      </c>
      <c r="K2866" s="14">
        <v>18.0</v>
      </c>
      <c r="L2866" s="7"/>
      <c r="M2866" s="7"/>
      <c r="N2866" s="7"/>
      <c r="O2866" s="7"/>
      <c r="P2866" s="7"/>
      <c r="Q2866" s="7"/>
      <c r="R2866" s="7"/>
      <c r="S2866" s="7"/>
      <c r="T2866" s="7"/>
      <c r="U2866" s="7"/>
      <c r="V2866" s="7"/>
      <c r="W2866" s="7"/>
      <c r="X2866" s="7"/>
      <c r="Y2866" s="7"/>
    </row>
    <row r="2867">
      <c r="A2867" s="14" t="s">
        <v>10319</v>
      </c>
      <c r="B2867" s="17" t="s">
        <v>10316</v>
      </c>
      <c r="C2867" s="17" t="s">
        <v>10320</v>
      </c>
      <c r="D2867" s="19" t="s">
        <v>3759</v>
      </c>
      <c r="E2867" s="20" t="s">
        <v>1049</v>
      </c>
      <c r="F2867" s="21">
        <v>24385.0</v>
      </c>
      <c r="G2867" s="14">
        <v>59.0</v>
      </c>
      <c r="H2867" s="23" t="s">
        <v>26</v>
      </c>
      <c r="I2867" s="24" t="s">
        <v>27</v>
      </c>
      <c r="J2867" s="19" t="s">
        <v>53</v>
      </c>
      <c r="K2867" s="14">
        <v>18.0</v>
      </c>
      <c r="L2867" s="7"/>
      <c r="M2867" s="7"/>
      <c r="N2867" s="7"/>
      <c r="O2867" s="7"/>
      <c r="P2867" s="7"/>
      <c r="Q2867" s="7"/>
      <c r="R2867" s="7"/>
      <c r="S2867" s="7"/>
      <c r="T2867" s="7"/>
      <c r="U2867" s="7"/>
      <c r="V2867" s="7"/>
      <c r="W2867" s="7"/>
      <c r="X2867" s="7"/>
      <c r="Y2867" s="7"/>
    </row>
    <row r="2868">
      <c r="A2868" s="14" t="s">
        <v>10321</v>
      </c>
      <c r="B2868" s="17" t="s">
        <v>10322</v>
      </c>
      <c r="C2868" s="17" t="s">
        <v>10323</v>
      </c>
      <c r="D2868" s="19" t="s">
        <v>10324</v>
      </c>
      <c r="E2868" s="20" t="s">
        <v>1903</v>
      </c>
      <c r="F2868" s="21">
        <v>23457.0</v>
      </c>
      <c r="G2868" s="14">
        <v>62.0</v>
      </c>
      <c r="H2868" s="23" t="s">
        <v>26</v>
      </c>
      <c r="I2868" s="24" t="s">
        <v>33</v>
      </c>
      <c r="J2868" s="19" t="s">
        <v>53</v>
      </c>
      <c r="K2868" s="14">
        <v>18.0</v>
      </c>
      <c r="L2868" s="7"/>
      <c r="M2868" s="7"/>
      <c r="N2868" s="7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</row>
    <row r="2869">
      <c r="A2869" s="14" t="s">
        <v>10325</v>
      </c>
      <c r="B2869" s="17" t="s">
        <v>10322</v>
      </c>
      <c r="C2869" s="17" t="s">
        <v>10326</v>
      </c>
      <c r="D2869" s="19" t="s">
        <v>10327</v>
      </c>
      <c r="E2869" s="20" t="s">
        <v>219</v>
      </c>
      <c r="F2869" s="21">
        <v>26746.0</v>
      </c>
      <c r="G2869" s="14">
        <v>53.0</v>
      </c>
      <c r="H2869" s="23" t="s">
        <v>26</v>
      </c>
      <c r="I2869" s="24" t="s">
        <v>27</v>
      </c>
      <c r="J2869" s="19" t="s">
        <v>53</v>
      </c>
      <c r="K2869" s="14">
        <v>18.0</v>
      </c>
      <c r="L2869" s="7"/>
      <c r="M2869" s="7"/>
      <c r="N2869" s="7"/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7"/>
    </row>
    <row r="2870">
      <c r="A2870" s="14" t="s">
        <v>10328</v>
      </c>
      <c r="B2870" s="17" t="s">
        <v>10322</v>
      </c>
      <c r="C2870" s="17" t="s">
        <v>10329</v>
      </c>
      <c r="D2870" s="19" t="s">
        <v>10330</v>
      </c>
      <c r="E2870" s="20" t="s">
        <v>104</v>
      </c>
      <c r="F2870" s="21">
        <v>37091.0</v>
      </c>
      <c r="G2870" s="14">
        <v>25.0</v>
      </c>
      <c r="H2870" s="23" t="s">
        <v>100</v>
      </c>
      <c r="I2870" s="24" t="s">
        <v>33</v>
      </c>
      <c r="J2870" s="19" t="s">
        <v>53</v>
      </c>
      <c r="K2870" s="14">
        <v>18.0</v>
      </c>
      <c r="L2870" s="7"/>
      <c r="M2870" s="7"/>
      <c r="N2870" s="7"/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</row>
    <row r="2871">
      <c r="A2871" s="14" t="s">
        <v>10331</v>
      </c>
      <c r="B2871" s="17" t="s">
        <v>10332</v>
      </c>
      <c r="C2871" s="17" t="s">
        <v>10333</v>
      </c>
      <c r="D2871" s="19" t="s">
        <v>10334</v>
      </c>
      <c r="E2871" s="20" t="s">
        <v>104</v>
      </c>
      <c r="F2871" s="21">
        <v>37393.0</v>
      </c>
      <c r="G2871" s="14">
        <v>24.0</v>
      </c>
      <c r="H2871" s="23" t="s">
        <v>100</v>
      </c>
      <c r="I2871" s="24" t="s">
        <v>27</v>
      </c>
      <c r="J2871" s="19" t="s">
        <v>726</v>
      </c>
      <c r="K2871" s="14">
        <v>18.0</v>
      </c>
      <c r="L2871" s="7"/>
      <c r="M2871" s="7"/>
      <c r="N2871" s="7"/>
      <c r="O2871" s="7"/>
      <c r="P2871" s="7"/>
      <c r="Q2871" s="7"/>
      <c r="R2871" s="7"/>
      <c r="S2871" s="7"/>
      <c r="T2871" s="7"/>
      <c r="U2871" s="7"/>
      <c r="V2871" s="7"/>
      <c r="W2871" s="7"/>
      <c r="X2871" s="7"/>
      <c r="Y2871" s="7"/>
    </row>
    <row r="2872">
      <c r="A2872" s="14" t="s">
        <v>10335</v>
      </c>
      <c r="B2872" s="17" t="s">
        <v>10332</v>
      </c>
      <c r="C2872" s="17" t="s">
        <v>10336</v>
      </c>
      <c r="D2872" s="19" t="s">
        <v>5617</v>
      </c>
      <c r="E2872" s="20" t="s">
        <v>1049</v>
      </c>
      <c r="F2872" s="21">
        <v>25004.0</v>
      </c>
      <c r="G2872" s="14">
        <v>58.0</v>
      </c>
      <c r="H2872" s="23" t="s">
        <v>26</v>
      </c>
      <c r="I2872" s="24" t="s">
        <v>33</v>
      </c>
      <c r="J2872" s="19" t="s">
        <v>726</v>
      </c>
      <c r="K2872" s="14">
        <v>18.0</v>
      </c>
      <c r="L2872" s="7"/>
      <c r="M2872" s="7"/>
      <c r="N2872" s="7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</row>
    <row r="2873">
      <c r="A2873" s="14" t="s">
        <v>10337</v>
      </c>
      <c r="B2873" s="17" t="s">
        <v>10332</v>
      </c>
      <c r="C2873" s="17" t="s">
        <v>10338</v>
      </c>
      <c r="D2873" s="19" t="s">
        <v>10339</v>
      </c>
      <c r="E2873" s="20" t="s">
        <v>650</v>
      </c>
      <c r="F2873" s="21">
        <v>26521.0</v>
      </c>
      <c r="G2873" s="14">
        <v>54.0</v>
      </c>
      <c r="H2873" s="23" t="s">
        <v>26</v>
      </c>
      <c r="I2873" s="24" t="s">
        <v>27</v>
      </c>
      <c r="J2873" s="19" t="s">
        <v>726</v>
      </c>
      <c r="K2873" s="14">
        <v>18.0</v>
      </c>
      <c r="L2873" s="7"/>
      <c r="M2873" s="7"/>
      <c r="N2873" s="7"/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7"/>
    </row>
    <row r="2874">
      <c r="A2874" s="14" t="s">
        <v>10340</v>
      </c>
      <c r="B2874" s="17" t="s">
        <v>10341</v>
      </c>
      <c r="C2874" s="17" t="s">
        <v>10342</v>
      </c>
      <c r="D2874" s="19" t="s">
        <v>10343</v>
      </c>
      <c r="E2874" s="20" t="s">
        <v>650</v>
      </c>
      <c r="F2874" s="21">
        <v>16537.0</v>
      </c>
      <c r="G2874" s="14">
        <v>81.0</v>
      </c>
      <c r="H2874" s="23" t="s">
        <v>26</v>
      </c>
      <c r="I2874" s="24" t="s">
        <v>33</v>
      </c>
      <c r="J2874" s="19" t="s">
        <v>517</v>
      </c>
      <c r="K2874" s="14">
        <v>7.0</v>
      </c>
      <c r="L2874" s="7"/>
      <c r="M2874" s="7"/>
      <c r="N2874" s="7"/>
      <c r="O2874" s="7"/>
      <c r="P2874" s="7"/>
      <c r="Q2874" s="7"/>
      <c r="R2874" s="7"/>
      <c r="S2874" s="7"/>
      <c r="T2874" s="7"/>
      <c r="U2874" s="7"/>
      <c r="V2874" s="7"/>
      <c r="W2874" s="7"/>
      <c r="X2874" s="7"/>
      <c r="Y2874" s="7"/>
    </row>
    <row r="2875">
      <c r="A2875" s="14" t="s">
        <v>10344</v>
      </c>
      <c r="B2875" s="17" t="s">
        <v>10341</v>
      </c>
      <c r="C2875" s="17" t="s">
        <v>10345</v>
      </c>
      <c r="D2875" s="19" t="s">
        <v>554</v>
      </c>
      <c r="E2875" s="20" t="s">
        <v>650</v>
      </c>
      <c r="F2875" s="21">
        <v>19637.0</v>
      </c>
      <c r="G2875" s="14">
        <v>72.0</v>
      </c>
      <c r="H2875" s="23" t="s">
        <v>26</v>
      </c>
      <c r="I2875" s="24" t="s">
        <v>27</v>
      </c>
      <c r="J2875" s="19" t="s">
        <v>517</v>
      </c>
      <c r="K2875" s="14">
        <v>8.0</v>
      </c>
      <c r="L2875" s="7"/>
      <c r="M2875" s="7"/>
      <c r="N2875" s="7"/>
      <c r="O2875" s="7"/>
      <c r="P2875" s="7"/>
      <c r="Q2875" s="7"/>
      <c r="R2875" s="7"/>
      <c r="S2875" s="7"/>
      <c r="T2875" s="7"/>
      <c r="U2875" s="7"/>
      <c r="V2875" s="7"/>
      <c r="W2875" s="7"/>
      <c r="X2875" s="7"/>
      <c r="Y2875" s="7"/>
    </row>
    <row r="2876">
      <c r="A2876" s="14" t="s">
        <v>10346</v>
      </c>
      <c r="B2876" s="17" t="s">
        <v>10347</v>
      </c>
      <c r="C2876" s="17" t="s">
        <v>10348</v>
      </c>
      <c r="D2876" s="19" t="s">
        <v>10349</v>
      </c>
      <c r="E2876" s="20" t="s">
        <v>53</v>
      </c>
      <c r="F2876" s="21">
        <v>38558.0</v>
      </c>
      <c r="G2876" s="14">
        <v>21.0</v>
      </c>
      <c r="H2876" s="23" t="s">
        <v>100</v>
      </c>
      <c r="I2876" s="24" t="s">
        <v>27</v>
      </c>
      <c r="J2876" s="19" t="s">
        <v>58</v>
      </c>
      <c r="K2876" s="14">
        <v>7.0</v>
      </c>
      <c r="L2876" s="7"/>
      <c r="M2876" s="7"/>
      <c r="N2876" s="7"/>
      <c r="O2876" s="7"/>
      <c r="P2876" s="7"/>
      <c r="Q2876" s="7"/>
      <c r="R2876" s="7"/>
      <c r="S2876" s="7"/>
      <c r="T2876" s="7"/>
      <c r="U2876" s="7"/>
      <c r="V2876" s="7"/>
      <c r="W2876" s="7"/>
      <c r="X2876" s="7"/>
      <c r="Y2876" s="7"/>
    </row>
    <row r="2877">
      <c r="A2877" s="14" t="s">
        <v>10350</v>
      </c>
      <c r="B2877" s="17" t="s">
        <v>10347</v>
      </c>
      <c r="C2877" s="17" t="s">
        <v>10351</v>
      </c>
      <c r="D2877" s="19" t="s">
        <v>10352</v>
      </c>
      <c r="E2877" s="20" t="s">
        <v>67</v>
      </c>
      <c r="F2877" s="21">
        <v>26913.0</v>
      </c>
      <c r="G2877" s="14">
        <v>52.0</v>
      </c>
      <c r="H2877" s="23" t="s">
        <v>26</v>
      </c>
      <c r="I2877" s="24" t="s">
        <v>33</v>
      </c>
      <c r="J2877" s="19" t="s">
        <v>58</v>
      </c>
      <c r="K2877" s="14">
        <v>7.0</v>
      </c>
      <c r="L2877" s="7"/>
      <c r="M2877" s="7"/>
      <c r="N2877" s="7"/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7"/>
    </row>
    <row r="2878">
      <c r="A2878" s="14" t="s">
        <v>10353</v>
      </c>
      <c r="B2878" s="17" t="s">
        <v>10347</v>
      </c>
      <c r="C2878" s="17" t="s">
        <v>10354</v>
      </c>
      <c r="D2878" s="19" t="s">
        <v>10355</v>
      </c>
      <c r="E2878" s="20" t="s">
        <v>1291</v>
      </c>
      <c r="F2878" s="27">
        <v>27741.0</v>
      </c>
      <c r="G2878" s="14">
        <v>50.0</v>
      </c>
      <c r="H2878" s="23" t="s">
        <v>26</v>
      </c>
      <c r="I2878" s="24" t="s">
        <v>27</v>
      </c>
      <c r="J2878" s="19" t="s">
        <v>58</v>
      </c>
      <c r="K2878" s="14">
        <v>7.0</v>
      </c>
      <c r="L2878" s="7"/>
      <c r="M2878" s="7"/>
      <c r="N2878" s="7"/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7"/>
    </row>
    <row r="2879">
      <c r="A2879" s="14" t="s">
        <v>10356</v>
      </c>
      <c r="B2879" s="17" t="s">
        <v>10347</v>
      </c>
      <c r="C2879" s="17" t="s">
        <v>10357</v>
      </c>
      <c r="D2879" s="19" t="s">
        <v>10358</v>
      </c>
      <c r="E2879" s="20" t="s">
        <v>53</v>
      </c>
      <c r="F2879" s="21">
        <v>36409.0</v>
      </c>
      <c r="G2879" s="14">
        <v>26.0</v>
      </c>
      <c r="H2879" s="23" t="s">
        <v>100</v>
      </c>
      <c r="I2879" s="24" t="s">
        <v>33</v>
      </c>
      <c r="J2879" s="19" t="s">
        <v>58</v>
      </c>
      <c r="K2879" s="14">
        <v>7.0</v>
      </c>
      <c r="L2879" s="7"/>
      <c r="M2879" s="7"/>
      <c r="N2879" s="7"/>
      <c r="O2879" s="7"/>
      <c r="P2879" s="7"/>
      <c r="Q2879" s="7"/>
      <c r="R2879" s="7"/>
      <c r="S2879" s="7"/>
      <c r="T2879" s="7"/>
      <c r="U2879" s="7"/>
      <c r="V2879" s="7"/>
      <c r="W2879" s="7"/>
      <c r="X2879" s="7"/>
      <c r="Y2879" s="7"/>
    </row>
    <row r="2880">
      <c r="A2880" s="14" t="s">
        <v>10359</v>
      </c>
      <c r="B2880" s="17" t="s">
        <v>10360</v>
      </c>
      <c r="C2880" s="17" t="s">
        <v>10361</v>
      </c>
      <c r="D2880" s="19" t="s">
        <v>10362</v>
      </c>
      <c r="E2880" s="20" t="s">
        <v>10081</v>
      </c>
      <c r="F2880" s="27">
        <v>37582.0</v>
      </c>
      <c r="G2880" s="14">
        <v>23.0</v>
      </c>
      <c r="H2880" s="23" t="s">
        <v>100</v>
      </c>
      <c r="I2880" s="24" t="s">
        <v>33</v>
      </c>
      <c r="J2880" s="19" t="s">
        <v>10363</v>
      </c>
      <c r="K2880" s="14">
        <v>6.0</v>
      </c>
      <c r="L2880" s="7"/>
      <c r="M2880" s="7"/>
      <c r="N2880" s="7"/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7"/>
    </row>
    <row r="2881">
      <c r="A2881" s="14" t="s">
        <v>10364</v>
      </c>
      <c r="B2881" s="17" t="s">
        <v>10360</v>
      </c>
      <c r="C2881" s="17" t="s">
        <v>10365</v>
      </c>
      <c r="D2881" s="19" t="s">
        <v>10366</v>
      </c>
      <c r="E2881" s="20" t="s">
        <v>53</v>
      </c>
      <c r="F2881" s="27">
        <v>38309.0</v>
      </c>
      <c r="G2881" s="14">
        <v>21.0</v>
      </c>
      <c r="H2881" s="23" t="s">
        <v>100</v>
      </c>
      <c r="I2881" s="24" t="s">
        <v>27</v>
      </c>
      <c r="J2881" s="19" t="s">
        <v>10363</v>
      </c>
      <c r="K2881" s="14">
        <v>6.0</v>
      </c>
      <c r="L2881" s="7"/>
      <c r="M2881" s="7"/>
      <c r="N2881" s="7"/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7"/>
    </row>
    <row r="2882">
      <c r="A2882" s="14" t="s">
        <v>10367</v>
      </c>
      <c r="B2882" s="17" t="s">
        <v>10360</v>
      </c>
      <c r="C2882" s="17" t="s">
        <v>10368</v>
      </c>
      <c r="D2882" s="19" t="s">
        <v>10369</v>
      </c>
      <c r="E2882" s="20" t="s">
        <v>10081</v>
      </c>
      <c r="F2882" s="21">
        <v>27700.0</v>
      </c>
      <c r="G2882" s="14">
        <v>50.0</v>
      </c>
      <c r="H2882" s="23" t="s">
        <v>26</v>
      </c>
      <c r="I2882" s="24" t="s">
        <v>33</v>
      </c>
      <c r="J2882" s="19" t="s">
        <v>10363</v>
      </c>
      <c r="K2882" s="14">
        <v>6.0</v>
      </c>
      <c r="L2882" s="7"/>
      <c r="M2882" s="7"/>
      <c r="N2882" s="7"/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7"/>
    </row>
    <row r="2883">
      <c r="A2883" s="14" t="s">
        <v>10370</v>
      </c>
      <c r="B2883" s="17" t="s">
        <v>10360</v>
      </c>
      <c r="C2883" s="17" t="s">
        <v>10371</v>
      </c>
      <c r="D2883" s="19" t="s">
        <v>10372</v>
      </c>
      <c r="E2883" s="20" t="s">
        <v>654</v>
      </c>
      <c r="F2883" s="21">
        <v>31172.0</v>
      </c>
      <c r="G2883" s="14">
        <v>41.0</v>
      </c>
      <c r="H2883" s="23" t="s">
        <v>26</v>
      </c>
      <c r="I2883" s="24" t="s">
        <v>27</v>
      </c>
      <c r="J2883" s="19" t="s">
        <v>10363</v>
      </c>
      <c r="K2883" s="14">
        <v>6.0</v>
      </c>
      <c r="L2883" s="7"/>
      <c r="M2883" s="7"/>
      <c r="N2883" s="7"/>
      <c r="O2883" s="7"/>
      <c r="P2883" s="7"/>
      <c r="Q2883" s="7"/>
      <c r="R2883" s="7"/>
      <c r="S2883" s="7"/>
      <c r="T2883" s="7"/>
      <c r="U2883" s="7"/>
      <c r="V2883" s="7"/>
      <c r="W2883" s="7"/>
      <c r="X2883" s="7"/>
      <c r="Y2883" s="7"/>
    </row>
    <row r="2884">
      <c r="A2884" s="14" t="s">
        <v>10373</v>
      </c>
      <c r="B2884" s="17" t="s">
        <v>10374</v>
      </c>
      <c r="C2884" s="17" t="s">
        <v>10375</v>
      </c>
      <c r="D2884" s="19" t="s">
        <v>1487</v>
      </c>
      <c r="E2884" s="20" t="s">
        <v>650</v>
      </c>
      <c r="F2884" s="21">
        <v>26115.0</v>
      </c>
      <c r="G2884" s="14">
        <v>55.0</v>
      </c>
      <c r="H2884" s="23" t="s">
        <v>26</v>
      </c>
      <c r="I2884" s="24" t="s">
        <v>33</v>
      </c>
      <c r="J2884" s="19" t="s">
        <v>53</v>
      </c>
      <c r="K2884" s="14">
        <v>7.0</v>
      </c>
      <c r="L2884" s="7"/>
      <c r="M2884" s="7"/>
      <c r="N2884" s="7"/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7"/>
    </row>
    <row r="2885">
      <c r="A2885" s="14" t="s">
        <v>10376</v>
      </c>
      <c r="B2885" s="17" t="s">
        <v>10374</v>
      </c>
      <c r="C2885" s="17" t="s">
        <v>10377</v>
      </c>
      <c r="D2885" s="19" t="s">
        <v>10378</v>
      </c>
      <c r="E2885" s="20" t="s">
        <v>104</v>
      </c>
      <c r="F2885" s="21">
        <v>37101.0</v>
      </c>
      <c r="G2885" s="14">
        <v>25.0</v>
      </c>
      <c r="H2885" s="23" t="s">
        <v>100</v>
      </c>
      <c r="I2885" s="24" t="s">
        <v>27</v>
      </c>
      <c r="J2885" s="19" t="s">
        <v>53</v>
      </c>
      <c r="K2885" s="14">
        <v>7.0</v>
      </c>
      <c r="L2885" s="7"/>
      <c r="M2885" s="7"/>
      <c r="N2885" s="7"/>
      <c r="O2885" s="7"/>
      <c r="P2885" s="7"/>
      <c r="Q2885" s="7"/>
      <c r="R2885" s="7"/>
      <c r="S2885" s="7"/>
      <c r="T2885" s="7"/>
      <c r="U2885" s="7"/>
      <c r="V2885" s="7"/>
      <c r="W2885" s="7"/>
      <c r="X2885" s="7"/>
      <c r="Y2885" s="7"/>
    </row>
    <row r="2886">
      <c r="A2886" s="14" t="s">
        <v>10380</v>
      </c>
      <c r="B2886" s="17" t="s">
        <v>10381</v>
      </c>
      <c r="C2886" s="17" t="s">
        <v>10382</v>
      </c>
      <c r="D2886" s="19" t="s">
        <v>10383</v>
      </c>
      <c r="E2886" s="20" t="s">
        <v>104</v>
      </c>
      <c r="F2886" s="21">
        <v>29419.0</v>
      </c>
      <c r="G2886" s="14">
        <v>46.0</v>
      </c>
      <c r="H2886" s="23" t="s">
        <v>26</v>
      </c>
      <c r="I2886" s="24" t="s">
        <v>33</v>
      </c>
      <c r="J2886" s="19" t="s">
        <v>146</v>
      </c>
      <c r="K2886" s="14">
        <v>1.0</v>
      </c>
      <c r="L2886" s="7"/>
      <c r="M2886" s="7"/>
      <c r="N2886" s="7"/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7"/>
    </row>
    <row r="2887">
      <c r="A2887" s="14" t="s">
        <v>10384</v>
      </c>
      <c r="B2887" s="17" t="s">
        <v>10381</v>
      </c>
      <c r="C2887" s="17" t="s">
        <v>10385</v>
      </c>
      <c r="D2887" s="19" t="s">
        <v>10386</v>
      </c>
      <c r="E2887" s="20" t="s">
        <v>104</v>
      </c>
      <c r="F2887" s="21">
        <v>30816.0</v>
      </c>
      <c r="G2887" s="14">
        <v>42.0</v>
      </c>
      <c r="H2887" s="23" t="s">
        <v>26</v>
      </c>
      <c r="I2887" s="24" t="s">
        <v>27</v>
      </c>
      <c r="J2887" s="19" t="s">
        <v>146</v>
      </c>
      <c r="K2887" s="14">
        <v>1.0</v>
      </c>
      <c r="L2887" s="7"/>
      <c r="M2887" s="7"/>
      <c r="N2887" s="7"/>
      <c r="O2887" s="7"/>
      <c r="P2887" s="7"/>
      <c r="Q2887" s="7"/>
      <c r="R2887" s="7"/>
      <c r="S2887" s="7"/>
      <c r="T2887" s="7"/>
      <c r="U2887" s="7"/>
      <c r="V2887" s="7"/>
      <c r="W2887" s="7"/>
      <c r="X2887" s="7"/>
      <c r="Y2887" s="7"/>
    </row>
    <row r="2888">
      <c r="A2888" s="14" t="s">
        <v>10387</v>
      </c>
      <c r="B2888" s="17" t="s">
        <v>10388</v>
      </c>
      <c r="C2888" s="17" t="s">
        <v>10389</v>
      </c>
      <c r="D2888" s="19" t="s">
        <v>10390</v>
      </c>
      <c r="E2888" s="20" t="s">
        <v>138</v>
      </c>
      <c r="F2888" s="21">
        <v>27445.0</v>
      </c>
      <c r="G2888" s="14">
        <v>51.0</v>
      </c>
      <c r="H2888" s="23" t="s">
        <v>26</v>
      </c>
      <c r="I2888" s="24" t="s">
        <v>27</v>
      </c>
      <c r="J2888" s="19" t="s">
        <v>53</v>
      </c>
      <c r="K2888" s="14">
        <v>10.0</v>
      </c>
      <c r="L2888" s="7"/>
      <c r="M2888" s="7"/>
      <c r="N2888" s="7"/>
      <c r="O2888" s="7"/>
      <c r="P2888" s="7"/>
      <c r="Q2888" s="7"/>
      <c r="R2888" s="7"/>
      <c r="S2888" s="7"/>
      <c r="T2888" s="7"/>
      <c r="U2888" s="7"/>
      <c r="V2888" s="7"/>
      <c r="W2888" s="7"/>
      <c r="X2888" s="7"/>
      <c r="Y2888" s="7"/>
    </row>
    <row r="2889">
      <c r="A2889" s="14" t="s">
        <v>10391</v>
      </c>
      <c r="B2889" s="17" t="s">
        <v>10388</v>
      </c>
      <c r="C2889" s="17" t="s">
        <v>10392</v>
      </c>
      <c r="D2889" s="19" t="s">
        <v>10393</v>
      </c>
      <c r="E2889" s="20" t="s">
        <v>984</v>
      </c>
      <c r="F2889" s="21">
        <v>22687.0</v>
      </c>
      <c r="G2889" s="14">
        <v>64.0</v>
      </c>
      <c r="H2889" s="23" t="s">
        <v>26</v>
      </c>
      <c r="I2889" s="24" t="s">
        <v>33</v>
      </c>
      <c r="J2889" s="19" t="s">
        <v>53</v>
      </c>
      <c r="K2889" s="14">
        <v>10.0</v>
      </c>
      <c r="L2889" s="7"/>
      <c r="M2889" s="7"/>
      <c r="N2889" s="7"/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7"/>
    </row>
    <row r="2890">
      <c r="A2890" s="14" t="s">
        <v>10394</v>
      </c>
      <c r="B2890" s="17" t="s">
        <v>10395</v>
      </c>
      <c r="C2890" s="17" t="s">
        <v>10396</v>
      </c>
      <c r="D2890" s="19" t="s">
        <v>10397</v>
      </c>
      <c r="E2890" s="20" t="s">
        <v>650</v>
      </c>
      <c r="F2890" s="21">
        <v>26053.0</v>
      </c>
      <c r="G2890" s="14">
        <v>55.0</v>
      </c>
      <c r="H2890" s="23" t="s">
        <v>26</v>
      </c>
      <c r="I2890" s="24" t="s">
        <v>27</v>
      </c>
      <c r="J2890" s="19" t="s">
        <v>53</v>
      </c>
      <c r="K2890" s="14">
        <v>10.0</v>
      </c>
      <c r="L2890" s="7"/>
      <c r="M2890" s="7"/>
      <c r="N2890" s="7"/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7"/>
    </row>
    <row r="2891">
      <c r="A2891" s="14" t="s">
        <v>10398</v>
      </c>
      <c r="B2891" s="17" t="s">
        <v>10395</v>
      </c>
      <c r="C2891" s="17" t="s">
        <v>10399</v>
      </c>
      <c r="D2891" s="19" t="s">
        <v>4523</v>
      </c>
      <c r="E2891" s="20" t="s">
        <v>650</v>
      </c>
      <c r="F2891" s="21">
        <v>24218.0</v>
      </c>
      <c r="G2891" s="14">
        <v>60.0</v>
      </c>
      <c r="H2891" s="23" t="s">
        <v>26</v>
      </c>
      <c r="I2891" s="24" t="s">
        <v>33</v>
      </c>
      <c r="J2891" s="19" t="s">
        <v>53</v>
      </c>
      <c r="K2891" s="14">
        <v>10.0</v>
      </c>
      <c r="L2891" s="7"/>
      <c r="M2891" s="7"/>
      <c r="N2891" s="7"/>
      <c r="O2891" s="7"/>
      <c r="P2891" s="7"/>
      <c r="Q2891" s="7"/>
      <c r="R2891" s="7"/>
      <c r="S2891" s="7"/>
      <c r="T2891" s="7"/>
      <c r="U2891" s="7"/>
      <c r="V2891" s="7"/>
      <c r="W2891" s="7"/>
      <c r="X2891" s="7"/>
      <c r="Y2891" s="7"/>
    </row>
    <row r="2892">
      <c r="A2892" s="14" t="s">
        <v>10400</v>
      </c>
      <c r="B2892" s="17" t="s">
        <v>10401</v>
      </c>
      <c r="C2892" s="17" t="s">
        <v>10402</v>
      </c>
      <c r="D2892" s="19" t="s">
        <v>10403</v>
      </c>
      <c r="E2892" s="20" t="s">
        <v>1622</v>
      </c>
      <c r="F2892" s="21">
        <v>31673.0</v>
      </c>
      <c r="G2892" s="14">
        <v>39.0</v>
      </c>
      <c r="H2892" s="23" t="s">
        <v>26</v>
      </c>
      <c r="I2892" s="24" t="s">
        <v>27</v>
      </c>
      <c r="J2892" s="19" t="s">
        <v>53</v>
      </c>
      <c r="K2892" s="14">
        <v>10.0</v>
      </c>
      <c r="L2892" s="7"/>
      <c r="M2892" s="7"/>
      <c r="N2892" s="7"/>
      <c r="O2892" s="7"/>
      <c r="P2892" s="7"/>
      <c r="Q2892" s="7"/>
      <c r="R2892" s="7"/>
      <c r="S2892" s="7"/>
      <c r="T2892" s="7"/>
      <c r="U2892" s="7"/>
      <c r="V2892" s="7"/>
      <c r="W2892" s="7"/>
      <c r="X2892" s="7"/>
      <c r="Y2892" s="7"/>
    </row>
    <row r="2893">
      <c r="A2893" s="14" t="s">
        <v>10404</v>
      </c>
      <c r="B2893" s="17" t="s">
        <v>10401</v>
      </c>
      <c r="C2893" s="17" t="s">
        <v>10405</v>
      </c>
      <c r="D2893" s="19" t="s">
        <v>10406</v>
      </c>
      <c r="E2893" s="20" t="s">
        <v>654</v>
      </c>
      <c r="F2893" s="21">
        <v>26198.0</v>
      </c>
      <c r="G2893" s="14">
        <v>54.0</v>
      </c>
      <c r="H2893" s="23" t="s">
        <v>26</v>
      </c>
      <c r="I2893" s="24" t="s">
        <v>33</v>
      </c>
      <c r="J2893" s="19" t="s">
        <v>53</v>
      </c>
      <c r="K2893" s="14">
        <v>10.0</v>
      </c>
      <c r="L2893" s="7"/>
      <c r="M2893" s="7"/>
      <c r="N2893" s="7"/>
      <c r="O2893" s="7"/>
      <c r="P2893" s="7"/>
      <c r="Q2893" s="7"/>
      <c r="R2893" s="7"/>
      <c r="S2893" s="7"/>
      <c r="T2893" s="7"/>
      <c r="U2893" s="7"/>
      <c r="V2893" s="7"/>
      <c r="W2893" s="7"/>
      <c r="X2893" s="7"/>
      <c r="Y2893" s="7"/>
    </row>
    <row r="2894">
      <c r="A2894" s="14" t="s">
        <v>10407</v>
      </c>
      <c r="B2894" s="17" t="s">
        <v>10408</v>
      </c>
      <c r="C2894" s="17" t="s">
        <v>10409</v>
      </c>
      <c r="D2894" s="19" t="s">
        <v>10410</v>
      </c>
      <c r="E2894" s="20" t="s">
        <v>654</v>
      </c>
      <c r="F2894" s="21">
        <v>27942.0</v>
      </c>
      <c r="G2894" s="14">
        <v>50.0</v>
      </c>
      <c r="H2894" s="23" t="s">
        <v>26</v>
      </c>
      <c r="I2894" s="24" t="s">
        <v>27</v>
      </c>
      <c r="J2894" s="19" t="s">
        <v>517</v>
      </c>
      <c r="K2894" s="14">
        <v>7.0</v>
      </c>
      <c r="L2894" s="7"/>
      <c r="M2894" s="7"/>
      <c r="N2894" s="7"/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7"/>
    </row>
    <row r="2895">
      <c r="A2895" s="14" t="s">
        <v>10411</v>
      </c>
      <c r="B2895" s="17" t="s">
        <v>10408</v>
      </c>
      <c r="C2895" s="17" t="s">
        <v>10412</v>
      </c>
      <c r="D2895" s="19" t="s">
        <v>4523</v>
      </c>
      <c r="E2895" s="20" t="s">
        <v>654</v>
      </c>
      <c r="F2895" s="21">
        <v>23193.0</v>
      </c>
      <c r="G2895" s="14">
        <v>63.0</v>
      </c>
      <c r="H2895" s="23" t="s">
        <v>26</v>
      </c>
      <c r="I2895" s="24" t="s">
        <v>33</v>
      </c>
      <c r="J2895" s="19" t="s">
        <v>517</v>
      </c>
      <c r="K2895" s="14">
        <v>7.0</v>
      </c>
      <c r="L2895" s="7"/>
      <c r="M2895" s="7"/>
      <c r="N2895" s="7"/>
      <c r="O2895" s="7"/>
      <c r="P2895" s="7"/>
      <c r="Q2895" s="7"/>
      <c r="R2895" s="7"/>
      <c r="S2895" s="7"/>
      <c r="T2895" s="7"/>
      <c r="U2895" s="7"/>
      <c r="V2895" s="7"/>
      <c r="W2895" s="7"/>
      <c r="X2895" s="7"/>
      <c r="Y2895" s="7"/>
    </row>
    <row r="2896">
      <c r="A2896" s="14" t="s">
        <v>10413</v>
      </c>
      <c r="B2896" s="17" t="s">
        <v>10414</v>
      </c>
      <c r="C2896" s="17" t="s">
        <v>10415</v>
      </c>
      <c r="D2896" s="19" t="s">
        <v>5348</v>
      </c>
      <c r="E2896" s="20" t="s">
        <v>104</v>
      </c>
      <c r="F2896" s="21">
        <v>29768.0</v>
      </c>
      <c r="G2896" s="14">
        <v>45.0</v>
      </c>
      <c r="H2896" s="23" t="s">
        <v>26</v>
      </c>
      <c r="I2896" s="24" t="s">
        <v>27</v>
      </c>
      <c r="J2896" s="19" t="s">
        <v>146</v>
      </c>
      <c r="K2896" s="14">
        <v>7.0</v>
      </c>
      <c r="L2896" s="7"/>
      <c r="M2896" s="7"/>
      <c r="N2896" s="7"/>
      <c r="O2896" s="7"/>
      <c r="P2896" s="7"/>
      <c r="Q2896" s="7"/>
      <c r="R2896" s="7"/>
      <c r="S2896" s="7"/>
      <c r="T2896" s="7"/>
      <c r="U2896" s="7"/>
      <c r="V2896" s="7"/>
      <c r="W2896" s="7"/>
      <c r="X2896" s="7"/>
      <c r="Y2896" s="7"/>
    </row>
    <row r="2897">
      <c r="A2897" s="14" t="s">
        <v>10416</v>
      </c>
      <c r="B2897" s="17" t="s">
        <v>10417</v>
      </c>
      <c r="C2897" s="17" t="s">
        <v>10418</v>
      </c>
      <c r="D2897" s="19" t="s">
        <v>10419</v>
      </c>
      <c r="E2897" s="20" t="s">
        <v>104</v>
      </c>
      <c r="F2897" s="21">
        <v>36428.0</v>
      </c>
      <c r="G2897" s="14">
        <v>26.0</v>
      </c>
      <c r="H2897" s="23" t="s">
        <v>100</v>
      </c>
      <c r="I2897" s="24" t="s">
        <v>33</v>
      </c>
      <c r="J2897" s="19" t="s">
        <v>53</v>
      </c>
      <c r="K2897" s="14">
        <v>9.0</v>
      </c>
      <c r="L2897" s="7"/>
      <c r="M2897" s="7"/>
      <c r="N2897" s="7"/>
      <c r="O2897" s="7"/>
      <c r="P2897" s="7"/>
      <c r="Q2897" s="7"/>
      <c r="R2897" s="7"/>
      <c r="S2897" s="7"/>
      <c r="T2897" s="7"/>
      <c r="U2897" s="7"/>
      <c r="V2897" s="7"/>
      <c r="W2897" s="7"/>
      <c r="X2897" s="7"/>
      <c r="Y2897" s="7"/>
    </row>
    <row r="2898">
      <c r="A2898" s="14" t="s">
        <v>10420</v>
      </c>
      <c r="B2898" s="17" t="s">
        <v>10417</v>
      </c>
      <c r="C2898" s="17" t="s">
        <v>10421</v>
      </c>
      <c r="D2898" s="19" t="s">
        <v>10422</v>
      </c>
      <c r="E2898" s="20" t="s">
        <v>880</v>
      </c>
      <c r="F2898" s="21">
        <v>28280.0</v>
      </c>
      <c r="G2898" s="14">
        <v>49.0</v>
      </c>
      <c r="H2898" s="23" t="s">
        <v>26</v>
      </c>
      <c r="I2898" s="24" t="s">
        <v>27</v>
      </c>
      <c r="J2898" s="19" t="s">
        <v>53</v>
      </c>
      <c r="K2898" s="14">
        <v>9.0</v>
      </c>
      <c r="L2898" s="7"/>
      <c r="M2898" s="7"/>
      <c r="N2898" s="7"/>
      <c r="O2898" s="7"/>
      <c r="P2898" s="7"/>
      <c r="Q2898" s="7"/>
      <c r="R2898" s="7"/>
      <c r="S2898" s="7"/>
      <c r="T2898" s="7"/>
      <c r="U2898" s="7"/>
      <c r="V2898" s="7"/>
      <c r="W2898" s="7"/>
      <c r="X2898" s="7"/>
      <c r="Y2898" s="7"/>
    </row>
    <row r="2899">
      <c r="A2899" s="14" t="s">
        <v>10423</v>
      </c>
      <c r="B2899" s="17" t="s">
        <v>10417</v>
      </c>
      <c r="C2899" s="17" t="s">
        <v>10424</v>
      </c>
      <c r="D2899" s="19" t="s">
        <v>10425</v>
      </c>
      <c r="E2899" s="20" t="s">
        <v>605</v>
      </c>
      <c r="F2899" s="27">
        <v>25568.0</v>
      </c>
      <c r="G2899" s="14">
        <v>56.0</v>
      </c>
      <c r="H2899" s="23" t="s">
        <v>26</v>
      </c>
      <c r="I2899" s="24" t="s">
        <v>33</v>
      </c>
      <c r="J2899" s="19" t="s">
        <v>53</v>
      </c>
      <c r="K2899" s="14">
        <v>9.0</v>
      </c>
      <c r="L2899" s="7"/>
      <c r="M2899" s="7"/>
      <c r="N2899" s="7"/>
      <c r="O2899" s="7"/>
      <c r="P2899" s="7"/>
      <c r="Q2899" s="7"/>
      <c r="R2899" s="7"/>
      <c r="S2899" s="7"/>
      <c r="T2899" s="7"/>
      <c r="U2899" s="7"/>
      <c r="V2899" s="7"/>
      <c r="W2899" s="7"/>
      <c r="X2899" s="7"/>
      <c r="Y2899" s="7"/>
    </row>
    <row r="2900">
      <c r="A2900" s="14" t="s">
        <v>10426</v>
      </c>
      <c r="B2900" s="17" t="s">
        <v>10427</v>
      </c>
      <c r="C2900" s="17" t="s">
        <v>10428</v>
      </c>
      <c r="D2900" s="19" t="s">
        <v>10429</v>
      </c>
      <c r="E2900" s="20" t="s">
        <v>10430</v>
      </c>
      <c r="F2900" s="21">
        <v>25299.0</v>
      </c>
      <c r="G2900" s="14">
        <v>57.0</v>
      </c>
      <c r="H2900" s="23" t="s">
        <v>26</v>
      </c>
      <c r="I2900" s="24" t="s">
        <v>33</v>
      </c>
      <c r="J2900" s="19" t="s">
        <v>68</v>
      </c>
      <c r="K2900" s="14">
        <v>33.0</v>
      </c>
      <c r="L2900" s="7"/>
      <c r="M2900" s="7"/>
      <c r="N2900" s="7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</row>
    <row r="2901">
      <c r="A2901" s="14" t="s">
        <v>10431</v>
      </c>
      <c r="B2901" s="17" t="s">
        <v>10427</v>
      </c>
      <c r="C2901" s="17" t="s">
        <v>10432</v>
      </c>
      <c r="D2901" s="19" t="s">
        <v>10433</v>
      </c>
      <c r="E2901" s="20" t="s">
        <v>53</v>
      </c>
      <c r="F2901" s="21">
        <v>28495.0</v>
      </c>
      <c r="G2901" s="14">
        <v>48.0</v>
      </c>
      <c r="H2901" s="23" t="s">
        <v>26</v>
      </c>
      <c r="I2901" s="24" t="s">
        <v>27</v>
      </c>
      <c r="J2901" s="19" t="s">
        <v>68</v>
      </c>
      <c r="K2901" s="14">
        <v>33.0</v>
      </c>
      <c r="L2901" s="7"/>
      <c r="M2901" s="7"/>
      <c r="N2901" s="7"/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7"/>
    </row>
    <row r="2902">
      <c r="A2902" s="14" t="s">
        <v>10434</v>
      </c>
      <c r="B2902" s="17" t="s">
        <v>10435</v>
      </c>
      <c r="C2902" s="17" t="s">
        <v>10436</v>
      </c>
      <c r="D2902" s="19" t="s">
        <v>10437</v>
      </c>
      <c r="E2902" s="20" t="s">
        <v>53</v>
      </c>
      <c r="F2902" s="21">
        <v>36191.0</v>
      </c>
      <c r="G2902" s="14">
        <v>27.0</v>
      </c>
      <c r="H2902" s="23" t="s">
        <v>100</v>
      </c>
      <c r="I2902" s="24" t="s">
        <v>33</v>
      </c>
      <c r="J2902" s="19" t="s">
        <v>10438</v>
      </c>
      <c r="K2902" s="14">
        <v>8.0</v>
      </c>
      <c r="L2902" s="7"/>
      <c r="M2902" s="7"/>
      <c r="N2902" s="7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</row>
    <row r="2903">
      <c r="A2903" s="14" t="s">
        <v>10439</v>
      </c>
      <c r="B2903" s="17" t="s">
        <v>10435</v>
      </c>
      <c r="C2903" s="17" t="s">
        <v>10440</v>
      </c>
      <c r="D2903" s="19" t="s">
        <v>10441</v>
      </c>
      <c r="E2903" s="20" t="s">
        <v>10442</v>
      </c>
      <c r="F2903" s="21">
        <v>26706.0</v>
      </c>
      <c r="G2903" s="14">
        <v>53.0</v>
      </c>
      <c r="H2903" s="23" t="s">
        <v>26</v>
      </c>
      <c r="I2903" s="24" t="s">
        <v>33</v>
      </c>
      <c r="J2903" s="19" t="s">
        <v>10438</v>
      </c>
      <c r="K2903" s="14">
        <v>8.0</v>
      </c>
      <c r="L2903" s="7"/>
      <c r="M2903" s="7"/>
      <c r="N2903" s="7"/>
      <c r="O2903" s="7"/>
      <c r="P2903" s="7"/>
      <c r="Q2903" s="7"/>
      <c r="R2903" s="7"/>
      <c r="S2903" s="7"/>
      <c r="T2903" s="7"/>
      <c r="U2903" s="7"/>
      <c r="V2903" s="7"/>
      <c r="W2903" s="7"/>
      <c r="X2903" s="7"/>
      <c r="Y2903" s="7"/>
    </row>
    <row r="2904">
      <c r="A2904" s="14" t="s">
        <v>10443</v>
      </c>
      <c r="B2904" s="17" t="s">
        <v>10435</v>
      </c>
      <c r="C2904" s="17" t="s">
        <v>10444</v>
      </c>
      <c r="D2904" s="19" t="s">
        <v>10445</v>
      </c>
      <c r="E2904" s="20" t="s">
        <v>544</v>
      </c>
      <c r="F2904" s="21">
        <v>26609.0</v>
      </c>
      <c r="G2904" s="14">
        <v>53.0</v>
      </c>
      <c r="H2904" s="23" t="s">
        <v>26</v>
      </c>
      <c r="I2904" s="24" t="s">
        <v>27</v>
      </c>
      <c r="J2904" s="19" t="s">
        <v>10438</v>
      </c>
      <c r="K2904" s="14">
        <v>8.0</v>
      </c>
      <c r="L2904" s="7"/>
      <c r="M2904" s="7"/>
      <c r="N2904" s="7"/>
      <c r="O2904" s="7"/>
      <c r="P2904" s="7"/>
      <c r="Q2904" s="7"/>
      <c r="R2904" s="7"/>
      <c r="S2904" s="7"/>
      <c r="T2904" s="7"/>
      <c r="U2904" s="7"/>
      <c r="V2904" s="7"/>
      <c r="W2904" s="7"/>
      <c r="X2904" s="7"/>
      <c r="Y2904" s="7"/>
    </row>
    <row r="2905">
      <c r="A2905" s="14" t="s">
        <v>10446</v>
      </c>
      <c r="B2905" s="17" t="s">
        <v>10447</v>
      </c>
      <c r="C2905" s="17" t="s">
        <v>10448</v>
      </c>
      <c r="D2905" s="19" t="s">
        <v>10449</v>
      </c>
      <c r="E2905" s="20" t="s">
        <v>138</v>
      </c>
      <c r="F2905" s="21">
        <v>39305.0</v>
      </c>
      <c r="G2905" s="14">
        <v>19.0</v>
      </c>
      <c r="H2905" s="23" t="s">
        <v>100</v>
      </c>
      <c r="I2905" s="24" t="s">
        <v>33</v>
      </c>
      <c r="J2905" s="19" t="s">
        <v>328</v>
      </c>
      <c r="K2905" s="14">
        <v>27.0</v>
      </c>
      <c r="L2905" s="7"/>
      <c r="M2905" s="7"/>
      <c r="N2905" s="7"/>
      <c r="O2905" s="7"/>
      <c r="P2905" s="7"/>
      <c r="Q2905" s="7"/>
      <c r="R2905" s="7"/>
      <c r="S2905" s="7"/>
      <c r="T2905" s="7"/>
      <c r="U2905" s="7"/>
      <c r="V2905" s="7"/>
      <c r="W2905" s="7"/>
      <c r="X2905" s="7"/>
      <c r="Y2905" s="7"/>
    </row>
    <row r="2906">
      <c r="A2906" s="14" t="s">
        <v>10450</v>
      </c>
      <c r="B2906" s="17" t="s">
        <v>10447</v>
      </c>
      <c r="C2906" s="17" t="s">
        <v>10451</v>
      </c>
      <c r="D2906" s="19" t="s">
        <v>10452</v>
      </c>
      <c r="E2906" s="20" t="s">
        <v>1291</v>
      </c>
      <c r="F2906" s="21">
        <v>22465.0</v>
      </c>
      <c r="G2906" s="14">
        <v>65.0</v>
      </c>
      <c r="H2906" s="23" t="s">
        <v>26</v>
      </c>
      <c r="I2906" s="24" t="s">
        <v>33</v>
      </c>
      <c r="J2906" s="19" t="s">
        <v>328</v>
      </c>
      <c r="K2906" s="14">
        <v>27.0</v>
      </c>
      <c r="L2906" s="7"/>
      <c r="M2906" s="7"/>
      <c r="N2906" s="7"/>
      <c r="O2906" s="7"/>
      <c r="P2906" s="7"/>
      <c r="Q2906" s="7"/>
      <c r="R2906" s="7"/>
      <c r="S2906" s="7"/>
      <c r="T2906" s="7"/>
      <c r="U2906" s="7"/>
      <c r="V2906" s="7"/>
      <c r="W2906" s="7"/>
      <c r="X2906" s="7"/>
      <c r="Y2906" s="7"/>
    </row>
    <row r="2907">
      <c r="A2907" s="14" t="s">
        <v>10453</v>
      </c>
      <c r="B2907" s="17" t="s">
        <v>10447</v>
      </c>
      <c r="C2907" s="17" t="s">
        <v>10454</v>
      </c>
      <c r="D2907" s="19" t="s">
        <v>10455</v>
      </c>
      <c r="E2907" s="20" t="s">
        <v>53</v>
      </c>
      <c r="F2907" s="27">
        <v>35046.0</v>
      </c>
      <c r="G2907" s="14">
        <v>30.0</v>
      </c>
      <c r="H2907" s="23" t="s">
        <v>100</v>
      </c>
      <c r="I2907" s="24" t="s">
        <v>33</v>
      </c>
      <c r="J2907" s="19" t="s">
        <v>328</v>
      </c>
      <c r="K2907" s="14">
        <v>27.0</v>
      </c>
      <c r="L2907" s="7"/>
      <c r="M2907" s="7"/>
      <c r="N2907" s="7"/>
      <c r="O2907" s="7"/>
      <c r="P2907" s="7"/>
      <c r="Q2907" s="7"/>
      <c r="R2907" s="7"/>
      <c r="S2907" s="7"/>
      <c r="T2907" s="7"/>
      <c r="U2907" s="7"/>
      <c r="V2907" s="7"/>
      <c r="W2907" s="7"/>
      <c r="X2907" s="7"/>
      <c r="Y2907" s="7"/>
    </row>
    <row r="2908">
      <c r="A2908" s="14" t="s">
        <v>10456</v>
      </c>
      <c r="B2908" s="17" t="s">
        <v>10447</v>
      </c>
      <c r="C2908" s="17" t="s">
        <v>10457</v>
      </c>
      <c r="D2908" s="19" t="s">
        <v>10458</v>
      </c>
      <c r="E2908" s="20" t="s">
        <v>1291</v>
      </c>
      <c r="F2908" s="27">
        <v>26960.0</v>
      </c>
      <c r="G2908" s="14">
        <v>52.0</v>
      </c>
      <c r="H2908" s="23" t="s">
        <v>26</v>
      </c>
      <c r="I2908" s="24" t="s">
        <v>27</v>
      </c>
      <c r="J2908" s="19" t="s">
        <v>328</v>
      </c>
      <c r="K2908" s="14">
        <v>27.0</v>
      </c>
      <c r="L2908" s="7"/>
      <c r="M2908" s="7"/>
      <c r="N2908" s="7"/>
      <c r="O2908" s="7"/>
      <c r="P2908" s="7"/>
      <c r="Q2908" s="7"/>
      <c r="R2908" s="7"/>
      <c r="S2908" s="7"/>
      <c r="T2908" s="7"/>
      <c r="U2908" s="7"/>
      <c r="V2908" s="7"/>
      <c r="W2908" s="7"/>
      <c r="X2908" s="7"/>
      <c r="Y2908" s="7"/>
    </row>
    <row r="2909">
      <c r="A2909" s="14" t="s">
        <v>10459</v>
      </c>
      <c r="B2909" s="17" t="s">
        <v>10460</v>
      </c>
      <c r="C2909" s="17" t="s">
        <v>10461</v>
      </c>
      <c r="D2909" s="19" t="s">
        <v>10462</v>
      </c>
      <c r="E2909" s="20" t="s">
        <v>53</v>
      </c>
      <c r="F2909" s="21">
        <v>32902.0</v>
      </c>
      <c r="G2909" s="14">
        <v>36.0</v>
      </c>
      <c r="H2909" s="23" t="s">
        <v>26</v>
      </c>
      <c r="I2909" s="24" t="s">
        <v>27</v>
      </c>
      <c r="J2909" s="19" t="s">
        <v>58</v>
      </c>
      <c r="K2909" s="14">
        <v>9.0</v>
      </c>
      <c r="L2909" s="7"/>
      <c r="M2909" s="7"/>
      <c r="N2909" s="7"/>
      <c r="O2909" s="7"/>
      <c r="P2909" s="7"/>
      <c r="Q2909" s="7"/>
      <c r="R2909" s="7"/>
      <c r="S2909" s="7"/>
      <c r="T2909" s="7"/>
      <c r="U2909" s="7"/>
      <c r="V2909" s="7"/>
      <c r="W2909" s="7"/>
      <c r="X2909" s="7"/>
      <c r="Y2909" s="7"/>
    </row>
    <row r="2910">
      <c r="A2910" s="14" t="s">
        <v>10463</v>
      </c>
      <c r="B2910" s="17" t="s">
        <v>10460</v>
      </c>
      <c r="C2910" s="17" t="s">
        <v>10464</v>
      </c>
      <c r="D2910" s="19" t="s">
        <v>10465</v>
      </c>
      <c r="E2910" s="20" t="s">
        <v>231</v>
      </c>
      <c r="F2910" s="21">
        <v>29533.0</v>
      </c>
      <c r="G2910" s="14">
        <v>45.0</v>
      </c>
      <c r="H2910" s="23" t="s">
        <v>26</v>
      </c>
      <c r="I2910" s="24" t="s">
        <v>33</v>
      </c>
      <c r="J2910" s="19" t="s">
        <v>58</v>
      </c>
      <c r="K2910" s="14">
        <v>9.0</v>
      </c>
      <c r="L2910" s="7"/>
      <c r="M2910" s="7"/>
      <c r="N2910" s="7"/>
      <c r="O2910" s="7"/>
      <c r="P2910" s="7"/>
      <c r="Q2910" s="7"/>
      <c r="R2910" s="7"/>
      <c r="S2910" s="7"/>
      <c r="T2910" s="7"/>
      <c r="U2910" s="7"/>
      <c r="V2910" s="7"/>
      <c r="W2910" s="7"/>
      <c r="X2910" s="7"/>
      <c r="Y2910" s="7"/>
    </row>
    <row r="2911">
      <c r="A2911" s="14" t="s">
        <v>10466</v>
      </c>
      <c r="B2911" s="17" t="s">
        <v>10467</v>
      </c>
      <c r="C2911" s="17" t="s">
        <v>10468</v>
      </c>
      <c r="D2911" s="19" t="s">
        <v>10469</v>
      </c>
      <c r="E2911" s="20" t="s">
        <v>138</v>
      </c>
      <c r="F2911" s="21">
        <v>29092.0</v>
      </c>
      <c r="G2911" s="14">
        <v>47.0</v>
      </c>
      <c r="H2911" s="23" t="s">
        <v>100</v>
      </c>
      <c r="I2911" s="24" t="s">
        <v>33</v>
      </c>
      <c r="J2911" s="19" t="s">
        <v>68</v>
      </c>
      <c r="K2911" s="14">
        <v>29.0</v>
      </c>
      <c r="L2911" s="7"/>
      <c r="M2911" s="7"/>
      <c r="N2911" s="7"/>
      <c r="O2911" s="7"/>
      <c r="P2911" s="7"/>
      <c r="Q2911" s="7"/>
      <c r="R2911" s="7"/>
      <c r="S2911" s="7"/>
      <c r="T2911" s="7"/>
      <c r="U2911" s="7"/>
      <c r="V2911" s="7"/>
      <c r="W2911" s="7"/>
      <c r="X2911" s="7"/>
      <c r="Y2911" s="7"/>
    </row>
    <row r="2912">
      <c r="A2912" s="14" t="s">
        <v>10470</v>
      </c>
      <c r="B2912" s="17" t="s">
        <v>10467</v>
      </c>
      <c r="C2912" s="17" t="s">
        <v>10471</v>
      </c>
      <c r="D2912" s="19" t="s">
        <v>10472</v>
      </c>
      <c r="E2912" s="20" t="s">
        <v>1741</v>
      </c>
      <c r="F2912" s="21">
        <v>28019.0</v>
      </c>
      <c r="G2912" s="14">
        <v>49.0</v>
      </c>
      <c r="H2912" s="23" t="s">
        <v>100</v>
      </c>
      <c r="I2912" s="24" t="s">
        <v>27</v>
      </c>
      <c r="J2912" s="19" t="s">
        <v>68</v>
      </c>
      <c r="K2912" s="14">
        <v>29.0</v>
      </c>
      <c r="L2912" s="7"/>
      <c r="M2912" s="7"/>
      <c r="N2912" s="7"/>
      <c r="O2912" s="7"/>
      <c r="P2912" s="7"/>
      <c r="Q2912" s="7"/>
      <c r="R2912" s="7"/>
      <c r="S2912" s="7"/>
      <c r="T2912" s="7"/>
      <c r="U2912" s="7"/>
      <c r="V2912" s="7"/>
      <c r="W2912" s="7"/>
      <c r="X2912" s="7"/>
      <c r="Y2912" s="7"/>
    </row>
    <row r="2913">
      <c r="A2913" s="14" t="s">
        <v>10473</v>
      </c>
      <c r="B2913" s="17" t="s">
        <v>10474</v>
      </c>
      <c r="C2913" s="17" t="s">
        <v>10475</v>
      </c>
      <c r="D2913" s="19" t="s">
        <v>10476</v>
      </c>
      <c r="E2913" s="20" t="s">
        <v>10477</v>
      </c>
      <c r="F2913" s="21">
        <v>36009.0</v>
      </c>
      <c r="G2913" s="14">
        <v>28.0</v>
      </c>
      <c r="H2913" s="23" t="s">
        <v>100</v>
      </c>
      <c r="I2913" s="24" t="s">
        <v>33</v>
      </c>
      <c r="J2913" s="19" t="s">
        <v>282</v>
      </c>
      <c r="K2913" s="14">
        <v>13.0</v>
      </c>
      <c r="L2913" s="7"/>
      <c r="M2913" s="7"/>
      <c r="N2913" s="7"/>
      <c r="O2913" s="7"/>
      <c r="P2913" s="7"/>
      <c r="Q2913" s="7"/>
      <c r="R2913" s="7"/>
      <c r="S2913" s="7"/>
      <c r="T2913" s="7"/>
      <c r="U2913" s="7"/>
      <c r="V2913" s="7"/>
      <c r="W2913" s="7"/>
      <c r="X2913" s="7"/>
      <c r="Y2913" s="7"/>
    </row>
    <row r="2914">
      <c r="A2914" s="14" t="s">
        <v>10478</v>
      </c>
      <c r="B2914" s="17" t="s">
        <v>10474</v>
      </c>
      <c r="C2914" s="17" t="s">
        <v>10479</v>
      </c>
      <c r="D2914" s="19" t="s">
        <v>10480</v>
      </c>
      <c r="E2914" s="20" t="s">
        <v>112</v>
      </c>
      <c r="F2914" s="21">
        <v>26605.0</v>
      </c>
      <c r="G2914" s="14">
        <v>53.0</v>
      </c>
      <c r="H2914" s="23" t="s">
        <v>26</v>
      </c>
      <c r="I2914" s="24" t="s">
        <v>33</v>
      </c>
      <c r="J2914" s="19" t="s">
        <v>282</v>
      </c>
      <c r="K2914" s="14">
        <v>13.0</v>
      </c>
      <c r="L2914" s="7"/>
      <c r="M2914" s="7"/>
      <c r="N2914" s="7"/>
      <c r="O2914" s="7"/>
      <c r="P2914" s="7"/>
      <c r="Q2914" s="7"/>
      <c r="R2914" s="7"/>
      <c r="S2914" s="7"/>
      <c r="T2914" s="7"/>
      <c r="U2914" s="7"/>
      <c r="V2914" s="7"/>
      <c r="W2914" s="7"/>
      <c r="X2914" s="7"/>
      <c r="Y2914" s="7"/>
    </row>
    <row r="2915">
      <c r="A2915" s="14" t="s">
        <v>10481</v>
      </c>
      <c r="B2915" s="17" t="s">
        <v>10474</v>
      </c>
      <c r="C2915" s="17" t="s">
        <v>10482</v>
      </c>
      <c r="D2915" s="19" t="s">
        <v>10483</v>
      </c>
      <c r="E2915" s="20" t="s">
        <v>53</v>
      </c>
      <c r="F2915" s="21">
        <v>37640.0</v>
      </c>
      <c r="G2915" s="14">
        <v>23.0</v>
      </c>
      <c r="H2915" s="23" t="s">
        <v>100</v>
      </c>
      <c r="I2915" s="24" t="s">
        <v>33</v>
      </c>
      <c r="J2915" s="19" t="s">
        <v>282</v>
      </c>
      <c r="K2915" s="14">
        <v>13.0</v>
      </c>
      <c r="L2915" s="7"/>
      <c r="M2915" s="7"/>
      <c r="N2915" s="7"/>
      <c r="O2915" s="7"/>
      <c r="P2915" s="7"/>
      <c r="Q2915" s="7"/>
      <c r="R2915" s="7"/>
      <c r="S2915" s="7"/>
      <c r="T2915" s="7"/>
      <c r="U2915" s="7"/>
      <c r="V2915" s="7"/>
      <c r="W2915" s="7"/>
      <c r="X2915" s="7"/>
      <c r="Y2915" s="7"/>
    </row>
    <row r="2916">
      <c r="A2916" s="14" t="s">
        <v>10484</v>
      </c>
      <c r="B2916" s="17" t="s">
        <v>10474</v>
      </c>
      <c r="C2916" s="17" t="s">
        <v>10485</v>
      </c>
      <c r="D2916" s="19" t="s">
        <v>6047</v>
      </c>
      <c r="E2916" s="20" t="s">
        <v>10477</v>
      </c>
      <c r="F2916" s="27">
        <v>25933.0</v>
      </c>
      <c r="G2916" s="14">
        <v>55.0</v>
      </c>
      <c r="H2916" s="23" t="s">
        <v>26</v>
      </c>
      <c r="I2916" s="24" t="s">
        <v>27</v>
      </c>
      <c r="J2916" s="19" t="s">
        <v>282</v>
      </c>
      <c r="K2916" s="14">
        <v>13.0</v>
      </c>
      <c r="L2916" s="7"/>
      <c r="M2916" s="7"/>
      <c r="N2916" s="7"/>
      <c r="O2916" s="7"/>
      <c r="P2916" s="7"/>
      <c r="Q2916" s="7"/>
      <c r="R2916" s="7"/>
      <c r="S2916" s="7"/>
      <c r="T2916" s="7"/>
      <c r="U2916" s="7"/>
      <c r="V2916" s="7"/>
      <c r="W2916" s="7"/>
      <c r="X2916" s="7"/>
      <c r="Y2916" s="7"/>
    </row>
    <row r="2917">
      <c r="A2917" s="14" t="s">
        <v>10486</v>
      </c>
      <c r="B2917" s="17" t="s">
        <v>10487</v>
      </c>
      <c r="C2917" s="17" t="s">
        <v>10488</v>
      </c>
      <c r="D2917" s="19" t="s">
        <v>10489</v>
      </c>
      <c r="E2917" s="20" t="s">
        <v>10490</v>
      </c>
      <c r="F2917" s="21">
        <v>35626.0</v>
      </c>
      <c r="G2917" s="14">
        <v>29.0</v>
      </c>
      <c r="H2917" s="23" t="s">
        <v>26</v>
      </c>
      <c r="I2917" s="24" t="s">
        <v>27</v>
      </c>
      <c r="J2917" s="19" t="s">
        <v>156</v>
      </c>
      <c r="K2917" s="14">
        <v>29.0</v>
      </c>
      <c r="L2917" s="7"/>
      <c r="M2917" s="7"/>
      <c r="N2917" s="7"/>
      <c r="O2917" s="7"/>
      <c r="P2917" s="7"/>
      <c r="Q2917" s="7"/>
      <c r="R2917" s="7"/>
      <c r="S2917" s="7"/>
      <c r="T2917" s="7"/>
      <c r="U2917" s="7"/>
      <c r="V2917" s="7"/>
      <c r="W2917" s="7"/>
      <c r="X2917" s="7"/>
      <c r="Y2917" s="7"/>
    </row>
    <row r="2918">
      <c r="A2918" s="14" t="s">
        <v>10491</v>
      </c>
      <c r="B2918" s="17" t="s">
        <v>10487</v>
      </c>
      <c r="C2918" s="17" t="s">
        <v>10492</v>
      </c>
      <c r="D2918" s="19" t="s">
        <v>10493</v>
      </c>
      <c r="E2918" s="20" t="s">
        <v>1733</v>
      </c>
      <c r="F2918" s="21">
        <v>32790.0</v>
      </c>
      <c r="G2918" s="14">
        <v>36.0</v>
      </c>
      <c r="H2918" s="23" t="s">
        <v>26</v>
      </c>
      <c r="I2918" s="24" t="s">
        <v>33</v>
      </c>
      <c r="J2918" s="19" t="s">
        <v>156</v>
      </c>
      <c r="K2918" s="14">
        <v>29.0</v>
      </c>
      <c r="L2918" s="7"/>
      <c r="M2918" s="7"/>
      <c r="N2918" s="7"/>
      <c r="O2918" s="7"/>
      <c r="P2918" s="7"/>
      <c r="Q2918" s="7"/>
      <c r="R2918" s="7"/>
      <c r="S2918" s="7"/>
      <c r="T2918" s="7"/>
      <c r="U2918" s="7"/>
      <c r="V2918" s="7"/>
      <c r="W2918" s="7"/>
      <c r="X2918" s="7"/>
      <c r="Y2918" s="7"/>
    </row>
    <row r="2919">
      <c r="A2919" s="14" t="s">
        <v>10494</v>
      </c>
      <c r="B2919" s="17" t="s">
        <v>10495</v>
      </c>
      <c r="C2919" s="17" t="s">
        <v>10496</v>
      </c>
      <c r="D2919" s="19" t="s">
        <v>10497</v>
      </c>
      <c r="E2919" s="20" t="s">
        <v>10498</v>
      </c>
      <c r="F2919" s="21">
        <v>34645.0</v>
      </c>
      <c r="G2919" s="14">
        <v>31.0</v>
      </c>
      <c r="H2919" s="23" t="s">
        <v>26</v>
      </c>
      <c r="I2919" s="24" t="s">
        <v>27</v>
      </c>
      <c r="J2919" s="19" t="s">
        <v>58</v>
      </c>
      <c r="K2919" s="14">
        <v>9.0</v>
      </c>
      <c r="L2919" s="7"/>
      <c r="M2919" s="7"/>
      <c r="N2919" s="7"/>
      <c r="O2919" s="7"/>
      <c r="P2919" s="7"/>
      <c r="Q2919" s="7"/>
      <c r="R2919" s="7"/>
      <c r="S2919" s="7"/>
      <c r="T2919" s="7"/>
      <c r="U2919" s="7"/>
      <c r="V2919" s="7"/>
      <c r="W2919" s="7"/>
      <c r="X2919" s="7"/>
      <c r="Y2919" s="7"/>
    </row>
    <row r="2920">
      <c r="A2920" s="14" t="s">
        <v>10499</v>
      </c>
      <c r="B2920" s="17" t="s">
        <v>10495</v>
      </c>
      <c r="C2920" s="17" t="s">
        <v>10500</v>
      </c>
      <c r="D2920" s="19" t="s">
        <v>10501</v>
      </c>
      <c r="E2920" s="20" t="s">
        <v>112</v>
      </c>
      <c r="F2920" s="27">
        <v>33937.0</v>
      </c>
      <c r="G2920" s="14">
        <v>33.0</v>
      </c>
      <c r="H2920" s="23" t="s">
        <v>26</v>
      </c>
      <c r="I2920" s="24" t="s">
        <v>33</v>
      </c>
      <c r="J2920" s="19" t="s">
        <v>58</v>
      </c>
      <c r="K2920" s="14">
        <v>9.0</v>
      </c>
      <c r="L2920" s="7"/>
      <c r="M2920" s="7"/>
      <c r="N2920" s="7"/>
      <c r="O2920" s="7"/>
      <c r="P2920" s="7"/>
      <c r="Q2920" s="7"/>
      <c r="R2920" s="7"/>
      <c r="S2920" s="7"/>
      <c r="T2920" s="7"/>
      <c r="U2920" s="7"/>
      <c r="V2920" s="7"/>
      <c r="W2920" s="7"/>
      <c r="X2920" s="7"/>
      <c r="Y2920" s="7"/>
    </row>
    <row r="2921">
      <c r="A2921" s="14" t="s">
        <v>10502</v>
      </c>
      <c r="B2921" s="17" t="s">
        <v>10503</v>
      </c>
      <c r="C2921" s="17" t="s">
        <v>10504</v>
      </c>
      <c r="D2921" s="19" t="s">
        <v>2102</v>
      </c>
      <c r="E2921" s="20" t="s">
        <v>749</v>
      </c>
      <c r="F2921" s="21">
        <v>19881.0</v>
      </c>
      <c r="G2921" s="14">
        <v>72.0</v>
      </c>
      <c r="H2921" s="23" t="s">
        <v>27</v>
      </c>
      <c r="I2921" s="24" t="s">
        <v>27</v>
      </c>
      <c r="J2921" s="19" t="s">
        <v>146</v>
      </c>
      <c r="K2921" s="14">
        <v>9.0</v>
      </c>
      <c r="L2921" s="7"/>
      <c r="M2921" s="7"/>
      <c r="N2921" s="7"/>
      <c r="O2921" s="7"/>
      <c r="P2921" s="7"/>
      <c r="Q2921" s="7"/>
      <c r="R2921" s="7"/>
      <c r="S2921" s="7"/>
      <c r="T2921" s="7"/>
      <c r="U2921" s="7"/>
      <c r="V2921" s="7"/>
      <c r="W2921" s="7"/>
      <c r="X2921" s="7"/>
      <c r="Y2921" s="7"/>
    </row>
    <row r="2922">
      <c r="A2922" s="14" t="s">
        <v>10506</v>
      </c>
      <c r="B2922" s="17" t="s">
        <v>10507</v>
      </c>
      <c r="C2922" s="17" t="s">
        <v>10508</v>
      </c>
      <c r="D2922" s="19" t="s">
        <v>10509</v>
      </c>
      <c r="E2922" s="20" t="s">
        <v>104</v>
      </c>
      <c r="F2922" s="21">
        <v>38221.0</v>
      </c>
      <c r="G2922" s="14">
        <v>22.0</v>
      </c>
      <c r="H2922" s="23" t="s">
        <v>100</v>
      </c>
      <c r="I2922" s="24" t="s">
        <v>27</v>
      </c>
      <c r="J2922" s="19" t="s">
        <v>95</v>
      </c>
      <c r="K2922" s="14">
        <v>16.0</v>
      </c>
      <c r="L2922" s="7"/>
      <c r="M2922" s="7"/>
      <c r="N2922" s="7"/>
      <c r="O2922" s="7"/>
      <c r="P2922" s="7"/>
      <c r="Q2922" s="7"/>
      <c r="R2922" s="7"/>
      <c r="S2922" s="7"/>
      <c r="T2922" s="7"/>
      <c r="U2922" s="7"/>
      <c r="V2922" s="7"/>
      <c r="W2922" s="7"/>
      <c r="X2922" s="7"/>
      <c r="Y2922" s="7"/>
    </row>
    <row r="2923">
      <c r="A2923" s="14" t="s">
        <v>10510</v>
      </c>
      <c r="B2923" s="17" t="s">
        <v>10507</v>
      </c>
      <c r="C2923" s="17" t="s">
        <v>10511</v>
      </c>
      <c r="D2923" s="19" t="s">
        <v>10512</v>
      </c>
      <c r="E2923" s="20" t="s">
        <v>1049</v>
      </c>
      <c r="F2923" s="21">
        <v>28946.0</v>
      </c>
      <c r="G2923" s="14">
        <v>47.0</v>
      </c>
      <c r="H2923" s="23" t="s">
        <v>26</v>
      </c>
      <c r="I2923" s="24" t="s">
        <v>33</v>
      </c>
      <c r="J2923" s="19" t="s">
        <v>95</v>
      </c>
      <c r="K2923" s="14">
        <v>16.0</v>
      </c>
      <c r="L2923" s="7"/>
      <c r="M2923" s="7"/>
      <c r="N2923" s="7"/>
      <c r="O2923" s="7"/>
      <c r="P2923" s="7"/>
      <c r="Q2923" s="7"/>
      <c r="R2923" s="7"/>
      <c r="S2923" s="7"/>
      <c r="T2923" s="7"/>
      <c r="U2923" s="7"/>
      <c r="V2923" s="7"/>
      <c r="W2923" s="7"/>
      <c r="X2923" s="7"/>
      <c r="Y2923" s="7"/>
    </row>
    <row r="2924">
      <c r="A2924" s="14" t="s">
        <v>10513</v>
      </c>
      <c r="B2924" s="17" t="s">
        <v>10507</v>
      </c>
      <c r="C2924" s="17" t="s">
        <v>10514</v>
      </c>
      <c r="D2924" s="19" t="s">
        <v>10515</v>
      </c>
      <c r="E2924" s="20" t="s">
        <v>104</v>
      </c>
      <c r="F2924" s="21">
        <v>29824.0</v>
      </c>
      <c r="G2924" s="14">
        <v>45.0</v>
      </c>
      <c r="H2924" s="23" t="s">
        <v>26</v>
      </c>
      <c r="I2924" s="24" t="s">
        <v>27</v>
      </c>
      <c r="J2924" s="19" t="s">
        <v>95</v>
      </c>
      <c r="K2924" s="14">
        <v>16.0</v>
      </c>
      <c r="L2924" s="7"/>
      <c r="M2924" s="7"/>
      <c r="N2924" s="7"/>
      <c r="O2924" s="7"/>
      <c r="P2924" s="7"/>
      <c r="Q2924" s="7"/>
      <c r="R2924" s="7"/>
      <c r="S2924" s="7"/>
      <c r="T2924" s="7"/>
      <c r="U2924" s="7"/>
      <c r="V2924" s="7"/>
      <c r="W2924" s="7"/>
      <c r="X2924" s="7"/>
      <c r="Y2924" s="7"/>
    </row>
    <row r="2925">
      <c r="A2925" s="14" t="s">
        <v>10516</v>
      </c>
      <c r="B2925" s="17" t="s">
        <v>10517</v>
      </c>
      <c r="C2925" s="17" t="s">
        <v>10518</v>
      </c>
      <c r="D2925" s="19" t="s">
        <v>10519</v>
      </c>
      <c r="E2925" s="20" t="s">
        <v>53</v>
      </c>
      <c r="F2925" s="21">
        <v>35847.0</v>
      </c>
      <c r="G2925" s="14">
        <v>28.0</v>
      </c>
      <c r="H2925" s="23" t="s">
        <v>26</v>
      </c>
      <c r="I2925" s="24" t="s">
        <v>33</v>
      </c>
      <c r="J2925" s="19" t="s">
        <v>58</v>
      </c>
      <c r="K2925" s="14">
        <v>7.0</v>
      </c>
      <c r="L2925" s="7"/>
      <c r="M2925" s="7"/>
      <c r="N2925" s="7"/>
      <c r="O2925" s="7"/>
      <c r="P2925" s="7"/>
      <c r="Q2925" s="7"/>
      <c r="R2925" s="7"/>
      <c r="S2925" s="7"/>
      <c r="T2925" s="7"/>
      <c r="U2925" s="7"/>
      <c r="V2925" s="7"/>
      <c r="W2925" s="7"/>
      <c r="X2925" s="7"/>
      <c r="Y2925" s="7"/>
    </row>
    <row r="2926">
      <c r="A2926" s="14" t="s">
        <v>10520</v>
      </c>
      <c r="B2926" s="17" t="s">
        <v>10517</v>
      </c>
      <c r="C2926" s="17" t="s">
        <v>10521</v>
      </c>
      <c r="D2926" s="19" t="s">
        <v>10522</v>
      </c>
      <c r="E2926" s="20" t="s">
        <v>10523</v>
      </c>
      <c r="F2926" s="21">
        <v>27461.0</v>
      </c>
      <c r="G2926" s="14">
        <v>51.0</v>
      </c>
      <c r="H2926" s="23" t="s">
        <v>26</v>
      </c>
      <c r="I2926" s="24" t="s">
        <v>27</v>
      </c>
      <c r="J2926" s="19" t="s">
        <v>58</v>
      </c>
      <c r="K2926" s="14">
        <v>7.0</v>
      </c>
      <c r="L2926" s="7"/>
      <c r="M2926" s="7"/>
      <c r="N2926" s="7"/>
      <c r="O2926" s="7"/>
      <c r="P2926" s="7"/>
      <c r="Q2926" s="7"/>
      <c r="R2926" s="7"/>
      <c r="S2926" s="7"/>
      <c r="T2926" s="7"/>
      <c r="U2926" s="7"/>
      <c r="V2926" s="7"/>
      <c r="W2926" s="7"/>
      <c r="X2926" s="7"/>
      <c r="Y2926" s="7"/>
    </row>
    <row r="2927">
      <c r="A2927" s="14" t="s">
        <v>10524</v>
      </c>
      <c r="B2927" s="17" t="s">
        <v>10517</v>
      </c>
      <c r="C2927" s="17" t="s">
        <v>10525</v>
      </c>
      <c r="D2927" s="19" t="s">
        <v>10526</v>
      </c>
      <c r="E2927" s="20" t="s">
        <v>290</v>
      </c>
      <c r="F2927" s="21">
        <v>26669.0</v>
      </c>
      <c r="G2927" s="14">
        <v>53.0</v>
      </c>
      <c r="H2927" s="23" t="s">
        <v>26</v>
      </c>
      <c r="I2927" s="24" t="s">
        <v>33</v>
      </c>
      <c r="J2927" s="19" t="s">
        <v>58</v>
      </c>
      <c r="K2927" s="14">
        <v>7.0</v>
      </c>
      <c r="L2927" s="7"/>
      <c r="M2927" s="7"/>
      <c r="N2927" s="7"/>
      <c r="O2927" s="7"/>
      <c r="P2927" s="7"/>
      <c r="Q2927" s="7"/>
      <c r="R2927" s="7"/>
      <c r="S2927" s="7"/>
      <c r="T2927" s="7"/>
      <c r="U2927" s="7"/>
      <c r="V2927" s="7"/>
      <c r="W2927" s="7"/>
      <c r="X2927" s="7"/>
      <c r="Y2927" s="7"/>
    </row>
    <row r="2928">
      <c r="A2928" s="14" t="s">
        <v>10527</v>
      </c>
      <c r="B2928" s="17" t="s">
        <v>10517</v>
      </c>
      <c r="C2928" s="17" t="s">
        <v>10528</v>
      </c>
      <c r="D2928" s="19" t="s">
        <v>677</v>
      </c>
      <c r="E2928" s="20" t="s">
        <v>104</v>
      </c>
      <c r="F2928" s="27">
        <v>38702.0</v>
      </c>
      <c r="G2928" s="14">
        <v>20.0</v>
      </c>
      <c r="H2928" s="23" t="s">
        <v>26</v>
      </c>
      <c r="I2928" s="24" t="s">
        <v>33</v>
      </c>
      <c r="J2928" s="19" t="s">
        <v>146</v>
      </c>
      <c r="K2928" s="14">
        <v>5.0</v>
      </c>
      <c r="L2928" s="7"/>
      <c r="M2928" s="7"/>
      <c r="N2928" s="7"/>
      <c r="O2928" s="7"/>
      <c r="P2928" s="7"/>
      <c r="Q2928" s="7"/>
      <c r="R2928" s="7"/>
      <c r="S2928" s="7"/>
      <c r="T2928" s="7"/>
      <c r="U2928" s="7"/>
      <c r="V2928" s="7"/>
      <c r="W2928" s="7"/>
      <c r="X2928" s="7"/>
      <c r="Y2928" s="7"/>
    </row>
    <row r="2929">
      <c r="A2929" s="14" t="s">
        <v>10529</v>
      </c>
      <c r="B2929" s="17" t="s">
        <v>10530</v>
      </c>
      <c r="C2929" s="17" t="s">
        <v>10531</v>
      </c>
      <c r="D2929" s="19" t="s">
        <v>10532</v>
      </c>
      <c r="E2929" s="20" t="s">
        <v>195</v>
      </c>
      <c r="F2929" s="21">
        <v>34064.0</v>
      </c>
      <c r="G2929" s="14">
        <v>33.0</v>
      </c>
      <c r="H2929" s="23" t="s">
        <v>26</v>
      </c>
      <c r="I2929" s="24" t="s">
        <v>33</v>
      </c>
      <c r="J2929" s="19" t="s">
        <v>362</v>
      </c>
      <c r="K2929" s="14">
        <v>24.0</v>
      </c>
      <c r="L2929" s="7"/>
      <c r="M2929" s="7"/>
      <c r="N2929" s="7"/>
      <c r="O2929" s="7"/>
      <c r="P2929" s="7"/>
      <c r="Q2929" s="7"/>
      <c r="R2929" s="7"/>
      <c r="S2929" s="7"/>
      <c r="T2929" s="7"/>
      <c r="U2929" s="7"/>
      <c r="V2929" s="7"/>
      <c r="W2929" s="7"/>
      <c r="X2929" s="7"/>
      <c r="Y2929" s="7"/>
    </row>
    <row r="2930">
      <c r="A2930" s="14" t="s">
        <v>10533</v>
      </c>
      <c r="B2930" s="17" t="s">
        <v>10530</v>
      </c>
      <c r="C2930" s="17" t="s">
        <v>10534</v>
      </c>
      <c r="D2930" s="19" t="s">
        <v>10535</v>
      </c>
      <c r="E2930" s="20" t="s">
        <v>104</v>
      </c>
      <c r="F2930" s="21">
        <v>35191.0</v>
      </c>
      <c r="G2930" s="14">
        <v>30.0</v>
      </c>
      <c r="H2930" s="23" t="s">
        <v>26</v>
      </c>
      <c r="I2930" s="24" t="s">
        <v>27</v>
      </c>
      <c r="J2930" s="19" t="s">
        <v>362</v>
      </c>
      <c r="K2930" s="14">
        <v>24.0</v>
      </c>
      <c r="L2930" s="7"/>
      <c r="M2930" s="7"/>
      <c r="N2930" s="7"/>
      <c r="O2930" s="7"/>
      <c r="P2930" s="7"/>
      <c r="Q2930" s="7"/>
      <c r="R2930" s="7"/>
      <c r="S2930" s="7"/>
      <c r="T2930" s="7"/>
      <c r="U2930" s="7"/>
      <c r="V2930" s="7"/>
      <c r="W2930" s="7"/>
      <c r="X2930" s="7"/>
      <c r="Y2930" s="7"/>
    </row>
    <row r="2931">
      <c r="A2931" s="14" t="s">
        <v>10536</v>
      </c>
      <c r="B2931" s="17" t="s">
        <v>10537</v>
      </c>
      <c r="C2931" s="17" t="s">
        <v>10538</v>
      </c>
      <c r="D2931" s="19" t="s">
        <v>323</v>
      </c>
      <c r="E2931" s="20" t="s">
        <v>337</v>
      </c>
      <c r="F2931" s="21">
        <v>35511.0</v>
      </c>
      <c r="G2931" s="14">
        <v>29.0</v>
      </c>
      <c r="H2931" s="23" t="s">
        <v>26</v>
      </c>
      <c r="I2931" s="24" t="s">
        <v>27</v>
      </c>
      <c r="J2931" s="19" t="s">
        <v>328</v>
      </c>
      <c r="K2931" s="14">
        <v>19.0</v>
      </c>
      <c r="L2931" s="7"/>
      <c r="M2931" s="7"/>
      <c r="N2931" s="7"/>
      <c r="O2931" s="7"/>
      <c r="P2931" s="7"/>
      <c r="Q2931" s="7"/>
      <c r="R2931" s="7"/>
      <c r="S2931" s="7"/>
      <c r="T2931" s="7"/>
      <c r="U2931" s="7"/>
      <c r="V2931" s="7"/>
      <c r="W2931" s="7"/>
      <c r="X2931" s="7"/>
      <c r="Y2931" s="7"/>
    </row>
    <row r="2932">
      <c r="A2932" s="14" t="s">
        <v>10539</v>
      </c>
      <c r="B2932" s="17" t="s">
        <v>10537</v>
      </c>
      <c r="C2932" s="17" t="s">
        <v>10540</v>
      </c>
      <c r="D2932" s="19" t="s">
        <v>10541</v>
      </c>
      <c r="E2932" s="20" t="s">
        <v>53</v>
      </c>
      <c r="F2932" s="27">
        <v>34322.0</v>
      </c>
      <c r="G2932" s="14">
        <v>32.0</v>
      </c>
      <c r="H2932" s="23" t="s">
        <v>26</v>
      </c>
      <c r="I2932" s="24" t="s">
        <v>33</v>
      </c>
      <c r="J2932" s="19" t="s">
        <v>328</v>
      </c>
      <c r="K2932" s="14">
        <v>19.0</v>
      </c>
      <c r="L2932" s="7"/>
      <c r="M2932" s="7"/>
      <c r="N2932" s="7"/>
      <c r="O2932" s="7"/>
      <c r="P2932" s="7"/>
      <c r="Q2932" s="7"/>
      <c r="R2932" s="7"/>
      <c r="S2932" s="7"/>
      <c r="T2932" s="7"/>
      <c r="U2932" s="7"/>
      <c r="V2932" s="7"/>
      <c r="W2932" s="7"/>
      <c r="X2932" s="7"/>
      <c r="Y2932" s="7"/>
    </row>
    <row r="2933">
      <c r="A2933" s="14" t="s">
        <v>10542</v>
      </c>
      <c r="B2933" s="17" t="s">
        <v>10543</v>
      </c>
      <c r="C2933" s="17" t="s">
        <v>10544</v>
      </c>
      <c r="D2933" s="19" t="s">
        <v>3759</v>
      </c>
      <c r="E2933" s="20" t="s">
        <v>654</v>
      </c>
      <c r="F2933" s="21">
        <v>25020.0</v>
      </c>
      <c r="G2933" s="14">
        <v>58.0</v>
      </c>
      <c r="H2933" s="23" t="s">
        <v>27</v>
      </c>
      <c r="I2933" s="24" t="s">
        <v>27</v>
      </c>
      <c r="J2933" s="19" t="s">
        <v>58</v>
      </c>
      <c r="K2933" s="14">
        <v>8.0</v>
      </c>
      <c r="L2933" s="7"/>
      <c r="M2933" s="7"/>
      <c r="N2933" s="7"/>
      <c r="O2933" s="7"/>
      <c r="P2933" s="7"/>
      <c r="Q2933" s="7"/>
      <c r="R2933" s="7"/>
      <c r="S2933" s="7"/>
      <c r="T2933" s="7"/>
      <c r="U2933" s="7"/>
      <c r="V2933" s="7"/>
      <c r="W2933" s="7"/>
      <c r="X2933" s="7"/>
      <c r="Y2933" s="7"/>
    </row>
    <row r="2934">
      <c r="A2934" s="14" t="s">
        <v>10545</v>
      </c>
      <c r="B2934" s="17" t="s">
        <v>10546</v>
      </c>
      <c r="C2934" s="17" t="s">
        <v>10547</v>
      </c>
      <c r="D2934" s="19" t="s">
        <v>10548</v>
      </c>
      <c r="E2934" s="20" t="s">
        <v>104</v>
      </c>
      <c r="F2934" s="21">
        <v>34460.0</v>
      </c>
      <c r="G2934" s="14">
        <v>32.0</v>
      </c>
      <c r="H2934" s="23" t="s">
        <v>26</v>
      </c>
      <c r="I2934" s="24" t="s">
        <v>27</v>
      </c>
      <c r="J2934" s="19" t="s">
        <v>10549</v>
      </c>
      <c r="K2934" s="14">
        <v>20.0</v>
      </c>
      <c r="L2934" s="7"/>
      <c r="M2934" s="7"/>
      <c r="N2934" s="7"/>
      <c r="O2934" s="7"/>
      <c r="P2934" s="7"/>
      <c r="Q2934" s="7"/>
      <c r="R2934" s="7"/>
      <c r="S2934" s="7"/>
      <c r="T2934" s="7"/>
      <c r="U2934" s="7"/>
      <c r="V2934" s="7"/>
      <c r="W2934" s="7"/>
      <c r="X2934" s="7"/>
      <c r="Y2934" s="7"/>
    </row>
    <row r="2935">
      <c r="A2935" s="14" t="s">
        <v>10550</v>
      </c>
      <c r="B2935" s="17" t="s">
        <v>10546</v>
      </c>
      <c r="C2935" s="17" t="s">
        <v>10551</v>
      </c>
      <c r="D2935" s="19" t="s">
        <v>10552</v>
      </c>
      <c r="E2935" s="20" t="s">
        <v>104</v>
      </c>
      <c r="F2935" s="21">
        <v>31723.0</v>
      </c>
      <c r="G2935" s="14">
        <v>39.0</v>
      </c>
      <c r="H2935" s="23" t="s">
        <v>26</v>
      </c>
      <c r="I2935" s="24" t="s">
        <v>33</v>
      </c>
      <c r="J2935" s="19" t="s">
        <v>10549</v>
      </c>
      <c r="K2935" s="14">
        <v>20.0</v>
      </c>
      <c r="L2935" s="7"/>
      <c r="M2935" s="7"/>
      <c r="N2935" s="7"/>
      <c r="O2935" s="7"/>
      <c r="P2935" s="7"/>
      <c r="Q2935" s="7"/>
      <c r="R2935" s="7"/>
      <c r="S2935" s="7"/>
      <c r="T2935" s="7"/>
      <c r="U2935" s="7"/>
      <c r="V2935" s="7"/>
      <c r="W2935" s="7"/>
      <c r="X2935" s="7"/>
      <c r="Y2935" s="7"/>
    </row>
    <row r="2936">
      <c r="A2936" s="14" t="s">
        <v>10553</v>
      </c>
      <c r="B2936" s="17" t="s">
        <v>10554</v>
      </c>
      <c r="C2936" s="17" t="s">
        <v>10555</v>
      </c>
      <c r="D2936" s="19" t="s">
        <v>10556</v>
      </c>
      <c r="E2936" s="20" t="s">
        <v>1049</v>
      </c>
      <c r="F2936" s="21">
        <v>20109.0</v>
      </c>
      <c r="G2936" s="14">
        <v>71.0</v>
      </c>
      <c r="H2936" s="23" t="s">
        <v>100</v>
      </c>
      <c r="I2936" s="24" t="s">
        <v>27</v>
      </c>
      <c r="J2936" s="19" t="s">
        <v>53</v>
      </c>
      <c r="K2936" s="14">
        <v>17.0</v>
      </c>
      <c r="L2936" s="7"/>
      <c r="M2936" s="7"/>
      <c r="N2936" s="7"/>
      <c r="O2936" s="7"/>
      <c r="P2936" s="7"/>
      <c r="Q2936" s="7"/>
      <c r="R2936" s="7"/>
      <c r="S2936" s="7"/>
      <c r="T2936" s="7"/>
      <c r="U2936" s="7"/>
      <c r="V2936" s="7"/>
      <c r="W2936" s="7"/>
      <c r="X2936" s="7"/>
      <c r="Y2936" s="7"/>
    </row>
    <row r="2937">
      <c r="A2937" s="14" t="s">
        <v>10557</v>
      </c>
      <c r="B2937" s="17" t="s">
        <v>10558</v>
      </c>
      <c r="C2937" s="17" t="s">
        <v>10559</v>
      </c>
      <c r="D2937" s="19" t="s">
        <v>10560</v>
      </c>
      <c r="E2937" s="20" t="s">
        <v>10561</v>
      </c>
      <c r="F2937" s="21">
        <v>16666.0</v>
      </c>
      <c r="G2937" s="14">
        <v>81.0</v>
      </c>
      <c r="H2937" s="23" t="s">
        <v>27</v>
      </c>
      <c r="I2937" s="24" t="s">
        <v>27</v>
      </c>
      <c r="J2937" s="19" t="s">
        <v>53</v>
      </c>
      <c r="K2937" s="14">
        <v>25.0</v>
      </c>
      <c r="L2937" s="7"/>
      <c r="M2937" s="7"/>
      <c r="N2937" s="7"/>
      <c r="O2937" s="7"/>
      <c r="P2937" s="7"/>
      <c r="Q2937" s="7"/>
      <c r="R2937" s="7"/>
      <c r="S2937" s="7"/>
      <c r="T2937" s="7"/>
      <c r="U2937" s="7"/>
      <c r="V2937" s="7"/>
      <c r="W2937" s="7"/>
      <c r="X2937" s="7"/>
      <c r="Y2937" s="7"/>
    </row>
    <row r="2938">
      <c r="A2938" s="14" t="s">
        <v>10562</v>
      </c>
      <c r="B2938" s="17" t="s">
        <v>10563</v>
      </c>
      <c r="C2938" s="17" t="s">
        <v>10564</v>
      </c>
      <c r="D2938" s="19" t="s">
        <v>10565</v>
      </c>
      <c r="E2938" s="20" t="s">
        <v>53</v>
      </c>
      <c r="F2938" s="21">
        <v>31620.0</v>
      </c>
      <c r="G2938" s="14">
        <v>40.0</v>
      </c>
      <c r="H2938" s="23" t="s">
        <v>26</v>
      </c>
      <c r="I2938" s="24" t="s">
        <v>27</v>
      </c>
      <c r="J2938" s="19" t="s">
        <v>68</v>
      </c>
      <c r="K2938" s="14">
        <v>31.0</v>
      </c>
      <c r="L2938" s="7"/>
      <c r="M2938" s="7"/>
      <c r="N2938" s="7"/>
      <c r="O2938" s="7"/>
      <c r="P2938" s="7"/>
      <c r="Q2938" s="7"/>
      <c r="R2938" s="7"/>
      <c r="S2938" s="7"/>
      <c r="T2938" s="7"/>
      <c r="U2938" s="7"/>
      <c r="V2938" s="7"/>
      <c r="W2938" s="7"/>
      <c r="X2938" s="7"/>
      <c r="Y2938" s="7"/>
    </row>
    <row r="2939">
      <c r="A2939" s="14" t="s">
        <v>10566</v>
      </c>
      <c r="B2939" s="17" t="s">
        <v>10563</v>
      </c>
      <c r="C2939" s="17" t="s">
        <v>10567</v>
      </c>
      <c r="D2939" s="19" t="s">
        <v>10568</v>
      </c>
      <c r="E2939" s="20" t="s">
        <v>53</v>
      </c>
      <c r="F2939" s="21">
        <v>29221.0</v>
      </c>
      <c r="G2939" s="14">
        <v>46.0</v>
      </c>
      <c r="H2939" s="23" t="s">
        <v>26</v>
      </c>
      <c r="I2939" s="24" t="s">
        <v>33</v>
      </c>
      <c r="J2939" s="19" t="s">
        <v>68</v>
      </c>
      <c r="K2939" s="14">
        <v>31.0</v>
      </c>
      <c r="L2939" s="7"/>
      <c r="M2939" s="7"/>
      <c r="N2939" s="7"/>
      <c r="O2939" s="7"/>
      <c r="P2939" s="7"/>
      <c r="Q2939" s="7"/>
      <c r="R2939" s="7"/>
      <c r="S2939" s="7"/>
      <c r="T2939" s="7"/>
      <c r="U2939" s="7"/>
      <c r="V2939" s="7"/>
      <c r="W2939" s="7"/>
      <c r="X2939" s="7"/>
      <c r="Y2939" s="7"/>
    </row>
    <row r="2940">
      <c r="A2940" s="14" t="s">
        <v>10569</v>
      </c>
      <c r="B2940" s="17" t="s">
        <v>10570</v>
      </c>
      <c r="C2940" s="17" t="s">
        <v>10571</v>
      </c>
      <c r="D2940" s="19" t="s">
        <v>10572</v>
      </c>
      <c r="E2940" s="20" t="s">
        <v>104</v>
      </c>
      <c r="F2940" s="21">
        <v>36290.0</v>
      </c>
      <c r="G2940" s="14">
        <v>27.0</v>
      </c>
      <c r="H2940" s="23" t="s">
        <v>100</v>
      </c>
      <c r="I2940" s="24" t="s">
        <v>33</v>
      </c>
      <c r="J2940" s="19" t="s">
        <v>156</v>
      </c>
      <c r="K2940" s="14">
        <v>28.0</v>
      </c>
      <c r="L2940" s="7"/>
      <c r="M2940" s="7"/>
      <c r="N2940" s="7"/>
      <c r="O2940" s="7"/>
      <c r="P2940" s="7"/>
      <c r="Q2940" s="7"/>
      <c r="R2940" s="7"/>
      <c r="S2940" s="7"/>
      <c r="T2940" s="7"/>
      <c r="U2940" s="7"/>
      <c r="V2940" s="7"/>
      <c r="W2940" s="7"/>
      <c r="X2940" s="7"/>
      <c r="Y2940" s="7"/>
    </row>
    <row r="2941">
      <c r="A2941" s="14" t="s">
        <v>10573</v>
      </c>
      <c r="B2941" s="17" t="s">
        <v>10570</v>
      </c>
      <c r="C2941" s="17" t="s">
        <v>10574</v>
      </c>
      <c r="D2941" s="19" t="s">
        <v>10575</v>
      </c>
      <c r="E2941" s="20" t="s">
        <v>10576</v>
      </c>
      <c r="F2941" s="21">
        <v>25433.0</v>
      </c>
      <c r="G2941" s="14">
        <v>57.0</v>
      </c>
      <c r="H2941" s="23" t="s">
        <v>27</v>
      </c>
      <c r="I2941" s="24" t="s">
        <v>27</v>
      </c>
      <c r="J2941" s="19" t="s">
        <v>156</v>
      </c>
      <c r="K2941" s="14">
        <v>28.0</v>
      </c>
      <c r="L2941" s="7"/>
      <c r="M2941" s="7"/>
      <c r="N2941" s="7"/>
      <c r="O2941" s="7"/>
      <c r="P2941" s="7"/>
      <c r="Q2941" s="7"/>
      <c r="R2941" s="7"/>
      <c r="S2941" s="7"/>
      <c r="T2941" s="7"/>
      <c r="U2941" s="7"/>
      <c r="V2941" s="7"/>
      <c r="W2941" s="7"/>
      <c r="X2941" s="7"/>
      <c r="Y2941" s="7"/>
    </row>
    <row r="2942">
      <c r="A2942" s="14" t="s">
        <v>10577</v>
      </c>
      <c r="B2942" s="17" t="s">
        <v>10570</v>
      </c>
      <c r="C2942" s="17" t="s">
        <v>10578</v>
      </c>
      <c r="D2942" s="19" t="s">
        <v>10579</v>
      </c>
      <c r="E2942" s="20" t="s">
        <v>104</v>
      </c>
      <c r="F2942" s="21">
        <v>35705.0</v>
      </c>
      <c r="G2942" s="14">
        <v>28.0</v>
      </c>
      <c r="H2942" s="23" t="s">
        <v>100</v>
      </c>
      <c r="I2942" s="24" t="s">
        <v>27</v>
      </c>
      <c r="J2942" s="19" t="s">
        <v>156</v>
      </c>
      <c r="K2942" s="14">
        <v>28.0</v>
      </c>
      <c r="L2942" s="7"/>
      <c r="M2942" s="7"/>
      <c r="N2942" s="7"/>
      <c r="O2942" s="7"/>
      <c r="P2942" s="7"/>
      <c r="Q2942" s="7"/>
      <c r="R2942" s="7"/>
      <c r="S2942" s="7"/>
      <c r="T2942" s="7"/>
      <c r="U2942" s="7"/>
      <c r="V2942" s="7"/>
      <c r="W2942" s="7"/>
      <c r="X2942" s="7"/>
      <c r="Y2942" s="7"/>
    </row>
    <row r="2943">
      <c r="A2943" s="14" t="s">
        <v>10580</v>
      </c>
      <c r="B2943" s="17" t="s">
        <v>10581</v>
      </c>
      <c r="C2943" s="17" t="s">
        <v>10582</v>
      </c>
      <c r="D2943" s="19" t="s">
        <v>10583</v>
      </c>
      <c r="E2943" s="20" t="s">
        <v>104</v>
      </c>
      <c r="F2943" s="21">
        <v>36205.0</v>
      </c>
      <c r="G2943" s="14">
        <v>27.0</v>
      </c>
      <c r="H2943" s="23" t="s">
        <v>26</v>
      </c>
      <c r="I2943" s="24" t="s">
        <v>27</v>
      </c>
      <c r="J2943" s="19" t="s">
        <v>206</v>
      </c>
      <c r="K2943" s="14">
        <v>8.0</v>
      </c>
      <c r="L2943" s="7"/>
      <c r="M2943" s="7"/>
      <c r="N2943" s="7"/>
      <c r="O2943" s="7"/>
      <c r="P2943" s="7"/>
      <c r="Q2943" s="7"/>
      <c r="R2943" s="7"/>
      <c r="S2943" s="7"/>
      <c r="T2943" s="7"/>
      <c r="U2943" s="7"/>
      <c r="V2943" s="7"/>
      <c r="W2943" s="7"/>
      <c r="X2943" s="7"/>
      <c r="Y2943" s="7"/>
    </row>
    <row r="2944">
      <c r="A2944" s="14" t="s">
        <v>10584</v>
      </c>
      <c r="B2944" s="17" t="s">
        <v>10581</v>
      </c>
      <c r="C2944" s="17" t="s">
        <v>10585</v>
      </c>
      <c r="D2944" s="19" t="s">
        <v>10586</v>
      </c>
      <c r="E2944" s="20" t="s">
        <v>187</v>
      </c>
      <c r="F2944" s="21">
        <v>33279.0</v>
      </c>
      <c r="G2944" s="14">
        <v>35.0</v>
      </c>
      <c r="H2944" s="23" t="s">
        <v>26</v>
      </c>
      <c r="I2944" s="24" t="s">
        <v>33</v>
      </c>
      <c r="J2944" s="19" t="s">
        <v>206</v>
      </c>
      <c r="K2944" s="14">
        <v>8.0</v>
      </c>
      <c r="L2944" s="7"/>
      <c r="M2944" s="7"/>
      <c r="N2944" s="7"/>
      <c r="O2944" s="7"/>
      <c r="P2944" s="7"/>
      <c r="Q2944" s="7"/>
      <c r="R2944" s="7"/>
      <c r="S2944" s="7"/>
      <c r="T2944" s="7"/>
      <c r="U2944" s="7"/>
      <c r="V2944" s="7"/>
      <c r="W2944" s="7"/>
      <c r="X2944" s="7"/>
      <c r="Y2944" s="7"/>
    </row>
    <row r="2945">
      <c r="A2945" s="14" t="s">
        <v>10587</v>
      </c>
      <c r="B2945" s="17" t="s">
        <v>10588</v>
      </c>
      <c r="C2945" s="17" t="s">
        <v>10589</v>
      </c>
      <c r="D2945" s="19" t="s">
        <v>10590</v>
      </c>
      <c r="E2945" s="20" t="s">
        <v>654</v>
      </c>
      <c r="F2945" s="21">
        <v>24931.0</v>
      </c>
      <c r="G2945" s="14">
        <v>58.0</v>
      </c>
      <c r="H2945" s="23" t="s">
        <v>26</v>
      </c>
      <c r="I2945" s="24" t="s">
        <v>33</v>
      </c>
      <c r="J2945" s="19" t="s">
        <v>68</v>
      </c>
      <c r="K2945" s="14">
        <v>28.0</v>
      </c>
      <c r="L2945" s="7"/>
      <c r="M2945" s="7"/>
      <c r="N2945" s="7"/>
      <c r="O2945" s="7"/>
      <c r="P2945" s="7"/>
      <c r="Q2945" s="7"/>
      <c r="R2945" s="7"/>
      <c r="S2945" s="7"/>
      <c r="T2945" s="7"/>
      <c r="U2945" s="7"/>
      <c r="V2945" s="7"/>
      <c r="W2945" s="7"/>
      <c r="X2945" s="7"/>
      <c r="Y2945" s="7"/>
    </row>
    <row r="2946">
      <c r="A2946" s="14" t="s">
        <v>10592</v>
      </c>
      <c r="B2946" s="17" t="s">
        <v>10588</v>
      </c>
      <c r="C2946" s="17" t="s">
        <v>10593</v>
      </c>
      <c r="D2946" s="19" t="s">
        <v>10594</v>
      </c>
      <c r="E2946" s="20" t="s">
        <v>10595</v>
      </c>
      <c r="F2946" s="21">
        <v>39274.0</v>
      </c>
      <c r="G2946" s="14">
        <v>19.0</v>
      </c>
      <c r="H2946" s="23" t="s">
        <v>100</v>
      </c>
      <c r="I2946" s="24" t="s">
        <v>27</v>
      </c>
      <c r="J2946" s="19" t="s">
        <v>68</v>
      </c>
      <c r="K2946" s="14">
        <v>28.0</v>
      </c>
      <c r="L2946" s="7"/>
      <c r="M2946" s="7"/>
      <c r="N2946" s="7"/>
      <c r="O2946" s="7"/>
      <c r="P2946" s="7"/>
      <c r="Q2946" s="7"/>
      <c r="R2946" s="7"/>
      <c r="S2946" s="7"/>
      <c r="T2946" s="7"/>
      <c r="U2946" s="7"/>
      <c r="V2946" s="7"/>
      <c r="W2946" s="7"/>
      <c r="X2946" s="7"/>
      <c r="Y2946" s="7"/>
    </row>
    <row r="2947">
      <c r="A2947" s="14" t="s">
        <v>10596</v>
      </c>
      <c r="B2947" s="17" t="s">
        <v>10588</v>
      </c>
      <c r="C2947" s="17" t="s">
        <v>10597</v>
      </c>
      <c r="D2947" s="19" t="s">
        <v>10598</v>
      </c>
      <c r="E2947" s="20" t="s">
        <v>10595</v>
      </c>
      <c r="F2947" s="21">
        <v>38482.0</v>
      </c>
      <c r="G2947" s="14">
        <v>21.0</v>
      </c>
      <c r="H2947" s="23" t="s">
        <v>100</v>
      </c>
      <c r="I2947" s="24" t="s">
        <v>27</v>
      </c>
      <c r="J2947" s="19" t="s">
        <v>68</v>
      </c>
      <c r="K2947" s="14">
        <v>28.0</v>
      </c>
      <c r="L2947" s="7"/>
      <c r="M2947" s="7"/>
      <c r="N2947" s="7"/>
      <c r="O2947" s="7"/>
      <c r="P2947" s="7"/>
      <c r="Q2947" s="7"/>
      <c r="R2947" s="7"/>
      <c r="S2947" s="7"/>
      <c r="T2947" s="7"/>
      <c r="U2947" s="7"/>
      <c r="V2947" s="7"/>
      <c r="W2947" s="7"/>
      <c r="X2947" s="7"/>
      <c r="Y2947" s="7"/>
    </row>
    <row r="2948">
      <c r="A2948" s="14" t="s">
        <v>10599</v>
      </c>
      <c r="B2948" s="17" t="s">
        <v>10588</v>
      </c>
      <c r="C2948" s="17" t="s">
        <v>10600</v>
      </c>
      <c r="D2948" s="19" t="s">
        <v>10601</v>
      </c>
      <c r="E2948" s="20" t="s">
        <v>2200</v>
      </c>
      <c r="F2948" s="21">
        <v>25483.0</v>
      </c>
      <c r="G2948" s="14">
        <v>56.0</v>
      </c>
      <c r="H2948" s="23" t="s">
        <v>26</v>
      </c>
      <c r="I2948" s="24" t="s">
        <v>27</v>
      </c>
      <c r="J2948" s="19" t="s">
        <v>68</v>
      </c>
      <c r="K2948" s="14">
        <v>28.0</v>
      </c>
      <c r="L2948" s="7"/>
      <c r="M2948" s="7"/>
      <c r="N2948" s="7"/>
      <c r="O2948" s="7"/>
      <c r="P2948" s="7"/>
      <c r="Q2948" s="7"/>
      <c r="R2948" s="7"/>
      <c r="S2948" s="7"/>
      <c r="T2948" s="7"/>
      <c r="U2948" s="7"/>
      <c r="V2948" s="7"/>
      <c r="W2948" s="7"/>
      <c r="X2948" s="7"/>
      <c r="Y2948" s="7"/>
    </row>
    <row r="2949">
      <c r="A2949" s="14" t="s">
        <v>10602</v>
      </c>
      <c r="B2949" s="17" t="s">
        <v>10588</v>
      </c>
      <c r="C2949" s="17" t="s">
        <v>10603</v>
      </c>
      <c r="D2949" s="19" t="s">
        <v>10604</v>
      </c>
      <c r="E2949" s="20" t="s">
        <v>10595</v>
      </c>
      <c r="F2949" s="21">
        <v>36981.0</v>
      </c>
      <c r="G2949" s="14">
        <v>25.0</v>
      </c>
      <c r="H2949" s="23" t="s">
        <v>100</v>
      </c>
      <c r="I2949" s="24" t="s">
        <v>33</v>
      </c>
      <c r="J2949" s="19" t="s">
        <v>68</v>
      </c>
      <c r="K2949" s="14">
        <v>28.0</v>
      </c>
      <c r="L2949" s="7"/>
      <c r="M2949" s="7"/>
      <c r="N2949" s="7"/>
      <c r="O2949" s="7"/>
      <c r="P2949" s="7"/>
      <c r="Q2949" s="7"/>
      <c r="R2949" s="7"/>
      <c r="S2949" s="7"/>
      <c r="T2949" s="7"/>
      <c r="U2949" s="7"/>
      <c r="V2949" s="7"/>
      <c r="W2949" s="7"/>
      <c r="X2949" s="7"/>
      <c r="Y2949" s="7"/>
    </row>
    <row r="2950">
      <c r="A2950" s="14" t="s">
        <v>10605</v>
      </c>
      <c r="B2950" s="17" t="s">
        <v>10606</v>
      </c>
      <c r="C2950" s="17" t="s">
        <v>10607</v>
      </c>
      <c r="D2950" s="19" t="s">
        <v>10608</v>
      </c>
      <c r="E2950" s="20" t="s">
        <v>1934</v>
      </c>
      <c r="F2950" s="21">
        <v>17029.0</v>
      </c>
      <c r="G2950" s="14">
        <v>80.0</v>
      </c>
      <c r="H2950" s="23" t="s">
        <v>27</v>
      </c>
      <c r="I2950" s="24" t="s">
        <v>27</v>
      </c>
      <c r="J2950" s="19" t="s">
        <v>362</v>
      </c>
      <c r="K2950" s="14">
        <v>25.0</v>
      </c>
      <c r="L2950" s="7"/>
      <c r="M2950" s="7"/>
      <c r="N2950" s="7"/>
      <c r="O2950" s="7"/>
      <c r="P2950" s="7"/>
      <c r="Q2950" s="7"/>
      <c r="R2950" s="7"/>
      <c r="S2950" s="7"/>
      <c r="T2950" s="7"/>
      <c r="U2950" s="7"/>
      <c r="V2950" s="7"/>
      <c r="W2950" s="7"/>
      <c r="X2950" s="7"/>
      <c r="Y2950" s="7"/>
    </row>
    <row r="2951">
      <c r="A2951" s="14" t="s">
        <v>10609</v>
      </c>
      <c r="B2951" s="17" t="s">
        <v>10610</v>
      </c>
      <c r="C2951" s="17" t="s">
        <v>10611</v>
      </c>
      <c r="D2951" s="19" t="s">
        <v>2302</v>
      </c>
      <c r="E2951" s="20" t="s">
        <v>984</v>
      </c>
      <c r="F2951" s="21">
        <v>21246.0</v>
      </c>
      <c r="G2951" s="14">
        <v>68.0</v>
      </c>
      <c r="H2951" s="23" t="s">
        <v>26</v>
      </c>
      <c r="I2951" s="24" t="s">
        <v>33</v>
      </c>
      <c r="J2951" s="19" t="s">
        <v>282</v>
      </c>
      <c r="K2951" s="14">
        <v>13.0</v>
      </c>
      <c r="L2951" s="7"/>
      <c r="M2951" s="7"/>
      <c r="N2951" s="7"/>
      <c r="O2951" s="7"/>
      <c r="P2951" s="7"/>
      <c r="Q2951" s="7"/>
      <c r="R2951" s="7"/>
      <c r="S2951" s="7"/>
      <c r="T2951" s="7"/>
      <c r="U2951" s="7"/>
      <c r="V2951" s="7"/>
      <c r="W2951" s="7"/>
      <c r="X2951" s="7"/>
      <c r="Y2951" s="7"/>
    </row>
    <row r="2952">
      <c r="A2952" s="14" t="s">
        <v>10612</v>
      </c>
      <c r="B2952" s="17" t="s">
        <v>10610</v>
      </c>
      <c r="C2952" s="17" t="s">
        <v>10613</v>
      </c>
      <c r="D2952" s="19" t="s">
        <v>10614</v>
      </c>
      <c r="E2952" s="20" t="s">
        <v>112</v>
      </c>
      <c r="F2952" s="21">
        <v>24628.0</v>
      </c>
      <c r="G2952" s="14">
        <v>59.0</v>
      </c>
      <c r="H2952" s="23" t="s">
        <v>26</v>
      </c>
      <c r="I2952" s="24" t="s">
        <v>27</v>
      </c>
      <c r="J2952" s="19" t="s">
        <v>282</v>
      </c>
      <c r="K2952" s="14">
        <v>13.0</v>
      </c>
      <c r="L2952" s="7"/>
      <c r="M2952" s="7"/>
      <c r="N2952" s="7"/>
      <c r="O2952" s="7"/>
      <c r="P2952" s="7"/>
      <c r="Q2952" s="7"/>
      <c r="R2952" s="7"/>
      <c r="S2952" s="7"/>
      <c r="T2952" s="7"/>
      <c r="U2952" s="7"/>
      <c r="V2952" s="7"/>
      <c r="W2952" s="7"/>
      <c r="X2952" s="7"/>
      <c r="Y2952" s="7"/>
    </row>
    <row r="2953">
      <c r="A2953" s="14" t="s">
        <v>10615</v>
      </c>
      <c r="B2953" s="17" t="s">
        <v>10616</v>
      </c>
      <c r="C2953" s="17" t="s">
        <v>10617</v>
      </c>
      <c r="D2953" s="19" t="s">
        <v>10618</v>
      </c>
      <c r="E2953" s="20" t="s">
        <v>544</v>
      </c>
      <c r="F2953" s="21">
        <v>27182.0</v>
      </c>
      <c r="G2953" s="14">
        <v>52.0</v>
      </c>
      <c r="H2953" s="23" t="s">
        <v>26</v>
      </c>
      <c r="I2953" s="24" t="s">
        <v>33</v>
      </c>
      <c r="J2953" s="19" t="s">
        <v>10619</v>
      </c>
      <c r="K2953" s="14">
        <v>10.0</v>
      </c>
      <c r="L2953" s="7"/>
      <c r="M2953" s="7"/>
      <c r="N2953" s="7"/>
      <c r="O2953" s="7"/>
      <c r="P2953" s="7"/>
      <c r="Q2953" s="7"/>
      <c r="R2953" s="7"/>
      <c r="S2953" s="7"/>
      <c r="T2953" s="7"/>
      <c r="U2953" s="7"/>
      <c r="V2953" s="7"/>
      <c r="W2953" s="7"/>
      <c r="X2953" s="7"/>
      <c r="Y2953" s="7"/>
    </row>
    <row r="2954">
      <c r="A2954" s="14" t="s">
        <v>10620</v>
      </c>
      <c r="B2954" s="17" t="s">
        <v>10621</v>
      </c>
      <c r="C2954" s="17" t="s">
        <v>10622</v>
      </c>
      <c r="D2954" s="19" t="s">
        <v>10623</v>
      </c>
      <c r="E2954" s="20" t="s">
        <v>104</v>
      </c>
      <c r="F2954" s="21">
        <v>35143.0</v>
      </c>
      <c r="G2954" s="14">
        <v>30.0</v>
      </c>
      <c r="H2954" s="23" t="s">
        <v>26</v>
      </c>
      <c r="I2954" s="24" t="s">
        <v>33</v>
      </c>
      <c r="J2954" s="19" t="s">
        <v>2762</v>
      </c>
      <c r="K2954" s="14">
        <v>1.0</v>
      </c>
      <c r="L2954" s="7"/>
      <c r="M2954" s="7"/>
      <c r="N2954" s="7"/>
      <c r="O2954" s="7"/>
      <c r="P2954" s="7"/>
      <c r="Q2954" s="7"/>
      <c r="R2954" s="7"/>
      <c r="S2954" s="7"/>
      <c r="T2954" s="7"/>
      <c r="U2954" s="7"/>
      <c r="V2954" s="7"/>
      <c r="W2954" s="7"/>
      <c r="X2954" s="7"/>
      <c r="Y2954" s="7"/>
    </row>
    <row r="2955">
      <c r="A2955" s="14" t="s">
        <v>10624</v>
      </c>
      <c r="B2955" s="17" t="s">
        <v>10621</v>
      </c>
      <c r="C2955" s="17" t="s">
        <v>10625</v>
      </c>
      <c r="D2955" s="19" t="s">
        <v>10626</v>
      </c>
      <c r="E2955" s="20" t="s">
        <v>4705</v>
      </c>
      <c r="F2955" s="21">
        <v>35996.0</v>
      </c>
      <c r="G2955" s="14">
        <v>28.0</v>
      </c>
      <c r="H2955" s="23" t="s">
        <v>26</v>
      </c>
      <c r="I2955" s="24" t="s">
        <v>27</v>
      </c>
      <c r="J2955" s="19" t="s">
        <v>2762</v>
      </c>
      <c r="K2955" s="14">
        <v>1.0</v>
      </c>
      <c r="L2955" s="7"/>
      <c r="M2955" s="7"/>
      <c r="N2955" s="7"/>
      <c r="O2955" s="7"/>
      <c r="P2955" s="7"/>
      <c r="Q2955" s="7"/>
      <c r="R2955" s="7"/>
      <c r="S2955" s="7"/>
      <c r="T2955" s="7"/>
      <c r="U2955" s="7"/>
      <c r="V2955" s="7"/>
      <c r="W2955" s="7"/>
      <c r="X2955" s="7"/>
      <c r="Y2955" s="7"/>
    </row>
    <row r="2956">
      <c r="A2956" s="14" t="s">
        <v>10627</v>
      </c>
      <c r="B2956" s="17" t="s">
        <v>10628</v>
      </c>
      <c r="C2956" s="17" t="s">
        <v>10629</v>
      </c>
      <c r="D2956" s="19" t="s">
        <v>10630</v>
      </c>
      <c r="E2956" s="20" t="s">
        <v>632</v>
      </c>
      <c r="F2956" s="21">
        <v>20310.0</v>
      </c>
      <c r="G2956" s="14">
        <v>71.0</v>
      </c>
      <c r="H2956" s="23" t="s">
        <v>27</v>
      </c>
      <c r="I2956" s="24" t="s">
        <v>27</v>
      </c>
      <c r="J2956" s="19" t="s">
        <v>53</v>
      </c>
      <c r="K2956" s="14">
        <v>11.0</v>
      </c>
      <c r="L2956" s="7"/>
      <c r="M2956" s="7"/>
      <c r="N2956" s="7"/>
      <c r="O2956" s="7"/>
      <c r="P2956" s="7"/>
      <c r="Q2956" s="7"/>
      <c r="R2956" s="7"/>
      <c r="S2956" s="7"/>
      <c r="T2956" s="7"/>
      <c r="U2956" s="7"/>
      <c r="V2956" s="7"/>
      <c r="W2956" s="7"/>
      <c r="X2956" s="7"/>
      <c r="Y2956" s="7"/>
    </row>
    <row r="2957">
      <c r="A2957" s="14" t="s">
        <v>10631</v>
      </c>
      <c r="B2957" s="17" t="s">
        <v>10632</v>
      </c>
      <c r="C2957" s="17" t="s">
        <v>10633</v>
      </c>
      <c r="D2957" s="19" t="s">
        <v>10634</v>
      </c>
      <c r="E2957" s="20" t="s">
        <v>53</v>
      </c>
      <c r="F2957" s="21">
        <v>29999.0</v>
      </c>
      <c r="G2957" s="14">
        <v>44.0</v>
      </c>
      <c r="H2957" s="23" t="s">
        <v>100</v>
      </c>
      <c r="I2957" s="24" t="s">
        <v>33</v>
      </c>
      <c r="J2957" s="19" t="s">
        <v>328</v>
      </c>
      <c r="K2957" s="14">
        <v>25.0</v>
      </c>
      <c r="L2957" s="7"/>
      <c r="M2957" s="7"/>
      <c r="N2957" s="7"/>
      <c r="O2957" s="7"/>
      <c r="P2957" s="7"/>
      <c r="Q2957" s="7"/>
      <c r="R2957" s="7"/>
      <c r="S2957" s="7"/>
      <c r="T2957" s="7"/>
      <c r="U2957" s="7"/>
      <c r="V2957" s="7"/>
      <c r="W2957" s="7"/>
      <c r="X2957" s="7"/>
      <c r="Y2957" s="7"/>
    </row>
    <row r="2958">
      <c r="A2958" s="14" t="s">
        <v>10635</v>
      </c>
      <c r="B2958" s="17" t="s">
        <v>10636</v>
      </c>
      <c r="C2958" s="17" t="s">
        <v>10637</v>
      </c>
      <c r="D2958" s="19" t="s">
        <v>10638</v>
      </c>
      <c r="E2958" s="20" t="s">
        <v>53</v>
      </c>
      <c r="F2958" s="21">
        <v>35950.0</v>
      </c>
      <c r="G2958" s="14">
        <v>28.0</v>
      </c>
      <c r="H2958" s="23" t="s">
        <v>26</v>
      </c>
      <c r="I2958" s="24" t="s">
        <v>27</v>
      </c>
      <c r="J2958" s="19" t="s">
        <v>362</v>
      </c>
      <c r="K2958" s="14">
        <v>27.0</v>
      </c>
      <c r="L2958" s="7"/>
      <c r="M2958" s="7"/>
      <c r="N2958" s="7"/>
      <c r="O2958" s="7"/>
      <c r="P2958" s="7"/>
      <c r="Q2958" s="7"/>
      <c r="R2958" s="7"/>
      <c r="S2958" s="7"/>
      <c r="T2958" s="7"/>
      <c r="U2958" s="7"/>
      <c r="V2958" s="7"/>
      <c r="W2958" s="7"/>
      <c r="X2958" s="7"/>
      <c r="Y2958" s="7"/>
    </row>
    <row r="2959">
      <c r="A2959" s="14" t="s">
        <v>10640</v>
      </c>
      <c r="B2959" s="17" t="s">
        <v>10636</v>
      </c>
      <c r="C2959" s="17" t="s">
        <v>10641</v>
      </c>
      <c r="D2959" s="19" t="s">
        <v>10642</v>
      </c>
      <c r="E2959" s="20" t="s">
        <v>654</v>
      </c>
      <c r="F2959" s="21">
        <v>33545.0</v>
      </c>
      <c r="G2959" s="14">
        <v>34.0</v>
      </c>
      <c r="H2959" s="23" t="s">
        <v>26</v>
      </c>
      <c r="I2959" s="24" t="s">
        <v>33</v>
      </c>
      <c r="J2959" s="19" t="s">
        <v>362</v>
      </c>
      <c r="K2959" s="14">
        <v>27.0</v>
      </c>
      <c r="L2959" s="7"/>
      <c r="M2959" s="7"/>
      <c r="N2959" s="7"/>
      <c r="O2959" s="7"/>
      <c r="P2959" s="7"/>
      <c r="Q2959" s="7"/>
      <c r="R2959" s="7"/>
      <c r="S2959" s="7"/>
      <c r="T2959" s="7"/>
      <c r="U2959" s="7"/>
      <c r="V2959" s="7"/>
      <c r="W2959" s="7"/>
      <c r="X2959" s="7"/>
      <c r="Y2959" s="7"/>
    </row>
    <row r="2960">
      <c r="A2960" s="14" t="s">
        <v>10643</v>
      </c>
      <c r="B2960" s="17" t="s">
        <v>10644</v>
      </c>
      <c r="C2960" s="17" t="s">
        <v>10645</v>
      </c>
      <c r="D2960" s="19" t="s">
        <v>10646</v>
      </c>
      <c r="E2960" s="20" t="s">
        <v>8861</v>
      </c>
      <c r="F2960" s="21">
        <v>37867.0</v>
      </c>
      <c r="G2960" s="14">
        <v>22.0</v>
      </c>
      <c r="H2960" s="23" t="s">
        <v>100</v>
      </c>
      <c r="I2960" s="24" t="s">
        <v>33</v>
      </c>
      <c r="J2960" s="19" t="s">
        <v>2196</v>
      </c>
      <c r="K2960" s="14">
        <v>15.0</v>
      </c>
      <c r="L2960" s="7"/>
      <c r="M2960" s="7"/>
      <c r="N2960" s="7"/>
      <c r="O2960" s="7"/>
      <c r="P2960" s="7"/>
      <c r="Q2960" s="7"/>
      <c r="R2960" s="7"/>
      <c r="S2960" s="7"/>
      <c r="T2960" s="7"/>
      <c r="U2960" s="7"/>
      <c r="V2960" s="7"/>
      <c r="W2960" s="7"/>
      <c r="X2960" s="7"/>
      <c r="Y2960" s="7"/>
    </row>
    <row r="2961">
      <c r="A2961" s="14" t="s">
        <v>10647</v>
      </c>
      <c r="B2961" s="17" t="s">
        <v>10644</v>
      </c>
      <c r="C2961" s="17" t="s">
        <v>10648</v>
      </c>
      <c r="D2961" s="19" t="s">
        <v>10649</v>
      </c>
      <c r="E2961" s="20" t="s">
        <v>10015</v>
      </c>
      <c r="F2961" s="21">
        <v>25744.0</v>
      </c>
      <c r="G2961" s="14">
        <v>56.0</v>
      </c>
      <c r="H2961" s="23" t="s">
        <v>27</v>
      </c>
      <c r="I2961" s="24" t="s">
        <v>27</v>
      </c>
      <c r="J2961" s="19" t="s">
        <v>2196</v>
      </c>
      <c r="K2961" s="14">
        <v>15.0</v>
      </c>
      <c r="L2961" s="7"/>
      <c r="M2961" s="7"/>
      <c r="N2961" s="7"/>
      <c r="O2961" s="7"/>
      <c r="P2961" s="7"/>
      <c r="Q2961" s="7"/>
      <c r="R2961" s="7"/>
      <c r="S2961" s="7"/>
      <c r="T2961" s="7"/>
      <c r="U2961" s="7"/>
      <c r="V2961" s="7"/>
      <c r="W2961" s="7"/>
      <c r="X2961" s="7"/>
      <c r="Y2961" s="7"/>
    </row>
    <row r="2962">
      <c r="A2962" s="14" t="s">
        <v>10650</v>
      </c>
      <c r="B2962" s="17" t="s">
        <v>10651</v>
      </c>
      <c r="C2962" s="17" t="s">
        <v>10652</v>
      </c>
      <c r="D2962" s="19" t="s">
        <v>10653</v>
      </c>
      <c r="E2962" s="20" t="s">
        <v>104</v>
      </c>
      <c r="F2962" s="21">
        <v>33451.0</v>
      </c>
      <c r="G2962" s="14">
        <v>35.0</v>
      </c>
      <c r="H2962" s="23" t="s">
        <v>26</v>
      </c>
      <c r="I2962" s="24" t="s">
        <v>33</v>
      </c>
      <c r="J2962" s="19" t="s">
        <v>146</v>
      </c>
      <c r="K2962" s="14">
        <v>7.0</v>
      </c>
      <c r="L2962" s="7"/>
      <c r="M2962" s="7"/>
      <c r="N2962" s="7"/>
      <c r="O2962" s="7"/>
      <c r="P2962" s="7"/>
      <c r="Q2962" s="7"/>
      <c r="R2962" s="7"/>
      <c r="S2962" s="7"/>
      <c r="T2962" s="7"/>
      <c r="U2962" s="7"/>
      <c r="V2962" s="7"/>
      <c r="W2962" s="7"/>
      <c r="X2962" s="7"/>
      <c r="Y2962" s="7"/>
    </row>
    <row r="2963">
      <c r="A2963" s="14" t="s">
        <v>10654</v>
      </c>
      <c r="B2963" s="17" t="s">
        <v>10651</v>
      </c>
      <c r="C2963" s="17" t="s">
        <v>10655</v>
      </c>
      <c r="D2963" s="19" t="s">
        <v>10656</v>
      </c>
      <c r="E2963" s="20" t="s">
        <v>274</v>
      </c>
      <c r="F2963" s="21">
        <v>33771.0</v>
      </c>
      <c r="G2963" s="14">
        <v>34.0</v>
      </c>
      <c r="H2963" s="23" t="s">
        <v>26</v>
      </c>
      <c r="I2963" s="24" t="s">
        <v>27</v>
      </c>
      <c r="J2963" s="19" t="s">
        <v>146</v>
      </c>
      <c r="K2963" s="14">
        <v>7.0</v>
      </c>
      <c r="L2963" s="7"/>
      <c r="M2963" s="7"/>
      <c r="N2963" s="7"/>
      <c r="O2963" s="7"/>
      <c r="P2963" s="7"/>
      <c r="Q2963" s="7"/>
      <c r="R2963" s="7"/>
      <c r="S2963" s="7"/>
      <c r="T2963" s="7"/>
      <c r="U2963" s="7"/>
      <c r="V2963" s="7"/>
      <c r="W2963" s="7"/>
      <c r="X2963" s="7"/>
      <c r="Y2963" s="7"/>
    </row>
    <row r="2964">
      <c r="A2964" s="14" t="s">
        <v>10657</v>
      </c>
      <c r="B2964" s="17" t="s">
        <v>10658</v>
      </c>
      <c r="C2964" s="17" t="s">
        <v>10659</v>
      </c>
      <c r="D2964" s="19" t="s">
        <v>10660</v>
      </c>
      <c r="E2964" s="20" t="s">
        <v>104</v>
      </c>
      <c r="F2964" s="21">
        <v>35111.0</v>
      </c>
      <c r="G2964" s="14">
        <v>30.0</v>
      </c>
      <c r="H2964" s="23" t="s">
        <v>26</v>
      </c>
      <c r="I2964" s="24" t="s">
        <v>27</v>
      </c>
      <c r="J2964" s="19" t="s">
        <v>146</v>
      </c>
      <c r="K2964" s="14">
        <v>9.0</v>
      </c>
      <c r="L2964" s="7"/>
      <c r="M2964" s="7"/>
      <c r="N2964" s="7"/>
      <c r="O2964" s="7"/>
      <c r="P2964" s="7"/>
      <c r="Q2964" s="7"/>
      <c r="R2964" s="7"/>
      <c r="S2964" s="7"/>
      <c r="T2964" s="7"/>
      <c r="U2964" s="7"/>
      <c r="V2964" s="7"/>
      <c r="W2964" s="7"/>
      <c r="X2964" s="7"/>
      <c r="Y2964" s="7"/>
    </row>
    <row r="2965">
      <c r="A2965" s="14" t="s">
        <v>10661</v>
      </c>
      <c r="B2965" s="17" t="s">
        <v>10658</v>
      </c>
      <c r="C2965" s="17" t="s">
        <v>10662</v>
      </c>
      <c r="D2965" s="19" t="s">
        <v>10663</v>
      </c>
      <c r="E2965" s="20" t="s">
        <v>104</v>
      </c>
      <c r="F2965" s="21">
        <v>34840.0</v>
      </c>
      <c r="G2965" s="14">
        <v>31.0</v>
      </c>
      <c r="H2965" s="23" t="s">
        <v>26</v>
      </c>
      <c r="I2965" s="24" t="s">
        <v>33</v>
      </c>
      <c r="J2965" s="19" t="s">
        <v>146</v>
      </c>
      <c r="K2965" s="14">
        <v>9.0</v>
      </c>
      <c r="L2965" s="7"/>
      <c r="M2965" s="7"/>
      <c r="N2965" s="7"/>
      <c r="O2965" s="7"/>
      <c r="P2965" s="7"/>
      <c r="Q2965" s="7"/>
      <c r="R2965" s="7"/>
      <c r="S2965" s="7"/>
      <c r="T2965" s="7"/>
      <c r="U2965" s="7"/>
      <c r="V2965" s="7"/>
      <c r="W2965" s="7"/>
      <c r="X2965" s="7"/>
      <c r="Y2965" s="7"/>
    </row>
    <row r="2966">
      <c r="A2966" s="14" t="s">
        <v>10664</v>
      </c>
      <c r="B2966" s="17" t="s">
        <v>10665</v>
      </c>
      <c r="C2966" s="17" t="s">
        <v>10666</v>
      </c>
      <c r="D2966" s="19" t="s">
        <v>9752</v>
      </c>
      <c r="E2966" s="20" t="s">
        <v>632</v>
      </c>
      <c r="F2966" s="21">
        <v>17345.0</v>
      </c>
      <c r="G2966" s="14">
        <v>79.0</v>
      </c>
      <c r="H2966" s="23" t="s">
        <v>26</v>
      </c>
      <c r="I2966" s="24" t="s">
        <v>27</v>
      </c>
      <c r="J2966" s="19" t="s">
        <v>146</v>
      </c>
      <c r="K2966" s="14">
        <v>10.0</v>
      </c>
      <c r="L2966" s="7"/>
      <c r="M2966" s="7"/>
      <c r="N2966" s="7"/>
      <c r="O2966" s="7"/>
      <c r="P2966" s="7"/>
      <c r="Q2966" s="7"/>
      <c r="R2966" s="7"/>
      <c r="S2966" s="7"/>
      <c r="T2966" s="7"/>
      <c r="U2966" s="7"/>
      <c r="V2966" s="7"/>
      <c r="W2966" s="7"/>
      <c r="X2966" s="7"/>
      <c r="Y2966" s="7"/>
    </row>
    <row r="2967">
      <c r="A2967" s="14" t="s">
        <v>10667</v>
      </c>
      <c r="B2967" s="17" t="s">
        <v>10668</v>
      </c>
      <c r="C2967" s="17" t="s">
        <v>10669</v>
      </c>
      <c r="D2967" s="19" t="s">
        <v>10670</v>
      </c>
      <c r="E2967" s="20" t="s">
        <v>654</v>
      </c>
      <c r="F2967" s="21">
        <v>18461.0</v>
      </c>
      <c r="G2967" s="14">
        <v>76.0</v>
      </c>
      <c r="H2967" s="23" t="s">
        <v>26</v>
      </c>
      <c r="I2967" s="24" t="s">
        <v>33</v>
      </c>
      <c r="J2967" s="19" t="s">
        <v>146</v>
      </c>
      <c r="K2967" s="14">
        <v>10.0</v>
      </c>
      <c r="L2967" s="7"/>
      <c r="M2967" s="7"/>
      <c r="N2967" s="7"/>
      <c r="O2967" s="7"/>
      <c r="P2967" s="7"/>
      <c r="Q2967" s="7"/>
      <c r="R2967" s="7"/>
      <c r="S2967" s="7"/>
      <c r="T2967" s="7"/>
      <c r="U2967" s="7"/>
      <c r="V2967" s="7"/>
      <c r="W2967" s="7"/>
      <c r="X2967" s="7"/>
      <c r="Y2967" s="7"/>
    </row>
    <row r="2968">
      <c r="A2968" s="14" t="s">
        <v>10671</v>
      </c>
      <c r="B2968" s="17" t="s">
        <v>10668</v>
      </c>
      <c r="C2968" s="17" t="s">
        <v>10672</v>
      </c>
      <c r="D2968" s="19" t="s">
        <v>6651</v>
      </c>
      <c r="E2968" s="20" t="s">
        <v>53</v>
      </c>
      <c r="F2968" s="21">
        <v>38193.0</v>
      </c>
      <c r="G2968" s="14">
        <v>22.0</v>
      </c>
      <c r="H2968" s="23" t="s">
        <v>100</v>
      </c>
      <c r="I2968" s="24" t="s">
        <v>27</v>
      </c>
      <c r="J2968" s="19" t="s">
        <v>146</v>
      </c>
      <c r="K2968" s="14">
        <v>10.0</v>
      </c>
      <c r="L2968" s="7"/>
      <c r="M2968" s="7"/>
      <c r="N2968" s="7"/>
      <c r="O2968" s="7"/>
      <c r="P2968" s="7"/>
      <c r="Q2968" s="7"/>
      <c r="R2968" s="7"/>
      <c r="S2968" s="7"/>
      <c r="T2968" s="7"/>
      <c r="U2968" s="7"/>
      <c r="V2968" s="7"/>
      <c r="W2968" s="7"/>
      <c r="X2968" s="7"/>
      <c r="Y2968" s="7"/>
    </row>
    <row r="2969">
      <c r="A2969" s="14" t="s">
        <v>10673</v>
      </c>
      <c r="B2969" s="17" t="s">
        <v>10668</v>
      </c>
      <c r="C2969" s="17" t="s">
        <v>10674</v>
      </c>
      <c r="D2969" s="19" t="s">
        <v>10675</v>
      </c>
      <c r="E2969" s="20" t="s">
        <v>654</v>
      </c>
      <c r="F2969" s="21">
        <v>22844.0</v>
      </c>
      <c r="G2969" s="14">
        <v>64.0</v>
      </c>
      <c r="H2969" s="23" t="s">
        <v>26</v>
      </c>
      <c r="I2969" s="24" t="s">
        <v>27</v>
      </c>
      <c r="J2969" s="19" t="s">
        <v>146</v>
      </c>
      <c r="K2969" s="14">
        <v>10.0</v>
      </c>
      <c r="L2969" s="7"/>
      <c r="M2969" s="7"/>
      <c r="N2969" s="7"/>
      <c r="O2969" s="7"/>
      <c r="P2969" s="7"/>
      <c r="Q2969" s="7"/>
      <c r="R2969" s="7"/>
      <c r="S2969" s="7"/>
      <c r="T2969" s="7"/>
      <c r="U2969" s="7"/>
      <c r="V2969" s="7"/>
      <c r="W2969" s="7"/>
      <c r="X2969" s="7"/>
      <c r="Y2969" s="7"/>
    </row>
    <row r="2970">
      <c r="A2970" s="14" t="s">
        <v>10676</v>
      </c>
      <c r="B2970" s="17" t="s">
        <v>10677</v>
      </c>
      <c r="C2970" s="17" t="s">
        <v>10678</v>
      </c>
      <c r="D2970" s="19" t="s">
        <v>10679</v>
      </c>
      <c r="E2970" s="20" t="s">
        <v>654</v>
      </c>
      <c r="F2970" s="21">
        <v>28176.0</v>
      </c>
      <c r="G2970" s="14">
        <v>49.0</v>
      </c>
      <c r="H2970" s="23" t="s">
        <v>26</v>
      </c>
      <c r="I2970" s="24" t="s">
        <v>27</v>
      </c>
      <c r="J2970" s="19" t="s">
        <v>53</v>
      </c>
      <c r="K2970" s="14">
        <v>10.0</v>
      </c>
      <c r="L2970" s="7"/>
      <c r="M2970" s="7"/>
      <c r="N2970" s="7"/>
      <c r="O2970" s="7"/>
      <c r="P2970" s="7"/>
      <c r="Q2970" s="7"/>
      <c r="R2970" s="7"/>
      <c r="S2970" s="7"/>
      <c r="T2970" s="7"/>
      <c r="U2970" s="7"/>
      <c r="V2970" s="7"/>
      <c r="W2970" s="7"/>
      <c r="X2970" s="7"/>
      <c r="Y2970" s="7"/>
    </row>
    <row r="2971">
      <c r="A2971" s="14" t="s">
        <v>10680</v>
      </c>
      <c r="B2971" s="17" t="s">
        <v>10677</v>
      </c>
      <c r="C2971" s="17" t="s">
        <v>10681</v>
      </c>
      <c r="D2971" s="19" t="s">
        <v>10682</v>
      </c>
      <c r="E2971" s="20" t="s">
        <v>104</v>
      </c>
      <c r="F2971" s="21">
        <v>38299.0</v>
      </c>
      <c r="G2971" s="14">
        <v>21.0</v>
      </c>
      <c r="H2971" s="23" t="s">
        <v>100</v>
      </c>
      <c r="I2971" s="24" t="s">
        <v>27</v>
      </c>
      <c r="J2971" s="19" t="s">
        <v>53</v>
      </c>
      <c r="K2971" s="14">
        <v>10.0</v>
      </c>
      <c r="L2971" s="7"/>
      <c r="M2971" s="7"/>
      <c r="N2971" s="7"/>
      <c r="O2971" s="7"/>
      <c r="P2971" s="7"/>
      <c r="Q2971" s="7"/>
      <c r="R2971" s="7"/>
      <c r="S2971" s="7"/>
      <c r="T2971" s="7"/>
      <c r="U2971" s="7"/>
      <c r="V2971" s="7"/>
      <c r="W2971" s="7"/>
      <c r="X2971" s="7"/>
      <c r="Y2971" s="7"/>
    </row>
    <row r="2972">
      <c r="A2972" s="14" t="s">
        <v>10683</v>
      </c>
      <c r="B2972" s="17" t="s">
        <v>10677</v>
      </c>
      <c r="C2972" s="17" t="s">
        <v>10684</v>
      </c>
      <c r="D2972" s="19" t="s">
        <v>10685</v>
      </c>
      <c r="E2972" s="20" t="s">
        <v>654</v>
      </c>
      <c r="F2972" s="21">
        <v>24488.0</v>
      </c>
      <c r="G2972" s="14">
        <v>59.0</v>
      </c>
      <c r="H2972" s="23" t="s">
        <v>26</v>
      </c>
      <c r="I2972" s="24" t="s">
        <v>33</v>
      </c>
      <c r="J2972" s="19" t="s">
        <v>53</v>
      </c>
      <c r="K2972" s="14">
        <v>10.0</v>
      </c>
      <c r="L2972" s="7"/>
      <c r="M2972" s="7"/>
      <c r="N2972" s="7"/>
      <c r="O2972" s="7"/>
      <c r="P2972" s="7"/>
      <c r="Q2972" s="7"/>
      <c r="R2972" s="7"/>
      <c r="S2972" s="7"/>
      <c r="T2972" s="7"/>
      <c r="U2972" s="7"/>
      <c r="V2972" s="7"/>
      <c r="W2972" s="7"/>
      <c r="X2972" s="7"/>
      <c r="Y2972" s="7"/>
    </row>
    <row r="2973">
      <c r="A2973" s="14" t="s">
        <v>10686</v>
      </c>
      <c r="B2973" s="17" t="s">
        <v>10687</v>
      </c>
      <c r="C2973" s="17" t="s">
        <v>10688</v>
      </c>
      <c r="D2973" s="19" t="s">
        <v>10689</v>
      </c>
      <c r="E2973" s="20" t="s">
        <v>104</v>
      </c>
      <c r="F2973" s="27">
        <v>30669.0</v>
      </c>
      <c r="G2973" s="14">
        <v>42.0</v>
      </c>
      <c r="H2973" s="23" t="s">
        <v>26</v>
      </c>
      <c r="I2973" s="24" t="s">
        <v>27</v>
      </c>
      <c r="J2973" s="19" t="s">
        <v>53</v>
      </c>
      <c r="K2973" s="14">
        <v>10.0</v>
      </c>
      <c r="L2973" s="7"/>
      <c r="M2973" s="7"/>
      <c r="N2973" s="7"/>
      <c r="O2973" s="7"/>
      <c r="P2973" s="7"/>
      <c r="Q2973" s="7"/>
      <c r="R2973" s="7"/>
      <c r="S2973" s="7"/>
      <c r="T2973" s="7"/>
      <c r="U2973" s="7"/>
      <c r="V2973" s="7"/>
      <c r="W2973" s="7"/>
      <c r="X2973" s="7"/>
      <c r="Y2973" s="7"/>
    </row>
    <row r="2974">
      <c r="A2974" s="14" t="s">
        <v>10690</v>
      </c>
      <c r="B2974" s="17" t="s">
        <v>10687</v>
      </c>
      <c r="C2974" s="17" t="s">
        <v>10691</v>
      </c>
      <c r="D2974" s="19" t="s">
        <v>9838</v>
      </c>
      <c r="E2974" s="20" t="s">
        <v>654</v>
      </c>
      <c r="F2974" s="21">
        <v>25396.0</v>
      </c>
      <c r="G2974" s="14">
        <v>57.0</v>
      </c>
      <c r="H2974" s="23" t="s">
        <v>26</v>
      </c>
      <c r="I2974" s="24" t="s">
        <v>33</v>
      </c>
      <c r="J2974" s="19" t="s">
        <v>53</v>
      </c>
      <c r="K2974" s="14">
        <v>10.0</v>
      </c>
      <c r="L2974" s="7"/>
      <c r="M2974" s="7"/>
      <c r="N2974" s="7"/>
      <c r="O2974" s="7"/>
      <c r="P2974" s="7"/>
      <c r="Q2974" s="7"/>
      <c r="R2974" s="7"/>
      <c r="S2974" s="7"/>
      <c r="T2974" s="7"/>
      <c r="U2974" s="7"/>
      <c r="V2974" s="7"/>
      <c r="W2974" s="7"/>
      <c r="X2974" s="7"/>
      <c r="Y2974" s="7"/>
    </row>
    <row r="2975">
      <c r="A2975" s="14" t="s">
        <v>10692</v>
      </c>
      <c r="B2975" s="17" t="s">
        <v>10687</v>
      </c>
      <c r="C2975" s="17" t="s">
        <v>10693</v>
      </c>
      <c r="D2975" s="19" t="s">
        <v>10694</v>
      </c>
      <c r="E2975" s="20" t="s">
        <v>104</v>
      </c>
      <c r="F2975" s="21">
        <v>36923.0</v>
      </c>
      <c r="G2975" s="14">
        <v>25.0</v>
      </c>
      <c r="H2975" s="23" t="s">
        <v>100</v>
      </c>
      <c r="I2975" s="24" t="s">
        <v>27</v>
      </c>
      <c r="J2975" s="19" t="s">
        <v>53</v>
      </c>
      <c r="K2975" s="14">
        <v>10.0</v>
      </c>
      <c r="L2975" s="7"/>
      <c r="M2975" s="7"/>
      <c r="N2975" s="7"/>
      <c r="O2975" s="7"/>
      <c r="P2975" s="7"/>
      <c r="Q2975" s="7"/>
      <c r="R2975" s="7"/>
      <c r="S2975" s="7"/>
      <c r="T2975" s="7"/>
      <c r="U2975" s="7"/>
      <c r="V2975" s="7"/>
      <c r="W2975" s="7"/>
      <c r="X2975" s="7"/>
      <c r="Y2975" s="7"/>
    </row>
    <row r="2976">
      <c r="A2976" s="14" t="s">
        <v>10695</v>
      </c>
      <c r="B2976" s="17" t="s">
        <v>10696</v>
      </c>
      <c r="C2976" s="17" t="s">
        <v>10697</v>
      </c>
      <c r="D2976" s="19" t="s">
        <v>10698</v>
      </c>
      <c r="E2976" s="20" t="s">
        <v>104</v>
      </c>
      <c r="F2976" s="21">
        <v>35263.0</v>
      </c>
      <c r="G2976" s="14">
        <v>30.0</v>
      </c>
      <c r="H2976" s="23" t="s">
        <v>100</v>
      </c>
      <c r="I2976" s="24" t="s">
        <v>33</v>
      </c>
      <c r="J2976" s="19" t="s">
        <v>146</v>
      </c>
      <c r="K2976" s="14">
        <v>10.0</v>
      </c>
      <c r="L2976" s="7"/>
      <c r="M2976" s="7"/>
      <c r="N2976" s="7"/>
      <c r="O2976" s="7"/>
      <c r="P2976" s="7"/>
      <c r="Q2976" s="7"/>
      <c r="R2976" s="7"/>
      <c r="S2976" s="7"/>
      <c r="T2976" s="7"/>
      <c r="U2976" s="7"/>
      <c r="V2976" s="7"/>
      <c r="W2976" s="7"/>
      <c r="X2976" s="7"/>
      <c r="Y2976" s="7"/>
    </row>
    <row r="2977">
      <c r="A2977" s="14" t="s">
        <v>10699</v>
      </c>
      <c r="B2977" s="17" t="s">
        <v>10696</v>
      </c>
      <c r="C2977" s="17" t="s">
        <v>10700</v>
      </c>
      <c r="D2977" s="19" t="s">
        <v>4957</v>
      </c>
      <c r="E2977" s="20" t="s">
        <v>654</v>
      </c>
      <c r="F2977" s="21">
        <v>26077.0</v>
      </c>
      <c r="G2977" s="14">
        <v>55.0</v>
      </c>
      <c r="H2977" s="23" t="s">
        <v>26</v>
      </c>
      <c r="I2977" s="24" t="s">
        <v>33</v>
      </c>
      <c r="J2977" s="19" t="s">
        <v>146</v>
      </c>
      <c r="K2977" s="14">
        <v>10.0</v>
      </c>
      <c r="L2977" s="7"/>
      <c r="M2977" s="7"/>
      <c r="N2977" s="7"/>
      <c r="O2977" s="7"/>
      <c r="P2977" s="7"/>
      <c r="Q2977" s="7"/>
      <c r="R2977" s="7"/>
      <c r="S2977" s="7"/>
      <c r="T2977" s="7"/>
      <c r="U2977" s="7"/>
      <c r="V2977" s="7"/>
      <c r="W2977" s="7"/>
      <c r="X2977" s="7"/>
      <c r="Y2977" s="7"/>
    </row>
    <row r="2978">
      <c r="A2978" s="14" t="s">
        <v>10701</v>
      </c>
      <c r="B2978" s="17" t="s">
        <v>10696</v>
      </c>
      <c r="C2978" s="17" t="s">
        <v>10702</v>
      </c>
      <c r="D2978" s="19" t="s">
        <v>10703</v>
      </c>
      <c r="E2978" s="20" t="s">
        <v>104</v>
      </c>
      <c r="F2978" s="21">
        <v>29462.0</v>
      </c>
      <c r="G2978" s="14">
        <v>46.0</v>
      </c>
      <c r="H2978" s="23" t="s">
        <v>26</v>
      </c>
      <c r="I2978" s="24" t="s">
        <v>27</v>
      </c>
      <c r="J2978" s="19" t="s">
        <v>146</v>
      </c>
      <c r="K2978" s="14">
        <v>10.0</v>
      </c>
      <c r="L2978" s="7"/>
      <c r="M2978" s="7"/>
      <c r="N2978" s="7"/>
      <c r="O2978" s="7"/>
      <c r="P2978" s="7"/>
      <c r="Q2978" s="7"/>
      <c r="R2978" s="7"/>
      <c r="S2978" s="7"/>
      <c r="T2978" s="7"/>
      <c r="U2978" s="7"/>
      <c r="V2978" s="7"/>
      <c r="W2978" s="7"/>
      <c r="X2978" s="7"/>
      <c r="Y2978" s="7"/>
    </row>
    <row r="2979">
      <c r="A2979" s="14" t="s">
        <v>10704</v>
      </c>
      <c r="B2979" s="17" t="s">
        <v>10705</v>
      </c>
      <c r="C2979" s="17" t="s">
        <v>10706</v>
      </c>
      <c r="D2979" s="19" t="s">
        <v>10707</v>
      </c>
      <c r="E2979" s="20" t="s">
        <v>53</v>
      </c>
      <c r="F2979" s="21">
        <v>35706.0</v>
      </c>
      <c r="G2979" s="14">
        <v>28.0</v>
      </c>
      <c r="H2979" s="23" t="s">
        <v>100</v>
      </c>
      <c r="I2979" s="24" t="s">
        <v>33</v>
      </c>
      <c r="J2979" s="19" t="s">
        <v>146</v>
      </c>
      <c r="K2979" s="14">
        <v>10.0</v>
      </c>
      <c r="L2979" s="7"/>
      <c r="M2979" s="7"/>
      <c r="N2979" s="7"/>
      <c r="O2979" s="7"/>
      <c r="P2979" s="7"/>
      <c r="Q2979" s="7"/>
      <c r="R2979" s="7"/>
      <c r="S2979" s="7"/>
      <c r="T2979" s="7"/>
      <c r="U2979" s="7"/>
      <c r="V2979" s="7"/>
      <c r="W2979" s="7"/>
      <c r="X2979" s="7"/>
      <c r="Y2979" s="7"/>
    </row>
    <row r="2980">
      <c r="A2980" s="14" t="s">
        <v>10708</v>
      </c>
      <c r="B2980" s="17" t="s">
        <v>10705</v>
      </c>
      <c r="C2980" s="17" t="s">
        <v>10709</v>
      </c>
      <c r="D2980" s="19" t="s">
        <v>10710</v>
      </c>
      <c r="E2980" s="20" t="s">
        <v>53</v>
      </c>
      <c r="F2980" s="21">
        <v>38200.0</v>
      </c>
      <c r="G2980" s="14">
        <v>22.0</v>
      </c>
      <c r="H2980" s="23" t="s">
        <v>100</v>
      </c>
      <c r="I2980" s="24" t="s">
        <v>33</v>
      </c>
      <c r="J2980" s="19" t="s">
        <v>146</v>
      </c>
      <c r="K2980" s="14">
        <v>10.0</v>
      </c>
      <c r="L2980" s="7"/>
      <c r="M2980" s="7"/>
      <c r="N2980" s="7"/>
      <c r="O2980" s="7"/>
      <c r="P2980" s="7"/>
      <c r="Q2980" s="7"/>
      <c r="R2980" s="7"/>
      <c r="S2980" s="7"/>
      <c r="T2980" s="7"/>
      <c r="U2980" s="7"/>
      <c r="V2980" s="7"/>
      <c r="W2980" s="7"/>
      <c r="X2980" s="7"/>
      <c r="Y2980" s="7"/>
    </row>
    <row r="2981">
      <c r="A2981" s="14" t="s">
        <v>10711</v>
      </c>
      <c r="B2981" s="17" t="s">
        <v>10705</v>
      </c>
      <c r="C2981" s="17" t="s">
        <v>10712</v>
      </c>
      <c r="D2981" s="19" t="s">
        <v>10352</v>
      </c>
      <c r="E2981" s="20" t="s">
        <v>632</v>
      </c>
      <c r="F2981" s="21">
        <v>26832.0</v>
      </c>
      <c r="G2981" s="14">
        <v>53.0</v>
      </c>
      <c r="H2981" s="23" t="s">
        <v>26</v>
      </c>
      <c r="I2981" s="24" t="s">
        <v>33</v>
      </c>
      <c r="J2981" s="19" t="s">
        <v>146</v>
      </c>
      <c r="K2981" s="14">
        <v>10.0</v>
      </c>
      <c r="L2981" s="7"/>
      <c r="M2981" s="7"/>
      <c r="N2981" s="7"/>
      <c r="O2981" s="7"/>
      <c r="P2981" s="7"/>
      <c r="Q2981" s="7"/>
      <c r="R2981" s="7"/>
      <c r="S2981" s="7"/>
      <c r="T2981" s="7"/>
      <c r="U2981" s="7"/>
      <c r="V2981" s="7"/>
      <c r="W2981" s="7"/>
      <c r="X2981" s="7"/>
      <c r="Y2981" s="7"/>
    </row>
    <row r="2982">
      <c r="A2982" s="14" t="s">
        <v>10713</v>
      </c>
      <c r="B2982" s="17" t="s">
        <v>10705</v>
      </c>
      <c r="C2982" s="17" t="s">
        <v>10714</v>
      </c>
      <c r="D2982" s="19" t="s">
        <v>554</v>
      </c>
      <c r="E2982" s="20" t="s">
        <v>187</v>
      </c>
      <c r="F2982" s="21">
        <v>28293.0</v>
      </c>
      <c r="G2982" s="14">
        <v>49.0</v>
      </c>
      <c r="H2982" s="23" t="s">
        <v>26</v>
      </c>
      <c r="I2982" s="24" t="s">
        <v>27</v>
      </c>
      <c r="J2982" s="19" t="s">
        <v>146</v>
      </c>
      <c r="K2982" s="14">
        <v>10.0</v>
      </c>
      <c r="L2982" s="7"/>
      <c r="M2982" s="7"/>
      <c r="N2982" s="7"/>
      <c r="O2982" s="7"/>
      <c r="P2982" s="7"/>
      <c r="Q2982" s="7"/>
      <c r="R2982" s="7"/>
      <c r="S2982" s="7"/>
      <c r="T2982" s="7"/>
      <c r="U2982" s="7"/>
      <c r="V2982" s="7"/>
      <c r="W2982" s="7"/>
      <c r="X2982" s="7"/>
      <c r="Y2982" s="7"/>
    </row>
    <row r="2983">
      <c r="A2983" s="14" t="s">
        <v>10715</v>
      </c>
      <c r="B2983" s="17" t="s">
        <v>10716</v>
      </c>
      <c r="C2983" s="17" t="s">
        <v>10717</v>
      </c>
      <c r="D2983" s="19" t="s">
        <v>10718</v>
      </c>
      <c r="E2983" s="20" t="s">
        <v>10719</v>
      </c>
      <c r="F2983" s="21">
        <v>25036.0</v>
      </c>
      <c r="G2983" s="14">
        <v>58.0</v>
      </c>
      <c r="H2983" s="23" t="s">
        <v>26</v>
      </c>
      <c r="I2983" s="24" t="s">
        <v>27</v>
      </c>
      <c r="J2983" s="19" t="s">
        <v>146</v>
      </c>
      <c r="K2983" s="14">
        <v>10.0</v>
      </c>
      <c r="L2983" s="7"/>
      <c r="M2983" s="7"/>
      <c r="N2983" s="7"/>
      <c r="O2983" s="7"/>
      <c r="P2983" s="7"/>
      <c r="Q2983" s="7"/>
      <c r="R2983" s="7"/>
      <c r="S2983" s="7"/>
      <c r="T2983" s="7"/>
      <c r="U2983" s="7"/>
      <c r="V2983" s="7"/>
      <c r="W2983" s="7"/>
      <c r="X2983" s="7"/>
      <c r="Y2983" s="7"/>
    </row>
    <row r="2984">
      <c r="A2984" s="14" t="s">
        <v>10720</v>
      </c>
      <c r="B2984" s="17" t="s">
        <v>10716</v>
      </c>
      <c r="C2984" s="17" t="s">
        <v>10721</v>
      </c>
      <c r="D2984" s="19" t="s">
        <v>10722</v>
      </c>
      <c r="E2984" s="20" t="s">
        <v>10723</v>
      </c>
      <c r="F2984" s="21">
        <v>22479.0</v>
      </c>
      <c r="G2984" s="14">
        <v>65.0</v>
      </c>
      <c r="H2984" s="23" t="s">
        <v>26</v>
      </c>
      <c r="I2984" s="24" t="s">
        <v>33</v>
      </c>
      <c r="J2984" s="19" t="s">
        <v>146</v>
      </c>
      <c r="K2984" s="14">
        <v>10.0</v>
      </c>
      <c r="L2984" s="7"/>
      <c r="M2984" s="7"/>
      <c r="N2984" s="7"/>
      <c r="O2984" s="7"/>
      <c r="P2984" s="7"/>
      <c r="Q2984" s="7"/>
      <c r="R2984" s="7"/>
      <c r="S2984" s="7"/>
      <c r="T2984" s="7"/>
      <c r="U2984" s="7"/>
      <c r="V2984" s="7"/>
      <c r="W2984" s="7"/>
      <c r="X2984" s="7"/>
      <c r="Y2984" s="7"/>
    </row>
    <row r="2985">
      <c r="A2985" s="14" t="s">
        <v>10724</v>
      </c>
      <c r="B2985" s="17" t="s">
        <v>10725</v>
      </c>
      <c r="C2985" s="17" t="s">
        <v>10726</v>
      </c>
      <c r="D2985" s="19" t="s">
        <v>10727</v>
      </c>
      <c r="E2985" s="20" t="s">
        <v>654</v>
      </c>
      <c r="F2985" s="21">
        <v>21309.0</v>
      </c>
      <c r="G2985" s="14">
        <v>68.0</v>
      </c>
      <c r="H2985" s="23" t="s">
        <v>26</v>
      </c>
      <c r="I2985" s="24" t="s">
        <v>27</v>
      </c>
      <c r="J2985" s="19" t="s">
        <v>68</v>
      </c>
      <c r="K2985" s="14">
        <v>31.0</v>
      </c>
      <c r="L2985" s="7"/>
      <c r="M2985" s="7"/>
      <c r="N2985" s="7"/>
      <c r="O2985" s="7"/>
      <c r="P2985" s="7"/>
      <c r="Q2985" s="7"/>
      <c r="R2985" s="7"/>
      <c r="S2985" s="7"/>
      <c r="T2985" s="7"/>
      <c r="U2985" s="7"/>
      <c r="V2985" s="7"/>
      <c r="W2985" s="7"/>
      <c r="X2985" s="7"/>
      <c r="Y2985" s="7"/>
    </row>
    <row r="2986">
      <c r="A2986" s="14" t="s">
        <v>10728</v>
      </c>
      <c r="B2986" s="17" t="s">
        <v>10729</v>
      </c>
      <c r="C2986" s="17" t="s">
        <v>10730</v>
      </c>
      <c r="D2986" s="19" t="s">
        <v>10731</v>
      </c>
      <c r="E2986" s="20" t="s">
        <v>104</v>
      </c>
      <c r="F2986" s="21">
        <v>29351.0</v>
      </c>
      <c r="G2986" s="14">
        <v>46.0</v>
      </c>
      <c r="H2986" s="23" t="s">
        <v>26</v>
      </c>
      <c r="I2986" s="24" t="s">
        <v>33</v>
      </c>
      <c r="J2986" s="19" t="s">
        <v>68</v>
      </c>
      <c r="K2986" s="14">
        <v>31.0</v>
      </c>
      <c r="L2986" s="7"/>
      <c r="M2986" s="7"/>
      <c r="N2986" s="7"/>
      <c r="O2986" s="7"/>
      <c r="P2986" s="7"/>
      <c r="Q2986" s="7"/>
      <c r="R2986" s="7"/>
      <c r="S2986" s="7"/>
      <c r="T2986" s="7"/>
      <c r="U2986" s="7"/>
      <c r="V2986" s="7"/>
      <c r="W2986" s="7"/>
      <c r="X2986" s="7"/>
      <c r="Y2986" s="7"/>
    </row>
    <row r="2987">
      <c r="A2987" s="14" t="s">
        <v>10732</v>
      </c>
      <c r="B2987" s="17" t="s">
        <v>10729</v>
      </c>
      <c r="C2987" s="17" t="s">
        <v>10733</v>
      </c>
      <c r="D2987" s="19" t="s">
        <v>3771</v>
      </c>
      <c r="E2987" s="20" t="s">
        <v>104</v>
      </c>
      <c r="F2987" s="21">
        <v>31833.0</v>
      </c>
      <c r="G2987" s="14">
        <v>39.0</v>
      </c>
      <c r="H2987" s="23" t="s">
        <v>26</v>
      </c>
      <c r="I2987" s="24" t="s">
        <v>27</v>
      </c>
      <c r="J2987" s="19" t="s">
        <v>68</v>
      </c>
      <c r="K2987" s="14">
        <v>31.0</v>
      </c>
      <c r="L2987" s="7"/>
      <c r="M2987" s="7"/>
      <c r="N2987" s="7"/>
      <c r="O2987" s="7"/>
      <c r="P2987" s="7"/>
      <c r="Q2987" s="7"/>
      <c r="R2987" s="7"/>
      <c r="S2987" s="7"/>
      <c r="T2987" s="7"/>
      <c r="U2987" s="7"/>
      <c r="V2987" s="7"/>
      <c r="W2987" s="7"/>
      <c r="X2987" s="7"/>
      <c r="Y2987" s="7"/>
    </row>
    <row r="2988">
      <c r="A2988" s="14" t="s">
        <v>10734</v>
      </c>
      <c r="B2988" s="17" t="s">
        <v>10735</v>
      </c>
      <c r="C2988" s="17" t="s">
        <v>10736</v>
      </c>
      <c r="D2988" s="19" t="s">
        <v>709</v>
      </c>
      <c r="E2988" s="20" t="s">
        <v>3760</v>
      </c>
      <c r="F2988" s="21">
        <v>24939.0</v>
      </c>
      <c r="G2988" s="14">
        <v>58.0</v>
      </c>
      <c r="H2988" s="23" t="s">
        <v>26</v>
      </c>
      <c r="I2988" s="24" t="s">
        <v>27</v>
      </c>
      <c r="J2988" s="19" t="s">
        <v>156</v>
      </c>
      <c r="K2988" s="14">
        <v>31.0</v>
      </c>
      <c r="L2988" s="7"/>
      <c r="M2988" s="7"/>
      <c r="N2988" s="7"/>
      <c r="O2988" s="7"/>
      <c r="P2988" s="7"/>
      <c r="Q2988" s="7"/>
      <c r="R2988" s="7"/>
      <c r="S2988" s="7"/>
      <c r="T2988" s="7"/>
      <c r="U2988" s="7"/>
      <c r="V2988" s="7"/>
      <c r="W2988" s="7"/>
      <c r="X2988" s="7"/>
      <c r="Y2988" s="7"/>
    </row>
    <row r="2989">
      <c r="A2989" s="14" t="s">
        <v>10737</v>
      </c>
      <c r="B2989" s="17" t="s">
        <v>10735</v>
      </c>
      <c r="C2989" s="17" t="s">
        <v>10738</v>
      </c>
      <c r="D2989" s="19" t="s">
        <v>10739</v>
      </c>
      <c r="E2989" s="20" t="s">
        <v>67</v>
      </c>
      <c r="F2989" s="21">
        <v>21408.0</v>
      </c>
      <c r="G2989" s="14">
        <v>68.0</v>
      </c>
      <c r="H2989" s="23" t="s">
        <v>26</v>
      </c>
      <c r="I2989" s="24" t="s">
        <v>33</v>
      </c>
      <c r="J2989" s="19" t="s">
        <v>156</v>
      </c>
      <c r="K2989" s="14">
        <v>31.0</v>
      </c>
      <c r="L2989" s="7"/>
      <c r="M2989" s="7"/>
      <c r="N2989" s="7"/>
      <c r="O2989" s="7"/>
      <c r="P2989" s="7"/>
      <c r="Q2989" s="7"/>
      <c r="R2989" s="7"/>
      <c r="S2989" s="7"/>
      <c r="T2989" s="7"/>
      <c r="U2989" s="7"/>
      <c r="V2989" s="7"/>
      <c r="W2989" s="7"/>
      <c r="X2989" s="7"/>
      <c r="Y2989" s="7"/>
    </row>
    <row r="2990">
      <c r="A2990" s="14" t="s">
        <v>10740</v>
      </c>
      <c r="B2990" s="17" t="s">
        <v>10741</v>
      </c>
      <c r="C2990" s="17" t="s">
        <v>10742</v>
      </c>
      <c r="D2990" s="19" t="s">
        <v>10743</v>
      </c>
      <c r="E2990" s="20" t="s">
        <v>654</v>
      </c>
      <c r="F2990" s="21">
        <v>27242.0</v>
      </c>
      <c r="G2990" s="14">
        <v>52.0</v>
      </c>
      <c r="H2990" s="23" t="s">
        <v>26</v>
      </c>
      <c r="I2990" s="24" t="s">
        <v>27</v>
      </c>
      <c r="J2990" s="19" t="s">
        <v>68</v>
      </c>
      <c r="K2990" s="14">
        <v>31.0</v>
      </c>
      <c r="L2990" s="7"/>
      <c r="M2990" s="7"/>
      <c r="N2990" s="7"/>
      <c r="O2990" s="7"/>
      <c r="P2990" s="7"/>
      <c r="Q2990" s="7"/>
      <c r="R2990" s="7"/>
      <c r="S2990" s="7"/>
      <c r="T2990" s="7"/>
      <c r="U2990" s="7"/>
      <c r="V2990" s="7"/>
      <c r="W2990" s="7"/>
      <c r="X2990" s="7"/>
      <c r="Y2990" s="7"/>
    </row>
    <row r="2991">
      <c r="A2991" s="14" t="s">
        <v>10744</v>
      </c>
      <c r="B2991" s="17" t="s">
        <v>10741</v>
      </c>
      <c r="C2991" s="17" t="s">
        <v>10745</v>
      </c>
      <c r="D2991" s="19" t="s">
        <v>10746</v>
      </c>
      <c r="E2991" s="20" t="s">
        <v>654</v>
      </c>
      <c r="F2991" s="21">
        <v>26118.0</v>
      </c>
      <c r="G2991" s="14">
        <v>55.0</v>
      </c>
      <c r="H2991" s="23" t="s">
        <v>26</v>
      </c>
      <c r="I2991" s="24" t="s">
        <v>33</v>
      </c>
      <c r="J2991" s="19" t="s">
        <v>68</v>
      </c>
      <c r="K2991" s="14">
        <v>31.0</v>
      </c>
      <c r="L2991" s="7"/>
      <c r="M2991" s="7"/>
      <c r="N2991" s="7"/>
      <c r="O2991" s="7"/>
      <c r="P2991" s="7"/>
      <c r="Q2991" s="7"/>
      <c r="R2991" s="7"/>
      <c r="S2991" s="7"/>
      <c r="T2991" s="7"/>
      <c r="U2991" s="7"/>
      <c r="V2991" s="7"/>
      <c r="W2991" s="7"/>
      <c r="X2991" s="7"/>
      <c r="Y2991" s="7"/>
    </row>
    <row r="2992">
      <c r="A2992" s="14" t="s">
        <v>10747</v>
      </c>
      <c r="B2992" s="17" t="s">
        <v>10748</v>
      </c>
      <c r="C2992" s="17" t="s">
        <v>10749</v>
      </c>
      <c r="D2992" s="19" t="s">
        <v>10750</v>
      </c>
      <c r="E2992" s="20" t="s">
        <v>654</v>
      </c>
      <c r="F2992" s="21">
        <v>23081.0</v>
      </c>
      <c r="G2992" s="14">
        <v>63.0</v>
      </c>
      <c r="H2992" s="23" t="s">
        <v>26</v>
      </c>
      <c r="I2992" s="24" t="s">
        <v>33</v>
      </c>
      <c r="J2992" s="19" t="s">
        <v>53</v>
      </c>
      <c r="K2992" s="14">
        <v>29.0</v>
      </c>
      <c r="L2992" s="7"/>
      <c r="M2992" s="7"/>
      <c r="N2992" s="7"/>
      <c r="O2992" s="7"/>
      <c r="P2992" s="7"/>
      <c r="Q2992" s="7"/>
      <c r="R2992" s="7"/>
      <c r="S2992" s="7"/>
      <c r="T2992" s="7"/>
      <c r="U2992" s="7"/>
      <c r="V2992" s="7"/>
      <c r="W2992" s="7"/>
      <c r="X2992" s="7"/>
      <c r="Y2992" s="7"/>
    </row>
    <row r="2993">
      <c r="A2993" s="14" t="s">
        <v>10751</v>
      </c>
      <c r="B2993" s="17" t="s">
        <v>10748</v>
      </c>
      <c r="C2993" s="17" t="s">
        <v>10752</v>
      </c>
      <c r="D2993" s="19" t="s">
        <v>386</v>
      </c>
      <c r="E2993" s="20" t="s">
        <v>632</v>
      </c>
      <c r="F2993" s="21">
        <v>23491.0</v>
      </c>
      <c r="G2993" s="14">
        <v>62.0</v>
      </c>
      <c r="H2993" s="23" t="s">
        <v>26</v>
      </c>
      <c r="I2993" s="24" t="s">
        <v>27</v>
      </c>
      <c r="J2993" s="19" t="s">
        <v>53</v>
      </c>
      <c r="K2993" s="14">
        <v>29.0</v>
      </c>
      <c r="L2993" s="7"/>
      <c r="M2993" s="7"/>
      <c r="N2993" s="7"/>
      <c r="O2993" s="7"/>
      <c r="P2993" s="7"/>
      <c r="Q2993" s="7"/>
      <c r="R2993" s="7"/>
      <c r="S2993" s="7"/>
      <c r="T2993" s="7"/>
      <c r="U2993" s="7"/>
      <c r="V2993" s="7"/>
      <c r="W2993" s="7"/>
      <c r="X2993" s="7"/>
      <c r="Y2993" s="7"/>
    </row>
    <row r="2994">
      <c r="A2994" s="14" t="s">
        <v>10753</v>
      </c>
      <c r="B2994" s="17" t="s">
        <v>10754</v>
      </c>
      <c r="C2994" s="17" t="s">
        <v>10755</v>
      </c>
      <c r="D2994" s="19" t="s">
        <v>10756</v>
      </c>
      <c r="E2994" s="20" t="s">
        <v>104</v>
      </c>
      <c r="F2994" s="21">
        <v>37469.0</v>
      </c>
      <c r="G2994" s="14">
        <v>24.0</v>
      </c>
      <c r="H2994" s="23" t="s">
        <v>100</v>
      </c>
      <c r="I2994" s="24" t="s">
        <v>33</v>
      </c>
      <c r="J2994" s="19" t="s">
        <v>53</v>
      </c>
      <c r="K2994" s="14">
        <v>28.0</v>
      </c>
      <c r="L2994" s="7"/>
      <c r="M2994" s="7"/>
      <c r="N2994" s="7"/>
      <c r="O2994" s="7"/>
      <c r="P2994" s="7"/>
      <c r="Q2994" s="7"/>
      <c r="R2994" s="7"/>
      <c r="S2994" s="7"/>
      <c r="T2994" s="7"/>
      <c r="U2994" s="7"/>
      <c r="V2994" s="7"/>
      <c r="W2994" s="7"/>
      <c r="X2994" s="7"/>
      <c r="Y2994" s="7"/>
    </row>
    <row r="2995">
      <c r="A2995" s="14" t="s">
        <v>10757</v>
      </c>
      <c r="B2995" s="17" t="s">
        <v>10754</v>
      </c>
      <c r="C2995" s="17" t="s">
        <v>10758</v>
      </c>
      <c r="D2995" s="19" t="s">
        <v>8782</v>
      </c>
      <c r="E2995" s="20" t="s">
        <v>1049</v>
      </c>
      <c r="F2995" s="21">
        <v>20558.0</v>
      </c>
      <c r="G2995" s="14">
        <v>70.0</v>
      </c>
      <c r="H2995" s="23" t="s">
        <v>26</v>
      </c>
      <c r="I2995" s="24" t="s">
        <v>33</v>
      </c>
      <c r="J2995" s="19" t="s">
        <v>53</v>
      </c>
      <c r="K2995" s="14">
        <v>28.0</v>
      </c>
      <c r="L2995" s="7"/>
      <c r="M2995" s="7"/>
      <c r="N2995" s="7"/>
      <c r="O2995" s="7"/>
      <c r="P2995" s="7"/>
      <c r="Q2995" s="7"/>
      <c r="R2995" s="7"/>
      <c r="S2995" s="7"/>
      <c r="T2995" s="7"/>
      <c r="U2995" s="7"/>
      <c r="V2995" s="7"/>
      <c r="W2995" s="7"/>
      <c r="X2995" s="7"/>
      <c r="Y2995" s="7"/>
    </row>
    <row r="2996">
      <c r="A2996" s="14" t="s">
        <v>10759</v>
      </c>
      <c r="B2996" s="17" t="s">
        <v>10754</v>
      </c>
      <c r="C2996" s="17" t="s">
        <v>10760</v>
      </c>
      <c r="D2996" s="19" t="s">
        <v>10761</v>
      </c>
      <c r="E2996" s="20" t="s">
        <v>1049</v>
      </c>
      <c r="F2996" s="27">
        <v>23299.0</v>
      </c>
      <c r="G2996" s="14">
        <v>62.0</v>
      </c>
      <c r="H2996" s="23" t="s">
        <v>26</v>
      </c>
      <c r="I2996" s="24" t="s">
        <v>27</v>
      </c>
      <c r="J2996" s="19" t="s">
        <v>53</v>
      </c>
      <c r="K2996" s="14">
        <v>28.0</v>
      </c>
      <c r="L2996" s="7"/>
      <c r="M2996" s="7"/>
      <c r="N2996" s="7"/>
      <c r="O2996" s="7"/>
      <c r="P2996" s="7"/>
      <c r="Q2996" s="7"/>
      <c r="R2996" s="7"/>
      <c r="S2996" s="7"/>
      <c r="T2996" s="7"/>
      <c r="U2996" s="7"/>
      <c r="V2996" s="7"/>
      <c r="W2996" s="7"/>
      <c r="X2996" s="7"/>
      <c r="Y2996" s="7"/>
    </row>
    <row r="2997">
      <c r="A2997" s="14" t="s">
        <v>10762</v>
      </c>
      <c r="B2997" s="17" t="s">
        <v>10763</v>
      </c>
      <c r="C2997" s="17" t="s">
        <v>10764</v>
      </c>
      <c r="D2997" s="19" t="s">
        <v>10765</v>
      </c>
      <c r="E2997" s="20" t="s">
        <v>104</v>
      </c>
      <c r="F2997" s="21">
        <v>28393.0</v>
      </c>
      <c r="G2997" s="14">
        <v>48.0</v>
      </c>
      <c r="H2997" s="23" t="s">
        <v>26</v>
      </c>
      <c r="I2997" s="24" t="s">
        <v>33</v>
      </c>
      <c r="J2997" s="19" t="s">
        <v>10766</v>
      </c>
      <c r="K2997" s="14">
        <v>29.0</v>
      </c>
      <c r="L2997" s="7"/>
      <c r="M2997" s="7"/>
      <c r="N2997" s="7"/>
      <c r="O2997" s="7"/>
      <c r="P2997" s="7"/>
      <c r="Q2997" s="7"/>
      <c r="R2997" s="7"/>
      <c r="S2997" s="7"/>
      <c r="T2997" s="7"/>
      <c r="U2997" s="7"/>
      <c r="V2997" s="7"/>
      <c r="W2997" s="7"/>
      <c r="X2997" s="7"/>
      <c r="Y2997" s="7"/>
    </row>
    <row r="2998">
      <c r="A2998" s="14" t="s">
        <v>10767</v>
      </c>
      <c r="B2998" s="17" t="s">
        <v>10763</v>
      </c>
      <c r="C2998" s="17" t="s">
        <v>10768</v>
      </c>
      <c r="D2998" s="19" t="s">
        <v>10769</v>
      </c>
      <c r="E2998" s="20" t="s">
        <v>104</v>
      </c>
      <c r="F2998" s="27">
        <v>37177.0</v>
      </c>
      <c r="G2998" s="14">
        <v>24.0</v>
      </c>
      <c r="H2998" s="23" t="s">
        <v>100</v>
      </c>
      <c r="I2998" s="24" t="s">
        <v>33</v>
      </c>
      <c r="J2998" s="19" t="s">
        <v>10766</v>
      </c>
      <c r="K2998" s="14">
        <v>29.0</v>
      </c>
      <c r="L2998" s="7"/>
      <c r="M2998" s="7"/>
      <c r="N2998" s="7"/>
      <c r="O2998" s="7"/>
      <c r="P2998" s="7"/>
      <c r="Q2998" s="7"/>
      <c r="R2998" s="7"/>
      <c r="S2998" s="7"/>
      <c r="T2998" s="7"/>
      <c r="U2998" s="7"/>
      <c r="V2998" s="7"/>
      <c r="W2998" s="7"/>
      <c r="X2998" s="7"/>
      <c r="Y2998" s="7"/>
    </row>
    <row r="2999">
      <c r="A2999" s="14" t="s">
        <v>10770</v>
      </c>
      <c r="B2999" s="17" t="s">
        <v>10763</v>
      </c>
      <c r="C2999" s="17" t="s">
        <v>10771</v>
      </c>
      <c r="D2999" s="19" t="s">
        <v>10772</v>
      </c>
      <c r="E2999" s="20" t="s">
        <v>1816</v>
      </c>
      <c r="F2999" s="21">
        <v>28624.0</v>
      </c>
      <c r="G2999" s="14">
        <v>48.0</v>
      </c>
      <c r="H2999" s="23" t="s">
        <v>26</v>
      </c>
      <c r="I2999" s="24" t="s">
        <v>27</v>
      </c>
      <c r="J2999" s="19" t="s">
        <v>10766</v>
      </c>
      <c r="K2999" s="14">
        <v>29.0</v>
      </c>
      <c r="L2999" s="7"/>
      <c r="M2999" s="7"/>
      <c r="N2999" s="7"/>
      <c r="O2999" s="7"/>
      <c r="P2999" s="7"/>
      <c r="Q2999" s="7"/>
      <c r="R2999" s="7"/>
      <c r="S2999" s="7"/>
      <c r="T2999" s="7"/>
      <c r="U2999" s="7"/>
      <c r="V2999" s="7"/>
      <c r="W2999" s="7"/>
      <c r="X2999" s="7"/>
      <c r="Y2999" s="7"/>
    </row>
    <row r="3000">
      <c r="A3000" s="14" t="s">
        <v>10773</v>
      </c>
      <c r="B3000" s="17" t="s">
        <v>10774</v>
      </c>
      <c r="C3000" s="17" t="s">
        <v>10775</v>
      </c>
      <c r="D3000" s="19" t="s">
        <v>10776</v>
      </c>
      <c r="E3000" s="20" t="s">
        <v>104</v>
      </c>
      <c r="F3000" s="21">
        <v>35437.0</v>
      </c>
      <c r="G3000" s="14">
        <v>29.0</v>
      </c>
      <c r="H3000" s="23" t="s">
        <v>100</v>
      </c>
      <c r="I3000" s="24" t="s">
        <v>33</v>
      </c>
      <c r="J3000" s="19" t="s">
        <v>53</v>
      </c>
      <c r="K3000" s="14">
        <v>28.0</v>
      </c>
      <c r="L3000" s="7"/>
      <c r="M3000" s="7"/>
      <c r="N3000" s="7"/>
      <c r="O3000" s="7"/>
      <c r="P3000" s="7"/>
      <c r="Q3000" s="7"/>
      <c r="R3000" s="7"/>
      <c r="S3000" s="7"/>
      <c r="T3000" s="7"/>
      <c r="U3000" s="7"/>
      <c r="V3000" s="7"/>
      <c r="W3000" s="7"/>
      <c r="X3000" s="7"/>
      <c r="Y3000" s="7"/>
    </row>
    <row r="3001">
      <c r="A3001" s="14" t="s">
        <v>10777</v>
      </c>
      <c r="B3001" s="17" t="s">
        <v>10774</v>
      </c>
      <c r="C3001" s="17" t="s">
        <v>10778</v>
      </c>
      <c r="D3001" s="19" t="s">
        <v>10779</v>
      </c>
      <c r="E3001" s="20" t="s">
        <v>10780</v>
      </c>
      <c r="F3001" s="21">
        <v>22917.0</v>
      </c>
      <c r="G3001" s="14">
        <v>63.0</v>
      </c>
      <c r="H3001" s="23" t="s">
        <v>26</v>
      </c>
      <c r="I3001" s="24" t="s">
        <v>33</v>
      </c>
      <c r="J3001" s="19" t="s">
        <v>53</v>
      </c>
      <c r="K3001" s="14">
        <v>28.0</v>
      </c>
      <c r="L3001" s="7"/>
      <c r="M3001" s="7"/>
      <c r="N3001" s="7"/>
      <c r="O3001" s="7"/>
      <c r="P3001" s="7"/>
      <c r="Q3001" s="7"/>
      <c r="R3001" s="7"/>
      <c r="S3001" s="7"/>
      <c r="T3001" s="7"/>
      <c r="U3001" s="7"/>
      <c r="V3001" s="7"/>
      <c r="W3001" s="7"/>
      <c r="X3001" s="7"/>
      <c r="Y3001" s="7"/>
    </row>
    <row r="3002">
      <c r="A3002" s="14" t="s">
        <v>10781</v>
      </c>
      <c r="B3002" s="17" t="s">
        <v>10774</v>
      </c>
      <c r="C3002" s="17" t="s">
        <v>10782</v>
      </c>
      <c r="D3002" s="19" t="s">
        <v>10783</v>
      </c>
      <c r="E3002" s="20" t="s">
        <v>10784</v>
      </c>
      <c r="F3002" s="27">
        <v>22260.0</v>
      </c>
      <c r="G3002" s="14">
        <v>65.0</v>
      </c>
      <c r="H3002" s="23" t="s">
        <v>26</v>
      </c>
      <c r="I3002" s="24" t="s">
        <v>27</v>
      </c>
      <c r="J3002" s="19" t="s">
        <v>53</v>
      </c>
      <c r="K3002" s="14">
        <v>28.0</v>
      </c>
      <c r="L3002" s="7"/>
      <c r="M3002" s="7"/>
      <c r="N3002" s="7"/>
      <c r="O3002" s="7"/>
      <c r="P3002" s="7"/>
      <c r="Q3002" s="7"/>
      <c r="R3002" s="7"/>
      <c r="S3002" s="7"/>
      <c r="T3002" s="7"/>
      <c r="U3002" s="7"/>
      <c r="V3002" s="7"/>
      <c r="W3002" s="7"/>
      <c r="X3002" s="7"/>
      <c r="Y3002" s="7"/>
    </row>
    <row r="3003">
      <c r="A3003" s="14" t="s">
        <v>10785</v>
      </c>
      <c r="B3003" s="17" t="s">
        <v>10786</v>
      </c>
      <c r="C3003" s="17" t="s">
        <v>10787</v>
      </c>
      <c r="D3003" s="19" t="s">
        <v>10788</v>
      </c>
      <c r="E3003" s="20" t="s">
        <v>104</v>
      </c>
      <c r="F3003" s="21">
        <v>37718.0</v>
      </c>
      <c r="G3003" s="14">
        <v>23.0</v>
      </c>
      <c r="H3003" s="23" t="s">
        <v>100</v>
      </c>
      <c r="I3003" s="24" t="s">
        <v>33</v>
      </c>
      <c r="J3003" s="19" t="s">
        <v>68</v>
      </c>
      <c r="K3003" s="14">
        <v>28.0</v>
      </c>
      <c r="L3003" s="7"/>
      <c r="M3003" s="7"/>
      <c r="N3003" s="7"/>
      <c r="O3003" s="7"/>
      <c r="P3003" s="7"/>
      <c r="Q3003" s="7"/>
      <c r="R3003" s="7"/>
      <c r="S3003" s="7"/>
      <c r="T3003" s="7"/>
      <c r="U3003" s="7"/>
      <c r="V3003" s="7"/>
      <c r="W3003" s="7"/>
      <c r="X3003" s="7"/>
      <c r="Y3003" s="7"/>
    </row>
    <row r="3004">
      <c r="A3004" s="14" t="s">
        <v>10789</v>
      </c>
      <c r="B3004" s="17" t="s">
        <v>10786</v>
      </c>
      <c r="C3004" s="17" t="s">
        <v>10790</v>
      </c>
      <c r="D3004" s="19" t="s">
        <v>10791</v>
      </c>
      <c r="E3004" s="20" t="s">
        <v>231</v>
      </c>
      <c r="F3004" s="21">
        <v>22466.0</v>
      </c>
      <c r="G3004" s="14">
        <v>65.0</v>
      </c>
      <c r="H3004" s="23" t="s">
        <v>26</v>
      </c>
      <c r="I3004" s="24" t="s">
        <v>33</v>
      </c>
      <c r="J3004" s="19" t="s">
        <v>68</v>
      </c>
      <c r="K3004" s="14">
        <v>28.0</v>
      </c>
      <c r="L3004" s="7"/>
      <c r="M3004" s="7"/>
      <c r="N3004" s="7"/>
      <c r="O3004" s="7"/>
      <c r="P3004" s="7"/>
      <c r="Q3004" s="7"/>
      <c r="R3004" s="7"/>
      <c r="S3004" s="7"/>
      <c r="T3004" s="7"/>
      <c r="U3004" s="7"/>
      <c r="V3004" s="7"/>
      <c r="W3004" s="7"/>
      <c r="X3004" s="7"/>
      <c r="Y3004" s="7"/>
    </row>
    <row r="3005">
      <c r="A3005" s="14" t="s">
        <v>10792</v>
      </c>
      <c r="B3005" s="17" t="s">
        <v>10793</v>
      </c>
      <c r="C3005" s="17" t="s">
        <v>10794</v>
      </c>
      <c r="D3005" s="19" t="s">
        <v>10795</v>
      </c>
      <c r="E3005" s="20" t="s">
        <v>10796</v>
      </c>
      <c r="F3005" s="21">
        <v>17168.0</v>
      </c>
      <c r="G3005" s="14">
        <v>79.0</v>
      </c>
      <c r="H3005" s="23" t="s">
        <v>26</v>
      </c>
      <c r="I3005" s="24" t="s">
        <v>27</v>
      </c>
      <c r="J3005" s="19" t="s">
        <v>53</v>
      </c>
      <c r="K3005" s="14">
        <v>28.0</v>
      </c>
      <c r="L3005" s="7"/>
      <c r="M3005" s="7"/>
      <c r="N3005" s="7"/>
      <c r="O3005" s="7"/>
      <c r="P3005" s="7"/>
      <c r="Q3005" s="7"/>
      <c r="R3005" s="7"/>
      <c r="S3005" s="7"/>
      <c r="T3005" s="7"/>
      <c r="U3005" s="7"/>
      <c r="V3005" s="7"/>
      <c r="W3005" s="7"/>
      <c r="X3005" s="7"/>
      <c r="Y3005" s="7"/>
    </row>
    <row r="3006">
      <c r="A3006" s="14" t="s">
        <v>10797</v>
      </c>
      <c r="B3006" s="17" t="s">
        <v>10793</v>
      </c>
      <c r="C3006" s="17" t="s">
        <v>10798</v>
      </c>
      <c r="D3006" s="19" t="s">
        <v>879</v>
      </c>
      <c r="E3006" s="20" t="s">
        <v>104</v>
      </c>
      <c r="F3006" s="21">
        <v>31524.0</v>
      </c>
      <c r="G3006" s="14">
        <v>40.0</v>
      </c>
      <c r="H3006" s="23" t="s">
        <v>100</v>
      </c>
      <c r="I3006" s="24" t="s">
        <v>33</v>
      </c>
      <c r="J3006" s="19" t="s">
        <v>53</v>
      </c>
      <c r="K3006" s="14">
        <v>28.0</v>
      </c>
      <c r="L3006" s="7"/>
      <c r="M3006" s="7"/>
      <c r="N3006" s="7"/>
      <c r="O3006" s="7"/>
      <c r="P3006" s="7"/>
      <c r="Q3006" s="7"/>
      <c r="R3006" s="7"/>
      <c r="S3006" s="7"/>
      <c r="T3006" s="7"/>
      <c r="U3006" s="7"/>
      <c r="V3006" s="7"/>
      <c r="W3006" s="7"/>
      <c r="X3006" s="7"/>
      <c r="Y3006" s="7"/>
    </row>
    <row r="3007">
      <c r="A3007" s="14" t="s">
        <v>10799</v>
      </c>
      <c r="B3007" s="17" t="s">
        <v>10793</v>
      </c>
      <c r="C3007" s="17" t="s">
        <v>10800</v>
      </c>
      <c r="D3007" s="19" t="s">
        <v>10801</v>
      </c>
      <c r="E3007" s="20" t="s">
        <v>10796</v>
      </c>
      <c r="F3007" s="21">
        <v>14246.0</v>
      </c>
      <c r="G3007" s="14">
        <v>87.0</v>
      </c>
      <c r="H3007" s="23" t="s">
        <v>26</v>
      </c>
      <c r="I3007" s="24" t="s">
        <v>33</v>
      </c>
      <c r="J3007" s="19" t="s">
        <v>53</v>
      </c>
      <c r="K3007" s="14">
        <v>28.0</v>
      </c>
      <c r="L3007" s="7"/>
      <c r="M3007" s="7"/>
      <c r="N3007" s="7"/>
      <c r="O3007" s="7"/>
      <c r="P3007" s="7"/>
      <c r="Q3007" s="7"/>
      <c r="R3007" s="7"/>
      <c r="S3007" s="7"/>
      <c r="T3007" s="7"/>
      <c r="U3007" s="7"/>
      <c r="V3007" s="7"/>
      <c r="W3007" s="7"/>
      <c r="X3007" s="7"/>
      <c r="Y3007" s="7"/>
    </row>
    <row r="3008">
      <c r="A3008" s="14" t="s">
        <v>10802</v>
      </c>
      <c r="B3008" s="17" t="s">
        <v>10803</v>
      </c>
      <c r="C3008" s="17" t="s">
        <v>10804</v>
      </c>
      <c r="D3008" s="19" t="s">
        <v>10805</v>
      </c>
      <c r="E3008" s="20" t="s">
        <v>104</v>
      </c>
      <c r="F3008" s="21">
        <v>31664.0</v>
      </c>
      <c r="G3008" s="14">
        <v>39.0</v>
      </c>
      <c r="H3008" s="23" t="s">
        <v>26</v>
      </c>
      <c r="I3008" s="24" t="s">
        <v>27</v>
      </c>
      <c r="J3008" s="19" t="s">
        <v>156</v>
      </c>
      <c r="K3008" s="14">
        <v>28.0</v>
      </c>
      <c r="L3008" s="7"/>
      <c r="M3008" s="7"/>
      <c r="N3008" s="7"/>
      <c r="O3008" s="7"/>
      <c r="P3008" s="7"/>
      <c r="Q3008" s="7"/>
      <c r="R3008" s="7"/>
      <c r="S3008" s="7"/>
      <c r="T3008" s="7"/>
      <c r="U3008" s="7"/>
      <c r="V3008" s="7"/>
      <c r="W3008" s="7"/>
      <c r="X3008" s="7"/>
      <c r="Y3008" s="7"/>
    </row>
    <row r="3009">
      <c r="A3009" s="14" t="s">
        <v>10806</v>
      </c>
      <c r="B3009" s="17" t="s">
        <v>10803</v>
      </c>
      <c r="C3009" s="17" t="s">
        <v>10807</v>
      </c>
      <c r="D3009" s="19" t="s">
        <v>10808</v>
      </c>
      <c r="E3009" s="20" t="s">
        <v>104</v>
      </c>
      <c r="F3009" s="21">
        <v>29661.0</v>
      </c>
      <c r="G3009" s="14">
        <v>45.0</v>
      </c>
      <c r="H3009" s="23" t="s">
        <v>26</v>
      </c>
      <c r="I3009" s="24" t="s">
        <v>33</v>
      </c>
      <c r="J3009" s="19" t="s">
        <v>156</v>
      </c>
      <c r="K3009" s="14">
        <v>28.0</v>
      </c>
      <c r="L3009" s="7"/>
      <c r="M3009" s="7"/>
      <c r="N3009" s="7"/>
      <c r="O3009" s="7"/>
      <c r="P3009" s="7"/>
      <c r="Q3009" s="7"/>
      <c r="R3009" s="7"/>
      <c r="S3009" s="7"/>
      <c r="T3009" s="7"/>
      <c r="U3009" s="7"/>
      <c r="V3009" s="7"/>
      <c r="W3009" s="7"/>
      <c r="X3009" s="7"/>
      <c r="Y3009" s="7"/>
    </row>
    <row r="3010">
      <c r="A3010" s="14" t="s">
        <v>10809</v>
      </c>
      <c r="B3010" s="17" t="s">
        <v>10810</v>
      </c>
      <c r="C3010" s="17" t="s">
        <v>10811</v>
      </c>
      <c r="D3010" s="19" t="s">
        <v>10812</v>
      </c>
      <c r="E3010" s="20" t="s">
        <v>195</v>
      </c>
      <c r="F3010" s="27">
        <v>12003.0</v>
      </c>
      <c r="G3010" s="14">
        <v>93.0</v>
      </c>
      <c r="H3010" s="23" t="s">
        <v>26</v>
      </c>
      <c r="I3010" s="24" t="s">
        <v>27</v>
      </c>
      <c r="J3010" s="19" t="s">
        <v>156</v>
      </c>
      <c r="K3010" s="14">
        <v>28.0</v>
      </c>
      <c r="L3010" s="7"/>
      <c r="M3010" s="7"/>
      <c r="N3010" s="7"/>
      <c r="O3010" s="7"/>
      <c r="P3010" s="7"/>
      <c r="Q3010" s="7"/>
      <c r="R3010" s="7"/>
      <c r="S3010" s="7"/>
      <c r="T3010" s="7"/>
      <c r="U3010" s="7"/>
      <c r="V3010" s="7"/>
      <c r="W3010" s="7"/>
      <c r="X3010" s="7"/>
      <c r="Y3010" s="7"/>
    </row>
    <row r="3011">
      <c r="A3011" s="14" t="s">
        <v>10813</v>
      </c>
      <c r="B3011" s="17" t="s">
        <v>10814</v>
      </c>
      <c r="C3011" s="17" t="s">
        <v>10815</v>
      </c>
      <c r="D3011" s="19" t="s">
        <v>10816</v>
      </c>
      <c r="E3011" s="20" t="s">
        <v>53</v>
      </c>
      <c r="F3011" s="21">
        <v>38240.0</v>
      </c>
      <c r="G3011" s="14">
        <v>21.0</v>
      </c>
      <c r="H3011" s="23" t="s">
        <v>100</v>
      </c>
      <c r="I3011" s="24" t="s">
        <v>33</v>
      </c>
      <c r="J3011" s="19" t="s">
        <v>53</v>
      </c>
      <c r="K3011" s="14">
        <v>29.0</v>
      </c>
      <c r="L3011" s="7"/>
      <c r="M3011" s="7"/>
      <c r="N3011" s="7"/>
      <c r="O3011" s="7"/>
      <c r="P3011" s="7"/>
      <c r="Q3011" s="7"/>
      <c r="R3011" s="7"/>
      <c r="S3011" s="7"/>
      <c r="T3011" s="7"/>
      <c r="U3011" s="7"/>
      <c r="V3011" s="7"/>
      <c r="W3011" s="7"/>
      <c r="X3011" s="7"/>
      <c r="Y3011" s="7"/>
    </row>
    <row r="3012">
      <c r="A3012" s="14" t="s">
        <v>10817</v>
      </c>
      <c r="B3012" s="17" t="s">
        <v>10814</v>
      </c>
      <c r="C3012" s="17" t="s">
        <v>10818</v>
      </c>
      <c r="D3012" s="19" t="s">
        <v>10819</v>
      </c>
      <c r="E3012" s="20" t="s">
        <v>654</v>
      </c>
      <c r="F3012" s="21">
        <v>25750.0</v>
      </c>
      <c r="G3012" s="14">
        <v>56.0</v>
      </c>
      <c r="H3012" s="23" t="s">
        <v>26</v>
      </c>
      <c r="I3012" s="24" t="s">
        <v>33</v>
      </c>
      <c r="J3012" s="19" t="s">
        <v>53</v>
      </c>
      <c r="K3012" s="14">
        <v>29.0</v>
      </c>
      <c r="L3012" s="7"/>
      <c r="M3012" s="7"/>
      <c r="N3012" s="7"/>
      <c r="O3012" s="7"/>
      <c r="P3012" s="7"/>
      <c r="Q3012" s="7"/>
      <c r="R3012" s="7"/>
      <c r="S3012" s="7"/>
      <c r="T3012" s="7"/>
      <c r="U3012" s="7"/>
      <c r="V3012" s="7"/>
      <c r="W3012" s="7"/>
      <c r="X3012" s="7"/>
      <c r="Y3012" s="7"/>
    </row>
    <row r="3013">
      <c r="A3013" s="14" t="s">
        <v>10820</v>
      </c>
      <c r="B3013" s="17" t="s">
        <v>10814</v>
      </c>
      <c r="C3013" s="17" t="s">
        <v>10821</v>
      </c>
      <c r="D3013" s="19" t="s">
        <v>2772</v>
      </c>
      <c r="E3013" s="20" t="s">
        <v>210</v>
      </c>
      <c r="F3013" s="21">
        <v>29046.0</v>
      </c>
      <c r="G3013" s="14">
        <v>47.0</v>
      </c>
      <c r="H3013" s="23" t="s">
        <v>26</v>
      </c>
      <c r="I3013" s="24" t="s">
        <v>27</v>
      </c>
      <c r="J3013" s="19" t="s">
        <v>53</v>
      </c>
      <c r="K3013" s="14">
        <v>29.0</v>
      </c>
      <c r="L3013" s="7"/>
      <c r="M3013" s="7"/>
      <c r="N3013" s="7"/>
      <c r="O3013" s="7"/>
      <c r="P3013" s="7"/>
      <c r="Q3013" s="7"/>
      <c r="R3013" s="7"/>
      <c r="S3013" s="7"/>
      <c r="T3013" s="7"/>
      <c r="U3013" s="7"/>
      <c r="V3013" s="7"/>
      <c r="W3013" s="7"/>
      <c r="X3013" s="7"/>
      <c r="Y3013" s="7"/>
    </row>
    <row r="3014">
      <c r="A3014" s="14" t="s">
        <v>10822</v>
      </c>
      <c r="B3014" s="17" t="s">
        <v>10823</v>
      </c>
      <c r="C3014" s="17" t="s">
        <v>10824</v>
      </c>
      <c r="D3014" s="19" t="s">
        <v>10825</v>
      </c>
      <c r="E3014" s="20" t="s">
        <v>1816</v>
      </c>
      <c r="F3014" s="21">
        <v>26481.0</v>
      </c>
      <c r="G3014" s="14">
        <v>54.0</v>
      </c>
      <c r="H3014" s="23" t="s">
        <v>26</v>
      </c>
      <c r="I3014" s="24" t="s">
        <v>27</v>
      </c>
      <c r="J3014" s="19" t="s">
        <v>53</v>
      </c>
      <c r="K3014" s="14">
        <v>29.0</v>
      </c>
      <c r="L3014" s="7"/>
      <c r="M3014" s="7"/>
      <c r="N3014" s="7"/>
      <c r="O3014" s="7"/>
      <c r="P3014" s="7"/>
      <c r="Q3014" s="7"/>
      <c r="R3014" s="7"/>
      <c r="S3014" s="7"/>
      <c r="T3014" s="7"/>
      <c r="U3014" s="7"/>
      <c r="V3014" s="7"/>
      <c r="W3014" s="7"/>
      <c r="X3014" s="7"/>
      <c r="Y3014" s="7"/>
    </row>
    <row r="3015">
      <c r="A3015" s="14" t="s">
        <v>10826</v>
      </c>
      <c r="B3015" s="17" t="s">
        <v>10827</v>
      </c>
      <c r="C3015" s="17" t="s">
        <v>10828</v>
      </c>
      <c r="D3015" s="19" t="s">
        <v>10829</v>
      </c>
      <c r="E3015" s="20" t="s">
        <v>624</v>
      </c>
      <c r="F3015" s="21">
        <v>23324.0</v>
      </c>
      <c r="G3015" s="14">
        <v>62.0</v>
      </c>
      <c r="H3015" s="23" t="s">
        <v>26</v>
      </c>
      <c r="I3015" s="24" t="s">
        <v>33</v>
      </c>
      <c r="J3015" s="19" t="s">
        <v>53</v>
      </c>
      <c r="K3015" s="14">
        <v>29.0</v>
      </c>
      <c r="L3015" s="7"/>
      <c r="M3015" s="7"/>
      <c r="N3015" s="7"/>
      <c r="O3015" s="7"/>
      <c r="P3015" s="7"/>
      <c r="Q3015" s="7"/>
      <c r="R3015" s="7"/>
      <c r="S3015" s="7"/>
      <c r="T3015" s="7"/>
      <c r="U3015" s="7"/>
      <c r="V3015" s="7"/>
      <c r="W3015" s="7"/>
      <c r="X3015" s="7"/>
      <c r="Y3015" s="7"/>
    </row>
    <row r="3016">
      <c r="A3016" s="14" t="s">
        <v>10830</v>
      </c>
      <c r="B3016" s="17" t="s">
        <v>10827</v>
      </c>
      <c r="C3016" s="17" t="s">
        <v>10831</v>
      </c>
      <c r="D3016" s="19" t="s">
        <v>9217</v>
      </c>
      <c r="E3016" s="20" t="s">
        <v>624</v>
      </c>
      <c r="F3016" s="21">
        <v>22883.0</v>
      </c>
      <c r="G3016" s="14">
        <v>64.0</v>
      </c>
      <c r="H3016" s="23" t="s">
        <v>26</v>
      </c>
      <c r="I3016" s="24" t="s">
        <v>27</v>
      </c>
      <c r="J3016" s="19" t="s">
        <v>53</v>
      </c>
      <c r="K3016" s="14">
        <v>29.0</v>
      </c>
      <c r="L3016" s="7"/>
      <c r="M3016" s="7"/>
      <c r="N3016" s="7"/>
      <c r="O3016" s="7"/>
      <c r="P3016" s="7"/>
      <c r="Q3016" s="7"/>
      <c r="R3016" s="7"/>
      <c r="S3016" s="7"/>
      <c r="T3016" s="7"/>
      <c r="U3016" s="7"/>
      <c r="V3016" s="7"/>
      <c r="W3016" s="7"/>
      <c r="X3016" s="7"/>
      <c r="Y3016" s="7"/>
    </row>
    <row r="3017">
      <c r="A3017" s="14" t="s">
        <v>10832</v>
      </c>
      <c r="B3017" s="17" t="s">
        <v>10833</v>
      </c>
      <c r="C3017" s="17" t="s">
        <v>10834</v>
      </c>
      <c r="D3017" s="19" t="s">
        <v>10835</v>
      </c>
      <c r="E3017" s="20" t="s">
        <v>104</v>
      </c>
      <c r="F3017" s="27">
        <v>37575.0</v>
      </c>
      <c r="G3017" s="14">
        <v>23.0</v>
      </c>
      <c r="H3017" s="23" t="s">
        <v>100</v>
      </c>
      <c r="I3017" s="24" t="s">
        <v>33</v>
      </c>
      <c r="J3017" s="19" t="s">
        <v>53</v>
      </c>
      <c r="K3017" s="14">
        <v>29.0</v>
      </c>
      <c r="L3017" s="7"/>
      <c r="M3017" s="7"/>
      <c r="N3017" s="7"/>
      <c r="O3017" s="7"/>
      <c r="P3017" s="7"/>
      <c r="Q3017" s="7"/>
      <c r="R3017" s="7"/>
      <c r="S3017" s="7"/>
      <c r="T3017" s="7"/>
      <c r="U3017" s="7"/>
      <c r="V3017" s="7"/>
      <c r="W3017" s="7"/>
      <c r="X3017" s="7"/>
      <c r="Y3017" s="7"/>
    </row>
    <row r="3018">
      <c r="A3018" s="14" t="s">
        <v>10836</v>
      </c>
      <c r="B3018" s="17" t="s">
        <v>10833</v>
      </c>
      <c r="C3018" s="17" t="s">
        <v>10837</v>
      </c>
      <c r="D3018" s="19" t="s">
        <v>10838</v>
      </c>
      <c r="E3018" s="20" t="s">
        <v>1741</v>
      </c>
      <c r="F3018" s="21">
        <v>27992.0</v>
      </c>
      <c r="G3018" s="14">
        <v>50.0</v>
      </c>
      <c r="H3018" s="23" t="s">
        <v>26</v>
      </c>
      <c r="I3018" s="24" t="s">
        <v>27</v>
      </c>
      <c r="J3018" s="19" t="s">
        <v>53</v>
      </c>
      <c r="K3018" s="14">
        <v>29.0</v>
      </c>
      <c r="L3018" s="7"/>
      <c r="M3018" s="7"/>
      <c r="N3018" s="7"/>
      <c r="O3018" s="7"/>
      <c r="P3018" s="7"/>
      <c r="Q3018" s="7"/>
      <c r="R3018" s="7"/>
      <c r="S3018" s="7"/>
      <c r="T3018" s="7"/>
      <c r="U3018" s="7"/>
      <c r="V3018" s="7"/>
      <c r="W3018" s="7"/>
      <c r="X3018" s="7"/>
      <c r="Y3018" s="7"/>
    </row>
    <row r="3019">
      <c r="A3019" s="14" t="s">
        <v>10839</v>
      </c>
      <c r="B3019" s="17" t="s">
        <v>10833</v>
      </c>
      <c r="C3019" s="17" t="s">
        <v>10840</v>
      </c>
      <c r="D3019" s="19" t="s">
        <v>4125</v>
      </c>
      <c r="E3019" s="20" t="s">
        <v>1741</v>
      </c>
      <c r="F3019" s="21">
        <v>25718.0</v>
      </c>
      <c r="G3019" s="14">
        <v>56.0</v>
      </c>
      <c r="H3019" s="23" t="s">
        <v>26</v>
      </c>
      <c r="I3019" s="24" t="s">
        <v>33</v>
      </c>
      <c r="J3019" s="19" t="s">
        <v>53</v>
      </c>
      <c r="K3019" s="14">
        <v>29.0</v>
      </c>
      <c r="L3019" s="7"/>
      <c r="M3019" s="7"/>
      <c r="N3019" s="7"/>
      <c r="O3019" s="7"/>
      <c r="P3019" s="7"/>
      <c r="Q3019" s="7"/>
      <c r="R3019" s="7"/>
      <c r="S3019" s="7"/>
      <c r="T3019" s="7"/>
      <c r="U3019" s="7"/>
      <c r="V3019" s="7"/>
      <c r="W3019" s="7"/>
      <c r="X3019" s="7"/>
      <c r="Y3019" s="7"/>
    </row>
    <row r="3020">
      <c r="A3020" s="14" t="s">
        <v>10841</v>
      </c>
      <c r="B3020" s="17" t="s">
        <v>10842</v>
      </c>
      <c r="C3020" s="17" t="s">
        <v>10843</v>
      </c>
      <c r="D3020" s="19" t="s">
        <v>10844</v>
      </c>
      <c r="E3020" s="20" t="s">
        <v>536</v>
      </c>
      <c r="F3020" s="21">
        <v>32278.0</v>
      </c>
      <c r="G3020" s="14">
        <v>38.0</v>
      </c>
      <c r="H3020" s="23" t="s">
        <v>26</v>
      </c>
      <c r="I3020" s="24" t="s">
        <v>27</v>
      </c>
      <c r="J3020" s="19" t="s">
        <v>146</v>
      </c>
      <c r="K3020" s="14">
        <v>3.0</v>
      </c>
      <c r="L3020" s="7"/>
      <c r="M3020" s="7"/>
      <c r="N3020" s="7"/>
      <c r="O3020" s="7"/>
      <c r="P3020" s="7"/>
      <c r="Q3020" s="7"/>
      <c r="R3020" s="7"/>
      <c r="S3020" s="7"/>
      <c r="T3020" s="7"/>
      <c r="U3020" s="7"/>
      <c r="V3020" s="7"/>
      <c r="W3020" s="7"/>
      <c r="X3020" s="7"/>
      <c r="Y3020" s="7"/>
    </row>
    <row r="3021">
      <c r="A3021" s="14" t="s">
        <v>10845</v>
      </c>
      <c r="B3021" s="17" t="s">
        <v>10842</v>
      </c>
      <c r="C3021" s="17" t="s">
        <v>10847</v>
      </c>
      <c r="D3021" s="19" t="s">
        <v>10848</v>
      </c>
      <c r="E3021" s="20" t="s">
        <v>536</v>
      </c>
      <c r="F3021" s="21">
        <v>38579.0</v>
      </c>
      <c r="G3021" s="14">
        <v>21.0</v>
      </c>
      <c r="H3021" s="23" t="s">
        <v>26</v>
      </c>
      <c r="I3021" s="24" t="s">
        <v>33</v>
      </c>
      <c r="J3021" s="19" t="s">
        <v>4305</v>
      </c>
      <c r="K3021" s="14">
        <v>3.0</v>
      </c>
      <c r="L3021" s="7"/>
      <c r="M3021" s="7"/>
      <c r="N3021" s="7"/>
      <c r="O3021" s="7"/>
      <c r="P3021" s="7"/>
      <c r="Q3021" s="7"/>
      <c r="R3021" s="7"/>
      <c r="S3021" s="7"/>
      <c r="T3021" s="7"/>
      <c r="U3021" s="7"/>
      <c r="V3021" s="7"/>
      <c r="W3021" s="7"/>
      <c r="X3021" s="7"/>
      <c r="Y3021" s="7"/>
    </row>
    <row r="3022">
      <c r="A3022" s="14" t="s">
        <v>10849</v>
      </c>
      <c r="B3022" s="17" t="s">
        <v>10842</v>
      </c>
      <c r="C3022" s="17" t="s">
        <v>10850</v>
      </c>
      <c r="D3022" s="19" t="s">
        <v>10851</v>
      </c>
      <c r="E3022" s="20" t="s">
        <v>104</v>
      </c>
      <c r="F3022" s="21">
        <v>39196.0</v>
      </c>
      <c r="G3022" s="14">
        <v>19.0</v>
      </c>
      <c r="H3022" s="23" t="s">
        <v>100</v>
      </c>
      <c r="I3022" s="24" t="s">
        <v>27</v>
      </c>
      <c r="J3022" s="19" t="s">
        <v>4305</v>
      </c>
      <c r="K3022" s="14">
        <v>2.0</v>
      </c>
      <c r="L3022" s="7"/>
      <c r="M3022" s="7"/>
      <c r="N3022" s="7"/>
      <c r="O3022" s="7"/>
      <c r="P3022" s="7"/>
      <c r="Q3022" s="7"/>
      <c r="R3022" s="7"/>
      <c r="S3022" s="7"/>
      <c r="T3022" s="7"/>
      <c r="U3022" s="7"/>
      <c r="V3022" s="7"/>
      <c r="W3022" s="7"/>
      <c r="X3022" s="7"/>
      <c r="Y3022" s="7"/>
    </row>
    <row r="3023">
      <c r="A3023" s="14" t="s">
        <v>10852</v>
      </c>
      <c r="B3023" s="17" t="s">
        <v>10842</v>
      </c>
      <c r="C3023" s="17" t="s">
        <v>10853</v>
      </c>
      <c r="D3023" s="19" t="s">
        <v>10854</v>
      </c>
      <c r="E3023" s="20" t="s">
        <v>536</v>
      </c>
      <c r="F3023" s="21">
        <v>30084.0</v>
      </c>
      <c r="G3023" s="14">
        <v>44.0</v>
      </c>
      <c r="H3023" s="23" t="s">
        <v>26</v>
      </c>
      <c r="I3023" s="24" t="s">
        <v>33</v>
      </c>
      <c r="J3023" s="19" t="s">
        <v>146</v>
      </c>
      <c r="K3023" s="14">
        <v>3.0</v>
      </c>
      <c r="L3023" s="7"/>
      <c r="M3023" s="7"/>
      <c r="N3023" s="7"/>
      <c r="O3023" s="7"/>
      <c r="P3023" s="7"/>
      <c r="Q3023" s="7"/>
      <c r="R3023" s="7"/>
      <c r="S3023" s="7"/>
      <c r="T3023" s="7"/>
      <c r="U3023" s="7"/>
      <c r="V3023" s="7"/>
      <c r="W3023" s="7"/>
      <c r="X3023" s="7"/>
      <c r="Y3023" s="7"/>
    </row>
    <row r="3024">
      <c r="A3024" s="14" t="s">
        <v>10855</v>
      </c>
      <c r="B3024" s="17" t="s">
        <v>10856</v>
      </c>
      <c r="C3024" s="17" t="s">
        <v>10857</v>
      </c>
      <c r="D3024" s="19" t="s">
        <v>10858</v>
      </c>
      <c r="E3024" s="20" t="s">
        <v>104</v>
      </c>
      <c r="F3024" s="21">
        <v>36764.0</v>
      </c>
      <c r="G3024" s="14">
        <v>26.0</v>
      </c>
      <c r="H3024" s="23" t="s">
        <v>100</v>
      </c>
      <c r="I3024" s="24" t="s">
        <v>27</v>
      </c>
      <c r="J3024" s="19" t="s">
        <v>53</v>
      </c>
      <c r="K3024" s="14">
        <v>29.0</v>
      </c>
      <c r="L3024" s="7"/>
      <c r="M3024" s="7"/>
      <c r="N3024" s="7"/>
      <c r="O3024" s="7"/>
      <c r="P3024" s="7"/>
      <c r="Q3024" s="7"/>
      <c r="R3024" s="7"/>
      <c r="S3024" s="7"/>
      <c r="T3024" s="7"/>
      <c r="U3024" s="7"/>
      <c r="V3024" s="7"/>
      <c r="W3024" s="7"/>
      <c r="X3024" s="7"/>
      <c r="Y3024" s="7"/>
    </row>
    <row r="3025">
      <c r="A3025" s="14" t="s">
        <v>10859</v>
      </c>
      <c r="B3025" s="17" t="s">
        <v>10856</v>
      </c>
      <c r="C3025" s="17" t="s">
        <v>10860</v>
      </c>
      <c r="D3025" s="19" t="s">
        <v>10861</v>
      </c>
      <c r="E3025" s="20" t="s">
        <v>104</v>
      </c>
      <c r="F3025" s="21">
        <v>37436.0</v>
      </c>
      <c r="G3025" s="14">
        <v>24.0</v>
      </c>
      <c r="H3025" s="23" t="s">
        <v>100</v>
      </c>
      <c r="I3025" s="24" t="s">
        <v>33</v>
      </c>
      <c r="J3025" s="19" t="s">
        <v>53</v>
      </c>
      <c r="K3025" s="14">
        <v>29.0</v>
      </c>
      <c r="L3025" s="7"/>
      <c r="M3025" s="7"/>
      <c r="N3025" s="7"/>
      <c r="O3025" s="7"/>
      <c r="P3025" s="7"/>
      <c r="Q3025" s="7"/>
      <c r="R3025" s="7"/>
      <c r="S3025" s="7"/>
      <c r="T3025" s="7"/>
      <c r="U3025" s="7"/>
      <c r="V3025" s="7"/>
      <c r="W3025" s="7"/>
      <c r="X3025" s="7"/>
      <c r="Y3025" s="7"/>
    </row>
    <row r="3026">
      <c r="A3026" s="14" t="s">
        <v>10862</v>
      </c>
      <c r="B3026" s="17" t="s">
        <v>10856</v>
      </c>
      <c r="C3026" s="17" t="s">
        <v>10863</v>
      </c>
      <c r="D3026" s="19" t="s">
        <v>10864</v>
      </c>
      <c r="E3026" s="20" t="s">
        <v>802</v>
      </c>
      <c r="F3026" s="21">
        <v>22313.0</v>
      </c>
      <c r="G3026" s="14">
        <v>65.0</v>
      </c>
      <c r="H3026" s="23" t="s">
        <v>26</v>
      </c>
      <c r="I3026" s="24" t="s">
        <v>33</v>
      </c>
      <c r="J3026" s="19" t="s">
        <v>68</v>
      </c>
      <c r="K3026" s="14">
        <v>29.0</v>
      </c>
      <c r="L3026" s="7"/>
      <c r="M3026" s="7"/>
      <c r="N3026" s="7"/>
      <c r="O3026" s="7"/>
      <c r="P3026" s="7"/>
      <c r="Q3026" s="7"/>
      <c r="R3026" s="7"/>
      <c r="S3026" s="7"/>
      <c r="T3026" s="7"/>
      <c r="U3026" s="7"/>
      <c r="V3026" s="7"/>
      <c r="W3026" s="7"/>
      <c r="X3026" s="7"/>
      <c r="Y3026" s="7"/>
    </row>
    <row r="3027">
      <c r="A3027" s="14" t="s">
        <v>10865</v>
      </c>
      <c r="B3027" s="17" t="s">
        <v>10866</v>
      </c>
      <c r="C3027" s="17" t="s">
        <v>10867</v>
      </c>
      <c r="D3027" s="19" t="s">
        <v>10868</v>
      </c>
      <c r="E3027" s="20" t="s">
        <v>104</v>
      </c>
      <c r="F3027" s="21">
        <v>30565.0</v>
      </c>
      <c r="G3027" s="14">
        <v>42.0</v>
      </c>
      <c r="H3027" s="23" t="s">
        <v>26</v>
      </c>
      <c r="I3027" s="24" t="s">
        <v>27</v>
      </c>
      <c r="J3027" s="19" t="s">
        <v>53</v>
      </c>
      <c r="K3027" s="14">
        <v>29.0</v>
      </c>
      <c r="L3027" s="7"/>
      <c r="M3027" s="7"/>
      <c r="N3027" s="7"/>
      <c r="O3027" s="7"/>
      <c r="P3027" s="7"/>
      <c r="Q3027" s="7"/>
      <c r="R3027" s="7"/>
      <c r="S3027" s="7"/>
      <c r="T3027" s="7"/>
      <c r="U3027" s="7"/>
      <c r="V3027" s="7"/>
      <c r="W3027" s="7"/>
      <c r="X3027" s="7"/>
      <c r="Y3027" s="7"/>
    </row>
    <row r="3028">
      <c r="A3028" s="14" t="s">
        <v>10869</v>
      </c>
      <c r="B3028" s="17" t="s">
        <v>10866</v>
      </c>
      <c r="C3028" s="17" t="s">
        <v>10870</v>
      </c>
      <c r="D3028" s="19" t="s">
        <v>10871</v>
      </c>
      <c r="E3028" s="20" t="s">
        <v>104</v>
      </c>
      <c r="F3028" s="21">
        <v>38152.0</v>
      </c>
      <c r="G3028" s="14">
        <v>22.0</v>
      </c>
      <c r="H3028" s="23" t="s">
        <v>100</v>
      </c>
      <c r="I3028" s="24" t="s">
        <v>33</v>
      </c>
      <c r="J3028" s="19" t="s">
        <v>53</v>
      </c>
      <c r="K3028" s="14">
        <v>29.0</v>
      </c>
      <c r="L3028" s="7"/>
      <c r="M3028" s="7"/>
      <c r="N3028" s="7"/>
      <c r="O3028" s="7"/>
      <c r="P3028" s="7"/>
      <c r="Q3028" s="7"/>
      <c r="R3028" s="7"/>
      <c r="S3028" s="7"/>
      <c r="T3028" s="7"/>
      <c r="U3028" s="7"/>
      <c r="V3028" s="7"/>
      <c r="W3028" s="7"/>
      <c r="X3028" s="7"/>
      <c r="Y3028" s="7"/>
    </row>
    <row r="3029">
      <c r="A3029" s="14" t="s">
        <v>10872</v>
      </c>
      <c r="B3029" s="17" t="s">
        <v>10866</v>
      </c>
      <c r="C3029" s="17" t="s">
        <v>10873</v>
      </c>
      <c r="D3029" s="19" t="s">
        <v>10874</v>
      </c>
      <c r="E3029" s="20" t="s">
        <v>1049</v>
      </c>
      <c r="F3029" s="21">
        <v>26299.0</v>
      </c>
      <c r="G3029" s="14">
        <v>54.0</v>
      </c>
      <c r="H3029" s="23" t="s">
        <v>26</v>
      </c>
      <c r="I3029" s="24" t="s">
        <v>33</v>
      </c>
      <c r="J3029" s="19" t="s">
        <v>53</v>
      </c>
      <c r="K3029" s="14">
        <v>29.0</v>
      </c>
      <c r="L3029" s="7"/>
      <c r="M3029" s="7"/>
      <c r="N3029" s="7"/>
      <c r="O3029" s="7"/>
      <c r="P3029" s="7"/>
      <c r="Q3029" s="7"/>
      <c r="R3029" s="7"/>
      <c r="S3029" s="7"/>
      <c r="T3029" s="7"/>
      <c r="U3029" s="7"/>
      <c r="V3029" s="7"/>
      <c r="W3029" s="7"/>
      <c r="X3029" s="7"/>
      <c r="Y3029" s="7"/>
    </row>
    <row r="3030">
      <c r="A3030" s="14" t="s">
        <v>10875</v>
      </c>
      <c r="B3030" s="17" t="s">
        <v>10876</v>
      </c>
      <c r="C3030" s="17" t="s">
        <v>10877</v>
      </c>
      <c r="D3030" s="19" t="s">
        <v>10878</v>
      </c>
      <c r="E3030" s="20" t="s">
        <v>654</v>
      </c>
      <c r="F3030" s="21">
        <v>22145.0</v>
      </c>
      <c r="G3030" s="14">
        <v>66.0</v>
      </c>
      <c r="H3030" s="23" t="s">
        <v>26</v>
      </c>
      <c r="I3030" s="24" t="s">
        <v>27</v>
      </c>
      <c r="J3030" s="19" t="s">
        <v>206</v>
      </c>
      <c r="K3030" s="14">
        <v>2.0</v>
      </c>
      <c r="L3030" s="7"/>
      <c r="M3030" s="7"/>
      <c r="N3030" s="7"/>
      <c r="O3030" s="7"/>
      <c r="P3030" s="7"/>
      <c r="Q3030" s="7"/>
      <c r="R3030" s="7"/>
      <c r="S3030" s="7"/>
      <c r="T3030" s="7"/>
      <c r="U3030" s="7"/>
      <c r="V3030" s="7"/>
      <c r="W3030" s="7"/>
      <c r="X3030" s="7"/>
      <c r="Y3030" s="7"/>
    </row>
    <row r="3031">
      <c r="A3031" s="14" t="s">
        <v>10879</v>
      </c>
      <c r="B3031" s="17" t="s">
        <v>10880</v>
      </c>
      <c r="C3031" s="17" t="s">
        <v>10881</v>
      </c>
      <c r="D3031" s="19" t="s">
        <v>7967</v>
      </c>
      <c r="E3031" s="20" t="s">
        <v>1786</v>
      </c>
      <c r="F3031" s="21">
        <v>22653.0</v>
      </c>
      <c r="G3031" s="14">
        <v>64.0</v>
      </c>
      <c r="H3031" s="23" t="s">
        <v>26</v>
      </c>
      <c r="I3031" s="24" t="s">
        <v>33</v>
      </c>
      <c r="J3031" s="19" t="s">
        <v>68</v>
      </c>
      <c r="K3031" s="14">
        <v>33.0</v>
      </c>
      <c r="L3031" s="7"/>
      <c r="M3031" s="7"/>
      <c r="N3031" s="7"/>
      <c r="O3031" s="7"/>
      <c r="P3031" s="7"/>
      <c r="Q3031" s="7"/>
      <c r="R3031" s="7"/>
      <c r="S3031" s="7"/>
      <c r="T3031" s="7"/>
      <c r="U3031" s="7"/>
      <c r="V3031" s="7"/>
      <c r="W3031" s="7"/>
      <c r="X3031" s="7"/>
      <c r="Y3031" s="7"/>
    </row>
    <row r="3032">
      <c r="A3032" s="14" t="s">
        <v>10882</v>
      </c>
      <c r="B3032" s="17" t="s">
        <v>10880</v>
      </c>
      <c r="C3032" s="17" t="s">
        <v>10883</v>
      </c>
      <c r="D3032" s="19" t="s">
        <v>10884</v>
      </c>
      <c r="E3032" s="20" t="s">
        <v>654</v>
      </c>
      <c r="F3032" s="21">
        <v>25516.0</v>
      </c>
      <c r="G3032" s="14">
        <v>56.0</v>
      </c>
      <c r="H3032" s="23" t="s">
        <v>26</v>
      </c>
      <c r="I3032" s="24" t="s">
        <v>27</v>
      </c>
      <c r="J3032" s="19" t="s">
        <v>68</v>
      </c>
      <c r="K3032" s="14">
        <v>33.0</v>
      </c>
      <c r="L3032" s="7"/>
      <c r="M3032" s="7"/>
      <c r="N3032" s="7"/>
      <c r="O3032" s="7"/>
      <c r="P3032" s="7"/>
      <c r="Q3032" s="7"/>
      <c r="R3032" s="7"/>
      <c r="S3032" s="7"/>
      <c r="T3032" s="7"/>
      <c r="U3032" s="7"/>
      <c r="V3032" s="7"/>
      <c r="W3032" s="7"/>
      <c r="X3032" s="7"/>
      <c r="Y3032" s="7"/>
    </row>
    <row r="3033">
      <c r="A3033" s="14" t="s">
        <v>10885</v>
      </c>
      <c r="B3033" s="17" t="s">
        <v>10886</v>
      </c>
      <c r="C3033" s="17" t="s">
        <v>10887</v>
      </c>
      <c r="D3033" s="19" t="s">
        <v>4673</v>
      </c>
      <c r="E3033" s="20" t="s">
        <v>1816</v>
      </c>
      <c r="F3033" s="21">
        <v>22112.0</v>
      </c>
      <c r="G3033" s="14">
        <v>66.0</v>
      </c>
      <c r="H3033" s="23" t="s">
        <v>27</v>
      </c>
      <c r="I3033" s="24" t="s">
        <v>33</v>
      </c>
      <c r="J3033" s="19" t="s">
        <v>362</v>
      </c>
      <c r="K3033" s="14">
        <v>25.0</v>
      </c>
      <c r="L3033" s="7"/>
      <c r="M3033" s="7"/>
      <c r="N3033" s="7"/>
      <c r="O3033" s="7"/>
      <c r="P3033" s="7"/>
      <c r="Q3033" s="7"/>
      <c r="R3033" s="7"/>
      <c r="S3033" s="7"/>
      <c r="T3033" s="7"/>
      <c r="U3033" s="7"/>
      <c r="V3033" s="7"/>
      <c r="W3033" s="7"/>
      <c r="X3033" s="7"/>
      <c r="Y3033" s="7"/>
    </row>
    <row r="3034">
      <c r="A3034" s="14" t="s">
        <v>10888</v>
      </c>
      <c r="B3034" s="17" t="s">
        <v>10889</v>
      </c>
      <c r="C3034" s="17" t="s">
        <v>10890</v>
      </c>
      <c r="D3034" s="19" t="s">
        <v>10891</v>
      </c>
      <c r="E3034" s="20" t="s">
        <v>53</v>
      </c>
      <c r="F3034" s="21">
        <v>35920.0</v>
      </c>
      <c r="G3034" s="14">
        <v>28.0</v>
      </c>
      <c r="H3034" s="23" t="s">
        <v>26</v>
      </c>
      <c r="I3034" s="24" t="s">
        <v>27</v>
      </c>
      <c r="J3034" s="19" t="s">
        <v>68</v>
      </c>
      <c r="K3034" s="14">
        <v>32.0</v>
      </c>
      <c r="L3034" s="7"/>
      <c r="M3034" s="7"/>
      <c r="N3034" s="7"/>
      <c r="O3034" s="7"/>
      <c r="P3034" s="7"/>
      <c r="Q3034" s="7"/>
      <c r="R3034" s="7"/>
      <c r="S3034" s="7"/>
      <c r="T3034" s="7"/>
      <c r="U3034" s="7"/>
      <c r="V3034" s="7"/>
      <c r="W3034" s="7"/>
      <c r="X3034" s="7"/>
      <c r="Y3034" s="7"/>
    </row>
    <row r="3035">
      <c r="A3035" s="14" t="s">
        <v>10892</v>
      </c>
      <c r="B3035" s="17" t="s">
        <v>10889</v>
      </c>
      <c r="C3035" s="17" t="s">
        <v>10893</v>
      </c>
      <c r="D3035" s="19" t="s">
        <v>10894</v>
      </c>
      <c r="E3035" s="20" t="s">
        <v>337</v>
      </c>
      <c r="F3035" s="27">
        <v>28440.0</v>
      </c>
      <c r="G3035" s="14">
        <v>48.0</v>
      </c>
      <c r="H3035" s="23" t="s">
        <v>26</v>
      </c>
      <c r="I3035" s="24" t="s">
        <v>33</v>
      </c>
      <c r="J3035" s="19" t="s">
        <v>68</v>
      </c>
      <c r="K3035" s="14">
        <v>32.0</v>
      </c>
      <c r="L3035" s="7"/>
      <c r="M3035" s="7"/>
      <c r="N3035" s="7"/>
      <c r="O3035" s="7"/>
      <c r="P3035" s="7"/>
      <c r="Q3035" s="7"/>
      <c r="R3035" s="7"/>
      <c r="S3035" s="7"/>
      <c r="T3035" s="7"/>
      <c r="U3035" s="7"/>
      <c r="V3035" s="7"/>
      <c r="W3035" s="7"/>
      <c r="X3035" s="7"/>
      <c r="Y3035" s="7"/>
    </row>
    <row r="3036">
      <c r="A3036" s="14" t="s">
        <v>10895</v>
      </c>
      <c r="B3036" s="17" t="s">
        <v>10889</v>
      </c>
      <c r="C3036" s="17" t="s">
        <v>10896</v>
      </c>
      <c r="D3036" s="19" t="s">
        <v>10897</v>
      </c>
      <c r="E3036" s="20" t="s">
        <v>10898</v>
      </c>
      <c r="F3036" s="27">
        <v>29586.0</v>
      </c>
      <c r="G3036" s="14">
        <v>45.0</v>
      </c>
      <c r="H3036" s="23" t="s">
        <v>26</v>
      </c>
      <c r="I3036" s="24" t="s">
        <v>27</v>
      </c>
      <c r="J3036" s="19" t="s">
        <v>68</v>
      </c>
      <c r="K3036" s="14">
        <v>32.0</v>
      </c>
      <c r="L3036" s="7"/>
      <c r="M3036" s="7"/>
      <c r="N3036" s="7"/>
      <c r="O3036" s="7"/>
      <c r="P3036" s="7"/>
      <c r="Q3036" s="7"/>
      <c r="R3036" s="7"/>
      <c r="S3036" s="7"/>
      <c r="T3036" s="7"/>
      <c r="U3036" s="7"/>
      <c r="V3036" s="7"/>
      <c r="W3036" s="7"/>
      <c r="X3036" s="7"/>
      <c r="Y3036" s="7"/>
    </row>
    <row r="3037">
      <c r="A3037" s="14" t="s">
        <v>10899</v>
      </c>
      <c r="B3037" s="17" t="s">
        <v>10900</v>
      </c>
      <c r="C3037" s="17" t="s">
        <v>10901</v>
      </c>
      <c r="D3037" s="19" t="s">
        <v>10902</v>
      </c>
      <c r="E3037" s="20" t="s">
        <v>104</v>
      </c>
      <c r="F3037" s="27">
        <v>35046.0</v>
      </c>
      <c r="G3037" s="14">
        <v>30.0</v>
      </c>
      <c r="H3037" s="23" t="s">
        <v>100</v>
      </c>
      <c r="I3037" s="24" t="s">
        <v>33</v>
      </c>
      <c r="J3037" s="19" t="s">
        <v>206</v>
      </c>
      <c r="K3037" s="14">
        <v>2.0</v>
      </c>
      <c r="L3037" s="7"/>
      <c r="M3037" s="7"/>
      <c r="N3037" s="7"/>
      <c r="O3037" s="7"/>
      <c r="P3037" s="7"/>
      <c r="Q3037" s="7"/>
      <c r="R3037" s="7"/>
      <c r="S3037" s="7"/>
      <c r="T3037" s="7"/>
      <c r="U3037" s="7"/>
      <c r="V3037" s="7"/>
      <c r="W3037" s="7"/>
      <c r="X3037" s="7"/>
      <c r="Y3037" s="7"/>
    </row>
    <row r="3038">
      <c r="A3038" s="14" t="s">
        <v>10903</v>
      </c>
      <c r="B3038" s="17" t="s">
        <v>10900</v>
      </c>
      <c r="C3038" s="17" t="s">
        <v>10904</v>
      </c>
      <c r="D3038" s="19" t="s">
        <v>10905</v>
      </c>
      <c r="E3038" s="20" t="s">
        <v>654</v>
      </c>
      <c r="F3038" s="21">
        <v>26497.0</v>
      </c>
      <c r="G3038" s="14">
        <v>54.0</v>
      </c>
      <c r="H3038" s="23" t="s">
        <v>26</v>
      </c>
      <c r="I3038" s="24" t="s">
        <v>27</v>
      </c>
      <c r="J3038" s="19" t="s">
        <v>206</v>
      </c>
      <c r="K3038" s="14">
        <v>2.0</v>
      </c>
      <c r="L3038" s="7"/>
      <c r="M3038" s="7"/>
      <c r="N3038" s="7"/>
      <c r="O3038" s="7"/>
      <c r="P3038" s="7"/>
      <c r="Q3038" s="7"/>
      <c r="R3038" s="7"/>
      <c r="S3038" s="7"/>
      <c r="T3038" s="7"/>
      <c r="U3038" s="7"/>
      <c r="V3038" s="7"/>
      <c r="W3038" s="7"/>
      <c r="X3038" s="7"/>
      <c r="Y3038" s="7"/>
    </row>
    <row r="3039">
      <c r="A3039" s="14" t="s">
        <v>10906</v>
      </c>
      <c r="B3039" s="17" t="s">
        <v>10900</v>
      </c>
      <c r="C3039" s="17" t="s">
        <v>10907</v>
      </c>
      <c r="D3039" s="19" t="s">
        <v>10908</v>
      </c>
      <c r="E3039" s="20" t="s">
        <v>654</v>
      </c>
      <c r="F3039" s="21">
        <v>22844.0</v>
      </c>
      <c r="G3039" s="14">
        <v>64.0</v>
      </c>
      <c r="H3039" s="23" t="s">
        <v>26</v>
      </c>
      <c r="I3039" s="24" t="s">
        <v>33</v>
      </c>
      <c r="J3039" s="19" t="s">
        <v>206</v>
      </c>
      <c r="K3039" s="14">
        <v>2.0</v>
      </c>
      <c r="L3039" s="7"/>
      <c r="M3039" s="7"/>
      <c r="N3039" s="7"/>
      <c r="O3039" s="7"/>
      <c r="P3039" s="7"/>
      <c r="Q3039" s="7"/>
      <c r="R3039" s="7"/>
      <c r="S3039" s="7"/>
      <c r="T3039" s="7"/>
      <c r="U3039" s="7"/>
      <c r="V3039" s="7"/>
      <c r="W3039" s="7"/>
      <c r="X3039" s="7"/>
      <c r="Y3039" s="7"/>
    </row>
    <row r="3040">
      <c r="A3040" s="14" t="s">
        <v>10909</v>
      </c>
      <c r="B3040" s="17" t="s">
        <v>10910</v>
      </c>
      <c r="C3040" s="17" t="s">
        <v>10911</v>
      </c>
      <c r="D3040" s="19" t="s">
        <v>10912</v>
      </c>
      <c r="E3040" s="20" t="s">
        <v>104</v>
      </c>
      <c r="F3040" s="21">
        <v>35797.0</v>
      </c>
      <c r="G3040" s="14">
        <v>28.0</v>
      </c>
      <c r="H3040" s="23" t="s">
        <v>100</v>
      </c>
      <c r="I3040" s="24" t="s">
        <v>33</v>
      </c>
      <c r="J3040" s="19" t="s">
        <v>446</v>
      </c>
      <c r="K3040" s="14">
        <v>33.0</v>
      </c>
      <c r="L3040" s="7"/>
      <c r="M3040" s="7"/>
      <c r="N3040" s="7"/>
      <c r="O3040" s="7"/>
      <c r="P3040" s="7"/>
      <c r="Q3040" s="7"/>
      <c r="R3040" s="7"/>
      <c r="S3040" s="7"/>
      <c r="T3040" s="7"/>
      <c r="U3040" s="7"/>
      <c r="V3040" s="7"/>
      <c r="W3040" s="7"/>
      <c r="X3040" s="7"/>
      <c r="Y3040" s="7"/>
    </row>
    <row r="3041">
      <c r="A3041" s="14" t="s">
        <v>10913</v>
      </c>
      <c r="B3041" s="17" t="s">
        <v>10910</v>
      </c>
      <c r="C3041" s="17" t="s">
        <v>10914</v>
      </c>
      <c r="D3041" s="19" t="s">
        <v>712</v>
      </c>
      <c r="E3041" s="20" t="s">
        <v>2980</v>
      </c>
      <c r="F3041" s="21">
        <v>25070.0</v>
      </c>
      <c r="G3041" s="14">
        <v>58.0</v>
      </c>
      <c r="H3041" s="23" t="s">
        <v>26</v>
      </c>
      <c r="I3041" s="24" t="s">
        <v>33</v>
      </c>
      <c r="J3041" s="19" t="s">
        <v>446</v>
      </c>
      <c r="K3041" s="14">
        <v>33.0</v>
      </c>
      <c r="L3041" s="7"/>
      <c r="M3041" s="7"/>
      <c r="N3041" s="7"/>
      <c r="O3041" s="7"/>
      <c r="P3041" s="7"/>
      <c r="Q3041" s="7"/>
      <c r="R3041" s="7"/>
      <c r="S3041" s="7"/>
      <c r="T3041" s="7"/>
      <c r="U3041" s="7"/>
      <c r="V3041" s="7"/>
      <c r="W3041" s="7"/>
      <c r="X3041" s="7"/>
      <c r="Y3041" s="7"/>
    </row>
    <row r="3042">
      <c r="A3042" s="14" t="s">
        <v>10916</v>
      </c>
      <c r="B3042" s="17" t="s">
        <v>10910</v>
      </c>
      <c r="C3042" s="17" t="s">
        <v>10917</v>
      </c>
      <c r="D3042" s="19" t="s">
        <v>10918</v>
      </c>
      <c r="E3042" s="20" t="s">
        <v>53</v>
      </c>
      <c r="F3042" s="21">
        <v>38360.0</v>
      </c>
      <c r="G3042" s="14">
        <v>21.0</v>
      </c>
      <c r="H3042" s="23" t="s">
        <v>100</v>
      </c>
      <c r="I3042" s="24" t="s">
        <v>33</v>
      </c>
      <c r="J3042" s="19" t="s">
        <v>446</v>
      </c>
      <c r="K3042" s="14">
        <v>33.0</v>
      </c>
      <c r="L3042" s="7"/>
      <c r="M3042" s="7"/>
      <c r="N3042" s="7"/>
      <c r="O3042" s="7"/>
      <c r="P3042" s="7"/>
      <c r="Q3042" s="7"/>
      <c r="R3042" s="7"/>
      <c r="S3042" s="7"/>
      <c r="T3042" s="7"/>
      <c r="U3042" s="7"/>
      <c r="V3042" s="7"/>
      <c r="W3042" s="7"/>
      <c r="X3042" s="7"/>
      <c r="Y3042" s="7"/>
    </row>
    <row r="3043">
      <c r="A3043" s="14" t="s">
        <v>10919</v>
      </c>
      <c r="B3043" s="17" t="s">
        <v>10910</v>
      </c>
      <c r="C3043" s="17" t="s">
        <v>10920</v>
      </c>
      <c r="D3043" s="19" t="s">
        <v>10921</v>
      </c>
      <c r="E3043" s="20" t="s">
        <v>67</v>
      </c>
      <c r="F3043" s="21">
        <v>25101.0</v>
      </c>
      <c r="G3043" s="14">
        <v>57.0</v>
      </c>
      <c r="H3043" s="23" t="s">
        <v>26</v>
      </c>
      <c r="I3043" s="24" t="s">
        <v>27</v>
      </c>
      <c r="J3043" s="19" t="s">
        <v>446</v>
      </c>
      <c r="K3043" s="14">
        <v>33.0</v>
      </c>
      <c r="L3043" s="7"/>
      <c r="M3043" s="7"/>
      <c r="N3043" s="7"/>
      <c r="O3043" s="7"/>
      <c r="P3043" s="7"/>
      <c r="Q3043" s="7"/>
      <c r="R3043" s="7"/>
      <c r="S3043" s="7"/>
      <c r="T3043" s="7"/>
      <c r="U3043" s="7"/>
      <c r="V3043" s="7"/>
      <c r="W3043" s="7"/>
      <c r="X3043" s="7"/>
      <c r="Y3043" s="7"/>
    </row>
    <row r="3044">
      <c r="A3044" s="14" t="s">
        <v>10922</v>
      </c>
      <c r="B3044" s="17" t="s">
        <v>10923</v>
      </c>
      <c r="C3044" s="17" t="s">
        <v>10924</v>
      </c>
      <c r="D3044" s="19" t="s">
        <v>10925</v>
      </c>
      <c r="E3044" s="20" t="s">
        <v>219</v>
      </c>
      <c r="F3044" s="21">
        <v>23291.0</v>
      </c>
      <c r="G3044" s="14">
        <v>62.0</v>
      </c>
      <c r="H3044" s="23" t="s">
        <v>26</v>
      </c>
      <c r="I3044" s="24" t="s">
        <v>33</v>
      </c>
      <c r="J3044" s="19" t="s">
        <v>53</v>
      </c>
      <c r="K3044" s="14">
        <v>2.0</v>
      </c>
      <c r="L3044" s="7"/>
      <c r="M3044" s="7"/>
      <c r="N3044" s="7"/>
      <c r="O3044" s="7"/>
      <c r="P3044" s="7"/>
      <c r="Q3044" s="7"/>
      <c r="R3044" s="7"/>
      <c r="S3044" s="7"/>
      <c r="T3044" s="7"/>
      <c r="U3044" s="7"/>
      <c r="V3044" s="7"/>
      <c r="W3044" s="7"/>
      <c r="X3044" s="7"/>
      <c r="Y3044" s="7"/>
    </row>
    <row r="3045">
      <c r="A3045" s="14" t="s">
        <v>10926</v>
      </c>
      <c r="B3045" s="17" t="s">
        <v>10927</v>
      </c>
      <c r="C3045" s="17" t="s">
        <v>10928</v>
      </c>
      <c r="D3045" s="19" t="s">
        <v>10929</v>
      </c>
      <c r="E3045" s="20" t="s">
        <v>337</v>
      </c>
      <c r="F3045" s="21">
        <v>37645.0</v>
      </c>
      <c r="G3045" s="14">
        <v>23.0</v>
      </c>
      <c r="H3045" s="23" t="s">
        <v>100</v>
      </c>
      <c r="I3045" s="24" t="s">
        <v>27</v>
      </c>
      <c r="J3045" s="19" t="s">
        <v>53</v>
      </c>
      <c r="K3045" s="14">
        <v>16.0</v>
      </c>
      <c r="L3045" s="7"/>
      <c r="M3045" s="7"/>
      <c r="N3045" s="7"/>
      <c r="O3045" s="7"/>
      <c r="P3045" s="7"/>
      <c r="Q3045" s="7"/>
      <c r="R3045" s="7"/>
      <c r="S3045" s="7"/>
      <c r="T3045" s="7"/>
      <c r="U3045" s="7"/>
      <c r="V3045" s="7"/>
      <c r="W3045" s="7"/>
      <c r="X3045" s="7"/>
      <c r="Y3045" s="7"/>
    </row>
    <row r="3046">
      <c r="A3046" s="14" t="s">
        <v>10930</v>
      </c>
      <c r="B3046" s="17" t="s">
        <v>10927</v>
      </c>
      <c r="C3046" s="17" t="s">
        <v>10931</v>
      </c>
      <c r="D3046" s="19" t="s">
        <v>10932</v>
      </c>
      <c r="E3046" s="20" t="s">
        <v>632</v>
      </c>
      <c r="F3046" s="21">
        <v>23446.0</v>
      </c>
      <c r="G3046" s="14">
        <v>62.0</v>
      </c>
      <c r="H3046" s="23" t="s">
        <v>26</v>
      </c>
      <c r="I3046" s="24" t="s">
        <v>33</v>
      </c>
      <c r="J3046" s="19" t="s">
        <v>53</v>
      </c>
      <c r="K3046" s="14">
        <v>16.0</v>
      </c>
      <c r="L3046" s="7"/>
      <c r="M3046" s="7"/>
      <c r="N3046" s="7"/>
      <c r="O3046" s="7"/>
      <c r="P3046" s="7"/>
      <c r="Q3046" s="7"/>
      <c r="R3046" s="7"/>
      <c r="S3046" s="7"/>
      <c r="T3046" s="7"/>
      <c r="U3046" s="7"/>
      <c r="V3046" s="7"/>
      <c r="W3046" s="7"/>
      <c r="X3046" s="7"/>
      <c r="Y3046" s="7"/>
    </row>
    <row r="3047">
      <c r="A3047" s="14" t="s">
        <v>10933</v>
      </c>
      <c r="B3047" s="17" t="s">
        <v>10927</v>
      </c>
      <c r="C3047" s="17" t="s">
        <v>10934</v>
      </c>
      <c r="D3047" s="19" t="s">
        <v>10935</v>
      </c>
      <c r="E3047" s="20" t="s">
        <v>632</v>
      </c>
      <c r="F3047" s="21">
        <v>25740.0</v>
      </c>
      <c r="G3047" s="14">
        <v>56.0</v>
      </c>
      <c r="H3047" s="23" t="s">
        <v>26</v>
      </c>
      <c r="I3047" s="24" t="s">
        <v>27</v>
      </c>
      <c r="J3047" s="19" t="s">
        <v>53</v>
      </c>
      <c r="K3047" s="14">
        <v>16.0</v>
      </c>
      <c r="L3047" s="7"/>
      <c r="M3047" s="7"/>
      <c r="N3047" s="7"/>
      <c r="O3047" s="7"/>
      <c r="P3047" s="7"/>
      <c r="Q3047" s="7"/>
      <c r="R3047" s="7"/>
      <c r="S3047" s="7"/>
      <c r="T3047" s="7"/>
      <c r="U3047" s="7"/>
      <c r="V3047" s="7"/>
      <c r="W3047" s="7"/>
      <c r="X3047" s="7"/>
      <c r="Y3047" s="7"/>
    </row>
    <row r="3048">
      <c r="A3048" s="14" t="s">
        <v>10936</v>
      </c>
      <c r="B3048" s="17" t="s">
        <v>10937</v>
      </c>
      <c r="C3048" s="17" t="s">
        <v>10938</v>
      </c>
      <c r="D3048" s="19" t="s">
        <v>10939</v>
      </c>
      <c r="E3048" s="20" t="s">
        <v>1816</v>
      </c>
      <c r="F3048" s="21">
        <v>26090.0</v>
      </c>
      <c r="G3048" s="14">
        <v>55.0</v>
      </c>
      <c r="H3048" s="23" t="s">
        <v>26</v>
      </c>
      <c r="I3048" s="24" t="s">
        <v>33</v>
      </c>
      <c r="J3048" s="19" t="s">
        <v>53</v>
      </c>
      <c r="K3048" s="14">
        <v>16.0</v>
      </c>
      <c r="L3048" s="7"/>
      <c r="M3048" s="7"/>
      <c r="N3048" s="7"/>
      <c r="O3048" s="7"/>
      <c r="P3048" s="7"/>
      <c r="Q3048" s="7"/>
      <c r="R3048" s="7"/>
      <c r="S3048" s="7"/>
      <c r="T3048" s="7"/>
      <c r="U3048" s="7"/>
      <c r="V3048" s="7"/>
      <c r="W3048" s="7"/>
      <c r="X3048" s="7"/>
      <c r="Y3048" s="7"/>
    </row>
    <row r="3049">
      <c r="A3049" s="14" t="s">
        <v>10940</v>
      </c>
      <c r="B3049" s="17" t="s">
        <v>10937</v>
      </c>
      <c r="C3049" s="17" t="s">
        <v>10941</v>
      </c>
      <c r="D3049" s="19" t="s">
        <v>10942</v>
      </c>
      <c r="E3049" s="20" t="s">
        <v>104</v>
      </c>
      <c r="F3049" s="27">
        <v>39050.0</v>
      </c>
      <c r="G3049" s="14">
        <v>19.0</v>
      </c>
      <c r="H3049" s="23" t="s">
        <v>100</v>
      </c>
      <c r="I3049" s="24" t="s">
        <v>33</v>
      </c>
      <c r="J3049" s="19" t="s">
        <v>53</v>
      </c>
      <c r="K3049" s="14">
        <v>16.0</v>
      </c>
      <c r="L3049" s="7"/>
      <c r="M3049" s="7"/>
      <c r="N3049" s="7"/>
      <c r="O3049" s="7"/>
      <c r="P3049" s="7"/>
      <c r="Q3049" s="7"/>
      <c r="R3049" s="7"/>
      <c r="S3049" s="7"/>
      <c r="T3049" s="7"/>
      <c r="U3049" s="7"/>
      <c r="V3049" s="7"/>
      <c r="W3049" s="7"/>
      <c r="X3049" s="7"/>
      <c r="Y3049" s="7"/>
    </row>
    <row r="3050">
      <c r="A3050" s="14" t="s">
        <v>10943</v>
      </c>
      <c r="B3050" s="17" t="s">
        <v>10937</v>
      </c>
      <c r="C3050" s="17" t="s">
        <v>10944</v>
      </c>
      <c r="D3050" s="19" t="s">
        <v>386</v>
      </c>
      <c r="E3050" s="20" t="s">
        <v>1816</v>
      </c>
      <c r="F3050" s="21">
        <v>27890.0</v>
      </c>
      <c r="G3050" s="14">
        <v>50.0</v>
      </c>
      <c r="H3050" s="23" t="s">
        <v>26</v>
      </c>
      <c r="I3050" s="24" t="s">
        <v>27</v>
      </c>
      <c r="J3050" s="19" t="s">
        <v>726</v>
      </c>
      <c r="K3050" s="14">
        <v>17.0</v>
      </c>
      <c r="L3050" s="7"/>
      <c r="M3050" s="7"/>
      <c r="N3050" s="7"/>
      <c r="O3050" s="7"/>
      <c r="P3050" s="7"/>
      <c r="Q3050" s="7"/>
      <c r="R3050" s="7"/>
      <c r="S3050" s="7"/>
      <c r="T3050" s="7"/>
      <c r="U3050" s="7"/>
      <c r="V3050" s="7"/>
      <c r="W3050" s="7"/>
      <c r="X3050" s="7"/>
      <c r="Y3050" s="7"/>
    </row>
    <row r="3051">
      <c r="A3051" s="14" t="s">
        <v>10946</v>
      </c>
      <c r="B3051" s="17" t="s">
        <v>10947</v>
      </c>
      <c r="C3051" s="17" t="s">
        <v>10948</v>
      </c>
      <c r="D3051" s="19" t="s">
        <v>10949</v>
      </c>
      <c r="E3051" s="20" t="s">
        <v>502</v>
      </c>
      <c r="F3051" s="21">
        <v>36346.0</v>
      </c>
      <c r="G3051" s="14">
        <v>27.0</v>
      </c>
      <c r="H3051" s="23" t="s">
        <v>26</v>
      </c>
      <c r="I3051" s="24" t="s">
        <v>33</v>
      </c>
      <c r="J3051" s="19" t="s">
        <v>156</v>
      </c>
      <c r="K3051" s="14">
        <v>32.0</v>
      </c>
      <c r="L3051" s="7"/>
      <c r="M3051" s="7"/>
      <c r="N3051" s="7"/>
      <c r="O3051" s="7"/>
      <c r="P3051" s="7"/>
      <c r="Q3051" s="7"/>
      <c r="R3051" s="7"/>
      <c r="S3051" s="7"/>
      <c r="T3051" s="7"/>
      <c r="U3051" s="7"/>
      <c r="V3051" s="7"/>
      <c r="W3051" s="7"/>
      <c r="X3051" s="7"/>
      <c r="Y3051" s="7"/>
    </row>
    <row r="3052">
      <c r="A3052" s="14" t="s">
        <v>10951</v>
      </c>
      <c r="B3052" s="17" t="s">
        <v>10952</v>
      </c>
      <c r="C3052" s="17" t="s">
        <v>10953</v>
      </c>
      <c r="D3052" s="19" t="s">
        <v>4050</v>
      </c>
      <c r="E3052" s="20" t="s">
        <v>1816</v>
      </c>
      <c r="F3052" s="27">
        <v>25552.0</v>
      </c>
      <c r="G3052" s="14">
        <v>56.0</v>
      </c>
      <c r="H3052" s="23" t="s">
        <v>26</v>
      </c>
      <c r="I3052" s="24" t="s">
        <v>33</v>
      </c>
      <c r="J3052" s="19" t="s">
        <v>328</v>
      </c>
      <c r="K3052" s="14">
        <v>25.0</v>
      </c>
      <c r="L3052" s="7"/>
      <c r="M3052" s="7"/>
      <c r="N3052" s="7"/>
      <c r="O3052" s="7"/>
      <c r="P3052" s="7"/>
      <c r="Q3052" s="7"/>
      <c r="R3052" s="7"/>
      <c r="S3052" s="7"/>
      <c r="T3052" s="7"/>
      <c r="U3052" s="7"/>
      <c r="V3052" s="7"/>
      <c r="W3052" s="7"/>
      <c r="X3052" s="7"/>
      <c r="Y3052" s="7"/>
    </row>
    <row r="3053">
      <c r="A3053" s="14" t="s">
        <v>10954</v>
      </c>
      <c r="B3053" s="17" t="s">
        <v>10952</v>
      </c>
      <c r="C3053" s="17" t="s">
        <v>10955</v>
      </c>
      <c r="D3053" s="19" t="s">
        <v>3759</v>
      </c>
      <c r="E3053" s="20" t="s">
        <v>1816</v>
      </c>
      <c r="F3053" s="27">
        <v>28836.0</v>
      </c>
      <c r="G3053" s="14">
        <v>47.0</v>
      </c>
      <c r="H3053" s="23" t="s">
        <v>26</v>
      </c>
      <c r="I3053" s="24" t="s">
        <v>27</v>
      </c>
      <c r="J3053" s="19" t="s">
        <v>328</v>
      </c>
      <c r="K3053" s="14">
        <v>25.0</v>
      </c>
      <c r="L3053" s="7"/>
      <c r="M3053" s="7"/>
      <c r="N3053" s="7"/>
      <c r="O3053" s="7"/>
      <c r="P3053" s="7"/>
      <c r="Q3053" s="7"/>
      <c r="R3053" s="7"/>
      <c r="S3053" s="7"/>
      <c r="T3053" s="7"/>
      <c r="U3053" s="7"/>
      <c r="V3053" s="7"/>
      <c r="W3053" s="7"/>
      <c r="X3053" s="7"/>
      <c r="Y3053" s="7"/>
    </row>
    <row r="3054">
      <c r="A3054" s="14" t="s">
        <v>10956</v>
      </c>
      <c r="B3054" s="17" t="s">
        <v>10957</v>
      </c>
      <c r="C3054" s="17" t="s">
        <v>10958</v>
      </c>
      <c r="D3054" s="19" t="s">
        <v>5090</v>
      </c>
      <c r="E3054" s="20" t="s">
        <v>104</v>
      </c>
      <c r="F3054" s="27">
        <v>31743.0</v>
      </c>
      <c r="G3054" s="14">
        <v>39.0</v>
      </c>
      <c r="H3054" s="23" t="s">
        <v>26</v>
      </c>
      <c r="I3054" s="24" t="s">
        <v>27</v>
      </c>
      <c r="J3054" s="19" t="s">
        <v>1960</v>
      </c>
      <c r="K3054" s="14">
        <v>16.0</v>
      </c>
      <c r="L3054" s="7"/>
      <c r="M3054" s="7"/>
      <c r="N3054" s="7"/>
      <c r="O3054" s="7"/>
      <c r="P3054" s="7"/>
      <c r="Q3054" s="7"/>
      <c r="R3054" s="7"/>
      <c r="S3054" s="7"/>
      <c r="T3054" s="7"/>
      <c r="U3054" s="7"/>
      <c r="V3054" s="7"/>
      <c r="W3054" s="7"/>
      <c r="X3054" s="7"/>
      <c r="Y3054" s="7"/>
    </row>
    <row r="3055">
      <c r="A3055" s="14" t="s">
        <v>10959</v>
      </c>
      <c r="B3055" s="17" t="s">
        <v>10957</v>
      </c>
      <c r="C3055" s="17" t="s">
        <v>10960</v>
      </c>
      <c r="D3055" s="19" t="s">
        <v>10961</v>
      </c>
      <c r="E3055" s="20" t="s">
        <v>104</v>
      </c>
      <c r="F3055" s="21">
        <v>31884.0</v>
      </c>
      <c r="G3055" s="14">
        <v>39.0</v>
      </c>
      <c r="H3055" s="23" t="s">
        <v>26</v>
      </c>
      <c r="I3055" s="24" t="s">
        <v>33</v>
      </c>
      <c r="J3055" s="19" t="s">
        <v>1960</v>
      </c>
      <c r="K3055" s="14">
        <v>16.0</v>
      </c>
      <c r="L3055" s="7"/>
      <c r="M3055" s="7"/>
      <c r="N3055" s="7"/>
      <c r="O3055" s="7"/>
      <c r="P3055" s="7"/>
      <c r="Q3055" s="7"/>
      <c r="R3055" s="7"/>
      <c r="S3055" s="7"/>
      <c r="T3055" s="7"/>
      <c r="U3055" s="7"/>
      <c r="V3055" s="7"/>
      <c r="W3055" s="7"/>
      <c r="X3055" s="7"/>
      <c r="Y3055" s="7"/>
    </row>
    <row r="3056">
      <c r="A3056" s="14" t="s">
        <v>10962</v>
      </c>
      <c r="B3056" s="17" t="s">
        <v>10963</v>
      </c>
      <c r="C3056" s="17" t="s">
        <v>10964</v>
      </c>
      <c r="D3056" s="19" t="s">
        <v>10965</v>
      </c>
      <c r="E3056" s="20" t="s">
        <v>1291</v>
      </c>
      <c r="F3056" s="21">
        <v>24607.0</v>
      </c>
      <c r="G3056" s="14">
        <v>59.0</v>
      </c>
      <c r="H3056" s="23" t="s">
        <v>26</v>
      </c>
      <c r="I3056" s="24" t="s">
        <v>27</v>
      </c>
      <c r="J3056" s="19" t="s">
        <v>68</v>
      </c>
      <c r="K3056" s="14">
        <v>33.0</v>
      </c>
      <c r="L3056" s="7"/>
      <c r="M3056" s="7"/>
      <c r="N3056" s="7"/>
      <c r="O3056" s="7"/>
      <c r="P3056" s="7"/>
      <c r="Q3056" s="7"/>
      <c r="R3056" s="7"/>
      <c r="S3056" s="7"/>
      <c r="T3056" s="7"/>
      <c r="U3056" s="7"/>
      <c r="V3056" s="7"/>
      <c r="W3056" s="7"/>
      <c r="X3056" s="7"/>
      <c r="Y3056" s="7"/>
    </row>
    <row r="3057">
      <c r="A3057" s="14" t="s">
        <v>10966</v>
      </c>
      <c r="B3057" s="17" t="s">
        <v>10967</v>
      </c>
      <c r="C3057" s="17" t="s">
        <v>10968</v>
      </c>
      <c r="D3057" s="19" t="s">
        <v>10969</v>
      </c>
      <c r="E3057" s="20" t="s">
        <v>104</v>
      </c>
      <c r="F3057" s="21">
        <v>31590.0</v>
      </c>
      <c r="G3057" s="14">
        <v>40.0</v>
      </c>
      <c r="H3057" s="23" t="s">
        <v>26</v>
      </c>
      <c r="I3057" s="24" t="s">
        <v>33</v>
      </c>
      <c r="J3057" s="19" t="s">
        <v>146</v>
      </c>
      <c r="K3057" s="14">
        <v>4.0</v>
      </c>
      <c r="L3057" s="7"/>
      <c r="M3057" s="7"/>
      <c r="N3057" s="7"/>
      <c r="O3057" s="7"/>
      <c r="P3057" s="7"/>
      <c r="Q3057" s="7"/>
      <c r="R3057" s="7"/>
      <c r="S3057" s="7"/>
      <c r="T3057" s="7"/>
      <c r="U3057" s="7"/>
      <c r="V3057" s="7"/>
      <c r="W3057" s="7"/>
      <c r="X3057" s="7"/>
      <c r="Y3057" s="7"/>
    </row>
    <row r="3058">
      <c r="A3058" s="14" t="s">
        <v>10971</v>
      </c>
      <c r="B3058" s="17" t="s">
        <v>10972</v>
      </c>
      <c r="C3058" s="17" t="s">
        <v>10973</v>
      </c>
      <c r="D3058" s="19" t="s">
        <v>10974</v>
      </c>
      <c r="E3058" s="20" t="s">
        <v>2680</v>
      </c>
      <c r="F3058" s="21">
        <v>29037.0</v>
      </c>
      <c r="G3058" s="14">
        <v>47.0</v>
      </c>
      <c r="H3058" s="23" t="s">
        <v>26</v>
      </c>
      <c r="I3058" s="24" t="s">
        <v>27</v>
      </c>
      <c r="J3058" s="19" t="s">
        <v>146</v>
      </c>
      <c r="K3058" s="14">
        <v>4.0</v>
      </c>
      <c r="L3058" s="7"/>
      <c r="M3058" s="7"/>
      <c r="N3058" s="7"/>
      <c r="O3058" s="7"/>
      <c r="P3058" s="7"/>
      <c r="Q3058" s="7"/>
      <c r="R3058" s="7"/>
      <c r="S3058" s="7"/>
      <c r="T3058" s="7"/>
      <c r="U3058" s="7"/>
      <c r="V3058" s="7"/>
      <c r="W3058" s="7"/>
      <c r="X3058" s="7"/>
      <c r="Y3058" s="7"/>
    </row>
    <row r="3059">
      <c r="A3059" s="14" t="s">
        <v>10975</v>
      </c>
      <c r="B3059" s="17" t="s">
        <v>10972</v>
      </c>
      <c r="C3059" s="17" t="s">
        <v>10976</v>
      </c>
      <c r="D3059" s="19" t="s">
        <v>397</v>
      </c>
      <c r="E3059" s="20" t="s">
        <v>632</v>
      </c>
      <c r="F3059" s="21">
        <v>28255.0</v>
      </c>
      <c r="G3059" s="14">
        <v>49.0</v>
      </c>
      <c r="H3059" s="23" t="s">
        <v>26</v>
      </c>
      <c r="I3059" s="24" t="s">
        <v>33</v>
      </c>
      <c r="J3059" s="19" t="s">
        <v>146</v>
      </c>
      <c r="K3059" s="14">
        <v>4.0</v>
      </c>
      <c r="L3059" s="7"/>
      <c r="M3059" s="7"/>
      <c r="N3059" s="7"/>
      <c r="O3059" s="7"/>
      <c r="P3059" s="7"/>
      <c r="Q3059" s="7"/>
      <c r="R3059" s="7"/>
      <c r="S3059" s="7"/>
      <c r="T3059" s="7"/>
      <c r="U3059" s="7"/>
      <c r="V3059" s="7"/>
      <c r="W3059" s="7"/>
      <c r="X3059" s="7"/>
      <c r="Y3059" s="7"/>
    </row>
    <row r="3060">
      <c r="A3060" s="14" t="s">
        <v>10977</v>
      </c>
      <c r="B3060" s="17" t="s">
        <v>10978</v>
      </c>
      <c r="C3060" s="17" t="s">
        <v>10979</v>
      </c>
      <c r="D3060" s="19" t="s">
        <v>10980</v>
      </c>
      <c r="E3060" s="20" t="s">
        <v>632</v>
      </c>
      <c r="F3060" s="21">
        <v>17660.0</v>
      </c>
      <c r="G3060" s="14">
        <v>78.0</v>
      </c>
      <c r="H3060" s="23" t="s">
        <v>26</v>
      </c>
      <c r="I3060" s="24" t="s">
        <v>33</v>
      </c>
      <c r="J3060" s="19" t="s">
        <v>4305</v>
      </c>
      <c r="K3060" s="14">
        <v>4.0</v>
      </c>
      <c r="L3060" s="7"/>
      <c r="M3060" s="7"/>
      <c r="N3060" s="7"/>
      <c r="O3060" s="7"/>
      <c r="P3060" s="7"/>
      <c r="Q3060" s="7"/>
      <c r="R3060" s="7"/>
      <c r="S3060" s="7"/>
      <c r="T3060" s="7"/>
      <c r="U3060" s="7"/>
      <c r="V3060" s="7"/>
      <c r="W3060" s="7"/>
      <c r="X3060" s="7"/>
      <c r="Y3060" s="7"/>
    </row>
    <row r="3061">
      <c r="A3061" s="14" t="s">
        <v>10981</v>
      </c>
      <c r="B3061" s="17" t="s">
        <v>10978</v>
      </c>
      <c r="C3061" s="17" t="s">
        <v>10982</v>
      </c>
      <c r="D3061" s="19" t="s">
        <v>10984</v>
      </c>
      <c r="E3061" s="20" t="s">
        <v>632</v>
      </c>
      <c r="F3061" s="21">
        <v>21042.0</v>
      </c>
      <c r="G3061" s="14">
        <v>69.0</v>
      </c>
      <c r="H3061" s="23" t="s">
        <v>26</v>
      </c>
      <c r="I3061" s="24" t="s">
        <v>27</v>
      </c>
      <c r="J3061" s="19" t="s">
        <v>4305</v>
      </c>
      <c r="K3061" s="14">
        <v>4.0</v>
      </c>
      <c r="L3061" s="7"/>
      <c r="M3061" s="7"/>
      <c r="N3061" s="7"/>
      <c r="O3061" s="7"/>
      <c r="P3061" s="7"/>
      <c r="Q3061" s="7"/>
      <c r="R3061" s="7"/>
      <c r="S3061" s="7"/>
      <c r="T3061" s="7"/>
      <c r="U3061" s="7"/>
      <c r="V3061" s="7"/>
      <c r="W3061" s="7"/>
      <c r="X3061" s="7"/>
      <c r="Y3061" s="7"/>
    </row>
    <row r="3062">
      <c r="A3062" s="14" t="s">
        <v>10985</v>
      </c>
      <c r="B3062" s="17" t="s">
        <v>10986</v>
      </c>
      <c r="C3062" s="17" t="s">
        <v>10987</v>
      </c>
      <c r="D3062" s="19" t="s">
        <v>10988</v>
      </c>
      <c r="E3062" s="20" t="s">
        <v>53</v>
      </c>
      <c r="F3062" s="21">
        <v>30808.0</v>
      </c>
      <c r="G3062" s="14">
        <v>42.0</v>
      </c>
      <c r="H3062" s="23" t="s">
        <v>26</v>
      </c>
      <c r="I3062" s="24" t="s">
        <v>33</v>
      </c>
      <c r="J3062" s="19" t="s">
        <v>68</v>
      </c>
      <c r="K3062" s="14">
        <v>34.0</v>
      </c>
      <c r="L3062" s="7"/>
      <c r="M3062" s="7"/>
      <c r="N3062" s="7"/>
      <c r="O3062" s="7"/>
      <c r="P3062" s="7"/>
      <c r="Q3062" s="7"/>
      <c r="R3062" s="7"/>
      <c r="S3062" s="7"/>
      <c r="T3062" s="7"/>
      <c r="U3062" s="7"/>
      <c r="V3062" s="7"/>
      <c r="W3062" s="7"/>
      <c r="X3062" s="7"/>
      <c r="Y3062" s="7"/>
    </row>
    <row r="3063">
      <c r="A3063" s="14" t="s">
        <v>10990</v>
      </c>
      <c r="B3063" s="17" t="s">
        <v>10986</v>
      </c>
      <c r="C3063" s="17" t="s">
        <v>10991</v>
      </c>
      <c r="D3063" s="19" t="s">
        <v>10992</v>
      </c>
      <c r="E3063" s="20" t="s">
        <v>10993</v>
      </c>
      <c r="F3063" s="27">
        <v>31773.0</v>
      </c>
      <c r="G3063" s="14">
        <v>39.0</v>
      </c>
      <c r="H3063" s="23" t="s">
        <v>26</v>
      </c>
      <c r="I3063" s="24" t="s">
        <v>27</v>
      </c>
      <c r="J3063" s="19" t="s">
        <v>68</v>
      </c>
      <c r="K3063" s="14">
        <v>34.0</v>
      </c>
      <c r="L3063" s="7"/>
      <c r="M3063" s="7"/>
      <c r="N3063" s="7"/>
      <c r="O3063" s="7"/>
      <c r="P3063" s="7"/>
      <c r="Q3063" s="7"/>
      <c r="R3063" s="7"/>
      <c r="S3063" s="7"/>
      <c r="T3063" s="7"/>
      <c r="U3063" s="7"/>
      <c r="V3063" s="7"/>
      <c r="W3063" s="7"/>
      <c r="X3063" s="7"/>
      <c r="Y3063" s="7"/>
    </row>
    <row r="3064">
      <c r="A3064" s="14" t="s">
        <v>10994</v>
      </c>
      <c r="B3064" s="17" t="s">
        <v>10995</v>
      </c>
      <c r="C3064" s="17" t="s">
        <v>10996</v>
      </c>
      <c r="D3064" s="19" t="s">
        <v>10997</v>
      </c>
      <c r="E3064" s="20" t="s">
        <v>53</v>
      </c>
      <c r="F3064" s="21">
        <v>35692.0</v>
      </c>
      <c r="G3064" s="14">
        <v>28.0</v>
      </c>
      <c r="H3064" s="23" t="s">
        <v>100</v>
      </c>
      <c r="I3064" s="24" t="s">
        <v>33</v>
      </c>
      <c r="J3064" s="19" t="s">
        <v>68</v>
      </c>
      <c r="K3064" s="14">
        <v>31.0</v>
      </c>
      <c r="L3064" s="7"/>
      <c r="M3064" s="7"/>
      <c r="N3064" s="7"/>
      <c r="O3064" s="7"/>
      <c r="P3064" s="7"/>
      <c r="Q3064" s="7"/>
      <c r="R3064" s="7"/>
      <c r="S3064" s="7"/>
      <c r="T3064" s="7"/>
      <c r="U3064" s="7"/>
      <c r="V3064" s="7"/>
      <c r="W3064" s="7"/>
      <c r="X3064" s="7"/>
      <c r="Y3064" s="7"/>
    </row>
    <row r="3065">
      <c r="A3065" s="14" t="s">
        <v>10998</v>
      </c>
      <c r="B3065" s="17" t="s">
        <v>10995</v>
      </c>
      <c r="C3065" s="17" t="s">
        <v>10999</v>
      </c>
      <c r="D3065" s="19" t="s">
        <v>11000</v>
      </c>
      <c r="E3065" s="20" t="s">
        <v>53</v>
      </c>
      <c r="F3065" s="27">
        <v>37936.0</v>
      </c>
      <c r="G3065" s="14">
        <v>22.0</v>
      </c>
      <c r="H3065" s="23" t="s">
        <v>100</v>
      </c>
      <c r="I3065" s="24" t="s">
        <v>27</v>
      </c>
      <c r="J3065" s="19" t="s">
        <v>68</v>
      </c>
      <c r="K3065" s="14">
        <v>31.0</v>
      </c>
      <c r="L3065" s="7"/>
      <c r="M3065" s="7"/>
      <c r="N3065" s="7"/>
      <c r="O3065" s="7"/>
      <c r="P3065" s="7"/>
      <c r="Q3065" s="7"/>
      <c r="R3065" s="7"/>
      <c r="S3065" s="7"/>
      <c r="T3065" s="7"/>
      <c r="U3065" s="7"/>
      <c r="V3065" s="7"/>
      <c r="W3065" s="7"/>
      <c r="X3065" s="7"/>
      <c r="Y3065" s="7"/>
    </row>
    <row r="3066">
      <c r="A3066" s="14" t="s">
        <v>11001</v>
      </c>
      <c r="B3066" s="17" t="s">
        <v>10995</v>
      </c>
      <c r="C3066" s="17" t="s">
        <v>11002</v>
      </c>
      <c r="D3066" s="19" t="s">
        <v>11003</v>
      </c>
      <c r="E3066" s="20" t="s">
        <v>104</v>
      </c>
      <c r="F3066" s="21">
        <v>28754.0</v>
      </c>
      <c r="G3066" s="14">
        <v>47.0</v>
      </c>
      <c r="H3066" s="23" t="s">
        <v>26</v>
      </c>
      <c r="I3066" s="24" t="s">
        <v>27</v>
      </c>
      <c r="J3066" s="19" t="s">
        <v>68</v>
      </c>
      <c r="K3066" s="14">
        <v>31.0</v>
      </c>
      <c r="L3066" s="7"/>
      <c r="M3066" s="7"/>
      <c r="N3066" s="7"/>
      <c r="O3066" s="7"/>
      <c r="P3066" s="7"/>
      <c r="Q3066" s="7"/>
      <c r="R3066" s="7"/>
      <c r="S3066" s="7"/>
      <c r="T3066" s="7"/>
      <c r="U3066" s="7"/>
      <c r="V3066" s="7"/>
      <c r="W3066" s="7"/>
      <c r="X3066" s="7"/>
      <c r="Y3066" s="7"/>
    </row>
    <row r="3067">
      <c r="A3067" s="14" t="s">
        <v>11004</v>
      </c>
      <c r="B3067" s="17" t="s">
        <v>10995</v>
      </c>
      <c r="C3067" s="17" t="s">
        <v>11005</v>
      </c>
      <c r="D3067" s="19" t="s">
        <v>11006</v>
      </c>
      <c r="E3067" s="20" t="s">
        <v>4915</v>
      </c>
      <c r="F3067" s="21">
        <v>23905.0</v>
      </c>
      <c r="G3067" s="14">
        <v>61.0</v>
      </c>
      <c r="H3067" s="23" t="s">
        <v>26</v>
      </c>
      <c r="I3067" s="24" t="s">
        <v>33</v>
      </c>
      <c r="J3067" s="19" t="s">
        <v>68</v>
      </c>
      <c r="K3067" s="14">
        <v>31.0</v>
      </c>
      <c r="L3067" s="7"/>
      <c r="M3067" s="7"/>
      <c r="N3067" s="7"/>
      <c r="O3067" s="7"/>
      <c r="P3067" s="7"/>
      <c r="Q3067" s="7"/>
      <c r="R3067" s="7"/>
      <c r="S3067" s="7"/>
      <c r="T3067" s="7"/>
      <c r="U3067" s="7"/>
      <c r="V3067" s="7"/>
      <c r="W3067" s="7"/>
      <c r="X3067" s="7"/>
      <c r="Y3067" s="7"/>
    </row>
    <row r="3068">
      <c r="A3068" s="14" t="s">
        <v>11007</v>
      </c>
      <c r="B3068" s="17" t="s">
        <v>11008</v>
      </c>
      <c r="C3068" s="17" t="s">
        <v>11009</v>
      </c>
      <c r="D3068" s="19" t="s">
        <v>11010</v>
      </c>
      <c r="E3068" s="20" t="s">
        <v>104</v>
      </c>
      <c r="F3068" s="21">
        <v>27958.0</v>
      </c>
      <c r="G3068" s="14">
        <v>50.0</v>
      </c>
      <c r="H3068" s="23" t="s">
        <v>26</v>
      </c>
      <c r="I3068" s="24" t="s">
        <v>33</v>
      </c>
      <c r="J3068" s="19" t="s">
        <v>53</v>
      </c>
      <c r="K3068" s="14">
        <v>31.0</v>
      </c>
      <c r="L3068" s="7"/>
      <c r="M3068" s="7"/>
      <c r="N3068" s="7"/>
      <c r="O3068" s="7"/>
      <c r="P3068" s="7"/>
      <c r="Q3068" s="7"/>
      <c r="R3068" s="7"/>
      <c r="S3068" s="7"/>
      <c r="T3068" s="7"/>
      <c r="U3068" s="7"/>
      <c r="V3068" s="7"/>
      <c r="W3068" s="7"/>
      <c r="X3068" s="7"/>
      <c r="Y3068" s="7"/>
    </row>
    <row r="3069">
      <c r="A3069" s="14" t="s">
        <v>11011</v>
      </c>
      <c r="B3069" s="17" t="s">
        <v>11008</v>
      </c>
      <c r="C3069" s="17" t="s">
        <v>11012</v>
      </c>
      <c r="D3069" s="19" t="s">
        <v>11013</v>
      </c>
      <c r="E3069" s="20" t="s">
        <v>104</v>
      </c>
      <c r="F3069" s="21">
        <v>31419.0</v>
      </c>
      <c r="G3069" s="14">
        <v>40.0</v>
      </c>
      <c r="H3069" s="23" t="s">
        <v>26</v>
      </c>
      <c r="I3069" s="24" t="s">
        <v>27</v>
      </c>
      <c r="J3069" s="19" t="s">
        <v>53</v>
      </c>
      <c r="K3069" s="14">
        <v>31.0</v>
      </c>
      <c r="L3069" s="7"/>
      <c r="M3069" s="7"/>
      <c r="N3069" s="7"/>
      <c r="O3069" s="7"/>
      <c r="P3069" s="7"/>
      <c r="Q3069" s="7"/>
      <c r="R3069" s="7"/>
      <c r="S3069" s="7"/>
      <c r="T3069" s="7"/>
      <c r="U3069" s="7"/>
      <c r="V3069" s="7"/>
      <c r="W3069" s="7"/>
      <c r="X3069" s="7"/>
      <c r="Y3069" s="7"/>
    </row>
    <row r="3070">
      <c r="A3070" s="14" t="s">
        <v>11014</v>
      </c>
      <c r="B3070" s="17" t="s">
        <v>11015</v>
      </c>
      <c r="C3070" s="17" t="s">
        <v>11016</v>
      </c>
      <c r="D3070" s="19" t="s">
        <v>11017</v>
      </c>
      <c r="E3070" s="20" t="s">
        <v>654</v>
      </c>
      <c r="F3070" s="21">
        <v>22082.0</v>
      </c>
      <c r="G3070" s="14">
        <v>66.0</v>
      </c>
      <c r="H3070" s="23" t="s">
        <v>27</v>
      </c>
      <c r="I3070" s="24" t="s">
        <v>27</v>
      </c>
      <c r="J3070" s="19" t="s">
        <v>328</v>
      </c>
      <c r="K3070" s="14">
        <v>27.0</v>
      </c>
      <c r="L3070" s="7"/>
      <c r="M3070" s="7"/>
      <c r="N3070" s="7"/>
      <c r="O3070" s="7"/>
      <c r="P3070" s="7"/>
      <c r="Q3070" s="7"/>
      <c r="R3070" s="7"/>
      <c r="S3070" s="7"/>
      <c r="T3070" s="7"/>
      <c r="U3070" s="7"/>
      <c r="V3070" s="7"/>
      <c r="W3070" s="7"/>
      <c r="X3070" s="7"/>
      <c r="Y3070" s="7"/>
    </row>
    <row r="3071">
      <c r="A3071" s="14" t="s">
        <v>11018</v>
      </c>
      <c r="B3071" s="17" t="s">
        <v>11019</v>
      </c>
      <c r="C3071" s="17" t="s">
        <v>11020</v>
      </c>
      <c r="D3071" s="19" t="s">
        <v>11021</v>
      </c>
      <c r="E3071" s="20" t="s">
        <v>11022</v>
      </c>
      <c r="F3071" s="21">
        <v>36015.0</v>
      </c>
      <c r="G3071" s="14">
        <v>28.0</v>
      </c>
      <c r="H3071" s="23" t="s">
        <v>26</v>
      </c>
      <c r="I3071" s="24" t="s">
        <v>33</v>
      </c>
      <c r="J3071" s="19" t="s">
        <v>53</v>
      </c>
      <c r="K3071" s="14">
        <v>27.0</v>
      </c>
      <c r="L3071" s="7"/>
      <c r="M3071" s="7"/>
      <c r="N3071" s="7"/>
      <c r="O3071" s="7"/>
      <c r="P3071" s="7"/>
      <c r="Q3071" s="7"/>
      <c r="R3071" s="7"/>
      <c r="S3071" s="7"/>
      <c r="T3071" s="7"/>
      <c r="U3071" s="7"/>
      <c r="V3071" s="7"/>
      <c r="W3071" s="7"/>
      <c r="X3071" s="7"/>
      <c r="Y3071" s="7"/>
    </row>
    <row r="3072">
      <c r="A3072" s="14" t="s">
        <v>11023</v>
      </c>
      <c r="B3072" s="17" t="s">
        <v>11019</v>
      </c>
      <c r="C3072" s="17" t="s">
        <v>11024</v>
      </c>
      <c r="D3072" s="19" t="s">
        <v>11025</v>
      </c>
      <c r="E3072" s="20" t="s">
        <v>53</v>
      </c>
      <c r="F3072" s="27">
        <v>36122.0</v>
      </c>
      <c r="G3072" s="14">
        <v>27.0</v>
      </c>
      <c r="H3072" s="23" t="s">
        <v>26</v>
      </c>
      <c r="I3072" s="24" t="s">
        <v>27</v>
      </c>
      <c r="J3072" s="19" t="s">
        <v>53</v>
      </c>
      <c r="K3072" s="14">
        <v>27.0</v>
      </c>
      <c r="L3072" s="7"/>
      <c r="M3072" s="7"/>
      <c r="N3072" s="7"/>
      <c r="O3072" s="7"/>
      <c r="P3072" s="7"/>
      <c r="Q3072" s="7"/>
      <c r="R3072" s="7"/>
      <c r="S3072" s="7"/>
      <c r="T3072" s="7"/>
      <c r="U3072" s="7"/>
      <c r="V3072" s="7"/>
      <c r="W3072" s="7"/>
      <c r="X3072" s="7"/>
      <c r="Y3072" s="7"/>
    </row>
    <row r="3073">
      <c r="A3073" s="14" t="s">
        <v>11026</v>
      </c>
      <c r="B3073" s="17" t="s">
        <v>11027</v>
      </c>
      <c r="C3073" s="17" t="s">
        <v>11028</v>
      </c>
      <c r="D3073" s="19" t="s">
        <v>11029</v>
      </c>
      <c r="E3073" s="20" t="s">
        <v>274</v>
      </c>
      <c r="F3073" s="21">
        <v>23169.0</v>
      </c>
      <c r="G3073" s="14">
        <v>63.0</v>
      </c>
      <c r="H3073" s="23" t="s">
        <v>26</v>
      </c>
      <c r="I3073" s="24" t="s">
        <v>33</v>
      </c>
      <c r="J3073" s="19" t="s">
        <v>146</v>
      </c>
      <c r="K3073" s="14">
        <v>1.0</v>
      </c>
      <c r="L3073" s="7"/>
      <c r="M3073" s="7"/>
      <c r="N3073" s="7"/>
      <c r="O3073" s="7"/>
      <c r="P3073" s="7"/>
      <c r="Q3073" s="7"/>
      <c r="R3073" s="7"/>
      <c r="S3073" s="7"/>
      <c r="T3073" s="7"/>
      <c r="U3073" s="7"/>
      <c r="V3073" s="7"/>
      <c r="W3073" s="7"/>
      <c r="X3073" s="7"/>
      <c r="Y3073" s="7"/>
    </row>
    <row r="3074">
      <c r="A3074" s="14" t="s">
        <v>11030</v>
      </c>
      <c r="B3074" s="17" t="s">
        <v>11027</v>
      </c>
      <c r="C3074" s="17" t="s">
        <v>11031</v>
      </c>
      <c r="D3074" s="19" t="s">
        <v>11032</v>
      </c>
      <c r="E3074" s="20" t="s">
        <v>53</v>
      </c>
      <c r="F3074" s="21">
        <v>36401.0</v>
      </c>
      <c r="G3074" s="14">
        <v>27.0</v>
      </c>
      <c r="H3074" s="23" t="s">
        <v>100</v>
      </c>
      <c r="I3074" s="24" t="s">
        <v>27</v>
      </c>
      <c r="J3074" s="19" t="s">
        <v>146</v>
      </c>
      <c r="K3074" s="14">
        <v>1.0</v>
      </c>
      <c r="L3074" s="7"/>
      <c r="M3074" s="7"/>
      <c r="N3074" s="7"/>
      <c r="O3074" s="7"/>
      <c r="P3074" s="7"/>
      <c r="Q3074" s="7"/>
      <c r="R3074" s="7"/>
      <c r="S3074" s="7"/>
      <c r="T3074" s="7"/>
      <c r="U3074" s="7"/>
      <c r="V3074" s="7"/>
      <c r="W3074" s="7"/>
      <c r="X3074" s="7"/>
      <c r="Y3074" s="7"/>
    </row>
    <row r="3075">
      <c r="A3075" s="14" t="s">
        <v>11033</v>
      </c>
      <c r="B3075" s="17" t="s">
        <v>11027</v>
      </c>
      <c r="C3075" s="17" t="s">
        <v>11034</v>
      </c>
      <c r="D3075" s="19" t="s">
        <v>11035</v>
      </c>
      <c r="E3075" s="20" t="s">
        <v>53</v>
      </c>
      <c r="F3075" s="21">
        <v>36401.0</v>
      </c>
      <c r="G3075" s="14">
        <v>27.0</v>
      </c>
      <c r="H3075" s="23" t="s">
        <v>100</v>
      </c>
      <c r="I3075" s="24" t="s">
        <v>27</v>
      </c>
      <c r="J3075" s="19" t="s">
        <v>146</v>
      </c>
      <c r="K3075" s="14">
        <v>1.0</v>
      </c>
      <c r="L3075" s="7"/>
      <c r="M3075" s="7"/>
      <c r="N3075" s="7"/>
      <c r="O3075" s="7"/>
      <c r="P3075" s="7"/>
      <c r="Q3075" s="7"/>
      <c r="R3075" s="7"/>
      <c r="S3075" s="7"/>
      <c r="T3075" s="7"/>
      <c r="U3075" s="7"/>
      <c r="V3075" s="7"/>
      <c r="W3075" s="7"/>
      <c r="X3075" s="7"/>
      <c r="Y3075" s="7"/>
    </row>
    <row r="3076">
      <c r="A3076" s="14" t="s">
        <v>11036</v>
      </c>
      <c r="B3076" s="17" t="s">
        <v>11027</v>
      </c>
      <c r="C3076" s="17" t="s">
        <v>11037</v>
      </c>
      <c r="D3076" s="19" t="s">
        <v>11038</v>
      </c>
      <c r="E3076" s="20" t="s">
        <v>5871</v>
      </c>
      <c r="F3076" s="21">
        <v>23900.0</v>
      </c>
      <c r="G3076" s="14">
        <v>61.0</v>
      </c>
      <c r="H3076" s="23" t="s">
        <v>26</v>
      </c>
      <c r="I3076" s="24" t="s">
        <v>27</v>
      </c>
      <c r="J3076" s="19" t="s">
        <v>146</v>
      </c>
      <c r="K3076" s="14">
        <v>1.0</v>
      </c>
      <c r="L3076" s="7"/>
      <c r="M3076" s="7"/>
      <c r="N3076" s="7"/>
      <c r="O3076" s="7"/>
      <c r="P3076" s="7"/>
      <c r="Q3076" s="7"/>
      <c r="R3076" s="7"/>
      <c r="S3076" s="7"/>
      <c r="T3076" s="7"/>
      <c r="U3076" s="7"/>
      <c r="V3076" s="7"/>
      <c r="W3076" s="7"/>
      <c r="X3076" s="7"/>
      <c r="Y3076" s="7"/>
    </row>
    <row r="3077">
      <c r="A3077" s="14" t="s">
        <v>11039</v>
      </c>
      <c r="B3077" s="17" t="s">
        <v>11040</v>
      </c>
      <c r="C3077" s="17" t="s">
        <v>11041</v>
      </c>
      <c r="D3077" s="19" t="s">
        <v>11042</v>
      </c>
      <c r="E3077" s="20" t="s">
        <v>11043</v>
      </c>
      <c r="F3077" s="27">
        <v>27716.0</v>
      </c>
      <c r="G3077" s="14">
        <v>50.0</v>
      </c>
      <c r="H3077" s="23" t="s">
        <v>27</v>
      </c>
      <c r="I3077" s="24" t="s">
        <v>33</v>
      </c>
      <c r="J3077" s="19" t="s">
        <v>58</v>
      </c>
      <c r="K3077" s="14">
        <v>9.0</v>
      </c>
      <c r="L3077" s="7"/>
      <c r="M3077" s="7"/>
      <c r="N3077" s="7"/>
      <c r="O3077" s="7"/>
      <c r="P3077" s="7"/>
      <c r="Q3077" s="7"/>
      <c r="R3077" s="7"/>
      <c r="S3077" s="7"/>
      <c r="T3077" s="7"/>
      <c r="U3077" s="7"/>
      <c r="V3077" s="7"/>
      <c r="W3077" s="7"/>
      <c r="X3077" s="7"/>
      <c r="Y3077" s="7"/>
    </row>
    <row r="3078">
      <c r="A3078" s="14" t="s">
        <v>11044</v>
      </c>
      <c r="B3078" s="17" t="s">
        <v>11045</v>
      </c>
      <c r="C3078" s="17" t="s">
        <v>11046</v>
      </c>
      <c r="D3078" s="19" t="s">
        <v>11047</v>
      </c>
      <c r="E3078" s="20" t="s">
        <v>104</v>
      </c>
      <c r="F3078" s="27">
        <v>33190.0</v>
      </c>
      <c r="G3078" s="14">
        <v>35.0</v>
      </c>
      <c r="H3078" s="23" t="s">
        <v>26</v>
      </c>
      <c r="I3078" s="24" t="s">
        <v>33</v>
      </c>
      <c r="J3078" s="19" t="s">
        <v>104</v>
      </c>
      <c r="K3078" s="14">
        <v>6.0</v>
      </c>
      <c r="L3078" s="7"/>
      <c r="M3078" s="7"/>
      <c r="N3078" s="7"/>
      <c r="O3078" s="7"/>
      <c r="P3078" s="7"/>
      <c r="Q3078" s="7"/>
      <c r="R3078" s="7"/>
      <c r="S3078" s="7"/>
      <c r="T3078" s="7"/>
      <c r="U3078" s="7"/>
      <c r="V3078" s="7"/>
      <c r="W3078" s="7"/>
      <c r="X3078" s="7"/>
      <c r="Y3078" s="7"/>
    </row>
    <row r="3079">
      <c r="A3079" s="14" t="s">
        <v>11048</v>
      </c>
      <c r="B3079" s="17" t="s">
        <v>11045</v>
      </c>
      <c r="C3079" s="17" t="s">
        <v>11049</v>
      </c>
      <c r="D3079" s="19" t="s">
        <v>11050</v>
      </c>
      <c r="E3079" s="20" t="s">
        <v>11051</v>
      </c>
      <c r="F3079" s="21">
        <v>34363.0</v>
      </c>
      <c r="G3079" s="14">
        <v>32.0</v>
      </c>
      <c r="H3079" s="23" t="s">
        <v>26</v>
      </c>
      <c r="I3079" s="24" t="s">
        <v>27</v>
      </c>
      <c r="J3079" s="19" t="s">
        <v>104</v>
      </c>
      <c r="K3079" s="14">
        <v>6.0</v>
      </c>
      <c r="L3079" s="7"/>
      <c r="M3079" s="7"/>
      <c r="N3079" s="7"/>
      <c r="O3079" s="7"/>
      <c r="P3079" s="7"/>
      <c r="Q3079" s="7"/>
      <c r="R3079" s="7"/>
      <c r="S3079" s="7"/>
      <c r="T3079" s="7"/>
      <c r="U3079" s="7"/>
      <c r="V3079" s="7"/>
      <c r="W3079" s="7"/>
      <c r="X3079" s="7"/>
      <c r="Y3079" s="7"/>
    </row>
    <row r="3080">
      <c r="A3080" s="14" t="s">
        <v>11052</v>
      </c>
      <c r="B3080" s="17" t="s">
        <v>11053</v>
      </c>
      <c r="C3080" s="17" t="s">
        <v>11054</v>
      </c>
      <c r="D3080" s="19" t="s">
        <v>11055</v>
      </c>
      <c r="E3080" s="20" t="s">
        <v>11056</v>
      </c>
      <c r="F3080" s="21">
        <v>28313.0</v>
      </c>
      <c r="G3080" s="14">
        <v>49.0</v>
      </c>
      <c r="H3080" s="23" t="s">
        <v>26</v>
      </c>
      <c r="I3080" s="24" t="s">
        <v>33</v>
      </c>
      <c r="J3080" s="19" t="s">
        <v>53</v>
      </c>
      <c r="K3080" s="14">
        <v>36.0</v>
      </c>
      <c r="L3080" s="7"/>
      <c r="M3080" s="7"/>
      <c r="N3080" s="7"/>
      <c r="O3080" s="7"/>
      <c r="P3080" s="7"/>
      <c r="Q3080" s="7"/>
      <c r="R3080" s="7"/>
      <c r="S3080" s="7"/>
      <c r="T3080" s="7"/>
      <c r="U3080" s="7"/>
      <c r="V3080" s="7"/>
      <c r="W3080" s="7"/>
      <c r="X3080" s="7"/>
      <c r="Y3080" s="7"/>
    </row>
    <row r="3081">
      <c r="A3081" s="14" t="s">
        <v>11057</v>
      </c>
      <c r="B3081" s="17" t="s">
        <v>11053</v>
      </c>
      <c r="C3081" s="17" t="s">
        <v>11058</v>
      </c>
      <c r="D3081" s="19" t="s">
        <v>4670</v>
      </c>
      <c r="E3081" s="20" t="s">
        <v>5197</v>
      </c>
      <c r="F3081" s="21">
        <v>32154.0</v>
      </c>
      <c r="G3081" s="14">
        <v>38.0</v>
      </c>
      <c r="H3081" s="23" t="s">
        <v>26</v>
      </c>
      <c r="I3081" s="24" t="s">
        <v>27</v>
      </c>
      <c r="J3081" s="19" t="s">
        <v>53</v>
      </c>
      <c r="K3081" s="14">
        <v>36.0</v>
      </c>
      <c r="L3081" s="7"/>
      <c r="M3081" s="7"/>
      <c r="N3081" s="7"/>
      <c r="O3081" s="7"/>
      <c r="P3081" s="7"/>
      <c r="Q3081" s="7"/>
      <c r="R3081" s="7"/>
      <c r="S3081" s="7"/>
      <c r="T3081" s="7"/>
      <c r="U3081" s="7"/>
      <c r="V3081" s="7"/>
      <c r="W3081" s="7"/>
      <c r="X3081" s="7"/>
      <c r="Y3081" s="7"/>
    </row>
    <row r="3082">
      <c r="A3082" s="14" t="s">
        <v>11059</v>
      </c>
      <c r="B3082" s="17" t="s">
        <v>11060</v>
      </c>
      <c r="C3082" s="17" t="s">
        <v>11061</v>
      </c>
      <c r="D3082" s="19" t="s">
        <v>11062</v>
      </c>
      <c r="E3082" s="20" t="s">
        <v>337</v>
      </c>
      <c r="F3082" s="21">
        <v>35445.0</v>
      </c>
      <c r="G3082" s="14">
        <v>29.0</v>
      </c>
      <c r="H3082" s="23" t="s">
        <v>26</v>
      </c>
      <c r="I3082" s="24" t="s">
        <v>27</v>
      </c>
      <c r="J3082" s="19" t="s">
        <v>53</v>
      </c>
      <c r="K3082" s="14">
        <v>30.0</v>
      </c>
      <c r="L3082" s="7"/>
      <c r="M3082" s="7"/>
      <c r="N3082" s="7"/>
      <c r="O3082" s="7"/>
      <c r="P3082" s="7"/>
      <c r="Q3082" s="7"/>
      <c r="R3082" s="7"/>
      <c r="S3082" s="7"/>
      <c r="T3082" s="7"/>
      <c r="U3082" s="7"/>
      <c r="V3082" s="7"/>
      <c r="W3082" s="7"/>
      <c r="X3082" s="7"/>
      <c r="Y3082" s="7"/>
    </row>
    <row r="3083">
      <c r="A3083" s="14" t="s">
        <v>11063</v>
      </c>
      <c r="B3083" s="17" t="s">
        <v>11060</v>
      </c>
      <c r="C3083" s="17" t="s">
        <v>11064</v>
      </c>
      <c r="D3083" s="19" t="s">
        <v>11065</v>
      </c>
      <c r="E3083" s="20" t="s">
        <v>104</v>
      </c>
      <c r="F3083" s="21">
        <v>35870.0</v>
      </c>
      <c r="G3083" s="14">
        <v>28.0</v>
      </c>
      <c r="H3083" s="23" t="s">
        <v>26</v>
      </c>
      <c r="I3083" s="24" t="s">
        <v>33</v>
      </c>
      <c r="J3083" s="19" t="s">
        <v>53</v>
      </c>
      <c r="K3083" s="14">
        <v>30.0</v>
      </c>
      <c r="L3083" s="7"/>
      <c r="M3083" s="7"/>
      <c r="N3083" s="7"/>
      <c r="O3083" s="7"/>
      <c r="P3083" s="7"/>
      <c r="Q3083" s="7"/>
      <c r="R3083" s="7"/>
      <c r="S3083" s="7"/>
      <c r="T3083" s="7"/>
      <c r="U3083" s="7"/>
      <c r="V3083" s="7"/>
      <c r="W3083" s="7"/>
      <c r="X3083" s="7"/>
      <c r="Y3083" s="7"/>
    </row>
    <row r="3084">
      <c r="A3084" s="14" t="s">
        <v>11066</v>
      </c>
      <c r="B3084" s="17" t="s">
        <v>11067</v>
      </c>
      <c r="C3084" s="17" t="s">
        <v>11068</v>
      </c>
      <c r="D3084" s="19" t="s">
        <v>11069</v>
      </c>
      <c r="E3084" s="20" t="s">
        <v>11070</v>
      </c>
      <c r="F3084" s="27">
        <v>34268.0</v>
      </c>
      <c r="G3084" s="14">
        <v>32.0</v>
      </c>
      <c r="H3084" s="23" t="s">
        <v>26</v>
      </c>
      <c r="I3084" s="24" t="s">
        <v>33</v>
      </c>
      <c r="J3084" s="19" t="s">
        <v>517</v>
      </c>
      <c r="K3084" s="14">
        <v>8.0</v>
      </c>
      <c r="L3084" s="7"/>
      <c r="M3084" s="7"/>
      <c r="N3084" s="7"/>
      <c r="O3084" s="7"/>
      <c r="P3084" s="7"/>
      <c r="Q3084" s="7"/>
      <c r="R3084" s="7"/>
      <c r="S3084" s="7"/>
      <c r="T3084" s="7"/>
      <c r="U3084" s="7"/>
      <c r="V3084" s="7"/>
      <c r="W3084" s="7"/>
      <c r="X3084" s="7"/>
      <c r="Y3084" s="7"/>
    </row>
    <row r="3085">
      <c r="A3085" s="14" t="s">
        <v>11071</v>
      </c>
      <c r="B3085" s="17" t="s">
        <v>11067</v>
      </c>
      <c r="C3085" s="17" t="s">
        <v>11072</v>
      </c>
      <c r="D3085" s="19" t="s">
        <v>11073</v>
      </c>
      <c r="E3085" s="20" t="s">
        <v>104</v>
      </c>
      <c r="F3085" s="27">
        <v>34992.0</v>
      </c>
      <c r="G3085" s="14">
        <v>30.0</v>
      </c>
      <c r="H3085" s="23" t="s">
        <v>26</v>
      </c>
      <c r="I3085" s="24" t="s">
        <v>27</v>
      </c>
      <c r="J3085" s="19" t="s">
        <v>517</v>
      </c>
      <c r="K3085" s="14">
        <v>8.0</v>
      </c>
      <c r="L3085" s="7"/>
      <c r="M3085" s="7"/>
      <c r="N3085" s="7"/>
      <c r="O3085" s="7"/>
      <c r="P3085" s="7"/>
      <c r="Q3085" s="7"/>
      <c r="R3085" s="7"/>
      <c r="S3085" s="7"/>
      <c r="T3085" s="7"/>
      <c r="U3085" s="7"/>
      <c r="V3085" s="7"/>
      <c r="W3085" s="7"/>
      <c r="X3085" s="7"/>
      <c r="Y3085" s="7"/>
    </row>
    <row r="3086">
      <c r="A3086" s="14" t="s">
        <v>11074</v>
      </c>
      <c r="B3086" s="17" t="s">
        <v>11075</v>
      </c>
      <c r="C3086" s="17" t="s">
        <v>11076</v>
      </c>
      <c r="D3086" s="19" t="s">
        <v>11077</v>
      </c>
      <c r="E3086" s="20" t="s">
        <v>11078</v>
      </c>
      <c r="F3086" s="21">
        <v>26860.0</v>
      </c>
      <c r="G3086" s="14">
        <v>53.0</v>
      </c>
      <c r="H3086" s="23" t="s">
        <v>26</v>
      </c>
      <c r="I3086" s="24" t="s">
        <v>27</v>
      </c>
      <c r="J3086" s="19" t="s">
        <v>11079</v>
      </c>
      <c r="K3086" s="14">
        <v>9.0</v>
      </c>
      <c r="L3086" s="7"/>
      <c r="M3086" s="7"/>
      <c r="N3086" s="7"/>
      <c r="O3086" s="7"/>
      <c r="P3086" s="7"/>
      <c r="Q3086" s="7"/>
      <c r="R3086" s="7"/>
      <c r="S3086" s="7"/>
      <c r="T3086" s="7"/>
      <c r="U3086" s="7"/>
      <c r="V3086" s="7"/>
      <c r="W3086" s="7"/>
      <c r="X3086" s="7"/>
      <c r="Y3086" s="7"/>
    </row>
    <row r="3087">
      <c r="A3087" s="14" t="s">
        <v>11080</v>
      </c>
      <c r="B3087" s="17" t="s">
        <v>11075</v>
      </c>
      <c r="C3087" s="17" t="s">
        <v>11081</v>
      </c>
      <c r="D3087" s="19" t="s">
        <v>11082</v>
      </c>
      <c r="E3087" s="20" t="s">
        <v>104</v>
      </c>
      <c r="F3087" s="21">
        <v>36792.0</v>
      </c>
      <c r="G3087" s="14">
        <v>25.0</v>
      </c>
      <c r="H3087" s="23" t="s">
        <v>100</v>
      </c>
      <c r="I3087" s="24" t="s">
        <v>33</v>
      </c>
      <c r="J3087" s="19" t="s">
        <v>11079</v>
      </c>
      <c r="K3087" s="14">
        <v>9.0</v>
      </c>
      <c r="L3087" s="7"/>
      <c r="M3087" s="7"/>
      <c r="N3087" s="7"/>
      <c r="O3087" s="7"/>
      <c r="P3087" s="7"/>
      <c r="Q3087" s="7"/>
      <c r="R3087" s="7"/>
      <c r="S3087" s="7"/>
      <c r="T3087" s="7"/>
      <c r="U3087" s="7"/>
      <c r="V3087" s="7"/>
      <c r="W3087" s="7"/>
      <c r="X3087" s="7"/>
      <c r="Y3087" s="7"/>
    </row>
    <row r="3088">
      <c r="A3088" s="14" t="s">
        <v>11083</v>
      </c>
      <c r="B3088" s="17" t="s">
        <v>11075</v>
      </c>
      <c r="C3088" s="17" t="s">
        <v>11084</v>
      </c>
      <c r="D3088" s="19" t="s">
        <v>11085</v>
      </c>
      <c r="E3088" s="20" t="s">
        <v>219</v>
      </c>
      <c r="F3088" s="21">
        <v>24141.0</v>
      </c>
      <c r="G3088" s="14">
        <v>60.0</v>
      </c>
      <c r="H3088" s="23" t="s">
        <v>26</v>
      </c>
      <c r="I3088" s="24" t="s">
        <v>33</v>
      </c>
      <c r="J3088" s="19" t="s">
        <v>11079</v>
      </c>
      <c r="K3088" s="14">
        <v>9.0</v>
      </c>
      <c r="L3088" s="7"/>
      <c r="M3088" s="7"/>
      <c r="N3088" s="7"/>
      <c r="O3088" s="7"/>
      <c r="P3088" s="7"/>
      <c r="Q3088" s="7"/>
      <c r="R3088" s="7"/>
      <c r="S3088" s="7"/>
      <c r="T3088" s="7"/>
      <c r="U3088" s="7"/>
      <c r="V3088" s="7"/>
      <c r="W3088" s="7"/>
      <c r="X3088" s="7"/>
      <c r="Y3088" s="7"/>
    </row>
    <row r="3089">
      <c r="A3089" s="14" t="s">
        <v>11086</v>
      </c>
      <c r="B3089" s="17" t="s">
        <v>11087</v>
      </c>
      <c r="C3089" s="17" t="s">
        <v>11088</v>
      </c>
      <c r="D3089" s="19" t="s">
        <v>11089</v>
      </c>
      <c r="E3089" s="20" t="s">
        <v>11090</v>
      </c>
      <c r="F3089" s="21">
        <v>33753.0</v>
      </c>
      <c r="G3089" s="14">
        <v>34.0</v>
      </c>
      <c r="H3089" s="23" t="s">
        <v>26</v>
      </c>
      <c r="I3089" s="24" t="s">
        <v>27</v>
      </c>
      <c r="J3089" s="19" t="s">
        <v>1915</v>
      </c>
      <c r="K3089" s="14">
        <v>12.0</v>
      </c>
      <c r="L3089" s="7"/>
      <c r="M3089" s="7"/>
      <c r="N3089" s="7"/>
      <c r="O3089" s="7"/>
      <c r="P3089" s="7"/>
      <c r="Q3089" s="7"/>
      <c r="R3089" s="7"/>
      <c r="S3089" s="7"/>
      <c r="T3089" s="7"/>
      <c r="U3089" s="7"/>
      <c r="V3089" s="7"/>
      <c r="W3089" s="7"/>
      <c r="X3089" s="7"/>
      <c r="Y3089" s="7"/>
    </row>
    <row r="3090">
      <c r="A3090" s="14" t="s">
        <v>11091</v>
      </c>
      <c r="B3090" s="17" t="s">
        <v>11087</v>
      </c>
      <c r="C3090" s="17" t="s">
        <v>11092</v>
      </c>
      <c r="D3090" s="19" t="s">
        <v>11093</v>
      </c>
      <c r="E3090" s="20" t="s">
        <v>53</v>
      </c>
      <c r="F3090" s="27">
        <v>34268.0</v>
      </c>
      <c r="G3090" s="14">
        <v>32.0</v>
      </c>
      <c r="H3090" s="23" t="s">
        <v>26</v>
      </c>
      <c r="I3090" s="24" t="s">
        <v>33</v>
      </c>
      <c r="J3090" s="19" t="s">
        <v>1915</v>
      </c>
      <c r="K3090" s="14">
        <v>12.0</v>
      </c>
      <c r="L3090" s="7"/>
      <c r="M3090" s="7"/>
      <c r="N3090" s="7"/>
      <c r="O3090" s="7"/>
      <c r="P3090" s="7"/>
      <c r="Q3090" s="7"/>
      <c r="R3090" s="7"/>
      <c r="S3090" s="7"/>
      <c r="T3090" s="7"/>
      <c r="U3090" s="7"/>
      <c r="V3090" s="7"/>
      <c r="W3090" s="7"/>
      <c r="X3090" s="7"/>
      <c r="Y3090" s="7"/>
    </row>
    <row r="3091">
      <c r="A3091" s="14" t="s">
        <v>11094</v>
      </c>
      <c r="B3091" s="17" t="s">
        <v>11095</v>
      </c>
      <c r="C3091" s="17" t="s">
        <v>11096</v>
      </c>
      <c r="D3091" s="19" t="s">
        <v>11097</v>
      </c>
      <c r="E3091" s="20" t="s">
        <v>53</v>
      </c>
      <c r="F3091" s="21">
        <v>35922.0</v>
      </c>
      <c r="G3091" s="14">
        <v>28.0</v>
      </c>
      <c r="H3091" s="23" t="s">
        <v>26</v>
      </c>
      <c r="I3091" s="24" t="s">
        <v>27</v>
      </c>
      <c r="J3091" s="19" t="s">
        <v>989</v>
      </c>
      <c r="K3091" s="14">
        <v>26.0</v>
      </c>
      <c r="L3091" s="7"/>
      <c r="M3091" s="7"/>
      <c r="N3091" s="7"/>
      <c r="O3091" s="7"/>
      <c r="P3091" s="7"/>
      <c r="Q3091" s="7"/>
      <c r="R3091" s="7"/>
      <c r="S3091" s="7"/>
      <c r="T3091" s="7"/>
      <c r="U3091" s="7"/>
      <c r="V3091" s="7"/>
      <c r="W3091" s="7"/>
      <c r="X3091" s="7"/>
      <c r="Y3091" s="7"/>
    </row>
    <row r="3092">
      <c r="A3092" s="14" t="s">
        <v>11098</v>
      </c>
      <c r="B3092" s="17" t="s">
        <v>11095</v>
      </c>
      <c r="C3092" s="17" t="s">
        <v>11099</v>
      </c>
      <c r="D3092" s="19" t="s">
        <v>11100</v>
      </c>
      <c r="E3092" s="20" t="s">
        <v>104</v>
      </c>
      <c r="F3092" s="21">
        <v>33738.0</v>
      </c>
      <c r="G3092" s="14">
        <v>34.0</v>
      </c>
      <c r="H3092" s="23" t="s">
        <v>26</v>
      </c>
      <c r="I3092" s="24" t="s">
        <v>33</v>
      </c>
      <c r="J3092" s="19" t="s">
        <v>989</v>
      </c>
      <c r="K3092" s="14">
        <v>26.0</v>
      </c>
      <c r="L3092" s="7"/>
      <c r="M3092" s="7"/>
      <c r="N3092" s="7"/>
      <c r="O3092" s="7"/>
      <c r="P3092" s="7"/>
      <c r="Q3092" s="7"/>
      <c r="R3092" s="7"/>
      <c r="S3092" s="7"/>
      <c r="T3092" s="7"/>
      <c r="U3092" s="7"/>
      <c r="V3092" s="7"/>
      <c r="W3092" s="7"/>
      <c r="X3092" s="7"/>
      <c r="Y3092" s="7"/>
    </row>
    <row r="3093">
      <c r="A3093" s="14" t="s">
        <v>11101</v>
      </c>
      <c r="B3093" s="17" t="s">
        <v>11102</v>
      </c>
      <c r="C3093" s="17" t="s">
        <v>11103</v>
      </c>
      <c r="D3093" s="19" t="s">
        <v>11104</v>
      </c>
      <c r="E3093" s="20" t="s">
        <v>104</v>
      </c>
      <c r="F3093" s="21">
        <v>32874.0</v>
      </c>
      <c r="G3093" s="14">
        <v>36.0</v>
      </c>
      <c r="H3093" s="23" t="s">
        <v>26</v>
      </c>
      <c r="I3093" s="24" t="s">
        <v>27</v>
      </c>
      <c r="J3093" s="19" t="s">
        <v>11105</v>
      </c>
      <c r="K3093" s="14">
        <v>24.0</v>
      </c>
      <c r="L3093" s="7"/>
      <c r="M3093" s="7"/>
      <c r="N3093" s="7"/>
      <c r="O3093" s="7"/>
      <c r="P3093" s="7"/>
      <c r="Q3093" s="7"/>
      <c r="R3093" s="7"/>
      <c r="S3093" s="7"/>
      <c r="T3093" s="7"/>
      <c r="U3093" s="7"/>
      <c r="V3093" s="7"/>
      <c r="W3093" s="7"/>
      <c r="X3093" s="7"/>
      <c r="Y3093" s="7"/>
    </row>
    <row r="3094">
      <c r="A3094" s="14" t="s">
        <v>11106</v>
      </c>
      <c r="B3094" s="17" t="s">
        <v>11102</v>
      </c>
      <c r="C3094" s="17" t="s">
        <v>11107</v>
      </c>
      <c r="D3094" s="19" t="s">
        <v>11108</v>
      </c>
      <c r="E3094" s="20" t="s">
        <v>195</v>
      </c>
      <c r="F3094" s="21">
        <v>33337.0</v>
      </c>
      <c r="G3094" s="14">
        <v>35.0</v>
      </c>
      <c r="H3094" s="23" t="s">
        <v>26</v>
      </c>
      <c r="I3094" s="24" t="s">
        <v>33</v>
      </c>
      <c r="J3094" s="19" t="s">
        <v>11105</v>
      </c>
      <c r="K3094" s="14">
        <v>24.0</v>
      </c>
      <c r="L3094" s="7"/>
      <c r="M3094" s="7"/>
      <c r="N3094" s="7"/>
      <c r="O3094" s="7"/>
      <c r="P3094" s="7"/>
      <c r="Q3094" s="7"/>
      <c r="R3094" s="7"/>
      <c r="S3094" s="7"/>
      <c r="T3094" s="7"/>
      <c r="U3094" s="7"/>
      <c r="V3094" s="7"/>
      <c r="W3094" s="7"/>
      <c r="X3094" s="7"/>
      <c r="Y3094" s="7"/>
    </row>
    <row r="3095">
      <c r="A3095" s="14" t="s">
        <v>11109</v>
      </c>
      <c r="B3095" s="17" t="s">
        <v>11110</v>
      </c>
      <c r="C3095" s="17" t="s">
        <v>11111</v>
      </c>
      <c r="D3095" s="19" t="s">
        <v>11112</v>
      </c>
      <c r="E3095" s="20" t="s">
        <v>1095</v>
      </c>
      <c r="F3095" s="21">
        <v>36722.0</v>
      </c>
      <c r="G3095" s="14">
        <v>26.0</v>
      </c>
      <c r="H3095" s="23" t="s">
        <v>26</v>
      </c>
      <c r="I3095" s="24" t="s">
        <v>27</v>
      </c>
      <c r="J3095" s="19" t="s">
        <v>146</v>
      </c>
      <c r="K3095" s="14">
        <v>3.0</v>
      </c>
      <c r="L3095" s="7"/>
      <c r="M3095" s="7"/>
      <c r="N3095" s="7"/>
      <c r="O3095" s="7"/>
      <c r="P3095" s="7"/>
      <c r="Q3095" s="7"/>
      <c r="R3095" s="7"/>
      <c r="S3095" s="7"/>
      <c r="T3095" s="7"/>
      <c r="U3095" s="7"/>
      <c r="V3095" s="7"/>
      <c r="W3095" s="7"/>
      <c r="X3095" s="7"/>
      <c r="Y3095" s="7"/>
    </row>
    <row r="3096">
      <c r="A3096" s="14" t="s">
        <v>11113</v>
      </c>
      <c r="B3096" s="17" t="s">
        <v>11114</v>
      </c>
      <c r="C3096" s="17" t="s">
        <v>11115</v>
      </c>
      <c r="D3096" s="19" t="s">
        <v>11116</v>
      </c>
      <c r="E3096" s="20" t="s">
        <v>104</v>
      </c>
      <c r="F3096" s="21">
        <v>35874.0</v>
      </c>
      <c r="G3096" s="14">
        <v>28.0</v>
      </c>
      <c r="H3096" s="23" t="s">
        <v>100</v>
      </c>
      <c r="I3096" s="24" t="s">
        <v>27</v>
      </c>
      <c r="J3096" s="19" t="s">
        <v>146</v>
      </c>
      <c r="K3096" s="14">
        <v>10.0</v>
      </c>
      <c r="L3096" s="7"/>
      <c r="M3096" s="7"/>
      <c r="N3096" s="7"/>
      <c r="O3096" s="7"/>
      <c r="P3096" s="7"/>
      <c r="Q3096" s="7"/>
      <c r="R3096" s="7"/>
      <c r="S3096" s="7"/>
      <c r="T3096" s="7"/>
      <c r="U3096" s="7"/>
      <c r="V3096" s="7"/>
      <c r="W3096" s="7"/>
      <c r="X3096" s="7"/>
      <c r="Y3096" s="7"/>
    </row>
    <row r="3097">
      <c r="A3097" s="14" t="s">
        <v>11117</v>
      </c>
      <c r="B3097" s="17" t="s">
        <v>11114</v>
      </c>
      <c r="C3097" s="17" t="s">
        <v>11118</v>
      </c>
      <c r="D3097" s="19" t="s">
        <v>11119</v>
      </c>
      <c r="E3097" s="20" t="s">
        <v>654</v>
      </c>
      <c r="F3097" s="21">
        <v>27734.0</v>
      </c>
      <c r="G3097" s="14">
        <v>50.0</v>
      </c>
      <c r="H3097" s="23" t="s">
        <v>26</v>
      </c>
      <c r="I3097" s="24" t="s">
        <v>27</v>
      </c>
      <c r="J3097" s="19" t="s">
        <v>146</v>
      </c>
      <c r="K3097" s="14">
        <v>10.0</v>
      </c>
      <c r="L3097" s="7"/>
      <c r="M3097" s="7"/>
      <c r="N3097" s="7"/>
      <c r="O3097" s="7"/>
      <c r="P3097" s="7"/>
      <c r="Q3097" s="7"/>
      <c r="R3097" s="7"/>
      <c r="S3097" s="7"/>
      <c r="T3097" s="7"/>
      <c r="U3097" s="7"/>
      <c r="V3097" s="7"/>
      <c r="W3097" s="7"/>
      <c r="X3097" s="7"/>
      <c r="Y3097" s="7"/>
    </row>
    <row r="3098">
      <c r="A3098" s="14" t="s">
        <v>11120</v>
      </c>
      <c r="B3098" s="17" t="s">
        <v>11114</v>
      </c>
      <c r="C3098" s="17" t="s">
        <v>11121</v>
      </c>
      <c r="D3098" s="19" t="s">
        <v>11122</v>
      </c>
      <c r="E3098" s="20" t="s">
        <v>219</v>
      </c>
      <c r="F3098" s="21">
        <v>24607.0</v>
      </c>
      <c r="G3098" s="14">
        <v>59.0</v>
      </c>
      <c r="H3098" s="23" t="s">
        <v>26</v>
      </c>
      <c r="I3098" s="24" t="s">
        <v>33</v>
      </c>
      <c r="J3098" s="19" t="s">
        <v>146</v>
      </c>
      <c r="K3098" s="14">
        <v>10.0</v>
      </c>
      <c r="L3098" s="7"/>
      <c r="M3098" s="7"/>
      <c r="N3098" s="7"/>
      <c r="O3098" s="7"/>
      <c r="P3098" s="7"/>
      <c r="Q3098" s="7"/>
      <c r="R3098" s="7"/>
      <c r="S3098" s="7"/>
      <c r="T3098" s="7"/>
      <c r="U3098" s="7"/>
      <c r="V3098" s="7"/>
      <c r="W3098" s="7"/>
      <c r="X3098" s="7"/>
      <c r="Y3098" s="7"/>
    </row>
    <row r="3099">
      <c r="A3099" s="14" t="s">
        <v>11123</v>
      </c>
      <c r="B3099" s="17" t="s">
        <v>11124</v>
      </c>
      <c r="C3099" s="17" t="s">
        <v>11125</v>
      </c>
      <c r="D3099" s="19" t="s">
        <v>10788</v>
      </c>
      <c r="E3099" s="20" t="s">
        <v>150</v>
      </c>
      <c r="F3099" s="27">
        <v>36860.0</v>
      </c>
      <c r="G3099" s="14">
        <v>25.0</v>
      </c>
      <c r="H3099" s="23" t="s">
        <v>26</v>
      </c>
      <c r="I3099" s="24" t="s">
        <v>33</v>
      </c>
      <c r="J3099" s="19" t="s">
        <v>282</v>
      </c>
      <c r="K3099" s="14">
        <v>13.0</v>
      </c>
      <c r="L3099" s="7"/>
      <c r="M3099" s="7"/>
      <c r="N3099" s="7"/>
      <c r="O3099" s="7"/>
      <c r="P3099" s="7"/>
      <c r="Q3099" s="7"/>
      <c r="R3099" s="7"/>
      <c r="S3099" s="7"/>
      <c r="T3099" s="7"/>
      <c r="U3099" s="7"/>
      <c r="V3099" s="7"/>
      <c r="W3099" s="7"/>
      <c r="X3099" s="7"/>
      <c r="Y3099" s="7"/>
    </row>
    <row r="3100">
      <c r="A3100" s="14" t="s">
        <v>11126</v>
      </c>
      <c r="B3100" s="17" t="s">
        <v>11124</v>
      </c>
      <c r="C3100" s="17" t="s">
        <v>11127</v>
      </c>
      <c r="D3100" s="19" t="s">
        <v>11128</v>
      </c>
      <c r="E3100" s="20" t="s">
        <v>104</v>
      </c>
      <c r="F3100" s="27">
        <v>37588.0</v>
      </c>
      <c r="G3100" s="14">
        <v>23.0</v>
      </c>
      <c r="H3100" s="23" t="s">
        <v>26</v>
      </c>
      <c r="I3100" s="24" t="s">
        <v>27</v>
      </c>
      <c r="J3100" s="19" t="s">
        <v>282</v>
      </c>
      <c r="K3100" s="14">
        <v>13.0</v>
      </c>
      <c r="L3100" s="7"/>
      <c r="M3100" s="7"/>
      <c r="N3100" s="7"/>
      <c r="O3100" s="7"/>
      <c r="P3100" s="7"/>
      <c r="Q3100" s="7"/>
      <c r="R3100" s="7"/>
      <c r="S3100" s="7"/>
      <c r="T3100" s="7"/>
      <c r="U3100" s="7"/>
      <c r="V3100" s="7"/>
      <c r="W3100" s="7"/>
      <c r="X3100" s="7"/>
      <c r="Y3100" s="7"/>
    </row>
    <row r="3101">
      <c r="A3101" s="14" t="s">
        <v>11129</v>
      </c>
      <c r="B3101" s="17" t="s">
        <v>11130</v>
      </c>
      <c r="C3101" s="17" t="s">
        <v>11131</v>
      </c>
      <c r="D3101" s="19" t="s">
        <v>11132</v>
      </c>
      <c r="E3101" s="20" t="s">
        <v>104</v>
      </c>
      <c r="F3101" s="21">
        <v>33819.0</v>
      </c>
      <c r="G3101" s="14">
        <v>34.0</v>
      </c>
      <c r="H3101" s="23" t="s">
        <v>26</v>
      </c>
      <c r="I3101" s="24" t="s">
        <v>27</v>
      </c>
      <c r="J3101" s="19" t="s">
        <v>362</v>
      </c>
      <c r="K3101" s="14">
        <v>26.0</v>
      </c>
      <c r="L3101" s="7"/>
      <c r="M3101" s="7"/>
      <c r="N3101" s="7"/>
      <c r="O3101" s="7"/>
      <c r="P3101" s="7"/>
      <c r="Q3101" s="7"/>
      <c r="R3101" s="7"/>
      <c r="S3101" s="7"/>
      <c r="T3101" s="7"/>
      <c r="U3101" s="7"/>
      <c r="V3101" s="7"/>
      <c r="W3101" s="7"/>
      <c r="X3101" s="7"/>
      <c r="Y3101" s="7"/>
    </row>
    <row r="3102">
      <c r="A3102" s="14" t="s">
        <v>11133</v>
      </c>
      <c r="B3102" s="17" t="s">
        <v>11130</v>
      </c>
      <c r="C3102" s="17" t="s">
        <v>11134</v>
      </c>
      <c r="D3102" s="19" t="s">
        <v>11135</v>
      </c>
      <c r="E3102" s="20" t="s">
        <v>11136</v>
      </c>
      <c r="F3102" s="21">
        <v>31488.0</v>
      </c>
      <c r="G3102" s="14">
        <v>40.0</v>
      </c>
      <c r="H3102" s="23" t="s">
        <v>26</v>
      </c>
      <c r="I3102" s="24" t="s">
        <v>33</v>
      </c>
      <c r="J3102" s="19" t="s">
        <v>362</v>
      </c>
      <c r="K3102" s="14">
        <v>26.0</v>
      </c>
      <c r="L3102" s="7"/>
      <c r="M3102" s="7"/>
      <c r="N3102" s="7"/>
      <c r="O3102" s="7"/>
      <c r="P3102" s="7"/>
      <c r="Q3102" s="7"/>
      <c r="R3102" s="7"/>
      <c r="S3102" s="7"/>
      <c r="T3102" s="7"/>
      <c r="U3102" s="7"/>
      <c r="V3102" s="7"/>
      <c r="W3102" s="7"/>
      <c r="X3102" s="7"/>
      <c r="Y3102" s="7"/>
    </row>
    <row r="3103">
      <c r="A3103" s="14" t="s">
        <v>11137</v>
      </c>
      <c r="B3103" s="17" t="s">
        <v>11138</v>
      </c>
      <c r="C3103" s="17" t="s">
        <v>11139</v>
      </c>
      <c r="D3103" s="19" t="s">
        <v>11140</v>
      </c>
      <c r="E3103" s="20" t="s">
        <v>536</v>
      </c>
      <c r="F3103" s="21">
        <v>34224.0</v>
      </c>
      <c r="G3103" s="14">
        <v>32.0</v>
      </c>
      <c r="H3103" s="23" t="s">
        <v>26</v>
      </c>
      <c r="I3103" s="24" t="s">
        <v>27</v>
      </c>
      <c r="J3103" s="19" t="s">
        <v>68</v>
      </c>
      <c r="K3103" s="14">
        <v>33.0</v>
      </c>
      <c r="L3103" s="7"/>
      <c r="M3103" s="7"/>
      <c r="N3103" s="7"/>
      <c r="O3103" s="7"/>
      <c r="P3103" s="7"/>
      <c r="Q3103" s="7"/>
      <c r="R3103" s="7"/>
      <c r="S3103" s="7"/>
      <c r="T3103" s="7"/>
      <c r="U3103" s="7"/>
      <c r="V3103" s="7"/>
      <c r="W3103" s="7"/>
      <c r="X3103" s="7"/>
      <c r="Y3103" s="7"/>
    </row>
    <row r="3104">
      <c r="A3104" s="14" t="s">
        <v>11141</v>
      </c>
      <c r="B3104" s="17" t="s">
        <v>11138</v>
      </c>
      <c r="C3104" s="17" t="s">
        <v>11142</v>
      </c>
      <c r="D3104" s="19" t="s">
        <v>11143</v>
      </c>
      <c r="E3104" s="20" t="s">
        <v>104</v>
      </c>
      <c r="F3104" s="21">
        <v>32779.0</v>
      </c>
      <c r="G3104" s="14">
        <v>36.0</v>
      </c>
      <c r="H3104" s="23" t="s">
        <v>26</v>
      </c>
      <c r="I3104" s="24" t="s">
        <v>33</v>
      </c>
      <c r="J3104" s="19" t="s">
        <v>68</v>
      </c>
      <c r="K3104" s="14">
        <v>33.0</v>
      </c>
      <c r="L3104" s="7"/>
      <c r="M3104" s="7"/>
      <c r="N3104" s="7"/>
      <c r="O3104" s="7"/>
      <c r="P3104" s="7"/>
      <c r="Q3104" s="7"/>
      <c r="R3104" s="7"/>
      <c r="S3104" s="7"/>
      <c r="T3104" s="7"/>
      <c r="U3104" s="7"/>
      <c r="V3104" s="7"/>
      <c r="W3104" s="7"/>
      <c r="X3104" s="7"/>
      <c r="Y3104" s="7"/>
    </row>
    <row r="3105">
      <c r="A3105" s="14" t="s">
        <v>11144</v>
      </c>
      <c r="B3105" s="17" t="s">
        <v>11145</v>
      </c>
      <c r="C3105" s="17" t="s">
        <v>11146</v>
      </c>
      <c r="D3105" s="19" t="s">
        <v>11147</v>
      </c>
      <c r="E3105" s="20" t="s">
        <v>195</v>
      </c>
      <c r="F3105" s="21">
        <v>34241.0</v>
      </c>
      <c r="G3105" s="14">
        <v>32.0</v>
      </c>
      <c r="H3105" s="23" t="s">
        <v>26</v>
      </c>
      <c r="I3105" s="24" t="s">
        <v>27</v>
      </c>
      <c r="J3105" s="19" t="s">
        <v>156</v>
      </c>
      <c r="K3105" s="14">
        <v>29.0</v>
      </c>
      <c r="L3105" s="7"/>
      <c r="M3105" s="7"/>
      <c r="N3105" s="7"/>
      <c r="O3105" s="7"/>
      <c r="P3105" s="7"/>
      <c r="Q3105" s="7"/>
      <c r="R3105" s="7"/>
      <c r="S3105" s="7"/>
      <c r="T3105" s="7"/>
      <c r="U3105" s="7"/>
      <c r="V3105" s="7"/>
      <c r="W3105" s="7"/>
      <c r="X3105" s="7"/>
      <c r="Y3105" s="7"/>
    </row>
    <row r="3106">
      <c r="A3106" s="14" t="s">
        <v>11148</v>
      </c>
      <c r="B3106" s="17" t="s">
        <v>11145</v>
      </c>
      <c r="C3106" s="17" t="s">
        <v>11149</v>
      </c>
      <c r="D3106" s="19" t="s">
        <v>8366</v>
      </c>
      <c r="E3106" s="20" t="s">
        <v>480</v>
      </c>
      <c r="F3106" s="21">
        <v>33091.0</v>
      </c>
      <c r="G3106" s="14">
        <v>36.0</v>
      </c>
      <c r="H3106" s="23" t="s">
        <v>26</v>
      </c>
      <c r="I3106" s="24" t="s">
        <v>33</v>
      </c>
      <c r="J3106" s="19" t="s">
        <v>156</v>
      </c>
      <c r="K3106" s="14">
        <v>29.0</v>
      </c>
      <c r="L3106" s="7"/>
      <c r="M3106" s="7"/>
      <c r="N3106" s="7"/>
      <c r="O3106" s="7"/>
      <c r="P3106" s="7"/>
      <c r="Q3106" s="7"/>
      <c r="R3106" s="7"/>
      <c r="S3106" s="7"/>
      <c r="T3106" s="7"/>
      <c r="U3106" s="7"/>
      <c r="V3106" s="7"/>
      <c r="W3106" s="7"/>
      <c r="X3106" s="7"/>
      <c r="Y3106" s="7"/>
    </row>
    <row r="3107">
      <c r="A3107" s="14" t="s">
        <v>11150</v>
      </c>
      <c r="B3107" s="17" t="s">
        <v>11151</v>
      </c>
      <c r="C3107" s="17" t="s">
        <v>11152</v>
      </c>
      <c r="D3107" s="19" t="s">
        <v>11153</v>
      </c>
      <c r="E3107" s="20" t="s">
        <v>11154</v>
      </c>
      <c r="F3107" s="21">
        <v>38992.0</v>
      </c>
      <c r="G3107" s="14">
        <v>19.0</v>
      </c>
      <c r="H3107" s="23" t="s">
        <v>100</v>
      </c>
      <c r="I3107" s="24" t="s">
        <v>33</v>
      </c>
      <c r="J3107" s="19" t="s">
        <v>206</v>
      </c>
      <c r="K3107" s="14">
        <v>3.0</v>
      </c>
      <c r="L3107" s="7"/>
      <c r="M3107" s="7"/>
      <c r="N3107" s="7"/>
      <c r="O3107" s="7"/>
      <c r="P3107" s="7"/>
      <c r="Q3107" s="7"/>
      <c r="R3107" s="7"/>
      <c r="S3107" s="7"/>
      <c r="T3107" s="7"/>
      <c r="U3107" s="7"/>
      <c r="V3107" s="7"/>
      <c r="W3107" s="7"/>
      <c r="X3107" s="7"/>
      <c r="Y3107" s="7"/>
    </row>
    <row r="3108">
      <c r="A3108" s="14" t="s">
        <v>11155</v>
      </c>
      <c r="B3108" s="17" t="s">
        <v>11151</v>
      </c>
      <c r="C3108" s="17" t="s">
        <v>11156</v>
      </c>
      <c r="D3108" s="19" t="s">
        <v>11157</v>
      </c>
      <c r="E3108" s="20" t="s">
        <v>702</v>
      </c>
      <c r="F3108" s="21">
        <v>31110.0</v>
      </c>
      <c r="G3108" s="14">
        <v>41.0</v>
      </c>
      <c r="H3108" s="23" t="s">
        <v>27</v>
      </c>
      <c r="I3108" s="24" t="s">
        <v>27</v>
      </c>
      <c r="J3108" s="19" t="s">
        <v>206</v>
      </c>
      <c r="K3108" s="14">
        <v>3.0</v>
      </c>
      <c r="L3108" s="7"/>
      <c r="M3108" s="7"/>
      <c r="N3108" s="7"/>
      <c r="O3108" s="7"/>
      <c r="P3108" s="7"/>
      <c r="Q3108" s="7"/>
      <c r="R3108" s="7"/>
      <c r="S3108" s="7"/>
      <c r="T3108" s="7"/>
      <c r="U3108" s="7"/>
      <c r="V3108" s="7"/>
      <c r="W3108" s="7"/>
      <c r="X3108" s="7"/>
      <c r="Y3108" s="7"/>
    </row>
    <row r="3109">
      <c r="A3109" s="14" t="s">
        <v>11158</v>
      </c>
      <c r="B3109" s="17" t="s">
        <v>11159</v>
      </c>
      <c r="C3109" s="17" t="s">
        <v>11160</v>
      </c>
      <c r="D3109" s="19" t="s">
        <v>11161</v>
      </c>
      <c r="E3109" s="20" t="s">
        <v>1058</v>
      </c>
      <c r="F3109" s="21">
        <v>28307.0</v>
      </c>
      <c r="G3109" s="14">
        <v>49.0</v>
      </c>
      <c r="H3109" s="23" t="s">
        <v>26</v>
      </c>
      <c r="I3109" s="24" t="s">
        <v>27</v>
      </c>
      <c r="J3109" s="19" t="s">
        <v>39</v>
      </c>
      <c r="K3109" s="14">
        <v>18.0</v>
      </c>
      <c r="L3109" s="7"/>
      <c r="M3109" s="7"/>
      <c r="N3109" s="7"/>
      <c r="O3109" s="7"/>
      <c r="P3109" s="7"/>
      <c r="Q3109" s="7"/>
      <c r="R3109" s="7"/>
      <c r="S3109" s="7"/>
      <c r="T3109" s="7"/>
      <c r="U3109" s="7"/>
      <c r="V3109" s="7"/>
      <c r="W3109" s="7"/>
      <c r="X3109" s="7"/>
      <c r="Y3109" s="7"/>
    </row>
    <row r="3110">
      <c r="A3110" s="14" t="s">
        <v>11162</v>
      </c>
      <c r="B3110" s="17" t="s">
        <v>11159</v>
      </c>
      <c r="C3110" s="17" t="s">
        <v>11163</v>
      </c>
      <c r="D3110" s="19" t="s">
        <v>11164</v>
      </c>
      <c r="E3110" s="20" t="s">
        <v>53</v>
      </c>
      <c r="F3110" s="27">
        <v>38685.0</v>
      </c>
      <c r="G3110" s="14">
        <v>20.0</v>
      </c>
      <c r="H3110" s="23" t="s">
        <v>100</v>
      </c>
      <c r="I3110" s="24" t="s">
        <v>33</v>
      </c>
      <c r="J3110" s="19" t="s">
        <v>68</v>
      </c>
      <c r="K3110" s="14">
        <v>30.0</v>
      </c>
      <c r="L3110" s="7"/>
      <c r="M3110" s="7"/>
      <c r="N3110" s="7"/>
      <c r="O3110" s="7"/>
      <c r="P3110" s="7"/>
      <c r="Q3110" s="7"/>
      <c r="R3110" s="7"/>
      <c r="S3110" s="7"/>
      <c r="T3110" s="7"/>
      <c r="U3110" s="7"/>
      <c r="V3110" s="7"/>
      <c r="W3110" s="7"/>
      <c r="X3110" s="7"/>
      <c r="Y3110" s="7"/>
    </row>
    <row r="3111">
      <c r="A3111" s="14" t="s">
        <v>11165</v>
      </c>
      <c r="B3111" s="17" t="s">
        <v>11159</v>
      </c>
      <c r="C3111" s="17" t="s">
        <v>11166</v>
      </c>
      <c r="D3111" s="19" t="s">
        <v>2257</v>
      </c>
      <c r="E3111" s="20" t="s">
        <v>104</v>
      </c>
      <c r="F3111" s="27">
        <v>28409.0</v>
      </c>
      <c r="G3111" s="14">
        <v>48.0</v>
      </c>
      <c r="H3111" s="23" t="s">
        <v>26</v>
      </c>
      <c r="I3111" s="24" t="s">
        <v>33</v>
      </c>
      <c r="J3111" s="19" t="s">
        <v>68</v>
      </c>
      <c r="K3111" s="14">
        <v>30.0</v>
      </c>
      <c r="L3111" s="7"/>
      <c r="M3111" s="7"/>
      <c r="N3111" s="7"/>
      <c r="O3111" s="7"/>
      <c r="P3111" s="7"/>
      <c r="Q3111" s="7"/>
      <c r="R3111" s="7"/>
      <c r="S3111" s="7"/>
      <c r="T3111" s="7"/>
      <c r="U3111" s="7"/>
      <c r="V3111" s="7"/>
      <c r="W3111" s="7"/>
      <c r="X3111" s="7"/>
      <c r="Y3111" s="7"/>
    </row>
    <row r="3112">
      <c r="A3112" s="14" t="s">
        <v>11167</v>
      </c>
      <c r="B3112" s="17" t="s">
        <v>11168</v>
      </c>
      <c r="C3112" s="17" t="s">
        <v>11169</v>
      </c>
      <c r="D3112" s="19" t="s">
        <v>11170</v>
      </c>
      <c r="E3112" s="20" t="s">
        <v>7293</v>
      </c>
      <c r="F3112" s="21">
        <v>26666.0</v>
      </c>
      <c r="G3112" s="14">
        <v>53.0</v>
      </c>
      <c r="H3112" s="23" t="s">
        <v>26</v>
      </c>
      <c r="I3112" s="24" t="s">
        <v>33</v>
      </c>
      <c r="J3112" s="19" t="s">
        <v>282</v>
      </c>
      <c r="K3112" s="14">
        <v>16.0</v>
      </c>
      <c r="L3112" s="7"/>
      <c r="M3112" s="7"/>
      <c r="N3112" s="7"/>
      <c r="O3112" s="7"/>
      <c r="P3112" s="7"/>
      <c r="Q3112" s="7"/>
      <c r="R3112" s="7"/>
      <c r="S3112" s="7"/>
      <c r="T3112" s="7"/>
      <c r="U3112" s="7"/>
      <c r="V3112" s="7"/>
      <c r="W3112" s="7"/>
      <c r="X3112" s="7"/>
      <c r="Y3112" s="7"/>
    </row>
    <row r="3113">
      <c r="A3113" s="14" t="s">
        <v>11171</v>
      </c>
      <c r="B3113" s="17" t="s">
        <v>11168</v>
      </c>
      <c r="C3113" s="17" t="s">
        <v>11172</v>
      </c>
      <c r="D3113" s="19" t="s">
        <v>512</v>
      </c>
      <c r="E3113" s="20" t="s">
        <v>11173</v>
      </c>
      <c r="F3113" s="21">
        <v>31959.0</v>
      </c>
      <c r="G3113" s="14">
        <v>39.0</v>
      </c>
      <c r="H3113" s="23" t="s">
        <v>26</v>
      </c>
      <c r="I3113" s="24" t="s">
        <v>27</v>
      </c>
      <c r="J3113" s="19" t="s">
        <v>282</v>
      </c>
      <c r="K3113" s="14">
        <v>16.0</v>
      </c>
      <c r="L3113" s="7"/>
      <c r="M3113" s="7"/>
      <c r="N3113" s="7"/>
      <c r="O3113" s="7"/>
      <c r="P3113" s="7"/>
      <c r="Q3113" s="7"/>
      <c r="R3113" s="7"/>
      <c r="S3113" s="7"/>
      <c r="T3113" s="7"/>
      <c r="U3113" s="7"/>
      <c r="V3113" s="7"/>
      <c r="W3113" s="7"/>
      <c r="X3113" s="7"/>
      <c r="Y3113" s="7"/>
    </row>
    <row r="3114">
      <c r="A3114" s="14" t="s">
        <v>11174</v>
      </c>
      <c r="B3114" s="17" t="s">
        <v>11175</v>
      </c>
      <c r="C3114" s="17" t="s">
        <v>11176</v>
      </c>
      <c r="D3114" s="19" t="s">
        <v>11017</v>
      </c>
      <c r="E3114" s="20" t="s">
        <v>138</v>
      </c>
      <c r="F3114" s="21">
        <v>30809.0</v>
      </c>
      <c r="G3114" s="14">
        <v>42.0</v>
      </c>
      <c r="H3114" s="23" t="s">
        <v>26</v>
      </c>
      <c r="I3114" s="24" t="s">
        <v>27</v>
      </c>
      <c r="J3114" s="19" t="s">
        <v>11177</v>
      </c>
      <c r="K3114" s="14">
        <v>25.0</v>
      </c>
      <c r="L3114" s="7"/>
      <c r="M3114" s="7"/>
      <c r="N3114" s="7"/>
      <c r="O3114" s="7"/>
      <c r="P3114" s="7"/>
      <c r="Q3114" s="7"/>
      <c r="R3114" s="7"/>
      <c r="S3114" s="7"/>
      <c r="T3114" s="7"/>
      <c r="U3114" s="7"/>
      <c r="V3114" s="7"/>
      <c r="W3114" s="7"/>
      <c r="X3114" s="7"/>
      <c r="Y3114" s="7"/>
    </row>
    <row r="3115">
      <c r="A3115" s="14" t="s">
        <v>11178</v>
      </c>
      <c r="B3115" s="17" t="s">
        <v>11175</v>
      </c>
      <c r="C3115" s="17" t="s">
        <v>11179</v>
      </c>
      <c r="D3115" s="19" t="s">
        <v>11180</v>
      </c>
      <c r="E3115" s="20" t="s">
        <v>53</v>
      </c>
      <c r="F3115" s="27">
        <v>30599.0</v>
      </c>
      <c r="G3115" s="14">
        <v>42.0</v>
      </c>
      <c r="H3115" s="23" t="s">
        <v>26</v>
      </c>
      <c r="I3115" s="24" t="s">
        <v>33</v>
      </c>
      <c r="J3115" s="19" t="s">
        <v>11177</v>
      </c>
      <c r="K3115" s="14">
        <v>25.0</v>
      </c>
      <c r="L3115" s="7"/>
      <c r="M3115" s="7"/>
      <c r="N3115" s="7"/>
      <c r="O3115" s="7"/>
      <c r="P3115" s="7"/>
      <c r="Q3115" s="7"/>
      <c r="R3115" s="7"/>
      <c r="S3115" s="7"/>
      <c r="T3115" s="7"/>
      <c r="U3115" s="7"/>
      <c r="V3115" s="7"/>
      <c r="W3115" s="7"/>
      <c r="X3115" s="7"/>
      <c r="Y3115" s="7"/>
    </row>
    <row r="3116">
      <c r="A3116" s="14" t="s">
        <v>11181</v>
      </c>
      <c r="B3116" s="17" t="s">
        <v>11175</v>
      </c>
      <c r="C3116" s="17" t="s">
        <v>11182</v>
      </c>
      <c r="D3116" s="19" t="s">
        <v>11183</v>
      </c>
      <c r="E3116" s="20" t="s">
        <v>53</v>
      </c>
      <c r="F3116" s="21">
        <v>38899.0</v>
      </c>
      <c r="G3116" s="14">
        <v>20.0</v>
      </c>
      <c r="H3116" s="23" t="s">
        <v>100</v>
      </c>
      <c r="I3116" s="24" t="s">
        <v>33</v>
      </c>
      <c r="J3116" s="19" t="s">
        <v>328</v>
      </c>
      <c r="K3116" s="14">
        <v>25.0</v>
      </c>
      <c r="L3116" s="7"/>
      <c r="M3116" s="7"/>
      <c r="N3116" s="7"/>
      <c r="O3116" s="7"/>
      <c r="P3116" s="7"/>
      <c r="Q3116" s="7"/>
      <c r="R3116" s="7"/>
      <c r="S3116" s="7"/>
      <c r="T3116" s="7"/>
      <c r="U3116" s="7"/>
      <c r="V3116" s="7"/>
      <c r="W3116" s="7"/>
      <c r="X3116" s="7"/>
      <c r="Y3116" s="7"/>
    </row>
    <row r="3117">
      <c r="A3117" s="14" t="s">
        <v>11184</v>
      </c>
      <c r="B3117" s="17" t="s">
        <v>11185</v>
      </c>
      <c r="C3117" s="17" t="s">
        <v>11186</v>
      </c>
      <c r="D3117" s="19" t="s">
        <v>11187</v>
      </c>
      <c r="E3117" s="20" t="s">
        <v>104</v>
      </c>
      <c r="F3117" s="27">
        <v>39010.0</v>
      </c>
      <c r="G3117" s="14">
        <v>19.0</v>
      </c>
      <c r="H3117" s="23" t="s">
        <v>100</v>
      </c>
      <c r="I3117" s="24" t="s">
        <v>27</v>
      </c>
      <c r="J3117" s="19" t="s">
        <v>362</v>
      </c>
      <c r="K3117" s="14">
        <v>26.0</v>
      </c>
      <c r="L3117" s="7"/>
      <c r="M3117" s="7"/>
      <c r="N3117" s="7"/>
      <c r="O3117" s="7"/>
      <c r="P3117" s="7"/>
      <c r="Q3117" s="7"/>
      <c r="R3117" s="7"/>
      <c r="S3117" s="7"/>
      <c r="T3117" s="7"/>
      <c r="U3117" s="7"/>
      <c r="V3117" s="7"/>
      <c r="W3117" s="7"/>
      <c r="X3117" s="7"/>
      <c r="Y3117" s="7"/>
    </row>
    <row r="3118">
      <c r="A3118" s="14" t="s">
        <v>11188</v>
      </c>
      <c r="B3118" s="17" t="s">
        <v>11185</v>
      </c>
      <c r="C3118" s="17" t="s">
        <v>11189</v>
      </c>
      <c r="D3118" s="19" t="s">
        <v>11190</v>
      </c>
      <c r="E3118" s="20" t="s">
        <v>138</v>
      </c>
      <c r="F3118" s="27">
        <v>30609.0</v>
      </c>
      <c r="G3118" s="14">
        <v>42.0</v>
      </c>
      <c r="H3118" s="23" t="s">
        <v>26</v>
      </c>
      <c r="I3118" s="24" t="s">
        <v>27</v>
      </c>
      <c r="J3118" s="19" t="s">
        <v>362</v>
      </c>
      <c r="K3118" s="14">
        <v>26.0</v>
      </c>
      <c r="L3118" s="7"/>
      <c r="M3118" s="7"/>
      <c r="N3118" s="7"/>
      <c r="O3118" s="7"/>
      <c r="P3118" s="7"/>
      <c r="Q3118" s="7"/>
      <c r="R3118" s="7"/>
      <c r="S3118" s="7"/>
      <c r="T3118" s="7"/>
      <c r="U3118" s="7"/>
      <c r="V3118" s="7"/>
      <c r="W3118" s="7"/>
      <c r="X3118" s="7"/>
      <c r="Y3118" s="7"/>
    </row>
    <row r="3119">
      <c r="A3119" s="14" t="s">
        <v>11191</v>
      </c>
      <c r="B3119" s="17" t="s">
        <v>11185</v>
      </c>
      <c r="C3119" s="17" t="s">
        <v>11192</v>
      </c>
      <c r="D3119" s="19" t="s">
        <v>11193</v>
      </c>
      <c r="E3119" s="20" t="s">
        <v>11194</v>
      </c>
      <c r="F3119" s="21">
        <v>29743.0</v>
      </c>
      <c r="G3119" s="14">
        <v>45.0</v>
      </c>
      <c r="H3119" s="23" t="s">
        <v>26</v>
      </c>
      <c r="I3119" s="24" t="s">
        <v>33</v>
      </c>
      <c r="J3119" s="19" t="s">
        <v>362</v>
      </c>
      <c r="K3119" s="14">
        <v>26.0</v>
      </c>
      <c r="L3119" s="7"/>
      <c r="M3119" s="7"/>
      <c r="N3119" s="7"/>
      <c r="O3119" s="7"/>
      <c r="P3119" s="7"/>
      <c r="Q3119" s="7"/>
      <c r="R3119" s="7"/>
      <c r="S3119" s="7"/>
      <c r="T3119" s="7"/>
      <c r="U3119" s="7"/>
      <c r="V3119" s="7"/>
      <c r="W3119" s="7"/>
      <c r="X3119" s="7"/>
      <c r="Y3119" s="7"/>
    </row>
    <row r="3120">
      <c r="A3120" s="14" t="s">
        <v>11195</v>
      </c>
      <c r="B3120" s="17" t="s">
        <v>11196</v>
      </c>
      <c r="C3120" s="17" t="s">
        <v>11197</v>
      </c>
      <c r="D3120" s="19" t="s">
        <v>11198</v>
      </c>
      <c r="E3120" s="20" t="s">
        <v>403</v>
      </c>
      <c r="F3120" s="21">
        <v>27769.0</v>
      </c>
      <c r="G3120" s="14">
        <v>50.0</v>
      </c>
      <c r="H3120" s="23" t="s">
        <v>27</v>
      </c>
      <c r="I3120" s="24" t="s">
        <v>33</v>
      </c>
      <c r="J3120" s="19" t="s">
        <v>68</v>
      </c>
      <c r="K3120" s="14">
        <v>35.0</v>
      </c>
      <c r="L3120" s="7"/>
      <c r="M3120" s="7"/>
      <c r="N3120" s="7"/>
      <c r="O3120" s="7"/>
      <c r="P3120" s="7"/>
      <c r="Q3120" s="7"/>
      <c r="R3120" s="7"/>
      <c r="S3120" s="7"/>
      <c r="T3120" s="7"/>
      <c r="U3120" s="7"/>
      <c r="V3120" s="7"/>
      <c r="W3120" s="7"/>
      <c r="X3120" s="7"/>
      <c r="Y3120" s="7"/>
    </row>
    <row r="3121">
      <c r="A3121" s="14" t="s">
        <v>11199</v>
      </c>
      <c r="B3121" s="17" t="s">
        <v>11200</v>
      </c>
      <c r="C3121" s="17" t="s">
        <v>11201</v>
      </c>
      <c r="D3121" s="19" t="s">
        <v>11202</v>
      </c>
      <c r="E3121" s="20" t="s">
        <v>104</v>
      </c>
      <c r="F3121" s="21">
        <v>37841.0</v>
      </c>
      <c r="G3121" s="14">
        <v>23.0</v>
      </c>
      <c r="H3121" s="23" t="s">
        <v>100</v>
      </c>
      <c r="I3121" s="24" t="s">
        <v>27</v>
      </c>
      <c r="J3121" s="19" t="s">
        <v>104</v>
      </c>
      <c r="K3121" s="14">
        <v>14.0</v>
      </c>
      <c r="L3121" s="7"/>
      <c r="M3121" s="7"/>
      <c r="N3121" s="7"/>
      <c r="O3121" s="7"/>
      <c r="P3121" s="7"/>
      <c r="Q3121" s="7"/>
      <c r="R3121" s="7"/>
      <c r="S3121" s="7"/>
      <c r="T3121" s="7"/>
      <c r="U3121" s="7"/>
      <c r="V3121" s="7"/>
      <c r="W3121" s="7"/>
      <c r="X3121" s="7"/>
      <c r="Y3121" s="7"/>
    </row>
    <row r="3122">
      <c r="A3122" s="14" t="s">
        <v>11204</v>
      </c>
      <c r="B3122" s="17" t="s">
        <v>11200</v>
      </c>
      <c r="C3122" s="17" t="s">
        <v>11205</v>
      </c>
      <c r="D3122" s="19" t="s">
        <v>9296</v>
      </c>
      <c r="E3122" s="20" t="s">
        <v>104</v>
      </c>
      <c r="F3122" s="21">
        <v>31133.0</v>
      </c>
      <c r="G3122" s="14">
        <v>41.0</v>
      </c>
      <c r="H3122" s="23" t="s">
        <v>26</v>
      </c>
      <c r="I3122" s="24" t="s">
        <v>27</v>
      </c>
      <c r="J3122" s="19" t="s">
        <v>104</v>
      </c>
      <c r="K3122" s="14">
        <v>14.0</v>
      </c>
      <c r="L3122" s="7"/>
      <c r="M3122" s="7"/>
      <c r="N3122" s="7"/>
      <c r="O3122" s="7"/>
      <c r="P3122" s="7"/>
      <c r="Q3122" s="7"/>
      <c r="R3122" s="7"/>
      <c r="S3122" s="7"/>
      <c r="T3122" s="7"/>
      <c r="U3122" s="7"/>
      <c r="V3122" s="7"/>
      <c r="W3122" s="7"/>
      <c r="X3122" s="7"/>
      <c r="Y3122" s="7"/>
    </row>
    <row r="3123">
      <c r="A3123" s="14" t="s">
        <v>11206</v>
      </c>
      <c r="B3123" s="17" t="s">
        <v>11200</v>
      </c>
      <c r="C3123" s="17" t="s">
        <v>11207</v>
      </c>
      <c r="D3123" s="19" t="s">
        <v>11208</v>
      </c>
      <c r="E3123" s="20" t="s">
        <v>11209</v>
      </c>
      <c r="F3123" s="21">
        <v>27405.0</v>
      </c>
      <c r="G3123" s="14">
        <v>51.0</v>
      </c>
      <c r="H3123" s="23" t="s">
        <v>26</v>
      </c>
      <c r="I3123" s="24" t="s">
        <v>33</v>
      </c>
      <c r="J3123" s="19" t="s">
        <v>104</v>
      </c>
      <c r="K3123" s="14">
        <v>14.0</v>
      </c>
      <c r="L3123" s="7"/>
      <c r="M3123" s="7"/>
      <c r="N3123" s="7"/>
      <c r="O3123" s="7"/>
      <c r="P3123" s="7"/>
      <c r="Q3123" s="7"/>
      <c r="R3123" s="7"/>
      <c r="S3123" s="7"/>
      <c r="T3123" s="7"/>
      <c r="U3123" s="7"/>
      <c r="V3123" s="7"/>
      <c r="W3123" s="7"/>
      <c r="X3123" s="7"/>
      <c r="Y3123" s="7"/>
    </row>
    <row r="3124">
      <c r="A3124" s="14" t="s">
        <v>11210</v>
      </c>
      <c r="B3124" s="17" t="s">
        <v>11211</v>
      </c>
      <c r="C3124" s="17" t="s">
        <v>11212</v>
      </c>
      <c r="D3124" s="19" t="s">
        <v>11213</v>
      </c>
      <c r="E3124" s="20" t="s">
        <v>11214</v>
      </c>
      <c r="F3124" s="21">
        <v>28247.0</v>
      </c>
      <c r="G3124" s="14">
        <v>49.0</v>
      </c>
      <c r="H3124" s="23" t="s">
        <v>26</v>
      </c>
      <c r="I3124" s="24" t="s">
        <v>33</v>
      </c>
      <c r="J3124" s="19" t="s">
        <v>328</v>
      </c>
      <c r="K3124" s="14">
        <v>27.0</v>
      </c>
      <c r="L3124" s="7"/>
      <c r="M3124" s="7"/>
      <c r="N3124" s="7"/>
      <c r="O3124" s="7"/>
      <c r="P3124" s="7"/>
      <c r="Q3124" s="7"/>
      <c r="R3124" s="7"/>
      <c r="S3124" s="7"/>
      <c r="T3124" s="7"/>
      <c r="U3124" s="7"/>
      <c r="V3124" s="7"/>
      <c r="W3124" s="7"/>
      <c r="X3124" s="7"/>
      <c r="Y3124" s="7"/>
    </row>
    <row r="3125">
      <c r="A3125" s="14" t="s">
        <v>11215</v>
      </c>
      <c r="B3125" s="17" t="s">
        <v>11211</v>
      </c>
      <c r="C3125" s="17" t="s">
        <v>11216</v>
      </c>
      <c r="D3125" s="19" t="s">
        <v>11217</v>
      </c>
      <c r="E3125" s="20" t="s">
        <v>138</v>
      </c>
      <c r="F3125" s="27">
        <v>39002.0</v>
      </c>
      <c r="G3125" s="14">
        <v>19.0</v>
      </c>
      <c r="H3125" s="23" t="s">
        <v>100</v>
      </c>
      <c r="I3125" s="24" t="s">
        <v>27</v>
      </c>
      <c r="J3125" s="19" t="s">
        <v>328</v>
      </c>
      <c r="K3125" s="14">
        <v>27.0</v>
      </c>
      <c r="L3125" s="7"/>
      <c r="M3125" s="7"/>
      <c r="N3125" s="7"/>
      <c r="O3125" s="7"/>
      <c r="P3125" s="7"/>
      <c r="Q3125" s="7"/>
      <c r="R3125" s="7"/>
      <c r="S3125" s="7"/>
      <c r="T3125" s="7"/>
      <c r="U3125" s="7"/>
      <c r="V3125" s="7"/>
      <c r="W3125" s="7"/>
      <c r="X3125" s="7"/>
      <c r="Y3125" s="7"/>
    </row>
    <row r="3126">
      <c r="A3126" s="14" t="s">
        <v>11218</v>
      </c>
      <c r="B3126" s="17" t="s">
        <v>11211</v>
      </c>
      <c r="C3126" s="17" t="s">
        <v>11219</v>
      </c>
      <c r="D3126" s="19" t="s">
        <v>11220</v>
      </c>
      <c r="E3126" s="20" t="s">
        <v>5054</v>
      </c>
      <c r="F3126" s="21">
        <v>31054.0</v>
      </c>
      <c r="G3126" s="14">
        <v>41.0</v>
      </c>
      <c r="H3126" s="23" t="s">
        <v>26</v>
      </c>
      <c r="I3126" s="24" t="s">
        <v>27</v>
      </c>
      <c r="J3126" s="19" t="s">
        <v>328</v>
      </c>
      <c r="K3126" s="14">
        <v>27.0</v>
      </c>
      <c r="L3126" s="7"/>
      <c r="M3126" s="7"/>
      <c r="N3126" s="7"/>
      <c r="O3126" s="7"/>
      <c r="P3126" s="7"/>
      <c r="Q3126" s="7"/>
      <c r="R3126" s="7"/>
      <c r="S3126" s="7"/>
      <c r="T3126" s="7"/>
      <c r="U3126" s="7"/>
      <c r="V3126" s="7"/>
      <c r="W3126" s="7"/>
      <c r="X3126" s="7"/>
      <c r="Y3126" s="7"/>
    </row>
    <row r="3127">
      <c r="A3127" s="14" t="s">
        <v>11221</v>
      </c>
      <c r="B3127" s="17" t="s">
        <v>11222</v>
      </c>
      <c r="C3127" s="17" t="s">
        <v>11223</v>
      </c>
      <c r="D3127" s="19" t="s">
        <v>11224</v>
      </c>
      <c r="E3127" s="20" t="s">
        <v>104</v>
      </c>
      <c r="F3127" s="21">
        <v>37505.0</v>
      </c>
      <c r="G3127" s="14">
        <v>23.0</v>
      </c>
      <c r="H3127" s="23" t="s">
        <v>100</v>
      </c>
      <c r="I3127" s="24" t="s">
        <v>33</v>
      </c>
      <c r="J3127" s="19" t="s">
        <v>282</v>
      </c>
      <c r="K3127" s="14">
        <v>14.0</v>
      </c>
      <c r="L3127" s="7"/>
      <c r="M3127" s="7"/>
      <c r="N3127" s="7"/>
      <c r="O3127" s="7"/>
      <c r="P3127" s="7"/>
      <c r="Q3127" s="7"/>
      <c r="R3127" s="7"/>
      <c r="S3127" s="7"/>
      <c r="T3127" s="7"/>
      <c r="U3127" s="7"/>
      <c r="V3127" s="7"/>
      <c r="W3127" s="7"/>
      <c r="X3127" s="7"/>
      <c r="Y3127" s="7"/>
    </row>
    <row r="3128">
      <c r="A3128" s="14" t="s">
        <v>11225</v>
      </c>
      <c r="B3128" s="17" t="s">
        <v>11222</v>
      </c>
      <c r="C3128" s="17" t="s">
        <v>11226</v>
      </c>
      <c r="D3128" s="19" t="s">
        <v>11227</v>
      </c>
      <c r="E3128" s="20" t="s">
        <v>11228</v>
      </c>
      <c r="F3128" s="21">
        <v>22556.0</v>
      </c>
      <c r="G3128" s="14">
        <v>64.0</v>
      </c>
      <c r="H3128" s="23" t="s">
        <v>26</v>
      </c>
      <c r="I3128" s="24" t="s">
        <v>33</v>
      </c>
      <c r="J3128" s="19" t="s">
        <v>282</v>
      </c>
      <c r="K3128" s="14">
        <v>14.0</v>
      </c>
      <c r="L3128" s="7"/>
      <c r="M3128" s="7"/>
      <c r="N3128" s="7"/>
      <c r="O3128" s="7"/>
      <c r="P3128" s="7"/>
      <c r="Q3128" s="7"/>
      <c r="R3128" s="7"/>
      <c r="S3128" s="7"/>
      <c r="T3128" s="7"/>
      <c r="U3128" s="7"/>
      <c r="V3128" s="7"/>
      <c r="W3128" s="7"/>
      <c r="X3128" s="7"/>
      <c r="Y3128" s="7"/>
    </row>
    <row r="3129">
      <c r="A3129" s="14" t="s">
        <v>11229</v>
      </c>
      <c r="B3129" s="17" t="s">
        <v>11222</v>
      </c>
      <c r="C3129" s="17" t="s">
        <v>11230</v>
      </c>
      <c r="D3129" s="19" t="s">
        <v>11231</v>
      </c>
      <c r="E3129" s="20" t="s">
        <v>11228</v>
      </c>
      <c r="F3129" s="27">
        <v>23665.0</v>
      </c>
      <c r="G3129" s="14">
        <v>61.0</v>
      </c>
      <c r="H3129" s="23" t="s">
        <v>26</v>
      </c>
      <c r="I3129" s="24" t="s">
        <v>27</v>
      </c>
      <c r="J3129" s="19" t="s">
        <v>282</v>
      </c>
      <c r="K3129" s="14">
        <v>14.0</v>
      </c>
      <c r="L3129" s="7"/>
      <c r="M3129" s="7"/>
      <c r="N3129" s="7"/>
      <c r="O3129" s="7"/>
      <c r="P3129" s="7"/>
      <c r="Q3129" s="7"/>
      <c r="R3129" s="7"/>
      <c r="S3129" s="7"/>
      <c r="T3129" s="7"/>
      <c r="U3129" s="7"/>
      <c r="V3129" s="7"/>
      <c r="W3129" s="7"/>
      <c r="X3129" s="7"/>
      <c r="Y3129" s="7"/>
    </row>
    <row r="3130">
      <c r="A3130" s="14" t="s">
        <v>11232</v>
      </c>
      <c r="B3130" s="17" t="s">
        <v>11233</v>
      </c>
      <c r="C3130" s="17" t="s">
        <v>11234</v>
      </c>
      <c r="D3130" s="19" t="s">
        <v>11235</v>
      </c>
      <c r="E3130" s="20" t="s">
        <v>219</v>
      </c>
      <c r="F3130" s="21">
        <v>32269.0</v>
      </c>
      <c r="G3130" s="14">
        <v>38.0</v>
      </c>
      <c r="H3130" s="23" t="s">
        <v>26</v>
      </c>
      <c r="I3130" s="24" t="s">
        <v>27</v>
      </c>
      <c r="J3130" s="19" t="s">
        <v>104</v>
      </c>
      <c r="K3130" s="14">
        <v>14.0</v>
      </c>
      <c r="L3130" s="7"/>
      <c r="M3130" s="7"/>
      <c r="N3130" s="7"/>
      <c r="O3130" s="7"/>
      <c r="P3130" s="7"/>
      <c r="Q3130" s="7"/>
      <c r="R3130" s="7"/>
      <c r="S3130" s="7"/>
      <c r="T3130" s="7"/>
      <c r="U3130" s="7"/>
      <c r="V3130" s="7"/>
      <c r="W3130" s="7"/>
      <c r="X3130" s="7"/>
      <c r="Y3130" s="7"/>
    </row>
    <row r="3131">
      <c r="A3131" s="14" t="s">
        <v>11236</v>
      </c>
      <c r="B3131" s="17" t="s">
        <v>11233</v>
      </c>
      <c r="C3131" s="17" t="s">
        <v>11237</v>
      </c>
      <c r="D3131" s="19" t="s">
        <v>11238</v>
      </c>
      <c r="E3131" s="20" t="s">
        <v>104</v>
      </c>
      <c r="F3131" s="21">
        <v>31904.0</v>
      </c>
      <c r="G3131" s="14">
        <v>39.0</v>
      </c>
      <c r="H3131" s="23" t="s">
        <v>26</v>
      </c>
      <c r="I3131" s="24" t="s">
        <v>33</v>
      </c>
      <c r="J3131" s="19" t="s">
        <v>104</v>
      </c>
      <c r="K3131" s="14">
        <v>14.0</v>
      </c>
      <c r="L3131" s="7"/>
      <c r="M3131" s="7"/>
      <c r="N3131" s="7"/>
      <c r="O3131" s="7"/>
      <c r="P3131" s="7"/>
      <c r="Q3131" s="7"/>
      <c r="R3131" s="7"/>
      <c r="S3131" s="7"/>
      <c r="T3131" s="7"/>
      <c r="U3131" s="7"/>
      <c r="V3131" s="7"/>
      <c r="W3131" s="7"/>
      <c r="X3131" s="7"/>
      <c r="Y3131" s="7"/>
    </row>
    <row r="3132">
      <c r="A3132" s="14" t="s">
        <v>11239</v>
      </c>
      <c r="B3132" s="17" t="s">
        <v>11240</v>
      </c>
      <c r="C3132" s="17" t="s">
        <v>11241</v>
      </c>
      <c r="D3132" s="19" t="s">
        <v>11242</v>
      </c>
      <c r="E3132" s="20" t="s">
        <v>11228</v>
      </c>
      <c r="F3132" s="21">
        <v>27520.0</v>
      </c>
      <c r="G3132" s="14">
        <v>51.0</v>
      </c>
      <c r="H3132" s="23" t="s">
        <v>26</v>
      </c>
      <c r="I3132" s="24" t="s">
        <v>27</v>
      </c>
      <c r="J3132" s="19" t="s">
        <v>104</v>
      </c>
      <c r="K3132" s="14">
        <v>24.0</v>
      </c>
      <c r="L3132" s="7"/>
      <c r="M3132" s="7"/>
      <c r="N3132" s="7"/>
      <c r="O3132" s="7"/>
      <c r="P3132" s="7"/>
      <c r="Q3132" s="7"/>
      <c r="R3132" s="7"/>
      <c r="S3132" s="7"/>
      <c r="T3132" s="7"/>
      <c r="U3132" s="7"/>
      <c r="V3132" s="7"/>
      <c r="W3132" s="7"/>
      <c r="X3132" s="7"/>
      <c r="Y3132" s="7"/>
    </row>
    <row r="3133">
      <c r="A3133" s="14" t="s">
        <v>11243</v>
      </c>
      <c r="B3133" s="17" t="s">
        <v>11240</v>
      </c>
      <c r="C3133" s="17" t="s">
        <v>11244</v>
      </c>
      <c r="D3133" s="19" t="s">
        <v>11245</v>
      </c>
      <c r="E3133" s="20" t="s">
        <v>11228</v>
      </c>
      <c r="F3133" s="27">
        <v>25187.0</v>
      </c>
      <c r="G3133" s="14">
        <v>57.0</v>
      </c>
      <c r="H3133" s="23" t="s">
        <v>26</v>
      </c>
      <c r="I3133" s="24" t="s">
        <v>33</v>
      </c>
      <c r="J3133" s="19" t="s">
        <v>104</v>
      </c>
      <c r="K3133" s="14">
        <v>24.0</v>
      </c>
      <c r="L3133" s="7"/>
      <c r="M3133" s="7"/>
      <c r="N3133" s="7"/>
      <c r="O3133" s="7"/>
      <c r="P3133" s="7"/>
      <c r="Q3133" s="7"/>
      <c r="R3133" s="7"/>
      <c r="S3133" s="7"/>
      <c r="T3133" s="7"/>
      <c r="U3133" s="7"/>
      <c r="V3133" s="7"/>
      <c r="W3133" s="7"/>
      <c r="X3133" s="7"/>
      <c r="Y3133" s="7"/>
    </row>
    <row r="3134">
      <c r="A3134" s="14" t="s">
        <v>11246</v>
      </c>
      <c r="B3134" s="17" t="s">
        <v>11240</v>
      </c>
      <c r="C3134" s="17" t="s">
        <v>11247</v>
      </c>
      <c r="D3134" s="19" t="s">
        <v>11248</v>
      </c>
      <c r="E3134" s="20" t="s">
        <v>104</v>
      </c>
      <c r="F3134" s="21">
        <v>38913.0</v>
      </c>
      <c r="G3134" s="14">
        <v>20.0</v>
      </c>
      <c r="H3134" s="23" t="s">
        <v>100</v>
      </c>
      <c r="I3134" s="24" t="s">
        <v>33</v>
      </c>
      <c r="J3134" s="19" t="s">
        <v>104</v>
      </c>
      <c r="K3134" s="14">
        <v>24.0</v>
      </c>
      <c r="L3134" s="7"/>
      <c r="M3134" s="7"/>
      <c r="N3134" s="7"/>
      <c r="O3134" s="7"/>
      <c r="P3134" s="7"/>
      <c r="Q3134" s="7"/>
      <c r="R3134" s="7"/>
      <c r="S3134" s="7"/>
      <c r="T3134" s="7"/>
      <c r="U3134" s="7"/>
      <c r="V3134" s="7"/>
      <c r="W3134" s="7"/>
      <c r="X3134" s="7"/>
      <c r="Y3134" s="7"/>
    </row>
    <row r="3135">
      <c r="A3135" s="14" t="s">
        <v>11249</v>
      </c>
      <c r="B3135" s="17" t="s">
        <v>11250</v>
      </c>
      <c r="C3135" s="17" t="s">
        <v>11251</v>
      </c>
      <c r="D3135" s="19" t="s">
        <v>11252</v>
      </c>
      <c r="E3135" s="20" t="s">
        <v>210</v>
      </c>
      <c r="F3135" s="21">
        <v>28347.0</v>
      </c>
      <c r="G3135" s="14">
        <v>49.0</v>
      </c>
      <c r="H3135" s="23" t="s">
        <v>26</v>
      </c>
      <c r="I3135" s="24" t="s">
        <v>33</v>
      </c>
      <c r="J3135" s="19" t="s">
        <v>282</v>
      </c>
      <c r="K3135" s="14">
        <v>14.0</v>
      </c>
      <c r="L3135" s="7"/>
      <c r="M3135" s="7"/>
      <c r="N3135" s="7"/>
      <c r="O3135" s="7"/>
      <c r="P3135" s="7"/>
      <c r="Q3135" s="7"/>
      <c r="R3135" s="7"/>
      <c r="S3135" s="7"/>
      <c r="T3135" s="7"/>
      <c r="U3135" s="7"/>
      <c r="V3135" s="7"/>
      <c r="W3135" s="7"/>
      <c r="X3135" s="7"/>
      <c r="Y3135" s="7"/>
    </row>
    <row r="3136">
      <c r="A3136" s="14" t="s">
        <v>11253</v>
      </c>
      <c r="B3136" s="17" t="s">
        <v>11250</v>
      </c>
      <c r="C3136" s="17" t="s">
        <v>11254</v>
      </c>
      <c r="D3136" s="19" t="s">
        <v>11255</v>
      </c>
      <c r="E3136" s="20" t="s">
        <v>104</v>
      </c>
      <c r="F3136" s="21">
        <v>30508.0</v>
      </c>
      <c r="G3136" s="14">
        <v>43.0</v>
      </c>
      <c r="H3136" s="23" t="s">
        <v>26</v>
      </c>
      <c r="I3136" s="24" t="s">
        <v>27</v>
      </c>
      <c r="J3136" s="19" t="s">
        <v>282</v>
      </c>
      <c r="K3136" s="14">
        <v>14.0</v>
      </c>
      <c r="L3136" s="7"/>
      <c r="M3136" s="7"/>
      <c r="N3136" s="7"/>
      <c r="O3136" s="7"/>
      <c r="P3136" s="7"/>
      <c r="Q3136" s="7"/>
      <c r="R3136" s="7"/>
      <c r="S3136" s="7"/>
      <c r="T3136" s="7"/>
      <c r="U3136" s="7"/>
      <c r="V3136" s="7"/>
      <c r="W3136" s="7"/>
      <c r="X3136" s="7"/>
      <c r="Y3136" s="7"/>
    </row>
    <row r="3137">
      <c r="A3137" s="14" t="s">
        <v>11256</v>
      </c>
      <c r="B3137" s="17" t="s">
        <v>11257</v>
      </c>
      <c r="C3137" s="17" t="s">
        <v>11258</v>
      </c>
      <c r="D3137" s="19" t="s">
        <v>11259</v>
      </c>
      <c r="E3137" s="20" t="s">
        <v>1291</v>
      </c>
      <c r="F3137" s="27">
        <v>26587.0</v>
      </c>
      <c r="G3137" s="14">
        <v>53.0</v>
      </c>
      <c r="H3137" s="23" t="s">
        <v>26</v>
      </c>
      <c r="I3137" s="24" t="s">
        <v>33</v>
      </c>
      <c r="J3137" s="19" t="s">
        <v>156</v>
      </c>
      <c r="K3137" s="14">
        <v>33.0</v>
      </c>
      <c r="L3137" s="7"/>
      <c r="M3137" s="7"/>
      <c r="N3137" s="7"/>
      <c r="O3137" s="7"/>
      <c r="P3137" s="7"/>
      <c r="Q3137" s="7"/>
      <c r="R3137" s="7"/>
      <c r="S3137" s="7"/>
      <c r="T3137" s="7"/>
      <c r="U3137" s="7"/>
      <c r="V3137" s="7"/>
      <c r="W3137" s="7"/>
      <c r="X3137" s="7"/>
      <c r="Y3137" s="7"/>
    </row>
    <row r="3138">
      <c r="A3138" s="14" t="s">
        <v>11260</v>
      </c>
      <c r="B3138" s="17" t="s">
        <v>11261</v>
      </c>
      <c r="C3138" s="17" t="s">
        <v>11262</v>
      </c>
      <c r="D3138" s="19" t="s">
        <v>10670</v>
      </c>
      <c r="E3138" s="20" t="s">
        <v>104</v>
      </c>
      <c r="F3138" s="21">
        <v>29344.0</v>
      </c>
      <c r="G3138" s="14">
        <v>46.0</v>
      </c>
      <c r="H3138" s="23" t="s">
        <v>26</v>
      </c>
      <c r="I3138" s="24" t="s">
        <v>33</v>
      </c>
      <c r="J3138" s="19" t="s">
        <v>362</v>
      </c>
      <c r="K3138" s="14">
        <v>24.0</v>
      </c>
      <c r="L3138" s="7"/>
      <c r="M3138" s="7"/>
      <c r="N3138" s="7"/>
      <c r="O3138" s="7"/>
      <c r="P3138" s="7"/>
      <c r="Q3138" s="7"/>
      <c r="R3138" s="7"/>
      <c r="S3138" s="7"/>
      <c r="T3138" s="7"/>
      <c r="U3138" s="7"/>
      <c r="V3138" s="7"/>
      <c r="W3138" s="7"/>
      <c r="X3138" s="7"/>
      <c r="Y3138" s="7"/>
    </row>
    <row r="3139">
      <c r="A3139" s="14" t="s">
        <v>11263</v>
      </c>
      <c r="B3139" s="17" t="s">
        <v>11261</v>
      </c>
      <c r="C3139" s="17" t="s">
        <v>11264</v>
      </c>
      <c r="D3139" s="19" t="s">
        <v>6901</v>
      </c>
      <c r="E3139" s="20" t="s">
        <v>11265</v>
      </c>
      <c r="F3139" s="21">
        <v>28176.0</v>
      </c>
      <c r="G3139" s="14">
        <v>49.0</v>
      </c>
      <c r="H3139" s="23" t="s">
        <v>26</v>
      </c>
      <c r="I3139" s="24" t="s">
        <v>27</v>
      </c>
      <c r="J3139" s="19" t="s">
        <v>362</v>
      </c>
      <c r="K3139" s="14">
        <v>24.0</v>
      </c>
      <c r="L3139" s="7"/>
      <c r="M3139" s="7"/>
      <c r="N3139" s="7"/>
      <c r="O3139" s="7"/>
      <c r="P3139" s="7"/>
      <c r="Q3139" s="7"/>
      <c r="R3139" s="7"/>
      <c r="S3139" s="7"/>
      <c r="T3139" s="7"/>
      <c r="U3139" s="7"/>
      <c r="V3139" s="7"/>
      <c r="W3139" s="7"/>
      <c r="X3139" s="7"/>
      <c r="Y3139" s="7"/>
    </row>
    <row r="3140">
      <c r="A3140" s="14" t="s">
        <v>11266</v>
      </c>
      <c r="B3140" s="17" t="s">
        <v>11261</v>
      </c>
      <c r="C3140" s="17" t="s">
        <v>11267</v>
      </c>
      <c r="D3140" s="19" t="s">
        <v>11268</v>
      </c>
      <c r="E3140" s="20" t="s">
        <v>104</v>
      </c>
      <c r="F3140" s="21">
        <v>37758.0</v>
      </c>
      <c r="G3140" s="14">
        <v>23.0</v>
      </c>
      <c r="H3140" s="23" t="s">
        <v>100</v>
      </c>
      <c r="I3140" s="24" t="s">
        <v>33</v>
      </c>
      <c r="J3140" s="19" t="s">
        <v>362</v>
      </c>
      <c r="K3140" s="14">
        <v>24.0</v>
      </c>
      <c r="L3140" s="7"/>
      <c r="M3140" s="7"/>
      <c r="N3140" s="7"/>
      <c r="O3140" s="7"/>
      <c r="P3140" s="7"/>
      <c r="Q3140" s="7"/>
      <c r="R3140" s="7"/>
      <c r="S3140" s="7"/>
      <c r="T3140" s="7"/>
      <c r="U3140" s="7"/>
      <c r="V3140" s="7"/>
      <c r="W3140" s="7"/>
      <c r="X3140" s="7"/>
      <c r="Y3140" s="7"/>
    </row>
    <row r="3141">
      <c r="A3141" s="14" t="s">
        <v>11270</v>
      </c>
      <c r="B3141" s="17" t="s">
        <v>11271</v>
      </c>
      <c r="C3141" s="17" t="s">
        <v>11272</v>
      </c>
      <c r="D3141" s="19" t="s">
        <v>1815</v>
      </c>
      <c r="E3141" s="20" t="s">
        <v>632</v>
      </c>
      <c r="F3141" s="21">
        <v>19541.0</v>
      </c>
      <c r="G3141" s="14">
        <v>73.0</v>
      </c>
      <c r="H3141" s="23" t="s">
        <v>27</v>
      </c>
      <c r="I3141" s="24" t="s">
        <v>27</v>
      </c>
      <c r="J3141" s="19" t="s">
        <v>362</v>
      </c>
      <c r="K3141" s="14">
        <v>22.0</v>
      </c>
      <c r="L3141" s="7"/>
      <c r="M3141" s="7"/>
      <c r="N3141" s="7"/>
      <c r="O3141" s="7"/>
      <c r="P3141" s="7"/>
      <c r="Q3141" s="7"/>
      <c r="R3141" s="7"/>
      <c r="S3141" s="7"/>
      <c r="T3141" s="7"/>
      <c r="U3141" s="7"/>
      <c r="V3141" s="7"/>
      <c r="W3141" s="7"/>
      <c r="X3141" s="7"/>
      <c r="Y3141" s="7"/>
    </row>
    <row r="3142">
      <c r="A3142" s="14" t="s">
        <v>11273</v>
      </c>
      <c r="B3142" s="17" t="s">
        <v>11274</v>
      </c>
      <c r="C3142" s="17" t="s">
        <v>11275</v>
      </c>
      <c r="D3142" s="19" t="s">
        <v>11276</v>
      </c>
      <c r="E3142" s="20" t="s">
        <v>880</v>
      </c>
      <c r="F3142" s="21">
        <v>22006.0</v>
      </c>
      <c r="G3142" s="14">
        <v>66.0</v>
      </c>
      <c r="H3142" s="23" t="s">
        <v>27</v>
      </c>
      <c r="I3142" s="24" t="s">
        <v>27</v>
      </c>
      <c r="J3142" s="19" t="s">
        <v>53</v>
      </c>
      <c r="K3142" s="14">
        <v>3.0</v>
      </c>
      <c r="L3142" s="7"/>
      <c r="M3142" s="7"/>
      <c r="N3142" s="7"/>
      <c r="O3142" s="7"/>
      <c r="P3142" s="7"/>
      <c r="Q3142" s="7"/>
      <c r="R3142" s="7"/>
      <c r="S3142" s="7"/>
      <c r="T3142" s="7"/>
      <c r="U3142" s="7"/>
      <c r="V3142" s="7"/>
      <c r="W3142" s="7"/>
      <c r="X3142" s="7"/>
      <c r="Y3142" s="7"/>
    </row>
    <row r="3143">
      <c r="A3143" s="14" t="s">
        <v>11277</v>
      </c>
      <c r="B3143" s="17" t="s">
        <v>11278</v>
      </c>
      <c r="C3143" s="17" t="s">
        <v>11279</v>
      </c>
      <c r="D3143" s="19" t="s">
        <v>11280</v>
      </c>
      <c r="E3143" s="20" t="s">
        <v>104</v>
      </c>
      <c r="F3143" s="21">
        <v>31973.0</v>
      </c>
      <c r="G3143" s="14">
        <v>39.0</v>
      </c>
      <c r="H3143" s="23" t="s">
        <v>26</v>
      </c>
      <c r="I3143" s="24" t="s">
        <v>33</v>
      </c>
      <c r="J3143" s="19" t="s">
        <v>282</v>
      </c>
      <c r="K3143" s="14">
        <v>17.0</v>
      </c>
      <c r="L3143" s="7"/>
      <c r="M3143" s="7"/>
      <c r="N3143" s="7"/>
      <c r="O3143" s="7"/>
      <c r="P3143" s="7"/>
      <c r="Q3143" s="7"/>
      <c r="R3143" s="7"/>
      <c r="S3143" s="7"/>
      <c r="T3143" s="7"/>
      <c r="U3143" s="7"/>
      <c r="V3143" s="7"/>
      <c r="W3143" s="7"/>
      <c r="X3143" s="7"/>
      <c r="Y3143" s="7"/>
    </row>
    <row r="3144">
      <c r="A3144" s="14" t="s">
        <v>11281</v>
      </c>
      <c r="B3144" s="17" t="s">
        <v>11278</v>
      </c>
      <c r="C3144" s="17" t="s">
        <v>11282</v>
      </c>
      <c r="D3144" s="19" t="s">
        <v>11283</v>
      </c>
      <c r="E3144" s="20" t="s">
        <v>104</v>
      </c>
      <c r="F3144" s="21">
        <v>32886.0</v>
      </c>
      <c r="G3144" s="14">
        <v>36.0</v>
      </c>
      <c r="H3144" s="23" t="s">
        <v>26</v>
      </c>
      <c r="I3144" s="24" t="s">
        <v>27</v>
      </c>
      <c r="J3144" s="19" t="s">
        <v>282</v>
      </c>
      <c r="K3144" s="14">
        <v>17.0</v>
      </c>
      <c r="L3144" s="7"/>
      <c r="M3144" s="7"/>
      <c r="N3144" s="7"/>
      <c r="O3144" s="7"/>
      <c r="P3144" s="7"/>
      <c r="Q3144" s="7"/>
      <c r="R3144" s="7"/>
      <c r="S3144" s="7"/>
      <c r="T3144" s="7"/>
      <c r="U3144" s="7"/>
      <c r="V3144" s="7"/>
      <c r="W3144" s="7"/>
      <c r="X3144" s="7"/>
      <c r="Y3144" s="7"/>
    </row>
    <row r="3145">
      <c r="A3145" s="14" t="s">
        <v>11284</v>
      </c>
      <c r="B3145" s="17" t="s">
        <v>11285</v>
      </c>
      <c r="C3145" s="17" t="s">
        <v>11286</v>
      </c>
      <c r="D3145" s="19" t="s">
        <v>11287</v>
      </c>
      <c r="E3145" s="20" t="s">
        <v>104</v>
      </c>
      <c r="F3145" s="21">
        <v>34241.0</v>
      </c>
      <c r="G3145" s="14">
        <v>32.0</v>
      </c>
      <c r="H3145" s="23" t="s">
        <v>26</v>
      </c>
      <c r="I3145" s="24" t="s">
        <v>33</v>
      </c>
      <c r="J3145" s="19" t="s">
        <v>328</v>
      </c>
      <c r="K3145" s="14">
        <v>27.0</v>
      </c>
      <c r="L3145" s="7"/>
      <c r="M3145" s="7"/>
      <c r="N3145" s="7"/>
      <c r="O3145" s="7"/>
      <c r="P3145" s="7"/>
      <c r="Q3145" s="7"/>
      <c r="R3145" s="7"/>
      <c r="S3145" s="7"/>
      <c r="T3145" s="7"/>
      <c r="U3145" s="7"/>
      <c r="V3145" s="7"/>
      <c r="W3145" s="7"/>
      <c r="X3145" s="7"/>
      <c r="Y3145" s="7"/>
    </row>
    <row r="3146">
      <c r="A3146" s="14" t="s">
        <v>11288</v>
      </c>
      <c r="B3146" s="17" t="s">
        <v>11285</v>
      </c>
      <c r="C3146" s="17" t="s">
        <v>11289</v>
      </c>
      <c r="D3146" s="19" t="s">
        <v>11290</v>
      </c>
      <c r="E3146" s="20" t="s">
        <v>11291</v>
      </c>
      <c r="F3146" s="27">
        <v>35025.0</v>
      </c>
      <c r="G3146" s="14">
        <v>30.0</v>
      </c>
      <c r="H3146" s="23" t="s">
        <v>26</v>
      </c>
      <c r="I3146" s="24" t="s">
        <v>27</v>
      </c>
      <c r="J3146" s="19" t="s">
        <v>328</v>
      </c>
      <c r="K3146" s="14">
        <v>27.0</v>
      </c>
      <c r="L3146" s="7"/>
      <c r="M3146" s="7"/>
      <c r="N3146" s="7"/>
      <c r="O3146" s="7"/>
      <c r="P3146" s="7"/>
      <c r="Q3146" s="7"/>
      <c r="R3146" s="7"/>
      <c r="S3146" s="7"/>
      <c r="T3146" s="7"/>
      <c r="U3146" s="7"/>
      <c r="V3146" s="7"/>
      <c r="W3146" s="7"/>
      <c r="X3146" s="7"/>
      <c r="Y3146" s="7"/>
    </row>
    <row r="3147">
      <c r="A3147" s="14" t="s">
        <v>11292</v>
      </c>
      <c r="B3147" s="17" t="s">
        <v>11293</v>
      </c>
      <c r="C3147" s="17" t="s">
        <v>11294</v>
      </c>
      <c r="D3147" s="19" t="s">
        <v>11295</v>
      </c>
      <c r="E3147" s="20" t="s">
        <v>104</v>
      </c>
      <c r="F3147" s="27">
        <v>31361.0</v>
      </c>
      <c r="G3147" s="14">
        <v>40.0</v>
      </c>
      <c r="H3147" s="23" t="s">
        <v>100</v>
      </c>
      <c r="I3147" s="24" t="s">
        <v>33</v>
      </c>
      <c r="J3147" s="19" t="s">
        <v>53</v>
      </c>
      <c r="K3147" s="14">
        <v>29.0</v>
      </c>
      <c r="L3147" s="7"/>
      <c r="M3147" s="7"/>
      <c r="N3147" s="7"/>
      <c r="O3147" s="7"/>
      <c r="P3147" s="7"/>
      <c r="Q3147" s="7"/>
      <c r="R3147" s="7"/>
      <c r="S3147" s="7"/>
      <c r="T3147" s="7"/>
      <c r="U3147" s="7"/>
      <c r="V3147" s="7"/>
      <c r="W3147" s="7"/>
      <c r="X3147" s="7"/>
      <c r="Y3147" s="7"/>
    </row>
    <row r="3148">
      <c r="A3148" s="14" t="s">
        <v>11296</v>
      </c>
      <c r="B3148" s="17" t="s">
        <v>11293</v>
      </c>
      <c r="C3148" s="17" t="s">
        <v>11297</v>
      </c>
      <c r="D3148" s="19" t="s">
        <v>11298</v>
      </c>
      <c r="E3148" s="20" t="s">
        <v>104</v>
      </c>
      <c r="F3148" s="21">
        <v>34928.0</v>
      </c>
      <c r="G3148" s="14">
        <v>31.0</v>
      </c>
      <c r="H3148" s="23" t="s">
        <v>100</v>
      </c>
      <c r="I3148" s="24" t="s">
        <v>33</v>
      </c>
      <c r="J3148" s="19" t="s">
        <v>53</v>
      </c>
      <c r="K3148" s="14">
        <v>29.0</v>
      </c>
      <c r="L3148" s="7"/>
      <c r="M3148" s="7"/>
      <c r="N3148" s="7"/>
      <c r="O3148" s="7"/>
      <c r="P3148" s="7"/>
      <c r="Q3148" s="7"/>
      <c r="R3148" s="7"/>
      <c r="S3148" s="7"/>
      <c r="T3148" s="7"/>
      <c r="U3148" s="7"/>
      <c r="V3148" s="7"/>
      <c r="W3148" s="7"/>
      <c r="X3148" s="7"/>
      <c r="Y3148" s="7"/>
    </row>
    <row r="3149">
      <c r="A3149" s="14" t="s">
        <v>11299</v>
      </c>
      <c r="B3149" s="17" t="s">
        <v>11293</v>
      </c>
      <c r="C3149" s="17" t="s">
        <v>11300</v>
      </c>
      <c r="D3149" s="19" t="s">
        <v>11301</v>
      </c>
      <c r="E3149" s="20" t="s">
        <v>53</v>
      </c>
      <c r="F3149" s="21">
        <v>31234.0</v>
      </c>
      <c r="G3149" s="14">
        <v>41.0</v>
      </c>
      <c r="H3149" s="23" t="s">
        <v>100</v>
      </c>
      <c r="I3149" s="24" t="s">
        <v>33</v>
      </c>
      <c r="J3149" s="19" t="s">
        <v>53</v>
      </c>
      <c r="K3149" s="14">
        <v>29.0</v>
      </c>
      <c r="L3149" s="7"/>
      <c r="M3149" s="7"/>
      <c r="N3149" s="7"/>
      <c r="O3149" s="7"/>
      <c r="P3149" s="7"/>
      <c r="Q3149" s="7"/>
      <c r="R3149" s="7"/>
      <c r="S3149" s="7"/>
      <c r="T3149" s="7"/>
      <c r="U3149" s="7"/>
      <c r="V3149" s="7"/>
      <c r="W3149" s="7"/>
      <c r="X3149" s="7"/>
      <c r="Y3149" s="7"/>
    </row>
    <row r="3150">
      <c r="A3150" s="14" t="s">
        <v>11302</v>
      </c>
      <c r="B3150" s="17" t="s">
        <v>11303</v>
      </c>
      <c r="C3150" s="17" t="s">
        <v>11304</v>
      </c>
      <c r="D3150" s="19" t="s">
        <v>11305</v>
      </c>
      <c r="E3150" s="20" t="s">
        <v>104</v>
      </c>
      <c r="F3150" s="21">
        <v>32819.0</v>
      </c>
      <c r="G3150" s="14">
        <v>36.0</v>
      </c>
      <c r="H3150" s="23" t="s">
        <v>26</v>
      </c>
      <c r="I3150" s="24" t="s">
        <v>27</v>
      </c>
      <c r="J3150" s="19" t="s">
        <v>68</v>
      </c>
      <c r="K3150" s="14">
        <v>32.0</v>
      </c>
      <c r="L3150" s="7"/>
      <c r="M3150" s="7"/>
      <c r="N3150" s="7"/>
      <c r="O3150" s="7"/>
      <c r="P3150" s="7"/>
      <c r="Q3150" s="7"/>
      <c r="R3150" s="7"/>
      <c r="S3150" s="7"/>
      <c r="T3150" s="7"/>
      <c r="U3150" s="7"/>
      <c r="V3150" s="7"/>
      <c r="W3150" s="7"/>
      <c r="X3150" s="7"/>
      <c r="Y3150" s="7"/>
    </row>
    <row r="3151">
      <c r="A3151" s="14" t="s">
        <v>11306</v>
      </c>
      <c r="B3151" s="17" t="s">
        <v>11303</v>
      </c>
      <c r="C3151" s="17" t="s">
        <v>11307</v>
      </c>
      <c r="D3151" s="19" t="s">
        <v>2657</v>
      </c>
      <c r="E3151" s="20" t="s">
        <v>53</v>
      </c>
      <c r="F3151" s="21">
        <v>29530.0</v>
      </c>
      <c r="G3151" s="14">
        <v>45.0</v>
      </c>
      <c r="H3151" s="23" t="s">
        <v>26</v>
      </c>
      <c r="I3151" s="24" t="s">
        <v>33</v>
      </c>
      <c r="J3151" s="19" t="s">
        <v>68</v>
      </c>
      <c r="K3151" s="14">
        <v>32.0</v>
      </c>
      <c r="L3151" s="7"/>
      <c r="M3151" s="7"/>
      <c r="N3151" s="7"/>
      <c r="O3151" s="7"/>
      <c r="P3151" s="7"/>
      <c r="Q3151" s="7"/>
      <c r="R3151" s="7"/>
      <c r="S3151" s="7"/>
      <c r="T3151" s="7"/>
      <c r="U3151" s="7"/>
      <c r="V3151" s="7"/>
      <c r="W3151" s="7"/>
      <c r="X3151" s="7"/>
      <c r="Y3151" s="7"/>
    </row>
    <row r="3152">
      <c r="A3152" s="14" t="s">
        <v>11308</v>
      </c>
      <c r="B3152" s="17" t="s">
        <v>11309</v>
      </c>
      <c r="C3152" s="17" t="s">
        <v>11310</v>
      </c>
      <c r="D3152" s="19" t="s">
        <v>11311</v>
      </c>
      <c r="E3152" s="20" t="s">
        <v>632</v>
      </c>
      <c r="F3152" s="21">
        <v>15909.0</v>
      </c>
      <c r="G3152" s="14">
        <v>83.0</v>
      </c>
      <c r="H3152" s="23" t="s">
        <v>26</v>
      </c>
      <c r="I3152" s="24" t="s">
        <v>27</v>
      </c>
      <c r="J3152" s="19" t="s">
        <v>68</v>
      </c>
      <c r="K3152" s="14">
        <v>33.0</v>
      </c>
      <c r="L3152" s="7"/>
      <c r="M3152" s="7"/>
      <c r="N3152" s="7"/>
      <c r="O3152" s="7"/>
      <c r="P3152" s="7"/>
      <c r="Q3152" s="7"/>
      <c r="R3152" s="7"/>
      <c r="S3152" s="7"/>
      <c r="T3152" s="7"/>
      <c r="U3152" s="7"/>
      <c r="V3152" s="7"/>
      <c r="W3152" s="7"/>
      <c r="X3152" s="7"/>
      <c r="Y3152" s="7"/>
    </row>
    <row r="3153">
      <c r="A3153" s="14" t="s">
        <v>11312</v>
      </c>
      <c r="B3153" s="17" t="s">
        <v>11313</v>
      </c>
      <c r="C3153" s="17" t="s">
        <v>11314</v>
      </c>
      <c r="D3153" s="19" t="s">
        <v>11315</v>
      </c>
      <c r="E3153" s="20" t="s">
        <v>104</v>
      </c>
      <c r="F3153" s="21">
        <v>36867.0</v>
      </c>
      <c r="G3153" s="14">
        <v>25.0</v>
      </c>
      <c r="H3153" s="23" t="s">
        <v>100</v>
      </c>
      <c r="I3153" s="24" t="s">
        <v>27</v>
      </c>
      <c r="J3153" s="19" t="s">
        <v>68</v>
      </c>
      <c r="K3153" s="14">
        <v>31.0</v>
      </c>
      <c r="L3153" s="7"/>
      <c r="M3153" s="7"/>
      <c r="N3153" s="7"/>
      <c r="O3153" s="7"/>
      <c r="P3153" s="7"/>
      <c r="Q3153" s="7"/>
      <c r="R3153" s="7"/>
      <c r="S3153" s="7"/>
      <c r="T3153" s="7"/>
      <c r="U3153" s="7"/>
      <c r="V3153" s="7"/>
      <c r="W3153" s="7"/>
      <c r="X3153" s="7"/>
      <c r="Y3153" s="7"/>
    </row>
    <row r="3154">
      <c r="A3154" s="14" t="s">
        <v>11316</v>
      </c>
      <c r="B3154" s="17" t="s">
        <v>11313</v>
      </c>
      <c r="C3154" s="17" t="s">
        <v>11317</v>
      </c>
      <c r="D3154" s="19" t="s">
        <v>11318</v>
      </c>
      <c r="E3154" s="20" t="s">
        <v>650</v>
      </c>
      <c r="F3154" s="21">
        <v>20506.0</v>
      </c>
      <c r="G3154" s="14">
        <v>70.0</v>
      </c>
      <c r="H3154" s="23" t="s">
        <v>26</v>
      </c>
      <c r="I3154" s="24" t="s">
        <v>33</v>
      </c>
      <c r="J3154" s="19" t="s">
        <v>68</v>
      </c>
      <c r="K3154" s="14">
        <v>31.0</v>
      </c>
      <c r="L3154" s="7"/>
      <c r="M3154" s="7"/>
      <c r="N3154" s="7"/>
      <c r="O3154" s="7"/>
      <c r="P3154" s="7"/>
      <c r="Q3154" s="7"/>
      <c r="R3154" s="7"/>
      <c r="S3154" s="7"/>
      <c r="T3154" s="7"/>
      <c r="U3154" s="7"/>
      <c r="V3154" s="7"/>
      <c r="W3154" s="7"/>
      <c r="X3154" s="7"/>
      <c r="Y3154" s="7"/>
    </row>
    <row r="3155">
      <c r="A3155" s="14" t="s">
        <v>11319</v>
      </c>
      <c r="B3155" s="17" t="s">
        <v>11313</v>
      </c>
      <c r="C3155" s="17" t="s">
        <v>11320</v>
      </c>
      <c r="D3155" s="19" t="s">
        <v>1549</v>
      </c>
      <c r="E3155" s="20" t="s">
        <v>650</v>
      </c>
      <c r="F3155" s="21">
        <v>27067.0</v>
      </c>
      <c r="G3155" s="14">
        <v>52.0</v>
      </c>
      <c r="H3155" s="23" t="s">
        <v>26</v>
      </c>
      <c r="I3155" s="24" t="s">
        <v>27</v>
      </c>
      <c r="J3155" s="19" t="s">
        <v>68</v>
      </c>
      <c r="K3155" s="14">
        <v>31.0</v>
      </c>
      <c r="L3155" s="7"/>
      <c r="M3155" s="7"/>
      <c r="N3155" s="7"/>
      <c r="O3155" s="7"/>
      <c r="P3155" s="7"/>
      <c r="Q3155" s="7"/>
      <c r="R3155" s="7"/>
      <c r="S3155" s="7"/>
      <c r="T3155" s="7"/>
      <c r="U3155" s="7"/>
      <c r="V3155" s="7"/>
      <c r="W3155" s="7"/>
      <c r="X3155" s="7"/>
      <c r="Y3155" s="7"/>
    </row>
    <row r="3156">
      <c r="A3156" s="14" t="s">
        <v>11321</v>
      </c>
      <c r="B3156" s="17" t="s">
        <v>11322</v>
      </c>
      <c r="C3156" s="17" t="s">
        <v>11323</v>
      </c>
      <c r="D3156" s="19" t="s">
        <v>11324</v>
      </c>
      <c r="E3156" s="20" t="s">
        <v>11325</v>
      </c>
      <c r="F3156" s="21">
        <v>32229.0</v>
      </c>
      <c r="G3156" s="14">
        <v>38.0</v>
      </c>
      <c r="H3156" s="23" t="s">
        <v>26</v>
      </c>
      <c r="I3156" s="24" t="s">
        <v>33</v>
      </c>
      <c r="J3156" s="19" t="s">
        <v>1437</v>
      </c>
      <c r="K3156" s="14">
        <v>31.0</v>
      </c>
      <c r="L3156" s="7"/>
      <c r="M3156" s="7"/>
      <c r="N3156" s="7"/>
      <c r="O3156" s="7"/>
      <c r="P3156" s="7"/>
      <c r="Q3156" s="7"/>
      <c r="R3156" s="7"/>
      <c r="S3156" s="7"/>
      <c r="T3156" s="7"/>
      <c r="U3156" s="7"/>
      <c r="V3156" s="7"/>
      <c r="W3156" s="7"/>
      <c r="X3156" s="7"/>
      <c r="Y3156" s="7"/>
    </row>
    <row r="3157">
      <c r="A3157" s="14" t="s">
        <v>11326</v>
      </c>
      <c r="B3157" s="17" t="s">
        <v>11322</v>
      </c>
      <c r="C3157" s="17" t="s">
        <v>11327</v>
      </c>
      <c r="D3157" s="19" t="s">
        <v>1279</v>
      </c>
      <c r="E3157" s="20" t="s">
        <v>104</v>
      </c>
      <c r="F3157" s="21">
        <v>33499.0</v>
      </c>
      <c r="G3157" s="14">
        <v>34.0</v>
      </c>
      <c r="H3157" s="23" t="s">
        <v>26</v>
      </c>
      <c r="I3157" s="24" t="s">
        <v>27</v>
      </c>
      <c r="J3157" s="19" t="s">
        <v>1437</v>
      </c>
      <c r="K3157" s="14">
        <v>31.0</v>
      </c>
      <c r="L3157" s="7"/>
      <c r="M3157" s="7"/>
      <c r="N3157" s="7"/>
      <c r="O3157" s="7"/>
      <c r="P3157" s="7"/>
      <c r="Q3157" s="7"/>
      <c r="R3157" s="7"/>
      <c r="S3157" s="7"/>
      <c r="T3157" s="7"/>
      <c r="U3157" s="7"/>
      <c r="V3157" s="7"/>
      <c r="W3157" s="7"/>
      <c r="X3157" s="7"/>
      <c r="Y3157" s="7"/>
    </row>
    <row r="3158">
      <c r="A3158" s="14" t="s">
        <v>11328</v>
      </c>
      <c r="B3158" s="17" t="s">
        <v>11329</v>
      </c>
      <c r="C3158" s="17" t="s">
        <v>11330</v>
      </c>
      <c r="D3158" s="19" t="s">
        <v>4240</v>
      </c>
      <c r="E3158" s="20" t="s">
        <v>67</v>
      </c>
      <c r="F3158" s="27">
        <v>25183.0</v>
      </c>
      <c r="G3158" s="14">
        <v>57.0</v>
      </c>
      <c r="H3158" s="23" t="s">
        <v>26</v>
      </c>
      <c r="I3158" s="24" t="s">
        <v>33</v>
      </c>
      <c r="J3158" s="19" t="s">
        <v>68</v>
      </c>
      <c r="K3158" s="14">
        <v>34.0</v>
      </c>
      <c r="L3158" s="7"/>
      <c r="M3158" s="7"/>
      <c r="N3158" s="7"/>
      <c r="O3158" s="7"/>
      <c r="P3158" s="7"/>
      <c r="Q3158" s="7"/>
      <c r="R3158" s="7"/>
      <c r="S3158" s="7"/>
      <c r="T3158" s="7"/>
      <c r="U3158" s="7"/>
      <c r="V3158" s="7"/>
      <c r="W3158" s="7"/>
      <c r="X3158" s="7"/>
      <c r="Y3158" s="7"/>
    </row>
    <row r="3159">
      <c r="A3159" s="14" t="s">
        <v>11331</v>
      </c>
      <c r="B3159" s="17" t="s">
        <v>11329</v>
      </c>
      <c r="C3159" s="17" t="s">
        <v>11332</v>
      </c>
      <c r="D3159" s="19" t="s">
        <v>11333</v>
      </c>
      <c r="E3159" s="20" t="s">
        <v>104</v>
      </c>
      <c r="F3159" s="21">
        <v>39117.0</v>
      </c>
      <c r="G3159" s="14">
        <v>19.0</v>
      </c>
      <c r="H3159" s="23" t="s">
        <v>100</v>
      </c>
      <c r="I3159" s="24" t="s">
        <v>33</v>
      </c>
      <c r="J3159" s="19" t="s">
        <v>68</v>
      </c>
      <c r="K3159" s="14">
        <v>31.0</v>
      </c>
      <c r="L3159" s="7"/>
      <c r="M3159" s="7"/>
      <c r="N3159" s="7"/>
      <c r="O3159" s="7"/>
      <c r="P3159" s="7"/>
      <c r="Q3159" s="7"/>
      <c r="R3159" s="7"/>
      <c r="S3159" s="7"/>
      <c r="T3159" s="7"/>
      <c r="U3159" s="7"/>
      <c r="V3159" s="7"/>
      <c r="W3159" s="7"/>
      <c r="X3159" s="7"/>
      <c r="Y3159" s="7"/>
    </row>
    <row r="3160">
      <c r="A3160" s="14" t="s">
        <v>11334</v>
      </c>
      <c r="B3160" s="17" t="s">
        <v>11329</v>
      </c>
      <c r="C3160" s="17" t="s">
        <v>11335</v>
      </c>
      <c r="D3160" s="19" t="s">
        <v>2640</v>
      </c>
      <c r="E3160" s="20" t="s">
        <v>1058</v>
      </c>
      <c r="F3160" s="27">
        <v>26643.0</v>
      </c>
      <c r="G3160" s="14">
        <v>53.0</v>
      </c>
      <c r="H3160" s="23" t="s">
        <v>26</v>
      </c>
      <c r="I3160" s="24" t="s">
        <v>27</v>
      </c>
      <c r="J3160" s="19" t="s">
        <v>68</v>
      </c>
      <c r="K3160" s="14">
        <v>31.0</v>
      </c>
      <c r="L3160" s="7"/>
      <c r="M3160" s="7"/>
      <c r="N3160" s="7"/>
      <c r="O3160" s="7"/>
      <c r="P3160" s="7"/>
      <c r="Q3160" s="7"/>
      <c r="R3160" s="7"/>
      <c r="S3160" s="7"/>
      <c r="T3160" s="7"/>
      <c r="U3160" s="7"/>
      <c r="V3160" s="7"/>
      <c r="W3160" s="7"/>
      <c r="X3160" s="7"/>
      <c r="Y3160" s="7"/>
    </row>
    <row r="3161">
      <c r="A3161" s="14" t="s">
        <v>11336</v>
      </c>
      <c r="B3161" s="17" t="s">
        <v>11337</v>
      </c>
      <c r="C3161" s="17" t="s">
        <v>11338</v>
      </c>
      <c r="D3161" s="19" t="s">
        <v>11339</v>
      </c>
      <c r="E3161" s="20" t="s">
        <v>104</v>
      </c>
      <c r="F3161" s="21">
        <v>36378.0</v>
      </c>
      <c r="G3161" s="14">
        <v>27.0</v>
      </c>
      <c r="H3161" s="23" t="s">
        <v>100</v>
      </c>
      <c r="I3161" s="24" t="s">
        <v>27</v>
      </c>
      <c r="J3161" s="19" t="s">
        <v>53</v>
      </c>
      <c r="K3161" s="14">
        <v>34.0</v>
      </c>
      <c r="L3161" s="7"/>
      <c r="M3161" s="7"/>
      <c r="N3161" s="7"/>
      <c r="O3161" s="7"/>
      <c r="P3161" s="7"/>
      <c r="Q3161" s="7"/>
      <c r="R3161" s="7"/>
      <c r="S3161" s="7"/>
      <c r="T3161" s="7"/>
      <c r="U3161" s="7"/>
      <c r="V3161" s="7"/>
      <c r="W3161" s="7"/>
      <c r="X3161" s="7"/>
      <c r="Y3161" s="7"/>
    </row>
    <row r="3162">
      <c r="A3162" s="14" t="s">
        <v>11340</v>
      </c>
      <c r="B3162" s="17" t="s">
        <v>11337</v>
      </c>
      <c r="C3162" s="17" t="s">
        <v>11341</v>
      </c>
      <c r="D3162" s="19" t="s">
        <v>11342</v>
      </c>
      <c r="E3162" s="20" t="s">
        <v>104</v>
      </c>
      <c r="F3162" s="21">
        <v>39152.0</v>
      </c>
      <c r="G3162" s="14">
        <v>19.0</v>
      </c>
      <c r="H3162" s="23" t="s">
        <v>100</v>
      </c>
      <c r="I3162" s="24" t="s">
        <v>27</v>
      </c>
      <c r="J3162" s="19" t="s">
        <v>53</v>
      </c>
      <c r="K3162" s="14">
        <v>34.0</v>
      </c>
      <c r="L3162" s="7"/>
      <c r="M3162" s="7"/>
      <c r="N3162" s="7"/>
      <c r="O3162" s="7"/>
      <c r="P3162" s="7"/>
      <c r="Q3162" s="7"/>
      <c r="R3162" s="7"/>
      <c r="S3162" s="7"/>
      <c r="T3162" s="7"/>
      <c r="U3162" s="7"/>
      <c r="V3162" s="7"/>
      <c r="W3162" s="7"/>
      <c r="X3162" s="7"/>
      <c r="Y3162" s="7"/>
    </row>
    <row r="3163">
      <c r="A3163" s="14" t="s">
        <v>11343</v>
      </c>
      <c r="B3163" s="17" t="s">
        <v>11337</v>
      </c>
      <c r="C3163" s="17" t="s">
        <v>11344</v>
      </c>
      <c r="D3163" s="19" t="s">
        <v>11345</v>
      </c>
      <c r="E3163" s="20" t="s">
        <v>104</v>
      </c>
      <c r="F3163" s="27">
        <v>29943.0</v>
      </c>
      <c r="G3163" s="14">
        <v>44.0</v>
      </c>
      <c r="H3163" s="23" t="s">
        <v>26</v>
      </c>
      <c r="I3163" s="24" t="s">
        <v>27</v>
      </c>
      <c r="J3163" s="19" t="s">
        <v>53</v>
      </c>
      <c r="K3163" s="14">
        <v>34.0</v>
      </c>
      <c r="L3163" s="7"/>
      <c r="M3163" s="7"/>
      <c r="N3163" s="7"/>
      <c r="O3163" s="7"/>
      <c r="P3163" s="7"/>
      <c r="Q3163" s="7"/>
      <c r="R3163" s="7"/>
      <c r="S3163" s="7"/>
      <c r="T3163" s="7"/>
      <c r="U3163" s="7"/>
      <c r="V3163" s="7"/>
      <c r="W3163" s="7"/>
      <c r="X3163" s="7"/>
      <c r="Y3163" s="7"/>
    </row>
    <row r="3164">
      <c r="A3164" s="14" t="s">
        <v>11346</v>
      </c>
      <c r="B3164" s="17" t="s">
        <v>11337</v>
      </c>
      <c r="C3164" s="17" t="s">
        <v>11347</v>
      </c>
      <c r="D3164" s="19" t="s">
        <v>3402</v>
      </c>
      <c r="E3164" s="20" t="s">
        <v>67</v>
      </c>
      <c r="F3164" s="21">
        <v>27435.0</v>
      </c>
      <c r="G3164" s="14">
        <v>51.0</v>
      </c>
      <c r="H3164" s="23" t="s">
        <v>26</v>
      </c>
      <c r="I3164" s="24" t="s">
        <v>33</v>
      </c>
      <c r="J3164" s="19" t="s">
        <v>53</v>
      </c>
      <c r="K3164" s="14">
        <v>34.0</v>
      </c>
      <c r="L3164" s="7"/>
      <c r="M3164" s="7"/>
      <c r="N3164" s="7"/>
      <c r="O3164" s="7"/>
      <c r="P3164" s="7"/>
      <c r="Q3164" s="7"/>
      <c r="R3164" s="7"/>
      <c r="S3164" s="7"/>
      <c r="T3164" s="7"/>
      <c r="U3164" s="7"/>
      <c r="V3164" s="7"/>
      <c r="W3164" s="7"/>
      <c r="X3164" s="7"/>
      <c r="Y3164" s="7"/>
    </row>
    <row r="3165">
      <c r="A3165" s="14" t="s">
        <v>11348</v>
      </c>
      <c r="B3165" s="17" t="s">
        <v>11349</v>
      </c>
      <c r="C3165" s="17" t="s">
        <v>11350</v>
      </c>
      <c r="D3165" s="19" t="s">
        <v>11351</v>
      </c>
      <c r="E3165" s="20" t="s">
        <v>67</v>
      </c>
      <c r="F3165" s="21">
        <v>24187.0</v>
      </c>
      <c r="G3165" s="14">
        <v>60.0</v>
      </c>
      <c r="H3165" s="23" t="s">
        <v>26</v>
      </c>
      <c r="I3165" s="24" t="s">
        <v>33</v>
      </c>
      <c r="J3165" s="19" t="s">
        <v>68</v>
      </c>
      <c r="K3165" s="14">
        <v>32.0</v>
      </c>
      <c r="L3165" s="7"/>
      <c r="M3165" s="7"/>
      <c r="N3165" s="7"/>
      <c r="O3165" s="7"/>
      <c r="P3165" s="7"/>
      <c r="Q3165" s="7"/>
      <c r="R3165" s="7"/>
      <c r="S3165" s="7"/>
      <c r="T3165" s="7"/>
      <c r="U3165" s="7"/>
      <c r="V3165" s="7"/>
      <c r="W3165" s="7"/>
      <c r="X3165" s="7"/>
      <c r="Y3165" s="7"/>
    </row>
    <row r="3166">
      <c r="A3166" s="14" t="s">
        <v>11352</v>
      </c>
      <c r="B3166" s="17" t="s">
        <v>11349</v>
      </c>
      <c r="C3166" s="17" t="s">
        <v>11353</v>
      </c>
      <c r="D3166" s="19" t="s">
        <v>11354</v>
      </c>
      <c r="E3166" s="20" t="s">
        <v>104</v>
      </c>
      <c r="F3166" s="21">
        <v>38807.0</v>
      </c>
      <c r="G3166" s="14">
        <v>20.0</v>
      </c>
      <c r="H3166" s="23" t="s">
        <v>100</v>
      </c>
      <c r="I3166" s="24" t="s">
        <v>33</v>
      </c>
      <c r="J3166" s="19" t="s">
        <v>3560</v>
      </c>
      <c r="K3166" s="14">
        <v>32.0</v>
      </c>
      <c r="L3166" s="7"/>
      <c r="M3166" s="7"/>
      <c r="N3166" s="7"/>
      <c r="O3166" s="7"/>
      <c r="P3166" s="7"/>
      <c r="Q3166" s="7"/>
      <c r="R3166" s="7"/>
      <c r="S3166" s="7"/>
      <c r="T3166" s="7"/>
      <c r="U3166" s="7"/>
      <c r="V3166" s="7"/>
      <c r="W3166" s="7"/>
      <c r="X3166" s="7"/>
      <c r="Y3166" s="7"/>
    </row>
    <row r="3167">
      <c r="A3167" s="14" t="s">
        <v>11355</v>
      </c>
      <c r="B3167" s="17" t="s">
        <v>11349</v>
      </c>
      <c r="C3167" s="17" t="s">
        <v>11356</v>
      </c>
      <c r="D3167" s="19" t="s">
        <v>9207</v>
      </c>
      <c r="E3167" s="20" t="s">
        <v>219</v>
      </c>
      <c r="F3167" s="27">
        <v>26643.0</v>
      </c>
      <c r="G3167" s="14">
        <v>53.0</v>
      </c>
      <c r="H3167" s="23" t="s">
        <v>26</v>
      </c>
      <c r="I3167" s="24" t="s">
        <v>27</v>
      </c>
      <c r="J3167" s="19" t="s">
        <v>68</v>
      </c>
      <c r="K3167" s="14">
        <v>32.0</v>
      </c>
      <c r="L3167" s="7"/>
      <c r="M3167" s="7"/>
      <c r="N3167" s="7"/>
      <c r="O3167" s="7"/>
      <c r="P3167" s="7"/>
      <c r="Q3167" s="7"/>
      <c r="R3167" s="7"/>
      <c r="S3167" s="7"/>
      <c r="T3167" s="7"/>
      <c r="U3167" s="7"/>
      <c r="V3167" s="7"/>
      <c r="W3167" s="7"/>
      <c r="X3167" s="7"/>
      <c r="Y3167" s="7"/>
    </row>
    <row r="3168">
      <c r="A3168" s="14" t="s">
        <v>11357</v>
      </c>
      <c r="B3168" s="17" t="s">
        <v>11358</v>
      </c>
      <c r="C3168" s="17" t="s">
        <v>11359</v>
      </c>
      <c r="D3168" s="19" t="s">
        <v>11360</v>
      </c>
      <c r="E3168" s="20" t="s">
        <v>104</v>
      </c>
      <c r="F3168" s="21">
        <v>36277.0</v>
      </c>
      <c r="G3168" s="14">
        <v>27.0</v>
      </c>
      <c r="H3168" s="23" t="s">
        <v>100</v>
      </c>
      <c r="I3168" s="24" t="s">
        <v>33</v>
      </c>
      <c r="J3168" s="19" t="s">
        <v>53</v>
      </c>
      <c r="K3168" s="14">
        <v>32.0</v>
      </c>
      <c r="L3168" s="7"/>
      <c r="M3168" s="7"/>
      <c r="N3168" s="7"/>
      <c r="O3168" s="7"/>
      <c r="P3168" s="7"/>
      <c r="Q3168" s="7"/>
      <c r="R3168" s="7"/>
      <c r="S3168" s="7"/>
      <c r="T3168" s="7"/>
      <c r="U3168" s="7"/>
      <c r="V3168" s="7"/>
      <c r="W3168" s="7"/>
      <c r="X3168" s="7"/>
      <c r="Y3168" s="7"/>
    </row>
    <row r="3169">
      <c r="A3169" s="14" t="s">
        <v>11361</v>
      </c>
      <c r="B3169" s="17" t="s">
        <v>11358</v>
      </c>
      <c r="C3169" s="17" t="s">
        <v>11362</v>
      </c>
      <c r="D3169" s="19" t="s">
        <v>11363</v>
      </c>
      <c r="E3169" s="20" t="s">
        <v>666</v>
      </c>
      <c r="F3169" s="21">
        <v>23877.0</v>
      </c>
      <c r="G3169" s="14">
        <v>61.0</v>
      </c>
      <c r="H3169" s="23" t="s">
        <v>26</v>
      </c>
      <c r="I3169" s="24" t="s">
        <v>33</v>
      </c>
      <c r="J3169" s="19" t="s">
        <v>53</v>
      </c>
      <c r="K3169" s="14">
        <v>32.0</v>
      </c>
      <c r="L3169" s="7"/>
      <c r="M3169" s="7"/>
      <c r="N3169" s="7"/>
      <c r="O3169" s="7"/>
      <c r="P3169" s="7"/>
      <c r="Q3169" s="7"/>
      <c r="R3169" s="7"/>
      <c r="S3169" s="7"/>
      <c r="T3169" s="7"/>
      <c r="U3169" s="7"/>
      <c r="V3169" s="7"/>
      <c r="W3169" s="7"/>
      <c r="X3169" s="7"/>
      <c r="Y3169" s="7"/>
    </row>
    <row r="3170">
      <c r="A3170" s="14" t="s">
        <v>11364</v>
      </c>
      <c r="B3170" s="17" t="s">
        <v>11358</v>
      </c>
      <c r="C3170" s="17" t="s">
        <v>11365</v>
      </c>
      <c r="D3170" s="19" t="s">
        <v>11366</v>
      </c>
      <c r="E3170" s="20" t="s">
        <v>650</v>
      </c>
      <c r="F3170" s="27">
        <v>26988.0</v>
      </c>
      <c r="G3170" s="14">
        <v>52.0</v>
      </c>
      <c r="H3170" s="23" t="s">
        <v>26</v>
      </c>
      <c r="I3170" s="24" t="s">
        <v>27</v>
      </c>
      <c r="J3170" s="19" t="s">
        <v>53</v>
      </c>
      <c r="K3170" s="14">
        <v>32.0</v>
      </c>
      <c r="L3170" s="7"/>
      <c r="M3170" s="7"/>
      <c r="N3170" s="7"/>
      <c r="O3170" s="7"/>
      <c r="P3170" s="7"/>
      <c r="Q3170" s="7"/>
      <c r="R3170" s="7"/>
      <c r="S3170" s="7"/>
      <c r="T3170" s="7"/>
      <c r="U3170" s="7"/>
      <c r="V3170" s="7"/>
      <c r="W3170" s="7"/>
      <c r="X3170" s="7"/>
      <c r="Y3170" s="7"/>
    </row>
    <row r="3171">
      <c r="A3171" s="14" t="s">
        <v>11367</v>
      </c>
      <c r="B3171" s="17" t="s">
        <v>11358</v>
      </c>
      <c r="C3171" s="17" t="s">
        <v>11368</v>
      </c>
      <c r="D3171" s="19" t="s">
        <v>11369</v>
      </c>
      <c r="E3171" s="20" t="s">
        <v>650</v>
      </c>
      <c r="F3171" s="21">
        <v>12966.0</v>
      </c>
      <c r="G3171" s="14">
        <v>91.0</v>
      </c>
      <c r="H3171" s="23" t="s">
        <v>26</v>
      </c>
      <c r="I3171" s="24" t="s">
        <v>27</v>
      </c>
      <c r="J3171" s="19" t="s">
        <v>156</v>
      </c>
      <c r="K3171" s="14">
        <v>31.0</v>
      </c>
      <c r="L3171" s="7"/>
      <c r="M3171" s="7"/>
      <c r="N3171" s="7"/>
      <c r="O3171" s="7"/>
      <c r="P3171" s="7"/>
      <c r="Q3171" s="7"/>
      <c r="R3171" s="7"/>
      <c r="S3171" s="7"/>
      <c r="T3171" s="7"/>
      <c r="U3171" s="7"/>
      <c r="V3171" s="7"/>
      <c r="W3171" s="7"/>
      <c r="X3171" s="7"/>
      <c r="Y3171" s="7"/>
    </row>
    <row r="3172">
      <c r="A3172" s="14" t="s">
        <v>11370</v>
      </c>
      <c r="B3172" s="17" t="s">
        <v>11358</v>
      </c>
      <c r="C3172" s="17" t="s">
        <v>11371</v>
      </c>
      <c r="D3172" s="19" t="s">
        <v>11372</v>
      </c>
      <c r="E3172" s="20" t="s">
        <v>104</v>
      </c>
      <c r="F3172" s="21">
        <v>37266.0</v>
      </c>
      <c r="G3172" s="14">
        <v>24.0</v>
      </c>
      <c r="H3172" s="23" t="s">
        <v>100</v>
      </c>
      <c r="I3172" s="24" t="s">
        <v>27</v>
      </c>
      <c r="J3172" s="19" t="s">
        <v>53</v>
      </c>
      <c r="K3172" s="14">
        <v>32.0</v>
      </c>
      <c r="L3172" s="7"/>
      <c r="M3172" s="7"/>
      <c r="N3172" s="7"/>
      <c r="O3172" s="7"/>
      <c r="P3172" s="7"/>
      <c r="Q3172" s="7"/>
      <c r="R3172" s="7"/>
      <c r="S3172" s="7"/>
      <c r="T3172" s="7"/>
      <c r="U3172" s="7"/>
      <c r="V3172" s="7"/>
      <c r="W3172" s="7"/>
      <c r="X3172" s="7"/>
      <c r="Y3172" s="7"/>
    </row>
    <row r="3173">
      <c r="A3173" s="14" t="s">
        <v>11373</v>
      </c>
      <c r="B3173" s="17" t="s">
        <v>11374</v>
      </c>
      <c r="C3173" s="17" t="s">
        <v>11375</v>
      </c>
      <c r="D3173" s="19" t="s">
        <v>11376</v>
      </c>
      <c r="E3173" s="20" t="s">
        <v>654</v>
      </c>
      <c r="F3173" s="21">
        <v>28068.0</v>
      </c>
      <c r="G3173" s="14">
        <v>49.0</v>
      </c>
      <c r="H3173" s="23" t="s">
        <v>26</v>
      </c>
      <c r="I3173" s="24" t="s">
        <v>27</v>
      </c>
      <c r="J3173" s="19" t="s">
        <v>68</v>
      </c>
      <c r="K3173" s="14">
        <v>32.0</v>
      </c>
      <c r="L3173" s="7"/>
      <c r="M3173" s="7"/>
      <c r="N3173" s="7"/>
      <c r="O3173" s="7"/>
      <c r="P3173" s="7"/>
      <c r="Q3173" s="7"/>
      <c r="R3173" s="7"/>
      <c r="S3173" s="7"/>
      <c r="T3173" s="7"/>
      <c r="U3173" s="7"/>
      <c r="V3173" s="7"/>
      <c r="W3173" s="7"/>
      <c r="X3173" s="7"/>
      <c r="Y3173" s="7"/>
    </row>
    <row r="3174">
      <c r="A3174" s="14" t="s">
        <v>11377</v>
      </c>
      <c r="B3174" s="17" t="s">
        <v>11378</v>
      </c>
      <c r="C3174" s="17" t="s">
        <v>11379</v>
      </c>
      <c r="D3174" s="19" t="s">
        <v>11381</v>
      </c>
      <c r="E3174" s="20" t="s">
        <v>104</v>
      </c>
      <c r="F3174" s="21">
        <v>29403.0</v>
      </c>
      <c r="G3174" s="14">
        <v>46.0</v>
      </c>
      <c r="H3174" s="23" t="s">
        <v>26</v>
      </c>
      <c r="I3174" s="24" t="s">
        <v>27</v>
      </c>
      <c r="J3174" s="19" t="s">
        <v>156</v>
      </c>
      <c r="K3174" s="14">
        <v>32.0</v>
      </c>
      <c r="L3174" s="7"/>
      <c r="M3174" s="7"/>
      <c r="N3174" s="7"/>
      <c r="O3174" s="7"/>
      <c r="P3174" s="7"/>
      <c r="Q3174" s="7"/>
      <c r="R3174" s="7"/>
      <c r="S3174" s="7"/>
      <c r="T3174" s="7"/>
      <c r="U3174" s="7"/>
      <c r="V3174" s="7"/>
      <c r="W3174" s="7"/>
      <c r="X3174" s="7"/>
      <c r="Y3174" s="7"/>
    </row>
    <row r="3175">
      <c r="A3175" s="14" t="s">
        <v>11382</v>
      </c>
      <c r="B3175" s="17" t="s">
        <v>11378</v>
      </c>
      <c r="C3175" s="17" t="s">
        <v>11383</v>
      </c>
      <c r="D3175" s="19" t="s">
        <v>11384</v>
      </c>
      <c r="E3175" s="20" t="s">
        <v>290</v>
      </c>
      <c r="F3175" s="21">
        <v>28572.0</v>
      </c>
      <c r="G3175" s="14">
        <v>48.0</v>
      </c>
      <c r="H3175" s="23" t="s">
        <v>26</v>
      </c>
      <c r="I3175" s="24" t="s">
        <v>33</v>
      </c>
      <c r="J3175" s="19" t="s">
        <v>156</v>
      </c>
      <c r="K3175" s="14">
        <v>32.0</v>
      </c>
      <c r="L3175" s="7"/>
      <c r="M3175" s="7"/>
      <c r="N3175" s="7"/>
      <c r="O3175" s="7"/>
      <c r="P3175" s="7"/>
      <c r="Q3175" s="7"/>
      <c r="R3175" s="7"/>
      <c r="S3175" s="7"/>
      <c r="T3175" s="7"/>
      <c r="U3175" s="7"/>
      <c r="V3175" s="7"/>
      <c r="W3175" s="7"/>
      <c r="X3175" s="7"/>
      <c r="Y3175" s="7"/>
    </row>
    <row r="3176">
      <c r="A3176" s="14" t="s">
        <v>11385</v>
      </c>
      <c r="B3176" s="17" t="s">
        <v>11378</v>
      </c>
      <c r="C3176" s="17" t="s">
        <v>11386</v>
      </c>
      <c r="D3176" s="19" t="s">
        <v>11387</v>
      </c>
      <c r="E3176" s="20" t="s">
        <v>138</v>
      </c>
      <c r="F3176" s="27">
        <v>37600.0</v>
      </c>
      <c r="G3176" s="14">
        <v>23.0</v>
      </c>
      <c r="H3176" s="23" t="s">
        <v>100</v>
      </c>
      <c r="I3176" s="24" t="s">
        <v>27</v>
      </c>
      <c r="J3176" s="19" t="s">
        <v>156</v>
      </c>
      <c r="K3176" s="14">
        <v>32.0</v>
      </c>
      <c r="L3176" s="7"/>
      <c r="M3176" s="7"/>
      <c r="N3176" s="7"/>
      <c r="O3176" s="7"/>
      <c r="P3176" s="7"/>
      <c r="Q3176" s="7"/>
      <c r="R3176" s="7"/>
      <c r="S3176" s="7"/>
      <c r="T3176" s="7"/>
      <c r="U3176" s="7"/>
      <c r="V3176" s="7"/>
      <c r="W3176" s="7"/>
      <c r="X3176" s="7"/>
      <c r="Y3176" s="7"/>
    </row>
    <row r="3177">
      <c r="A3177" s="14" t="s">
        <v>11388</v>
      </c>
      <c r="B3177" s="17" t="s">
        <v>11389</v>
      </c>
      <c r="C3177" s="17" t="s">
        <v>11390</v>
      </c>
      <c r="D3177" s="19" t="s">
        <v>11391</v>
      </c>
      <c r="E3177" s="20" t="s">
        <v>4175</v>
      </c>
      <c r="F3177" s="27">
        <v>27381.0</v>
      </c>
      <c r="G3177" s="14">
        <v>51.0</v>
      </c>
      <c r="H3177" s="23" t="s">
        <v>26</v>
      </c>
      <c r="I3177" s="24" t="s">
        <v>27</v>
      </c>
      <c r="J3177" s="19" t="s">
        <v>328</v>
      </c>
      <c r="K3177" s="14">
        <v>26.0</v>
      </c>
      <c r="L3177" s="7"/>
      <c r="M3177" s="7"/>
      <c r="N3177" s="7"/>
      <c r="O3177" s="7"/>
      <c r="P3177" s="7"/>
      <c r="Q3177" s="7"/>
      <c r="R3177" s="7"/>
      <c r="S3177" s="7"/>
      <c r="T3177" s="7"/>
      <c r="U3177" s="7"/>
      <c r="V3177" s="7"/>
      <c r="W3177" s="7"/>
      <c r="X3177" s="7"/>
      <c r="Y3177" s="7"/>
    </row>
    <row r="3178">
      <c r="A3178" s="14" t="s">
        <v>11392</v>
      </c>
      <c r="B3178" s="17" t="s">
        <v>11389</v>
      </c>
      <c r="C3178" s="17" t="s">
        <v>11393</v>
      </c>
      <c r="D3178" s="19" t="s">
        <v>11394</v>
      </c>
      <c r="E3178" s="20" t="s">
        <v>4175</v>
      </c>
      <c r="F3178" s="21">
        <v>14793.0</v>
      </c>
      <c r="G3178" s="14">
        <v>86.0</v>
      </c>
      <c r="H3178" s="23" t="s">
        <v>27</v>
      </c>
      <c r="I3178" s="24" t="s">
        <v>33</v>
      </c>
      <c r="J3178" s="19" t="s">
        <v>328</v>
      </c>
      <c r="K3178" s="14">
        <v>26.0</v>
      </c>
      <c r="L3178" s="7"/>
      <c r="M3178" s="7"/>
      <c r="N3178" s="7"/>
      <c r="O3178" s="7"/>
      <c r="P3178" s="7"/>
      <c r="Q3178" s="7"/>
      <c r="R3178" s="7"/>
      <c r="S3178" s="7"/>
      <c r="T3178" s="7"/>
      <c r="U3178" s="7"/>
      <c r="V3178" s="7"/>
      <c r="W3178" s="7"/>
      <c r="X3178" s="7"/>
      <c r="Y3178" s="7"/>
    </row>
    <row r="3179">
      <c r="A3179" s="14" t="s">
        <v>11395</v>
      </c>
      <c r="B3179" s="17" t="s">
        <v>11389</v>
      </c>
      <c r="C3179" s="17" t="s">
        <v>11396</v>
      </c>
      <c r="D3179" s="19" t="s">
        <v>11397</v>
      </c>
      <c r="E3179" s="20" t="s">
        <v>53</v>
      </c>
      <c r="F3179" s="21">
        <v>29048.0</v>
      </c>
      <c r="G3179" s="14">
        <v>47.0</v>
      </c>
      <c r="H3179" s="23" t="s">
        <v>26</v>
      </c>
      <c r="I3179" s="24" t="s">
        <v>33</v>
      </c>
      <c r="J3179" s="19" t="s">
        <v>328</v>
      </c>
      <c r="K3179" s="14">
        <v>26.0</v>
      </c>
      <c r="L3179" s="7"/>
      <c r="M3179" s="7"/>
      <c r="N3179" s="7"/>
      <c r="O3179" s="7"/>
      <c r="P3179" s="7"/>
      <c r="Q3179" s="7"/>
      <c r="R3179" s="7"/>
      <c r="S3179" s="7"/>
      <c r="T3179" s="7"/>
      <c r="U3179" s="7"/>
      <c r="V3179" s="7"/>
      <c r="W3179" s="7"/>
      <c r="X3179" s="7"/>
      <c r="Y3179" s="7"/>
    </row>
    <row r="3180">
      <c r="A3180" s="14" t="s">
        <v>11398</v>
      </c>
      <c r="B3180" s="17" t="s">
        <v>11389</v>
      </c>
      <c r="C3180" s="17" t="s">
        <v>11399</v>
      </c>
      <c r="D3180" s="19" t="s">
        <v>11400</v>
      </c>
      <c r="E3180" s="20" t="s">
        <v>11401</v>
      </c>
      <c r="F3180" s="21">
        <v>38766.0</v>
      </c>
      <c r="G3180" s="14">
        <v>20.0</v>
      </c>
      <c r="H3180" s="23" t="s">
        <v>100</v>
      </c>
      <c r="I3180" s="24" t="s">
        <v>27</v>
      </c>
      <c r="J3180" s="19" t="s">
        <v>328</v>
      </c>
      <c r="K3180" s="14">
        <v>26.0</v>
      </c>
      <c r="L3180" s="7"/>
      <c r="M3180" s="7"/>
      <c r="N3180" s="7"/>
      <c r="O3180" s="7"/>
      <c r="P3180" s="7"/>
      <c r="Q3180" s="7"/>
      <c r="R3180" s="7"/>
      <c r="S3180" s="7"/>
      <c r="T3180" s="7"/>
      <c r="U3180" s="7"/>
      <c r="V3180" s="7"/>
      <c r="W3180" s="7"/>
      <c r="X3180" s="7"/>
      <c r="Y3180" s="7"/>
    </row>
    <row r="3181">
      <c r="A3181" s="14" t="s">
        <v>11402</v>
      </c>
      <c r="B3181" s="17" t="s">
        <v>11403</v>
      </c>
      <c r="C3181" s="17" t="s">
        <v>11404</v>
      </c>
      <c r="D3181" s="19" t="s">
        <v>11405</v>
      </c>
      <c r="E3181" s="20" t="s">
        <v>632</v>
      </c>
      <c r="F3181" s="21">
        <v>20370.0</v>
      </c>
      <c r="G3181" s="14">
        <v>70.0</v>
      </c>
      <c r="H3181" s="23" t="s">
        <v>26</v>
      </c>
      <c r="I3181" s="24" t="s">
        <v>27</v>
      </c>
      <c r="J3181" s="19" t="s">
        <v>156</v>
      </c>
      <c r="K3181" s="14">
        <v>30.0</v>
      </c>
      <c r="L3181" s="7"/>
      <c r="M3181" s="7"/>
      <c r="N3181" s="7"/>
      <c r="O3181" s="7"/>
      <c r="P3181" s="7"/>
      <c r="Q3181" s="7"/>
      <c r="R3181" s="7"/>
      <c r="S3181" s="7"/>
      <c r="T3181" s="7"/>
      <c r="U3181" s="7"/>
      <c r="V3181" s="7"/>
      <c r="W3181" s="7"/>
      <c r="X3181" s="7"/>
      <c r="Y3181" s="7"/>
    </row>
    <row r="3182">
      <c r="A3182" s="14" t="s">
        <v>11406</v>
      </c>
      <c r="B3182" s="17" t="s">
        <v>11407</v>
      </c>
      <c r="C3182" s="17" t="s">
        <v>11408</v>
      </c>
      <c r="D3182" s="19" t="s">
        <v>11409</v>
      </c>
      <c r="E3182" s="20" t="s">
        <v>632</v>
      </c>
      <c r="F3182" s="21">
        <v>22322.0</v>
      </c>
      <c r="G3182" s="14">
        <v>65.0</v>
      </c>
      <c r="H3182" s="23" t="s">
        <v>26</v>
      </c>
      <c r="I3182" s="24" t="s">
        <v>33</v>
      </c>
      <c r="J3182" s="19" t="s">
        <v>68</v>
      </c>
      <c r="K3182" s="14">
        <v>30.0</v>
      </c>
      <c r="L3182" s="7"/>
      <c r="M3182" s="7"/>
      <c r="N3182" s="7"/>
      <c r="O3182" s="7"/>
      <c r="P3182" s="7"/>
      <c r="Q3182" s="7"/>
      <c r="R3182" s="7"/>
      <c r="S3182" s="7"/>
      <c r="T3182" s="7"/>
      <c r="U3182" s="7"/>
      <c r="V3182" s="7"/>
      <c r="W3182" s="7"/>
      <c r="X3182" s="7"/>
      <c r="Y3182" s="7"/>
    </row>
    <row r="3183">
      <c r="A3183" s="14" t="s">
        <v>11410</v>
      </c>
      <c r="B3183" s="17" t="s">
        <v>11407</v>
      </c>
      <c r="C3183" s="17" t="s">
        <v>11411</v>
      </c>
      <c r="D3183" s="19" t="s">
        <v>11412</v>
      </c>
      <c r="E3183" s="20" t="s">
        <v>632</v>
      </c>
      <c r="F3183" s="21">
        <v>26580.0</v>
      </c>
      <c r="G3183" s="14">
        <v>53.0</v>
      </c>
      <c r="H3183" s="23" t="s">
        <v>26</v>
      </c>
      <c r="I3183" s="24" t="s">
        <v>27</v>
      </c>
      <c r="J3183" s="19" t="s">
        <v>68</v>
      </c>
      <c r="K3183" s="14">
        <v>30.0</v>
      </c>
      <c r="L3183" s="7"/>
      <c r="M3183" s="7"/>
      <c r="N3183" s="7"/>
      <c r="O3183" s="7"/>
      <c r="P3183" s="7"/>
      <c r="Q3183" s="7"/>
      <c r="R3183" s="7"/>
      <c r="S3183" s="7"/>
      <c r="T3183" s="7"/>
      <c r="U3183" s="7"/>
      <c r="V3183" s="7"/>
      <c r="W3183" s="7"/>
      <c r="X3183" s="7"/>
      <c r="Y3183" s="7"/>
    </row>
    <row r="3184">
      <c r="A3184" s="14" t="s">
        <v>11413</v>
      </c>
      <c r="B3184" s="17" t="s">
        <v>11414</v>
      </c>
      <c r="C3184" s="17" t="s">
        <v>11415</v>
      </c>
      <c r="D3184" s="19" t="s">
        <v>11416</v>
      </c>
      <c r="E3184" s="20" t="s">
        <v>104</v>
      </c>
      <c r="F3184" s="21">
        <v>28689.0</v>
      </c>
      <c r="G3184" s="14">
        <v>48.0</v>
      </c>
      <c r="H3184" s="23" t="s">
        <v>26</v>
      </c>
      <c r="I3184" s="24" t="s">
        <v>27</v>
      </c>
      <c r="J3184" s="19" t="s">
        <v>68</v>
      </c>
      <c r="K3184" s="14">
        <v>30.0</v>
      </c>
      <c r="L3184" s="7"/>
      <c r="M3184" s="7"/>
      <c r="N3184" s="7"/>
      <c r="O3184" s="7"/>
      <c r="P3184" s="7"/>
      <c r="Q3184" s="7"/>
      <c r="R3184" s="7"/>
      <c r="S3184" s="7"/>
      <c r="T3184" s="7"/>
      <c r="U3184" s="7"/>
      <c r="V3184" s="7"/>
      <c r="W3184" s="7"/>
      <c r="X3184" s="7"/>
      <c r="Y3184" s="7"/>
    </row>
    <row r="3185">
      <c r="A3185" s="14" t="s">
        <v>11417</v>
      </c>
      <c r="B3185" s="17" t="s">
        <v>11414</v>
      </c>
      <c r="C3185" s="17" t="s">
        <v>11418</v>
      </c>
      <c r="D3185" s="19" t="s">
        <v>11419</v>
      </c>
      <c r="E3185" s="20" t="s">
        <v>104</v>
      </c>
      <c r="F3185" s="27">
        <v>27747.0</v>
      </c>
      <c r="G3185" s="14">
        <v>50.0</v>
      </c>
      <c r="H3185" s="23" t="s">
        <v>26</v>
      </c>
      <c r="I3185" s="24" t="s">
        <v>33</v>
      </c>
      <c r="J3185" s="19" t="s">
        <v>53</v>
      </c>
      <c r="K3185" s="14">
        <v>30.0</v>
      </c>
      <c r="L3185" s="7"/>
      <c r="M3185" s="7"/>
      <c r="N3185" s="7"/>
      <c r="O3185" s="7"/>
      <c r="P3185" s="7"/>
      <c r="Q3185" s="7"/>
      <c r="R3185" s="7"/>
      <c r="S3185" s="7"/>
      <c r="T3185" s="7"/>
      <c r="U3185" s="7"/>
      <c r="V3185" s="7"/>
      <c r="W3185" s="7"/>
      <c r="X3185" s="7"/>
      <c r="Y3185" s="7"/>
    </row>
    <row r="3186">
      <c r="A3186" s="14" t="s">
        <v>11420</v>
      </c>
      <c r="B3186" s="17" t="s">
        <v>11421</v>
      </c>
      <c r="C3186" s="17" t="s">
        <v>11422</v>
      </c>
      <c r="D3186" s="19" t="s">
        <v>11423</v>
      </c>
      <c r="E3186" s="20" t="s">
        <v>53</v>
      </c>
      <c r="F3186" s="21">
        <v>30693.0</v>
      </c>
      <c r="G3186" s="14">
        <v>42.0</v>
      </c>
      <c r="H3186" s="23" t="s">
        <v>26</v>
      </c>
      <c r="I3186" s="24" t="s">
        <v>27</v>
      </c>
      <c r="J3186" s="19" t="s">
        <v>53</v>
      </c>
      <c r="K3186" s="14">
        <v>30.0</v>
      </c>
      <c r="L3186" s="7"/>
      <c r="M3186" s="7"/>
      <c r="N3186" s="7"/>
      <c r="O3186" s="7"/>
      <c r="P3186" s="7"/>
      <c r="Q3186" s="7"/>
      <c r="R3186" s="7"/>
      <c r="S3186" s="7"/>
      <c r="T3186" s="7"/>
      <c r="U3186" s="7"/>
      <c r="V3186" s="7"/>
      <c r="W3186" s="7"/>
      <c r="X3186" s="7"/>
      <c r="Y3186" s="7"/>
    </row>
    <row r="3187">
      <c r="A3187" s="14" t="s">
        <v>11424</v>
      </c>
      <c r="B3187" s="17" t="s">
        <v>11421</v>
      </c>
      <c r="C3187" s="17" t="s">
        <v>11425</v>
      </c>
      <c r="D3187" s="19" t="s">
        <v>11426</v>
      </c>
      <c r="E3187" s="20" t="s">
        <v>104</v>
      </c>
      <c r="F3187" s="21">
        <v>37779.0</v>
      </c>
      <c r="G3187" s="14">
        <v>23.0</v>
      </c>
      <c r="H3187" s="23" t="s">
        <v>100</v>
      </c>
      <c r="I3187" s="24" t="s">
        <v>33</v>
      </c>
      <c r="J3187" s="19" t="s">
        <v>53</v>
      </c>
      <c r="K3187" s="14">
        <v>30.0</v>
      </c>
      <c r="L3187" s="7"/>
      <c r="M3187" s="7"/>
      <c r="N3187" s="7"/>
      <c r="O3187" s="7"/>
      <c r="P3187" s="7"/>
      <c r="Q3187" s="7"/>
      <c r="R3187" s="7"/>
      <c r="S3187" s="7"/>
      <c r="T3187" s="7"/>
      <c r="U3187" s="7"/>
      <c r="V3187" s="7"/>
      <c r="W3187" s="7"/>
      <c r="X3187" s="7"/>
      <c r="Y3187" s="7"/>
    </row>
    <row r="3188">
      <c r="A3188" s="14" t="s">
        <v>11427</v>
      </c>
      <c r="B3188" s="17" t="s">
        <v>11421</v>
      </c>
      <c r="C3188" s="17" t="s">
        <v>11428</v>
      </c>
      <c r="D3188" s="19" t="s">
        <v>7583</v>
      </c>
      <c r="E3188" s="20" t="s">
        <v>104</v>
      </c>
      <c r="F3188" s="27">
        <v>28834.0</v>
      </c>
      <c r="G3188" s="14">
        <v>47.0</v>
      </c>
      <c r="H3188" s="23" t="s">
        <v>26</v>
      </c>
      <c r="I3188" s="24" t="s">
        <v>33</v>
      </c>
      <c r="J3188" s="19" t="s">
        <v>53</v>
      </c>
      <c r="K3188" s="14">
        <v>30.0</v>
      </c>
      <c r="L3188" s="7"/>
      <c r="M3188" s="7"/>
      <c r="N3188" s="7"/>
      <c r="O3188" s="7"/>
      <c r="P3188" s="7"/>
      <c r="Q3188" s="7"/>
      <c r="R3188" s="7"/>
      <c r="S3188" s="7"/>
      <c r="T3188" s="7"/>
      <c r="U3188" s="7"/>
      <c r="V3188" s="7"/>
      <c r="W3188" s="7"/>
      <c r="X3188" s="7"/>
      <c r="Y3188" s="7"/>
    </row>
    <row r="3189">
      <c r="A3189" s="14" t="s">
        <v>11429</v>
      </c>
      <c r="B3189" s="17" t="s">
        <v>11430</v>
      </c>
      <c r="C3189" s="17" t="s">
        <v>11431</v>
      </c>
      <c r="D3189" s="19" t="s">
        <v>5704</v>
      </c>
      <c r="E3189" s="20" t="s">
        <v>7082</v>
      </c>
      <c r="F3189" s="27">
        <v>24057.0</v>
      </c>
      <c r="G3189" s="14">
        <v>60.0</v>
      </c>
      <c r="H3189" s="23" t="s">
        <v>26</v>
      </c>
      <c r="I3189" s="24" t="s">
        <v>27</v>
      </c>
      <c r="J3189" s="19" t="s">
        <v>53</v>
      </c>
      <c r="K3189" s="14">
        <v>29.0</v>
      </c>
      <c r="L3189" s="7"/>
      <c r="M3189" s="7"/>
      <c r="N3189" s="7"/>
      <c r="O3189" s="7"/>
      <c r="P3189" s="7"/>
      <c r="Q3189" s="7"/>
      <c r="R3189" s="7"/>
      <c r="S3189" s="7"/>
      <c r="T3189" s="7"/>
      <c r="U3189" s="7"/>
      <c r="V3189" s="7"/>
      <c r="W3189" s="7"/>
      <c r="X3189" s="7"/>
      <c r="Y3189" s="7"/>
    </row>
    <row r="3190">
      <c r="A3190" s="14" t="s">
        <v>11432</v>
      </c>
      <c r="B3190" s="17" t="s">
        <v>11430</v>
      </c>
      <c r="C3190" s="17" t="s">
        <v>11433</v>
      </c>
      <c r="D3190" s="19" t="s">
        <v>11434</v>
      </c>
      <c r="E3190" s="20" t="s">
        <v>632</v>
      </c>
      <c r="F3190" s="21">
        <v>23437.0</v>
      </c>
      <c r="G3190" s="14">
        <v>62.0</v>
      </c>
      <c r="H3190" s="23" t="s">
        <v>26</v>
      </c>
      <c r="I3190" s="24" t="s">
        <v>33</v>
      </c>
      <c r="J3190" s="19" t="s">
        <v>53</v>
      </c>
      <c r="K3190" s="14">
        <v>29.0</v>
      </c>
      <c r="L3190" s="7"/>
      <c r="M3190" s="7"/>
      <c r="N3190" s="7"/>
      <c r="O3190" s="7"/>
      <c r="P3190" s="7"/>
      <c r="Q3190" s="7"/>
      <c r="R3190" s="7"/>
      <c r="S3190" s="7"/>
      <c r="T3190" s="7"/>
      <c r="U3190" s="7"/>
      <c r="V3190" s="7"/>
      <c r="W3190" s="7"/>
      <c r="X3190" s="7"/>
      <c r="Y3190" s="7"/>
    </row>
    <row r="3191">
      <c r="A3191" s="14" t="s">
        <v>11435</v>
      </c>
      <c r="B3191" s="17" t="s">
        <v>11436</v>
      </c>
      <c r="C3191" s="17" t="s">
        <v>11437</v>
      </c>
      <c r="D3191" s="19" t="s">
        <v>11438</v>
      </c>
      <c r="E3191" s="20" t="s">
        <v>632</v>
      </c>
      <c r="F3191" s="21">
        <v>25113.0</v>
      </c>
      <c r="G3191" s="14">
        <v>57.0</v>
      </c>
      <c r="H3191" s="23" t="s">
        <v>26</v>
      </c>
      <c r="I3191" s="24" t="s">
        <v>27</v>
      </c>
      <c r="J3191" s="19" t="s">
        <v>53</v>
      </c>
      <c r="K3191" s="14">
        <v>30.0</v>
      </c>
      <c r="L3191" s="7"/>
      <c r="M3191" s="7"/>
      <c r="N3191" s="7"/>
      <c r="O3191" s="7"/>
      <c r="P3191" s="7"/>
      <c r="Q3191" s="7"/>
      <c r="R3191" s="7"/>
      <c r="S3191" s="7"/>
      <c r="T3191" s="7"/>
      <c r="U3191" s="7"/>
      <c r="V3191" s="7"/>
      <c r="W3191" s="7"/>
      <c r="X3191" s="7"/>
      <c r="Y3191" s="7"/>
    </row>
    <row r="3192">
      <c r="A3192" s="14" t="s">
        <v>11439</v>
      </c>
      <c r="B3192" s="17" t="s">
        <v>11436</v>
      </c>
      <c r="C3192" s="17" t="s">
        <v>11440</v>
      </c>
      <c r="D3192" s="19" t="s">
        <v>9862</v>
      </c>
      <c r="E3192" s="20" t="s">
        <v>632</v>
      </c>
      <c r="F3192" s="27">
        <v>24056.0</v>
      </c>
      <c r="G3192" s="14">
        <v>60.0</v>
      </c>
      <c r="H3192" s="23" t="s">
        <v>26</v>
      </c>
      <c r="I3192" s="24" t="s">
        <v>33</v>
      </c>
      <c r="J3192" s="19" t="s">
        <v>53</v>
      </c>
      <c r="K3192" s="14">
        <v>30.0</v>
      </c>
      <c r="L3192" s="7"/>
      <c r="M3192" s="7"/>
      <c r="N3192" s="7"/>
      <c r="O3192" s="7"/>
      <c r="P3192" s="7"/>
      <c r="Q3192" s="7"/>
      <c r="R3192" s="7"/>
      <c r="S3192" s="7"/>
      <c r="T3192" s="7"/>
      <c r="U3192" s="7"/>
      <c r="V3192" s="7"/>
      <c r="W3192" s="7"/>
      <c r="X3192" s="7"/>
      <c r="Y3192" s="7"/>
    </row>
    <row r="3193">
      <c r="A3193" s="14" t="s">
        <v>11441</v>
      </c>
      <c r="B3193" s="17" t="s">
        <v>11442</v>
      </c>
      <c r="C3193" s="17" t="s">
        <v>11443</v>
      </c>
      <c r="D3193" s="19" t="s">
        <v>11444</v>
      </c>
      <c r="E3193" s="20" t="s">
        <v>632</v>
      </c>
      <c r="F3193" s="21">
        <v>21805.0</v>
      </c>
      <c r="G3193" s="14">
        <v>66.0</v>
      </c>
      <c r="H3193" s="23" t="s">
        <v>26</v>
      </c>
      <c r="I3193" s="24" t="s">
        <v>33</v>
      </c>
      <c r="J3193" s="19" t="s">
        <v>53</v>
      </c>
      <c r="K3193" s="14">
        <v>29.0</v>
      </c>
      <c r="L3193" s="7"/>
      <c r="M3193" s="7"/>
      <c r="N3193" s="7"/>
      <c r="O3193" s="7"/>
      <c r="P3193" s="7"/>
      <c r="Q3193" s="7"/>
      <c r="R3193" s="7"/>
      <c r="S3193" s="7"/>
      <c r="T3193" s="7"/>
      <c r="U3193" s="7"/>
      <c r="V3193" s="7"/>
      <c r="W3193" s="7"/>
      <c r="X3193" s="7"/>
      <c r="Y3193" s="7"/>
    </row>
    <row r="3194">
      <c r="A3194" s="14" t="s">
        <v>11445</v>
      </c>
      <c r="B3194" s="17" t="s">
        <v>11442</v>
      </c>
      <c r="C3194" s="17" t="s">
        <v>11446</v>
      </c>
      <c r="D3194" s="19" t="s">
        <v>3118</v>
      </c>
      <c r="E3194" s="20" t="s">
        <v>632</v>
      </c>
      <c r="F3194" s="21">
        <v>23227.0</v>
      </c>
      <c r="G3194" s="14">
        <v>63.0</v>
      </c>
      <c r="H3194" s="23" t="s">
        <v>26</v>
      </c>
      <c r="I3194" s="24" t="s">
        <v>27</v>
      </c>
      <c r="J3194" s="19" t="s">
        <v>53</v>
      </c>
      <c r="K3194" s="14">
        <v>29.0</v>
      </c>
      <c r="L3194" s="7"/>
      <c r="M3194" s="7"/>
      <c r="N3194" s="7"/>
      <c r="O3194" s="7"/>
      <c r="P3194" s="7"/>
      <c r="Q3194" s="7"/>
      <c r="R3194" s="7"/>
      <c r="S3194" s="7"/>
      <c r="T3194" s="7"/>
      <c r="U3194" s="7"/>
      <c r="V3194" s="7"/>
      <c r="W3194" s="7"/>
      <c r="X3194" s="7"/>
      <c r="Y3194" s="7"/>
    </row>
    <row r="3195">
      <c r="A3195" s="14" t="s">
        <v>11447</v>
      </c>
      <c r="B3195" s="17" t="s">
        <v>11448</v>
      </c>
      <c r="C3195" s="17" t="s">
        <v>11449</v>
      </c>
      <c r="D3195" s="19" t="s">
        <v>11450</v>
      </c>
      <c r="E3195" s="20" t="s">
        <v>337</v>
      </c>
      <c r="F3195" s="27">
        <v>36510.0</v>
      </c>
      <c r="G3195" s="14">
        <v>26.0</v>
      </c>
      <c r="H3195" s="23" t="s">
        <v>100</v>
      </c>
      <c r="I3195" s="24" t="s">
        <v>27</v>
      </c>
      <c r="J3195" s="19" t="s">
        <v>53</v>
      </c>
      <c r="K3195" s="14">
        <v>29.0</v>
      </c>
      <c r="L3195" s="7"/>
      <c r="M3195" s="7"/>
      <c r="N3195" s="7"/>
      <c r="O3195" s="7"/>
      <c r="P3195" s="7"/>
      <c r="Q3195" s="7"/>
      <c r="R3195" s="7"/>
      <c r="S3195" s="7"/>
      <c r="T3195" s="7"/>
      <c r="U3195" s="7"/>
      <c r="V3195" s="7"/>
      <c r="W3195" s="7"/>
      <c r="X3195" s="7"/>
      <c r="Y3195" s="7"/>
    </row>
    <row r="3196">
      <c r="A3196" s="14" t="s">
        <v>11451</v>
      </c>
      <c r="B3196" s="17" t="s">
        <v>11448</v>
      </c>
      <c r="C3196" s="17" t="s">
        <v>11452</v>
      </c>
      <c r="D3196" s="19" t="s">
        <v>10512</v>
      </c>
      <c r="E3196" s="20" t="s">
        <v>1816</v>
      </c>
      <c r="F3196" s="21">
        <v>23093.0</v>
      </c>
      <c r="G3196" s="14">
        <v>63.0</v>
      </c>
      <c r="H3196" s="23" t="s">
        <v>26</v>
      </c>
      <c r="I3196" s="24" t="s">
        <v>33</v>
      </c>
      <c r="J3196" s="19" t="s">
        <v>53</v>
      </c>
      <c r="K3196" s="14">
        <v>29.0</v>
      </c>
      <c r="L3196" s="7"/>
      <c r="M3196" s="7"/>
      <c r="N3196" s="7"/>
      <c r="O3196" s="7"/>
      <c r="P3196" s="7"/>
      <c r="Q3196" s="7"/>
      <c r="R3196" s="7"/>
      <c r="S3196" s="7"/>
      <c r="T3196" s="7"/>
      <c r="U3196" s="7"/>
      <c r="V3196" s="7"/>
      <c r="W3196" s="7"/>
      <c r="X3196" s="7"/>
      <c r="Y3196" s="7"/>
    </row>
    <row r="3197">
      <c r="A3197" s="14" t="s">
        <v>11453</v>
      </c>
      <c r="B3197" s="17" t="s">
        <v>11448</v>
      </c>
      <c r="C3197" s="17" t="s">
        <v>11454</v>
      </c>
      <c r="D3197" s="19" t="s">
        <v>11455</v>
      </c>
      <c r="E3197" s="20" t="s">
        <v>53</v>
      </c>
      <c r="F3197" s="27">
        <v>28043.0</v>
      </c>
      <c r="G3197" s="14">
        <v>49.0</v>
      </c>
      <c r="H3197" s="23" t="s">
        <v>26</v>
      </c>
      <c r="I3197" s="24" t="s">
        <v>27</v>
      </c>
      <c r="J3197" s="19" t="s">
        <v>53</v>
      </c>
      <c r="K3197" s="14">
        <v>29.0</v>
      </c>
      <c r="L3197" s="7"/>
      <c r="M3197" s="7"/>
      <c r="N3197" s="7"/>
      <c r="O3197" s="7"/>
      <c r="P3197" s="7"/>
      <c r="Q3197" s="7"/>
      <c r="R3197" s="7"/>
      <c r="S3197" s="7"/>
      <c r="T3197" s="7"/>
      <c r="U3197" s="7"/>
      <c r="V3197" s="7"/>
      <c r="W3197" s="7"/>
      <c r="X3197" s="7"/>
      <c r="Y3197" s="7"/>
    </row>
    <row r="3198">
      <c r="A3198" s="14" t="s">
        <v>11456</v>
      </c>
      <c r="B3198" s="17" t="s">
        <v>11457</v>
      </c>
      <c r="C3198" s="17" t="s">
        <v>11458</v>
      </c>
      <c r="D3198" s="19" t="s">
        <v>11459</v>
      </c>
      <c r="E3198" s="20" t="s">
        <v>104</v>
      </c>
      <c r="F3198" s="21">
        <v>36632.0</v>
      </c>
      <c r="G3198" s="14">
        <v>26.0</v>
      </c>
      <c r="H3198" s="23" t="s">
        <v>100</v>
      </c>
      <c r="I3198" s="24" t="s">
        <v>33</v>
      </c>
      <c r="J3198" s="19" t="s">
        <v>53</v>
      </c>
      <c r="K3198" s="14">
        <v>29.0</v>
      </c>
      <c r="L3198" s="7"/>
      <c r="M3198" s="7"/>
      <c r="N3198" s="7"/>
      <c r="O3198" s="7"/>
      <c r="P3198" s="7"/>
      <c r="Q3198" s="7"/>
      <c r="R3198" s="7"/>
      <c r="S3198" s="7"/>
      <c r="T3198" s="7"/>
      <c r="U3198" s="7"/>
      <c r="V3198" s="7"/>
      <c r="W3198" s="7"/>
      <c r="X3198" s="7"/>
      <c r="Y3198" s="7"/>
    </row>
    <row r="3199">
      <c r="A3199" s="14" t="s">
        <v>11460</v>
      </c>
      <c r="B3199" s="17" t="s">
        <v>11457</v>
      </c>
      <c r="C3199" s="17" t="s">
        <v>11461</v>
      </c>
      <c r="D3199" s="19" t="s">
        <v>11462</v>
      </c>
      <c r="E3199" s="20" t="s">
        <v>11463</v>
      </c>
      <c r="F3199" s="21">
        <v>26472.0</v>
      </c>
      <c r="G3199" s="14">
        <v>54.0</v>
      </c>
      <c r="H3199" s="23" t="s">
        <v>26</v>
      </c>
      <c r="I3199" s="24" t="s">
        <v>27</v>
      </c>
      <c r="J3199" s="19" t="s">
        <v>53</v>
      </c>
      <c r="K3199" s="14">
        <v>29.0</v>
      </c>
      <c r="L3199" s="7"/>
      <c r="M3199" s="7"/>
      <c r="N3199" s="7"/>
      <c r="O3199" s="7"/>
      <c r="P3199" s="7"/>
      <c r="Q3199" s="7"/>
      <c r="R3199" s="7"/>
      <c r="S3199" s="7"/>
      <c r="T3199" s="7"/>
      <c r="U3199" s="7"/>
      <c r="V3199" s="7"/>
      <c r="W3199" s="7"/>
      <c r="X3199" s="7"/>
      <c r="Y3199" s="7"/>
    </row>
    <row r="3200">
      <c r="A3200" s="14" t="s">
        <v>11464</v>
      </c>
      <c r="B3200" s="17" t="s">
        <v>11457</v>
      </c>
      <c r="C3200" s="17" t="s">
        <v>11465</v>
      </c>
      <c r="D3200" s="19" t="s">
        <v>11466</v>
      </c>
      <c r="E3200" s="20" t="s">
        <v>219</v>
      </c>
      <c r="F3200" s="21">
        <v>25689.0</v>
      </c>
      <c r="G3200" s="14">
        <v>56.0</v>
      </c>
      <c r="H3200" s="23" t="s">
        <v>26</v>
      </c>
      <c r="I3200" s="24" t="s">
        <v>33</v>
      </c>
      <c r="J3200" s="19" t="s">
        <v>53</v>
      </c>
      <c r="K3200" s="14">
        <v>29.0</v>
      </c>
      <c r="L3200" s="7"/>
      <c r="M3200" s="7"/>
      <c r="N3200" s="7"/>
      <c r="O3200" s="7"/>
      <c r="P3200" s="7"/>
      <c r="Q3200" s="7"/>
      <c r="R3200" s="7"/>
      <c r="S3200" s="7"/>
      <c r="T3200" s="7"/>
      <c r="U3200" s="7"/>
      <c r="V3200" s="7"/>
      <c r="W3200" s="7"/>
      <c r="X3200" s="7"/>
      <c r="Y3200" s="7"/>
    </row>
    <row r="3201">
      <c r="A3201" s="14" t="s">
        <v>11467</v>
      </c>
      <c r="B3201" s="17" t="s">
        <v>11468</v>
      </c>
      <c r="C3201" s="17" t="s">
        <v>11469</v>
      </c>
      <c r="D3201" s="19" t="s">
        <v>5324</v>
      </c>
      <c r="E3201" s="20" t="s">
        <v>654</v>
      </c>
      <c r="F3201" s="21">
        <v>23686.0</v>
      </c>
      <c r="G3201" s="14">
        <v>61.0</v>
      </c>
      <c r="H3201" s="23" t="s">
        <v>26</v>
      </c>
      <c r="I3201" s="24" t="s">
        <v>33</v>
      </c>
      <c r="J3201" s="19" t="s">
        <v>53</v>
      </c>
      <c r="K3201" s="14">
        <v>29.0</v>
      </c>
      <c r="L3201" s="7"/>
      <c r="M3201" s="7"/>
      <c r="N3201" s="7"/>
      <c r="O3201" s="7"/>
      <c r="P3201" s="7"/>
      <c r="Q3201" s="7"/>
      <c r="R3201" s="7"/>
      <c r="S3201" s="7"/>
      <c r="T3201" s="7"/>
      <c r="U3201" s="7"/>
      <c r="V3201" s="7"/>
      <c r="W3201" s="7"/>
      <c r="X3201" s="7"/>
      <c r="Y3201" s="7"/>
    </row>
    <row r="3202">
      <c r="A3202" s="14" t="s">
        <v>11470</v>
      </c>
      <c r="B3202" s="17" t="s">
        <v>11468</v>
      </c>
      <c r="C3202" s="17" t="s">
        <v>11471</v>
      </c>
      <c r="D3202" s="19" t="s">
        <v>11472</v>
      </c>
      <c r="E3202" s="20" t="s">
        <v>1211</v>
      </c>
      <c r="F3202" s="21">
        <v>37931.0</v>
      </c>
      <c r="G3202" s="14">
        <v>22.0</v>
      </c>
      <c r="H3202" s="23" t="s">
        <v>100</v>
      </c>
      <c r="I3202" s="24" t="s">
        <v>27</v>
      </c>
      <c r="J3202" s="19" t="s">
        <v>53</v>
      </c>
      <c r="K3202" s="14">
        <v>29.0</v>
      </c>
      <c r="L3202" s="7"/>
      <c r="M3202" s="7"/>
      <c r="N3202" s="7"/>
      <c r="O3202" s="7"/>
      <c r="P3202" s="7"/>
      <c r="Q3202" s="7"/>
      <c r="R3202" s="7"/>
      <c r="S3202" s="7"/>
      <c r="T3202" s="7"/>
      <c r="U3202" s="7"/>
      <c r="V3202" s="7"/>
      <c r="W3202" s="7"/>
      <c r="X3202" s="7"/>
      <c r="Y3202" s="7"/>
    </row>
    <row r="3203">
      <c r="A3203" s="14" t="s">
        <v>11473</v>
      </c>
      <c r="B3203" s="17" t="s">
        <v>11468</v>
      </c>
      <c r="C3203" s="17" t="s">
        <v>11474</v>
      </c>
      <c r="D3203" s="19" t="s">
        <v>11475</v>
      </c>
      <c r="E3203" s="20" t="s">
        <v>11463</v>
      </c>
      <c r="F3203" s="21">
        <v>27456.0</v>
      </c>
      <c r="G3203" s="14">
        <v>51.0</v>
      </c>
      <c r="H3203" s="23" t="s">
        <v>26</v>
      </c>
      <c r="I3203" s="24" t="s">
        <v>27</v>
      </c>
      <c r="J3203" s="19" t="s">
        <v>53</v>
      </c>
      <c r="K3203" s="14">
        <v>29.0</v>
      </c>
      <c r="L3203" s="7"/>
      <c r="M3203" s="7"/>
      <c r="N3203" s="7"/>
      <c r="O3203" s="7"/>
      <c r="P3203" s="7"/>
      <c r="Q3203" s="7"/>
      <c r="R3203" s="7"/>
      <c r="S3203" s="7"/>
      <c r="T3203" s="7"/>
      <c r="U3203" s="7"/>
      <c r="V3203" s="7"/>
      <c r="W3203" s="7"/>
      <c r="X3203" s="7"/>
      <c r="Y3203" s="7"/>
    </row>
    <row r="3204">
      <c r="A3204" s="14" t="s">
        <v>11476</v>
      </c>
      <c r="B3204" s="17" t="s">
        <v>11477</v>
      </c>
      <c r="C3204" s="17" t="s">
        <v>11478</v>
      </c>
      <c r="D3204" s="19" t="s">
        <v>11479</v>
      </c>
      <c r="E3204" s="20" t="s">
        <v>176</v>
      </c>
      <c r="F3204" s="21">
        <v>36596.0</v>
      </c>
      <c r="G3204" s="14">
        <v>26.0</v>
      </c>
      <c r="H3204" s="23" t="s">
        <v>100</v>
      </c>
      <c r="I3204" s="24" t="s">
        <v>33</v>
      </c>
      <c r="J3204" s="19" t="s">
        <v>328</v>
      </c>
      <c r="K3204" s="14">
        <v>19.0</v>
      </c>
      <c r="L3204" s="7"/>
      <c r="M3204" s="7"/>
      <c r="N3204" s="7"/>
      <c r="O3204" s="7"/>
      <c r="P3204" s="7"/>
      <c r="Q3204" s="7"/>
      <c r="R3204" s="7"/>
      <c r="S3204" s="7"/>
      <c r="T3204" s="7"/>
      <c r="U3204" s="7"/>
      <c r="V3204" s="7"/>
      <c r="W3204" s="7"/>
      <c r="X3204" s="7"/>
      <c r="Y3204" s="7"/>
    </row>
    <row r="3205">
      <c r="A3205" s="14" t="s">
        <v>11480</v>
      </c>
      <c r="B3205" s="17" t="s">
        <v>11477</v>
      </c>
      <c r="C3205" s="17" t="s">
        <v>11481</v>
      </c>
      <c r="D3205" s="19" t="s">
        <v>11482</v>
      </c>
      <c r="E3205" s="20" t="s">
        <v>11483</v>
      </c>
      <c r="F3205" s="21">
        <v>27629.0</v>
      </c>
      <c r="G3205" s="14">
        <v>51.0</v>
      </c>
      <c r="H3205" s="23" t="s">
        <v>26</v>
      </c>
      <c r="I3205" s="24" t="s">
        <v>27</v>
      </c>
      <c r="J3205" s="19" t="s">
        <v>328</v>
      </c>
      <c r="K3205" s="14">
        <v>19.0</v>
      </c>
      <c r="L3205" s="7"/>
      <c r="M3205" s="7"/>
      <c r="N3205" s="7"/>
      <c r="O3205" s="7"/>
      <c r="P3205" s="7"/>
      <c r="Q3205" s="7"/>
      <c r="R3205" s="7"/>
      <c r="S3205" s="7"/>
      <c r="T3205" s="7"/>
      <c r="U3205" s="7"/>
      <c r="V3205" s="7"/>
      <c r="W3205" s="7"/>
      <c r="X3205" s="7"/>
      <c r="Y3205" s="7"/>
    </row>
    <row r="3206">
      <c r="A3206" s="14" t="s">
        <v>11484</v>
      </c>
      <c r="B3206" s="17" t="s">
        <v>11477</v>
      </c>
      <c r="C3206" s="17" t="s">
        <v>11485</v>
      </c>
      <c r="D3206" s="19" t="s">
        <v>11486</v>
      </c>
      <c r="E3206" s="20" t="s">
        <v>176</v>
      </c>
      <c r="F3206" s="21">
        <v>25328.0</v>
      </c>
      <c r="G3206" s="14">
        <v>57.0</v>
      </c>
      <c r="H3206" s="23" t="s">
        <v>26</v>
      </c>
      <c r="I3206" s="24" t="s">
        <v>33</v>
      </c>
      <c r="J3206" s="19" t="s">
        <v>328</v>
      </c>
      <c r="K3206" s="14">
        <v>19.0</v>
      </c>
      <c r="L3206" s="7"/>
      <c r="M3206" s="7"/>
      <c r="N3206" s="7"/>
      <c r="O3206" s="7"/>
      <c r="P3206" s="7"/>
      <c r="Q3206" s="7"/>
      <c r="R3206" s="7"/>
      <c r="S3206" s="7"/>
      <c r="T3206" s="7"/>
      <c r="U3206" s="7"/>
      <c r="V3206" s="7"/>
      <c r="W3206" s="7"/>
      <c r="X3206" s="7"/>
      <c r="Y3206" s="7"/>
    </row>
    <row r="3207">
      <c r="A3207" s="14" t="s">
        <v>11488</v>
      </c>
      <c r="B3207" s="17" t="s">
        <v>11489</v>
      </c>
      <c r="C3207" s="17" t="s">
        <v>11490</v>
      </c>
      <c r="D3207" s="19" t="s">
        <v>11491</v>
      </c>
      <c r="E3207" s="20" t="s">
        <v>11492</v>
      </c>
      <c r="F3207" s="21">
        <v>22392.0</v>
      </c>
      <c r="G3207" s="14">
        <v>65.0</v>
      </c>
      <c r="H3207" s="23" t="s">
        <v>27</v>
      </c>
      <c r="I3207" s="24" t="s">
        <v>27</v>
      </c>
      <c r="J3207" s="19" t="s">
        <v>95</v>
      </c>
      <c r="K3207" s="14">
        <v>13.0</v>
      </c>
      <c r="L3207" s="7"/>
      <c r="M3207" s="7"/>
      <c r="N3207" s="7"/>
      <c r="O3207" s="7"/>
      <c r="P3207" s="7"/>
      <c r="Q3207" s="7"/>
      <c r="R3207" s="7"/>
      <c r="S3207" s="7"/>
      <c r="T3207" s="7"/>
      <c r="U3207" s="7"/>
      <c r="V3207" s="7"/>
      <c r="W3207" s="7"/>
      <c r="X3207" s="7"/>
      <c r="Y3207" s="7"/>
    </row>
    <row r="3208">
      <c r="A3208" s="14" t="s">
        <v>11493</v>
      </c>
      <c r="B3208" s="17" t="s">
        <v>11489</v>
      </c>
      <c r="C3208" s="17" t="s">
        <v>11494</v>
      </c>
      <c r="D3208" s="19" t="s">
        <v>11495</v>
      </c>
      <c r="E3208" s="20" t="s">
        <v>337</v>
      </c>
      <c r="F3208" s="21">
        <v>38171.0</v>
      </c>
      <c r="G3208" s="14">
        <v>22.0</v>
      </c>
      <c r="H3208" s="23" t="s">
        <v>100</v>
      </c>
      <c r="I3208" s="24" t="s">
        <v>33</v>
      </c>
      <c r="J3208" s="19" t="s">
        <v>95</v>
      </c>
      <c r="K3208" s="14">
        <v>13.0</v>
      </c>
      <c r="L3208" s="7"/>
      <c r="M3208" s="7"/>
      <c r="N3208" s="7"/>
      <c r="O3208" s="7"/>
      <c r="P3208" s="7"/>
      <c r="Q3208" s="7"/>
      <c r="R3208" s="7"/>
      <c r="S3208" s="7"/>
      <c r="T3208" s="7"/>
      <c r="U3208" s="7"/>
      <c r="V3208" s="7"/>
      <c r="W3208" s="7"/>
      <c r="X3208" s="7"/>
      <c r="Y3208" s="7"/>
    </row>
    <row r="3209">
      <c r="A3209" s="14" t="s">
        <v>11497</v>
      </c>
      <c r="B3209" s="17" t="s">
        <v>11498</v>
      </c>
      <c r="C3209" s="17" t="s">
        <v>11499</v>
      </c>
      <c r="D3209" s="19" t="s">
        <v>11500</v>
      </c>
      <c r="E3209" s="20" t="s">
        <v>11501</v>
      </c>
      <c r="F3209" s="21">
        <v>14891.0</v>
      </c>
      <c r="G3209" s="14">
        <v>85.0</v>
      </c>
      <c r="H3209" s="23" t="s">
        <v>27</v>
      </c>
      <c r="I3209" s="24" t="s">
        <v>27</v>
      </c>
      <c r="J3209" s="19" t="s">
        <v>53</v>
      </c>
      <c r="K3209" s="14">
        <v>13.0</v>
      </c>
      <c r="L3209" s="7"/>
      <c r="M3209" s="7"/>
      <c r="N3209" s="7"/>
      <c r="O3209" s="7"/>
      <c r="P3209" s="7"/>
      <c r="Q3209" s="7"/>
      <c r="R3209" s="7"/>
      <c r="S3209" s="7"/>
      <c r="T3209" s="7"/>
      <c r="U3209" s="7"/>
      <c r="V3209" s="7"/>
      <c r="W3209" s="7"/>
      <c r="X3209" s="7"/>
      <c r="Y3209" s="7"/>
    </row>
    <row r="3210">
      <c r="A3210" s="14" t="s">
        <v>11502</v>
      </c>
      <c r="B3210" s="17" t="s">
        <v>11503</v>
      </c>
      <c r="C3210" s="17" t="s">
        <v>11504</v>
      </c>
      <c r="D3210" s="19" t="s">
        <v>11505</v>
      </c>
      <c r="E3210" s="20" t="s">
        <v>138</v>
      </c>
      <c r="F3210" s="21">
        <v>37324.0</v>
      </c>
      <c r="G3210" s="14">
        <v>24.0</v>
      </c>
      <c r="H3210" s="23" t="s">
        <v>26</v>
      </c>
      <c r="I3210" s="24" t="s">
        <v>27</v>
      </c>
      <c r="J3210" s="19" t="s">
        <v>53</v>
      </c>
      <c r="K3210" s="14">
        <v>13.0</v>
      </c>
      <c r="L3210" s="7"/>
      <c r="M3210" s="7"/>
      <c r="N3210" s="7"/>
      <c r="O3210" s="7"/>
      <c r="P3210" s="7"/>
      <c r="Q3210" s="7"/>
      <c r="R3210" s="7"/>
      <c r="S3210" s="7"/>
      <c r="T3210" s="7"/>
      <c r="U3210" s="7"/>
      <c r="V3210" s="7"/>
      <c r="W3210" s="7"/>
      <c r="X3210" s="7"/>
      <c r="Y3210" s="7"/>
    </row>
    <row r="3211">
      <c r="A3211" s="14" t="s">
        <v>11506</v>
      </c>
      <c r="B3211" s="17" t="s">
        <v>11503</v>
      </c>
      <c r="C3211" s="17" t="s">
        <v>11507</v>
      </c>
      <c r="D3211" s="19" t="s">
        <v>11508</v>
      </c>
      <c r="E3211" s="20" t="s">
        <v>53</v>
      </c>
      <c r="F3211" s="27">
        <v>39072.0</v>
      </c>
      <c r="G3211" s="14">
        <v>19.0</v>
      </c>
      <c r="H3211" s="23" t="s">
        <v>100</v>
      </c>
      <c r="I3211" s="24" t="s">
        <v>33</v>
      </c>
      <c r="J3211" s="19" t="s">
        <v>53</v>
      </c>
      <c r="K3211" s="14">
        <v>13.0</v>
      </c>
      <c r="L3211" s="7"/>
      <c r="M3211" s="7"/>
      <c r="N3211" s="7"/>
      <c r="O3211" s="7"/>
      <c r="P3211" s="7"/>
      <c r="Q3211" s="7"/>
      <c r="R3211" s="7"/>
      <c r="S3211" s="7"/>
      <c r="T3211" s="7"/>
      <c r="U3211" s="7"/>
      <c r="V3211" s="7"/>
      <c r="W3211" s="7"/>
      <c r="X3211" s="7"/>
      <c r="Y3211" s="7"/>
    </row>
    <row r="3212">
      <c r="A3212" s="14" t="s">
        <v>11509</v>
      </c>
      <c r="B3212" s="17" t="s">
        <v>11503</v>
      </c>
      <c r="C3212" s="17" t="s">
        <v>11510</v>
      </c>
      <c r="D3212" s="19" t="s">
        <v>11511</v>
      </c>
      <c r="E3212" s="20" t="s">
        <v>11512</v>
      </c>
      <c r="F3212" s="21">
        <v>28689.0</v>
      </c>
      <c r="G3212" s="14">
        <v>48.0</v>
      </c>
      <c r="H3212" s="23" t="s">
        <v>26</v>
      </c>
      <c r="I3212" s="24" t="s">
        <v>27</v>
      </c>
      <c r="J3212" s="19" t="s">
        <v>53</v>
      </c>
      <c r="K3212" s="14">
        <v>13.0</v>
      </c>
      <c r="L3212" s="7"/>
      <c r="M3212" s="7"/>
      <c r="N3212" s="7"/>
      <c r="O3212" s="7"/>
      <c r="P3212" s="7"/>
      <c r="Q3212" s="7"/>
      <c r="R3212" s="7"/>
      <c r="S3212" s="7"/>
      <c r="T3212" s="7"/>
      <c r="U3212" s="7"/>
      <c r="V3212" s="7"/>
      <c r="W3212" s="7"/>
      <c r="X3212" s="7"/>
      <c r="Y3212" s="7"/>
    </row>
    <row r="3213">
      <c r="A3213" s="14" t="s">
        <v>11513</v>
      </c>
      <c r="B3213" s="17" t="s">
        <v>11503</v>
      </c>
      <c r="C3213" s="17" t="s">
        <v>11514</v>
      </c>
      <c r="D3213" s="19" t="s">
        <v>11515</v>
      </c>
      <c r="E3213" s="20" t="s">
        <v>429</v>
      </c>
      <c r="F3213" s="21">
        <v>27415.0</v>
      </c>
      <c r="G3213" s="14">
        <v>51.0</v>
      </c>
      <c r="H3213" s="23" t="s">
        <v>26</v>
      </c>
      <c r="I3213" s="24" t="s">
        <v>33</v>
      </c>
      <c r="J3213" s="19" t="s">
        <v>53</v>
      </c>
      <c r="K3213" s="14">
        <v>13.0</v>
      </c>
      <c r="L3213" s="7"/>
      <c r="M3213" s="7"/>
      <c r="N3213" s="7"/>
      <c r="O3213" s="7"/>
      <c r="P3213" s="7"/>
      <c r="Q3213" s="7"/>
      <c r="R3213" s="7"/>
      <c r="S3213" s="7"/>
      <c r="T3213" s="7"/>
      <c r="U3213" s="7"/>
      <c r="V3213" s="7"/>
      <c r="W3213" s="7"/>
      <c r="X3213" s="7"/>
      <c r="Y3213" s="7"/>
    </row>
    <row r="3214">
      <c r="A3214" s="14" t="s">
        <v>11517</v>
      </c>
      <c r="B3214" s="17" t="s">
        <v>11518</v>
      </c>
      <c r="C3214" s="17" t="s">
        <v>11519</v>
      </c>
      <c r="D3214" s="19" t="s">
        <v>11520</v>
      </c>
      <c r="E3214" s="20" t="s">
        <v>104</v>
      </c>
      <c r="F3214" s="21">
        <v>29493.0</v>
      </c>
      <c r="G3214" s="14">
        <v>45.0</v>
      </c>
      <c r="H3214" s="23" t="s">
        <v>26</v>
      </c>
      <c r="I3214" s="24" t="s">
        <v>27</v>
      </c>
      <c r="J3214" s="19" t="s">
        <v>53</v>
      </c>
      <c r="K3214" s="14">
        <v>14.0</v>
      </c>
      <c r="L3214" s="7"/>
      <c r="M3214" s="7"/>
      <c r="N3214" s="7"/>
      <c r="O3214" s="7"/>
      <c r="P3214" s="7"/>
      <c r="Q3214" s="7"/>
      <c r="R3214" s="7"/>
      <c r="S3214" s="7"/>
      <c r="T3214" s="7"/>
      <c r="U3214" s="7"/>
      <c r="V3214" s="7"/>
      <c r="W3214" s="7"/>
      <c r="X3214" s="7"/>
      <c r="Y3214" s="7"/>
    </row>
    <row r="3215">
      <c r="A3215" s="14" t="s">
        <v>11521</v>
      </c>
      <c r="B3215" s="17" t="s">
        <v>11518</v>
      </c>
      <c r="C3215" s="17" t="s">
        <v>11522</v>
      </c>
      <c r="D3215" s="19" t="s">
        <v>11523</v>
      </c>
      <c r="E3215" s="20" t="s">
        <v>1370</v>
      </c>
      <c r="F3215" s="21">
        <v>29092.0</v>
      </c>
      <c r="G3215" s="14">
        <v>47.0</v>
      </c>
      <c r="H3215" s="23" t="s">
        <v>26</v>
      </c>
      <c r="I3215" s="24" t="s">
        <v>33</v>
      </c>
      <c r="J3215" s="19" t="s">
        <v>53</v>
      </c>
      <c r="K3215" s="14">
        <v>14.0</v>
      </c>
      <c r="L3215" s="7"/>
      <c r="M3215" s="7"/>
      <c r="N3215" s="7"/>
      <c r="O3215" s="7"/>
      <c r="P3215" s="7"/>
      <c r="Q3215" s="7"/>
      <c r="R3215" s="7"/>
      <c r="S3215" s="7"/>
      <c r="T3215" s="7"/>
      <c r="U3215" s="7"/>
      <c r="V3215" s="7"/>
      <c r="W3215" s="7"/>
      <c r="X3215" s="7"/>
      <c r="Y3215" s="7"/>
    </row>
    <row r="3216">
      <c r="A3216" s="14" t="s">
        <v>11524</v>
      </c>
      <c r="B3216" s="17" t="s">
        <v>11518</v>
      </c>
      <c r="C3216" s="17" t="s">
        <v>11525</v>
      </c>
      <c r="D3216" s="19" t="s">
        <v>11526</v>
      </c>
      <c r="E3216" s="20" t="s">
        <v>104</v>
      </c>
      <c r="F3216" s="27">
        <v>38281.0</v>
      </c>
      <c r="G3216" s="14">
        <v>21.0</v>
      </c>
      <c r="H3216" s="23" t="s">
        <v>100</v>
      </c>
      <c r="I3216" s="24" t="s">
        <v>33</v>
      </c>
      <c r="J3216" s="19" t="s">
        <v>53</v>
      </c>
      <c r="K3216" s="14">
        <v>14.0</v>
      </c>
      <c r="L3216" s="7"/>
      <c r="M3216" s="7"/>
      <c r="N3216" s="7"/>
      <c r="O3216" s="7"/>
      <c r="P3216" s="7"/>
      <c r="Q3216" s="7"/>
      <c r="R3216" s="7"/>
      <c r="S3216" s="7"/>
      <c r="T3216" s="7"/>
      <c r="U3216" s="7"/>
      <c r="V3216" s="7"/>
      <c r="W3216" s="7"/>
      <c r="X3216" s="7"/>
      <c r="Y3216" s="7"/>
    </row>
    <row r="3217">
      <c r="A3217" s="14" t="s">
        <v>11527</v>
      </c>
      <c r="B3217" s="17" t="s">
        <v>11528</v>
      </c>
      <c r="C3217" s="17" t="s">
        <v>11529</v>
      </c>
      <c r="D3217" s="19" t="s">
        <v>11530</v>
      </c>
      <c r="E3217" s="20" t="s">
        <v>6102</v>
      </c>
      <c r="F3217" s="21">
        <v>22456.0</v>
      </c>
      <c r="G3217" s="14">
        <v>65.0</v>
      </c>
      <c r="H3217" s="23" t="s">
        <v>26</v>
      </c>
      <c r="I3217" s="24" t="s">
        <v>33</v>
      </c>
      <c r="J3217" s="19" t="s">
        <v>726</v>
      </c>
      <c r="K3217" s="14">
        <v>17.0</v>
      </c>
      <c r="L3217" s="7"/>
      <c r="M3217" s="7"/>
      <c r="N3217" s="7"/>
      <c r="O3217" s="7"/>
      <c r="P3217" s="7"/>
      <c r="Q3217" s="7"/>
      <c r="R3217" s="7"/>
      <c r="S3217" s="7"/>
      <c r="T3217" s="7"/>
      <c r="U3217" s="7"/>
      <c r="V3217" s="7"/>
      <c r="W3217" s="7"/>
      <c r="X3217" s="7"/>
      <c r="Y3217" s="7"/>
    </row>
    <row r="3218">
      <c r="A3218" s="14" t="s">
        <v>11531</v>
      </c>
      <c r="B3218" s="17" t="s">
        <v>11528</v>
      </c>
      <c r="C3218" s="17" t="s">
        <v>11532</v>
      </c>
      <c r="D3218" s="19" t="s">
        <v>11533</v>
      </c>
      <c r="E3218" s="20" t="s">
        <v>1816</v>
      </c>
      <c r="F3218" s="27">
        <v>26293.0</v>
      </c>
      <c r="G3218" s="14">
        <v>54.0</v>
      </c>
      <c r="H3218" s="23" t="s">
        <v>26</v>
      </c>
      <c r="I3218" s="24" t="s">
        <v>27</v>
      </c>
      <c r="J3218" s="19" t="s">
        <v>726</v>
      </c>
      <c r="K3218" s="14">
        <v>17.0</v>
      </c>
      <c r="L3218" s="7"/>
      <c r="M3218" s="7"/>
      <c r="N3218" s="7"/>
      <c r="O3218" s="7"/>
      <c r="P3218" s="7"/>
      <c r="Q3218" s="7"/>
      <c r="R3218" s="7"/>
      <c r="S3218" s="7"/>
      <c r="T3218" s="7"/>
      <c r="U3218" s="7"/>
      <c r="V3218" s="7"/>
      <c r="W3218" s="7"/>
      <c r="X3218" s="7"/>
      <c r="Y3218" s="7"/>
    </row>
    <row r="3219">
      <c r="A3219" s="14" t="s">
        <v>11534</v>
      </c>
      <c r="B3219" s="17" t="s">
        <v>11528</v>
      </c>
      <c r="C3219" s="17" t="s">
        <v>11535</v>
      </c>
      <c r="D3219" s="19" t="s">
        <v>2199</v>
      </c>
      <c r="E3219" s="20" t="s">
        <v>1816</v>
      </c>
      <c r="F3219" s="21">
        <v>28013.0</v>
      </c>
      <c r="G3219" s="14">
        <v>49.0</v>
      </c>
      <c r="H3219" s="23" t="s">
        <v>26</v>
      </c>
      <c r="I3219" s="24" t="s">
        <v>33</v>
      </c>
      <c r="J3219" s="19" t="s">
        <v>282</v>
      </c>
      <c r="K3219" s="14">
        <v>15.0</v>
      </c>
      <c r="L3219" s="7"/>
      <c r="M3219" s="7"/>
      <c r="N3219" s="7"/>
      <c r="O3219" s="7"/>
      <c r="P3219" s="7"/>
      <c r="Q3219" s="7"/>
      <c r="R3219" s="7"/>
      <c r="S3219" s="7"/>
      <c r="T3219" s="7"/>
      <c r="U3219" s="7"/>
      <c r="V3219" s="7"/>
      <c r="W3219" s="7"/>
      <c r="X3219" s="7"/>
      <c r="Y3219" s="7"/>
    </row>
    <row r="3220">
      <c r="A3220" s="14" t="s">
        <v>11536</v>
      </c>
      <c r="B3220" s="17" t="s">
        <v>11528</v>
      </c>
      <c r="C3220" s="17" t="s">
        <v>11537</v>
      </c>
      <c r="D3220" s="19" t="s">
        <v>11538</v>
      </c>
      <c r="E3220" s="20" t="s">
        <v>104</v>
      </c>
      <c r="F3220" s="21">
        <v>37802.0</v>
      </c>
      <c r="G3220" s="14">
        <v>23.0</v>
      </c>
      <c r="H3220" s="23" t="s">
        <v>100</v>
      </c>
      <c r="I3220" s="24" t="s">
        <v>33</v>
      </c>
      <c r="J3220" s="19" t="s">
        <v>726</v>
      </c>
      <c r="K3220" s="14">
        <v>17.0</v>
      </c>
      <c r="L3220" s="7"/>
      <c r="M3220" s="7"/>
      <c r="N3220" s="7"/>
      <c r="O3220" s="7"/>
      <c r="P3220" s="7"/>
      <c r="Q3220" s="7"/>
      <c r="R3220" s="7"/>
      <c r="S3220" s="7"/>
      <c r="T3220" s="7"/>
      <c r="U3220" s="7"/>
      <c r="V3220" s="7"/>
      <c r="W3220" s="7"/>
      <c r="X3220" s="7"/>
      <c r="Y3220" s="7"/>
    </row>
    <row r="3221">
      <c r="A3221" s="14" t="s">
        <v>11539</v>
      </c>
      <c r="B3221" s="17" t="s">
        <v>11540</v>
      </c>
      <c r="C3221" s="17" t="s">
        <v>11541</v>
      </c>
      <c r="D3221" s="19" t="s">
        <v>11542</v>
      </c>
      <c r="E3221" s="20" t="s">
        <v>1049</v>
      </c>
      <c r="F3221" s="21">
        <v>14355.0</v>
      </c>
      <c r="G3221" s="14">
        <v>87.0</v>
      </c>
      <c r="H3221" s="23" t="s">
        <v>27</v>
      </c>
      <c r="I3221" s="24" t="s">
        <v>27</v>
      </c>
      <c r="J3221" s="19" t="s">
        <v>726</v>
      </c>
      <c r="K3221" s="14">
        <v>17.0</v>
      </c>
      <c r="L3221" s="7"/>
      <c r="M3221" s="7"/>
      <c r="N3221" s="7"/>
      <c r="O3221" s="7"/>
      <c r="P3221" s="7"/>
      <c r="Q3221" s="7"/>
      <c r="R3221" s="7"/>
      <c r="S3221" s="7"/>
      <c r="T3221" s="7"/>
      <c r="U3221" s="7"/>
      <c r="V3221" s="7"/>
      <c r="W3221" s="7"/>
      <c r="X3221" s="7"/>
      <c r="Y3221" s="7"/>
    </row>
    <row r="3222">
      <c r="A3222" s="14" t="s">
        <v>11543</v>
      </c>
      <c r="B3222" s="17" t="s">
        <v>11540</v>
      </c>
      <c r="C3222" s="17" t="s">
        <v>11544</v>
      </c>
      <c r="D3222" s="19" t="s">
        <v>6121</v>
      </c>
      <c r="E3222" s="20" t="s">
        <v>1816</v>
      </c>
      <c r="F3222" s="21">
        <v>24356.0</v>
      </c>
      <c r="G3222" s="14">
        <v>59.0</v>
      </c>
      <c r="H3222" s="23" t="s">
        <v>26</v>
      </c>
      <c r="I3222" s="24" t="s">
        <v>33</v>
      </c>
      <c r="J3222" s="19" t="s">
        <v>726</v>
      </c>
      <c r="K3222" s="14">
        <v>17.0</v>
      </c>
      <c r="L3222" s="7"/>
      <c r="M3222" s="7"/>
      <c r="N3222" s="7"/>
      <c r="O3222" s="7"/>
      <c r="P3222" s="7"/>
      <c r="Q3222" s="7"/>
      <c r="R3222" s="7"/>
      <c r="S3222" s="7"/>
      <c r="T3222" s="7"/>
      <c r="U3222" s="7"/>
      <c r="V3222" s="7"/>
      <c r="W3222" s="7"/>
      <c r="X3222" s="7"/>
      <c r="Y3222" s="7"/>
    </row>
    <row r="3223">
      <c r="A3223" s="14" t="s">
        <v>11545</v>
      </c>
      <c r="B3223" s="17" t="s">
        <v>11540</v>
      </c>
      <c r="C3223" s="17" t="s">
        <v>11546</v>
      </c>
      <c r="D3223" s="19" t="s">
        <v>11547</v>
      </c>
      <c r="E3223" s="20" t="s">
        <v>1816</v>
      </c>
      <c r="F3223" s="21">
        <v>25823.0</v>
      </c>
      <c r="G3223" s="14">
        <v>55.0</v>
      </c>
      <c r="H3223" s="23" t="s">
        <v>26</v>
      </c>
      <c r="I3223" s="24" t="s">
        <v>27</v>
      </c>
      <c r="J3223" s="19" t="s">
        <v>53</v>
      </c>
      <c r="K3223" s="14">
        <v>17.0</v>
      </c>
      <c r="L3223" s="7"/>
      <c r="M3223" s="7"/>
      <c r="N3223" s="7"/>
      <c r="O3223" s="7"/>
      <c r="P3223" s="7"/>
      <c r="Q3223" s="7"/>
      <c r="R3223" s="7"/>
      <c r="S3223" s="7"/>
      <c r="T3223" s="7"/>
      <c r="U3223" s="7"/>
      <c r="V3223" s="7"/>
      <c r="W3223" s="7"/>
      <c r="X3223" s="7"/>
      <c r="Y3223" s="7"/>
    </row>
    <row r="3224">
      <c r="A3224" s="14" t="s">
        <v>11548</v>
      </c>
      <c r="B3224" s="17" t="s">
        <v>11540</v>
      </c>
      <c r="C3224" s="17" t="s">
        <v>11549</v>
      </c>
      <c r="D3224" s="19" t="s">
        <v>11550</v>
      </c>
      <c r="E3224" s="20" t="s">
        <v>104</v>
      </c>
      <c r="F3224" s="21">
        <v>34701.0</v>
      </c>
      <c r="G3224" s="14">
        <v>31.0</v>
      </c>
      <c r="H3224" s="23" t="s">
        <v>26</v>
      </c>
      <c r="I3224" s="24" t="s">
        <v>33</v>
      </c>
      <c r="J3224" s="19" t="s">
        <v>726</v>
      </c>
      <c r="K3224" s="14">
        <v>17.0</v>
      </c>
      <c r="L3224" s="7"/>
      <c r="M3224" s="7"/>
      <c r="N3224" s="7"/>
      <c r="O3224" s="7"/>
      <c r="P3224" s="7"/>
      <c r="Q3224" s="7"/>
      <c r="R3224" s="7"/>
      <c r="S3224" s="7"/>
      <c r="T3224" s="7"/>
      <c r="U3224" s="7"/>
      <c r="V3224" s="7"/>
      <c r="W3224" s="7"/>
      <c r="X3224" s="7"/>
      <c r="Y3224" s="7"/>
    </row>
    <row r="3225">
      <c r="A3225" s="14" t="s">
        <v>11551</v>
      </c>
      <c r="B3225" s="17" t="s">
        <v>11552</v>
      </c>
      <c r="C3225" s="17" t="s">
        <v>11553</v>
      </c>
      <c r="D3225" s="19" t="s">
        <v>1656</v>
      </c>
      <c r="E3225" s="20" t="s">
        <v>1816</v>
      </c>
      <c r="F3225" s="21">
        <v>21630.0</v>
      </c>
      <c r="G3225" s="14">
        <v>67.0</v>
      </c>
      <c r="H3225" s="23" t="s">
        <v>26</v>
      </c>
      <c r="I3225" s="24" t="s">
        <v>33</v>
      </c>
      <c r="J3225" s="19" t="s">
        <v>53</v>
      </c>
      <c r="K3225" s="14">
        <v>17.0</v>
      </c>
      <c r="L3225" s="7"/>
      <c r="M3225" s="7"/>
      <c r="N3225" s="7"/>
      <c r="O3225" s="7"/>
      <c r="P3225" s="7"/>
      <c r="Q3225" s="7"/>
      <c r="R3225" s="7"/>
      <c r="S3225" s="7"/>
      <c r="T3225" s="7"/>
      <c r="U3225" s="7"/>
      <c r="V3225" s="7"/>
      <c r="W3225" s="7"/>
      <c r="X3225" s="7"/>
      <c r="Y3225" s="7"/>
    </row>
    <row r="3226">
      <c r="A3226" s="14" t="s">
        <v>11554</v>
      </c>
      <c r="B3226" s="17" t="s">
        <v>11552</v>
      </c>
      <c r="C3226" s="17" t="s">
        <v>11555</v>
      </c>
      <c r="D3226" s="19" t="s">
        <v>11556</v>
      </c>
      <c r="E3226" s="20" t="s">
        <v>1058</v>
      </c>
      <c r="F3226" s="21">
        <v>23846.0</v>
      </c>
      <c r="G3226" s="14">
        <v>61.0</v>
      </c>
      <c r="H3226" s="23" t="s">
        <v>26</v>
      </c>
      <c r="I3226" s="24" t="s">
        <v>27</v>
      </c>
      <c r="J3226" s="19" t="s">
        <v>53</v>
      </c>
      <c r="K3226" s="14">
        <v>17.0</v>
      </c>
      <c r="L3226" s="7"/>
      <c r="M3226" s="7"/>
      <c r="N3226" s="7"/>
      <c r="O3226" s="7"/>
      <c r="P3226" s="7"/>
      <c r="Q3226" s="7"/>
      <c r="R3226" s="7"/>
      <c r="S3226" s="7"/>
      <c r="T3226" s="7"/>
      <c r="U3226" s="7"/>
      <c r="V3226" s="7"/>
      <c r="W3226" s="7"/>
      <c r="X3226" s="7"/>
      <c r="Y3226" s="7"/>
    </row>
    <row r="3227">
      <c r="A3227" s="14" t="s">
        <v>11557</v>
      </c>
      <c r="B3227" s="17" t="s">
        <v>11558</v>
      </c>
      <c r="C3227" s="17" t="s">
        <v>11559</v>
      </c>
      <c r="D3227" s="19" t="s">
        <v>11560</v>
      </c>
      <c r="E3227" s="20" t="s">
        <v>138</v>
      </c>
      <c r="F3227" s="21">
        <v>39136.0</v>
      </c>
      <c r="G3227" s="14">
        <v>19.0</v>
      </c>
      <c r="H3227" s="23" t="s">
        <v>100</v>
      </c>
      <c r="I3227" s="24" t="s">
        <v>33</v>
      </c>
      <c r="J3227" s="19" t="s">
        <v>53</v>
      </c>
      <c r="K3227" s="14">
        <v>17.0</v>
      </c>
      <c r="L3227" s="7"/>
      <c r="M3227" s="7"/>
      <c r="N3227" s="7"/>
      <c r="O3227" s="7"/>
      <c r="P3227" s="7"/>
      <c r="Q3227" s="7"/>
      <c r="R3227" s="7"/>
      <c r="S3227" s="7"/>
      <c r="T3227" s="7"/>
      <c r="U3227" s="7"/>
      <c r="V3227" s="7"/>
      <c r="W3227" s="7"/>
      <c r="X3227" s="7"/>
      <c r="Y3227" s="7"/>
    </row>
    <row r="3228">
      <c r="A3228" s="14" t="s">
        <v>11561</v>
      </c>
      <c r="B3228" s="17" t="s">
        <v>11558</v>
      </c>
      <c r="C3228" s="17" t="s">
        <v>11562</v>
      </c>
      <c r="D3228" s="19" t="s">
        <v>11563</v>
      </c>
      <c r="E3228" s="20" t="s">
        <v>391</v>
      </c>
      <c r="F3228" s="27">
        <v>39406.0</v>
      </c>
      <c r="G3228" s="14">
        <v>18.0</v>
      </c>
      <c r="H3228" s="23" t="s">
        <v>100</v>
      </c>
      <c r="I3228" s="24" t="s">
        <v>27</v>
      </c>
      <c r="J3228" s="19" t="s">
        <v>53</v>
      </c>
      <c r="K3228" s="14">
        <v>17.0</v>
      </c>
      <c r="L3228" s="7"/>
      <c r="M3228" s="7"/>
      <c r="N3228" s="7"/>
      <c r="O3228" s="7"/>
      <c r="P3228" s="7"/>
      <c r="Q3228" s="7"/>
      <c r="R3228" s="7"/>
      <c r="S3228" s="7"/>
      <c r="T3228" s="7"/>
      <c r="U3228" s="7"/>
      <c r="V3228" s="7"/>
      <c r="W3228" s="7"/>
      <c r="X3228" s="7"/>
      <c r="Y3228" s="7"/>
    </row>
    <row r="3229">
      <c r="A3229" s="14" t="s">
        <v>11564</v>
      </c>
      <c r="B3229" s="17" t="s">
        <v>11558</v>
      </c>
      <c r="C3229" s="17" t="s">
        <v>11565</v>
      </c>
      <c r="D3229" s="19" t="s">
        <v>11566</v>
      </c>
      <c r="E3229" s="20" t="s">
        <v>650</v>
      </c>
      <c r="F3229" s="21">
        <v>26800.0</v>
      </c>
      <c r="G3229" s="14">
        <v>53.0</v>
      </c>
      <c r="H3229" s="23" t="s">
        <v>26</v>
      </c>
      <c r="I3229" s="24" t="s">
        <v>33</v>
      </c>
      <c r="J3229" s="19" t="s">
        <v>53</v>
      </c>
      <c r="K3229" s="14">
        <v>17.0</v>
      </c>
      <c r="L3229" s="7"/>
      <c r="M3229" s="7"/>
      <c r="N3229" s="7"/>
      <c r="O3229" s="7"/>
      <c r="P3229" s="7"/>
      <c r="Q3229" s="7"/>
      <c r="R3229" s="7"/>
      <c r="S3229" s="7"/>
      <c r="T3229" s="7"/>
      <c r="U3229" s="7"/>
      <c r="V3229" s="7"/>
      <c r="W3229" s="7"/>
      <c r="X3229" s="7"/>
      <c r="Y3229" s="7"/>
    </row>
    <row r="3230">
      <c r="A3230" s="14" t="s">
        <v>11567</v>
      </c>
      <c r="B3230" s="17" t="s">
        <v>11558</v>
      </c>
      <c r="C3230" s="17" t="s">
        <v>11568</v>
      </c>
      <c r="D3230" s="19" t="s">
        <v>11569</v>
      </c>
      <c r="E3230" s="20" t="s">
        <v>1049</v>
      </c>
      <c r="F3230" s="21">
        <v>27537.0</v>
      </c>
      <c r="G3230" s="14">
        <v>51.0</v>
      </c>
      <c r="H3230" s="23" t="s">
        <v>26</v>
      </c>
      <c r="I3230" s="24" t="s">
        <v>27</v>
      </c>
      <c r="J3230" s="19" t="s">
        <v>53</v>
      </c>
      <c r="K3230" s="14">
        <v>17.0</v>
      </c>
      <c r="L3230" s="7"/>
      <c r="M3230" s="7"/>
      <c r="N3230" s="7"/>
      <c r="O3230" s="7"/>
      <c r="P3230" s="7"/>
      <c r="Q3230" s="7"/>
      <c r="R3230" s="7"/>
      <c r="S3230" s="7"/>
      <c r="T3230" s="7"/>
      <c r="U3230" s="7"/>
      <c r="V3230" s="7"/>
      <c r="W3230" s="7"/>
      <c r="X3230" s="7"/>
      <c r="Y3230" s="7"/>
    </row>
    <row r="3231">
      <c r="A3231" s="14" t="s">
        <v>11570</v>
      </c>
      <c r="B3231" s="17" t="s">
        <v>11571</v>
      </c>
      <c r="C3231" s="17" t="s">
        <v>11572</v>
      </c>
      <c r="D3231" s="19" t="s">
        <v>10739</v>
      </c>
      <c r="E3231" s="20" t="s">
        <v>1049</v>
      </c>
      <c r="F3231" s="21">
        <v>22519.0</v>
      </c>
      <c r="G3231" s="14">
        <v>65.0</v>
      </c>
      <c r="H3231" s="23" t="s">
        <v>26</v>
      </c>
      <c r="I3231" s="24" t="s">
        <v>33</v>
      </c>
      <c r="J3231" s="19" t="s">
        <v>53</v>
      </c>
      <c r="K3231" s="14">
        <v>17.0</v>
      </c>
      <c r="L3231" s="7"/>
      <c r="M3231" s="7"/>
      <c r="N3231" s="7"/>
      <c r="O3231" s="7"/>
      <c r="P3231" s="7"/>
      <c r="Q3231" s="7"/>
      <c r="R3231" s="7"/>
      <c r="S3231" s="7"/>
      <c r="T3231" s="7"/>
      <c r="U3231" s="7"/>
      <c r="V3231" s="7"/>
      <c r="W3231" s="7"/>
      <c r="X3231" s="7"/>
      <c r="Y3231" s="7"/>
    </row>
    <row r="3232">
      <c r="A3232" s="14" t="s">
        <v>11573</v>
      </c>
      <c r="B3232" s="17" t="s">
        <v>11571</v>
      </c>
      <c r="C3232" s="17" t="s">
        <v>11574</v>
      </c>
      <c r="D3232" s="19" t="s">
        <v>11575</v>
      </c>
      <c r="E3232" s="20" t="s">
        <v>1049</v>
      </c>
      <c r="F3232" s="21">
        <v>26130.0</v>
      </c>
      <c r="G3232" s="14">
        <v>55.0</v>
      </c>
      <c r="H3232" s="23" t="s">
        <v>26</v>
      </c>
      <c r="I3232" s="24" t="s">
        <v>27</v>
      </c>
      <c r="J3232" s="19" t="s">
        <v>53</v>
      </c>
      <c r="K3232" s="14">
        <v>17.0</v>
      </c>
      <c r="L3232" s="7"/>
      <c r="M3232" s="7"/>
      <c r="N3232" s="7"/>
      <c r="O3232" s="7"/>
      <c r="P3232" s="7"/>
      <c r="Q3232" s="7"/>
      <c r="R3232" s="7"/>
      <c r="S3232" s="7"/>
      <c r="T3232" s="7"/>
      <c r="U3232" s="7"/>
      <c r="V3232" s="7"/>
      <c r="W3232" s="7"/>
      <c r="X3232" s="7"/>
      <c r="Y3232" s="7"/>
    </row>
    <row r="3233">
      <c r="A3233" s="14" t="s">
        <v>11576</v>
      </c>
      <c r="B3233" s="17" t="s">
        <v>11577</v>
      </c>
      <c r="C3233" s="17" t="s">
        <v>11578</v>
      </c>
      <c r="D3233" s="19" t="s">
        <v>11579</v>
      </c>
      <c r="E3233" s="20" t="s">
        <v>337</v>
      </c>
      <c r="F3233" s="21">
        <v>35998.0</v>
      </c>
      <c r="G3233" s="14">
        <v>28.0</v>
      </c>
      <c r="H3233" s="23" t="s">
        <v>100</v>
      </c>
      <c r="I3233" s="24" t="s">
        <v>33</v>
      </c>
      <c r="J3233" s="19" t="s">
        <v>989</v>
      </c>
      <c r="K3233" s="14">
        <v>10.0</v>
      </c>
      <c r="L3233" s="7"/>
      <c r="M3233" s="7"/>
      <c r="N3233" s="7"/>
      <c r="O3233" s="7"/>
      <c r="P3233" s="7"/>
      <c r="Q3233" s="7"/>
      <c r="R3233" s="7"/>
      <c r="S3233" s="7"/>
      <c r="T3233" s="7"/>
      <c r="U3233" s="7"/>
      <c r="V3233" s="7"/>
      <c r="W3233" s="7"/>
      <c r="X3233" s="7"/>
      <c r="Y3233" s="7"/>
    </row>
    <row r="3234">
      <c r="A3234" s="14" t="s">
        <v>11580</v>
      </c>
      <c r="B3234" s="17" t="s">
        <v>11577</v>
      </c>
      <c r="C3234" s="17" t="s">
        <v>11581</v>
      </c>
      <c r="D3234" s="19" t="s">
        <v>11582</v>
      </c>
      <c r="E3234" s="20" t="s">
        <v>650</v>
      </c>
      <c r="F3234" s="21">
        <v>21770.0</v>
      </c>
      <c r="G3234" s="14">
        <v>67.0</v>
      </c>
      <c r="H3234" s="23" t="s">
        <v>26</v>
      </c>
      <c r="I3234" s="24" t="s">
        <v>33</v>
      </c>
      <c r="J3234" s="19" t="s">
        <v>989</v>
      </c>
      <c r="K3234" s="14">
        <v>10.0</v>
      </c>
      <c r="L3234" s="7"/>
      <c r="M3234" s="7"/>
      <c r="N3234" s="7"/>
      <c r="O3234" s="7"/>
      <c r="P3234" s="7"/>
      <c r="Q3234" s="7"/>
      <c r="R3234" s="7"/>
      <c r="S3234" s="7"/>
      <c r="T3234" s="7"/>
      <c r="U3234" s="7"/>
      <c r="V3234" s="7"/>
      <c r="W3234" s="7"/>
      <c r="X3234" s="7"/>
      <c r="Y3234" s="7"/>
    </row>
    <row r="3235">
      <c r="A3235" s="14" t="s">
        <v>11583</v>
      </c>
      <c r="B3235" s="17" t="s">
        <v>11577</v>
      </c>
      <c r="C3235" s="17" t="s">
        <v>11584</v>
      </c>
      <c r="D3235" s="19" t="s">
        <v>11585</v>
      </c>
      <c r="E3235" s="20" t="s">
        <v>654</v>
      </c>
      <c r="F3235" s="21">
        <v>25305.0</v>
      </c>
      <c r="G3235" s="14">
        <v>57.0</v>
      </c>
      <c r="H3235" s="23" t="s">
        <v>26</v>
      </c>
      <c r="I3235" s="24" t="s">
        <v>27</v>
      </c>
      <c r="J3235" s="19" t="s">
        <v>989</v>
      </c>
      <c r="K3235" s="14">
        <v>10.0</v>
      </c>
      <c r="L3235" s="7"/>
      <c r="M3235" s="7"/>
      <c r="N3235" s="7"/>
      <c r="O3235" s="7"/>
      <c r="P3235" s="7"/>
      <c r="Q3235" s="7"/>
      <c r="R3235" s="7"/>
      <c r="S3235" s="7"/>
      <c r="T3235" s="7"/>
      <c r="U3235" s="7"/>
      <c r="V3235" s="7"/>
      <c r="W3235" s="7"/>
      <c r="X3235" s="7"/>
      <c r="Y3235" s="7"/>
    </row>
    <row r="3236">
      <c r="A3236" s="14" t="s">
        <v>11587</v>
      </c>
      <c r="B3236" s="17" t="s">
        <v>11588</v>
      </c>
      <c r="C3236" s="17" t="s">
        <v>11589</v>
      </c>
      <c r="D3236" s="19" t="s">
        <v>11590</v>
      </c>
      <c r="E3236" s="20" t="s">
        <v>274</v>
      </c>
      <c r="F3236" s="21">
        <v>29898.0</v>
      </c>
      <c r="G3236" s="14">
        <v>44.0</v>
      </c>
      <c r="H3236" s="23" t="s">
        <v>26</v>
      </c>
      <c r="I3236" s="24" t="s">
        <v>33</v>
      </c>
      <c r="J3236" s="19" t="s">
        <v>1437</v>
      </c>
      <c r="K3236" s="14">
        <v>28.0</v>
      </c>
      <c r="L3236" s="7"/>
      <c r="M3236" s="7"/>
      <c r="N3236" s="7"/>
      <c r="O3236" s="7"/>
      <c r="P3236" s="7"/>
      <c r="Q3236" s="7"/>
      <c r="R3236" s="7"/>
      <c r="S3236" s="7"/>
      <c r="T3236" s="7"/>
      <c r="U3236" s="7"/>
      <c r="V3236" s="7"/>
      <c r="W3236" s="7"/>
      <c r="X3236" s="7"/>
      <c r="Y3236" s="7"/>
    </row>
    <row r="3237">
      <c r="A3237" s="14" t="s">
        <v>11591</v>
      </c>
      <c r="B3237" s="17" t="s">
        <v>11588</v>
      </c>
      <c r="C3237" s="17" t="s">
        <v>11592</v>
      </c>
      <c r="D3237" s="19" t="s">
        <v>235</v>
      </c>
      <c r="E3237" s="20" t="s">
        <v>104</v>
      </c>
      <c r="F3237" s="21">
        <v>29730.0</v>
      </c>
      <c r="G3237" s="14">
        <v>45.0</v>
      </c>
      <c r="H3237" s="23" t="s">
        <v>26</v>
      </c>
      <c r="I3237" s="24" t="s">
        <v>27</v>
      </c>
      <c r="J3237" s="19" t="s">
        <v>1437</v>
      </c>
      <c r="K3237" s="14">
        <v>28.0</v>
      </c>
      <c r="L3237" s="7"/>
      <c r="M3237" s="7"/>
      <c r="N3237" s="7"/>
      <c r="O3237" s="7"/>
      <c r="P3237" s="7"/>
      <c r="Q3237" s="7"/>
      <c r="R3237" s="7"/>
      <c r="S3237" s="7"/>
      <c r="T3237" s="7"/>
      <c r="U3237" s="7"/>
      <c r="V3237" s="7"/>
      <c r="W3237" s="7"/>
      <c r="X3237" s="7"/>
      <c r="Y3237" s="7"/>
    </row>
    <row r="3238">
      <c r="A3238" s="14" t="s">
        <v>11593</v>
      </c>
      <c r="B3238" s="17" t="s">
        <v>11594</v>
      </c>
      <c r="C3238" s="17" t="s">
        <v>11595</v>
      </c>
      <c r="D3238" s="19" t="s">
        <v>11596</v>
      </c>
      <c r="E3238" s="20" t="s">
        <v>4297</v>
      </c>
      <c r="F3238" s="21">
        <v>31413.0</v>
      </c>
      <c r="G3238" s="14">
        <v>40.0</v>
      </c>
      <c r="H3238" s="23" t="s">
        <v>26</v>
      </c>
      <c r="I3238" s="24" t="s">
        <v>33</v>
      </c>
      <c r="J3238" s="19" t="s">
        <v>58</v>
      </c>
      <c r="K3238" s="14">
        <v>9.0</v>
      </c>
      <c r="L3238" s="7"/>
      <c r="M3238" s="7"/>
      <c r="N3238" s="7"/>
      <c r="O3238" s="7"/>
      <c r="P3238" s="7"/>
      <c r="Q3238" s="7"/>
      <c r="R3238" s="7"/>
      <c r="S3238" s="7"/>
      <c r="T3238" s="7"/>
      <c r="U3238" s="7"/>
      <c r="V3238" s="7"/>
      <c r="W3238" s="7"/>
      <c r="X3238" s="7"/>
      <c r="Y3238" s="7"/>
    </row>
    <row r="3239">
      <c r="A3239" s="14" t="s">
        <v>11597</v>
      </c>
      <c r="B3239" s="17" t="s">
        <v>11594</v>
      </c>
      <c r="C3239" s="17" t="s">
        <v>11598</v>
      </c>
      <c r="D3239" s="19" t="s">
        <v>11599</v>
      </c>
      <c r="E3239" s="20" t="s">
        <v>274</v>
      </c>
      <c r="F3239" s="21">
        <v>32408.0</v>
      </c>
      <c r="G3239" s="14">
        <v>37.0</v>
      </c>
      <c r="H3239" s="23" t="s">
        <v>26</v>
      </c>
      <c r="I3239" s="24" t="s">
        <v>27</v>
      </c>
      <c r="J3239" s="19" t="s">
        <v>58</v>
      </c>
      <c r="K3239" s="14">
        <v>9.0</v>
      </c>
      <c r="L3239" s="7"/>
      <c r="M3239" s="7"/>
      <c r="N3239" s="7"/>
      <c r="O3239" s="7"/>
      <c r="P3239" s="7"/>
      <c r="Q3239" s="7"/>
      <c r="R3239" s="7"/>
      <c r="S3239" s="7"/>
      <c r="T3239" s="7"/>
      <c r="U3239" s="7"/>
      <c r="V3239" s="7"/>
      <c r="W3239" s="7"/>
      <c r="X3239" s="7"/>
      <c r="Y3239" s="7"/>
    </row>
    <row r="3240">
      <c r="A3240" s="14" t="s">
        <v>11600</v>
      </c>
      <c r="B3240" s="17" t="s">
        <v>11601</v>
      </c>
      <c r="C3240" s="17" t="s">
        <v>11602</v>
      </c>
      <c r="D3240" s="19" t="s">
        <v>11603</v>
      </c>
      <c r="E3240" s="20" t="s">
        <v>210</v>
      </c>
      <c r="F3240" s="21">
        <v>32846.0</v>
      </c>
      <c r="G3240" s="14">
        <v>36.0</v>
      </c>
      <c r="H3240" s="23" t="s">
        <v>26</v>
      </c>
      <c r="I3240" s="24" t="s">
        <v>27</v>
      </c>
      <c r="J3240" s="19" t="s">
        <v>517</v>
      </c>
      <c r="K3240" s="14">
        <v>36.0</v>
      </c>
      <c r="L3240" s="7"/>
      <c r="M3240" s="7"/>
      <c r="N3240" s="7"/>
      <c r="O3240" s="7"/>
      <c r="P3240" s="7"/>
      <c r="Q3240" s="7"/>
      <c r="R3240" s="7"/>
      <c r="S3240" s="7"/>
      <c r="T3240" s="7"/>
      <c r="U3240" s="7"/>
      <c r="V3240" s="7"/>
      <c r="W3240" s="7"/>
      <c r="X3240" s="7"/>
      <c r="Y3240" s="7"/>
    </row>
    <row r="3241">
      <c r="A3241" s="14" t="s">
        <v>11604</v>
      </c>
      <c r="B3241" s="17" t="s">
        <v>11601</v>
      </c>
      <c r="C3241" s="17" t="s">
        <v>11605</v>
      </c>
      <c r="D3241" s="19" t="s">
        <v>11606</v>
      </c>
      <c r="E3241" s="20" t="s">
        <v>104</v>
      </c>
      <c r="F3241" s="21">
        <v>30752.0</v>
      </c>
      <c r="G3241" s="14">
        <v>42.0</v>
      </c>
      <c r="H3241" s="23" t="s">
        <v>26</v>
      </c>
      <c r="I3241" s="24" t="s">
        <v>33</v>
      </c>
      <c r="J3241" s="19" t="s">
        <v>517</v>
      </c>
      <c r="K3241" s="14">
        <v>36.0</v>
      </c>
      <c r="L3241" s="7"/>
      <c r="M3241" s="7"/>
      <c r="N3241" s="7"/>
      <c r="O3241" s="7"/>
      <c r="P3241" s="7"/>
      <c r="Q3241" s="7"/>
      <c r="R3241" s="7"/>
      <c r="S3241" s="7"/>
      <c r="T3241" s="7"/>
      <c r="U3241" s="7"/>
      <c r="V3241" s="7"/>
      <c r="W3241" s="7"/>
      <c r="X3241" s="7"/>
      <c r="Y3241" s="7"/>
    </row>
    <row r="3242">
      <c r="A3242" s="14" t="s">
        <v>11607</v>
      </c>
      <c r="B3242" s="17" t="s">
        <v>11608</v>
      </c>
      <c r="C3242" s="17" t="s">
        <v>11609</v>
      </c>
      <c r="D3242" s="19" t="s">
        <v>11610</v>
      </c>
      <c r="E3242" s="20" t="s">
        <v>1058</v>
      </c>
      <c r="F3242" s="27">
        <v>39034.0</v>
      </c>
      <c r="G3242" s="14">
        <v>19.0</v>
      </c>
      <c r="H3242" s="23" t="s">
        <v>100</v>
      </c>
      <c r="I3242" s="24" t="s">
        <v>27</v>
      </c>
      <c r="J3242" s="19" t="s">
        <v>282</v>
      </c>
      <c r="K3242" s="14">
        <v>14.0</v>
      </c>
      <c r="L3242" s="7"/>
      <c r="M3242" s="7"/>
      <c r="N3242" s="7"/>
      <c r="O3242" s="7"/>
      <c r="P3242" s="7"/>
      <c r="Q3242" s="7"/>
      <c r="R3242" s="7"/>
      <c r="S3242" s="7"/>
      <c r="T3242" s="7"/>
      <c r="U3242" s="7"/>
      <c r="V3242" s="7"/>
      <c r="W3242" s="7"/>
      <c r="X3242" s="7"/>
      <c r="Y3242" s="7"/>
    </row>
    <row r="3243">
      <c r="A3243" s="14" t="s">
        <v>11611</v>
      </c>
      <c r="B3243" s="17" t="s">
        <v>11608</v>
      </c>
      <c r="C3243" s="17" t="s">
        <v>11612</v>
      </c>
      <c r="D3243" s="19" t="s">
        <v>7654</v>
      </c>
      <c r="E3243" s="20" t="s">
        <v>624</v>
      </c>
      <c r="F3243" s="21">
        <v>23548.0</v>
      </c>
      <c r="G3243" s="14">
        <v>62.0</v>
      </c>
      <c r="H3243" s="23" t="s">
        <v>26</v>
      </c>
      <c r="I3243" s="24" t="s">
        <v>27</v>
      </c>
      <c r="J3243" s="19" t="s">
        <v>282</v>
      </c>
      <c r="K3243" s="14">
        <v>14.0</v>
      </c>
      <c r="L3243" s="7"/>
      <c r="M3243" s="7"/>
      <c r="N3243" s="7"/>
      <c r="O3243" s="7"/>
      <c r="P3243" s="7"/>
      <c r="Q3243" s="7"/>
      <c r="R3243" s="7"/>
      <c r="S3243" s="7"/>
      <c r="T3243" s="7"/>
      <c r="U3243" s="7"/>
      <c r="V3243" s="7"/>
      <c r="W3243" s="7"/>
      <c r="X3243" s="7"/>
      <c r="Y3243" s="7"/>
    </row>
    <row r="3244">
      <c r="A3244" s="14" t="s">
        <v>11613</v>
      </c>
      <c r="B3244" s="17" t="s">
        <v>11608</v>
      </c>
      <c r="C3244" s="17" t="s">
        <v>11614</v>
      </c>
      <c r="D3244" s="19" t="s">
        <v>11615</v>
      </c>
      <c r="E3244" s="20" t="s">
        <v>624</v>
      </c>
      <c r="F3244" s="21">
        <v>22420.0</v>
      </c>
      <c r="G3244" s="14">
        <v>65.0</v>
      </c>
      <c r="H3244" s="23" t="s">
        <v>26</v>
      </c>
      <c r="I3244" s="24" t="s">
        <v>33</v>
      </c>
      <c r="J3244" s="19" t="s">
        <v>282</v>
      </c>
      <c r="K3244" s="14">
        <v>14.0</v>
      </c>
      <c r="L3244" s="7"/>
      <c r="M3244" s="7"/>
      <c r="N3244" s="7"/>
      <c r="O3244" s="7"/>
      <c r="P3244" s="7"/>
      <c r="Q3244" s="7"/>
      <c r="R3244" s="7"/>
      <c r="S3244" s="7"/>
      <c r="T3244" s="7"/>
      <c r="U3244" s="7"/>
      <c r="V3244" s="7"/>
      <c r="W3244" s="7"/>
      <c r="X3244" s="7"/>
      <c r="Y3244" s="7"/>
    </row>
    <row r="3245">
      <c r="A3245" s="14" t="s">
        <v>11616</v>
      </c>
      <c r="B3245" s="17" t="s">
        <v>11617</v>
      </c>
      <c r="C3245" s="17" t="s">
        <v>11618</v>
      </c>
      <c r="D3245" s="19" t="s">
        <v>11619</v>
      </c>
      <c r="E3245" s="20" t="s">
        <v>3843</v>
      </c>
      <c r="F3245" s="21">
        <v>22683.0</v>
      </c>
      <c r="G3245" s="14">
        <v>64.0</v>
      </c>
      <c r="H3245" s="23" t="s">
        <v>26</v>
      </c>
      <c r="I3245" s="24" t="s">
        <v>33</v>
      </c>
      <c r="J3245" s="19" t="s">
        <v>362</v>
      </c>
      <c r="K3245" s="14">
        <v>17.0</v>
      </c>
      <c r="L3245" s="7"/>
      <c r="M3245" s="7"/>
      <c r="N3245" s="7"/>
      <c r="O3245" s="7"/>
      <c r="P3245" s="7"/>
      <c r="Q3245" s="7"/>
      <c r="R3245" s="7"/>
      <c r="S3245" s="7"/>
      <c r="T3245" s="7"/>
      <c r="U3245" s="7"/>
      <c r="V3245" s="7"/>
      <c r="W3245" s="7"/>
      <c r="X3245" s="7"/>
      <c r="Y3245" s="7"/>
    </row>
    <row r="3246">
      <c r="A3246" s="14" t="s">
        <v>11620</v>
      </c>
      <c r="B3246" s="17" t="s">
        <v>11621</v>
      </c>
      <c r="C3246" s="17" t="s">
        <v>11622</v>
      </c>
      <c r="D3246" s="19" t="s">
        <v>11623</v>
      </c>
      <c r="E3246" s="20" t="s">
        <v>2029</v>
      </c>
      <c r="F3246" s="21">
        <v>28018.0</v>
      </c>
      <c r="G3246" s="14">
        <v>49.0</v>
      </c>
      <c r="H3246" s="23" t="s">
        <v>26</v>
      </c>
      <c r="I3246" s="24" t="s">
        <v>33</v>
      </c>
      <c r="J3246" s="19" t="s">
        <v>146</v>
      </c>
      <c r="K3246" s="14">
        <v>2.0</v>
      </c>
      <c r="L3246" s="7"/>
      <c r="M3246" s="7"/>
      <c r="N3246" s="7"/>
      <c r="O3246" s="7"/>
      <c r="P3246" s="7"/>
      <c r="Q3246" s="7"/>
      <c r="R3246" s="7"/>
      <c r="S3246" s="7"/>
      <c r="T3246" s="7"/>
      <c r="U3246" s="7"/>
      <c r="V3246" s="7"/>
      <c r="W3246" s="7"/>
      <c r="X3246" s="7"/>
      <c r="Y3246" s="7"/>
    </row>
    <row r="3247">
      <c r="A3247" s="14" t="s">
        <v>11624</v>
      </c>
      <c r="B3247" s="17" t="s">
        <v>11621</v>
      </c>
      <c r="C3247" s="17" t="s">
        <v>11625</v>
      </c>
      <c r="D3247" s="19" t="s">
        <v>11626</v>
      </c>
      <c r="E3247" s="20" t="s">
        <v>11627</v>
      </c>
      <c r="F3247" s="21">
        <v>30030.0</v>
      </c>
      <c r="G3247" s="14">
        <v>44.0</v>
      </c>
      <c r="H3247" s="23" t="s">
        <v>26</v>
      </c>
      <c r="I3247" s="24" t="s">
        <v>27</v>
      </c>
      <c r="J3247" s="19" t="s">
        <v>146</v>
      </c>
      <c r="K3247" s="14">
        <v>2.0</v>
      </c>
      <c r="L3247" s="7"/>
      <c r="M3247" s="7"/>
      <c r="N3247" s="7"/>
      <c r="O3247" s="7"/>
      <c r="P3247" s="7"/>
      <c r="Q3247" s="7"/>
      <c r="R3247" s="7"/>
      <c r="S3247" s="7"/>
      <c r="T3247" s="7"/>
      <c r="U3247" s="7"/>
      <c r="V3247" s="7"/>
      <c r="W3247" s="7"/>
      <c r="X3247" s="7"/>
      <c r="Y3247" s="7"/>
    </row>
    <row r="3248">
      <c r="A3248" s="14" t="s">
        <v>11628</v>
      </c>
      <c r="B3248" s="17" t="s">
        <v>11629</v>
      </c>
      <c r="C3248" s="17" t="s">
        <v>11630</v>
      </c>
      <c r="D3248" s="19" t="s">
        <v>5341</v>
      </c>
      <c r="E3248" s="20" t="s">
        <v>544</v>
      </c>
      <c r="F3248" s="21">
        <v>30198.0</v>
      </c>
      <c r="G3248" s="14">
        <v>43.0</v>
      </c>
      <c r="H3248" s="23" t="s">
        <v>26</v>
      </c>
      <c r="I3248" s="24" t="s">
        <v>33</v>
      </c>
      <c r="J3248" s="19" t="s">
        <v>517</v>
      </c>
      <c r="K3248" s="14">
        <v>5.0</v>
      </c>
      <c r="L3248" s="7"/>
      <c r="M3248" s="7"/>
      <c r="N3248" s="7"/>
      <c r="O3248" s="7"/>
      <c r="P3248" s="7"/>
      <c r="Q3248" s="7"/>
      <c r="R3248" s="7"/>
      <c r="S3248" s="7"/>
      <c r="T3248" s="7"/>
      <c r="U3248" s="7"/>
      <c r="V3248" s="7"/>
      <c r="W3248" s="7"/>
      <c r="X3248" s="7"/>
      <c r="Y3248" s="7"/>
    </row>
    <row r="3249">
      <c r="A3249" s="14" t="s">
        <v>11631</v>
      </c>
      <c r="B3249" s="17" t="s">
        <v>11632</v>
      </c>
      <c r="C3249" s="17" t="s">
        <v>11633</v>
      </c>
      <c r="D3249" s="19" t="s">
        <v>11634</v>
      </c>
      <c r="E3249" s="20" t="s">
        <v>8493</v>
      </c>
      <c r="F3249" s="21">
        <v>34867.0</v>
      </c>
      <c r="G3249" s="14">
        <v>31.0</v>
      </c>
      <c r="H3249" s="23" t="s">
        <v>100</v>
      </c>
      <c r="I3249" s="24" t="s">
        <v>33</v>
      </c>
      <c r="J3249" s="19" t="s">
        <v>68</v>
      </c>
      <c r="K3249" s="14">
        <v>33.0</v>
      </c>
      <c r="L3249" s="7"/>
      <c r="M3249" s="7"/>
      <c r="N3249" s="7"/>
      <c r="O3249" s="7"/>
      <c r="P3249" s="7"/>
      <c r="Q3249" s="7"/>
      <c r="R3249" s="7"/>
      <c r="S3249" s="7"/>
      <c r="T3249" s="7"/>
      <c r="U3249" s="7"/>
      <c r="V3249" s="7"/>
      <c r="W3249" s="7"/>
      <c r="X3249" s="7"/>
      <c r="Y3249" s="7"/>
    </row>
    <row r="3250">
      <c r="A3250" s="14" t="s">
        <v>11635</v>
      </c>
      <c r="B3250" s="17" t="s">
        <v>11636</v>
      </c>
      <c r="C3250" s="17" t="s">
        <v>11637</v>
      </c>
      <c r="D3250" s="19" t="s">
        <v>11638</v>
      </c>
      <c r="E3250" s="20" t="s">
        <v>53</v>
      </c>
      <c r="F3250" s="21">
        <v>28142.0</v>
      </c>
      <c r="G3250" s="14">
        <v>49.0</v>
      </c>
      <c r="H3250" s="23" t="s">
        <v>26</v>
      </c>
      <c r="I3250" s="24" t="s">
        <v>27</v>
      </c>
      <c r="J3250" s="19" t="s">
        <v>68</v>
      </c>
      <c r="K3250" s="14">
        <v>32.0</v>
      </c>
      <c r="L3250" s="7"/>
      <c r="M3250" s="7"/>
      <c r="N3250" s="7"/>
      <c r="O3250" s="7"/>
      <c r="P3250" s="7"/>
      <c r="Q3250" s="7"/>
      <c r="R3250" s="7"/>
      <c r="S3250" s="7"/>
      <c r="T3250" s="7"/>
      <c r="U3250" s="7"/>
      <c r="V3250" s="7"/>
      <c r="W3250" s="7"/>
      <c r="X3250" s="7"/>
      <c r="Y3250" s="7"/>
    </row>
    <row r="3251">
      <c r="A3251" s="14" t="s">
        <v>11639</v>
      </c>
      <c r="B3251" s="17" t="s">
        <v>11636</v>
      </c>
      <c r="C3251" s="17" t="s">
        <v>11640</v>
      </c>
      <c r="D3251" s="19" t="s">
        <v>11641</v>
      </c>
      <c r="E3251" s="20" t="s">
        <v>798</v>
      </c>
      <c r="F3251" s="21">
        <v>26705.0</v>
      </c>
      <c r="G3251" s="14">
        <v>53.0</v>
      </c>
      <c r="H3251" s="23" t="s">
        <v>26</v>
      </c>
      <c r="I3251" s="24" t="s">
        <v>33</v>
      </c>
      <c r="J3251" s="19" t="s">
        <v>68</v>
      </c>
      <c r="K3251" s="14">
        <v>32.0</v>
      </c>
      <c r="L3251" s="7"/>
      <c r="M3251" s="7"/>
      <c r="N3251" s="7"/>
      <c r="O3251" s="7"/>
      <c r="P3251" s="7"/>
      <c r="Q3251" s="7"/>
      <c r="R3251" s="7"/>
      <c r="S3251" s="7"/>
      <c r="T3251" s="7"/>
      <c r="U3251" s="7"/>
      <c r="V3251" s="7"/>
      <c r="W3251" s="7"/>
      <c r="X3251" s="7"/>
      <c r="Y3251" s="7"/>
    </row>
    <row r="3252">
      <c r="A3252" s="14" t="s">
        <v>11642</v>
      </c>
      <c r="B3252" s="17" t="s">
        <v>11643</v>
      </c>
      <c r="C3252" s="17" t="s">
        <v>11644</v>
      </c>
      <c r="D3252" s="19" t="s">
        <v>11645</v>
      </c>
      <c r="E3252" s="20" t="s">
        <v>138</v>
      </c>
      <c r="F3252" s="21">
        <v>29990.0</v>
      </c>
      <c r="G3252" s="14">
        <v>44.0</v>
      </c>
      <c r="H3252" s="23" t="s">
        <v>26</v>
      </c>
      <c r="I3252" s="24" t="s">
        <v>33</v>
      </c>
      <c r="J3252" s="19" t="s">
        <v>257</v>
      </c>
      <c r="K3252" s="14">
        <v>17.0</v>
      </c>
      <c r="L3252" s="7"/>
      <c r="M3252" s="7"/>
      <c r="N3252" s="7"/>
      <c r="O3252" s="7"/>
      <c r="P3252" s="7"/>
      <c r="Q3252" s="7"/>
      <c r="R3252" s="7"/>
      <c r="S3252" s="7"/>
      <c r="T3252" s="7"/>
      <c r="U3252" s="7"/>
      <c r="V3252" s="7"/>
      <c r="W3252" s="7"/>
      <c r="X3252" s="7"/>
      <c r="Y3252" s="7"/>
    </row>
    <row r="3253">
      <c r="A3253" s="14" t="s">
        <v>11646</v>
      </c>
      <c r="B3253" s="17" t="s">
        <v>11643</v>
      </c>
      <c r="C3253" s="17" t="s">
        <v>11647</v>
      </c>
      <c r="D3253" s="19" t="s">
        <v>11648</v>
      </c>
      <c r="E3253" s="20" t="s">
        <v>104</v>
      </c>
      <c r="F3253" s="21">
        <v>29852.0</v>
      </c>
      <c r="G3253" s="14">
        <v>44.0</v>
      </c>
      <c r="H3253" s="23" t="s">
        <v>26</v>
      </c>
      <c r="I3253" s="24" t="s">
        <v>27</v>
      </c>
      <c r="J3253" s="19" t="s">
        <v>257</v>
      </c>
      <c r="K3253" s="14">
        <v>17.0</v>
      </c>
      <c r="L3253" s="7"/>
      <c r="M3253" s="7"/>
      <c r="N3253" s="7"/>
      <c r="O3253" s="7"/>
      <c r="P3253" s="7"/>
      <c r="Q3253" s="7"/>
      <c r="R3253" s="7"/>
      <c r="S3253" s="7"/>
      <c r="T3253" s="7"/>
      <c r="U3253" s="7"/>
      <c r="V3253" s="7"/>
      <c r="W3253" s="7"/>
      <c r="X3253" s="7"/>
      <c r="Y3253" s="7"/>
    </row>
    <row r="3254">
      <c r="A3254" s="14" t="s">
        <v>11649</v>
      </c>
      <c r="B3254" s="17" t="s">
        <v>11643</v>
      </c>
      <c r="C3254" s="17" t="s">
        <v>11650</v>
      </c>
      <c r="D3254" s="19" t="s">
        <v>11651</v>
      </c>
      <c r="E3254" s="20" t="s">
        <v>1095</v>
      </c>
      <c r="F3254" s="27">
        <v>38339.0</v>
      </c>
      <c r="G3254" s="14">
        <v>21.0</v>
      </c>
      <c r="H3254" s="23" t="s">
        <v>100</v>
      </c>
      <c r="I3254" s="24" t="s">
        <v>33</v>
      </c>
      <c r="J3254" s="19" t="s">
        <v>257</v>
      </c>
      <c r="K3254" s="14">
        <v>17.0</v>
      </c>
      <c r="L3254" s="7"/>
      <c r="M3254" s="7"/>
      <c r="N3254" s="7"/>
      <c r="O3254" s="7"/>
      <c r="P3254" s="7"/>
      <c r="Q3254" s="7"/>
      <c r="R3254" s="7"/>
      <c r="S3254" s="7"/>
      <c r="T3254" s="7"/>
      <c r="U3254" s="7"/>
      <c r="V3254" s="7"/>
      <c r="W3254" s="7"/>
      <c r="X3254" s="7"/>
      <c r="Y3254" s="7"/>
    </row>
    <row r="3255">
      <c r="A3255" s="14" t="s">
        <v>11652</v>
      </c>
      <c r="B3255" s="17" t="s">
        <v>11653</v>
      </c>
      <c r="C3255" s="17" t="s">
        <v>11654</v>
      </c>
      <c r="D3255" s="19" t="s">
        <v>11655</v>
      </c>
      <c r="E3255" s="20" t="s">
        <v>53</v>
      </c>
      <c r="F3255" s="21">
        <v>30156.0</v>
      </c>
      <c r="G3255" s="14">
        <v>44.0</v>
      </c>
      <c r="H3255" s="23" t="s">
        <v>26</v>
      </c>
      <c r="I3255" s="24" t="s">
        <v>27</v>
      </c>
      <c r="J3255" s="19" t="s">
        <v>726</v>
      </c>
      <c r="K3255" s="14">
        <v>12.0</v>
      </c>
      <c r="L3255" s="7"/>
      <c r="M3255" s="7"/>
      <c r="N3255" s="7"/>
      <c r="O3255" s="7"/>
      <c r="P3255" s="7"/>
      <c r="Q3255" s="7"/>
      <c r="R3255" s="7"/>
      <c r="S3255" s="7"/>
      <c r="T3255" s="7"/>
      <c r="U3255" s="7"/>
      <c r="V3255" s="7"/>
      <c r="W3255" s="7"/>
      <c r="X3255" s="7"/>
      <c r="Y3255" s="7"/>
    </row>
    <row r="3256">
      <c r="A3256" s="14" t="s">
        <v>11656</v>
      </c>
      <c r="B3256" s="17" t="s">
        <v>11657</v>
      </c>
      <c r="C3256" s="17" t="s">
        <v>11658</v>
      </c>
      <c r="D3256" s="19" t="s">
        <v>11659</v>
      </c>
      <c r="E3256" s="20" t="s">
        <v>5208</v>
      </c>
      <c r="F3256" s="21">
        <v>32541.0</v>
      </c>
      <c r="G3256" s="14">
        <v>37.0</v>
      </c>
      <c r="H3256" s="23" t="s">
        <v>26</v>
      </c>
      <c r="I3256" s="24" t="s">
        <v>33</v>
      </c>
      <c r="J3256" s="19" t="s">
        <v>206</v>
      </c>
      <c r="K3256" s="14">
        <v>10.0</v>
      </c>
      <c r="L3256" s="7"/>
      <c r="M3256" s="7"/>
      <c r="N3256" s="7"/>
      <c r="O3256" s="7"/>
      <c r="P3256" s="7"/>
      <c r="Q3256" s="7"/>
      <c r="R3256" s="7"/>
      <c r="S3256" s="7"/>
      <c r="T3256" s="7"/>
      <c r="U3256" s="7"/>
      <c r="V3256" s="7"/>
      <c r="W3256" s="7"/>
      <c r="X3256" s="7"/>
      <c r="Y3256" s="7"/>
    </row>
    <row r="3257">
      <c r="A3257" s="14" t="s">
        <v>11660</v>
      </c>
      <c r="B3257" s="17" t="s">
        <v>11657</v>
      </c>
      <c r="C3257" s="17" t="s">
        <v>11661</v>
      </c>
      <c r="D3257" s="19" t="s">
        <v>11662</v>
      </c>
      <c r="E3257" s="20" t="s">
        <v>11663</v>
      </c>
      <c r="F3257" s="21">
        <v>33916.0</v>
      </c>
      <c r="G3257" s="14">
        <v>33.0</v>
      </c>
      <c r="H3257" s="23" t="s">
        <v>26</v>
      </c>
      <c r="I3257" s="24" t="s">
        <v>27</v>
      </c>
      <c r="J3257" s="19" t="s">
        <v>206</v>
      </c>
      <c r="K3257" s="14">
        <v>10.0</v>
      </c>
      <c r="L3257" s="7"/>
      <c r="M3257" s="7"/>
      <c r="N3257" s="7"/>
      <c r="O3257" s="7"/>
      <c r="P3257" s="7"/>
      <c r="Q3257" s="7"/>
      <c r="R3257" s="7"/>
      <c r="S3257" s="7"/>
      <c r="T3257" s="7"/>
      <c r="U3257" s="7"/>
      <c r="V3257" s="7"/>
      <c r="W3257" s="7"/>
      <c r="X3257" s="7"/>
      <c r="Y3257" s="7"/>
    </row>
    <row r="3258">
      <c r="A3258" s="14" t="s">
        <v>11664</v>
      </c>
      <c r="B3258" s="17" t="s">
        <v>11665</v>
      </c>
      <c r="C3258" s="17" t="s">
        <v>11666</v>
      </c>
      <c r="D3258" s="19" t="s">
        <v>11667</v>
      </c>
      <c r="E3258" s="20" t="s">
        <v>434</v>
      </c>
      <c r="F3258" s="21">
        <v>16945.0</v>
      </c>
      <c r="G3258" s="14">
        <v>80.0</v>
      </c>
      <c r="H3258" s="23" t="s">
        <v>27</v>
      </c>
      <c r="I3258" s="24" t="s">
        <v>33</v>
      </c>
      <c r="J3258" s="19" t="s">
        <v>146</v>
      </c>
      <c r="K3258" s="14">
        <v>1.0</v>
      </c>
      <c r="L3258" s="7"/>
      <c r="M3258" s="7"/>
      <c r="N3258" s="7"/>
      <c r="O3258" s="7"/>
      <c r="P3258" s="7"/>
      <c r="Q3258" s="7"/>
      <c r="R3258" s="7"/>
      <c r="S3258" s="7"/>
      <c r="T3258" s="7"/>
      <c r="U3258" s="7"/>
      <c r="V3258" s="7"/>
      <c r="W3258" s="7"/>
      <c r="X3258" s="7"/>
      <c r="Y3258" s="7"/>
    </row>
    <row r="3259">
      <c r="A3259" s="14" t="s">
        <v>11668</v>
      </c>
      <c r="B3259" s="17" t="s">
        <v>11669</v>
      </c>
      <c r="C3259" s="17" t="s">
        <v>11670</v>
      </c>
      <c r="D3259" s="19" t="s">
        <v>11409</v>
      </c>
      <c r="E3259" s="20" t="s">
        <v>1291</v>
      </c>
      <c r="F3259" s="21">
        <v>15562.0</v>
      </c>
      <c r="G3259" s="14">
        <v>84.0</v>
      </c>
      <c r="H3259" s="23" t="s">
        <v>26</v>
      </c>
      <c r="I3259" s="24" t="s">
        <v>33</v>
      </c>
      <c r="J3259" s="19" t="s">
        <v>53</v>
      </c>
      <c r="K3259" s="14">
        <v>14.0</v>
      </c>
      <c r="L3259" s="7"/>
      <c r="M3259" s="7"/>
      <c r="N3259" s="7"/>
      <c r="O3259" s="7"/>
      <c r="P3259" s="7"/>
      <c r="Q3259" s="7"/>
      <c r="R3259" s="7"/>
      <c r="S3259" s="7"/>
      <c r="T3259" s="7"/>
      <c r="U3259" s="7"/>
      <c r="V3259" s="7"/>
      <c r="W3259" s="7"/>
      <c r="X3259" s="7"/>
      <c r="Y3259" s="7"/>
    </row>
    <row r="3260">
      <c r="A3260" s="14" t="s">
        <v>11671</v>
      </c>
      <c r="B3260" s="17" t="s">
        <v>11669</v>
      </c>
      <c r="C3260" s="17" t="s">
        <v>11672</v>
      </c>
      <c r="D3260" s="19" t="s">
        <v>11673</v>
      </c>
      <c r="E3260" s="20" t="s">
        <v>1291</v>
      </c>
      <c r="F3260" s="21">
        <v>19971.0</v>
      </c>
      <c r="G3260" s="14">
        <v>71.0</v>
      </c>
      <c r="H3260" s="23" t="s">
        <v>26</v>
      </c>
      <c r="I3260" s="24" t="s">
        <v>27</v>
      </c>
      <c r="J3260" s="19" t="s">
        <v>53</v>
      </c>
      <c r="K3260" s="14">
        <v>14.0</v>
      </c>
      <c r="L3260" s="7"/>
      <c r="M3260" s="7"/>
      <c r="N3260" s="7"/>
      <c r="O3260" s="7"/>
      <c r="P3260" s="7"/>
      <c r="Q3260" s="7"/>
      <c r="R3260" s="7"/>
      <c r="S3260" s="7"/>
      <c r="T3260" s="7"/>
      <c r="U3260" s="7"/>
      <c r="V3260" s="7"/>
      <c r="W3260" s="7"/>
      <c r="X3260" s="7"/>
      <c r="Y3260" s="7"/>
    </row>
    <row r="3261">
      <c r="A3261" s="14" t="s">
        <v>11674</v>
      </c>
      <c r="B3261" s="17" t="s">
        <v>11675</v>
      </c>
      <c r="C3261" s="17" t="s">
        <v>11676</v>
      </c>
      <c r="D3261" s="19" t="s">
        <v>11677</v>
      </c>
      <c r="E3261" s="20" t="s">
        <v>104</v>
      </c>
      <c r="F3261" s="21">
        <v>38575.0</v>
      </c>
      <c r="G3261" s="14">
        <v>21.0</v>
      </c>
      <c r="H3261" s="23" t="s">
        <v>100</v>
      </c>
      <c r="I3261" s="24" t="s">
        <v>33</v>
      </c>
      <c r="J3261" s="19" t="s">
        <v>328</v>
      </c>
      <c r="K3261" s="14">
        <v>19.0</v>
      </c>
      <c r="L3261" s="7"/>
      <c r="M3261" s="7"/>
      <c r="N3261" s="7"/>
      <c r="O3261" s="7"/>
      <c r="P3261" s="7"/>
      <c r="Q3261" s="7"/>
      <c r="R3261" s="7"/>
      <c r="S3261" s="7"/>
      <c r="T3261" s="7"/>
      <c r="U3261" s="7"/>
      <c r="V3261" s="7"/>
      <c r="W3261" s="7"/>
      <c r="X3261" s="7"/>
      <c r="Y3261" s="7"/>
    </row>
    <row r="3262">
      <c r="A3262" s="14" t="s">
        <v>11678</v>
      </c>
      <c r="B3262" s="17" t="s">
        <v>11675</v>
      </c>
      <c r="C3262" s="17" t="s">
        <v>11679</v>
      </c>
      <c r="D3262" s="19" t="s">
        <v>11680</v>
      </c>
      <c r="E3262" s="20" t="s">
        <v>749</v>
      </c>
      <c r="F3262" s="21">
        <v>36743.0</v>
      </c>
      <c r="G3262" s="14">
        <v>26.0</v>
      </c>
      <c r="H3262" s="23" t="s">
        <v>100</v>
      </c>
      <c r="I3262" s="24" t="s">
        <v>33</v>
      </c>
      <c r="J3262" s="19" t="s">
        <v>328</v>
      </c>
      <c r="K3262" s="14">
        <v>19.0</v>
      </c>
      <c r="L3262" s="7"/>
      <c r="M3262" s="7"/>
      <c r="N3262" s="7"/>
      <c r="O3262" s="7"/>
      <c r="P3262" s="7"/>
      <c r="Q3262" s="7"/>
      <c r="R3262" s="7"/>
      <c r="S3262" s="7"/>
      <c r="T3262" s="7"/>
      <c r="U3262" s="7"/>
      <c r="V3262" s="7"/>
      <c r="W3262" s="7"/>
      <c r="X3262" s="7"/>
      <c r="Y3262" s="7"/>
    </row>
    <row r="3263">
      <c r="A3263" s="14" t="s">
        <v>11681</v>
      </c>
      <c r="B3263" s="17" t="s">
        <v>11675</v>
      </c>
      <c r="C3263" s="17" t="s">
        <v>11682</v>
      </c>
      <c r="D3263" s="19" t="s">
        <v>11683</v>
      </c>
      <c r="E3263" s="20" t="s">
        <v>1413</v>
      </c>
      <c r="F3263" s="21">
        <v>28680.0</v>
      </c>
      <c r="G3263" s="14">
        <v>48.0</v>
      </c>
      <c r="H3263" s="23" t="s">
        <v>26</v>
      </c>
      <c r="I3263" s="24" t="s">
        <v>27</v>
      </c>
      <c r="J3263" s="19" t="s">
        <v>328</v>
      </c>
      <c r="K3263" s="14">
        <v>19.0</v>
      </c>
      <c r="L3263" s="7"/>
      <c r="M3263" s="7"/>
      <c r="N3263" s="7"/>
      <c r="O3263" s="7"/>
      <c r="P3263" s="7"/>
      <c r="Q3263" s="7"/>
      <c r="R3263" s="7"/>
      <c r="S3263" s="7"/>
      <c r="T3263" s="7"/>
      <c r="U3263" s="7"/>
      <c r="V3263" s="7"/>
      <c r="W3263" s="7"/>
      <c r="X3263" s="7"/>
      <c r="Y3263" s="7"/>
    </row>
    <row r="3264">
      <c r="A3264" s="14" t="s">
        <v>11684</v>
      </c>
      <c r="B3264" s="17" t="s">
        <v>11675</v>
      </c>
      <c r="C3264" s="17" t="s">
        <v>11685</v>
      </c>
      <c r="D3264" s="19" t="s">
        <v>1986</v>
      </c>
      <c r="E3264" s="20" t="s">
        <v>1413</v>
      </c>
      <c r="F3264" s="21">
        <v>25746.0</v>
      </c>
      <c r="G3264" s="14">
        <v>56.0</v>
      </c>
      <c r="H3264" s="23" t="s">
        <v>26</v>
      </c>
      <c r="I3264" s="24" t="s">
        <v>33</v>
      </c>
      <c r="J3264" s="19" t="s">
        <v>328</v>
      </c>
      <c r="K3264" s="14">
        <v>19.0</v>
      </c>
      <c r="L3264" s="7"/>
      <c r="M3264" s="7"/>
      <c r="N3264" s="7"/>
      <c r="O3264" s="7"/>
      <c r="P3264" s="7"/>
      <c r="Q3264" s="7"/>
      <c r="R3264" s="7"/>
      <c r="S3264" s="7"/>
      <c r="T3264" s="7"/>
      <c r="U3264" s="7"/>
      <c r="V3264" s="7"/>
      <c r="W3264" s="7"/>
      <c r="X3264" s="7"/>
      <c r="Y3264" s="7"/>
    </row>
    <row r="3265">
      <c r="A3265" s="14" t="s">
        <v>11686</v>
      </c>
      <c r="B3265" s="17" t="s">
        <v>11687</v>
      </c>
      <c r="C3265" s="17" t="s">
        <v>11688</v>
      </c>
      <c r="D3265" s="19" t="s">
        <v>11689</v>
      </c>
      <c r="E3265" s="20" t="s">
        <v>104</v>
      </c>
      <c r="F3265" s="21">
        <v>38895.0</v>
      </c>
      <c r="G3265" s="14">
        <v>20.0</v>
      </c>
      <c r="H3265" s="23" t="s">
        <v>100</v>
      </c>
      <c r="I3265" s="24" t="s">
        <v>33</v>
      </c>
      <c r="J3265" s="19" t="s">
        <v>146</v>
      </c>
      <c r="K3265" s="14">
        <v>5.0</v>
      </c>
      <c r="L3265" s="7"/>
      <c r="M3265" s="7"/>
      <c r="N3265" s="7"/>
      <c r="O3265" s="7"/>
      <c r="P3265" s="7"/>
      <c r="Q3265" s="7"/>
      <c r="R3265" s="7"/>
      <c r="S3265" s="7"/>
      <c r="T3265" s="7"/>
      <c r="U3265" s="7"/>
      <c r="V3265" s="7"/>
      <c r="W3265" s="7"/>
      <c r="X3265" s="7"/>
      <c r="Y3265" s="7"/>
    </row>
    <row r="3266">
      <c r="A3266" s="14" t="s">
        <v>11690</v>
      </c>
      <c r="B3266" s="17" t="s">
        <v>11687</v>
      </c>
      <c r="C3266" s="17" t="s">
        <v>11691</v>
      </c>
      <c r="D3266" s="19" t="s">
        <v>11692</v>
      </c>
      <c r="E3266" s="20" t="s">
        <v>3029</v>
      </c>
      <c r="F3266" s="21">
        <v>25020.0</v>
      </c>
      <c r="G3266" s="14">
        <v>58.0</v>
      </c>
      <c r="H3266" s="23" t="s">
        <v>26</v>
      </c>
      <c r="I3266" s="24" t="s">
        <v>33</v>
      </c>
      <c r="J3266" s="19" t="s">
        <v>146</v>
      </c>
      <c r="K3266" s="14">
        <v>5.0</v>
      </c>
      <c r="L3266" s="7"/>
      <c r="M3266" s="7"/>
      <c r="N3266" s="7"/>
      <c r="O3266" s="7"/>
      <c r="P3266" s="7"/>
      <c r="Q3266" s="7"/>
      <c r="R3266" s="7"/>
      <c r="S3266" s="7"/>
      <c r="T3266" s="7"/>
      <c r="U3266" s="7"/>
      <c r="V3266" s="7"/>
      <c r="W3266" s="7"/>
      <c r="X3266" s="7"/>
      <c r="Y3266" s="7"/>
    </row>
    <row r="3267">
      <c r="A3267" s="14" t="s">
        <v>11693</v>
      </c>
      <c r="B3267" s="17" t="s">
        <v>11687</v>
      </c>
      <c r="C3267" s="17" t="s">
        <v>11694</v>
      </c>
      <c r="D3267" s="19" t="s">
        <v>7402</v>
      </c>
      <c r="E3267" s="20" t="s">
        <v>880</v>
      </c>
      <c r="F3267" s="21">
        <v>27474.0</v>
      </c>
      <c r="G3267" s="14">
        <v>51.0</v>
      </c>
      <c r="H3267" s="23" t="s">
        <v>26</v>
      </c>
      <c r="I3267" s="24" t="s">
        <v>27</v>
      </c>
      <c r="J3267" s="19" t="s">
        <v>146</v>
      </c>
      <c r="K3267" s="14">
        <v>5.0</v>
      </c>
      <c r="L3267" s="7"/>
      <c r="M3267" s="7"/>
      <c r="N3267" s="7"/>
      <c r="O3267" s="7"/>
      <c r="P3267" s="7"/>
      <c r="Q3267" s="7"/>
      <c r="R3267" s="7"/>
      <c r="S3267" s="7"/>
      <c r="T3267" s="7"/>
      <c r="U3267" s="7"/>
      <c r="V3267" s="7"/>
      <c r="W3267" s="7"/>
      <c r="X3267" s="7"/>
      <c r="Y3267" s="7"/>
    </row>
    <row r="3268">
      <c r="A3268" s="14" t="s">
        <v>11695</v>
      </c>
      <c r="B3268" s="17" t="s">
        <v>11696</v>
      </c>
      <c r="C3268" s="17" t="s">
        <v>11697</v>
      </c>
      <c r="D3268" s="19" t="s">
        <v>11698</v>
      </c>
      <c r="E3268" s="20" t="s">
        <v>880</v>
      </c>
      <c r="F3268" s="21">
        <v>24010.0</v>
      </c>
      <c r="G3268" s="14">
        <v>60.0</v>
      </c>
      <c r="H3268" s="23" t="s">
        <v>26</v>
      </c>
      <c r="I3268" s="24" t="s">
        <v>27</v>
      </c>
      <c r="J3268" s="19" t="s">
        <v>146</v>
      </c>
      <c r="K3268" s="14">
        <v>19.0</v>
      </c>
      <c r="L3268" s="7"/>
      <c r="M3268" s="7"/>
      <c r="N3268" s="7"/>
      <c r="O3268" s="7"/>
      <c r="P3268" s="7"/>
      <c r="Q3268" s="7"/>
      <c r="R3268" s="7"/>
      <c r="S3268" s="7"/>
      <c r="T3268" s="7"/>
      <c r="U3268" s="7"/>
      <c r="V3268" s="7"/>
      <c r="W3268" s="7"/>
      <c r="X3268" s="7"/>
      <c r="Y3268" s="7"/>
    </row>
    <row r="3269">
      <c r="A3269" s="14" t="s">
        <v>11699</v>
      </c>
      <c r="B3269" s="17" t="s">
        <v>11696</v>
      </c>
      <c r="C3269" s="17" t="s">
        <v>11700</v>
      </c>
      <c r="D3269" s="19" t="s">
        <v>8182</v>
      </c>
      <c r="E3269" s="20" t="s">
        <v>104</v>
      </c>
      <c r="F3269" s="21">
        <v>35596.0</v>
      </c>
      <c r="G3269" s="14">
        <v>29.0</v>
      </c>
      <c r="H3269" s="23" t="s">
        <v>100</v>
      </c>
      <c r="I3269" s="24" t="s">
        <v>33</v>
      </c>
      <c r="J3269" s="19" t="s">
        <v>146</v>
      </c>
      <c r="K3269" s="14">
        <v>19.0</v>
      </c>
      <c r="L3269" s="7"/>
      <c r="M3269" s="7"/>
      <c r="N3269" s="7"/>
      <c r="O3269" s="7"/>
      <c r="P3269" s="7"/>
      <c r="Q3269" s="7"/>
      <c r="R3269" s="7"/>
      <c r="S3269" s="7"/>
      <c r="T3269" s="7"/>
      <c r="U3269" s="7"/>
      <c r="V3269" s="7"/>
      <c r="W3269" s="7"/>
      <c r="X3269" s="7"/>
      <c r="Y3269" s="7"/>
    </row>
    <row r="3270">
      <c r="A3270" s="14" t="s">
        <v>11701</v>
      </c>
      <c r="B3270" s="17" t="s">
        <v>11702</v>
      </c>
      <c r="C3270" s="17" t="s">
        <v>11703</v>
      </c>
      <c r="D3270" s="19" t="s">
        <v>11704</v>
      </c>
      <c r="E3270" s="20" t="s">
        <v>605</v>
      </c>
      <c r="F3270" s="21">
        <v>22844.0</v>
      </c>
      <c r="G3270" s="14">
        <v>64.0</v>
      </c>
      <c r="H3270" s="23" t="s">
        <v>26</v>
      </c>
      <c r="I3270" s="24" t="s">
        <v>27</v>
      </c>
      <c r="J3270" s="19" t="s">
        <v>53</v>
      </c>
      <c r="K3270" s="14">
        <v>12.0</v>
      </c>
      <c r="L3270" s="7"/>
      <c r="M3270" s="7"/>
      <c r="N3270" s="7"/>
      <c r="O3270" s="7"/>
      <c r="P3270" s="7"/>
      <c r="Q3270" s="7"/>
      <c r="R3270" s="7"/>
      <c r="S3270" s="7"/>
      <c r="T3270" s="7"/>
      <c r="U3270" s="7"/>
      <c r="V3270" s="7"/>
      <c r="W3270" s="7"/>
      <c r="X3270" s="7"/>
      <c r="Y3270" s="7"/>
    </row>
    <row r="3271">
      <c r="A3271" s="14" t="s">
        <v>11705</v>
      </c>
      <c r="B3271" s="17" t="s">
        <v>11702</v>
      </c>
      <c r="C3271" s="17" t="s">
        <v>11706</v>
      </c>
      <c r="D3271" s="19" t="s">
        <v>10324</v>
      </c>
      <c r="E3271" s="20" t="s">
        <v>429</v>
      </c>
      <c r="F3271" s="21">
        <v>24528.0</v>
      </c>
      <c r="G3271" s="14">
        <v>59.0</v>
      </c>
      <c r="H3271" s="23" t="s">
        <v>26</v>
      </c>
      <c r="I3271" s="24" t="s">
        <v>33</v>
      </c>
      <c r="J3271" s="19" t="s">
        <v>53</v>
      </c>
      <c r="K3271" s="14">
        <v>12.0</v>
      </c>
      <c r="L3271" s="7"/>
      <c r="M3271" s="7"/>
      <c r="N3271" s="7"/>
      <c r="O3271" s="7"/>
      <c r="P3271" s="7"/>
      <c r="Q3271" s="7"/>
      <c r="R3271" s="7"/>
      <c r="S3271" s="7"/>
      <c r="T3271" s="7"/>
      <c r="U3271" s="7"/>
      <c r="V3271" s="7"/>
      <c r="W3271" s="7"/>
      <c r="X3271" s="7"/>
      <c r="Y3271" s="7"/>
    </row>
    <row r="3272">
      <c r="A3272" s="14" t="s">
        <v>11707</v>
      </c>
      <c r="B3272" s="17" t="s">
        <v>11708</v>
      </c>
      <c r="C3272" s="17" t="s">
        <v>11709</v>
      </c>
      <c r="D3272" s="19" t="s">
        <v>3352</v>
      </c>
      <c r="E3272" s="20" t="s">
        <v>195</v>
      </c>
      <c r="F3272" s="21">
        <v>29478.0</v>
      </c>
      <c r="G3272" s="14">
        <v>45.0</v>
      </c>
      <c r="H3272" s="23" t="s">
        <v>26</v>
      </c>
      <c r="I3272" s="24" t="s">
        <v>27</v>
      </c>
      <c r="J3272" s="19" t="s">
        <v>6260</v>
      </c>
      <c r="K3272" s="14">
        <v>13.0</v>
      </c>
      <c r="L3272" s="7"/>
      <c r="M3272" s="7"/>
      <c r="N3272" s="7"/>
      <c r="O3272" s="7"/>
      <c r="P3272" s="7"/>
      <c r="Q3272" s="7"/>
      <c r="R3272" s="7"/>
      <c r="S3272" s="7"/>
      <c r="T3272" s="7"/>
      <c r="U3272" s="7"/>
      <c r="V3272" s="7"/>
      <c r="W3272" s="7"/>
      <c r="X3272" s="7"/>
      <c r="Y3272" s="7"/>
    </row>
    <row r="3273">
      <c r="A3273" s="14" t="s">
        <v>11710</v>
      </c>
      <c r="B3273" s="17" t="s">
        <v>11708</v>
      </c>
      <c r="C3273" s="17" t="s">
        <v>11711</v>
      </c>
      <c r="D3273" s="19" t="s">
        <v>11712</v>
      </c>
      <c r="E3273" s="20" t="s">
        <v>104</v>
      </c>
      <c r="F3273" s="21">
        <v>39137.0</v>
      </c>
      <c r="G3273" s="14">
        <v>19.0</v>
      </c>
      <c r="H3273" s="23" t="s">
        <v>100</v>
      </c>
      <c r="I3273" s="24" t="s">
        <v>33</v>
      </c>
      <c r="J3273" s="19" t="s">
        <v>6260</v>
      </c>
      <c r="K3273" s="14">
        <v>13.0</v>
      </c>
      <c r="L3273" s="7"/>
      <c r="M3273" s="7"/>
      <c r="N3273" s="7"/>
      <c r="O3273" s="7"/>
      <c r="P3273" s="7"/>
      <c r="Q3273" s="7"/>
      <c r="R3273" s="7"/>
      <c r="S3273" s="7"/>
      <c r="T3273" s="7"/>
      <c r="U3273" s="7"/>
      <c r="V3273" s="7"/>
      <c r="W3273" s="7"/>
      <c r="X3273" s="7"/>
      <c r="Y3273" s="7"/>
    </row>
    <row r="3274">
      <c r="A3274" s="14" t="s">
        <v>11713</v>
      </c>
      <c r="B3274" s="17" t="s">
        <v>11708</v>
      </c>
      <c r="C3274" s="17" t="s">
        <v>11714</v>
      </c>
      <c r="D3274" s="19" t="s">
        <v>11715</v>
      </c>
      <c r="E3274" s="20" t="s">
        <v>104</v>
      </c>
      <c r="F3274" s="21">
        <v>28856.0</v>
      </c>
      <c r="G3274" s="14">
        <v>47.0</v>
      </c>
      <c r="H3274" s="23" t="s">
        <v>26</v>
      </c>
      <c r="I3274" s="24" t="s">
        <v>33</v>
      </c>
      <c r="J3274" s="19" t="s">
        <v>6260</v>
      </c>
      <c r="K3274" s="14">
        <v>13.0</v>
      </c>
      <c r="L3274" s="7"/>
      <c r="M3274" s="7"/>
      <c r="N3274" s="7"/>
      <c r="O3274" s="7"/>
      <c r="P3274" s="7"/>
      <c r="Q3274" s="7"/>
      <c r="R3274" s="7"/>
      <c r="S3274" s="7"/>
      <c r="T3274" s="7"/>
      <c r="U3274" s="7"/>
      <c r="V3274" s="7"/>
      <c r="W3274" s="7"/>
      <c r="X3274" s="7"/>
      <c r="Y3274" s="7"/>
    </row>
    <row r="3275">
      <c r="A3275" s="14" t="s">
        <v>11716</v>
      </c>
      <c r="B3275" s="17" t="s">
        <v>11717</v>
      </c>
      <c r="C3275" s="17" t="s">
        <v>11718</v>
      </c>
      <c r="D3275" s="19" t="s">
        <v>11719</v>
      </c>
      <c r="E3275" s="20" t="s">
        <v>104</v>
      </c>
      <c r="F3275" s="21">
        <v>39179.0</v>
      </c>
      <c r="G3275" s="14">
        <v>19.0</v>
      </c>
      <c r="H3275" s="23" t="s">
        <v>100</v>
      </c>
      <c r="I3275" s="24" t="s">
        <v>27</v>
      </c>
      <c r="J3275" s="19" t="s">
        <v>257</v>
      </c>
      <c r="K3275" s="14">
        <v>13.0</v>
      </c>
      <c r="L3275" s="7"/>
      <c r="M3275" s="7"/>
      <c r="N3275" s="7"/>
      <c r="O3275" s="7"/>
      <c r="P3275" s="7"/>
      <c r="Q3275" s="7"/>
      <c r="R3275" s="7"/>
      <c r="S3275" s="7"/>
      <c r="T3275" s="7"/>
      <c r="U3275" s="7"/>
      <c r="V3275" s="7"/>
      <c r="W3275" s="7"/>
      <c r="X3275" s="7"/>
      <c r="Y3275" s="7"/>
    </row>
    <row r="3276">
      <c r="A3276" s="14" t="s">
        <v>11720</v>
      </c>
      <c r="B3276" s="17" t="s">
        <v>11717</v>
      </c>
      <c r="C3276" s="17" t="s">
        <v>11721</v>
      </c>
      <c r="D3276" s="19" t="s">
        <v>11722</v>
      </c>
      <c r="E3276" s="20" t="s">
        <v>337</v>
      </c>
      <c r="F3276" s="21">
        <v>36546.0</v>
      </c>
      <c r="G3276" s="14">
        <v>26.0</v>
      </c>
      <c r="H3276" s="23" t="s">
        <v>100</v>
      </c>
      <c r="I3276" s="24" t="s">
        <v>33</v>
      </c>
      <c r="J3276" s="19" t="s">
        <v>257</v>
      </c>
      <c r="K3276" s="14">
        <v>13.0</v>
      </c>
      <c r="L3276" s="7"/>
      <c r="M3276" s="7"/>
      <c r="N3276" s="7"/>
      <c r="O3276" s="7"/>
      <c r="P3276" s="7"/>
      <c r="Q3276" s="7"/>
      <c r="R3276" s="7"/>
      <c r="S3276" s="7"/>
      <c r="T3276" s="7"/>
      <c r="U3276" s="7"/>
      <c r="V3276" s="7"/>
      <c r="W3276" s="7"/>
      <c r="X3276" s="7"/>
      <c r="Y3276" s="7"/>
    </row>
    <row r="3277">
      <c r="A3277" s="14" t="s">
        <v>11723</v>
      </c>
      <c r="B3277" s="17" t="s">
        <v>11717</v>
      </c>
      <c r="C3277" s="17" t="s">
        <v>11724</v>
      </c>
      <c r="D3277" s="19" t="s">
        <v>11725</v>
      </c>
      <c r="E3277" s="20" t="s">
        <v>654</v>
      </c>
      <c r="F3277" s="21">
        <v>28654.0</v>
      </c>
      <c r="G3277" s="14">
        <v>48.0</v>
      </c>
      <c r="H3277" s="23" t="s">
        <v>26</v>
      </c>
      <c r="I3277" s="24" t="s">
        <v>33</v>
      </c>
      <c r="J3277" s="19" t="s">
        <v>257</v>
      </c>
      <c r="K3277" s="14">
        <v>13.0</v>
      </c>
      <c r="L3277" s="7"/>
      <c r="M3277" s="7"/>
      <c r="N3277" s="7"/>
      <c r="O3277" s="7"/>
      <c r="P3277" s="7"/>
      <c r="Q3277" s="7"/>
      <c r="R3277" s="7"/>
      <c r="S3277" s="7"/>
      <c r="T3277" s="7"/>
      <c r="U3277" s="7"/>
      <c r="V3277" s="7"/>
      <c r="W3277" s="7"/>
      <c r="X3277" s="7"/>
      <c r="Y3277" s="7"/>
    </row>
    <row r="3278">
      <c r="A3278" s="14" t="s">
        <v>11726</v>
      </c>
      <c r="B3278" s="17" t="s">
        <v>11717</v>
      </c>
      <c r="C3278" s="17" t="s">
        <v>11727</v>
      </c>
      <c r="D3278" s="19" t="s">
        <v>950</v>
      </c>
      <c r="E3278" s="20" t="s">
        <v>195</v>
      </c>
      <c r="F3278" s="21">
        <v>28858.0</v>
      </c>
      <c r="G3278" s="14">
        <v>47.0</v>
      </c>
      <c r="H3278" s="23" t="s">
        <v>26</v>
      </c>
      <c r="I3278" s="24" t="s">
        <v>27</v>
      </c>
      <c r="J3278" s="19" t="s">
        <v>257</v>
      </c>
      <c r="K3278" s="14">
        <v>13.0</v>
      </c>
      <c r="L3278" s="7"/>
      <c r="M3278" s="7"/>
      <c r="N3278" s="7"/>
      <c r="O3278" s="7"/>
      <c r="P3278" s="7"/>
      <c r="Q3278" s="7"/>
      <c r="R3278" s="7"/>
      <c r="S3278" s="7"/>
      <c r="T3278" s="7"/>
      <c r="U3278" s="7"/>
      <c r="V3278" s="7"/>
      <c r="W3278" s="7"/>
      <c r="X3278" s="7"/>
      <c r="Y3278" s="7"/>
    </row>
    <row r="3279">
      <c r="A3279" s="14" t="s">
        <v>11728</v>
      </c>
      <c r="B3279" s="17" t="s">
        <v>11729</v>
      </c>
      <c r="C3279" s="17" t="s">
        <v>11730</v>
      </c>
      <c r="D3279" s="19" t="s">
        <v>636</v>
      </c>
      <c r="E3279" s="20" t="s">
        <v>624</v>
      </c>
      <c r="F3279" s="21">
        <v>24015.0</v>
      </c>
      <c r="G3279" s="14">
        <v>60.0</v>
      </c>
      <c r="H3279" s="23" t="s">
        <v>26</v>
      </c>
      <c r="I3279" s="24" t="s">
        <v>33</v>
      </c>
      <c r="J3279" s="19" t="s">
        <v>53</v>
      </c>
      <c r="K3279" s="14">
        <v>13.0</v>
      </c>
      <c r="L3279" s="7"/>
      <c r="M3279" s="7"/>
      <c r="N3279" s="7"/>
      <c r="O3279" s="7"/>
      <c r="P3279" s="7"/>
      <c r="Q3279" s="7"/>
      <c r="R3279" s="7"/>
      <c r="S3279" s="7"/>
      <c r="T3279" s="7"/>
      <c r="U3279" s="7"/>
      <c r="V3279" s="7"/>
      <c r="W3279" s="7"/>
      <c r="X3279" s="7"/>
      <c r="Y3279" s="7"/>
    </row>
    <row r="3280">
      <c r="A3280" s="14" t="s">
        <v>11731</v>
      </c>
      <c r="B3280" s="17" t="s">
        <v>11729</v>
      </c>
      <c r="C3280" s="17" t="s">
        <v>11732</v>
      </c>
      <c r="D3280" s="19" t="s">
        <v>10386</v>
      </c>
      <c r="E3280" s="20" t="s">
        <v>624</v>
      </c>
      <c r="F3280" s="21">
        <v>24685.0</v>
      </c>
      <c r="G3280" s="14">
        <v>59.0</v>
      </c>
      <c r="H3280" s="23" t="s">
        <v>26</v>
      </c>
      <c r="I3280" s="24" t="s">
        <v>27</v>
      </c>
      <c r="J3280" s="19" t="s">
        <v>53</v>
      </c>
      <c r="K3280" s="14">
        <v>13.0</v>
      </c>
      <c r="L3280" s="7"/>
      <c r="M3280" s="7"/>
      <c r="N3280" s="7"/>
      <c r="O3280" s="7"/>
      <c r="P3280" s="7"/>
      <c r="Q3280" s="7"/>
      <c r="R3280" s="7"/>
      <c r="S3280" s="7"/>
      <c r="T3280" s="7"/>
      <c r="U3280" s="7"/>
      <c r="V3280" s="7"/>
      <c r="W3280" s="7"/>
      <c r="X3280" s="7"/>
      <c r="Y3280" s="7"/>
    </row>
    <row r="3281">
      <c r="A3281" s="14" t="s">
        <v>11733</v>
      </c>
      <c r="B3281" s="17" t="s">
        <v>11734</v>
      </c>
      <c r="C3281" s="17" t="s">
        <v>11735</v>
      </c>
      <c r="D3281" s="19" t="s">
        <v>11736</v>
      </c>
      <c r="E3281" s="20" t="s">
        <v>104</v>
      </c>
      <c r="F3281" s="21">
        <v>38492.0</v>
      </c>
      <c r="G3281" s="14">
        <v>21.0</v>
      </c>
      <c r="H3281" s="23" t="s">
        <v>100</v>
      </c>
      <c r="I3281" s="24" t="s">
        <v>33</v>
      </c>
      <c r="J3281" s="19" t="s">
        <v>53</v>
      </c>
      <c r="K3281" s="14">
        <v>21.0</v>
      </c>
      <c r="L3281" s="7"/>
      <c r="M3281" s="7"/>
      <c r="N3281" s="7"/>
      <c r="O3281" s="7"/>
      <c r="P3281" s="7"/>
      <c r="Q3281" s="7"/>
      <c r="R3281" s="7"/>
      <c r="S3281" s="7"/>
      <c r="T3281" s="7"/>
      <c r="U3281" s="7"/>
      <c r="V3281" s="7"/>
      <c r="W3281" s="7"/>
      <c r="X3281" s="7"/>
      <c r="Y3281" s="7"/>
    </row>
    <row r="3282">
      <c r="A3282" s="14" t="s">
        <v>11737</v>
      </c>
      <c r="B3282" s="17" t="s">
        <v>11734</v>
      </c>
      <c r="C3282" s="17" t="s">
        <v>11738</v>
      </c>
      <c r="D3282" s="19" t="s">
        <v>11739</v>
      </c>
      <c r="E3282" s="20" t="s">
        <v>434</v>
      </c>
      <c r="F3282" s="21">
        <v>26793.0</v>
      </c>
      <c r="G3282" s="14">
        <v>53.0</v>
      </c>
      <c r="H3282" s="23" t="s">
        <v>26</v>
      </c>
      <c r="I3282" s="24" t="s">
        <v>33</v>
      </c>
      <c r="J3282" s="19" t="s">
        <v>53</v>
      </c>
      <c r="K3282" s="14">
        <v>21.0</v>
      </c>
      <c r="L3282" s="7"/>
      <c r="M3282" s="7"/>
      <c r="N3282" s="7"/>
      <c r="O3282" s="7"/>
      <c r="P3282" s="7"/>
      <c r="Q3282" s="7"/>
      <c r="R3282" s="7"/>
      <c r="S3282" s="7"/>
      <c r="T3282" s="7"/>
      <c r="U3282" s="7"/>
      <c r="V3282" s="7"/>
      <c r="W3282" s="7"/>
      <c r="X3282" s="7"/>
      <c r="Y3282" s="7"/>
    </row>
    <row r="3283">
      <c r="A3283" s="14" t="s">
        <v>11740</v>
      </c>
      <c r="B3283" s="17" t="s">
        <v>11741</v>
      </c>
      <c r="C3283" s="17" t="s">
        <v>11742</v>
      </c>
      <c r="D3283" s="19" t="s">
        <v>11743</v>
      </c>
      <c r="E3283" s="20" t="s">
        <v>104</v>
      </c>
      <c r="F3283" s="21">
        <v>29315.0</v>
      </c>
      <c r="G3283" s="14">
        <v>46.0</v>
      </c>
      <c r="H3283" s="23" t="s">
        <v>27</v>
      </c>
      <c r="I3283" s="24" t="s">
        <v>27</v>
      </c>
      <c r="J3283" s="19" t="s">
        <v>146</v>
      </c>
      <c r="K3283" s="14">
        <v>5.0</v>
      </c>
      <c r="L3283" s="7"/>
      <c r="M3283" s="7"/>
      <c r="N3283" s="7"/>
      <c r="O3283" s="7"/>
      <c r="P3283" s="7"/>
      <c r="Q3283" s="7"/>
      <c r="R3283" s="7"/>
      <c r="S3283" s="7"/>
      <c r="T3283" s="7"/>
      <c r="U3283" s="7"/>
      <c r="V3283" s="7"/>
      <c r="W3283" s="7"/>
      <c r="X3283" s="7"/>
      <c r="Y3283" s="7"/>
    </row>
    <row r="3284">
      <c r="A3284" s="14" t="s">
        <v>11744</v>
      </c>
      <c r="B3284" s="17" t="s">
        <v>11745</v>
      </c>
      <c r="C3284" s="17" t="s">
        <v>11746</v>
      </c>
      <c r="D3284" s="19" t="s">
        <v>11747</v>
      </c>
      <c r="E3284" s="20" t="s">
        <v>138</v>
      </c>
      <c r="F3284" s="21">
        <v>35292.0</v>
      </c>
      <c r="G3284" s="14">
        <v>30.0</v>
      </c>
      <c r="H3284" s="23" t="s">
        <v>100</v>
      </c>
      <c r="I3284" s="24" t="s">
        <v>33</v>
      </c>
      <c r="J3284" s="19" t="s">
        <v>68</v>
      </c>
      <c r="K3284" s="14">
        <v>28.0</v>
      </c>
      <c r="L3284" s="7"/>
      <c r="M3284" s="7"/>
      <c r="N3284" s="7"/>
      <c r="O3284" s="7"/>
      <c r="P3284" s="7"/>
      <c r="Q3284" s="7"/>
      <c r="R3284" s="7"/>
      <c r="S3284" s="7"/>
      <c r="T3284" s="7"/>
      <c r="U3284" s="7"/>
      <c r="V3284" s="7"/>
      <c r="W3284" s="7"/>
      <c r="X3284" s="7"/>
      <c r="Y3284" s="7"/>
    </row>
    <row r="3285">
      <c r="A3285" s="14" t="s">
        <v>11748</v>
      </c>
      <c r="B3285" s="17" t="s">
        <v>11745</v>
      </c>
      <c r="C3285" s="17" t="s">
        <v>11749</v>
      </c>
      <c r="D3285" s="19" t="s">
        <v>11750</v>
      </c>
      <c r="E3285" s="20" t="s">
        <v>11751</v>
      </c>
      <c r="F3285" s="21">
        <v>22148.0</v>
      </c>
      <c r="G3285" s="14">
        <v>66.0</v>
      </c>
      <c r="H3285" s="23" t="s">
        <v>26</v>
      </c>
      <c r="I3285" s="24" t="s">
        <v>33</v>
      </c>
      <c r="J3285" s="19" t="s">
        <v>68</v>
      </c>
      <c r="K3285" s="14">
        <v>28.0</v>
      </c>
      <c r="L3285" s="7"/>
      <c r="M3285" s="7"/>
      <c r="N3285" s="7"/>
      <c r="O3285" s="7"/>
      <c r="P3285" s="7"/>
      <c r="Q3285" s="7"/>
      <c r="R3285" s="7"/>
      <c r="S3285" s="7"/>
      <c r="T3285" s="7"/>
      <c r="U3285" s="7"/>
      <c r="V3285" s="7"/>
      <c r="W3285" s="7"/>
      <c r="X3285" s="7"/>
      <c r="Y3285" s="7"/>
    </row>
    <row r="3286">
      <c r="A3286" s="14" t="s">
        <v>11752</v>
      </c>
      <c r="B3286" s="17" t="s">
        <v>11745</v>
      </c>
      <c r="C3286" s="17" t="s">
        <v>11753</v>
      </c>
      <c r="D3286" s="19" t="s">
        <v>11754</v>
      </c>
      <c r="E3286" s="20" t="s">
        <v>104</v>
      </c>
      <c r="F3286" s="21">
        <v>34229.0</v>
      </c>
      <c r="G3286" s="14">
        <v>32.0</v>
      </c>
      <c r="H3286" s="23" t="s">
        <v>100</v>
      </c>
      <c r="I3286" s="24" t="s">
        <v>33</v>
      </c>
      <c r="J3286" s="19" t="s">
        <v>68</v>
      </c>
      <c r="K3286" s="14">
        <v>28.0</v>
      </c>
      <c r="L3286" s="7"/>
      <c r="M3286" s="7"/>
      <c r="N3286" s="7"/>
      <c r="O3286" s="7"/>
      <c r="P3286" s="7"/>
      <c r="Q3286" s="7"/>
      <c r="R3286" s="7"/>
      <c r="S3286" s="7"/>
      <c r="T3286" s="7"/>
      <c r="U3286" s="7"/>
      <c r="V3286" s="7"/>
      <c r="W3286" s="7"/>
      <c r="X3286" s="7"/>
      <c r="Y3286" s="7"/>
    </row>
    <row r="3287">
      <c r="A3287" s="14" t="s">
        <v>11755</v>
      </c>
      <c r="B3287" s="17" t="s">
        <v>11745</v>
      </c>
      <c r="C3287" s="17" t="s">
        <v>11756</v>
      </c>
      <c r="D3287" s="19" t="s">
        <v>11757</v>
      </c>
      <c r="E3287" s="20" t="s">
        <v>11758</v>
      </c>
      <c r="F3287" s="21">
        <v>23172.0</v>
      </c>
      <c r="G3287" s="14">
        <v>63.0</v>
      </c>
      <c r="H3287" s="23" t="s">
        <v>26</v>
      </c>
      <c r="I3287" s="24" t="s">
        <v>27</v>
      </c>
      <c r="J3287" s="19" t="s">
        <v>68</v>
      </c>
      <c r="K3287" s="14">
        <v>28.0</v>
      </c>
      <c r="L3287" s="7"/>
      <c r="M3287" s="7"/>
      <c r="N3287" s="7"/>
      <c r="O3287" s="7"/>
      <c r="P3287" s="7"/>
      <c r="Q3287" s="7"/>
      <c r="R3287" s="7"/>
      <c r="S3287" s="7"/>
      <c r="T3287" s="7"/>
      <c r="U3287" s="7"/>
      <c r="V3287" s="7"/>
      <c r="W3287" s="7"/>
      <c r="X3287" s="7"/>
      <c r="Y3287" s="7"/>
    </row>
    <row r="3288">
      <c r="A3288" s="14" t="s">
        <v>11759</v>
      </c>
      <c r="B3288" s="17" t="s">
        <v>11760</v>
      </c>
      <c r="C3288" s="17" t="s">
        <v>11761</v>
      </c>
      <c r="D3288" s="19" t="s">
        <v>11762</v>
      </c>
      <c r="E3288" s="20" t="s">
        <v>104</v>
      </c>
      <c r="F3288" s="21">
        <v>29448.0</v>
      </c>
      <c r="G3288" s="14">
        <v>46.0</v>
      </c>
      <c r="H3288" s="23" t="s">
        <v>26</v>
      </c>
      <c r="I3288" s="24" t="s">
        <v>33</v>
      </c>
      <c r="J3288" s="19" t="s">
        <v>282</v>
      </c>
      <c r="K3288" s="14">
        <v>14.0</v>
      </c>
      <c r="L3288" s="7"/>
      <c r="M3288" s="7"/>
      <c r="N3288" s="7"/>
      <c r="O3288" s="7"/>
      <c r="P3288" s="7"/>
      <c r="Q3288" s="7"/>
      <c r="R3288" s="7"/>
      <c r="S3288" s="7"/>
      <c r="T3288" s="7"/>
      <c r="U3288" s="7"/>
      <c r="V3288" s="7"/>
      <c r="W3288" s="7"/>
      <c r="X3288" s="7"/>
      <c r="Y3288" s="7"/>
    </row>
    <row r="3289">
      <c r="A3289" s="14" t="s">
        <v>11763</v>
      </c>
      <c r="B3289" s="17" t="s">
        <v>11760</v>
      </c>
      <c r="C3289" s="17" t="s">
        <v>11764</v>
      </c>
      <c r="D3289" s="19" t="s">
        <v>11765</v>
      </c>
      <c r="E3289" s="20" t="s">
        <v>1133</v>
      </c>
      <c r="F3289" s="21">
        <v>38357.0</v>
      </c>
      <c r="G3289" s="14">
        <v>21.0</v>
      </c>
      <c r="H3289" s="23" t="s">
        <v>100</v>
      </c>
      <c r="I3289" s="24" t="s">
        <v>33</v>
      </c>
      <c r="J3289" s="19" t="s">
        <v>7905</v>
      </c>
      <c r="K3289" s="14">
        <v>14.0</v>
      </c>
      <c r="L3289" s="7"/>
      <c r="M3289" s="7"/>
      <c r="N3289" s="7"/>
      <c r="O3289" s="7"/>
      <c r="P3289" s="7"/>
      <c r="Q3289" s="7"/>
      <c r="R3289" s="7"/>
      <c r="S3289" s="7"/>
      <c r="T3289" s="7"/>
      <c r="U3289" s="7"/>
      <c r="V3289" s="7"/>
      <c r="W3289" s="7"/>
      <c r="X3289" s="7"/>
      <c r="Y3289" s="7"/>
    </row>
    <row r="3290">
      <c r="A3290" s="14" t="s">
        <v>11766</v>
      </c>
      <c r="B3290" s="17" t="s">
        <v>11760</v>
      </c>
      <c r="C3290" s="17" t="s">
        <v>11767</v>
      </c>
      <c r="D3290" s="19" t="s">
        <v>11768</v>
      </c>
      <c r="E3290" s="20" t="s">
        <v>1038</v>
      </c>
      <c r="F3290" s="21">
        <v>30837.0</v>
      </c>
      <c r="G3290" s="14">
        <v>42.0</v>
      </c>
      <c r="H3290" s="23" t="s">
        <v>26</v>
      </c>
      <c r="I3290" s="24" t="s">
        <v>27</v>
      </c>
      <c r="J3290" s="19" t="s">
        <v>282</v>
      </c>
      <c r="K3290" s="14">
        <v>14.0</v>
      </c>
      <c r="L3290" s="7"/>
      <c r="M3290" s="7"/>
      <c r="N3290" s="7"/>
      <c r="O3290" s="7"/>
      <c r="P3290" s="7"/>
      <c r="Q3290" s="7"/>
      <c r="R3290" s="7"/>
      <c r="S3290" s="7"/>
      <c r="T3290" s="7"/>
      <c r="U3290" s="7"/>
      <c r="V3290" s="7"/>
      <c r="W3290" s="7"/>
      <c r="X3290" s="7"/>
      <c r="Y3290" s="7"/>
    </row>
    <row r="3291">
      <c r="A3291" s="14" t="s">
        <v>11769</v>
      </c>
      <c r="B3291" s="17" t="s">
        <v>11770</v>
      </c>
      <c r="C3291" s="17" t="s">
        <v>11771</v>
      </c>
      <c r="D3291" s="19" t="s">
        <v>11772</v>
      </c>
      <c r="E3291" s="20" t="s">
        <v>112</v>
      </c>
      <c r="F3291" s="27">
        <v>39404.0</v>
      </c>
      <c r="G3291" s="14">
        <v>18.0</v>
      </c>
      <c r="H3291" s="23" t="s">
        <v>100</v>
      </c>
      <c r="I3291" s="24" t="s">
        <v>33</v>
      </c>
      <c r="J3291" s="19" t="s">
        <v>7905</v>
      </c>
      <c r="K3291" s="14">
        <v>19.0</v>
      </c>
      <c r="L3291" s="7"/>
      <c r="M3291" s="7"/>
      <c r="N3291" s="7"/>
      <c r="O3291" s="7"/>
      <c r="P3291" s="7"/>
      <c r="Q3291" s="7"/>
      <c r="R3291" s="7"/>
      <c r="S3291" s="7"/>
      <c r="T3291" s="7"/>
      <c r="U3291" s="7"/>
      <c r="V3291" s="7"/>
      <c r="W3291" s="7"/>
      <c r="X3291" s="7"/>
      <c r="Y3291" s="7"/>
    </row>
    <row r="3292">
      <c r="A3292" s="14" t="s">
        <v>11773</v>
      </c>
      <c r="B3292" s="17" t="s">
        <v>11770</v>
      </c>
      <c r="C3292" s="17" t="s">
        <v>11774</v>
      </c>
      <c r="D3292" s="19" t="s">
        <v>11775</v>
      </c>
      <c r="E3292" s="20" t="s">
        <v>112</v>
      </c>
      <c r="F3292" s="21">
        <v>30550.0</v>
      </c>
      <c r="G3292" s="14">
        <v>43.0</v>
      </c>
      <c r="H3292" s="23" t="s">
        <v>26</v>
      </c>
      <c r="I3292" s="24" t="s">
        <v>27</v>
      </c>
      <c r="J3292" s="19" t="s">
        <v>7905</v>
      </c>
      <c r="K3292" s="14">
        <v>19.0</v>
      </c>
      <c r="L3292" s="7"/>
      <c r="M3292" s="7"/>
      <c r="N3292" s="7"/>
      <c r="O3292" s="7"/>
      <c r="P3292" s="7"/>
      <c r="Q3292" s="7"/>
      <c r="R3292" s="7"/>
      <c r="S3292" s="7"/>
      <c r="T3292" s="7"/>
      <c r="U3292" s="7"/>
      <c r="V3292" s="7"/>
      <c r="W3292" s="7"/>
      <c r="X3292" s="7"/>
      <c r="Y3292" s="7"/>
    </row>
    <row r="3293">
      <c r="A3293" s="14" t="s">
        <v>11776</v>
      </c>
      <c r="B3293" s="17" t="s">
        <v>11770</v>
      </c>
      <c r="C3293" s="17" t="s">
        <v>11777</v>
      </c>
      <c r="D3293" s="19" t="s">
        <v>11778</v>
      </c>
      <c r="E3293" s="20" t="s">
        <v>112</v>
      </c>
      <c r="F3293" s="27">
        <v>28450.0</v>
      </c>
      <c r="G3293" s="14">
        <v>48.0</v>
      </c>
      <c r="H3293" s="23" t="s">
        <v>26</v>
      </c>
      <c r="I3293" s="24" t="s">
        <v>33</v>
      </c>
      <c r="J3293" s="19" t="s">
        <v>7905</v>
      </c>
      <c r="K3293" s="14">
        <v>19.0</v>
      </c>
      <c r="L3293" s="7"/>
      <c r="M3293" s="7"/>
      <c r="N3293" s="7"/>
      <c r="O3293" s="7"/>
      <c r="P3293" s="7"/>
      <c r="Q3293" s="7"/>
      <c r="R3293" s="7"/>
      <c r="S3293" s="7"/>
      <c r="T3293" s="7"/>
      <c r="U3293" s="7"/>
      <c r="V3293" s="7"/>
      <c r="W3293" s="7"/>
      <c r="X3293" s="7"/>
      <c r="Y3293" s="7"/>
    </row>
    <row r="3294">
      <c r="A3294" s="14" t="s">
        <v>11779</v>
      </c>
      <c r="B3294" s="17" t="s">
        <v>11780</v>
      </c>
      <c r="C3294" s="17" t="s">
        <v>11781</v>
      </c>
      <c r="D3294" s="19" t="s">
        <v>11782</v>
      </c>
      <c r="E3294" s="20" t="s">
        <v>104</v>
      </c>
      <c r="F3294" s="21">
        <v>39320.0</v>
      </c>
      <c r="G3294" s="14">
        <v>19.0</v>
      </c>
      <c r="H3294" s="23" t="s">
        <v>100</v>
      </c>
      <c r="I3294" s="24" t="s">
        <v>27</v>
      </c>
      <c r="J3294" s="19" t="s">
        <v>58</v>
      </c>
      <c r="K3294" s="14">
        <v>5.0</v>
      </c>
      <c r="L3294" s="7"/>
      <c r="M3294" s="7"/>
      <c r="N3294" s="7"/>
      <c r="O3294" s="7"/>
      <c r="P3294" s="7"/>
      <c r="Q3294" s="7"/>
      <c r="R3294" s="7"/>
      <c r="S3294" s="7"/>
      <c r="T3294" s="7"/>
      <c r="U3294" s="7"/>
      <c r="V3294" s="7"/>
      <c r="W3294" s="7"/>
      <c r="X3294" s="7"/>
      <c r="Y3294" s="7"/>
    </row>
    <row r="3295">
      <c r="A3295" s="14" t="s">
        <v>11783</v>
      </c>
      <c r="B3295" s="17" t="s">
        <v>11780</v>
      </c>
      <c r="C3295" s="17" t="s">
        <v>11784</v>
      </c>
      <c r="D3295" s="19" t="s">
        <v>11785</v>
      </c>
      <c r="E3295" s="20" t="s">
        <v>138</v>
      </c>
      <c r="F3295" s="27">
        <v>36453.0</v>
      </c>
      <c r="G3295" s="14">
        <v>26.0</v>
      </c>
      <c r="H3295" s="23" t="s">
        <v>100</v>
      </c>
      <c r="I3295" s="24" t="s">
        <v>27</v>
      </c>
      <c r="J3295" s="19" t="s">
        <v>58</v>
      </c>
      <c r="K3295" s="14">
        <v>5.0</v>
      </c>
      <c r="L3295" s="7"/>
      <c r="M3295" s="7"/>
      <c r="N3295" s="7"/>
      <c r="O3295" s="7"/>
      <c r="P3295" s="7"/>
      <c r="Q3295" s="7"/>
      <c r="R3295" s="7"/>
      <c r="S3295" s="7"/>
      <c r="T3295" s="7"/>
      <c r="U3295" s="7"/>
      <c r="V3295" s="7"/>
      <c r="W3295" s="7"/>
      <c r="X3295" s="7"/>
      <c r="Y3295" s="7"/>
    </row>
    <row r="3296">
      <c r="A3296" s="14" t="s">
        <v>11786</v>
      </c>
      <c r="B3296" s="17" t="s">
        <v>11780</v>
      </c>
      <c r="C3296" s="17" t="s">
        <v>11787</v>
      </c>
      <c r="D3296" s="19" t="s">
        <v>11788</v>
      </c>
      <c r="E3296" s="20" t="s">
        <v>544</v>
      </c>
      <c r="F3296" s="21">
        <v>27222.0</v>
      </c>
      <c r="G3296" s="14">
        <v>52.0</v>
      </c>
      <c r="H3296" s="23" t="s">
        <v>26</v>
      </c>
      <c r="I3296" s="24" t="s">
        <v>33</v>
      </c>
      <c r="J3296" s="19" t="s">
        <v>58</v>
      </c>
      <c r="K3296" s="14">
        <v>5.0</v>
      </c>
      <c r="L3296" s="7"/>
      <c r="M3296" s="7"/>
      <c r="N3296" s="7"/>
      <c r="O3296" s="7"/>
      <c r="P3296" s="7"/>
      <c r="Q3296" s="7"/>
      <c r="R3296" s="7"/>
      <c r="S3296" s="7"/>
      <c r="T3296" s="7"/>
      <c r="U3296" s="7"/>
      <c r="V3296" s="7"/>
      <c r="W3296" s="7"/>
      <c r="X3296" s="7"/>
      <c r="Y3296" s="7"/>
    </row>
    <row r="3297">
      <c r="A3297" s="14" t="s">
        <v>11789</v>
      </c>
      <c r="B3297" s="17" t="s">
        <v>11780</v>
      </c>
      <c r="C3297" s="17" t="s">
        <v>11790</v>
      </c>
      <c r="D3297" s="19" t="s">
        <v>11791</v>
      </c>
      <c r="E3297" s="20" t="s">
        <v>274</v>
      </c>
      <c r="F3297" s="21">
        <v>31967.0</v>
      </c>
      <c r="G3297" s="14">
        <v>39.0</v>
      </c>
      <c r="H3297" s="23" t="s">
        <v>26</v>
      </c>
      <c r="I3297" s="24" t="s">
        <v>27</v>
      </c>
      <c r="J3297" s="19" t="s">
        <v>58</v>
      </c>
      <c r="K3297" s="14">
        <v>5.0</v>
      </c>
      <c r="L3297" s="7"/>
      <c r="M3297" s="7"/>
      <c r="N3297" s="7"/>
      <c r="O3297" s="7"/>
      <c r="P3297" s="7"/>
      <c r="Q3297" s="7"/>
      <c r="R3297" s="7"/>
      <c r="S3297" s="7"/>
      <c r="T3297" s="7"/>
      <c r="U3297" s="7"/>
      <c r="V3297" s="7"/>
      <c r="W3297" s="7"/>
      <c r="X3297" s="7"/>
      <c r="Y3297" s="7"/>
    </row>
    <row r="3298">
      <c r="A3298" s="14" t="s">
        <v>11792</v>
      </c>
      <c r="B3298" s="17" t="s">
        <v>11793</v>
      </c>
      <c r="C3298" s="17" t="s">
        <v>11794</v>
      </c>
      <c r="D3298" s="19" t="s">
        <v>11190</v>
      </c>
      <c r="E3298" s="20" t="s">
        <v>104</v>
      </c>
      <c r="F3298" s="21">
        <v>27837.0</v>
      </c>
      <c r="G3298" s="14">
        <v>50.0</v>
      </c>
      <c r="H3298" s="23" t="s">
        <v>26</v>
      </c>
      <c r="I3298" s="24" t="s">
        <v>27</v>
      </c>
      <c r="J3298" s="19" t="s">
        <v>146</v>
      </c>
      <c r="K3298" s="14">
        <v>8.0</v>
      </c>
      <c r="L3298" s="7"/>
      <c r="M3298" s="7"/>
      <c r="N3298" s="7"/>
      <c r="O3298" s="7"/>
      <c r="P3298" s="7"/>
      <c r="Q3298" s="7"/>
      <c r="R3298" s="7"/>
      <c r="S3298" s="7"/>
      <c r="T3298" s="7"/>
      <c r="U3298" s="7"/>
      <c r="V3298" s="7"/>
      <c r="W3298" s="7"/>
      <c r="X3298" s="7"/>
      <c r="Y3298" s="7"/>
    </row>
    <row r="3299">
      <c r="A3299" s="14" t="s">
        <v>11795</v>
      </c>
      <c r="B3299" s="17" t="s">
        <v>11793</v>
      </c>
      <c r="C3299" s="17" t="s">
        <v>11796</v>
      </c>
      <c r="D3299" s="19" t="s">
        <v>11797</v>
      </c>
      <c r="E3299" s="20" t="s">
        <v>104</v>
      </c>
      <c r="F3299" s="27">
        <v>35411.0</v>
      </c>
      <c r="G3299" s="14">
        <v>29.0</v>
      </c>
      <c r="H3299" s="23" t="s">
        <v>100</v>
      </c>
      <c r="I3299" s="24" t="s">
        <v>33</v>
      </c>
      <c r="J3299" s="19" t="s">
        <v>146</v>
      </c>
      <c r="K3299" s="14">
        <v>8.0</v>
      </c>
      <c r="L3299" s="7"/>
      <c r="M3299" s="7"/>
      <c r="N3299" s="7"/>
      <c r="O3299" s="7"/>
      <c r="P3299" s="7"/>
      <c r="Q3299" s="7"/>
      <c r="R3299" s="7"/>
      <c r="S3299" s="7"/>
      <c r="T3299" s="7"/>
      <c r="U3299" s="7"/>
      <c r="V3299" s="7"/>
      <c r="W3299" s="7"/>
      <c r="X3299" s="7"/>
      <c r="Y3299" s="7"/>
    </row>
    <row r="3300">
      <c r="A3300" s="14" t="s">
        <v>11798</v>
      </c>
      <c r="B3300" s="17" t="s">
        <v>11793</v>
      </c>
      <c r="C3300" s="17" t="s">
        <v>11799</v>
      </c>
      <c r="D3300" s="19" t="s">
        <v>11800</v>
      </c>
      <c r="E3300" s="20" t="s">
        <v>624</v>
      </c>
      <c r="F3300" s="21">
        <v>25406.0</v>
      </c>
      <c r="G3300" s="14">
        <v>57.0</v>
      </c>
      <c r="H3300" s="23" t="s">
        <v>26</v>
      </c>
      <c r="I3300" s="24" t="s">
        <v>33</v>
      </c>
      <c r="J3300" s="19" t="s">
        <v>146</v>
      </c>
      <c r="K3300" s="14">
        <v>8.0</v>
      </c>
      <c r="L3300" s="7"/>
      <c r="M3300" s="7"/>
      <c r="N3300" s="7"/>
      <c r="O3300" s="7"/>
      <c r="P3300" s="7"/>
      <c r="Q3300" s="7"/>
      <c r="R3300" s="7"/>
      <c r="S3300" s="7"/>
      <c r="T3300" s="7"/>
      <c r="U3300" s="7"/>
      <c r="V3300" s="7"/>
      <c r="W3300" s="7"/>
      <c r="X3300" s="7"/>
      <c r="Y3300" s="7"/>
    </row>
    <row r="3301">
      <c r="A3301" s="14" t="s">
        <v>11801</v>
      </c>
      <c r="B3301" s="17" t="s">
        <v>11802</v>
      </c>
      <c r="C3301" s="17" t="s">
        <v>11803</v>
      </c>
      <c r="D3301" s="19" t="s">
        <v>11804</v>
      </c>
      <c r="E3301" s="20" t="s">
        <v>11805</v>
      </c>
      <c r="F3301" s="27">
        <v>36084.0</v>
      </c>
      <c r="G3301" s="14">
        <v>27.0</v>
      </c>
      <c r="H3301" s="23" t="s">
        <v>100</v>
      </c>
      <c r="I3301" s="24" t="s">
        <v>33</v>
      </c>
      <c r="J3301" s="19" t="s">
        <v>58</v>
      </c>
      <c r="K3301" s="14">
        <v>8.0</v>
      </c>
      <c r="L3301" s="7"/>
      <c r="M3301" s="7"/>
      <c r="N3301" s="7"/>
      <c r="O3301" s="7"/>
      <c r="P3301" s="7"/>
      <c r="Q3301" s="7"/>
      <c r="R3301" s="7"/>
      <c r="S3301" s="7"/>
      <c r="T3301" s="7"/>
      <c r="U3301" s="7"/>
      <c r="V3301" s="7"/>
      <c r="W3301" s="7"/>
      <c r="X3301" s="7"/>
      <c r="Y3301" s="7"/>
    </row>
    <row r="3302">
      <c r="A3302" s="14" t="s">
        <v>11806</v>
      </c>
      <c r="B3302" s="17" t="s">
        <v>11802</v>
      </c>
      <c r="C3302" s="17" t="s">
        <v>11807</v>
      </c>
      <c r="D3302" s="19" t="s">
        <v>11808</v>
      </c>
      <c r="E3302" s="20" t="s">
        <v>1038</v>
      </c>
      <c r="F3302" s="21">
        <v>27527.0</v>
      </c>
      <c r="G3302" s="14">
        <v>51.0</v>
      </c>
      <c r="H3302" s="23" t="s">
        <v>26</v>
      </c>
      <c r="I3302" s="24" t="s">
        <v>33</v>
      </c>
      <c r="J3302" s="19" t="s">
        <v>58</v>
      </c>
      <c r="K3302" s="14">
        <v>8.0</v>
      </c>
      <c r="L3302" s="7"/>
      <c r="M3302" s="7"/>
      <c r="N3302" s="7"/>
      <c r="O3302" s="7"/>
      <c r="P3302" s="7"/>
      <c r="Q3302" s="7"/>
      <c r="R3302" s="7"/>
      <c r="S3302" s="7"/>
      <c r="T3302" s="7"/>
      <c r="U3302" s="7"/>
      <c r="V3302" s="7"/>
      <c r="W3302" s="7"/>
      <c r="X3302" s="7"/>
      <c r="Y3302" s="7"/>
    </row>
    <row r="3303">
      <c r="A3303" s="14" t="s">
        <v>11809</v>
      </c>
      <c r="B3303" s="17" t="s">
        <v>11810</v>
      </c>
      <c r="C3303" s="17" t="s">
        <v>11811</v>
      </c>
      <c r="D3303" s="19" t="s">
        <v>11812</v>
      </c>
      <c r="E3303" s="20" t="s">
        <v>1038</v>
      </c>
      <c r="F3303" s="21">
        <v>24120.0</v>
      </c>
      <c r="G3303" s="14">
        <v>60.0</v>
      </c>
      <c r="H3303" s="23" t="s">
        <v>26</v>
      </c>
      <c r="I3303" s="24" t="s">
        <v>33</v>
      </c>
      <c r="J3303" s="19" t="s">
        <v>58</v>
      </c>
      <c r="K3303" s="14">
        <v>8.0</v>
      </c>
      <c r="L3303" s="7"/>
      <c r="M3303" s="7"/>
      <c r="N3303" s="7"/>
      <c r="O3303" s="7"/>
      <c r="P3303" s="7"/>
      <c r="Q3303" s="7"/>
      <c r="R3303" s="7"/>
      <c r="S3303" s="7"/>
      <c r="T3303" s="7"/>
      <c r="U3303" s="7"/>
      <c r="V3303" s="7"/>
      <c r="W3303" s="7"/>
      <c r="X3303" s="7"/>
      <c r="Y3303" s="7"/>
    </row>
    <row r="3304">
      <c r="A3304" s="14" t="s">
        <v>11813</v>
      </c>
      <c r="B3304" s="17" t="s">
        <v>11810</v>
      </c>
      <c r="C3304" s="17" t="s">
        <v>11814</v>
      </c>
      <c r="D3304" s="19" t="s">
        <v>10812</v>
      </c>
      <c r="E3304" s="20" t="s">
        <v>1038</v>
      </c>
      <c r="F3304" s="21">
        <v>27989.0</v>
      </c>
      <c r="G3304" s="14">
        <v>50.0</v>
      </c>
      <c r="H3304" s="23" t="s">
        <v>26</v>
      </c>
      <c r="I3304" s="24" t="s">
        <v>27</v>
      </c>
      <c r="J3304" s="19" t="s">
        <v>58</v>
      </c>
      <c r="K3304" s="14">
        <v>8.0</v>
      </c>
      <c r="L3304" s="7"/>
      <c r="M3304" s="7"/>
      <c r="N3304" s="7"/>
      <c r="O3304" s="7"/>
      <c r="P3304" s="7"/>
      <c r="Q3304" s="7"/>
      <c r="R3304" s="7"/>
      <c r="S3304" s="7"/>
      <c r="T3304" s="7"/>
      <c r="U3304" s="7"/>
      <c r="V3304" s="7"/>
      <c r="W3304" s="7"/>
      <c r="X3304" s="7"/>
      <c r="Y3304" s="7"/>
    </row>
    <row r="3305">
      <c r="A3305" s="14" t="s">
        <v>11815</v>
      </c>
      <c r="B3305" s="17" t="s">
        <v>11816</v>
      </c>
      <c r="C3305" s="17" t="s">
        <v>11817</v>
      </c>
      <c r="D3305" s="19" t="s">
        <v>11818</v>
      </c>
      <c r="E3305" s="20" t="s">
        <v>1038</v>
      </c>
      <c r="F3305" s="21">
        <v>24723.0</v>
      </c>
      <c r="G3305" s="14">
        <v>58.0</v>
      </c>
      <c r="H3305" s="23" t="s">
        <v>26</v>
      </c>
      <c r="I3305" s="24" t="s">
        <v>33</v>
      </c>
      <c r="J3305" s="19" t="s">
        <v>146</v>
      </c>
      <c r="K3305" s="14">
        <v>1.0</v>
      </c>
      <c r="L3305" s="7"/>
      <c r="M3305" s="7"/>
      <c r="N3305" s="7"/>
      <c r="O3305" s="7"/>
      <c r="P3305" s="7"/>
      <c r="Q3305" s="7"/>
      <c r="R3305" s="7"/>
      <c r="S3305" s="7"/>
      <c r="T3305" s="7"/>
      <c r="U3305" s="7"/>
      <c r="V3305" s="7"/>
      <c r="W3305" s="7"/>
      <c r="X3305" s="7"/>
      <c r="Y3305" s="7"/>
    </row>
    <row r="3306">
      <c r="A3306" s="14" t="s">
        <v>11819</v>
      </c>
      <c r="B3306" s="17" t="s">
        <v>11816</v>
      </c>
      <c r="C3306" s="17" t="s">
        <v>11820</v>
      </c>
      <c r="D3306" s="19" t="s">
        <v>11821</v>
      </c>
      <c r="E3306" s="20" t="s">
        <v>104</v>
      </c>
      <c r="F3306" s="21">
        <v>38629.0</v>
      </c>
      <c r="G3306" s="14">
        <v>20.0</v>
      </c>
      <c r="H3306" s="23" t="s">
        <v>100</v>
      </c>
      <c r="I3306" s="24" t="s">
        <v>33</v>
      </c>
      <c r="J3306" s="19" t="s">
        <v>146</v>
      </c>
      <c r="K3306" s="14">
        <v>1.0</v>
      </c>
      <c r="L3306" s="7"/>
      <c r="M3306" s="7"/>
      <c r="N3306" s="7"/>
      <c r="O3306" s="7"/>
      <c r="P3306" s="7"/>
      <c r="Q3306" s="7"/>
      <c r="R3306" s="7"/>
      <c r="S3306" s="7"/>
      <c r="T3306" s="7"/>
      <c r="U3306" s="7"/>
      <c r="V3306" s="7"/>
      <c r="W3306" s="7"/>
      <c r="X3306" s="7"/>
      <c r="Y3306" s="7"/>
    </row>
    <row r="3307">
      <c r="A3307" s="14" t="s">
        <v>11822</v>
      </c>
      <c r="B3307" s="17" t="s">
        <v>11816</v>
      </c>
      <c r="C3307" s="17" t="s">
        <v>11823</v>
      </c>
      <c r="D3307" s="19" t="s">
        <v>11824</v>
      </c>
      <c r="E3307" s="20" t="s">
        <v>624</v>
      </c>
      <c r="F3307" s="27">
        <v>28470.0</v>
      </c>
      <c r="G3307" s="14">
        <v>48.0</v>
      </c>
      <c r="H3307" s="23" t="s">
        <v>26</v>
      </c>
      <c r="I3307" s="24" t="s">
        <v>27</v>
      </c>
      <c r="J3307" s="19" t="s">
        <v>146</v>
      </c>
      <c r="K3307" s="14">
        <v>1.0</v>
      </c>
      <c r="L3307" s="7"/>
      <c r="M3307" s="7"/>
      <c r="N3307" s="7"/>
      <c r="O3307" s="7"/>
      <c r="P3307" s="7"/>
      <c r="Q3307" s="7"/>
      <c r="R3307" s="7"/>
      <c r="S3307" s="7"/>
      <c r="T3307" s="7"/>
      <c r="U3307" s="7"/>
      <c r="V3307" s="7"/>
      <c r="W3307" s="7"/>
      <c r="X3307" s="7"/>
      <c r="Y3307" s="7"/>
    </row>
    <row r="3308">
      <c r="A3308" s="14" t="s">
        <v>11825</v>
      </c>
      <c r="B3308" s="17" t="s">
        <v>11826</v>
      </c>
      <c r="C3308" s="17" t="s">
        <v>11827</v>
      </c>
      <c r="D3308" s="19" t="s">
        <v>11828</v>
      </c>
      <c r="E3308" s="20" t="s">
        <v>53</v>
      </c>
      <c r="F3308" s="27">
        <v>37238.0</v>
      </c>
      <c r="G3308" s="14">
        <v>24.0</v>
      </c>
      <c r="H3308" s="23" t="s">
        <v>100</v>
      </c>
      <c r="I3308" s="24" t="s">
        <v>27</v>
      </c>
      <c r="J3308" s="19" t="s">
        <v>328</v>
      </c>
      <c r="K3308" s="14">
        <v>23.0</v>
      </c>
      <c r="L3308" s="7"/>
      <c r="M3308" s="7"/>
      <c r="N3308" s="7"/>
      <c r="O3308" s="7"/>
      <c r="P3308" s="7"/>
      <c r="Q3308" s="7"/>
      <c r="R3308" s="7"/>
      <c r="S3308" s="7"/>
      <c r="T3308" s="7"/>
      <c r="U3308" s="7"/>
      <c r="V3308" s="7"/>
      <c r="W3308" s="7"/>
      <c r="X3308" s="7"/>
      <c r="Y3308" s="7"/>
    </row>
    <row r="3309">
      <c r="A3309" s="14" t="s">
        <v>11829</v>
      </c>
      <c r="B3309" s="17" t="s">
        <v>11826</v>
      </c>
      <c r="C3309" s="17" t="s">
        <v>11830</v>
      </c>
      <c r="D3309" s="19" t="s">
        <v>11831</v>
      </c>
      <c r="E3309" s="20" t="s">
        <v>1038</v>
      </c>
      <c r="F3309" s="21">
        <v>24001.0</v>
      </c>
      <c r="G3309" s="14">
        <v>60.0</v>
      </c>
      <c r="H3309" s="23" t="s">
        <v>26</v>
      </c>
      <c r="I3309" s="24" t="s">
        <v>33</v>
      </c>
      <c r="J3309" s="19" t="s">
        <v>328</v>
      </c>
      <c r="K3309" s="14">
        <v>23.0</v>
      </c>
      <c r="L3309" s="7"/>
      <c r="M3309" s="7"/>
      <c r="N3309" s="7"/>
      <c r="O3309" s="7"/>
      <c r="P3309" s="7"/>
      <c r="Q3309" s="7"/>
      <c r="R3309" s="7"/>
      <c r="S3309" s="7"/>
      <c r="T3309" s="7"/>
      <c r="U3309" s="7"/>
      <c r="V3309" s="7"/>
      <c r="W3309" s="7"/>
      <c r="X3309" s="7"/>
      <c r="Y3309" s="7"/>
    </row>
    <row r="3310">
      <c r="A3310" s="14" t="s">
        <v>11832</v>
      </c>
      <c r="B3310" s="17" t="s">
        <v>11826</v>
      </c>
      <c r="C3310" s="17" t="s">
        <v>11833</v>
      </c>
      <c r="D3310" s="19" t="s">
        <v>1944</v>
      </c>
      <c r="E3310" s="20" t="s">
        <v>1038</v>
      </c>
      <c r="F3310" s="21">
        <v>26839.0</v>
      </c>
      <c r="G3310" s="14">
        <v>53.0</v>
      </c>
      <c r="H3310" s="23" t="s">
        <v>26</v>
      </c>
      <c r="I3310" s="24" t="s">
        <v>27</v>
      </c>
      <c r="J3310" s="19" t="s">
        <v>328</v>
      </c>
      <c r="K3310" s="14">
        <v>23.0</v>
      </c>
      <c r="L3310" s="7"/>
      <c r="M3310" s="7"/>
      <c r="N3310" s="7"/>
      <c r="O3310" s="7"/>
      <c r="P3310" s="7"/>
      <c r="Q3310" s="7"/>
      <c r="R3310" s="7"/>
      <c r="S3310" s="7"/>
      <c r="T3310" s="7"/>
      <c r="U3310" s="7"/>
      <c r="V3310" s="7"/>
      <c r="W3310" s="7"/>
      <c r="X3310" s="7"/>
      <c r="Y3310" s="7"/>
    </row>
    <row r="3311">
      <c r="A3311" s="14" t="s">
        <v>11834</v>
      </c>
      <c r="B3311" s="17" t="s">
        <v>11835</v>
      </c>
      <c r="C3311" s="17" t="s">
        <v>11836</v>
      </c>
      <c r="D3311" s="19" t="s">
        <v>11837</v>
      </c>
      <c r="E3311" s="20" t="s">
        <v>632</v>
      </c>
      <c r="F3311" s="21">
        <v>28966.0</v>
      </c>
      <c r="G3311" s="14">
        <v>47.0</v>
      </c>
      <c r="H3311" s="23" t="s">
        <v>26</v>
      </c>
      <c r="I3311" s="24" t="s">
        <v>33</v>
      </c>
      <c r="J3311" s="19" t="s">
        <v>328</v>
      </c>
      <c r="K3311" s="14">
        <v>19.0</v>
      </c>
      <c r="L3311" s="7"/>
      <c r="M3311" s="7"/>
      <c r="N3311" s="7"/>
      <c r="O3311" s="7"/>
      <c r="P3311" s="7"/>
      <c r="Q3311" s="7"/>
      <c r="R3311" s="7"/>
      <c r="S3311" s="7"/>
      <c r="T3311" s="7"/>
      <c r="U3311" s="7"/>
      <c r="V3311" s="7"/>
      <c r="W3311" s="7"/>
      <c r="X3311" s="7"/>
      <c r="Y3311" s="7"/>
    </row>
    <row r="3312">
      <c r="A3312" s="14" t="s">
        <v>11838</v>
      </c>
      <c r="B3312" s="17" t="s">
        <v>11835</v>
      </c>
      <c r="C3312" s="17" t="s">
        <v>11839</v>
      </c>
      <c r="D3312" s="19" t="s">
        <v>11841</v>
      </c>
      <c r="E3312" s="20" t="s">
        <v>1095</v>
      </c>
      <c r="F3312" s="21">
        <v>38016.0</v>
      </c>
      <c r="G3312" s="14">
        <v>22.0</v>
      </c>
      <c r="H3312" s="23" t="s">
        <v>100</v>
      </c>
      <c r="I3312" s="24" t="s">
        <v>33</v>
      </c>
      <c r="J3312" s="19" t="s">
        <v>328</v>
      </c>
      <c r="K3312" s="14">
        <v>19.0</v>
      </c>
      <c r="L3312" s="7"/>
      <c r="M3312" s="7"/>
      <c r="N3312" s="7"/>
      <c r="O3312" s="7"/>
      <c r="P3312" s="7"/>
      <c r="Q3312" s="7"/>
      <c r="R3312" s="7"/>
      <c r="S3312" s="7"/>
      <c r="T3312" s="7"/>
      <c r="U3312" s="7"/>
      <c r="V3312" s="7"/>
      <c r="W3312" s="7"/>
      <c r="X3312" s="7"/>
      <c r="Y3312" s="7"/>
    </row>
    <row r="3313">
      <c r="A3313" s="14" t="s">
        <v>11842</v>
      </c>
      <c r="B3313" s="17" t="s">
        <v>11835</v>
      </c>
      <c r="C3313" s="17" t="s">
        <v>11843</v>
      </c>
      <c r="D3313" s="19" t="s">
        <v>11844</v>
      </c>
      <c r="E3313" s="20" t="s">
        <v>67</v>
      </c>
      <c r="F3313" s="21">
        <v>30093.0</v>
      </c>
      <c r="G3313" s="14">
        <v>44.0</v>
      </c>
      <c r="H3313" s="23" t="s">
        <v>26</v>
      </c>
      <c r="I3313" s="24" t="s">
        <v>27</v>
      </c>
      <c r="J3313" s="19" t="s">
        <v>328</v>
      </c>
      <c r="K3313" s="14">
        <v>19.0</v>
      </c>
      <c r="L3313" s="7"/>
      <c r="M3313" s="7"/>
      <c r="N3313" s="7"/>
      <c r="O3313" s="7"/>
      <c r="P3313" s="7"/>
      <c r="Q3313" s="7"/>
      <c r="R3313" s="7"/>
      <c r="S3313" s="7"/>
      <c r="T3313" s="7"/>
      <c r="U3313" s="7"/>
      <c r="V3313" s="7"/>
      <c r="W3313" s="7"/>
      <c r="X3313" s="7"/>
      <c r="Y3313" s="7"/>
    </row>
    <row r="3314">
      <c r="A3314" s="14" t="s">
        <v>11845</v>
      </c>
      <c r="B3314" s="17" t="s">
        <v>11846</v>
      </c>
      <c r="C3314" s="17" t="s">
        <v>11847</v>
      </c>
      <c r="D3314" s="19" t="s">
        <v>11848</v>
      </c>
      <c r="E3314" s="20" t="s">
        <v>1370</v>
      </c>
      <c r="F3314" s="21">
        <v>26688.0</v>
      </c>
      <c r="G3314" s="14">
        <v>53.0</v>
      </c>
      <c r="H3314" s="23" t="s">
        <v>26</v>
      </c>
      <c r="I3314" s="24" t="s">
        <v>33</v>
      </c>
      <c r="J3314" s="19" t="s">
        <v>58</v>
      </c>
      <c r="K3314" s="14">
        <v>9.0</v>
      </c>
      <c r="L3314" s="7"/>
      <c r="M3314" s="7"/>
      <c r="N3314" s="7"/>
      <c r="O3314" s="7"/>
      <c r="P3314" s="7"/>
      <c r="Q3314" s="7"/>
      <c r="R3314" s="7"/>
      <c r="S3314" s="7"/>
      <c r="T3314" s="7"/>
      <c r="U3314" s="7"/>
      <c r="V3314" s="7"/>
      <c r="W3314" s="7"/>
      <c r="X3314" s="7"/>
      <c r="Y3314" s="7"/>
    </row>
    <row r="3315">
      <c r="A3315" s="14" t="s">
        <v>11849</v>
      </c>
      <c r="B3315" s="17" t="s">
        <v>11846</v>
      </c>
      <c r="C3315" s="17" t="s">
        <v>11850</v>
      </c>
      <c r="D3315" s="19" t="s">
        <v>11851</v>
      </c>
      <c r="E3315" s="20" t="s">
        <v>1370</v>
      </c>
      <c r="F3315" s="21">
        <v>28377.0</v>
      </c>
      <c r="G3315" s="14">
        <v>48.0</v>
      </c>
      <c r="H3315" s="23" t="s">
        <v>26</v>
      </c>
      <c r="I3315" s="24" t="s">
        <v>27</v>
      </c>
      <c r="J3315" s="19" t="s">
        <v>58</v>
      </c>
      <c r="K3315" s="14">
        <v>9.0</v>
      </c>
      <c r="L3315" s="7"/>
      <c r="M3315" s="7"/>
      <c r="N3315" s="7"/>
      <c r="O3315" s="7"/>
      <c r="P3315" s="7"/>
      <c r="Q3315" s="7"/>
      <c r="R3315" s="7"/>
      <c r="S3315" s="7"/>
      <c r="T3315" s="7"/>
      <c r="U3315" s="7"/>
      <c r="V3315" s="7"/>
      <c r="W3315" s="7"/>
      <c r="X3315" s="7"/>
      <c r="Y3315" s="7"/>
    </row>
    <row r="3316">
      <c r="A3316" s="14" t="s">
        <v>11852</v>
      </c>
      <c r="B3316" s="17" t="s">
        <v>11853</v>
      </c>
      <c r="C3316" s="17" t="s">
        <v>11854</v>
      </c>
      <c r="D3316" s="19" t="s">
        <v>11855</v>
      </c>
      <c r="E3316" s="20" t="s">
        <v>11856</v>
      </c>
      <c r="F3316" s="21">
        <v>27580.0</v>
      </c>
      <c r="G3316" s="14">
        <v>51.0</v>
      </c>
      <c r="H3316" s="23" t="s">
        <v>26</v>
      </c>
      <c r="I3316" s="24" t="s">
        <v>33</v>
      </c>
      <c r="J3316" s="19" t="s">
        <v>53</v>
      </c>
      <c r="K3316" s="14">
        <v>10.0</v>
      </c>
      <c r="L3316" s="7"/>
      <c r="M3316" s="7"/>
      <c r="N3316" s="7"/>
      <c r="O3316" s="7"/>
      <c r="P3316" s="7"/>
      <c r="Q3316" s="7"/>
      <c r="R3316" s="7"/>
      <c r="S3316" s="7"/>
      <c r="T3316" s="7"/>
      <c r="U3316" s="7"/>
      <c r="V3316" s="7"/>
      <c r="W3316" s="7"/>
      <c r="X3316" s="7"/>
      <c r="Y3316" s="7"/>
    </row>
    <row r="3317">
      <c r="A3317" s="14" t="s">
        <v>11857</v>
      </c>
      <c r="B3317" s="17" t="s">
        <v>11853</v>
      </c>
      <c r="C3317" s="17" t="s">
        <v>11858</v>
      </c>
      <c r="D3317" s="19" t="s">
        <v>11859</v>
      </c>
      <c r="E3317" s="20" t="s">
        <v>53</v>
      </c>
      <c r="F3317" s="21">
        <v>29326.0</v>
      </c>
      <c r="G3317" s="14">
        <v>46.0</v>
      </c>
      <c r="H3317" s="23" t="s">
        <v>26</v>
      </c>
      <c r="I3317" s="24" t="s">
        <v>27</v>
      </c>
      <c r="J3317" s="19" t="s">
        <v>53</v>
      </c>
      <c r="K3317" s="14">
        <v>10.0</v>
      </c>
      <c r="L3317" s="7"/>
      <c r="M3317" s="7"/>
      <c r="N3317" s="7"/>
      <c r="O3317" s="7"/>
      <c r="P3317" s="7"/>
      <c r="Q3317" s="7"/>
      <c r="R3317" s="7"/>
      <c r="S3317" s="7"/>
      <c r="T3317" s="7"/>
      <c r="U3317" s="7"/>
      <c r="V3317" s="7"/>
      <c r="W3317" s="7"/>
      <c r="X3317" s="7"/>
      <c r="Y3317" s="7"/>
    </row>
    <row r="3318">
      <c r="A3318" s="14" t="s">
        <v>11860</v>
      </c>
      <c r="B3318" s="17" t="s">
        <v>11861</v>
      </c>
      <c r="C3318" s="17" t="s">
        <v>11862</v>
      </c>
      <c r="D3318" s="19" t="s">
        <v>11863</v>
      </c>
      <c r="E3318" s="20" t="s">
        <v>53</v>
      </c>
      <c r="F3318" s="21">
        <v>36428.0</v>
      </c>
      <c r="G3318" s="14">
        <v>26.0</v>
      </c>
      <c r="H3318" s="23" t="s">
        <v>100</v>
      </c>
      <c r="I3318" s="24" t="s">
        <v>27</v>
      </c>
      <c r="J3318" s="19" t="s">
        <v>328</v>
      </c>
      <c r="K3318" s="14">
        <v>22.0</v>
      </c>
      <c r="L3318" s="7"/>
      <c r="M3318" s="7"/>
      <c r="N3318" s="7"/>
      <c r="O3318" s="7"/>
      <c r="P3318" s="7"/>
      <c r="Q3318" s="7"/>
      <c r="R3318" s="7"/>
      <c r="S3318" s="7"/>
      <c r="T3318" s="7"/>
      <c r="U3318" s="7"/>
      <c r="V3318" s="7"/>
      <c r="W3318" s="7"/>
      <c r="X3318" s="7"/>
      <c r="Y3318" s="7"/>
    </row>
    <row r="3319">
      <c r="A3319" s="14" t="s">
        <v>11864</v>
      </c>
      <c r="B3319" s="17" t="s">
        <v>11861</v>
      </c>
      <c r="C3319" s="17" t="s">
        <v>11865</v>
      </c>
      <c r="D3319" s="19" t="s">
        <v>11866</v>
      </c>
      <c r="E3319" s="20" t="s">
        <v>11867</v>
      </c>
      <c r="F3319" s="21">
        <v>26801.0</v>
      </c>
      <c r="G3319" s="14">
        <v>53.0</v>
      </c>
      <c r="H3319" s="23" t="s">
        <v>27</v>
      </c>
      <c r="I3319" s="24" t="s">
        <v>27</v>
      </c>
      <c r="J3319" s="19" t="s">
        <v>328</v>
      </c>
      <c r="K3319" s="14">
        <v>22.0</v>
      </c>
      <c r="L3319" s="7"/>
      <c r="M3319" s="7"/>
      <c r="N3319" s="7"/>
      <c r="O3319" s="7"/>
      <c r="P3319" s="7"/>
      <c r="Q3319" s="7"/>
      <c r="R3319" s="7"/>
      <c r="S3319" s="7"/>
      <c r="T3319" s="7"/>
      <c r="U3319" s="7"/>
      <c r="V3319" s="7"/>
      <c r="W3319" s="7"/>
      <c r="X3319" s="7"/>
      <c r="Y3319" s="7"/>
    </row>
    <row r="3320">
      <c r="A3320" s="14" t="s">
        <v>11868</v>
      </c>
      <c r="B3320" s="17" t="s">
        <v>11869</v>
      </c>
      <c r="C3320" s="17" t="s">
        <v>11870</v>
      </c>
      <c r="D3320" s="19" t="s">
        <v>11871</v>
      </c>
      <c r="E3320" s="20" t="s">
        <v>104</v>
      </c>
      <c r="F3320" s="21">
        <v>34441.0</v>
      </c>
      <c r="G3320" s="14">
        <v>32.0</v>
      </c>
      <c r="H3320" s="23" t="s">
        <v>26</v>
      </c>
      <c r="I3320" s="24" t="s">
        <v>33</v>
      </c>
      <c r="J3320" s="19" t="s">
        <v>53</v>
      </c>
      <c r="K3320" s="14">
        <v>3.0</v>
      </c>
      <c r="L3320" s="7"/>
      <c r="M3320" s="7"/>
      <c r="N3320" s="7"/>
      <c r="O3320" s="7"/>
      <c r="P3320" s="7"/>
      <c r="Q3320" s="7"/>
      <c r="R3320" s="7"/>
      <c r="S3320" s="7"/>
      <c r="T3320" s="7"/>
      <c r="U3320" s="7"/>
      <c r="V3320" s="7"/>
      <c r="W3320" s="7"/>
      <c r="X3320" s="7"/>
      <c r="Y3320" s="7"/>
    </row>
    <row r="3321">
      <c r="A3321" s="14" t="s">
        <v>11872</v>
      </c>
      <c r="B3321" s="17" t="s">
        <v>11869</v>
      </c>
      <c r="C3321" s="17" t="s">
        <v>11873</v>
      </c>
      <c r="D3321" s="19" t="s">
        <v>11874</v>
      </c>
      <c r="E3321" s="20" t="s">
        <v>274</v>
      </c>
      <c r="F3321" s="21">
        <v>35226.0</v>
      </c>
      <c r="G3321" s="14">
        <v>30.0</v>
      </c>
      <c r="H3321" s="23" t="s">
        <v>26</v>
      </c>
      <c r="I3321" s="24" t="s">
        <v>27</v>
      </c>
      <c r="J3321" s="19" t="s">
        <v>53</v>
      </c>
      <c r="K3321" s="14">
        <v>3.0</v>
      </c>
      <c r="L3321" s="7"/>
      <c r="M3321" s="7"/>
      <c r="N3321" s="7"/>
      <c r="O3321" s="7"/>
      <c r="P3321" s="7"/>
      <c r="Q3321" s="7"/>
      <c r="R3321" s="7"/>
      <c r="S3321" s="7"/>
      <c r="T3321" s="7"/>
      <c r="U3321" s="7"/>
      <c r="V3321" s="7"/>
      <c r="W3321" s="7"/>
      <c r="X3321" s="7"/>
      <c r="Y3321" s="7"/>
    </row>
    <row r="3322">
      <c r="A3322" s="14" t="s">
        <v>11875</v>
      </c>
      <c r="B3322" s="17" t="s">
        <v>11876</v>
      </c>
      <c r="C3322" s="17" t="s">
        <v>11877</v>
      </c>
      <c r="D3322" s="19" t="s">
        <v>11878</v>
      </c>
      <c r="E3322" s="20" t="s">
        <v>104</v>
      </c>
      <c r="F3322" s="21">
        <v>33748.0</v>
      </c>
      <c r="G3322" s="14">
        <v>34.0</v>
      </c>
      <c r="H3322" s="23" t="s">
        <v>26</v>
      </c>
      <c r="I3322" s="24" t="s">
        <v>27</v>
      </c>
      <c r="J3322" s="19" t="s">
        <v>206</v>
      </c>
      <c r="K3322" s="14">
        <v>2.0</v>
      </c>
      <c r="L3322" s="7"/>
      <c r="M3322" s="7"/>
      <c r="N3322" s="7"/>
      <c r="O3322" s="7"/>
      <c r="P3322" s="7"/>
      <c r="Q3322" s="7"/>
      <c r="R3322" s="7"/>
      <c r="S3322" s="7"/>
      <c r="T3322" s="7"/>
      <c r="U3322" s="7"/>
      <c r="V3322" s="7"/>
      <c r="W3322" s="7"/>
      <c r="X3322" s="7"/>
      <c r="Y3322" s="7"/>
    </row>
    <row r="3323">
      <c r="A3323" s="14" t="s">
        <v>11879</v>
      </c>
      <c r="B3323" s="17" t="s">
        <v>11876</v>
      </c>
      <c r="C3323" s="17" t="s">
        <v>11880</v>
      </c>
      <c r="D3323" s="19" t="s">
        <v>11881</v>
      </c>
      <c r="E3323" s="20" t="s">
        <v>536</v>
      </c>
      <c r="F3323" s="21">
        <v>32660.0</v>
      </c>
      <c r="G3323" s="14">
        <v>37.0</v>
      </c>
      <c r="H3323" s="23" t="s">
        <v>26</v>
      </c>
      <c r="I3323" s="24" t="s">
        <v>33</v>
      </c>
      <c r="J3323" s="19" t="s">
        <v>206</v>
      </c>
      <c r="K3323" s="14">
        <v>2.0</v>
      </c>
      <c r="L3323" s="7"/>
      <c r="M3323" s="7"/>
      <c r="N3323" s="7"/>
      <c r="O3323" s="7"/>
      <c r="P3323" s="7"/>
      <c r="Q3323" s="7"/>
      <c r="R3323" s="7"/>
      <c r="S3323" s="7"/>
      <c r="T3323" s="7"/>
      <c r="U3323" s="7"/>
      <c r="V3323" s="7"/>
      <c r="W3323" s="7"/>
      <c r="X3323" s="7"/>
      <c r="Y3323" s="7"/>
    </row>
    <row r="3324">
      <c r="A3324" s="14" t="s">
        <v>11882</v>
      </c>
      <c r="B3324" s="17" t="s">
        <v>11883</v>
      </c>
      <c r="C3324" s="17" t="s">
        <v>11884</v>
      </c>
      <c r="D3324" s="19" t="s">
        <v>11885</v>
      </c>
      <c r="E3324" s="20" t="s">
        <v>138</v>
      </c>
      <c r="F3324" s="21">
        <v>36634.0</v>
      </c>
      <c r="G3324" s="14">
        <v>26.0</v>
      </c>
      <c r="H3324" s="23" t="s">
        <v>100</v>
      </c>
      <c r="I3324" s="24" t="s">
        <v>33</v>
      </c>
      <c r="J3324" s="19" t="s">
        <v>517</v>
      </c>
      <c r="K3324" s="14">
        <v>36.0</v>
      </c>
      <c r="L3324" s="7"/>
      <c r="M3324" s="7"/>
      <c r="N3324" s="7"/>
      <c r="O3324" s="7"/>
      <c r="P3324" s="7"/>
      <c r="Q3324" s="7"/>
      <c r="R3324" s="7"/>
      <c r="S3324" s="7"/>
      <c r="T3324" s="7"/>
      <c r="U3324" s="7"/>
      <c r="V3324" s="7"/>
      <c r="W3324" s="7"/>
      <c r="X3324" s="7"/>
      <c r="Y3324" s="7"/>
    </row>
    <row r="3325">
      <c r="A3325" s="14" t="s">
        <v>11886</v>
      </c>
      <c r="B3325" s="17" t="s">
        <v>11883</v>
      </c>
      <c r="C3325" s="17" t="s">
        <v>11887</v>
      </c>
      <c r="D3325" s="19" t="s">
        <v>11888</v>
      </c>
      <c r="E3325" s="20" t="s">
        <v>104</v>
      </c>
      <c r="F3325" s="21">
        <v>30173.0</v>
      </c>
      <c r="G3325" s="14">
        <v>44.0</v>
      </c>
      <c r="H3325" s="23" t="s">
        <v>26</v>
      </c>
      <c r="I3325" s="24" t="s">
        <v>27</v>
      </c>
      <c r="J3325" s="19" t="s">
        <v>517</v>
      </c>
      <c r="K3325" s="14">
        <v>36.0</v>
      </c>
      <c r="L3325" s="7"/>
      <c r="M3325" s="7"/>
      <c r="N3325" s="7"/>
      <c r="O3325" s="7"/>
      <c r="P3325" s="7"/>
      <c r="Q3325" s="7"/>
      <c r="R3325" s="7"/>
      <c r="S3325" s="7"/>
      <c r="T3325" s="7"/>
      <c r="U3325" s="7"/>
      <c r="V3325" s="7"/>
      <c r="W3325" s="7"/>
      <c r="X3325" s="7"/>
      <c r="Y3325" s="7"/>
    </row>
    <row r="3326">
      <c r="A3326" s="14" t="s">
        <v>11889</v>
      </c>
      <c r="B3326" s="17" t="s">
        <v>11883</v>
      </c>
      <c r="C3326" s="17" t="s">
        <v>11890</v>
      </c>
      <c r="D3326" s="19" t="s">
        <v>11891</v>
      </c>
      <c r="E3326" s="20" t="s">
        <v>104</v>
      </c>
      <c r="F3326" s="21">
        <v>28431.0</v>
      </c>
      <c r="G3326" s="14">
        <v>48.0</v>
      </c>
      <c r="H3326" s="23" t="s">
        <v>26</v>
      </c>
      <c r="I3326" s="24" t="s">
        <v>33</v>
      </c>
      <c r="J3326" s="19" t="s">
        <v>517</v>
      </c>
      <c r="K3326" s="14">
        <v>36.0</v>
      </c>
      <c r="L3326" s="7"/>
      <c r="M3326" s="7"/>
      <c r="N3326" s="7"/>
      <c r="O3326" s="7"/>
      <c r="P3326" s="7"/>
      <c r="Q3326" s="7"/>
      <c r="R3326" s="7"/>
      <c r="S3326" s="7"/>
      <c r="T3326" s="7"/>
      <c r="U3326" s="7"/>
      <c r="V3326" s="7"/>
      <c r="W3326" s="7"/>
      <c r="X3326" s="7"/>
      <c r="Y3326" s="7"/>
    </row>
    <row r="3327">
      <c r="A3327" s="14" t="s">
        <v>11892</v>
      </c>
      <c r="B3327" s="17" t="s">
        <v>11893</v>
      </c>
      <c r="C3327" s="17" t="s">
        <v>11894</v>
      </c>
      <c r="D3327" s="19" t="s">
        <v>11895</v>
      </c>
      <c r="E3327" s="20" t="s">
        <v>274</v>
      </c>
      <c r="F3327" s="21">
        <v>34726.0</v>
      </c>
      <c r="G3327" s="14">
        <v>31.0</v>
      </c>
      <c r="H3327" s="23" t="s">
        <v>26</v>
      </c>
      <c r="I3327" s="24" t="s">
        <v>33</v>
      </c>
      <c r="J3327" s="19" t="s">
        <v>68</v>
      </c>
      <c r="K3327" s="14">
        <v>33.0</v>
      </c>
      <c r="L3327" s="7"/>
      <c r="M3327" s="7"/>
      <c r="N3327" s="7"/>
      <c r="O3327" s="7"/>
      <c r="P3327" s="7"/>
      <c r="Q3327" s="7"/>
      <c r="R3327" s="7"/>
      <c r="S3327" s="7"/>
      <c r="T3327" s="7"/>
      <c r="U3327" s="7"/>
      <c r="V3327" s="7"/>
      <c r="W3327" s="7"/>
      <c r="X3327" s="7"/>
      <c r="Y3327" s="7"/>
    </row>
    <row r="3328">
      <c r="A3328" s="14" t="s">
        <v>11896</v>
      </c>
      <c r="B3328" s="17" t="s">
        <v>11893</v>
      </c>
      <c r="C3328" s="17" t="s">
        <v>11897</v>
      </c>
      <c r="D3328" s="19" t="s">
        <v>11898</v>
      </c>
      <c r="E3328" s="20" t="s">
        <v>337</v>
      </c>
      <c r="F3328" s="27">
        <v>35726.0</v>
      </c>
      <c r="G3328" s="14">
        <v>28.0</v>
      </c>
      <c r="H3328" s="23" t="s">
        <v>26</v>
      </c>
      <c r="I3328" s="24" t="s">
        <v>27</v>
      </c>
      <c r="J3328" s="19" t="s">
        <v>68</v>
      </c>
      <c r="K3328" s="14">
        <v>33.0</v>
      </c>
      <c r="L3328" s="7"/>
      <c r="M3328" s="7"/>
      <c r="N3328" s="7"/>
      <c r="O3328" s="7"/>
      <c r="P3328" s="7"/>
      <c r="Q3328" s="7"/>
      <c r="R3328" s="7"/>
      <c r="S3328" s="7"/>
      <c r="T3328" s="7"/>
      <c r="U3328" s="7"/>
      <c r="V3328" s="7"/>
      <c r="W3328" s="7"/>
      <c r="X3328" s="7"/>
      <c r="Y3328" s="7"/>
    </row>
    <row r="3329">
      <c r="A3329" s="14" t="s">
        <v>11899</v>
      </c>
      <c r="B3329" s="17" t="s">
        <v>11900</v>
      </c>
      <c r="C3329" s="17" t="s">
        <v>11901</v>
      </c>
      <c r="D3329" s="19" t="s">
        <v>11902</v>
      </c>
      <c r="E3329" s="20" t="s">
        <v>11903</v>
      </c>
      <c r="F3329" s="21">
        <v>24537.0</v>
      </c>
      <c r="G3329" s="14">
        <v>59.0</v>
      </c>
      <c r="H3329" s="23" t="s">
        <v>27</v>
      </c>
      <c r="I3329" s="24" t="s">
        <v>27</v>
      </c>
      <c r="J3329" s="19" t="s">
        <v>53</v>
      </c>
      <c r="K3329" s="14">
        <v>16.0</v>
      </c>
      <c r="L3329" s="7"/>
      <c r="M3329" s="7"/>
      <c r="N3329" s="7"/>
      <c r="O3329" s="7"/>
      <c r="P3329" s="7"/>
      <c r="Q3329" s="7"/>
      <c r="R3329" s="7"/>
      <c r="S3329" s="7"/>
      <c r="T3329" s="7"/>
      <c r="U3329" s="7"/>
      <c r="V3329" s="7"/>
      <c r="W3329" s="7"/>
      <c r="X3329" s="7"/>
      <c r="Y3329" s="7"/>
    </row>
    <row r="3330">
      <c r="A3330" s="14" t="s">
        <v>11904</v>
      </c>
      <c r="B3330" s="17" t="s">
        <v>11905</v>
      </c>
      <c r="C3330" s="17" t="s">
        <v>11906</v>
      </c>
      <c r="D3330" s="19" t="s">
        <v>11907</v>
      </c>
      <c r="E3330" s="20" t="s">
        <v>4976</v>
      </c>
      <c r="F3330" s="21">
        <v>29722.0</v>
      </c>
      <c r="G3330" s="14">
        <v>45.0</v>
      </c>
      <c r="H3330" s="23" t="s">
        <v>26</v>
      </c>
      <c r="I3330" s="24" t="s">
        <v>27</v>
      </c>
      <c r="J3330" s="19" t="s">
        <v>53</v>
      </c>
      <c r="K3330" s="14">
        <v>16.0</v>
      </c>
      <c r="L3330" s="7"/>
      <c r="M3330" s="7"/>
      <c r="N3330" s="7"/>
      <c r="O3330" s="7"/>
      <c r="P3330" s="7"/>
      <c r="Q3330" s="7"/>
      <c r="R3330" s="7"/>
      <c r="S3330" s="7"/>
      <c r="T3330" s="7"/>
      <c r="U3330" s="7"/>
      <c r="V3330" s="7"/>
      <c r="W3330" s="7"/>
      <c r="X3330" s="7"/>
      <c r="Y3330" s="7"/>
    </row>
    <row r="3331">
      <c r="A3331" s="14" t="s">
        <v>11908</v>
      </c>
      <c r="B3331" s="17" t="s">
        <v>11905</v>
      </c>
      <c r="C3331" s="17" t="s">
        <v>11909</v>
      </c>
      <c r="D3331" s="19" t="s">
        <v>11910</v>
      </c>
      <c r="E3331" s="20" t="s">
        <v>138</v>
      </c>
      <c r="F3331" s="21">
        <v>29657.0</v>
      </c>
      <c r="G3331" s="14">
        <v>45.0</v>
      </c>
      <c r="H3331" s="23" t="s">
        <v>26</v>
      </c>
      <c r="I3331" s="24" t="s">
        <v>33</v>
      </c>
      <c r="J3331" s="19" t="s">
        <v>53</v>
      </c>
      <c r="K3331" s="14">
        <v>16.0</v>
      </c>
      <c r="L3331" s="7"/>
      <c r="M3331" s="7"/>
      <c r="N3331" s="7"/>
      <c r="O3331" s="7"/>
      <c r="P3331" s="7"/>
      <c r="Q3331" s="7"/>
      <c r="R3331" s="7"/>
      <c r="S3331" s="7"/>
      <c r="T3331" s="7"/>
      <c r="U3331" s="7"/>
      <c r="V3331" s="7"/>
      <c r="W3331" s="7"/>
      <c r="X3331" s="7"/>
      <c r="Y3331" s="7"/>
    </row>
    <row r="3332">
      <c r="A3332" s="14" t="s">
        <v>11911</v>
      </c>
      <c r="B3332" s="17" t="s">
        <v>11912</v>
      </c>
      <c r="C3332" s="17" t="s">
        <v>11913</v>
      </c>
      <c r="D3332" s="19" t="s">
        <v>11914</v>
      </c>
      <c r="E3332" s="20" t="s">
        <v>11915</v>
      </c>
      <c r="F3332" s="21">
        <v>38106.0</v>
      </c>
      <c r="G3332" s="14">
        <v>22.0</v>
      </c>
      <c r="H3332" s="23" t="s">
        <v>100</v>
      </c>
      <c r="I3332" s="24" t="s">
        <v>33</v>
      </c>
      <c r="J3332" s="19" t="s">
        <v>68</v>
      </c>
      <c r="K3332" s="14">
        <v>31.0</v>
      </c>
      <c r="L3332" s="7"/>
      <c r="M3332" s="7"/>
      <c r="N3332" s="7"/>
      <c r="O3332" s="7"/>
      <c r="P3332" s="7"/>
      <c r="Q3332" s="7"/>
      <c r="R3332" s="7"/>
      <c r="S3332" s="7"/>
      <c r="T3332" s="7"/>
      <c r="U3332" s="7"/>
      <c r="V3332" s="7"/>
      <c r="W3332" s="7"/>
      <c r="X3332" s="7"/>
      <c r="Y3332" s="7"/>
    </row>
    <row r="3333">
      <c r="A3333" s="14" t="s">
        <v>11916</v>
      </c>
      <c r="B3333" s="17" t="s">
        <v>11912</v>
      </c>
      <c r="C3333" s="17" t="s">
        <v>11917</v>
      </c>
      <c r="D3333" s="19" t="s">
        <v>11918</v>
      </c>
      <c r="E3333" s="20" t="s">
        <v>1782</v>
      </c>
      <c r="F3333" s="21">
        <v>37357.0</v>
      </c>
      <c r="G3333" s="14">
        <v>24.0</v>
      </c>
      <c r="H3333" s="23" t="s">
        <v>100</v>
      </c>
      <c r="I3333" s="24" t="s">
        <v>33</v>
      </c>
      <c r="J3333" s="19" t="s">
        <v>68</v>
      </c>
      <c r="K3333" s="14">
        <v>31.0</v>
      </c>
      <c r="L3333" s="7"/>
      <c r="M3333" s="7"/>
      <c r="N3333" s="7"/>
      <c r="O3333" s="7"/>
      <c r="P3333" s="7"/>
      <c r="Q3333" s="7"/>
      <c r="R3333" s="7"/>
      <c r="S3333" s="7"/>
      <c r="T3333" s="7"/>
      <c r="U3333" s="7"/>
      <c r="V3333" s="7"/>
      <c r="W3333" s="7"/>
      <c r="X3333" s="7"/>
      <c r="Y3333" s="7"/>
    </row>
    <row r="3334">
      <c r="A3334" s="14" t="s">
        <v>11919</v>
      </c>
      <c r="B3334" s="17" t="s">
        <v>11912</v>
      </c>
      <c r="C3334" s="17" t="s">
        <v>11920</v>
      </c>
      <c r="D3334" s="19" t="s">
        <v>11921</v>
      </c>
      <c r="E3334" s="20" t="s">
        <v>1903</v>
      </c>
      <c r="F3334" s="21">
        <v>27733.0</v>
      </c>
      <c r="G3334" s="14">
        <v>50.0</v>
      </c>
      <c r="H3334" s="23" t="s">
        <v>26</v>
      </c>
      <c r="I3334" s="24" t="s">
        <v>27</v>
      </c>
      <c r="J3334" s="19" t="s">
        <v>68</v>
      </c>
      <c r="K3334" s="14">
        <v>31.0</v>
      </c>
      <c r="L3334" s="7"/>
      <c r="M3334" s="7"/>
      <c r="N3334" s="7"/>
      <c r="O3334" s="7"/>
      <c r="P3334" s="7"/>
      <c r="Q3334" s="7"/>
      <c r="R3334" s="7"/>
      <c r="S3334" s="7"/>
      <c r="T3334" s="7"/>
      <c r="U3334" s="7"/>
      <c r="V3334" s="7"/>
      <c r="W3334" s="7"/>
      <c r="X3334" s="7"/>
      <c r="Y3334" s="7"/>
    </row>
    <row r="3335">
      <c r="A3335" s="14" t="s">
        <v>11922</v>
      </c>
      <c r="B3335" s="17" t="s">
        <v>11912</v>
      </c>
      <c r="C3335" s="17" t="s">
        <v>11923</v>
      </c>
      <c r="D3335" s="19" t="s">
        <v>8466</v>
      </c>
      <c r="E3335" s="20" t="s">
        <v>1782</v>
      </c>
      <c r="F3335" s="21">
        <v>28461.0</v>
      </c>
      <c r="G3335" s="14">
        <v>48.0</v>
      </c>
      <c r="H3335" s="23" t="s">
        <v>26</v>
      </c>
      <c r="I3335" s="24" t="s">
        <v>33</v>
      </c>
      <c r="J3335" s="19" t="s">
        <v>68</v>
      </c>
      <c r="K3335" s="14">
        <v>31.0</v>
      </c>
      <c r="L3335" s="7"/>
      <c r="M3335" s="7"/>
      <c r="N3335" s="7"/>
      <c r="O3335" s="7"/>
      <c r="P3335" s="7"/>
      <c r="Q3335" s="7"/>
      <c r="R3335" s="7"/>
      <c r="S3335" s="7"/>
      <c r="T3335" s="7"/>
      <c r="U3335" s="7"/>
      <c r="V3335" s="7"/>
      <c r="W3335" s="7"/>
      <c r="X3335" s="7"/>
      <c r="Y3335" s="7"/>
    </row>
    <row r="3336">
      <c r="A3336" s="14" t="s">
        <v>11924</v>
      </c>
      <c r="B3336" s="17" t="s">
        <v>11925</v>
      </c>
      <c r="C3336" s="17" t="s">
        <v>11926</v>
      </c>
      <c r="D3336" s="19" t="s">
        <v>11927</v>
      </c>
      <c r="E3336" s="20" t="s">
        <v>104</v>
      </c>
      <c r="F3336" s="21">
        <v>29084.0</v>
      </c>
      <c r="G3336" s="14">
        <v>47.0</v>
      </c>
      <c r="H3336" s="23" t="s">
        <v>26</v>
      </c>
      <c r="I3336" s="24" t="s">
        <v>27</v>
      </c>
      <c r="J3336" s="19" t="s">
        <v>53</v>
      </c>
      <c r="K3336" s="14">
        <v>15.0</v>
      </c>
      <c r="L3336" s="7"/>
      <c r="M3336" s="7"/>
      <c r="N3336" s="7"/>
      <c r="O3336" s="7"/>
      <c r="P3336" s="7"/>
      <c r="Q3336" s="7"/>
      <c r="R3336" s="7"/>
      <c r="S3336" s="7"/>
      <c r="T3336" s="7"/>
      <c r="U3336" s="7"/>
      <c r="V3336" s="7"/>
      <c r="W3336" s="7"/>
      <c r="X3336" s="7"/>
      <c r="Y3336" s="7"/>
    </row>
    <row r="3337">
      <c r="A3337" s="14" t="s">
        <v>11928</v>
      </c>
      <c r="B3337" s="17" t="s">
        <v>11929</v>
      </c>
      <c r="C3337" s="17" t="s">
        <v>11930</v>
      </c>
      <c r="D3337" s="19" t="s">
        <v>11931</v>
      </c>
      <c r="E3337" s="20" t="s">
        <v>11932</v>
      </c>
      <c r="F3337" s="21">
        <v>33374.0</v>
      </c>
      <c r="G3337" s="14">
        <v>35.0</v>
      </c>
      <c r="H3337" s="23" t="s">
        <v>26</v>
      </c>
      <c r="I3337" s="24" t="s">
        <v>27</v>
      </c>
      <c r="J3337" s="19" t="s">
        <v>68</v>
      </c>
      <c r="K3337" s="14">
        <v>28.0</v>
      </c>
      <c r="L3337" s="7"/>
      <c r="M3337" s="7"/>
      <c r="N3337" s="7"/>
      <c r="O3337" s="7"/>
      <c r="P3337" s="7"/>
      <c r="Q3337" s="7"/>
      <c r="R3337" s="7"/>
      <c r="S3337" s="7"/>
      <c r="T3337" s="7"/>
      <c r="U3337" s="7"/>
      <c r="V3337" s="7"/>
      <c r="W3337" s="7"/>
      <c r="X3337" s="7"/>
      <c r="Y3337" s="7"/>
    </row>
    <row r="3338">
      <c r="A3338" s="14" t="s">
        <v>11933</v>
      </c>
      <c r="B3338" s="17" t="s">
        <v>11929</v>
      </c>
      <c r="C3338" s="17" t="s">
        <v>11934</v>
      </c>
      <c r="D3338" s="19" t="s">
        <v>11935</v>
      </c>
      <c r="E3338" s="20" t="s">
        <v>53</v>
      </c>
      <c r="F3338" s="21">
        <v>33306.0</v>
      </c>
      <c r="G3338" s="14">
        <v>35.0</v>
      </c>
      <c r="H3338" s="23" t="s">
        <v>26</v>
      </c>
      <c r="I3338" s="24" t="s">
        <v>33</v>
      </c>
      <c r="J3338" s="19" t="s">
        <v>68</v>
      </c>
      <c r="K3338" s="14">
        <v>28.0</v>
      </c>
      <c r="L3338" s="7"/>
      <c r="M3338" s="7"/>
      <c r="N3338" s="7"/>
      <c r="O3338" s="7"/>
      <c r="P3338" s="7"/>
      <c r="Q3338" s="7"/>
      <c r="R3338" s="7"/>
      <c r="S3338" s="7"/>
      <c r="T3338" s="7"/>
      <c r="U3338" s="7"/>
      <c r="V3338" s="7"/>
      <c r="W3338" s="7"/>
      <c r="X3338" s="7"/>
      <c r="Y3338" s="7"/>
    </row>
    <row r="3339">
      <c r="A3339" s="14" t="s">
        <v>11936</v>
      </c>
      <c r="B3339" s="17" t="s">
        <v>11937</v>
      </c>
      <c r="C3339" s="17" t="s">
        <v>11938</v>
      </c>
      <c r="D3339" s="19" t="s">
        <v>11939</v>
      </c>
      <c r="E3339" s="20" t="s">
        <v>1058</v>
      </c>
      <c r="F3339" s="21">
        <v>25289.0</v>
      </c>
      <c r="G3339" s="14">
        <v>57.0</v>
      </c>
      <c r="H3339" s="23" t="s">
        <v>26</v>
      </c>
      <c r="I3339" s="24" t="s">
        <v>33</v>
      </c>
      <c r="J3339" s="19" t="s">
        <v>53</v>
      </c>
      <c r="K3339" s="14">
        <v>17.0</v>
      </c>
      <c r="L3339" s="7"/>
      <c r="M3339" s="7"/>
      <c r="N3339" s="7"/>
      <c r="O3339" s="7"/>
      <c r="P3339" s="7"/>
      <c r="Q3339" s="7"/>
      <c r="R3339" s="7"/>
      <c r="S3339" s="7"/>
      <c r="T3339" s="7"/>
      <c r="U3339" s="7"/>
      <c r="V3339" s="7"/>
      <c r="W3339" s="7"/>
      <c r="X3339" s="7"/>
      <c r="Y3339" s="7"/>
    </row>
    <row r="3340">
      <c r="A3340" s="14" t="s">
        <v>11940</v>
      </c>
      <c r="B3340" s="17" t="s">
        <v>11937</v>
      </c>
      <c r="C3340" s="17" t="s">
        <v>11941</v>
      </c>
      <c r="D3340" s="19" t="s">
        <v>8423</v>
      </c>
      <c r="E3340" s="20" t="s">
        <v>1816</v>
      </c>
      <c r="F3340" s="21">
        <v>26060.0</v>
      </c>
      <c r="G3340" s="14">
        <v>55.0</v>
      </c>
      <c r="H3340" s="23" t="s">
        <v>26</v>
      </c>
      <c r="I3340" s="24" t="s">
        <v>27</v>
      </c>
      <c r="J3340" s="19" t="s">
        <v>53</v>
      </c>
      <c r="K3340" s="14">
        <v>17.0</v>
      </c>
      <c r="L3340" s="7"/>
      <c r="M3340" s="7"/>
      <c r="N3340" s="7"/>
      <c r="O3340" s="7"/>
      <c r="P3340" s="7"/>
      <c r="Q3340" s="7"/>
      <c r="R3340" s="7"/>
      <c r="S3340" s="7"/>
      <c r="T3340" s="7"/>
      <c r="U3340" s="7"/>
      <c r="V3340" s="7"/>
      <c r="W3340" s="7"/>
      <c r="X3340" s="7"/>
      <c r="Y3340" s="7"/>
    </row>
    <row r="3341">
      <c r="A3341" s="14" t="s">
        <v>11942</v>
      </c>
      <c r="B3341" s="17" t="s">
        <v>11943</v>
      </c>
      <c r="C3341" s="17" t="s">
        <v>11944</v>
      </c>
      <c r="D3341" s="19" t="s">
        <v>11945</v>
      </c>
      <c r="E3341" s="20" t="s">
        <v>1816</v>
      </c>
      <c r="F3341" s="21">
        <v>20259.0</v>
      </c>
      <c r="G3341" s="14">
        <v>71.0</v>
      </c>
      <c r="H3341" s="23" t="s">
        <v>27</v>
      </c>
      <c r="I3341" s="24" t="s">
        <v>33</v>
      </c>
      <c r="J3341" s="19" t="s">
        <v>282</v>
      </c>
      <c r="K3341" s="14">
        <v>17.0</v>
      </c>
      <c r="L3341" s="7"/>
      <c r="M3341" s="7"/>
      <c r="N3341" s="7"/>
      <c r="O3341" s="7"/>
      <c r="P3341" s="7"/>
      <c r="Q3341" s="7"/>
      <c r="R3341" s="7"/>
      <c r="S3341" s="7"/>
      <c r="T3341" s="7"/>
      <c r="U3341" s="7"/>
      <c r="V3341" s="7"/>
      <c r="W3341" s="7"/>
      <c r="X3341" s="7"/>
      <c r="Y3341" s="7"/>
    </row>
    <row r="3342">
      <c r="A3342" s="14" t="s">
        <v>11946</v>
      </c>
      <c r="B3342" s="17" t="s">
        <v>11947</v>
      </c>
      <c r="C3342" s="17" t="s">
        <v>11948</v>
      </c>
      <c r="D3342" s="19" t="s">
        <v>11949</v>
      </c>
      <c r="E3342" s="20" t="s">
        <v>104</v>
      </c>
      <c r="F3342" s="21">
        <v>38120.0</v>
      </c>
      <c r="G3342" s="14">
        <v>22.0</v>
      </c>
      <c r="H3342" s="23" t="s">
        <v>100</v>
      </c>
      <c r="I3342" s="24" t="s">
        <v>33</v>
      </c>
      <c r="J3342" s="19" t="s">
        <v>53</v>
      </c>
      <c r="K3342" s="14">
        <v>17.0</v>
      </c>
      <c r="L3342" s="7"/>
      <c r="M3342" s="7"/>
      <c r="N3342" s="7"/>
      <c r="O3342" s="7"/>
      <c r="P3342" s="7"/>
      <c r="Q3342" s="7"/>
      <c r="R3342" s="7"/>
      <c r="S3342" s="7"/>
      <c r="T3342" s="7"/>
      <c r="U3342" s="7"/>
      <c r="V3342" s="7"/>
      <c r="W3342" s="7"/>
      <c r="X3342" s="7"/>
      <c r="Y3342" s="7"/>
    </row>
    <row r="3343">
      <c r="A3343" s="14" t="s">
        <v>11950</v>
      </c>
      <c r="B3343" s="17" t="s">
        <v>11947</v>
      </c>
      <c r="C3343" s="17" t="s">
        <v>11951</v>
      </c>
      <c r="D3343" s="19" t="s">
        <v>11952</v>
      </c>
      <c r="E3343" s="20" t="s">
        <v>1816</v>
      </c>
      <c r="F3343" s="21">
        <v>23351.0</v>
      </c>
      <c r="G3343" s="14">
        <v>62.0</v>
      </c>
      <c r="H3343" s="23" t="s">
        <v>26</v>
      </c>
      <c r="I3343" s="24" t="s">
        <v>33</v>
      </c>
      <c r="J3343" s="19" t="s">
        <v>53</v>
      </c>
      <c r="K3343" s="14">
        <v>17.0</v>
      </c>
      <c r="L3343" s="7"/>
      <c r="M3343" s="7"/>
      <c r="N3343" s="7"/>
      <c r="O3343" s="7"/>
      <c r="P3343" s="7"/>
      <c r="Q3343" s="7"/>
      <c r="R3343" s="7"/>
      <c r="S3343" s="7"/>
      <c r="T3343" s="7"/>
      <c r="U3343" s="7"/>
      <c r="V3343" s="7"/>
      <c r="W3343" s="7"/>
      <c r="X3343" s="7"/>
      <c r="Y3343" s="7"/>
    </row>
    <row r="3344">
      <c r="A3344" s="14" t="s">
        <v>11953</v>
      </c>
      <c r="B3344" s="17" t="s">
        <v>11947</v>
      </c>
      <c r="C3344" s="17" t="s">
        <v>11954</v>
      </c>
      <c r="D3344" s="19" t="s">
        <v>11955</v>
      </c>
      <c r="E3344" s="20" t="s">
        <v>1816</v>
      </c>
      <c r="F3344" s="21">
        <v>23607.0</v>
      </c>
      <c r="G3344" s="14">
        <v>62.0</v>
      </c>
      <c r="H3344" s="23" t="s">
        <v>26</v>
      </c>
      <c r="I3344" s="24" t="s">
        <v>27</v>
      </c>
      <c r="J3344" s="19" t="s">
        <v>53</v>
      </c>
      <c r="K3344" s="14">
        <v>17.0</v>
      </c>
      <c r="L3344" s="7"/>
      <c r="M3344" s="7"/>
      <c r="N3344" s="7"/>
      <c r="O3344" s="7"/>
      <c r="P3344" s="7"/>
      <c r="Q3344" s="7"/>
      <c r="R3344" s="7"/>
      <c r="S3344" s="7"/>
      <c r="T3344" s="7"/>
      <c r="U3344" s="7"/>
      <c r="V3344" s="7"/>
      <c r="W3344" s="7"/>
      <c r="X3344" s="7"/>
      <c r="Y3344" s="7"/>
    </row>
    <row r="3345">
      <c r="A3345" s="14" t="s">
        <v>11956</v>
      </c>
      <c r="B3345" s="17" t="s">
        <v>11957</v>
      </c>
      <c r="C3345" s="17" t="s">
        <v>11958</v>
      </c>
      <c r="D3345" s="19" t="s">
        <v>11959</v>
      </c>
      <c r="E3345" s="20" t="s">
        <v>4388</v>
      </c>
      <c r="F3345" s="21">
        <v>24301.0</v>
      </c>
      <c r="G3345" s="14">
        <v>60.0</v>
      </c>
      <c r="H3345" s="23" t="s">
        <v>26</v>
      </c>
      <c r="I3345" s="24" t="s">
        <v>27</v>
      </c>
      <c r="J3345" s="19" t="s">
        <v>156</v>
      </c>
      <c r="K3345" s="14">
        <v>29.0</v>
      </c>
      <c r="L3345" s="7"/>
      <c r="M3345" s="7"/>
      <c r="N3345" s="7"/>
      <c r="O3345" s="7"/>
      <c r="P3345" s="7"/>
      <c r="Q3345" s="7"/>
      <c r="R3345" s="7"/>
      <c r="S3345" s="7"/>
      <c r="T3345" s="7"/>
      <c r="U3345" s="7"/>
      <c r="V3345" s="7"/>
      <c r="W3345" s="7"/>
      <c r="X3345" s="7"/>
      <c r="Y3345" s="7"/>
    </row>
    <row r="3346">
      <c r="A3346" s="14" t="s">
        <v>11960</v>
      </c>
      <c r="B3346" s="17" t="s">
        <v>11957</v>
      </c>
      <c r="C3346" s="17" t="s">
        <v>11961</v>
      </c>
      <c r="D3346" s="19" t="s">
        <v>3321</v>
      </c>
      <c r="E3346" s="20" t="s">
        <v>1049</v>
      </c>
      <c r="F3346" s="21">
        <v>23115.0</v>
      </c>
      <c r="G3346" s="14">
        <v>63.0</v>
      </c>
      <c r="H3346" s="23" t="s">
        <v>26</v>
      </c>
      <c r="I3346" s="24" t="s">
        <v>33</v>
      </c>
      <c r="J3346" s="19" t="s">
        <v>156</v>
      </c>
      <c r="K3346" s="14">
        <v>29.0</v>
      </c>
      <c r="L3346" s="7"/>
      <c r="M3346" s="7"/>
      <c r="N3346" s="7"/>
      <c r="O3346" s="7"/>
      <c r="P3346" s="7"/>
      <c r="Q3346" s="7"/>
      <c r="R3346" s="7"/>
      <c r="S3346" s="7"/>
      <c r="T3346" s="7"/>
      <c r="U3346" s="7"/>
      <c r="V3346" s="7"/>
      <c r="W3346" s="7"/>
      <c r="X3346" s="7"/>
      <c r="Y3346" s="7"/>
    </row>
    <row r="3347">
      <c r="A3347" s="14" t="s">
        <v>11962</v>
      </c>
      <c r="B3347" s="17" t="s">
        <v>11963</v>
      </c>
      <c r="C3347" s="17" t="s">
        <v>11964</v>
      </c>
      <c r="D3347" s="19" t="s">
        <v>11965</v>
      </c>
      <c r="E3347" s="20" t="s">
        <v>104</v>
      </c>
      <c r="F3347" s="27">
        <v>38705.0</v>
      </c>
      <c r="G3347" s="14">
        <v>20.0</v>
      </c>
      <c r="H3347" s="23" t="s">
        <v>100</v>
      </c>
      <c r="I3347" s="24" t="s">
        <v>33</v>
      </c>
      <c r="J3347" s="19" t="s">
        <v>53</v>
      </c>
      <c r="K3347" s="14">
        <v>17.0</v>
      </c>
      <c r="L3347" s="7"/>
      <c r="M3347" s="7"/>
      <c r="N3347" s="7"/>
      <c r="O3347" s="7"/>
      <c r="P3347" s="7"/>
      <c r="Q3347" s="7"/>
      <c r="R3347" s="7"/>
      <c r="S3347" s="7"/>
      <c r="T3347" s="7"/>
      <c r="U3347" s="7"/>
      <c r="V3347" s="7"/>
      <c r="W3347" s="7"/>
      <c r="X3347" s="7"/>
      <c r="Y3347" s="7"/>
    </row>
    <row r="3348">
      <c r="A3348" s="14" t="s">
        <v>11966</v>
      </c>
      <c r="B3348" s="17" t="s">
        <v>11963</v>
      </c>
      <c r="C3348" s="17" t="s">
        <v>11967</v>
      </c>
      <c r="D3348" s="19" t="s">
        <v>11968</v>
      </c>
      <c r="E3348" s="20" t="s">
        <v>104</v>
      </c>
      <c r="F3348" s="21">
        <v>37401.0</v>
      </c>
      <c r="G3348" s="14">
        <v>24.0</v>
      </c>
      <c r="H3348" s="23" t="s">
        <v>100</v>
      </c>
      <c r="I3348" s="24" t="s">
        <v>27</v>
      </c>
      <c r="J3348" s="19" t="s">
        <v>53</v>
      </c>
      <c r="K3348" s="14">
        <v>17.0</v>
      </c>
      <c r="L3348" s="7"/>
      <c r="M3348" s="7"/>
      <c r="N3348" s="7"/>
      <c r="O3348" s="7"/>
      <c r="P3348" s="7"/>
      <c r="Q3348" s="7"/>
      <c r="R3348" s="7"/>
      <c r="S3348" s="7"/>
      <c r="T3348" s="7"/>
      <c r="U3348" s="7"/>
      <c r="V3348" s="7"/>
      <c r="W3348" s="7"/>
      <c r="X3348" s="7"/>
      <c r="Y3348" s="7"/>
    </row>
    <row r="3349">
      <c r="A3349" s="14" t="s">
        <v>11969</v>
      </c>
      <c r="B3349" s="17" t="s">
        <v>11963</v>
      </c>
      <c r="C3349" s="17" t="s">
        <v>11970</v>
      </c>
      <c r="D3349" s="19" t="s">
        <v>11971</v>
      </c>
      <c r="E3349" s="20" t="s">
        <v>1049</v>
      </c>
      <c r="F3349" s="21">
        <v>14631.0</v>
      </c>
      <c r="G3349" s="14">
        <v>86.0</v>
      </c>
      <c r="H3349" s="23" t="s">
        <v>27</v>
      </c>
      <c r="I3349" s="24" t="s">
        <v>27</v>
      </c>
      <c r="J3349" s="19" t="s">
        <v>53</v>
      </c>
      <c r="K3349" s="14">
        <v>17.0</v>
      </c>
      <c r="L3349" s="7"/>
      <c r="M3349" s="7"/>
      <c r="N3349" s="7"/>
      <c r="O3349" s="7"/>
      <c r="P3349" s="7"/>
      <c r="Q3349" s="7"/>
      <c r="R3349" s="7"/>
      <c r="S3349" s="7"/>
      <c r="T3349" s="7"/>
      <c r="U3349" s="7"/>
      <c r="V3349" s="7"/>
      <c r="W3349" s="7"/>
      <c r="X3349" s="7"/>
      <c r="Y3349" s="7"/>
    </row>
    <row r="3350">
      <c r="A3350" s="14" t="s">
        <v>11972</v>
      </c>
      <c r="B3350" s="17" t="s">
        <v>11963</v>
      </c>
      <c r="C3350" s="17" t="s">
        <v>11973</v>
      </c>
      <c r="D3350" s="19" t="s">
        <v>11974</v>
      </c>
      <c r="E3350" s="20" t="s">
        <v>650</v>
      </c>
      <c r="F3350" s="21">
        <v>26342.0</v>
      </c>
      <c r="G3350" s="14">
        <v>54.0</v>
      </c>
      <c r="H3350" s="23" t="s">
        <v>26</v>
      </c>
      <c r="I3350" s="24" t="s">
        <v>33</v>
      </c>
      <c r="J3350" s="19" t="s">
        <v>53</v>
      </c>
      <c r="K3350" s="14">
        <v>17.0</v>
      </c>
      <c r="L3350" s="7"/>
      <c r="M3350" s="7"/>
      <c r="N3350" s="7"/>
      <c r="O3350" s="7"/>
      <c r="P3350" s="7"/>
      <c r="Q3350" s="7"/>
      <c r="R3350" s="7"/>
      <c r="S3350" s="7"/>
      <c r="T3350" s="7"/>
      <c r="U3350" s="7"/>
      <c r="V3350" s="7"/>
      <c r="W3350" s="7"/>
      <c r="X3350" s="7"/>
      <c r="Y3350" s="7"/>
    </row>
    <row r="3351">
      <c r="A3351" s="14" t="s">
        <v>11975</v>
      </c>
      <c r="B3351" s="17" t="s">
        <v>11963</v>
      </c>
      <c r="C3351" s="17" t="s">
        <v>11976</v>
      </c>
      <c r="D3351" s="19" t="s">
        <v>11977</v>
      </c>
      <c r="E3351" s="20" t="s">
        <v>1816</v>
      </c>
      <c r="F3351" s="21">
        <v>27146.0</v>
      </c>
      <c r="G3351" s="14">
        <v>52.0</v>
      </c>
      <c r="H3351" s="23" t="s">
        <v>26</v>
      </c>
      <c r="I3351" s="24" t="s">
        <v>27</v>
      </c>
      <c r="J3351" s="19" t="s">
        <v>53</v>
      </c>
      <c r="K3351" s="14">
        <v>17.0</v>
      </c>
      <c r="L3351" s="7"/>
      <c r="M3351" s="7"/>
      <c r="N3351" s="7"/>
      <c r="O3351" s="7"/>
      <c r="P3351" s="7"/>
      <c r="Q3351" s="7"/>
      <c r="R3351" s="7"/>
      <c r="S3351" s="7"/>
      <c r="T3351" s="7"/>
      <c r="U3351" s="7"/>
      <c r="V3351" s="7"/>
      <c r="W3351" s="7"/>
      <c r="X3351" s="7"/>
      <c r="Y3351" s="7"/>
    </row>
    <row r="3352">
      <c r="A3352" s="14" t="s">
        <v>11978</v>
      </c>
      <c r="B3352" s="17" t="s">
        <v>11979</v>
      </c>
      <c r="C3352" s="17" t="s">
        <v>11980</v>
      </c>
      <c r="D3352" s="19" t="s">
        <v>11981</v>
      </c>
      <c r="E3352" s="20" t="s">
        <v>1058</v>
      </c>
      <c r="F3352" s="21">
        <v>23497.0</v>
      </c>
      <c r="G3352" s="14">
        <v>62.0</v>
      </c>
      <c r="H3352" s="23" t="s">
        <v>27</v>
      </c>
      <c r="I3352" s="24" t="s">
        <v>27</v>
      </c>
      <c r="J3352" s="19" t="s">
        <v>282</v>
      </c>
      <c r="K3352" s="14">
        <v>17.0</v>
      </c>
      <c r="L3352" s="7"/>
      <c r="M3352" s="7"/>
      <c r="N3352" s="7"/>
      <c r="O3352" s="7"/>
      <c r="P3352" s="7"/>
      <c r="Q3352" s="7"/>
      <c r="R3352" s="7"/>
      <c r="S3352" s="7"/>
      <c r="T3352" s="7"/>
      <c r="U3352" s="7"/>
      <c r="V3352" s="7"/>
      <c r="W3352" s="7"/>
      <c r="X3352" s="7"/>
      <c r="Y3352" s="7"/>
    </row>
    <row r="3353">
      <c r="A3353" s="14" t="s">
        <v>11982</v>
      </c>
      <c r="B3353" s="17" t="s">
        <v>11983</v>
      </c>
      <c r="C3353" s="17" t="s">
        <v>11984</v>
      </c>
      <c r="D3353" s="19" t="s">
        <v>11985</v>
      </c>
      <c r="E3353" s="20" t="s">
        <v>1049</v>
      </c>
      <c r="F3353" s="21">
        <v>23792.0</v>
      </c>
      <c r="G3353" s="14">
        <v>61.0</v>
      </c>
      <c r="H3353" s="23" t="s">
        <v>27</v>
      </c>
      <c r="I3353" s="24" t="s">
        <v>27</v>
      </c>
      <c r="J3353" s="19" t="s">
        <v>53</v>
      </c>
      <c r="K3353" s="14">
        <v>16.0</v>
      </c>
      <c r="L3353" s="7"/>
      <c r="M3353" s="7"/>
      <c r="N3353" s="7"/>
      <c r="O3353" s="7"/>
      <c r="P3353" s="7"/>
      <c r="Q3353" s="7"/>
      <c r="R3353" s="7"/>
      <c r="S3353" s="7"/>
      <c r="T3353" s="7"/>
      <c r="U3353" s="7"/>
      <c r="V3353" s="7"/>
      <c r="W3353" s="7"/>
      <c r="X3353" s="7"/>
      <c r="Y3353" s="7"/>
    </row>
    <row r="3354">
      <c r="A3354" s="14" t="s">
        <v>11986</v>
      </c>
      <c r="B3354" s="17" t="s">
        <v>11987</v>
      </c>
      <c r="C3354" s="17" t="s">
        <v>11988</v>
      </c>
      <c r="D3354" s="19" t="s">
        <v>11989</v>
      </c>
      <c r="E3354" s="20" t="s">
        <v>11990</v>
      </c>
      <c r="F3354" s="21">
        <v>38803.0</v>
      </c>
      <c r="G3354" s="14">
        <v>20.0</v>
      </c>
      <c r="H3354" s="23" t="s">
        <v>100</v>
      </c>
      <c r="I3354" s="24" t="s">
        <v>27</v>
      </c>
      <c r="J3354" s="19" t="s">
        <v>53</v>
      </c>
      <c r="K3354" s="14">
        <v>17.0</v>
      </c>
      <c r="L3354" s="7"/>
      <c r="M3354" s="7"/>
      <c r="N3354" s="7"/>
      <c r="O3354" s="7"/>
      <c r="P3354" s="7"/>
      <c r="Q3354" s="7"/>
      <c r="R3354" s="7"/>
      <c r="S3354" s="7"/>
      <c r="T3354" s="7"/>
      <c r="U3354" s="7"/>
      <c r="V3354" s="7"/>
      <c r="W3354" s="7"/>
      <c r="X3354" s="7"/>
      <c r="Y3354" s="7"/>
    </row>
    <row r="3355">
      <c r="A3355" s="14" t="s">
        <v>11991</v>
      </c>
      <c r="B3355" s="17" t="s">
        <v>11987</v>
      </c>
      <c r="C3355" s="17" t="s">
        <v>11992</v>
      </c>
      <c r="D3355" s="19" t="s">
        <v>11993</v>
      </c>
      <c r="E3355" s="20" t="s">
        <v>1049</v>
      </c>
      <c r="F3355" s="21">
        <v>25038.0</v>
      </c>
      <c r="G3355" s="14">
        <v>58.0</v>
      </c>
      <c r="H3355" s="23" t="s">
        <v>26</v>
      </c>
      <c r="I3355" s="24" t="s">
        <v>27</v>
      </c>
      <c r="J3355" s="19" t="s">
        <v>53</v>
      </c>
      <c r="K3355" s="14">
        <v>17.0</v>
      </c>
      <c r="L3355" s="7"/>
      <c r="M3355" s="7"/>
      <c r="N3355" s="7"/>
      <c r="O3355" s="7"/>
      <c r="P3355" s="7"/>
      <c r="Q3355" s="7"/>
      <c r="R3355" s="7"/>
      <c r="S3355" s="7"/>
      <c r="T3355" s="7"/>
      <c r="U3355" s="7"/>
      <c r="V3355" s="7"/>
      <c r="W3355" s="7"/>
      <c r="X3355" s="7"/>
      <c r="Y3355" s="7"/>
    </row>
    <row r="3356">
      <c r="A3356" s="14" t="s">
        <v>11994</v>
      </c>
      <c r="B3356" s="17" t="s">
        <v>11987</v>
      </c>
      <c r="C3356" s="17" t="s">
        <v>11995</v>
      </c>
      <c r="D3356" s="19" t="s">
        <v>11996</v>
      </c>
      <c r="E3356" s="20" t="s">
        <v>605</v>
      </c>
      <c r="F3356" s="27">
        <v>22615.0</v>
      </c>
      <c r="G3356" s="14">
        <v>64.0</v>
      </c>
      <c r="H3356" s="23" t="s">
        <v>26</v>
      </c>
      <c r="I3356" s="24" t="s">
        <v>33</v>
      </c>
      <c r="J3356" s="19" t="s">
        <v>53</v>
      </c>
      <c r="K3356" s="14">
        <v>17.0</v>
      </c>
      <c r="L3356" s="7"/>
      <c r="M3356" s="7"/>
      <c r="N3356" s="7"/>
      <c r="O3356" s="7"/>
      <c r="P3356" s="7"/>
      <c r="Q3356" s="7"/>
      <c r="R3356" s="7"/>
      <c r="S3356" s="7"/>
      <c r="T3356" s="7"/>
      <c r="U3356" s="7"/>
      <c r="V3356" s="7"/>
      <c r="W3356" s="7"/>
      <c r="X3356" s="7"/>
      <c r="Y3356" s="7"/>
    </row>
    <row r="3357">
      <c r="A3357" s="14" t="s">
        <v>11997</v>
      </c>
      <c r="B3357" s="17" t="s">
        <v>11998</v>
      </c>
      <c r="C3357" s="17" t="s">
        <v>11999</v>
      </c>
      <c r="D3357" s="19" t="s">
        <v>5352</v>
      </c>
      <c r="E3357" s="20" t="s">
        <v>104</v>
      </c>
      <c r="F3357" s="21">
        <v>30262.0</v>
      </c>
      <c r="G3357" s="14">
        <v>43.0</v>
      </c>
      <c r="H3357" s="23" t="s">
        <v>26</v>
      </c>
      <c r="I3357" s="24" t="s">
        <v>33</v>
      </c>
      <c r="J3357" s="19" t="s">
        <v>68</v>
      </c>
      <c r="K3357" s="14">
        <v>34.0</v>
      </c>
      <c r="L3357" s="7"/>
      <c r="M3357" s="7"/>
      <c r="N3357" s="7"/>
      <c r="O3357" s="7"/>
      <c r="P3357" s="7"/>
      <c r="Q3357" s="7"/>
      <c r="R3357" s="7"/>
      <c r="S3357" s="7"/>
      <c r="T3357" s="7"/>
      <c r="U3357" s="7"/>
      <c r="V3357" s="7"/>
      <c r="W3357" s="7"/>
      <c r="X3357" s="7"/>
      <c r="Y3357" s="7"/>
    </row>
    <row r="3358">
      <c r="A3358" s="14" t="s">
        <v>12000</v>
      </c>
      <c r="B3358" s="17" t="s">
        <v>11998</v>
      </c>
      <c r="C3358" s="17" t="s">
        <v>12001</v>
      </c>
      <c r="D3358" s="19" t="s">
        <v>12002</v>
      </c>
      <c r="E3358" s="20" t="s">
        <v>53</v>
      </c>
      <c r="F3358" s="21">
        <v>38501.0</v>
      </c>
      <c r="G3358" s="14">
        <v>21.0</v>
      </c>
      <c r="H3358" s="23" t="s">
        <v>100</v>
      </c>
      <c r="I3358" s="24" t="s">
        <v>27</v>
      </c>
      <c r="J3358" s="19" t="s">
        <v>68</v>
      </c>
      <c r="K3358" s="14">
        <v>34.0</v>
      </c>
      <c r="L3358" s="7"/>
      <c r="M3358" s="7"/>
      <c r="N3358" s="7"/>
      <c r="O3358" s="7"/>
      <c r="P3358" s="7"/>
      <c r="Q3358" s="7"/>
      <c r="R3358" s="7"/>
      <c r="S3358" s="7"/>
      <c r="T3358" s="7"/>
      <c r="U3358" s="7"/>
      <c r="V3358" s="7"/>
      <c r="W3358" s="7"/>
      <c r="X3358" s="7"/>
      <c r="Y3358" s="7"/>
    </row>
    <row r="3359">
      <c r="A3359" s="14" t="s">
        <v>12003</v>
      </c>
      <c r="B3359" s="17" t="s">
        <v>11998</v>
      </c>
      <c r="C3359" s="17" t="s">
        <v>12004</v>
      </c>
      <c r="D3359" s="19" t="s">
        <v>12005</v>
      </c>
      <c r="E3359" s="20" t="s">
        <v>104</v>
      </c>
      <c r="F3359" s="21">
        <v>32057.0</v>
      </c>
      <c r="G3359" s="14">
        <v>38.0</v>
      </c>
      <c r="H3359" s="23" t="s">
        <v>26</v>
      </c>
      <c r="I3359" s="24" t="s">
        <v>27</v>
      </c>
      <c r="J3359" s="19" t="s">
        <v>68</v>
      </c>
      <c r="K3359" s="14">
        <v>34.0</v>
      </c>
      <c r="L3359" s="7"/>
      <c r="M3359" s="7"/>
      <c r="N3359" s="7"/>
      <c r="O3359" s="7"/>
      <c r="P3359" s="7"/>
      <c r="Q3359" s="7"/>
      <c r="R3359" s="7"/>
      <c r="S3359" s="7"/>
      <c r="T3359" s="7"/>
      <c r="U3359" s="7"/>
      <c r="V3359" s="7"/>
      <c r="W3359" s="7"/>
      <c r="X3359" s="7"/>
      <c r="Y3359" s="7"/>
    </row>
    <row r="3360">
      <c r="A3360" s="14" t="s">
        <v>12006</v>
      </c>
      <c r="B3360" s="17" t="s">
        <v>12007</v>
      </c>
      <c r="C3360" s="17" t="s">
        <v>12008</v>
      </c>
      <c r="D3360" s="19" t="s">
        <v>3091</v>
      </c>
      <c r="E3360" s="20" t="s">
        <v>650</v>
      </c>
      <c r="F3360" s="21">
        <v>19541.0</v>
      </c>
      <c r="G3360" s="14">
        <v>73.0</v>
      </c>
      <c r="H3360" s="23" t="s">
        <v>26</v>
      </c>
      <c r="I3360" s="24" t="s">
        <v>27</v>
      </c>
      <c r="J3360" s="19" t="s">
        <v>517</v>
      </c>
      <c r="K3360" s="14">
        <v>6.0</v>
      </c>
      <c r="L3360" s="7"/>
      <c r="M3360" s="7"/>
      <c r="N3360" s="7"/>
      <c r="O3360" s="7"/>
      <c r="P3360" s="7"/>
      <c r="Q3360" s="7"/>
      <c r="R3360" s="7"/>
      <c r="S3360" s="7"/>
      <c r="T3360" s="7"/>
      <c r="U3360" s="7"/>
      <c r="V3360" s="7"/>
      <c r="W3360" s="7"/>
      <c r="X3360" s="7"/>
      <c r="Y3360" s="7"/>
    </row>
    <row r="3361">
      <c r="A3361" s="14" t="s">
        <v>12009</v>
      </c>
      <c r="B3361" s="17" t="s">
        <v>12010</v>
      </c>
      <c r="C3361" s="17" t="s">
        <v>12011</v>
      </c>
      <c r="D3361" s="19" t="s">
        <v>12012</v>
      </c>
      <c r="E3361" s="20" t="s">
        <v>2038</v>
      </c>
      <c r="F3361" s="21">
        <v>38108.0</v>
      </c>
      <c r="G3361" s="14">
        <v>22.0</v>
      </c>
      <c r="H3361" s="23" t="s">
        <v>100</v>
      </c>
      <c r="I3361" s="24" t="s">
        <v>27</v>
      </c>
      <c r="J3361" s="19" t="s">
        <v>517</v>
      </c>
      <c r="K3361" s="14">
        <v>6.0</v>
      </c>
      <c r="L3361" s="7"/>
      <c r="M3361" s="7"/>
      <c r="N3361" s="7"/>
      <c r="O3361" s="7"/>
      <c r="P3361" s="7"/>
      <c r="Q3361" s="7"/>
      <c r="R3361" s="7"/>
      <c r="S3361" s="7"/>
      <c r="T3361" s="7"/>
      <c r="U3361" s="7"/>
      <c r="V3361" s="7"/>
      <c r="W3361" s="7"/>
      <c r="X3361" s="7"/>
      <c r="Y3361" s="7"/>
    </row>
    <row r="3362">
      <c r="A3362" s="14" t="s">
        <v>12013</v>
      </c>
      <c r="B3362" s="17" t="s">
        <v>12010</v>
      </c>
      <c r="C3362" s="17" t="s">
        <v>12014</v>
      </c>
      <c r="D3362" s="19" t="s">
        <v>12015</v>
      </c>
      <c r="E3362" s="20" t="s">
        <v>650</v>
      </c>
      <c r="F3362" s="27">
        <v>27026.0</v>
      </c>
      <c r="G3362" s="14">
        <v>52.0</v>
      </c>
      <c r="H3362" s="23" t="s">
        <v>26</v>
      </c>
      <c r="I3362" s="24" t="s">
        <v>33</v>
      </c>
      <c r="J3362" s="19" t="s">
        <v>517</v>
      </c>
      <c r="K3362" s="14">
        <v>6.0</v>
      </c>
      <c r="L3362" s="7"/>
      <c r="M3362" s="7"/>
      <c r="N3362" s="7"/>
      <c r="O3362" s="7"/>
      <c r="P3362" s="7"/>
      <c r="Q3362" s="7"/>
      <c r="R3362" s="7"/>
      <c r="S3362" s="7"/>
      <c r="T3362" s="7"/>
      <c r="U3362" s="7"/>
      <c r="V3362" s="7"/>
      <c r="W3362" s="7"/>
      <c r="X3362" s="7"/>
      <c r="Y3362" s="7"/>
    </row>
    <row r="3363">
      <c r="A3363" s="14" t="s">
        <v>12016</v>
      </c>
      <c r="B3363" s="17" t="s">
        <v>12010</v>
      </c>
      <c r="C3363" s="17" t="s">
        <v>12017</v>
      </c>
      <c r="D3363" s="19" t="s">
        <v>1053</v>
      </c>
      <c r="E3363" s="20" t="s">
        <v>12018</v>
      </c>
      <c r="F3363" s="27">
        <v>31738.0</v>
      </c>
      <c r="G3363" s="14">
        <v>39.0</v>
      </c>
      <c r="H3363" s="23" t="s">
        <v>26</v>
      </c>
      <c r="I3363" s="24" t="s">
        <v>27</v>
      </c>
      <c r="J3363" s="19" t="s">
        <v>517</v>
      </c>
      <c r="K3363" s="14">
        <v>6.0</v>
      </c>
      <c r="L3363" s="7"/>
      <c r="M3363" s="7"/>
      <c r="N3363" s="7"/>
      <c r="O3363" s="7"/>
      <c r="P3363" s="7"/>
      <c r="Q3363" s="7"/>
      <c r="R3363" s="7"/>
      <c r="S3363" s="7"/>
      <c r="T3363" s="7"/>
      <c r="U3363" s="7"/>
      <c r="V3363" s="7"/>
      <c r="W3363" s="7"/>
      <c r="X3363" s="7"/>
      <c r="Y3363" s="7"/>
    </row>
    <row r="3364">
      <c r="A3364" s="14" t="s">
        <v>12019</v>
      </c>
      <c r="B3364" s="17" t="s">
        <v>12020</v>
      </c>
      <c r="C3364" s="17" t="s">
        <v>12021</v>
      </c>
      <c r="D3364" s="19" t="s">
        <v>7851</v>
      </c>
      <c r="E3364" s="20" t="s">
        <v>632</v>
      </c>
      <c r="F3364" s="27">
        <v>25562.0</v>
      </c>
      <c r="G3364" s="14">
        <v>56.0</v>
      </c>
      <c r="H3364" s="23" t="s">
        <v>26</v>
      </c>
      <c r="I3364" s="24" t="s">
        <v>33</v>
      </c>
      <c r="J3364" s="19" t="s">
        <v>517</v>
      </c>
      <c r="K3364" s="14">
        <v>6.0</v>
      </c>
      <c r="L3364" s="7"/>
      <c r="M3364" s="7"/>
      <c r="N3364" s="7"/>
      <c r="O3364" s="7"/>
      <c r="P3364" s="7"/>
      <c r="Q3364" s="7"/>
      <c r="R3364" s="7"/>
      <c r="S3364" s="7"/>
      <c r="T3364" s="7"/>
      <c r="U3364" s="7"/>
      <c r="V3364" s="7"/>
      <c r="W3364" s="7"/>
      <c r="X3364" s="7"/>
      <c r="Y3364" s="7"/>
    </row>
    <row r="3365">
      <c r="A3365" s="14" t="s">
        <v>12022</v>
      </c>
      <c r="B3365" s="17" t="s">
        <v>12020</v>
      </c>
      <c r="C3365" s="17" t="s">
        <v>12023</v>
      </c>
      <c r="D3365" s="19" t="s">
        <v>12024</v>
      </c>
      <c r="E3365" s="20" t="s">
        <v>1870</v>
      </c>
      <c r="F3365" s="21">
        <v>38521.0</v>
      </c>
      <c r="G3365" s="14">
        <v>21.0</v>
      </c>
      <c r="H3365" s="23" t="s">
        <v>100</v>
      </c>
      <c r="I3365" s="24" t="s">
        <v>27</v>
      </c>
      <c r="J3365" s="19" t="s">
        <v>517</v>
      </c>
      <c r="K3365" s="14">
        <v>6.0</v>
      </c>
      <c r="L3365" s="7"/>
      <c r="M3365" s="7"/>
      <c r="N3365" s="7"/>
      <c r="O3365" s="7"/>
      <c r="P3365" s="7"/>
      <c r="Q3365" s="7"/>
      <c r="R3365" s="7"/>
      <c r="S3365" s="7"/>
      <c r="T3365" s="7"/>
      <c r="U3365" s="7"/>
      <c r="V3365" s="7"/>
      <c r="W3365" s="7"/>
      <c r="X3365" s="7"/>
      <c r="Y3365" s="7"/>
    </row>
    <row r="3366">
      <c r="A3366" s="14" t="s">
        <v>12025</v>
      </c>
      <c r="B3366" s="17" t="s">
        <v>12020</v>
      </c>
      <c r="C3366" s="17" t="s">
        <v>12026</v>
      </c>
      <c r="D3366" s="19" t="s">
        <v>1048</v>
      </c>
      <c r="E3366" s="20" t="s">
        <v>104</v>
      </c>
      <c r="F3366" s="21">
        <v>28312.0</v>
      </c>
      <c r="G3366" s="14">
        <v>49.0</v>
      </c>
      <c r="H3366" s="23" t="s">
        <v>26</v>
      </c>
      <c r="I3366" s="24" t="s">
        <v>27</v>
      </c>
      <c r="J3366" s="19" t="s">
        <v>517</v>
      </c>
      <c r="K3366" s="14">
        <v>6.0</v>
      </c>
      <c r="L3366" s="7"/>
      <c r="M3366" s="7"/>
      <c r="N3366" s="7"/>
      <c r="O3366" s="7"/>
      <c r="P3366" s="7"/>
      <c r="Q3366" s="7"/>
      <c r="R3366" s="7"/>
      <c r="S3366" s="7"/>
      <c r="T3366" s="7"/>
      <c r="U3366" s="7"/>
      <c r="V3366" s="7"/>
      <c r="W3366" s="7"/>
      <c r="X3366" s="7"/>
      <c r="Y3366" s="7"/>
    </row>
    <row r="3367">
      <c r="A3367" s="14" t="s">
        <v>12027</v>
      </c>
      <c r="B3367" s="17" t="s">
        <v>12028</v>
      </c>
      <c r="C3367" s="17" t="s">
        <v>12029</v>
      </c>
      <c r="D3367" s="19" t="s">
        <v>12030</v>
      </c>
      <c r="E3367" s="20" t="s">
        <v>53</v>
      </c>
      <c r="F3367" s="27">
        <v>39368.0</v>
      </c>
      <c r="G3367" s="14">
        <v>18.0</v>
      </c>
      <c r="H3367" s="23" t="s">
        <v>100</v>
      </c>
      <c r="I3367" s="24" t="s">
        <v>33</v>
      </c>
      <c r="J3367" s="19" t="s">
        <v>53</v>
      </c>
      <c r="K3367" s="14">
        <v>6.0</v>
      </c>
      <c r="L3367" s="7"/>
      <c r="M3367" s="7"/>
      <c r="N3367" s="7"/>
      <c r="O3367" s="7"/>
      <c r="P3367" s="7"/>
      <c r="Q3367" s="7"/>
      <c r="R3367" s="7"/>
      <c r="S3367" s="7"/>
      <c r="T3367" s="7"/>
      <c r="U3367" s="7"/>
      <c r="V3367" s="7"/>
      <c r="W3367" s="7"/>
      <c r="X3367" s="7"/>
      <c r="Y3367" s="7"/>
    </row>
    <row r="3368">
      <c r="A3368" s="14" t="s">
        <v>12031</v>
      </c>
      <c r="B3368" s="17" t="s">
        <v>12028</v>
      </c>
      <c r="C3368" s="17" t="s">
        <v>12032</v>
      </c>
      <c r="D3368" s="19" t="s">
        <v>12033</v>
      </c>
      <c r="E3368" s="20" t="s">
        <v>53</v>
      </c>
      <c r="F3368" s="21">
        <v>38158.0</v>
      </c>
      <c r="G3368" s="14">
        <v>22.0</v>
      </c>
      <c r="H3368" s="23" t="s">
        <v>100</v>
      </c>
      <c r="I3368" s="24" t="s">
        <v>33</v>
      </c>
      <c r="J3368" s="19" t="s">
        <v>53</v>
      </c>
      <c r="K3368" s="14">
        <v>6.0</v>
      </c>
      <c r="L3368" s="7"/>
      <c r="M3368" s="7"/>
      <c r="N3368" s="7"/>
      <c r="O3368" s="7"/>
      <c r="P3368" s="7"/>
      <c r="Q3368" s="7"/>
      <c r="R3368" s="7"/>
      <c r="S3368" s="7"/>
      <c r="T3368" s="7"/>
      <c r="U3368" s="7"/>
      <c r="V3368" s="7"/>
      <c r="W3368" s="7"/>
      <c r="X3368" s="7"/>
      <c r="Y3368" s="7"/>
    </row>
    <row r="3369">
      <c r="A3369" s="14" t="s">
        <v>12034</v>
      </c>
      <c r="B3369" s="17" t="s">
        <v>12028</v>
      </c>
      <c r="C3369" s="17" t="s">
        <v>12035</v>
      </c>
      <c r="D3369" s="19" t="s">
        <v>12036</v>
      </c>
      <c r="E3369" s="20" t="s">
        <v>53</v>
      </c>
      <c r="F3369" s="27">
        <v>28834.0</v>
      </c>
      <c r="G3369" s="14">
        <v>47.0</v>
      </c>
      <c r="H3369" s="23" t="s">
        <v>26</v>
      </c>
      <c r="I3369" s="24" t="s">
        <v>33</v>
      </c>
      <c r="J3369" s="19" t="s">
        <v>53</v>
      </c>
      <c r="K3369" s="14">
        <v>6.0</v>
      </c>
      <c r="L3369" s="7"/>
      <c r="M3369" s="7"/>
      <c r="N3369" s="7"/>
      <c r="O3369" s="7"/>
      <c r="P3369" s="7"/>
      <c r="Q3369" s="7"/>
      <c r="R3369" s="7"/>
      <c r="S3369" s="7"/>
      <c r="T3369" s="7"/>
      <c r="U3369" s="7"/>
      <c r="V3369" s="7"/>
      <c r="W3369" s="7"/>
      <c r="X3369" s="7"/>
      <c r="Y3369" s="7"/>
    </row>
    <row r="3370">
      <c r="A3370" s="14" t="s">
        <v>12037</v>
      </c>
      <c r="B3370" s="17" t="s">
        <v>12028</v>
      </c>
      <c r="C3370" s="17" t="s">
        <v>12038</v>
      </c>
      <c r="D3370" s="19" t="s">
        <v>12039</v>
      </c>
      <c r="E3370" s="20" t="s">
        <v>53</v>
      </c>
      <c r="F3370" s="21">
        <v>31690.0</v>
      </c>
      <c r="G3370" s="14">
        <v>39.0</v>
      </c>
      <c r="H3370" s="23" t="s">
        <v>26</v>
      </c>
      <c r="I3370" s="24" t="s">
        <v>27</v>
      </c>
      <c r="J3370" s="19" t="s">
        <v>53</v>
      </c>
      <c r="K3370" s="14">
        <v>6.0</v>
      </c>
      <c r="L3370" s="7"/>
      <c r="M3370" s="7"/>
      <c r="N3370" s="7"/>
      <c r="O3370" s="7"/>
      <c r="P3370" s="7"/>
      <c r="Q3370" s="7"/>
      <c r="R3370" s="7"/>
      <c r="S3370" s="7"/>
      <c r="T3370" s="7"/>
      <c r="U3370" s="7"/>
      <c r="V3370" s="7"/>
      <c r="W3370" s="7"/>
      <c r="X3370" s="7"/>
      <c r="Y3370" s="7"/>
    </row>
    <row r="3371">
      <c r="A3371" s="14" t="s">
        <v>12040</v>
      </c>
      <c r="B3371" s="17" t="s">
        <v>12041</v>
      </c>
      <c r="C3371" s="17" t="s">
        <v>12042</v>
      </c>
      <c r="D3371" s="19" t="s">
        <v>12043</v>
      </c>
      <c r="E3371" s="20" t="s">
        <v>3718</v>
      </c>
      <c r="F3371" s="27">
        <v>29547.0</v>
      </c>
      <c r="G3371" s="14">
        <v>45.0</v>
      </c>
      <c r="H3371" s="23" t="s">
        <v>26</v>
      </c>
      <c r="I3371" s="24" t="s">
        <v>33</v>
      </c>
      <c r="J3371" s="19" t="s">
        <v>1437</v>
      </c>
      <c r="K3371" s="14">
        <v>28.0</v>
      </c>
      <c r="L3371" s="7"/>
      <c r="M3371" s="7"/>
      <c r="N3371" s="7"/>
      <c r="O3371" s="7"/>
      <c r="P3371" s="7"/>
      <c r="Q3371" s="7"/>
      <c r="R3371" s="7"/>
      <c r="S3371" s="7"/>
      <c r="T3371" s="7"/>
      <c r="U3371" s="7"/>
      <c r="V3371" s="7"/>
      <c r="W3371" s="7"/>
      <c r="X3371" s="7"/>
      <c r="Y3371" s="7"/>
    </row>
    <row r="3372">
      <c r="A3372" s="14" t="s">
        <v>12044</v>
      </c>
      <c r="B3372" s="17" t="s">
        <v>12041</v>
      </c>
      <c r="C3372" s="17" t="s">
        <v>12045</v>
      </c>
      <c r="D3372" s="19" t="s">
        <v>12046</v>
      </c>
      <c r="E3372" s="20" t="s">
        <v>1622</v>
      </c>
      <c r="F3372" s="21">
        <v>29822.0</v>
      </c>
      <c r="G3372" s="14">
        <v>45.0</v>
      </c>
      <c r="H3372" s="23" t="s">
        <v>26</v>
      </c>
      <c r="I3372" s="24" t="s">
        <v>27</v>
      </c>
      <c r="J3372" s="19" t="s">
        <v>1437</v>
      </c>
      <c r="K3372" s="14">
        <v>28.0</v>
      </c>
      <c r="L3372" s="7"/>
      <c r="M3372" s="7"/>
      <c r="N3372" s="7"/>
      <c r="O3372" s="7"/>
      <c r="P3372" s="7"/>
      <c r="Q3372" s="7"/>
      <c r="R3372" s="7"/>
      <c r="S3372" s="7"/>
      <c r="T3372" s="7"/>
      <c r="U3372" s="7"/>
      <c r="V3372" s="7"/>
      <c r="W3372" s="7"/>
      <c r="X3372" s="7"/>
      <c r="Y3372" s="7"/>
    </row>
    <row r="3373">
      <c r="A3373" s="14" t="s">
        <v>12047</v>
      </c>
      <c r="B3373" s="17" t="s">
        <v>12048</v>
      </c>
      <c r="C3373" s="17" t="s">
        <v>12049</v>
      </c>
      <c r="D3373" s="19" t="s">
        <v>12050</v>
      </c>
      <c r="E3373" s="20" t="s">
        <v>210</v>
      </c>
      <c r="F3373" s="21">
        <v>34104.0</v>
      </c>
      <c r="G3373" s="14">
        <v>33.0</v>
      </c>
      <c r="H3373" s="23" t="s">
        <v>26</v>
      </c>
      <c r="I3373" s="24" t="s">
        <v>27</v>
      </c>
      <c r="J3373" s="19" t="s">
        <v>7905</v>
      </c>
      <c r="K3373" s="14">
        <v>23.0</v>
      </c>
      <c r="L3373" s="7"/>
      <c r="M3373" s="7"/>
      <c r="N3373" s="7"/>
      <c r="O3373" s="7"/>
      <c r="P3373" s="7"/>
      <c r="Q3373" s="7"/>
      <c r="R3373" s="7"/>
      <c r="S3373" s="7"/>
      <c r="T3373" s="7"/>
      <c r="U3373" s="7"/>
      <c r="V3373" s="7"/>
      <c r="W3373" s="7"/>
      <c r="X3373" s="7"/>
      <c r="Y3373" s="7"/>
    </row>
    <row r="3374">
      <c r="A3374" s="14" t="s">
        <v>12051</v>
      </c>
      <c r="B3374" s="17" t="s">
        <v>12048</v>
      </c>
      <c r="C3374" s="17" t="s">
        <v>12052</v>
      </c>
      <c r="D3374" s="19" t="s">
        <v>12053</v>
      </c>
      <c r="E3374" s="20" t="s">
        <v>12054</v>
      </c>
      <c r="F3374" s="21">
        <v>33883.0</v>
      </c>
      <c r="G3374" s="14">
        <v>33.0</v>
      </c>
      <c r="H3374" s="23" t="s">
        <v>26</v>
      </c>
      <c r="I3374" s="24" t="s">
        <v>33</v>
      </c>
      <c r="J3374" s="19" t="s">
        <v>7905</v>
      </c>
      <c r="K3374" s="14">
        <v>23.0</v>
      </c>
      <c r="L3374" s="7"/>
      <c r="M3374" s="7"/>
      <c r="N3374" s="7"/>
      <c r="O3374" s="7"/>
      <c r="P3374" s="7"/>
      <c r="Q3374" s="7"/>
      <c r="R3374" s="7"/>
      <c r="S3374" s="7"/>
      <c r="T3374" s="7"/>
      <c r="U3374" s="7"/>
      <c r="V3374" s="7"/>
      <c r="W3374" s="7"/>
      <c r="X3374" s="7"/>
      <c r="Y3374" s="7"/>
    </row>
    <row r="3375">
      <c r="A3375" s="14" t="s">
        <v>12055</v>
      </c>
      <c r="B3375" s="17" t="s">
        <v>12056</v>
      </c>
      <c r="C3375" s="17" t="s">
        <v>12057</v>
      </c>
      <c r="D3375" s="19" t="s">
        <v>12058</v>
      </c>
      <c r="E3375" s="20" t="s">
        <v>12059</v>
      </c>
      <c r="F3375" s="21">
        <v>33429.0</v>
      </c>
      <c r="G3375" s="14">
        <v>35.0</v>
      </c>
      <c r="H3375" s="23" t="s">
        <v>26</v>
      </c>
      <c r="I3375" s="24" t="s">
        <v>33</v>
      </c>
      <c r="J3375" s="19" t="s">
        <v>257</v>
      </c>
      <c r="K3375" s="14">
        <v>11.0</v>
      </c>
      <c r="L3375" s="7"/>
      <c r="M3375" s="7"/>
      <c r="N3375" s="7"/>
      <c r="O3375" s="7"/>
      <c r="P3375" s="7"/>
      <c r="Q3375" s="7"/>
      <c r="R3375" s="7"/>
      <c r="S3375" s="7"/>
      <c r="T3375" s="7"/>
      <c r="U3375" s="7"/>
      <c r="V3375" s="7"/>
      <c r="W3375" s="7"/>
      <c r="X3375" s="7"/>
      <c r="Y3375" s="7"/>
    </row>
    <row r="3376">
      <c r="A3376" s="14" t="s">
        <v>12060</v>
      </c>
      <c r="B3376" s="17" t="s">
        <v>12056</v>
      </c>
      <c r="C3376" s="17" t="s">
        <v>12061</v>
      </c>
      <c r="D3376" s="19" t="s">
        <v>103</v>
      </c>
      <c r="E3376" s="20" t="s">
        <v>104</v>
      </c>
      <c r="F3376" s="21">
        <v>35315.0</v>
      </c>
      <c r="G3376" s="14">
        <v>29.0</v>
      </c>
      <c r="H3376" s="23" t="s">
        <v>26</v>
      </c>
      <c r="I3376" s="24" t="s">
        <v>27</v>
      </c>
      <c r="J3376" s="19" t="s">
        <v>257</v>
      </c>
      <c r="K3376" s="14">
        <v>11.0</v>
      </c>
      <c r="L3376" s="7"/>
      <c r="M3376" s="7"/>
      <c r="N3376" s="7"/>
      <c r="O3376" s="7"/>
      <c r="P3376" s="7"/>
      <c r="Q3376" s="7"/>
      <c r="R3376" s="7"/>
      <c r="S3376" s="7"/>
      <c r="T3376" s="7"/>
      <c r="U3376" s="7"/>
      <c r="V3376" s="7"/>
      <c r="W3376" s="7"/>
      <c r="X3376" s="7"/>
      <c r="Y3376" s="7"/>
    </row>
    <row r="3377">
      <c r="A3377" s="14" t="s">
        <v>12062</v>
      </c>
      <c r="B3377" s="17" t="s">
        <v>12063</v>
      </c>
      <c r="C3377" s="17" t="s">
        <v>12064</v>
      </c>
      <c r="D3377" s="19" t="s">
        <v>12065</v>
      </c>
      <c r="E3377" s="20" t="s">
        <v>650</v>
      </c>
      <c r="F3377" s="21">
        <v>23924.0</v>
      </c>
      <c r="G3377" s="14">
        <v>61.0</v>
      </c>
      <c r="H3377" s="23" t="s">
        <v>26</v>
      </c>
      <c r="I3377" s="24" t="s">
        <v>27</v>
      </c>
      <c r="J3377" s="19" t="s">
        <v>328</v>
      </c>
      <c r="K3377" s="14">
        <v>20.0</v>
      </c>
      <c r="L3377" s="7"/>
      <c r="M3377" s="7"/>
      <c r="N3377" s="7"/>
      <c r="O3377" s="7"/>
      <c r="P3377" s="7"/>
      <c r="Q3377" s="7"/>
      <c r="R3377" s="7"/>
      <c r="S3377" s="7"/>
      <c r="T3377" s="7"/>
      <c r="U3377" s="7"/>
      <c r="V3377" s="7"/>
      <c r="W3377" s="7"/>
      <c r="X3377" s="7"/>
      <c r="Y3377" s="7"/>
    </row>
    <row r="3378">
      <c r="A3378" s="14" t="s">
        <v>12066</v>
      </c>
      <c r="B3378" s="17" t="s">
        <v>12063</v>
      </c>
      <c r="C3378" s="17" t="s">
        <v>12067</v>
      </c>
      <c r="D3378" s="19" t="s">
        <v>6943</v>
      </c>
      <c r="E3378" s="20" t="s">
        <v>650</v>
      </c>
      <c r="F3378" s="21">
        <v>22098.0</v>
      </c>
      <c r="G3378" s="14">
        <v>66.0</v>
      </c>
      <c r="H3378" s="23" t="s">
        <v>26</v>
      </c>
      <c r="I3378" s="24" t="s">
        <v>33</v>
      </c>
      <c r="J3378" s="19" t="s">
        <v>328</v>
      </c>
      <c r="K3378" s="14">
        <v>20.0</v>
      </c>
      <c r="L3378" s="7"/>
      <c r="M3378" s="7"/>
      <c r="N3378" s="7"/>
      <c r="O3378" s="7"/>
      <c r="P3378" s="7"/>
      <c r="Q3378" s="7"/>
      <c r="R3378" s="7"/>
      <c r="S3378" s="7"/>
      <c r="T3378" s="7"/>
      <c r="U3378" s="7"/>
      <c r="V3378" s="7"/>
      <c r="W3378" s="7"/>
      <c r="X3378" s="7"/>
      <c r="Y3378" s="7"/>
    </row>
    <row r="3379">
      <c r="A3379" s="14" t="s">
        <v>12068</v>
      </c>
      <c r="B3379" s="17" t="s">
        <v>12069</v>
      </c>
      <c r="C3379" s="17" t="s">
        <v>12070</v>
      </c>
      <c r="D3379" s="19" t="s">
        <v>12071</v>
      </c>
      <c r="E3379" s="20" t="s">
        <v>12072</v>
      </c>
      <c r="F3379" s="27">
        <v>17090.0</v>
      </c>
      <c r="G3379" s="14">
        <v>79.0</v>
      </c>
      <c r="H3379" s="23" t="s">
        <v>26</v>
      </c>
      <c r="I3379" s="24" t="s">
        <v>33</v>
      </c>
      <c r="J3379" s="19" t="s">
        <v>282</v>
      </c>
      <c r="K3379" s="14">
        <v>18.0</v>
      </c>
      <c r="L3379" s="7"/>
      <c r="M3379" s="7"/>
      <c r="N3379" s="7"/>
      <c r="O3379" s="7"/>
      <c r="P3379" s="7"/>
      <c r="Q3379" s="7"/>
      <c r="R3379" s="7"/>
      <c r="S3379" s="7"/>
      <c r="T3379" s="7"/>
      <c r="U3379" s="7"/>
      <c r="V3379" s="7"/>
      <c r="W3379" s="7"/>
      <c r="X3379" s="7"/>
      <c r="Y3379" s="7"/>
    </row>
    <row r="3380">
      <c r="A3380" s="14" t="s">
        <v>12073</v>
      </c>
      <c r="B3380" s="17" t="s">
        <v>12069</v>
      </c>
      <c r="C3380" s="17" t="s">
        <v>12074</v>
      </c>
      <c r="D3380" s="19" t="s">
        <v>12075</v>
      </c>
      <c r="E3380" s="20" t="s">
        <v>8861</v>
      </c>
      <c r="F3380" s="21">
        <v>26462.0</v>
      </c>
      <c r="G3380" s="14">
        <v>54.0</v>
      </c>
      <c r="H3380" s="23" t="s">
        <v>100</v>
      </c>
      <c r="I3380" s="24" t="s">
        <v>33</v>
      </c>
      <c r="J3380" s="19" t="s">
        <v>282</v>
      </c>
      <c r="K3380" s="14">
        <v>18.0</v>
      </c>
      <c r="L3380" s="7"/>
      <c r="M3380" s="7"/>
      <c r="N3380" s="7"/>
      <c r="O3380" s="7"/>
      <c r="P3380" s="7"/>
      <c r="Q3380" s="7"/>
      <c r="R3380" s="7"/>
      <c r="S3380" s="7"/>
      <c r="T3380" s="7"/>
      <c r="U3380" s="7"/>
      <c r="V3380" s="7"/>
      <c r="W3380" s="7"/>
      <c r="X3380" s="7"/>
      <c r="Y3380" s="7"/>
    </row>
    <row r="3381">
      <c r="A3381" s="14" t="s">
        <v>12076</v>
      </c>
      <c r="B3381" s="17" t="s">
        <v>12069</v>
      </c>
      <c r="C3381" s="17" t="s">
        <v>12077</v>
      </c>
      <c r="D3381" s="19" t="s">
        <v>12078</v>
      </c>
      <c r="E3381" s="20" t="s">
        <v>2689</v>
      </c>
      <c r="F3381" s="27">
        <v>20382.0</v>
      </c>
      <c r="G3381" s="14">
        <v>70.0</v>
      </c>
      <c r="H3381" s="23" t="s">
        <v>26</v>
      </c>
      <c r="I3381" s="24" t="s">
        <v>27</v>
      </c>
      <c r="J3381" s="19" t="s">
        <v>282</v>
      </c>
      <c r="K3381" s="14">
        <v>18.0</v>
      </c>
      <c r="L3381" s="7"/>
      <c r="M3381" s="7"/>
      <c r="N3381" s="7"/>
      <c r="O3381" s="7"/>
      <c r="P3381" s="7"/>
      <c r="Q3381" s="7"/>
      <c r="R3381" s="7"/>
      <c r="S3381" s="7"/>
      <c r="T3381" s="7"/>
      <c r="U3381" s="7"/>
      <c r="V3381" s="7"/>
      <c r="W3381" s="7"/>
      <c r="X3381" s="7"/>
      <c r="Y3381" s="7"/>
    </row>
    <row r="3382">
      <c r="A3382" s="14" t="s">
        <v>12079</v>
      </c>
      <c r="B3382" s="17" t="s">
        <v>12080</v>
      </c>
      <c r="C3382" s="17" t="s">
        <v>12081</v>
      </c>
      <c r="D3382" s="19" t="s">
        <v>12082</v>
      </c>
      <c r="E3382" s="20" t="s">
        <v>53</v>
      </c>
      <c r="F3382" s="21">
        <v>35533.0</v>
      </c>
      <c r="G3382" s="14">
        <v>29.0</v>
      </c>
      <c r="H3382" s="23" t="s">
        <v>26</v>
      </c>
      <c r="I3382" s="24" t="s">
        <v>27</v>
      </c>
      <c r="J3382" s="19" t="s">
        <v>146</v>
      </c>
      <c r="K3382" s="14">
        <v>2.0</v>
      </c>
      <c r="L3382" s="7"/>
      <c r="M3382" s="7"/>
      <c r="N3382" s="7"/>
      <c r="O3382" s="7"/>
      <c r="P3382" s="7"/>
      <c r="Q3382" s="7"/>
      <c r="R3382" s="7"/>
      <c r="S3382" s="7"/>
      <c r="T3382" s="7"/>
      <c r="U3382" s="7"/>
      <c r="V3382" s="7"/>
      <c r="W3382" s="7"/>
      <c r="X3382" s="7"/>
      <c r="Y3382" s="7"/>
    </row>
    <row r="3383">
      <c r="A3383" s="14" t="s">
        <v>12083</v>
      </c>
      <c r="B3383" s="17" t="s">
        <v>12080</v>
      </c>
      <c r="C3383" s="17" t="s">
        <v>12084</v>
      </c>
      <c r="D3383" s="19" t="s">
        <v>7016</v>
      </c>
      <c r="E3383" s="20" t="s">
        <v>480</v>
      </c>
      <c r="F3383" s="21">
        <v>35252.0</v>
      </c>
      <c r="G3383" s="14">
        <v>30.0</v>
      </c>
      <c r="H3383" s="23" t="s">
        <v>26</v>
      </c>
      <c r="I3383" s="24" t="s">
        <v>33</v>
      </c>
      <c r="J3383" s="19" t="s">
        <v>146</v>
      </c>
      <c r="K3383" s="14">
        <v>2.0</v>
      </c>
      <c r="L3383" s="7"/>
      <c r="M3383" s="7"/>
      <c r="N3383" s="7"/>
      <c r="O3383" s="7"/>
      <c r="P3383" s="7"/>
      <c r="Q3383" s="7"/>
      <c r="R3383" s="7"/>
      <c r="S3383" s="7"/>
      <c r="T3383" s="7"/>
      <c r="U3383" s="7"/>
      <c r="V3383" s="7"/>
      <c r="W3383" s="7"/>
      <c r="X3383" s="7"/>
      <c r="Y3383" s="7"/>
    </row>
    <row r="3384">
      <c r="A3384" s="14" t="s">
        <v>12085</v>
      </c>
      <c r="B3384" s="17" t="s">
        <v>12086</v>
      </c>
      <c r="C3384" s="17" t="s">
        <v>12087</v>
      </c>
      <c r="D3384" s="19" t="s">
        <v>1053</v>
      </c>
      <c r="E3384" s="20" t="s">
        <v>434</v>
      </c>
      <c r="F3384" s="21">
        <v>25103.0</v>
      </c>
      <c r="G3384" s="14">
        <v>57.0</v>
      </c>
      <c r="H3384" s="23" t="s">
        <v>27</v>
      </c>
      <c r="I3384" s="24" t="s">
        <v>27</v>
      </c>
      <c r="J3384" s="19" t="s">
        <v>146</v>
      </c>
      <c r="K3384" s="14">
        <v>3.0</v>
      </c>
      <c r="L3384" s="7"/>
      <c r="M3384" s="7"/>
      <c r="N3384" s="7"/>
      <c r="O3384" s="7"/>
      <c r="P3384" s="7"/>
      <c r="Q3384" s="7"/>
      <c r="R3384" s="7"/>
      <c r="S3384" s="7"/>
      <c r="T3384" s="7"/>
      <c r="U3384" s="7"/>
      <c r="V3384" s="7"/>
      <c r="W3384" s="7"/>
      <c r="X3384" s="7"/>
      <c r="Y3384" s="7"/>
    </row>
    <row r="3385">
      <c r="A3385" s="14" t="s">
        <v>12088</v>
      </c>
      <c r="B3385" s="17" t="s">
        <v>12089</v>
      </c>
      <c r="C3385" s="17" t="s">
        <v>12090</v>
      </c>
      <c r="D3385" s="19" t="s">
        <v>5916</v>
      </c>
      <c r="E3385" s="20" t="s">
        <v>434</v>
      </c>
      <c r="F3385" s="21">
        <v>18037.0</v>
      </c>
      <c r="G3385" s="14">
        <v>77.0</v>
      </c>
      <c r="H3385" s="23" t="s">
        <v>26</v>
      </c>
      <c r="I3385" s="24" t="s">
        <v>27</v>
      </c>
      <c r="J3385" s="19" t="s">
        <v>146</v>
      </c>
      <c r="K3385" s="14">
        <v>2.0</v>
      </c>
      <c r="L3385" s="7"/>
      <c r="M3385" s="7"/>
      <c r="N3385" s="7"/>
      <c r="O3385" s="7"/>
      <c r="P3385" s="7"/>
      <c r="Q3385" s="7"/>
      <c r="R3385" s="7"/>
      <c r="S3385" s="7"/>
      <c r="T3385" s="7"/>
      <c r="U3385" s="7"/>
      <c r="V3385" s="7"/>
      <c r="W3385" s="7"/>
      <c r="X3385" s="7"/>
      <c r="Y3385" s="7"/>
    </row>
    <row r="3386">
      <c r="A3386" s="14" t="s">
        <v>12091</v>
      </c>
      <c r="B3386" s="17" t="s">
        <v>12092</v>
      </c>
      <c r="C3386" s="17" t="s">
        <v>12093</v>
      </c>
      <c r="D3386" s="19" t="s">
        <v>12094</v>
      </c>
      <c r="E3386" s="20" t="s">
        <v>104</v>
      </c>
      <c r="F3386" s="21">
        <v>36591.0</v>
      </c>
      <c r="G3386" s="14">
        <v>26.0</v>
      </c>
      <c r="H3386" s="23" t="s">
        <v>100</v>
      </c>
      <c r="I3386" s="24" t="s">
        <v>33</v>
      </c>
      <c r="J3386" s="19" t="s">
        <v>783</v>
      </c>
      <c r="K3386" s="14">
        <v>26.0</v>
      </c>
      <c r="L3386" s="7"/>
      <c r="M3386" s="7"/>
      <c r="N3386" s="7"/>
      <c r="O3386" s="7"/>
      <c r="P3386" s="7"/>
      <c r="Q3386" s="7"/>
      <c r="R3386" s="7"/>
      <c r="S3386" s="7"/>
      <c r="T3386" s="7"/>
      <c r="U3386" s="7"/>
      <c r="V3386" s="7"/>
      <c r="W3386" s="7"/>
      <c r="X3386" s="7"/>
      <c r="Y3386" s="7"/>
    </row>
    <row r="3387">
      <c r="A3387" s="14" t="s">
        <v>12095</v>
      </c>
      <c r="B3387" s="17" t="s">
        <v>12092</v>
      </c>
      <c r="C3387" s="17" t="s">
        <v>12096</v>
      </c>
      <c r="D3387" s="19" t="s">
        <v>4730</v>
      </c>
      <c r="E3387" s="20" t="s">
        <v>880</v>
      </c>
      <c r="F3387" s="21">
        <v>25025.0</v>
      </c>
      <c r="G3387" s="14">
        <v>58.0</v>
      </c>
      <c r="H3387" s="23" t="s">
        <v>26</v>
      </c>
      <c r="I3387" s="24" t="s">
        <v>27</v>
      </c>
      <c r="J3387" s="19" t="s">
        <v>783</v>
      </c>
      <c r="K3387" s="14">
        <v>26.0</v>
      </c>
      <c r="L3387" s="7"/>
      <c r="M3387" s="7"/>
      <c r="N3387" s="7"/>
      <c r="O3387" s="7"/>
      <c r="P3387" s="7"/>
      <c r="Q3387" s="7"/>
      <c r="R3387" s="7"/>
      <c r="S3387" s="7"/>
      <c r="T3387" s="7"/>
      <c r="U3387" s="7"/>
      <c r="V3387" s="7"/>
      <c r="W3387" s="7"/>
      <c r="X3387" s="7"/>
      <c r="Y3387" s="7"/>
    </row>
    <row r="3388">
      <c r="A3388" s="14" t="s">
        <v>12097</v>
      </c>
      <c r="B3388" s="17" t="s">
        <v>12098</v>
      </c>
      <c r="C3388" s="17" t="s">
        <v>12099</v>
      </c>
      <c r="D3388" s="19" t="s">
        <v>12100</v>
      </c>
      <c r="E3388" s="20" t="s">
        <v>650</v>
      </c>
      <c r="F3388" s="21">
        <v>19504.0</v>
      </c>
      <c r="G3388" s="14">
        <v>73.0</v>
      </c>
      <c r="H3388" s="23" t="s">
        <v>27</v>
      </c>
      <c r="I3388" s="24" t="s">
        <v>27</v>
      </c>
      <c r="J3388" s="19" t="s">
        <v>328</v>
      </c>
      <c r="K3388" s="14">
        <v>26.0</v>
      </c>
      <c r="L3388" s="7"/>
      <c r="M3388" s="7"/>
      <c r="N3388" s="7"/>
      <c r="O3388" s="7"/>
      <c r="P3388" s="7"/>
      <c r="Q3388" s="7"/>
      <c r="R3388" s="7"/>
      <c r="S3388" s="7"/>
      <c r="T3388" s="7"/>
      <c r="U3388" s="7"/>
      <c r="V3388" s="7"/>
      <c r="W3388" s="7"/>
      <c r="X3388" s="7"/>
      <c r="Y3388" s="7"/>
    </row>
    <row r="3389">
      <c r="A3389" s="14" t="s">
        <v>12101</v>
      </c>
      <c r="B3389" s="17" t="s">
        <v>12098</v>
      </c>
      <c r="C3389" s="17" t="s">
        <v>12102</v>
      </c>
      <c r="D3389" s="19" t="s">
        <v>12103</v>
      </c>
      <c r="E3389" s="20" t="s">
        <v>650</v>
      </c>
      <c r="F3389" s="21">
        <v>20101.0</v>
      </c>
      <c r="G3389" s="14">
        <v>71.0</v>
      </c>
      <c r="H3389" s="23" t="s">
        <v>26</v>
      </c>
      <c r="I3389" s="24" t="s">
        <v>33</v>
      </c>
      <c r="J3389" s="19" t="s">
        <v>328</v>
      </c>
      <c r="K3389" s="14">
        <v>26.0</v>
      </c>
      <c r="L3389" s="7"/>
      <c r="M3389" s="7"/>
      <c r="N3389" s="7"/>
      <c r="O3389" s="7"/>
      <c r="P3389" s="7"/>
      <c r="Q3389" s="7"/>
      <c r="R3389" s="7"/>
      <c r="S3389" s="7"/>
      <c r="T3389" s="7"/>
      <c r="U3389" s="7"/>
      <c r="V3389" s="7"/>
      <c r="W3389" s="7"/>
      <c r="X3389" s="7"/>
      <c r="Y3389" s="7"/>
    </row>
    <row r="3390">
      <c r="A3390" s="14" t="s">
        <v>12104</v>
      </c>
      <c r="B3390" s="17" t="s">
        <v>12098</v>
      </c>
      <c r="C3390" s="17" t="s">
        <v>12105</v>
      </c>
      <c r="D3390" s="19" t="s">
        <v>12106</v>
      </c>
      <c r="E3390" s="20" t="s">
        <v>650</v>
      </c>
      <c r="F3390" s="21">
        <v>22586.0</v>
      </c>
      <c r="G3390" s="14">
        <v>64.0</v>
      </c>
      <c r="H3390" s="23" t="s">
        <v>26</v>
      </c>
      <c r="I3390" s="24" t="s">
        <v>27</v>
      </c>
      <c r="J3390" s="19" t="s">
        <v>328</v>
      </c>
      <c r="K3390" s="14">
        <v>26.0</v>
      </c>
      <c r="L3390" s="7"/>
      <c r="M3390" s="7"/>
      <c r="N3390" s="7"/>
      <c r="O3390" s="7"/>
      <c r="P3390" s="7"/>
      <c r="Q3390" s="7"/>
      <c r="R3390" s="7"/>
      <c r="S3390" s="7"/>
      <c r="T3390" s="7"/>
      <c r="U3390" s="7"/>
      <c r="V3390" s="7"/>
      <c r="W3390" s="7"/>
      <c r="X3390" s="7"/>
      <c r="Y3390" s="7"/>
    </row>
    <row r="3391">
      <c r="A3391" s="14" t="s">
        <v>12107</v>
      </c>
      <c r="B3391" s="17" t="s">
        <v>12108</v>
      </c>
      <c r="C3391" s="17" t="s">
        <v>12109</v>
      </c>
      <c r="D3391" s="19" t="s">
        <v>636</v>
      </c>
      <c r="E3391" s="20" t="s">
        <v>104</v>
      </c>
      <c r="F3391" s="27">
        <v>31393.0</v>
      </c>
      <c r="G3391" s="14">
        <v>40.0</v>
      </c>
      <c r="H3391" s="23" t="s">
        <v>26</v>
      </c>
      <c r="I3391" s="24" t="s">
        <v>33</v>
      </c>
      <c r="J3391" s="19" t="s">
        <v>989</v>
      </c>
      <c r="K3391" s="14">
        <v>26.0</v>
      </c>
      <c r="L3391" s="7"/>
      <c r="M3391" s="7"/>
      <c r="N3391" s="7"/>
      <c r="O3391" s="7"/>
      <c r="P3391" s="7"/>
      <c r="Q3391" s="7"/>
      <c r="R3391" s="7"/>
      <c r="S3391" s="7"/>
      <c r="T3391" s="7"/>
      <c r="U3391" s="7"/>
      <c r="V3391" s="7"/>
      <c r="W3391" s="7"/>
      <c r="X3391" s="7"/>
      <c r="Y3391" s="7"/>
    </row>
    <row r="3392">
      <c r="A3392" s="14" t="s">
        <v>12110</v>
      </c>
      <c r="B3392" s="17" t="s">
        <v>12108</v>
      </c>
      <c r="C3392" s="17" t="s">
        <v>12111</v>
      </c>
      <c r="D3392" s="19" t="s">
        <v>12112</v>
      </c>
      <c r="E3392" s="20" t="s">
        <v>104</v>
      </c>
      <c r="F3392" s="21">
        <v>32706.0</v>
      </c>
      <c r="G3392" s="14">
        <v>37.0</v>
      </c>
      <c r="H3392" s="23" t="s">
        <v>26</v>
      </c>
      <c r="I3392" s="24" t="s">
        <v>27</v>
      </c>
      <c r="J3392" s="19" t="s">
        <v>989</v>
      </c>
      <c r="K3392" s="14">
        <v>26.0</v>
      </c>
      <c r="L3392" s="7"/>
      <c r="M3392" s="7"/>
      <c r="N3392" s="7"/>
      <c r="O3392" s="7"/>
      <c r="P3392" s="7"/>
      <c r="Q3392" s="7"/>
      <c r="R3392" s="7"/>
      <c r="S3392" s="7"/>
      <c r="T3392" s="7"/>
      <c r="U3392" s="7"/>
      <c r="V3392" s="7"/>
      <c r="W3392" s="7"/>
      <c r="X3392" s="7"/>
      <c r="Y3392" s="7"/>
    </row>
    <row r="3393">
      <c r="A3393" s="14" t="s">
        <v>12113</v>
      </c>
      <c r="B3393" s="17" t="s">
        <v>12114</v>
      </c>
      <c r="C3393" s="17" t="s">
        <v>12115</v>
      </c>
      <c r="D3393" s="19" t="s">
        <v>12116</v>
      </c>
      <c r="E3393" s="20" t="s">
        <v>3263</v>
      </c>
      <c r="F3393" s="21">
        <v>18367.0</v>
      </c>
      <c r="G3393" s="14">
        <v>76.0</v>
      </c>
      <c r="H3393" s="23" t="s">
        <v>26</v>
      </c>
      <c r="I3393" s="24" t="s">
        <v>33</v>
      </c>
      <c r="J3393" s="19" t="s">
        <v>328</v>
      </c>
      <c r="K3393" s="14">
        <v>26.0</v>
      </c>
      <c r="L3393" s="7"/>
      <c r="M3393" s="7"/>
      <c r="N3393" s="7"/>
      <c r="O3393" s="7"/>
      <c r="P3393" s="7"/>
      <c r="Q3393" s="7"/>
      <c r="R3393" s="7"/>
      <c r="S3393" s="7"/>
      <c r="T3393" s="7"/>
      <c r="U3393" s="7"/>
      <c r="V3393" s="7"/>
      <c r="W3393" s="7"/>
      <c r="X3393" s="7"/>
      <c r="Y3393" s="7"/>
    </row>
    <row r="3394">
      <c r="A3394" s="14" t="s">
        <v>12117</v>
      </c>
      <c r="B3394" s="17" t="s">
        <v>12114</v>
      </c>
      <c r="C3394" s="17" t="s">
        <v>12118</v>
      </c>
      <c r="D3394" s="19" t="s">
        <v>12119</v>
      </c>
      <c r="E3394" s="20" t="s">
        <v>3263</v>
      </c>
      <c r="F3394" s="27">
        <v>20075.0</v>
      </c>
      <c r="G3394" s="14">
        <v>71.0</v>
      </c>
      <c r="H3394" s="23" t="s">
        <v>26</v>
      </c>
      <c r="I3394" s="24" t="s">
        <v>27</v>
      </c>
      <c r="J3394" s="19" t="s">
        <v>328</v>
      </c>
      <c r="K3394" s="14">
        <v>26.0</v>
      </c>
      <c r="L3394" s="7"/>
      <c r="M3394" s="7"/>
      <c r="N3394" s="7"/>
      <c r="O3394" s="7"/>
      <c r="P3394" s="7"/>
      <c r="Q3394" s="7"/>
      <c r="R3394" s="7"/>
      <c r="S3394" s="7"/>
      <c r="T3394" s="7"/>
      <c r="U3394" s="7"/>
      <c r="V3394" s="7"/>
      <c r="W3394" s="7"/>
      <c r="X3394" s="7"/>
      <c r="Y3394" s="7"/>
    </row>
    <row r="3395">
      <c r="A3395" s="14" t="s">
        <v>12120</v>
      </c>
      <c r="B3395" s="17" t="s">
        <v>12121</v>
      </c>
      <c r="C3395" s="17" t="s">
        <v>12122</v>
      </c>
      <c r="D3395" s="19" t="s">
        <v>12123</v>
      </c>
      <c r="E3395" s="20" t="s">
        <v>53</v>
      </c>
      <c r="F3395" s="21">
        <v>39219.0</v>
      </c>
      <c r="G3395" s="14">
        <v>19.0</v>
      </c>
      <c r="H3395" s="23" t="s">
        <v>100</v>
      </c>
      <c r="I3395" s="24" t="s">
        <v>33</v>
      </c>
      <c r="J3395" s="19" t="s">
        <v>362</v>
      </c>
      <c r="K3395" s="14">
        <v>26.0</v>
      </c>
      <c r="L3395" s="7"/>
      <c r="M3395" s="7"/>
      <c r="N3395" s="7"/>
      <c r="O3395" s="7"/>
      <c r="P3395" s="7"/>
      <c r="Q3395" s="7"/>
      <c r="R3395" s="7"/>
      <c r="S3395" s="7"/>
      <c r="T3395" s="7"/>
      <c r="U3395" s="7"/>
      <c r="V3395" s="7"/>
      <c r="W3395" s="7"/>
      <c r="X3395" s="7"/>
      <c r="Y3395" s="7"/>
    </row>
    <row r="3396">
      <c r="A3396" s="14" t="s">
        <v>12124</v>
      </c>
      <c r="B3396" s="17" t="s">
        <v>12121</v>
      </c>
      <c r="C3396" s="17" t="s">
        <v>12125</v>
      </c>
      <c r="D3396" s="19" t="s">
        <v>12126</v>
      </c>
      <c r="E3396" s="20" t="s">
        <v>1128</v>
      </c>
      <c r="F3396" s="21">
        <v>29441.0</v>
      </c>
      <c r="G3396" s="14">
        <v>46.0</v>
      </c>
      <c r="H3396" s="23" t="s">
        <v>26</v>
      </c>
      <c r="I3396" s="24" t="s">
        <v>27</v>
      </c>
      <c r="J3396" s="19" t="s">
        <v>362</v>
      </c>
      <c r="K3396" s="14">
        <v>26.0</v>
      </c>
      <c r="L3396" s="7"/>
      <c r="M3396" s="7"/>
      <c r="N3396" s="7"/>
      <c r="O3396" s="7"/>
      <c r="P3396" s="7"/>
      <c r="Q3396" s="7"/>
      <c r="R3396" s="7"/>
      <c r="S3396" s="7"/>
      <c r="T3396" s="7"/>
      <c r="U3396" s="7"/>
      <c r="V3396" s="7"/>
      <c r="W3396" s="7"/>
      <c r="X3396" s="7"/>
      <c r="Y3396" s="7"/>
    </row>
    <row r="3397">
      <c r="A3397" s="14" t="s">
        <v>12127</v>
      </c>
      <c r="B3397" s="17" t="s">
        <v>12121</v>
      </c>
      <c r="C3397" s="17" t="s">
        <v>12128</v>
      </c>
      <c r="D3397" s="19" t="s">
        <v>12129</v>
      </c>
      <c r="E3397" s="20" t="s">
        <v>53</v>
      </c>
      <c r="F3397" s="21">
        <v>28531.0</v>
      </c>
      <c r="G3397" s="14">
        <v>48.0</v>
      </c>
      <c r="H3397" s="23" t="s">
        <v>26</v>
      </c>
      <c r="I3397" s="24" t="s">
        <v>33</v>
      </c>
      <c r="J3397" s="19" t="s">
        <v>362</v>
      </c>
      <c r="K3397" s="14">
        <v>26.0</v>
      </c>
      <c r="L3397" s="7"/>
      <c r="M3397" s="7"/>
      <c r="N3397" s="7"/>
      <c r="O3397" s="7"/>
      <c r="P3397" s="7"/>
      <c r="Q3397" s="7"/>
      <c r="R3397" s="7"/>
      <c r="S3397" s="7"/>
      <c r="T3397" s="7"/>
      <c r="U3397" s="7"/>
      <c r="V3397" s="7"/>
      <c r="W3397" s="7"/>
      <c r="X3397" s="7"/>
      <c r="Y3397" s="7"/>
    </row>
    <row r="3398">
      <c r="A3398" s="14" t="s">
        <v>12130</v>
      </c>
      <c r="B3398" s="17" t="s">
        <v>12131</v>
      </c>
      <c r="C3398" s="17" t="s">
        <v>12132</v>
      </c>
      <c r="D3398" s="19" t="s">
        <v>4129</v>
      </c>
      <c r="E3398" s="20" t="s">
        <v>104</v>
      </c>
      <c r="F3398" s="21">
        <v>37928.0</v>
      </c>
      <c r="G3398" s="14">
        <v>22.0</v>
      </c>
      <c r="H3398" s="23" t="s">
        <v>26</v>
      </c>
      <c r="I3398" s="24" t="s">
        <v>27</v>
      </c>
      <c r="J3398" s="19" t="s">
        <v>39</v>
      </c>
      <c r="K3398" s="14">
        <v>11.0</v>
      </c>
      <c r="L3398" s="7"/>
      <c r="M3398" s="7"/>
      <c r="N3398" s="7"/>
      <c r="O3398" s="7"/>
      <c r="P3398" s="7"/>
      <c r="Q3398" s="7"/>
      <c r="R3398" s="7"/>
      <c r="S3398" s="7"/>
      <c r="T3398" s="7"/>
      <c r="U3398" s="7"/>
      <c r="V3398" s="7"/>
      <c r="W3398" s="7"/>
      <c r="X3398" s="7"/>
      <c r="Y3398" s="7"/>
    </row>
    <row r="3399">
      <c r="A3399" s="14" t="s">
        <v>12133</v>
      </c>
      <c r="B3399" s="17" t="s">
        <v>12131</v>
      </c>
      <c r="C3399" s="17" t="s">
        <v>12134</v>
      </c>
      <c r="D3399" s="19" t="s">
        <v>12135</v>
      </c>
      <c r="E3399" s="20" t="s">
        <v>624</v>
      </c>
      <c r="F3399" s="21">
        <v>24412.0</v>
      </c>
      <c r="G3399" s="14">
        <v>59.0</v>
      </c>
      <c r="H3399" s="23" t="s">
        <v>26</v>
      </c>
      <c r="I3399" s="24" t="s">
        <v>33</v>
      </c>
      <c r="J3399" s="19" t="s">
        <v>39</v>
      </c>
      <c r="K3399" s="14">
        <v>11.0</v>
      </c>
      <c r="L3399" s="7"/>
      <c r="M3399" s="7"/>
      <c r="N3399" s="7"/>
      <c r="O3399" s="7"/>
      <c r="P3399" s="7"/>
      <c r="Q3399" s="7"/>
      <c r="R3399" s="7"/>
      <c r="S3399" s="7"/>
      <c r="T3399" s="7"/>
      <c r="U3399" s="7"/>
      <c r="V3399" s="7"/>
      <c r="W3399" s="7"/>
      <c r="X3399" s="7"/>
      <c r="Y3399" s="7"/>
    </row>
    <row r="3400">
      <c r="A3400" s="14" t="s">
        <v>12136</v>
      </c>
      <c r="B3400" s="17" t="s">
        <v>12131</v>
      </c>
      <c r="C3400" s="17" t="s">
        <v>12137</v>
      </c>
      <c r="D3400" s="19" t="s">
        <v>12138</v>
      </c>
      <c r="E3400" s="20" t="s">
        <v>104</v>
      </c>
      <c r="F3400" s="21">
        <v>37380.0</v>
      </c>
      <c r="G3400" s="14">
        <v>24.0</v>
      </c>
      <c r="H3400" s="23" t="s">
        <v>100</v>
      </c>
      <c r="I3400" s="24" t="s">
        <v>33</v>
      </c>
      <c r="J3400" s="19" t="s">
        <v>39</v>
      </c>
      <c r="K3400" s="14">
        <v>11.0</v>
      </c>
      <c r="L3400" s="7"/>
      <c r="M3400" s="7"/>
      <c r="N3400" s="7"/>
      <c r="O3400" s="7"/>
      <c r="P3400" s="7"/>
      <c r="Q3400" s="7"/>
      <c r="R3400" s="7"/>
      <c r="S3400" s="7"/>
      <c r="T3400" s="7"/>
      <c r="U3400" s="7"/>
      <c r="V3400" s="7"/>
      <c r="W3400" s="7"/>
      <c r="X3400" s="7"/>
      <c r="Y3400" s="7"/>
    </row>
    <row r="3401">
      <c r="A3401" s="14" t="s">
        <v>12139</v>
      </c>
      <c r="B3401" s="17" t="s">
        <v>12131</v>
      </c>
      <c r="C3401" s="17" t="s">
        <v>12140</v>
      </c>
      <c r="D3401" s="19" t="s">
        <v>12141</v>
      </c>
      <c r="E3401" s="20" t="s">
        <v>624</v>
      </c>
      <c r="F3401" s="27">
        <v>25929.0</v>
      </c>
      <c r="G3401" s="14">
        <v>55.0</v>
      </c>
      <c r="H3401" s="23" t="s">
        <v>26</v>
      </c>
      <c r="I3401" s="24" t="s">
        <v>27</v>
      </c>
      <c r="J3401" s="19" t="s">
        <v>39</v>
      </c>
      <c r="K3401" s="14">
        <v>11.0</v>
      </c>
      <c r="L3401" s="7"/>
      <c r="M3401" s="7"/>
      <c r="N3401" s="7"/>
      <c r="O3401" s="7"/>
      <c r="P3401" s="7"/>
      <c r="Q3401" s="7"/>
      <c r="R3401" s="7"/>
      <c r="S3401" s="7"/>
      <c r="T3401" s="7"/>
      <c r="U3401" s="7"/>
      <c r="V3401" s="7"/>
      <c r="W3401" s="7"/>
      <c r="X3401" s="7"/>
      <c r="Y3401" s="7"/>
    </row>
    <row r="3402">
      <c r="A3402" s="14" t="s">
        <v>12142</v>
      </c>
      <c r="B3402" s="17" t="s">
        <v>12143</v>
      </c>
      <c r="C3402" s="17" t="s">
        <v>12144</v>
      </c>
      <c r="D3402" s="19" t="s">
        <v>12145</v>
      </c>
      <c r="E3402" s="20" t="s">
        <v>104</v>
      </c>
      <c r="F3402" s="21">
        <v>37750.0</v>
      </c>
      <c r="G3402" s="14">
        <v>23.0</v>
      </c>
      <c r="H3402" s="23" t="s">
        <v>100</v>
      </c>
      <c r="I3402" s="24" t="s">
        <v>33</v>
      </c>
      <c r="J3402" s="19" t="s">
        <v>726</v>
      </c>
      <c r="K3402" s="14">
        <v>11.0</v>
      </c>
      <c r="L3402" s="7"/>
      <c r="M3402" s="7"/>
      <c r="N3402" s="7"/>
      <c r="O3402" s="7"/>
      <c r="P3402" s="7"/>
      <c r="Q3402" s="7"/>
      <c r="R3402" s="7"/>
      <c r="S3402" s="7"/>
      <c r="T3402" s="7"/>
      <c r="U3402" s="7"/>
      <c r="V3402" s="7"/>
      <c r="W3402" s="7"/>
      <c r="X3402" s="7"/>
      <c r="Y3402" s="7"/>
    </row>
    <row r="3403">
      <c r="A3403" s="14" t="s">
        <v>12146</v>
      </c>
      <c r="B3403" s="17" t="s">
        <v>12143</v>
      </c>
      <c r="C3403" s="17" t="s">
        <v>12147</v>
      </c>
      <c r="D3403" s="19" t="s">
        <v>12148</v>
      </c>
      <c r="E3403" s="20" t="s">
        <v>5389</v>
      </c>
      <c r="F3403" s="27">
        <v>27385.0</v>
      </c>
      <c r="G3403" s="14">
        <v>51.0</v>
      </c>
      <c r="H3403" s="23" t="s">
        <v>26</v>
      </c>
      <c r="I3403" s="24" t="s">
        <v>27</v>
      </c>
      <c r="J3403" s="19" t="s">
        <v>726</v>
      </c>
      <c r="K3403" s="14">
        <v>11.0</v>
      </c>
      <c r="L3403" s="7"/>
      <c r="M3403" s="7"/>
      <c r="N3403" s="7"/>
      <c r="O3403" s="7"/>
      <c r="P3403" s="7"/>
      <c r="Q3403" s="7"/>
      <c r="R3403" s="7"/>
      <c r="S3403" s="7"/>
      <c r="T3403" s="7"/>
      <c r="U3403" s="7"/>
      <c r="V3403" s="7"/>
      <c r="W3403" s="7"/>
      <c r="X3403" s="7"/>
      <c r="Y3403" s="7"/>
    </row>
    <row r="3404">
      <c r="A3404" s="14" t="s">
        <v>12149</v>
      </c>
      <c r="B3404" s="17" t="s">
        <v>12143</v>
      </c>
      <c r="C3404" s="17" t="s">
        <v>12150</v>
      </c>
      <c r="D3404" s="19" t="s">
        <v>2931</v>
      </c>
      <c r="E3404" s="20" t="s">
        <v>544</v>
      </c>
      <c r="F3404" s="21">
        <v>26188.0</v>
      </c>
      <c r="G3404" s="14">
        <v>54.0</v>
      </c>
      <c r="H3404" s="23" t="s">
        <v>26</v>
      </c>
      <c r="I3404" s="24" t="s">
        <v>33</v>
      </c>
      <c r="J3404" s="19" t="s">
        <v>726</v>
      </c>
      <c r="K3404" s="14">
        <v>11.0</v>
      </c>
      <c r="L3404" s="7"/>
      <c r="M3404" s="7"/>
      <c r="N3404" s="7"/>
      <c r="O3404" s="7"/>
      <c r="P3404" s="7"/>
      <c r="Q3404" s="7"/>
      <c r="R3404" s="7"/>
      <c r="S3404" s="7"/>
      <c r="T3404" s="7"/>
      <c r="U3404" s="7"/>
      <c r="V3404" s="7"/>
      <c r="W3404" s="7"/>
      <c r="X3404" s="7"/>
      <c r="Y3404" s="7"/>
    </row>
    <row r="3405">
      <c r="A3405" s="14" t="s">
        <v>12151</v>
      </c>
      <c r="B3405" s="17" t="s">
        <v>12152</v>
      </c>
      <c r="C3405" s="17" t="s">
        <v>12153</v>
      </c>
      <c r="D3405" s="19" t="s">
        <v>12154</v>
      </c>
      <c r="E3405" s="20" t="s">
        <v>104</v>
      </c>
      <c r="F3405" s="27">
        <v>33588.0</v>
      </c>
      <c r="G3405" s="14">
        <v>34.0</v>
      </c>
      <c r="H3405" s="23" t="s">
        <v>26</v>
      </c>
      <c r="I3405" s="24" t="s">
        <v>33</v>
      </c>
      <c r="J3405" s="19" t="s">
        <v>2196</v>
      </c>
      <c r="K3405" s="14">
        <v>17.0</v>
      </c>
      <c r="L3405" s="7"/>
      <c r="M3405" s="7"/>
      <c r="N3405" s="7"/>
      <c r="O3405" s="7"/>
      <c r="P3405" s="7"/>
      <c r="Q3405" s="7"/>
      <c r="R3405" s="7"/>
      <c r="S3405" s="7"/>
      <c r="T3405" s="7"/>
      <c r="U3405" s="7"/>
      <c r="V3405" s="7"/>
      <c r="W3405" s="7"/>
      <c r="X3405" s="7"/>
      <c r="Y3405" s="7"/>
    </row>
    <row r="3406">
      <c r="A3406" s="14" t="s">
        <v>12155</v>
      </c>
      <c r="B3406" s="17" t="s">
        <v>12156</v>
      </c>
      <c r="C3406" s="17" t="s">
        <v>12157</v>
      </c>
      <c r="D3406" s="19" t="s">
        <v>12158</v>
      </c>
      <c r="E3406" s="20" t="s">
        <v>12159</v>
      </c>
      <c r="F3406" s="27">
        <v>35720.0</v>
      </c>
      <c r="G3406" s="14">
        <v>28.0</v>
      </c>
      <c r="H3406" s="23" t="s">
        <v>26</v>
      </c>
      <c r="I3406" s="24" t="s">
        <v>27</v>
      </c>
      <c r="J3406" s="19" t="s">
        <v>328</v>
      </c>
      <c r="K3406" s="14">
        <v>23.0</v>
      </c>
      <c r="L3406" s="7"/>
      <c r="M3406" s="7"/>
      <c r="N3406" s="7"/>
      <c r="O3406" s="7"/>
      <c r="P3406" s="7"/>
      <c r="Q3406" s="7"/>
      <c r="R3406" s="7"/>
      <c r="S3406" s="7"/>
      <c r="T3406" s="7"/>
      <c r="U3406" s="7"/>
      <c r="V3406" s="7"/>
      <c r="W3406" s="7"/>
      <c r="X3406" s="7"/>
      <c r="Y3406" s="7"/>
    </row>
    <row r="3407">
      <c r="A3407" s="14" t="s">
        <v>12160</v>
      </c>
      <c r="B3407" s="17" t="s">
        <v>12156</v>
      </c>
      <c r="C3407" s="17" t="s">
        <v>12161</v>
      </c>
      <c r="D3407" s="19" t="s">
        <v>12162</v>
      </c>
      <c r="E3407" s="20" t="s">
        <v>274</v>
      </c>
      <c r="F3407" s="21">
        <v>33427.0</v>
      </c>
      <c r="G3407" s="14">
        <v>35.0</v>
      </c>
      <c r="H3407" s="23" t="s">
        <v>26</v>
      </c>
      <c r="I3407" s="24" t="s">
        <v>33</v>
      </c>
      <c r="J3407" s="19" t="s">
        <v>328</v>
      </c>
      <c r="K3407" s="14">
        <v>23.0</v>
      </c>
      <c r="L3407" s="7"/>
      <c r="M3407" s="7"/>
      <c r="N3407" s="7"/>
      <c r="O3407" s="7"/>
      <c r="P3407" s="7"/>
      <c r="Q3407" s="7"/>
      <c r="R3407" s="7"/>
      <c r="S3407" s="7"/>
      <c r="T3407" s="7"/>
      <c r="U3407" s="7"/>
      <c r="V3407" s="7"/>
      <c r="W3407" s="7"/>
      <c r="X3407" s="7"/>
      <c r="Y3407" s="7"/>
    </row>
    <row r="3408">
      <c r="A3408" s="14" t="s">
        <v>12163</v>
      </c>
      <c r="B3408" s="17" t="s">
        <v>12164</v>
      </c>
      <c r="C3408" s="17" t="s">
        <v>12165</v>
      </c>
      <c r="D3408" s="19" t="s">
        <v>12166</v>
      </c>
      <c r="E3408" s="20" t="s">
        <v>12167</v>
      </c>
      <c r="F3408" s="21">
        <v>32670.0</v>
      </c>
      <c r="G3408" s="14">
        <v>37.0</v>
      </c>
      <c r="H3408" s="23" t="s">
        <v>26</v>
      </c>
      <c r="I3408" s="24" t="s">
        <v>27</v>
      </c>
      <c r="J3408" s="19" t="s">
        <v>328</v>
      </c>
      <c r="K3408" s="14">
        <v>19.0</v>
      </c>
      <c r="L3408" s="7"/>
      <c r="M3408" s="7"/>
      <c r="N3408" s="7"/>
      <c r="O3408" s="7"/>
      <c r="P3408" s="7"/>
      <c r="Q3408" s="7"/>
      <c r="R3408" s="7"/>
      <c r="S3408" s="7"/>
      <c r="T3408" s="7"/>
      <c r="U3408" s="7"/>
      <c r="V3408" s="7"/>
      <c r="W3408" s="7"/>
      <c r="X3408" s="7"/>
      <c r="Y3408" s="7"/>
    </row>
    <row r="3409">
      <c r="A3409" s="14" t="s">
        <v>12168</v>
      </c>
      <c r="B3409" s="17" t="s">
        <v>12164</v>
      </c>
      <c r="C3409" s="17" t="s">
        <v>12169</v>
      </c>
      <c r="D3409" s="19" t="s">
        <v>12170</v>
      </c>
      <c r="E3409" s="20" t="s">
        <v>2762</v>
      </c>
      <c r="F3409" s="21">
        <v>35334.0</v>
      </c>
      <c r="G3409" s="14">
        <v>29.0</v>
      </c>
      <c r="H3409" s="23" t="s">
        <v>26</v>
      </c>
      <c r="I3409" s="24" t="s">
        <v>33</v>
      </c>
      <c r="J3409" s="19" t="s">
        <v>328</v>
      </c>
      <c r="K3409" s="14">
        <v>19.0</v>
      </c>
      <c r="L3409" s="7"/>
      <c r="M3409" s="7"/>
      <c r="N3409" s="7"/>
      <c r="O3409" s="7"/>
      <c r="P3409" s="7"/>
      <c r="Q3409" s="7"/>
      <c r="R3409" s="7"/>
      <c r="S3409" s="7"/>
      <c r="T3409" s="7"/>
      <c r="U3409" s="7"/>
      <c r="V3409" s="7"/>
      <c r="W3409" s="7"/>
      <c r="X3409" s="7"/>
      <c r="Y3409" s="7"/>
    </row>
    <row r="3410">
      <c r="A3410" s="14" t="s">
        <v>12171</v>
      </c>
      <c r="B3410" s="17" t="s">
        <v>12172</v>
      </c>
      <c r="C3410" s="17" t="s">
        <v>12173</v>
      </c>
      <c r="D3410" s="19" t="s">
        <v>12174</v>
      </c>
      <c r="E3410" s="20" t="s">
        <v>219</v>
      </c>
      <c r="F3410" s="21">
        <v>21310.0</v>
      </c>
      <c r="G3410" s="14">
        <v>68.0</v>
      </c>
      <c r="H3410" s="23" t="s">
        <v>26</v>
      </c>
      <c r="I3410" s="24" t="s">
        <v>33</v>
      </c>
      <c r="J3410" s="19" t="s">
        <v>68</v>
      </c>
      <c r="K3410" s="14">
        <v>28.0</v>
      </c>
      <c r="L3410" s="7"/>
      <c r="M3410" s="7"/>
      <c r="N3410" s="7"/>
      <c r="O3410" s="7"/>
      <c r="P3410" s="7"/>
      <c r="Q3410" s="7"/>
      <c r="R3410" s="7"/>
      <c r="S3410" s="7"/>
      <c r="T3410" s="7"/>
      <c r="U3410" s="7"/>
      <c r="V3410" s="7"/>
      <c r="W3410" s="7"/>
      <c r="X3410" s="7"/>
      <c r="Y3410" s="7"/>
    </row>
    <row r="3411">
      <c r="A3411" s="14" t="s">
        <v>12175</v>
      </c>
      <c r="B3411" s="17" t="s">
        <v>12172</v>
      </c>
      <c r="C3411" s="17" t="s">
        <v>12176</v>
      </c>
      <c r="D3411" s="19" t="s">
        <v>5704</v>
      </c>
      <c r="E3411" s="20" t="s">
        <v>138</v>
      </c>
      <c r="F3411" s="21">
        <v>22860.0</v>
      </c>
      <c r="G3411" s="14">
        <v>64.0</v>
      </c>
      <c r="H3411" s="23" t="s">
        <v>26</v>
      </c>
      <c r="I3411" s="24" t="s">
        <v>27</v>
      </c>
      <c r="J3411" s="19" t="s">
        <v>68</v>
      </c>
      <c r="K3411" s="14">
        <v>28.0</v>
      </c>
      <c r="L3411" s="7"/>
      <c r="M3411" s="7"/>
      <c r="N3411" s="7"/>
      <c r="O3411" s="7"/>
      <c r="P3411" s="7"/>
      <c r="Q3411" s="7"/>
      <c r="R3411" s="7"/>
      <c r="S3411" s="7"/>
      <c r="T3411" s="7"/>
      <c r="U3411" s="7"/>
      <c r="V3411" s="7"/>
      <c r="W3411" s="7"/>
      <c r="X3411" s="7"/>
      <c r="Y3411" s="7"/>
    </row>
    <row r="3412">
      <c r="A3412" s="14" t="s">
        <v>12177</v>
      </c>
      <c r="B3412" s="17" t="s">
        <v>12178</v>
      </c>
      <c r="C3412" s="17" t="s">
        <v>12179</v>
      </c>
      <c r="D3412" s="19" t="s">
        <v>12180</v>
      </c>
      <c r="E3412" s="20" t="s">
        <v>104</v>
      </c>
      <c r="F3412" s="21">
        <v>38504.0</v>
      </c>
      <c r="G3412" s="14">
        <v>21.0</v>
      </c>
      <c r="H3412" s="23" t="s">
        <v>100</v>
      </c>
      <c r="I3412" s="24" t="s">
        <v>33</v>
      </c>
      <c r="J3412" s="19" t="s">
        <v>1156</v>
      </c>
      <c r="K3412" s="14">
        <v>17.0</v>
      </c>
      <c r="L3412" s="7"/>
      <c r="M3412" s="7"/>
      <c r="N3412" s="7"/>
      <c r="O3412" s="7"/>
      <c r="P3412" s="7"/>
      <c r="Q3412" s="7"/>
      <c r="R3412" s="7"/>
      <c r="S3412" s="7"/>
      <c r="T3412" s="7"/>
      <c r="U3412" s="7"/>
      <c r="V3412" s="7"/>
      <c r="W3412" s="7"/>
      <c r="X3412" s="7"/>
      <c r="Y3412" s="7"/>
    </row>
    <row r="3413">
      <c r="A3413" s="14" t="s">
        <v>12181</v>
      </c>
      <c r="B3413" s="17" t="s">
        <v>12178</v>
      </c>
      <c r="C3413" s="17" t="s">
        <v>12182</v>
      </c>
      <c r="D3413" s="19" t="s">
        <v>12183</v>
      </c>
      <c r="E3413" s="20" t="s">
        <v>1816</v>
      </c>
      <c r="F3413" s="27">
        <v>23662.0</v>
      </c>
      <c r="G3413" s="14">
        <v>61.0</v>
      </c>
      <c r="H3413" s="23" t="s">
        <v>26</v>
      </c>
      <c r="I3413" s="24" t="s">
        <v>33</v>
      </c>
      <c r="J3413" s="19" t="s">
        <v>1156</v>
      </c>
      <c r="K3413" s="14">
        <v>17.0</v>
      </c>
      <c r="L3413" s="7"/>
      <c r="M3413" s="7"/>
      <c r="N3413" s="7"/>
      <c r="O3413" s="7"/>
      <c r="P3413" s="7"/>
      <c r="Q3413" s="7"/>
      <c r="R3413" s="7"/>
      <c r="S3413" s="7"/>
      <c r="T3413" s="7"/>
      <c r="U3413" s="7"/>
      <c r="V3413" s="7"/>
      <c r="W3413" s="7"/>
      <c r="X3413" s="7"/>
      <c r="Y3413" s="7"/>
    </row>
    <row r="3414">
      <c r="A3414" s="14" t="s">
        <v>12184</v>
      </c>
      <c r="B3414" s="17" t="s">
        <v>12185</v>
      </c>
      <c r="C3414" s="17" t="s">
        <v>12186</v>
      </c>
      <c r="D3414" s="19" t="s">
        <v>12187</v>
      </c>
      <c r="E3414" s="20" t="s">
        <v>104</v>
      </c>
      <c r="F3414" s="21">
        <v>34547.0</v>
      </c>
      <c r="G3414" s="14">
        <v>32.0</v>
      </c>
      <c r="H3414" s="23" t="s">
        <v>26</v>
      </c>
      <c r="I3414" s="24" t="s">
        <v>27</v>
      </c>
      <c r="J3414" s="19" t="s">
        <v>146</v>
      </c>
      <c r="K3414" s="14">
        <v>18.0</v>
      </c>
      <c r="L3414" s="7"/>
      <c r="M3414" s="7"/>
      <c r="N3414" s="7"/>
      <c r="O3414" s="7"/>
      <c r="P3414" s="7"/>
      <c r="Q3414" s="7"/>
      <c r="R3414" s="7"/>
      <c r="S3414" s="7"/>
      <c r="T3414" s="7"/>
      <c r="U3414" s="7"/>
      <c r="V3414" s="7"/>
      <c r="W3414" s="7"/>
      <c r="X3414" s="7"/>
      <c r="Y3414" s="7"/>
    </row>
    <row r="3415">
      <c r="A3415" s="14" t="s">
        <v>12188</v>
      </c>
      <c r="B3415" s="17" t="s">
        <v>12185</v>
      </c>
      <c r="C3415" s="17" t="s">
        <v>12189</v>
      </c>
      <c r="D3415" s="19" t="s">
        <v>12190</v>
      </c>
      <c r="E3415" s="20" t="s">
        <v>104</v>
      </c>
      <c r="F3415" s="21">
        <v>33837.0</v>
      </c>
      <c r="G3415" s="14">
        <v>34.0</v>
      </c>
      <c r="H3415" s="23" t="s">
        <v>26</v>
      </c>
      <c r="I3415" s="24" t="s">
        <v>33</v>
      </c>
      <c r="J3415" s="19" t="s">
        <v>146</v>
      </c>
      <c r="K3415" s="14">
        <v>18.0</v>
      </c>
      <c r="L3415" s="7"/>
      <c r="M3415" s="7"/>
      <c r="N3415" s="7"/>
      <c r="O3415" s="7"/>
      <c r="P3415" s="7"/>
      <c r="Q3415" s="7"/>
      <c r="R3415" s="7"/>
      <c r="S3415" s="7"/>
      <c r="T3415" s="7"/>
      <c r="U3415" s="7"/>
      <c r="V3415" s="7"/>
      <c r="W3415" s="7"/>
      <c r="X3415" s="7"/>
      <c r="Y3415" s="7"/>
    </row>
    <row r="3416">
      <c r="A3416" s="14" t="s">
        <v>12191</v>
      </c>
      <c r="B3416" s="17" t="s">
        <v>12192</v>
      </c>
      <c r="C3416" s="17" t="s">
        <v>12193</v>
      </c>
      <c r="D3416" s="19" t="s">
        <v>12194</v>
      </c>
      <c r="E3416" s="20" t="s">
        <v>53</v>
      </c>
      <c r="F3416" s="21">
        <v>35461.0</v>
      </c>
      <c r="G3416" s="14">
        <v>29.0</v>
      </c>
      <c r="H3416" s="23" t="s">
        <v>26</v>
      </c>
      <c r="I3416" s="24" t="s">
        <v>27</v>
      </c>
      <c r="J3416" s="19" t="s">
        <v>58</v>
      </c>
      <c r="K3416" s="14">
        <v>5.0</v>
      </c>
      <c r="L3416" s="7"/>
      <c r="M3416" s="7"/>
      <c r="N3416" s="7"/>
      <c r="O3416" s="7"/>
      <c r="P3416" s="7"/>
      <c r="Q3416" s="7"/>
      <c r="R3416" s="7"/>
      <c r="S3416" s="7"/>
      <c r="T3416" s="7"/>
      <c r="U3416" s="7"/>
      <c r="V3416" s="7"/>
      <c r="W3416" s="7"/>
      <c r="X3416" s="7"/>
      <c r="Y3416" s="7"/>
    </row>
    <row r="3417">
      <c r="A3417" s="14" t="s">
        <v>12195</v>
      </c>
      <c r="B3417" s="17" t="s">
        <v>12192</v>
      </c>
      <c r="C3417" s="17" t="s">
        <v>12196</v>
      </c>
      <c r="D3417" s="19" t="s">
        <v>12197</v>
      </c>
      <c r="E3417" s="20" t="s">
        <v>12198</v>
      </c>
      <c r="F3417" s="21">
        <v>33824.0</v>
      </c>
      <c r="G3417" s="14">
        <v>34.0</v>
      </c>
      <c r="H3417" s="23" t="s">
        <v>26</v>
      </c>
      <c r="I3417" s="24" t="s">
        <v>33</v>
      </c>
      <c r="J3417" s="19" t="s">
        <v>58</v>
      </c>
      <c r="K3417" s="14">
        <v>5.0</v>
      </c>
      <c r="L3417" s="7"/>
      <c r="M3417" s="7"/>
      <c r="N3417" s="7"/>
      <c r="O3417" s="7"/>
      <c r="P3417" s="7"/>
      <c r="Q3417" s="7"/>
      <c r="R3417" s="7"/>
      <c r="S3417" s="7"/>
      <c r="T3417" s="7"/>
      <c r="U3417" s="7"/>
      <c r="V3417" s="7"/>
      <c r="W3417" s="7"/>
      <c r="X3417" s="7"/>
      <c r="Y3417" s="7"/>
    </row>
    <row r="3418">
      <c r="A3418" s="14" t="s">
        <v>12199</v>
      </c>
      <c r="B3418" s="17" t="s">
        <v>12200</v>
      </c>
      <c r="C3418" s="17" t="s">
        <v>12201</v>
      </c>
      <c r="D3418" s="19" t="s">
        <v>2994</v>
      </c>
      <c r="E3418" s="20" t="s">
        <v>769</v>
      </c>
      <c r="F3418" s="21">
        <v>25820.0</v>
      </c>
      <c r="G3418" s="14">
        <v>55.0</v>
      </c>
      <c r="H3418" s="23" t="s">
        <v>27</v>
      </c>
      <c r="I3418" s="24" t="s">
        <v>33</v>
      </c>
      <c r="J3418" s="19" t="s">
        <v>146</v>
      </c>
      <c r="K3418" s="14">
        <v>2.0</v>
      </c>
      <c r="L3418" s="7"/>
      <c r="M3418" s="7"/>
      <c r="N3418" s="7"/>
      <c r="O3418" s="7"/>
      <c r="P3418" s="7"/>
      <c r="Q3418" s="7"/>
      <c r="R3418" s="7"/>
      <c r="S3418" s="7"/>
      <c r="T3418" s="7"/>
      <c r="U3418" s="7"/>
      <c r="V3418" s="7"/>
      <c r="W3418" s="7"/>
      <c r="X3418" s="7"/>
      <c r="Y3418" s="7"/>
    </row>
    <row r="3419">
      <c r="A3419" s="14" t="s">
        <v>12202</v>
      </c>
      <c r="B3419" s="17" t="s">
        <v>12203</v>
      </c>
      <c r="C3419" s="17" t="s">
        <v>12204</v>
      </c>
      <c r="D3419" s="19" t="s">
        <v>12205</v>
      </c>
      <c r="E3419" s="20" t="s">
        <v>605</v>
      </c>
      <c r="F3419" s="21">
        <v>25331.0</v>
      </c>
      <c r="G3419" s="14">
        <v>57.0</v>
      </c>
      <c r="H3419" s="23" t="s">
        <v>26</v>
      </c>
      <c r="I3419" s="24" t="s">
        <v>27</v>
      </c>
      <c r="J3419" s="19" t="s">
        <v>282</v>
      </c>
      <c r="K3419" s="14">
        <v>14.0</v>
      </c>
      <c r="L3419" s="7"/>
      <c r="M3419" s="7"/>
      <c r="N3419" s="7"/>
      <c r="O3419" s="7"/>
      <c r="P3419" s="7"/>
      <c r="Q3419" s="7"/>
      <c r="R3419" s="7"/>
      <c r="S3419" s="7"/>
      <c r="T3419" s="7"/>
      <c r="U3419" s="7"/>
      <c r="V3419" s="7"/>
      <c r="W3419" s="7"/>
      <c r="X3419" s="7"/>
      <c r="Y3419" s="7"/>
    </row>
    <row r="3420">
      <c r="A3420" s="14" t="s">
        <v>12206</v>
      </c>
      <c r="B3420" s="17" t="s">
        <v>12203</v>
      </c>
      <c r="C3420" s="17" t="s">
        <v>12207</v>
      </c>
      <c r="D3420" s="19" t="s">
        <v>12208</v>
      </c>
      <c r="E3420" s="20" t="s">
        <v>89</v>
      </c>
      <c r="F3420" s="21">
        <v>23063.0</v>
      </c>
      <c r="G3420" s="14">
        <v>63.0</v>
      </c>
      <c r="H3420" s="23" t="s">
        <v>26</v>
      </c>
      <c r="I3420" s="24" t="s">
        <v>33</v>
      </c>
      <c r="J3420" s="19" t="s">
        <v>282</v>
      </c>
      <c r="K3420" s="14">
        <v>14.0</v>
      </c>
      <c r="L3420" s="7"/>
      <c r="M3420" s="7"/>
      <c r="N3420" s="7"/>
      <c r="O3420" s="7"/>
      <c r="P3420" s="7"/>
      <c r="Q3420" s="7"/>
      <c r="R3420" s="7"/>
      <c r="S3420" s="7"/>
      <c r="T3420" s="7"/>
      <c r="U3420" s="7"/>
      <c r="V3420" s="7"/>
      <c r="W3420" s="7"/>
      <c r="X3420" s="7"/>
      <c r="Y3420" s="7"/>
    </row>
    <row r="3421">
      <c r="A3421" s="14" t="s">
        <v>12209</v>
      </c>
      <c r="B3421" s="17" t="s">
        <v>12203</v>
      </c>
      <c r="C3421" s="17" t="s">
        <v>12210</v>
      </c>
      <c r="D3421" s="19" t="s">
        <v>12211</v>
      </c>
      <c r="E3421" s="20" t="s">
        <v>138</v>
      </c>
      <c r="F3421" s="27">
        <v>36857.0</v>
      </c>
      <c r="G3421" s="14">
        <v>25.0</v>
      </c>
      <c r="H3421" s="23" t="s">
        <v>100</v>
      </c>
      <c r="I3421" s="24" t="s">
        <v>27</v>
      </c>
      <c r="J3421" s="19" t="s">
        <v>282</v>
      </c>
      <c r="K3421" s="14">
        <v>14.0</v>
      </c>
      <c r="L3421" s="7"/>
      <c r="M3421" s="7"/>
      <c r="N3421" s="7"/>
      <c r="O3421" s="7"/>
      <c r="P3421" s="7"/>
      <c r="Q3421" s="7"/>
      <c r="R3421" s="7"/>
      <c r="S3421" s="7"/>
      <c r="T3421" s="7"/>
      <c r="U3421" s="7"/>
      <c r="V3421" s="7"/>
      <c r="W3421" s="7"/>
      <c r="X3421" s="7"/>
      <c r="Y3421" s="7"/>
    </row>
    <row r="3422">
      <c r="A3422" s="14" t="s">
        <v>12212</v>
      </c>
      <c r="B3422" s="17" t="s">
        <v>12213</v>
      </c>
      <c r="C3422" s="17" t="s">
        <v>12214</v>
      </c>
      <c r="D3422" s="19" t="s">
        <v>4677</v>
      </c>
      <c r="E3422" s="20" t="s">
        <v>650</v>
      </c>
      <c r="F3422" s="21">
        <v>23193.0</v>
      </c>
      <c r="G3422" s="14">
        <v>63.0</v>
      </c>
      <c r="H3422" s="23" t="s">
        <v>26</v>
      </c>
      <c r="I3422" s="24" t="s">
        <v>33</v>
      </c>
      <c r="J3422" s="19" t="s">
        <v>53</v>
      </c>
      <c r="K3422" s="14">
        <v>6.0</v>
      </c>
      <c r="L3422" s="7"/>
      <c r="M3422" s="7"/>
      <c r="N3422" s="7"/>
      <c r="O3422" s="7"/>
      <c r="P3422" s="7"/>
      <c r="Q3422" s="7"/>
      <c r="R3422" s="7"/>
      <c r="S3422" s="7"/>
      <c r="T3422" s="7"/>
      <c r="U3422" s="7"/>
      <c r="V3422" s="7"/>
      <c r="W3422" s="7"/>
      <c r="X3422" s="7"/>
      <c r="Y3422" s="7"/>
    </row>
    <row r="3423">
      <c r="A3423" s="14" t="s">
        <v>12215</v>
      </c>
      <c r="B3423" s="17" t="s">
        <v>12213</v>
      </c>
      <c r="C3423" s="17" t="s">
        <v>12216</v>
      </c>
      <c r="D3423" s="19" t="s">
        <v>9971</v>
      </c>
      <c r="E3423" s="20" t="s">
        <v>650</v>
      </c>
      <c r="F3423" s="21">
        <v>25020.0</v>
      </c>
      <c r="G3423" s="14">
        <v>58.0</v>
      </c>
      <c r="H3423" s="23" t="s">
        <v>26</v>
      </c>
      <c r="I3423" s="24" t="s">
        <v>27</v>
      </c>
      <c r="J3423" s="19" t="s">
        <v>53</v>
      </c>
      <c r="K3423" s="14">
        <v>6.0</v>
      </c>
      <c r="L3423" s="7"/>
      <c r="M3423" s="7"/>
      <c r="N3423" s="7"/>
      <c r="O3423" s="7"/>
      <c r="P3423" s="7"/>
      <c r="Q3423" s="7"/>
      <c r="R3423" s="7"/>
      <c r="S3423" s="7"/>
      <c r="T3423" s="7"/>
      <c r="U3423" s="7"/>
      <c r="V3423" s="7"/>
      <c r="W3423" s="7"/>
      <c r="X3423" s="7"/>
      <c r="Y3423" s="7"/>
    </row>
    <row r="3424">
      <c r="A3424" s="14" t="s">
        <v>12217</v>
      </c>
      <c r="B3424" s="17" t="s">
        <v>12218</v>
      </c>
      <c r="C3424" s="17" t="s">
        <v>12219</v>
      </c>
      <c r="D3424" s="19" t="s">
        <v>12220</v>
      </c>
      <c r="E3424" s="20" t="s">
        <v>650</v>
      </c>
      <c r="F3424" s="21">
        <v>16480.0</v>
      </c>
      <c r="G3424" s="14">
        <v>81.0</v>
      </c>
      <c r="H3424" s="23" t="s">
        <v>27</v>
      </c>
      <c r="I3424" s="24" t="s">
        <v>27</v>
      </c>
      <c r="J3424" s="19" t="s">
        <v>58</v>
      </c>
      <c r="K3424" s="14">
        <v>7.0</v>
      </c>
      <c r="L3424" s="7"/>
      <c r="M3424" s="7"/>
      <c r="N3424" s="7"/>
      <c r="O3424" s="7"/>
      <c r="P3424" s="7"/>
      <c r="Q3424" s="7"/>
      <c r="R3424" s="7"/>
      <c r="S3424" s="7"/>
      <c r="T3424" s="7"/>
      <c r="U3424" s="7"/>
      <c r="V3424" s="7"/>
      <c r="W3424" s="7"/>
      <c r="X3424" s="7"/>
      <c r="Y3424" s="7"/>
    </row>
    <row r="3425">
      <c r="A3425" s="14" t="s">
        <v>12221</v>
      </c>
      <c r="B3425" s="17" t="s">
        <v>12222</v>
      </c>
      <c r="C3425" s="17" t="s">
        <v>12223</v>
      </c>
      <c r="D3425" s="19" t="s">
        <v>12224</v>
      </c>
      <c r="E3425" s="20" t="s">
        <v>624</v>
      </c>
      <c r="F3425" s="27">
        <v>30235.0</v>
      </c>
      <c r="G3425" s="14">
        <v>43.0</v>
      </c>
      <c r="H3425" s="23" t="s">
        <v>26</v>
      </c>
      <c r="I3425" s="24" t="s">
        <v>27</v>
      </c>
      <c r="J3425" s="19" t="s">
        <v>58</v>
      </c>
      <c r="K3425" s="14">
        <v>7.0</v>
      </c>
      <c r="L3425" s="7"/>
      <c r="M3425" s="7"/>
      <c r="N3425" s="7"/>
      <c r="O3425" s="7"/>
      <c r="P3425" s="7"/>
      <c r="Q3425" s="7"/>
      <c r="R3425" s="7"/>
      <c r="S3425" s="7"/>
      <c r="T3425" s="7"/>
      <c r="U3425" s="7"/>
      <c r="V3425" s="7"/>
      <c r="W3425" s="7"/>
      <c r="X3425" s="7"/>
      <c r="Y3425" s="7"/>
    </row>
    <row r="3426">
      <c r="A3426" s="14" t="s">
        <v>12225</v>
      </c>
      <c r="B3426" s="17" t="s">
        <v>12222</v>
      </c>
      <c r="C3426" s="17" t="s">
        <v>12226</v>
      </c>
      <c r="D3426" s="19" t="s">
        <v>6731</v>
      </c>
      <c r="E3426" s="20" t="s">
        <v>1038</v>
      </c>
      <c r="F3426" s="21">
        <v>28767.0</v>
      </c>
      <c r="G3426" s="14">
        <v>47.0</v>
      </c>
      <c r="H3426" s="23" t="s">
        <v>26</v>
      </c>
      <c r="I3426" s="24" t="s">
        <v>33</v>
      </c>
      <c r="J3426" s="19" t="s">
        <v>58</v>
      </c>
      <c r="K3426" s="14">
        <v>7.0</v>
      </c>
      <c r="L3426" s="7"/>
      <c r="M3426" s="7"/>
      <c r="N3426" s="7"/>
      <c r="O3426" s="7"/>
      <c r="P3426" s="7"/>
      <c r="Q3426" s="7"/>
      <c r="R3426" s="7"/>
      <c r="S3426" s="7"/>
      <c r="T3426" s="7"/>
      <c r="U3426" s="7"/>
      <c r="V3426" s="7"/>
      <c r="W3426" s="7"/>
      <c r="X3426" s="7"/>
      <c r="Y3426" s="7"/>
    </row>
    <row r="3427">
      <c r="A3427" s="14" t="s">
        <v>12227</v>
      </c>
      <c r="B3427" s="17" t="s">
        <v>12228</v>
      </c>
      <c r="C3427" s="17" t="s">
        <v>12229</v>
      </c>
      <c r="D3427" s="19" t="s">
        <v>12230</v>
      </c>
      <c r="E3427" s="20" t="s">
        <v>2349</v>
      </c>
      <c r="F3427" s="21">
        <v>30538.0</v>
      </c>
      <c r="G3427" s="14">
        <v>43.0</v>
      </c>
      <c r="H3427" s="23" t="s">
        <v>26</v>
      </c>
      <c r="I3427" s="24" t="s">
        <v>27</v>
      </c>
      <c r="J3427" s="19" t="s">
        <v>58</v>
      </c>
      <c r="K3427" s="14">
        <v>7.0</v>
      </c>
      <c r="L3427" s="7"/>
      <c r="M3427" s="7"/>
      <c r="N3427" s="7"/>
      <c r="O3427" s="7"/>
      <c r="P3427" s="7"/>
      <c r="Q3427" s="7"/>
      <c r="R3427" s="7"/>
      <c r="S3427" s="7"/>
      <c r="T3427" s="7"/>
      <c r="U3427" s="7"/>
      <c r="V3427" s="7"/>
      <c r="W3427" s="7"/>
      <c r="X3427" s="7"/>
      <c r="Y3427" s="7"/>
    </row>
    <row r="3428">
      <c r="A3428" s="14" t="s">
        <v>12231</v>
      </c>
      <c r="B3428" s="17" t="s">
        <v>12228</v>
      </c>
      <c r="C3428" s="17" t="s">
        <v>12232</v>
      </c>
      <c r="D3428" s="19" t="s">
        <v>6215</v>
      </c>
      <c r="E3428" s="20" t="s">
        <v>104</v>
      </c>
      <c r="F3428" s="21">
        <v>27559.0</v>
      </c>
      <c r="G3428" s="14">
        <v>51.0</v>
      </c>
      <c r="H3428" s="23" t="s">
        <v>26</v>
      </c>
      <c r="I3428" s="24" t="s">
        <v>33</v>
      </c>
      <c r="J3428" s="19" t="s">
        <v>58</v>
      </c>
      <c r="K3428" s="14">
        <v>7.0</v>
      </c>
      <c r="L3428" s="7"/>
      <c r="M3428" s="7"/>
      <c r="N3428" s="7"/>
      <c r="O3428" s="7"/>
      <c r="P3428" s="7"/>
      <c r="Q3428" s="7"/>
      <c r="R3428" s="7"/>
      <c r="S3428" s="7"/>
      <c r="T3428" s="7"/>
      <c r="U3428" s="7"/>
      <c r="V3428" s="7"/>
      <c r="W3428" s="7"/>
      <c r="X3428" s="7"/>
      <c r="Y3428" s="7"/>
    </row>
    <row r="3429">
      <c r="A3429" s="14" t="s">
        <v>12233</v>
      </c>
      <c r="B3429" s="17" t="s">
        <v>12234</v>
      </c>
      <c r="C3429" s="17" t="s">
        <v>12235</v>
      </c>
      <c r="D3429" s="19" t="s">
        <v>2829</v>
      </c>
      <c r="E3429" s="20" t="s">
        <v>104</v>
      </c>
      <c r="F3429" s="21">
        <v>32056.0</v>
      </c>
      <c r="G3429" s="14">
        <v>38.0</v>
      </c>
      <c r="H3429" s="23" t="s">
        <v>26</v>
      </c>
      <c r="I3429" s="24" t="s">
        <v>33</v>
      </c>
      <c r="J3429" s="19" t="s">
        <v>517</v>
      </c>
      <c r="K3429" s="14">
        <v>7.0</v>
      </c>
      <c r="L3429" s="7"/>
      <c r="M3429" s="7"/>
      <c r="N3429" s="7"/>
      <c r="O3429" s="7"/>
      <c r="P3429" s="7"/>
      <c r="Q3429" s="7"/>
      <c r="R3429" s="7"/>
      <c r="S3429" s="7"/>
      <c r="T3429" s="7"/>
      <c r="U3429" s="7"/>
      <c r="V3429" s="7"/>
      <c r="W3429" s="7"/>
      <c r="X3429" s="7"/>
      <c r="Y3429" s="7"/>
    </row>
    <row r="3430">
      <c r="A3430" s="14" t="s">
        <v>12237</v>
      </c>
      <c r="B3430" s="17" t="s">
        <v>12234</v>
      </c>
      <c r="C3430" s="17" t="s">
        <v>12238</v>
      </c>
      <c r="D3430" s="19" t="s">
        <v>12239</v>
      </c>
      <c r="E3430" s="20" t="s">
        <v>12240</v>
      </c>
      <c r="F3430" s="21">
        <v>33214.0</v>
      </c>
      <c r="G3430" s="14">
        <v>35.0</v>
      </c>
      <c r="H3430" s="23" t="s">
        <v>26</v>
      </c>
      <c r="I3430" s="24" t="s">
        <v>27</v>
      </c>
      <c r="J3430" s="19" t="s">
        <v>517</v>
      </c>
      <c r="K3430" s="14">
        <v>7.0</v>
      </c>
      <c r="L3430" s="7"/>
      <c r="M3430" s="7"/>
      <c r="N3430" s="7"/>
      <c r="O3430" s="7"/>
      <c r="P3430" s="7"/>
      <c r="Q3430" s="7"/>
      <c r="R3430" s="7"/>
      <c r="S3430" s="7"/>
      <c r="T3430" s="7"/>
      <c r="U3430" s="7"/>
      <c r="V3430" s="7"/>
      <c r="W3430" s="7"/>
      <c r="X3430" s="7"/>
      <c r="Y3430" s="7"/>
    </row>
    <row r="3431">
      <c r="A3431" s="14" t="s">
        <v>12241</v>
      </c>
      <c r="B3431" s="17" t="s">
        <v>12242</v>
      </c>
      <c r="C3431" s="17" t="s">
        <v>12243</v>
      </c>
      <c r="D3431" s="19" t="s">
        <v>12244</v>
      </c>
      <c r="E3431" s="20" t="s">
        <v>104</v>
      </c>
      <c r="F3431" s="21">
        <v>35796.0</v>
      </c>
      <c r="G3431" s="14">
        <v>28.0</v>
      </c>
      <c r="H3431" s="23" t="s">
        <v>26</v>
      </c>
      <c r="I3431" s="24" t="s">
        <v>33</v>
      </c>
      <c r="J3431" s="19" t="s">
        <v>146</v>
      </c>
      <c r="K3431" s="14">
        <v>7.0</v>
      </c>
      <c r="L3431" s="7"/>
      <c r="M3431" s="7"/>
      <c r="N3431" s="7"/>
      <c r="O3431" s="7"/>
      <c r="P3431" s="7"/>
      <c r="Q3431" s="7"/>
      <c r="R3431" s="7"/>
      <c r="S3431" s="7"/>
      <c r="T3431" s="7"/>
      <c r="U3431" s="7"/>
      <c r="V3431" s="7"/>
      <c r="W3431" s="7"/>
      <c r="X3431" s="7"/>
      <c r="Y3431" s="7"/>
    </row>
    <row r="3432">
      <c r="A3432" s="14" t="s">
        <v>12245</v>
      </c>
      <c r="B3432" s="17" t="s">
        <v>12246</v>
      </c>
      <c r="C3432" s="17" t="s">
        <v>12247</v>
      </c>
      <c r="D3432" s="19" t="s">
        <v>12248</v>
      </c>
      <c r="E3432" s="20" t="s">
        <v>104</v>
      </c>
      <c r="F3432" s="21">
        <v>29532.0</v>
      </c>
      <c r="G3432" s="14">
        <v>45.0</v>
      </c>
      <c r="H3432" s="23" t="s">
        <v>26</v>
      </c>
      <c r="I3432" s="24" t="s">
        <v>27</v>
      </c>
      <c r="J3432" s="19" t="s">
        <v>146</v>
      </c>
      <c r="K3432" s="14">
        <v>7.0</v>
      </c>
      <c r="L3432" s="7"/>
      <c r="M3432" s="7"/>
      <c r="N3432" s="7"/>
      <c r="O3432" s="7"/>
      <c r="P3432" s="7"/>
      <c r="Q3432" s="7"/>
      <c r="R3432" s="7"/>
      <c r="S3432" s="7"/>
      <c r="T3432" s="7"/>
      <c r="U3432" s="7"/>
      <c r="V3432" s="7"/>
      <c r="W3432" s="7"/>
      <c r="X3432" s="7"/>
      <c r="Y3432" s="7"/>
    </row>
    <row r="3433">
      <c r="A3433" s="14" t="s">
        <v>12249</v>
      </c>
      <c r="B3433" s="17" t="s">
        <v>12246</v>
      </c>
      <c r="C3433" s="17" t="s">
        <v>12250</v>
      </c>
      <c r="D3433" s="19" t="s">
        <v>12251</v>
      </c>
      <c r="E3433" s="20" t="s">
        <v>337</v>
      </c>
      <c r="F3433" s="27">
        <v>37977.0</v>
      </c>
      <c r="G3433" s="14">
        <v>22.0</v>
      </c>
      <c r="H3433" s="23" t="s">
        <v>100</v>
      </c>
      <c r="I3433" s="24" t="s">
        <v>33</v>
      </c>
      <c r="J3433" s="19" t="s">
        <v>146</v>
      </c>
      <c r="K3433" s="14">
        <v>7.0</v>
      </c>
      <c r="L3433" s="7"/>
      <c r="M3433" s="7"/>
      <c r="N3433" s="7"/>
      <c r="O3433" s="7"/>
      <c r="P3433" s="7"/>
      <c r="Q3433" s="7"/>
      <c r="R3433" s="7"/>
      <c r="S3433" s="7"/>
      <c r="T3433" s="7"/>
      <c r="U3433" s="7"/>
      <c r="V3433" s="7"/>
      <c r="W3433" s="7"/>
      <c r="X3433" s="7"/>
      <c r="Y3433" s="7"/>
    </row>
    <row r="3434">
      <c r="A3434" s="14" t="s">
        <v>12252</v>
      </c>
      <c r="B3434" s="17" t="s">
        <v>12246</v>
      </c>
      <c r="C3434" s="17" t="s">
        <v>12253</v>
      </c>
      <c r="D3434" s="19" t="s">
        <v>12254</v>
      </c>
      <c r="E3434" s="20" t="s">
        <v>104</v>
      </c>
      <c r="F3434" s="21">
        <v>28102.0</v>
      </c>
      <c r="G3434" s="14">
        <v>49.0</v>
      </c>
      <c r="H3434" s="23" t="s">
        <v>26</v>
      </c>
      <c r="I3434" s="24" t="s">
        <v>33</v>
      </c>
      <c r="J3434" s="19" t="s">
        <v>146</v>
      </c>
      <c r="K3434" s="14">
        <v>7.0</v>
      </c>
      <c r="L3434" s="7"/>
      <c r="M3434" s="7"/>
      <c r="N3434" s="7"/>
      <c r="O3434" s="7"/>
      <c r="P3434" s="7"/>
      <c r="Q3434" s="7"/>
      <c r="R3434" s="7"/>
      <c r="S3434" s="7"/>
      <c r="T3434" s="7"/>
      <c r="U3434" s="7"/>
      <c r="V3434" s="7"/>
      <c r="W3434" s="7"/>
      <c r="X3434" s="7"/>
      <c r="Y3434" s="7"/>
    </row>
    <row r="3435">
      <c r="A3435" s="14" t="s">
        <v>12255</v>
      </c>
      <c r="B3435" s="17" t="s">
        <v>12256</v>
      </c>
      <c r="C3435" s="17" t="s">
        <v>12257</v>
      </c>
      <c r="D3435" s="19" t="s">
        <v>1028</v>
      </c>
      <c r="E3435" s="20" t="s">
        <v>104</v>
      </c>
      <c r="F3435" s="27">
        <v>32867.0</v>
      </c>
      <c r="G3435" s="14">
        <v>36.0</v>
      </c>
      <c r="H3435" s="23" t="s">
        <v>26</v>
      </c>
      <c r="I3435" s="24" t="s">
        <v>33</v>
      </c>
      <c r="J3435" s="19" t="s">
        <v>104</v>
      </c>
      <c r="K3435" s="14">
        <v>33.0</v>
      </c>
      <c r="L3435" s="7"/>
      <c r="M3435" s="7"/>
      <c r="N3435" s="7"/>
      <c r="O3435" s="7"/>
      <c r="P3435" s="7"/>
      <c r="Q3435" s="7"/>
      <c r="R3435" s="7"/>
      <c r="S3435" s="7"/>
      <c r="T3435" s="7"/>
      <c r="U3435" s="7"/>
      <c r="V3435" s="7"/>
      <c r="W3435" s="7"/>
      <c r="X3435" s="7"/>
      <c r="Y3435" s="7"/>
    </row>
    <row r="3436">
      <c r="A3436" s="14" t="s">
        <v>12258</v>
      </c>
      <c r="B3436" s="17" t="s">
        <v>12256</v>
      </c>
      <c r="C3436" s="17" t="s">
        <v>12259</v>
      </c>
      <c r="D3436" s="19" t="s">
        <v>12260</v>
      </c>
      <c r="E3436" s="20" t="s">
        <v>67</v>
      </c>
      <c r="F3436" s="21">
        <v>34062.0</v>
      </c>
      <c r="G3436" s="14">
        <v>33.0</v>
      </c>
      <c r="H3436" s="23" t="s">
        <v>26</v>
      </c>
      <c r="I3436" s="24" t="s">
        <v>27</v>
      </c>
      <c r="J3436" s="19" t="s">
        <v>104</v>
      </c>
      <c r="K3436" s="14">
        <v>33.0</v>
      </c>
      <c r="L3436" s="7"/>
      <c r="M3436" s="7"/>
      <c r="N3436" s="7"/>
      <c r="O3436" s="7"/>
      <c r="P3436" s="7"/>
      <c r="Q3436" s="7"/>
      <c r="R3436" s="7"/>
      <c r="S3436" s="7"/>
      <c r="T3436" s="7"/>
      <c r="U3436" s="7"/>
      <c r="V3436" s="7"/>
      <c r="W3436" s="7"/>
      <c r="X3436" s="7"/>
      <c r="Y3436" s="7"/>
    </row>
    <row r="3437">
      <c r="A3437" s="14" t="s">
        <v>12261</v>
      </c>
      <c r="B3437" s="17" t="s">
        <v>12262</v>
      </c>
      <c r="C3437" s="17" t="s">
        <v>12263</v>
      </c>
      <c r="D3437" s="19" t="s">
        <v>12264</v>
      </c>
      <c r="E3437" s="20" t="s">
        <v>1816</v>
      </c>
      <c r="F3437" s="21">
        <v>23962.0</v>
      </c>
      <c r="G3437" s="14">
        <v>61.0</v>
      </c>
      <c r="H3437" s="23" t="s">
        <v>27</v>
      </c>
      <c r="I3437" s="24" t="s">
        <v>27</v>
      </c>
      <c r="J3437" s="19" t="s">
        <v>282</v>
      </c>
      <c r="K3437" s="14">
        <v>30.0</v>
      </c>
      <c r="L3437" s="7"/>
      <c r="M3437" s="7"/>
      <c r="N3437" s="7"/>
      <c r="O3437" s="7"/>
      <c r="P3437" s="7"/>
      <c r="Q3437" s="7"/>
      <c r="R3437" s="7"/>
      <c r="S3437" s="7"/>
      <c r="T3437" s="7"/>
      <c r="U3437" s="7"/>
      <c r="V3437" s="7"/>
      <c r="W3437" s="7"/>
      <c r="X3437" s="7"/>
      <c r="Y3437" s="7"/>
    </row>
    <row r="3438">
      <c r="A3438" s="14" t="s">
        <v>12265</v>
      </c>
      <c r="B3438" s="17" t="s">
        <v>12266</v>
      </c>
      <c r="C3438" s="17" t="s">
        <v>12267</v>
      </c>
      <c r="D3438" s="19" t="s">
        <v>12268</v>
      </c>
      <c r="E3438" s="20" t="s">
        <v>632</v>
      </c>
      <c r="F3438" s="21">
        <v>19725.0</v>
      </c>
      <c r="G3438" s="14">
        <v>72.0</v>
      </c>
      <c r="H3438" s="23" t="s">
        <v>27</v>
      </c>
      <c r="I3438" s="24" t="s">
        <v>33</v>
      </c>
      <c r="J3438" s="19" t="s">
        <v>53</v>
      </c>
      <c r="K3438" s="14">
        <v>27.0</v>
      </c>
      <c r="L3438" s="7"/>
      <c r="M3438" s="7"/>
      <c r="N3438" s="7"/>
      <c r="O3438" s="7"/>
      <c r="P3438" s="7"/>
      <c r="Q3438" s="7"/>
      <c r="R3438" s="7"/>
      <c r="S3438" s="7"/>
      <c r="T3438" s="7"/>
      <c r="U3438" s="7"/>
      <c r="V3438" s="7"/>
      <c r="W3438" s="7"/>
      <c r="X3438" s="7"/>
      <c r="Y3438" s="7"/>
    </row>
    <row r="3439">
      <c r="A3439" s="14" t="s">
        <v>12269</v>
      </c>
      <c r="B3439" s="17" t="s">
        <v>12270</v>
      </c>
      <c r="C3439" s="17" t="s">
        <v>12271</v>
      </c>
      <c r="D3439" s="19" t="s">
        <v>12272</v>
      </c>
      <c r="E3439" s="20" t="s">
        <v>989</v>
      </c>
      <c r="F3439" s="27">
        <v>37239.0</v>
      </c>
      <c r="G3439" s="14">
        <v>24.0</v>
      </c>
      <c r="H3439" s="23" t="s">
        <v>100</v>
      </c>
      <c r="I3439" s="24" t="s">
        <v>33</v>
      </c>
      <c r="J3439" s="19" t="s">
        <v>53</v>
      </c>
      <c r="K3439" s="14">
        <v>27.0</v>
      </c>
      <c r="L3439" s="7"/>
      <c r="M3439" s="7"/>
      <c r="N3439" s="7"/>
      <c r="O3439" s="7"/>
      <c r="P3439" s="7"/>
      <c r="Q3439" s="7"/>
      <c r="R3439" s="7"/>
      <c r="S3439" s="7"/>
      <c r="T3439" s="7"/>
      <c r="U3439" s="7"/>
      <c r="V3439" s="7"/>
      <c r="W3439" s="7"/>
      <c r="X3439" s="7"/>
      <c r="Y3439" s="7"/>
    </row>
    <row r="3440">
      <c r="A3440" s="14" t="s">
        <v>12273</v>
      </c>
      <c r="B3440" s="17" t="s">
        <v>12270</v>
      </c>
      <c r="C3440" s="17" t="s">
        <v>12274</v>
      </c>
      <c r="D3440" s="19" t="s">
        <v>12275</v>
      </c>
      <c r="E3440" s="20" t="s">
        <v>989</v>
      </c>
      <c r="F3440" s="21">
        <v>28873.0</v>
      </c>
      <c r="G3440" s="14">
        <v>47.0</v>
      </c>
      <c r="H3440" s="23" t="s">
        <v>26</v>
      </c>
      <c r="I3440" s="24" t="s">
        <v>27</v>
      </c>
      <c r="J3440" s="19" t="s">
        <v>53</v>
      </c>
      <c r="K3440" s="14">
        <v>27.0</v>
      </c>
      <c r="L3440" s="7"/>
      <c r="M3440" s="7"/>
      <c r="N3440" s="7"/>
      <c r="O3440" s="7"/>
      <c r="P3440" s="7"/>
      <c r="Q3440" s="7"/>
      <c r="R3440" s="7"/>
      <c r="S3440" s="7"/>
      <c r="T3440" s="7"/>
      <c r="U3440" s="7"/>
      <c r="V3440" s="7"/>
      <c r="W3440" s="7"/>
      <c r="X3440" s="7"/>
      <c r="Y3440" s="7"/>
    </row>
    <row r="3441">
      <c r="A3441" s="14" t="s">
        <v>12276</v>
      </c>
      <c r="B3441" s="17" t="s">
        <v>12270</v>
      </c>
      <c r="C3441" s="17" t="s">
        <v>12277</v>
      </c>
      <c r="D3441" s="19" t="s">
        <v>4380</v>
      </c>
      <c r="E3441" s="20" t="s">
        <v>632</v>
      </c>
      <c r="F3441" s="21">
        <v>26427.0</v>
      </c>
      <c r="G3441" s="14">
        <v>54.0</v>
      </c>
      <c r="H3441" s="23" t="s">
        <v>26</v>
      </c>
      <c r="I3441" s="24" t="s">
        <v>33</v>
      </c>
      <c r="J3441" s="19" t="s">
        <v>53</v>
      </c>
      <c r="K3441" s="14">
        <v>27.0</v>
      </c>
      <c r="L3441" s="7"/>
      <c r="M3441" s="7"/>
      <c r="N3441" s="7"/>
      <c r="O3441" s="7"/>
      <c r="P3441" s="7"/>
      <c r="Q3441" s="7"/>
      <c r="R3441" s="7"/>
      <c r="S3441" s="7"/>
      <c r="T3441" s="7"/>
      <c r="U3441" s="7"/>
      <c r="V3441" s="7"/>
      <c r="W3441" s="7"/>
      <c r="X3441" s="7"/>
      <c r="Y3441" s="7"/>
    </row>
    <row r="3442">
      <c r="A3442" s="14" t="s">
        <v>12278</v>
      </c>
      <c r="B3442" s="17" t="s">
        <v>12279</v>
      </c>
      <c r="C3442" s="17" t="s">
        <v>12280</v>
      </c>
      <c r="D3442" s="19" t="s">
        <v>12281</v>
      </c>
      <c r="E3442" s="20" t="s">
        <v>104</v>
      </c>
      <c r="F3442" s="21">
        <v>36401.0</v>
      </c>
      <c r="G3442" s="14">
        <v>27.0</v>
      </c>
      <c r="H3442" s="23" t="s">
        <v>100</v>
      </c>
      <c r="I3442" s="24" t="s">
        <v>33</v>
      </c>
      <c r="J3442" s="19" t="s">
        <v>53</v>
      </c>
      <c r="K3442" s="14">
        <v>6.0</v>
      </c>
      <c r="L3442" s="7"/>
      <c r="M3442" s="7"/>
      <c r="N3442" s="7"/>
      <c r="O3442" s="7"/>
      <c r="P3442" s="7"/>
      <c r="Q3442" s="7"/>
      <c r="R3442" s="7"/>
      <c r="S3442" s="7"/>
      <c r="T3442" s="7"/>
      <c r="U3442" s="7"/>
      <c r="V3442" s="7"/>
      <c r="W3442" s="7"/>
      <c r="X3442" s="7"/>
      <c r="Y3442" s="7"/>
    </row>
    <row r="3443">
      <c r="A3443" s="14" t="s">
        <v>12283</v>
      </c>
      <c r="B3443" s="17" t="s">
        <v>12279</v>
      </c>
      <c r="C3443" s="17" t="s">
        <v>12284</v>
      </c>
      <c r="D3443" s="19" t="s">
        <v>12285</v>
      </c>
      <c r="E3443" s="20" t="s">
        <v>210</v>
      </c>
      <c r="F3443" s="27">
        <v>27388.0</v>
      </c>
      <c r="G3443" s="14">
        <v>51.0</v>
      </c>
      <c r="H3443" s="23" t="s">
        <v>26</v>
      </c>
      <c r="I3443" s="24" t="s">
        <v>33</v>
      </c>
      <c r="J3443" s="19" t="s">
        <v>53</v>
      </c>
      <c r="K3443" s="14">
        <v>6.0</v>
      </c>
      <c r="L3443" s="7"/>
      <c r="M3443" s="7"/>
      <c r="N3443" s="7"/>
      <c r="O3443" s="7"/>
      <c r="P3443" s="7"/>
      <c r="Q3443" s="7"/>
      <c r="R3443" s="7"/>
      <c r="S3443" s="7"/>
      <c r="T3443" s="7"/>
      <c r="U3443" s="7"/>
      <c r="V3443" s="7"/>
      <c r="W3443" s="7"/>
      <c r="X3443" s="7"/>
      <c r="Y3443" s="7"/>
    </row>
    <row r="3444">
      <c r="A3444" s="14" t="s">
        <v>12286</v>
      </c>
      <c r="B3444" s="17" t="s">
        <v>12279</v>
      </c>
      <c r="C3444" s="17" t="s">
        <v>12287</v>
      </c>
      <c r="D3444" s="19" t="s">
        <v>5493</v>
      </c>
      <c r="E3444" s="20" t="s">
        <v>195</v>
      </c>
      <c r="F3444" s="27">
        <v>30268.0</v>
      </c>
      <c r="G3444" s="14">
        <v>43.0</v>
      </c>
      <c r="H3444" s="23" t="s">
        <v>26</v>
      </c>
      <c r="I3444" s="24" t="s">
        <v>27</v>
      </c>
      <c r="J3444" s="19" t="s">
        <v>53</v>
      </c>
      <c r="K3444" s="14">
        <v>6.0</v>
      </c>
      <c r="L3444" s="7"/>
      <c r="M3444" s="7"/>
      <c r="N3444" s="7"/>
      <c r="O3444" s="7"/>
      <c r="P3444" s="7"/>
      <c r="Q3444" s="7"/>
      <c r="R3444" s="7"/>
      <c r="S3444" s="7"/>
      <c r="T3444" s="7"/>
      <c r="U3444" s="7"/>
      <c r="V3444" s="7"/>
      <c r="W3444" s="7"/>
      <c r="X3444" s="7"/>
      <c r="Y3444" s="7"/>
    </row>
    <row r="3445">
      <c r="A3445" s="14" t="s">
        <v>12288</v>
      </c>
      <c r="B3445" s="17" t="s">
        <v>12289</v>
      </c>
      <c r="C3445" s="17" t="s">
        <v>12290</v>
      </c>
      <c r="D3445" s="19" t="s">
        <v>12291</v>
      </c>
      <c r="E3445" s="20" t="s">
        <v>2496</v>
      </c>
      <c r="F3445" s="27">
        <v>29942.0</v>
      </c>
      <c r="G3445" s="14">
        <v>44.0</v>
      </c>
      <c r="H3445" s="23" t="s">
        <v>26</v>
      </c>
      <c r="I3445" s="24" t="s">
        <v>33</v>
      </c>
      <c r="J3445" s="19" t="s">
        <v>53</v>
      </c>
      <c r="K3445" s="14">
        <v>6.0</v>
      </c>
      <c r="L3445" s="7"/>
      <c r="M3445" s="7"/>
      <c r="N3445" s="7"/>
      <c r="O3445" s="7"/>
      <c r="P3445" s="7"/>
      <c r="Q3445" s="7"/>
      <c r="R3445" s="7"/>
      <c r="S3445" s="7"/>
      <c r="T3445" s="7"/>
      <c r="U3445" s="7"/>
      <c r="V3445" s="7"/>
      <c r="W3445" s="7"/>
      <c r="X3445" s="7"/>
      <c r="Y3445" s="7"/>
    </row>
    <row r="3446">
      <c r="A3446" s="14" t="s">
        <v>12292</v>
      </c>
      <c r="B3446" s="17" t="s">
        <v>12289</v>
      </c>
      <c r="C3446" s="17" t="s">
        <v>12293</v>
      </c>
      <c r="D3446" s="19" t="s">
        <v>12294</v>
      </c>
      <c r="E3446" s="20" t="s">
        <v>53</v>
      </c>
      <c r="F3446" s="21">
        <v>38184.0</v>
      </c>
      <c r="G3446" s="14">
        <v>22.0</v>
      </c>
      <c r="H3446" s="23" t="s">
        <v>100</v>
      </c>
      <c r="I3446" s="24" t="s">
        <v>27</v>
      </c>
      <c r="J3446" s="19" t="s">
        <v>53</v>
      </c>
      <c r="K3446" s="14">
        <v>6.0</v>
      </c>
      <c r="L3446" s="7"/>
      <c r="M3446" s="7"/>
      <c r="N3446" s="7"/>
      <c r="O3446" s="7"/>
      <c r="P3446" s="7"/>
      <c r="Q3446" s="7"/>
      <c r="R3446" s="7"/>
      <c r="S3446" s="7"/>
      <c r="T3446" s="7"/>
      <c r="U3446" s="7"/>
      <c r="V3446" s="7"/>
      <c r="W3446" s="7"/>
      <c r="X3446" s="7"/>
      <c r="Y3446" s="7"/>
    </row>
    <row r="3447">
      <c r="A3447" s="14" t="s">
        <v>12295</v>
      </c>
      <c r="B3447" s="17" t="s">
        <v>12289</v>
      </c>
      <c r="C3447" s="17" t="s">
        <v>12296</v>
      </c>
      <c r="D3447" s="19" t="s">
        <v>2640</v>
      </c>
      <c r="E3447" s="20" t="s">
        <v>138</v>
      </c>
      <c r="F3447" s="21">
        <v>30410.0</v>
      </c>
      <c r="G3447" s="14">
        <v>43.0</v>
      </c>
      <c r="H3447" s="23" t="s">
        <v>26</v>
      </c>
      <c r="I3447" s="24" t="s">
        <v>27</v>
      </c>
      <c r="J3447" s="19" t="s">
        <v>53</v>
      </c>
      <c r="K3447" s="14">
        <v>6.0</v>
      </c>
      <c r="L3447" s="7"/>
      <c r="M3447" s="7"/>
      <c r="N3447" s="7"/>
      <c r="O3447" s="7"/>
      <c r="P3447" s="7"/>
      <c r="Q3447" s="7"/>
      <c r="R3447" s="7"/>
      <c r="S3447" s="7"/>
      <c r="T3447" s="7"/>
      <c r="U3447" s="7"/>
      <c r="V3447" s="7"/>
      <c r="W3447" s="7"/>
      <c r="X3447" s="7"/>
      <c r="Y3447" s="7"/>
    </row>
    <row r="3448">
      <c r="A3448" s="14" t="s">
        <v>12297</v>
      </c>
      <c r="B3448" s="17" t="s">
        <v>12298</v>
      </c>
      <c r="C3448" s="17" t="s">
        <v>12299</v>
      </c>
      <c r="D3448" s="19" t="s">
        <v>12300</v>
      </c>
      <c r="E3448" s="20" t="s">
        <v>290</v>
      </c>
      <c r="F3448" s="27">
        <v>25562.0</v>
      </c>
      <c r="G3448" s="14">
        <v>56.0</v>
      </c>
      <c r="H3448" s="23" t="s">
        <v>26</v>
      </c>
      <c r="I3448" s="24" t="s">
        <v>33</v>
      </c>
      <c r="J3448" s="19" t="s">
        <v>53</v>
      </c>
      <c r="K3448" s="14">
        <v>6.0</v>
      </c>
      <c r="L3448" s="7"/>
      <c r="M3448" s="7"/>
      <c r="N3448" s="7"/>
      <c r="O3448" s="7"/>
      <c r="P3448" s="7"/>
      <c r="Q3448" s="7"/>
      <c r="R3448" s="7"/>
      <c r="S3448" s="7"/>
      <c r="T3448" s="7"/>
      <c r="U3448" s="7"/>
      <c r="V3448" s="7"/>
      <c r="W3448" s="7"/>
      <c r="X3448" s="7"/>
      <c r="Y3448" s="7"/>
    </row>
    <row r="3449">
      <c r="A3449" s="14" t="s">
        <v>12301</v>
      </c>
      <c r="B3449" s="17" t="s">
        <v>12298</v>
      </c>
      <c r="C3449" s="17" t="s">
        <v>12302</v>
      </c>
      <c r="D3449" s="19" t="s">
        <v>12303</v>
      </c>
      <c r="E3449" s="20" t="s">
        <v>104</v>
      </c>
      <c r="F3449" s="21">
        <v>38616.0</v>
      </c>
      <c r="G3449" s="14">
        <v>20.0</v>
      </c>
      <c r="H3449" s="23" t="s">
        <v>100</v>
      </c>
      <c r="I3449" s="24" t="s">
        <v>27</v>
      </c>
      <c r="J3449" s="19" t="s">
        <v>53</v>
      </c>
      <c r="K3449" s="14">
        <v>6.0</v>
      </c>
      <c r="L3449" s="7"/>
      <c r="M3449" s="7"/>
      <c r="N3449" s="7"/>
      <c r="O3449" s="7"/>
      <c r="P3449" s="7"/>
      <c r="Q3449" s="7"/>
      <c r="R3449" s="7"/>
      <c r="S3449" s="7"/>
      <c r="T3449" s="7"/>
      <c r="U3449" s="7"/>
      <c r="V3449" s="7"/>
      <c r="W3449" s="7"/>
      <c r="X3449" s="7"/>
      <c r="Y3449" s="7"/>
    </row>
    <row r="3450">
      <c r="A3450" s="14" t="s">
        <v>12304</v>
      </c>
      <c r="B3450" s="17" t="s">
        <v>12298</v>
      </c>
      <c r="C3450" s="17" t="s">
        <v>12305</v>
      </c>
      <c r="D3450" s="19" t="s">
        <v>12306</v>
      </c>
      <c r="E3450" s="20" t="s">
        <v>104</v>
      </c>
      <c r="F3450" s="27">
        <v>27386.0</v>
      </c>
      <c r="G3450" s="14">
        <v>51.0</v>
      </c>
      <c r="H3450" s="23" t="s">
        <v>26</v>
      </c>
      <c r="I3450" s="24" t="s">
        <v>27</v>
      </c>
      <c r="J3450" s="19" t="s">
        <v>53</v>
      </c>
      <c r="K3450" s="14">
        <v>6.0</v>
      </c>
      <c r="L3450" s="7"/>
      <c r="M3450" s="7"/>
      <c r="N3450" s="7"/>
      <c r="O3450" s="7"/>
      <c r="P3450" s="7"/>
      <c r="Q3450" s="7"/>
      <c r="R3450" s="7"/>
      <c r="S3450" s="7"/>
      <c r="T3450" s="7"/>
      <c r="U3450" s="7"/>
      <c r="V3450" s="7"/>
      <c r="W3450" s="7"/>
      <c r="X3450" s="7"/>
      <c r="Y3450" s="7"/>
    </row>
    <row r="3451">
      <c r="A3451" s="14" t="s">
        <v>12307</v>
      </c>
      <c r="B3451" s="17" t="s">
        <v>12298</v>
      </c>
      <c r="C3451" s="17" t="s">
        <v>12308</v>
      </c>
      <c r="D3451" s="19" t="s">
        <v>2994</v>
      </c>
      <c r="E3451" s="20" t="s">
        <v>274</v>
      </c>
      <c r="F3451" s="21">
        <v>34931.0</v>
      </c>
      <c r="G3451" s="14">
        <v>31.0</v>
      </c>
      <c r="H3451" s="23" t="s">
        <v>100</v>
      </c>
      <c r="I3451" s="24" t="s">
        <v>33</v>
      </c>
      <c r="J3451" s="19" t="s">
        <v>53</v>
      </c>
      <c r="K3451" s="14">
        <v>6.0</v>
      </c>
      <c r="L3451" s="7"/>
      <c r="M3451" s="7"/>
      <c r="N3451" s="7"/>
      <c r="O3451" s="7"/>
      <c r="P3451" s="7"/>
      <c r="Q3451" s="7"/>
      <c r="R3451" s="7"/>
      <c r="S3451" s="7"/>
      <c r="T3451" s="7"/>
      <c r="U3451" s="7"/>
      <c r="V3451" s="7"/>
      <c r="W3451" s="7"/>
      <c r="X3451" s="7"/>
      <c r="Y3451" s="7"/>
    </row>
    <row r="3452">
      <c r="A3452" s="14" t="s">
        <v>12309</v>
      </c>
      <c r="B3452" s="17" t="s">
        <v>12310</v>
      </c>
      <c r="C3452" s="17" t="s">
        <v>12311</v>
      </c>
      <c r="D3452" s="19" t="s">
        <v>12312</v>
      </c>
      <c r="E3452" s="20" t="s">
        <v>138</v>
      </c>
      <c r="F3452" s="21">
        <v>35585.0</v>
      </c>
      <c r="G3452" s="14">
        <v>29.0</v>
      </c>
      <c r="H3452" s="23" t="s">
        <v>100</v>
      </c>
      <c r="I3452" s="24" t="s">
        <v>33</v>
      </c>
      <c r="J3452" s="19" t="s">
        <v>53</v>
      </c>
      <c r="K3452" s="14">
        <v>6.0</v>
      </c>
      <c r="L3452" s="7"/>
      <c r="M3452" s="7"/>
      <c r="N3452" s="7"/>
      <c r="O3452" s="7"/>
      <c r="P3452" s="7"/>
      <c r="Q3452" s="7"/>
      <c r="R3452" s="7"/>
      <c r="S3452" s="7"/>
      <c r="T3452" s="7"/>
      <c r="U3452" s="7"/>
      <c r="V3452" s="7"/>
      <c r="W3452" s="7"/>
      <c r="X3452" s="7"/>
      <c r="Y3452" s="7"/>
    </row>
    <row r="3453">
      <c r="A3453" s="14" t="s">
        <v>12313</v>
      </c>
      <c r="B3453" s="17" t="s">
        <v>12310</v>
      </c>
      <c r="C3453" s="17" t="s">
        <v>12314</v>
      </c>
      <c r="D3453" s="19" t="s">
        <v>12315</v>
      </c>
      <c r="E3453" s="20" t="s">
        <v>434</v>
      </c>
      <c r="F3453" s="27">
        <v>23695.0</v>
      </c>
      <c r="G3453" s="14">
        <v>61.0</v>
      </c>
      <c r="H3453" s="23" t="s">
        <v>26</v>
      </c>
      <c r="I3453" s="24" t="s">
        <v>33</v>
      </c>
      <c r="J3453" s="19" t="s">
        <v>53</v>
      </c>
      <c r="K3453" s="14">
        <v>6.0</v>
      </c>
      <c r="L3453" s="7"/>
      <c r="M3453" s="7"/>
      <c r="N3453" s="7"/>
      <c r="O3453" s="7"/>
      <c r="P3453" s="7"/>
      <c r="Q3453" s="7"/>
      <c r="R3453" s="7"/>
      <c r="S3453" s="7"/>
      <c r="T3453" s="7"/>
      <c r="U3453" s="7"/>
      <c r="V3453" s="7"/>
      <c r="W3453" s="7"/>
      <c r="X3453" s="7"/>
      <c r="Y3453" s="7"/>
    </row>
    <row r="3454">
      <c r="A3454" s="14" t="s">
        <v>12316</v>
      </c>
      <c r="B3454" s="17" t="s">
        <v>12310</v>
      </c>
      <c r="C3454" s="17" t="s">
        <v>12317</v>
      </c>
      <c r="D3454" s="19" t="s">
        <v>2725</v>
      </c>
      <c r="E3454" s="20" t="s">
        <v>9953</v>
      </c>
      <c r="F3454" s="21">
        <v>27466.0</v>
      </c>
      <c r="G3454" s="14">
        <v>51.0</v>
      </c>
      <c r="H3454" s="23" t="s">
        <v>26</v>
      </c>
      <c r="I3454" s="24" t="s">
        <v>27</v>
      </c>
      <c r="J3454" s="19" t="s">
        <v>53</v>
      </c>
      <c r="K3454" s="14">
        <v>6.0</v>
      </c>
      <c r="L3454" s="7"/>
      <c r="M3454" s="7"/>
      <c r="N3454" s="7"/>
      <c r="O3454" s="7"/>
      <c r="P3454" s="7"/>
      <c r="Q3454" s="7"/>
      <c r="R3454" s="7"/>
      <c r="S3454" s="7"/>
      <c r="T3454" s="7"/>
      <c r="U3454" s="7"/>
      <c r="V3454" s="7"/>
      <c r="W3454" s="7"/>
      <c r="X3454" s="7"/>
      <c r="Y3454" s="7"/>
    </row>
    <row r="3455">
      <c r="A3455" s="14" t="s">
        <v>12318</v>
      </c>
      <c r="B3455" s="17" t="s">
        <v>12319</v>
      </c>
      <c r="C3455" s="17" t="s">
        <v>12320</v>
      </c>
      <c r="D3455" s="19" t="s">
        <v>12321</v>
      </c>
      <c r="E3455" s="20" t="s">
        <v>4976</v>
      </c>
      <c r="F3455" s="21">
        <v>32249.0</v>
      </c>
      <c r="G3455" s="14">
        <v>38.0</v>
      </c>
      <c r="H3455" s="23" t="s">
        <v>26</v>
      </c>
      <c r="I3455" s="24" t="s">
        <v>27</v>
      </c>
      <c r="J3455" s="19" t="s">
        <v>726</v>
      </c>
      <c r="K3455" s="14">
        <v>16.0</v>
      </c>
      <c r="L3455" s="7"/>
      <c r="M3455" s="7"/>
      <c r="N3455" s="7"/>
      <c r="O3455" s="7"/>
      <c r="P3455" s="7"/>
      <c r="Q3455" s="7"/>
      <c r="R3455" s="7"/>
      <c r="S3455" s="7"/>
      <c r="T3455" s="7"/>
      <c r="U3455" s="7"/>
      <c r="V3455" s="7"/>
      <c r="W3455" s="7"/>
      <c r="X3455" s="7"/>
      <c r="Y3455" s="7"/>
    </row>
    <row r="3456">
      <c r="A3456" s="14" t="s">
        <v>12322</v>
      </c>
      <c r="B3456" s="17" t="s">
        <v>12319</v>
      </c>
      <c r="C3456" s="17" t="s">
        <v>12323</v>
      </c>
      <c r="D3456" s="19" t="s">
        <v>12324</v>
      </c>
      <c r="E3456" s="20" t="s">
        <v>53</v>
      </c>
      <c r="F3456" s="21">
        <v>31048.0</v>
      </c>
      <c r="G3456" s="14">
        <v>41.0</v>
      </c>
      <c r="H3456" s="23" t="s">
        <v>26</v>
      </c>
      <c r="I3456" s="24" t="s">
        <v>33</v>
      </c>
      <c r="J3456" s="19" t="s">
        <v>726</v>
      </c>
      <c r="K3456" s="14">
        <v>16.0</v>
      </c>
      <c r="L3456" s="7"/>
      <c r="M3456" s="7"/>
      <c r="N3456" s="7"/>
      <c r="O3456" s="7"/>
      <c r="P3456" s="7"/>
      <c r="Q3456" s="7"/>
      <c r="R3456" s="7"/>
      <c r="S3456" s="7"/>
      <c r="T3456" s="7"/>
      <c r="U3456" s="7"/>
      <c r="V3456" s="7"/>
      <c r="W3456" s="7"/>
      <c r="X3456" s="7"/>
      <c r="Y3456" s="7"/>
    </row>
    <row r="3457">
      <c r="A3457" s="14" t="s">
        <v>12325</v>
      </c>
      <c r="B3457" s="17" t="s">
        <v>12326</v>
      </c>
      <c r="C3457" s="17" t="s">
        <v>12327</v>
      </c>
      <c r="D3457" s="19" t="s">
        <v>12328</v>
      </c>
      <c r="E3457" s="20" t="s">
        <v>12329</v>
      </c>
      <c r="F3457" s="21">
        <v>35605.0</v>
      </c>
      <c r="G3457" s="14">
        <v>29.0</v>
      </c>
      <c r="H3457" s="23" t="s">
        <v>26</v>
      </c>
      <c r="I3457" s="24" t="s">
        <v>33</v>
      </c>
      <c r="J3457" s="19" t="s">
        <v>328</v>
      </c>
      <c r="K3457" s="14">
        <v>25.0</v>
      </c>
      <c r="L3457" s="7"/>
      <c r="M3457" s="7"/>
      <c r="N3457" s="7"/>
      <c r="O3457" s="7"/>
      <c r="P3457" s="7"/>
      <c r="Q3457" s="7"/>
      <c r="R3457" s="7"/>
      <c r="S3457" s="7"/>
      <c r="T3457" s="7"/>
      <c r="U3457" s="7"/>
      <c r="V3457" s="7"/>
      <c r="W3457" s="7"/>
      <c r="X3457" s="7"/>
      <c r="Y3457" s="7"/>
    </row>
    <row r="3458">
      <c r="A3458" s="14" t="s">
        <v>12330</v>
      </c>
      <c r="B3458" s="17" t="s">
        <v>12326</v>
      </c>
      <c r="C3458" s="17" t="s">
        <v>12331</v>
      </c>
      <c r="D3458" s="19" t="s">
        <v>12332</v>
      </c>
      <c r="E3458" s="20" t="s">
        <v>210</v>
      </c>
      <c r="F3458" s="21">
        <v>36434.0</v>
      </c>
      <c r="G3458" s="14">
        <v>26.0</v>
      </c>
      <c r="H3458" s="23" t="s">
        <v>26</v>
      </c>
      <c r="I3458" s="24" t="s">
        <v>27</v>
      </c>
      <c r="J3458" s="19" t="s">
        <v>328</v>
      </c>
      <c r="K3458" s="14">
        <v>25.0</v>
      </c>
      <c r="L3458" s="7"/>
      <c r="M3458" s="7"/>
      <c r="N3458" s="7"/>
      <c r="O3458" s="7"/>
      <c r="P3458" s="7"/>
      <c r="Q3458" s="7"/>
      <c r="R3458" s="7"/>
      <c r="S3458" s="7"/>
      <c r="T3458" s="7"/>
      <c r="U3458" s="7"/>
      <c r="V3458" s="7"/>
      <c r="W3458" s="7"/>
      <c r="X3458" s="7"/>
      <c r="Y3458" s="7"/>
    </row>
    <row r="3459">
      <c r="A3459" s="14" t="s">
        <v>12333</v>
      </c>
      <c r="B3459" s="17" t="s">
        <v>12334</v>
      </c>
      <c r="C3459" s="17" t="s">
        <v>12335</v>
      </c>
      <c r="D3459" s="19" t="s">
        <v>12336</v>
      </c>
      <c r="E3459" s="20" t="s">
        <v>104</v>
      </c>
      <c r="F3459" s="21">
        <v>29323.0</v>
      </c>
      <c r="G3459" s="14">
        <v>46.0</v>
      </c>
      <c r="H3459" s="23" t="s">
        <v>26</v>
      </c>
      <c r="I3459" s="24" t="s">
        <v>27</v>
      </c>
      <c r="J3459" s="19" t="s">
        <v>104</v>
      </c>
      <c r="K3459" s="14">
        <v>32.0</v>
      </c>
      <c r="L3459" s="7"/>
      <c r="M3459" s="7"/>
      <c r="N3459" s="7"/>
      <c r="O3459" s="7"/>
      <c r="P3459" s="7"/>
      <c r="Q3459" s="7"/>
      <c r="R3459" s="7"/>
      <c r="S3459" s="7"/>
      <c r="T3459" s="7"/>
      <c r="U3459" s="7"/>
      <c r="V3459" s="7"/>
      <c r="W3459" s="7"/>
      <c r="X3459" s="7"/>
      <c r="Y3459" s="7"/>
    </row>
    <row r="3460">
      <c r="A3460" s="14" t="s">
        <v>12337</v>
      </c>
      <c r="B3460" s="17" t="s">
        <v>12334</v>
      </c>
      <c r="C3460" s="17" t="s">
        <v>12338</v>
      </c>
      <c r="D3460" s="19" t="s">
        <v>957</v>
      </c>
      <c r="E3460" s="20" t="s">
        <v>67</v>
      </c>
      <c r="F3460" s="21">
        <v>29263.0</v>
      </c>
      <c r="G3460" s="14">
        <v>46.0</v>
      </c>
      <c r="H3460" s="23" t="s">
        <v>26</v>
      </c>
      <c r="I3460" s="24" t="s">
        <v>33</v>
      </c>
      <c r="J3460" s="19" t="s">
        <v>104</v>
      </c>
      <c r="K3460" s="14">
        <v>32.0</v>
      </c>
      <c r="L3460" s="7"/>
      <c r="M3460" s="7"/>
      <c r="N3460" s="7"/>
      <c r="O3460" s="7"/>
      <c r="P3460" s="7"/>
      <c r="Q3460" s="7"/>
      <c r="R3460" s="7"/>
      <c r="S3460" s="7"/>
      <c r="T3460" s="7"/>
      <c r="U3460" s="7"/>
      <c r="V3460" s="7"/>
      <c r="W3460" s="7"/>
      <c r="X3460" s="7"/>
      <c r="Y3460" s="7"/>
    </row>
    <row r="3461">
      <c r="A3461" s="14" t="s">
        <v>12339</v>
      </c>
      <c r="B3461" s="17" t="s">
        <v>12340</v>
      </c>
      <c r="C3461" s="17" t="s">
        <v>12341</v>
      </c>
      <c r="D3461" s="19" t="s">
        <v>12342</v>
      </c>
      <c r="E3461" s="20" t="s">
        <v>624</v>
      </c>
      <c r="F3461" s="21">
        <v>33695.0</v>
      </c>
      <c r="G3461" s="14">
        <v>34.0</v>
      </c>
      <c r="H3461" s="23" t="s">
        <v>26</v>
      </c>
      <c r="I3461" s="24" t="s">
        <v>27</v>
      </c>
      <c r="J3461" s="19" t="s">
        <v>53</v>
      </c>
      <c r="K3461" s="14">
        <v>18.0</v>
      </c>
      <c r="L3461" s="7"/>
      <c r="M3461" s="7"/>
      <c r="N3461" s="7"/>
      <c r="O3461" s="7"/>
      <c r="P3461" s="7"/>
      <c r="Q3461" s="7"/>
      <c r="R3461" s="7"/>
      <c r="S3461" s="7"/>
      <c r="T3461" s="7"/>
      <c r="U3461" s="7"/>
      <c r="V3461" s="7"/>
      <c r="W3461" s="7"/>
      <c r="X3461" s="7"/>
      <c r="Y3461" s="7"/>
    </row>
    <row r="3462">
      <c r="A3462" s="14" t="s">
        <v>12343</v>
      </c>
      <c r="B3462" s="17" t="s">
        <v>12340</v>
      </c>
      <c r="C3462" s="17" t="s">
        <v>12344</v>
      </c>
      <c r="D3462" s="19" t="s">
        <v>12345</v>
      </c>
      <c r="E3462" s="20" t="s">
        <v>104</v>
      </c>
      <c r="F3462" s="21">
        <v>34133.0</v>
      </c>
      <c r="G3462" s="14">
        <v>33.0</v>
      </c>
      <c r="H3462" s="23" t="s">
        <v>26</v>
      </c>
      <c r="I3462" s="24" t="s">
        <v>33</v>
      </c>
      <c r="J3462" s="19" t="s">
        <v>53</v>
      </c>
      <c r="K3462" s="14">
        <v>18.0</v>
      </c>
      <c r="L3462" s="7"/>
      <c r="M3462" s="7"/>
      <c r="N3462" s="7"/>
      <c r="O3462" s="7"/>
      <c r="P3462" s="7"/>
      <c r="Q3462" s="7"/>
      <c r="R3462" s="7"/>
      <c r="S3462" s="7"/>
      <c r="T3462" s="7"/>
      <c r="U3462" s="7"/>
      <c r="V3462" s="7"/>
      <c r="W3462" s="7"/>
      <c r="X3462" s="7"/>
      <c r="Y3462" s="7"/>
    </row>
    <row r="3463">
      <c r="A3463" s="14" t="s">
        <v>12346</v>
      </c>
      <c r="B3463" s="17" t="s">
        <v>12347</v>
      </c>
      <c r="C3463" s="17" t="s">
        <v>12348</v>
      </c>
      <c r="D3463" s="19" t="s">
        <v>12349</v>
      </c>
      <c r="E3463" s="20" t="s">
        <v>53</v>
      </c>
      <c r="F3463" s="27">
        <v>32136.0</v>
      </c>
      <c r="G3463" s="14">
        <v>38.0</v>
      </c>
      <c r="H3463" s="23" t="s">
        <v>26</v>
      </c>
      <c r="I3463" s="24" t="s">
        <v>33</v>
      </c>
      <c r="J3463" s="19" t="s">
        <v>328</v>
      </c>
      <c r="K3463" s="14">
        <v>21.0</v>
      </c>
      <c r="L3463" s="7"/>
      <c r="M3463" s="7"/>
      <c r="N3463" s="7"/>
      <c r="O3463" s="7"/>
      <c r="P3463" s="7"/>
      <c r="Q3463" s="7"/>
      <c r="R3463" s="7"/>
      <c r="S3463" s="7"/>
      <c r="T3463" s="7"/>
      <c r="U3463" s="7"/>
      <c r="V3463" s="7"/>
      <c r="W3463" s="7"/>
      <c r="X3463" s="7"/>
      <c r="Y3463" s="7"/>
    </row>
    <row r="3464">
      <c r="A3464" s="14" t="s">
        <v>12350</v>
      </c>
      <c r="B3464" s="17" t="s">
        <v>12347</v>
      </c>
      <c r="C3464" s="17" t="s">
        <v>12351</v>
      </c>
      <c r="D3464" s="19" t="s">
        <v>12352</v>
      </c>
      <c r="E3464" s="20" t="s">
        <v>104</v>
      </c>
      <c r="F3464" s="21">
        <v>34279.0</v>
      </c>
      <c r="G3464" s="14">
        <v>32.0</v>
      </c>
      <c r="H3464" s="23" t="s">
        <v>26</v>
      </c>
      <c r="I3464" s="24" t="s">
        <v>27</v>
      </c>
      <c r="J3464" s="19" t="s">
        <v>328</v>
      </c>
      <c r="K3464" s="14">
        <v>21.0</v>
      </c>
      <c r="L3464" s="7"/>
      <c r="M3464" s="7"/>
      <c r="N3464" s="7"/>
      <c r="O3464" s="7"/>
      <c r="P3464" s="7"/>
      <c r="Q3464" s="7"/>
      <c r="R3464" s="7"/>
      <c r="S3464" s="7"/>
      <c r="T3464" s="7"/>
      <c r="U3464" s="7"/>
      <c r="V3464" s="7"/>
      <c r="W3464" s="7"/>
      <c r="X3464" s="7"/>
      <c r="Y3464" s="7"/>
    </row>
    <row r="3465">
      <c r="A3465" s="14" t="s">
        <v>12353</v>
      </c>
      <c r="B3465" s="17" t="s">
        <v>12354</v>
      </c>
      <c r="C3465" s="17" t="s">
        <v>12355</v>
      </c>
      <c r="D3465" s="19" t="s">
        <v>12356</v>
      </c>
      <c r="E3465" s="20" t="s">
        <v>12357</v>
      </c>
      <c r="F3465" s="21">
        <v>34488.0</v>
      </c>
      <c r="G3465" s="14">
        <v>32.0</v>
      </c>
      <c r="H3465" s="23" t="s">
        <v>26</v>
      </c>
      <c r="I3465" s="24" t="s">
        <v>33</v>
      </c>
      <c r="J3465" s="19" t="s">
        <v>337</v>
      </c>
      <c r="K3465" s="14">
        <v>3.0</v>
      </c>
      <c r="L3465" s="7"/>
      <c r="M3465" s="7"/>
      <c r="N3465" s="7"/>
      <c r="O3465" s="7"/>
      <c r="P3465" s="7"/>
      <c r="Q3465" s="7"/>
      <c r="R3465" s="7"/>
      <c r="S3465" s="7"/>
      <c r="T3465" s="7"/>
      <c r="U3465" s="7"/>
      <c r="V3465" s="7"/>
      <c r="W3465" s="7"/>
      <c r="X3465" s="7"/>
      <c r="Y3465" s="7"/>
    </row>
    <row r="3466">
      <c r="A3466" s="14" t="s">
        <v>12358</v>
      </c>
      <c r="B3466" s="17" t="s">
        <v>12354</v>
      </c>
      <c r="C3466" s="17" t="s">
        <v>12359</v>
      </c>
      <c r="D3466" s="19" t="s">
        <v>12360</v>
      </c>
      <c r="E3466" s="20" t="s">
        <v>104</v>
      </c>
      <c r="F3466" s="27">
        <v>34990.0</v>
      </c>
      <c r="G3466" s="14">
        <v>30.0</v>
      </c>
      <c r="H3466" s="23" t="s">
        <v>26</v>
      </c>
      <c r="I3466" s="24" t="s">
        <v>27</v>
      </c>
      <c r="J3466" s="19" t="s">
        <v>337</v>
      </c>
      <c r="K3466" s="14">
        <v>3.0</v>
      </c>
      <c r="L3466" s="7"/>
      <c r="M3466" s="7"/>
      <c r="N3466" s="7"/>
      <c r="O3466" s="7"/>
      <c r="P3466" s="7"/>
      <c r="Q3466" s="7"/>
      <c r="R3466" s="7"/>
      <c r="S3466" s="7"/>
      <c r="T3466" s="7"/>
      <c r="U3466" s="7"/>
      <c r="V3466" s="7"/>
      <c r="W3466" s="7"/>
      <c r="X3466" s="7"/>
      <c r="Y3466" s="7"/>
    </row>
    <row r="3467">
      <c r="A3467" s="14" t="s">
        <v>12361</v>
      </c>
      <c r="B3467" s="17" t="s">
        <v>12362</v>
      </c>
      <c r="C3467" s="17" t="s">
        <v>12363</v>
      </c>
      <c r="D3467" s="19" t="s">
        <v>12364</v>
      </c>
      <c r="E3467" s="20" t="s">
        <v>12365</v>
      </c>
      <c r="F3467" s="21">
        <v>26463.0</v>
      </c>
      <c r="G3467" s="14">
        <v>54.0</v>
      </c>
      <c r="H3467" s="23" t="s">
        <v>26</v>
      </c>
      <c r="I3467" s="24" t="s">
        <v>33</v>
      </c>
      <c r="J3467" s="19" t="s">
        <v>8413</v>
      </c>
      <c r="K3467" s="14">
        <v>28.0</v>
      </c>
      <c r="L3467" s="7"/>
      <c r="M3467" s="7"/>
      <c r="N3467" s="7"/>
      <c r="O3467" s="7"/>
      <c r="P3467" s="7"/>
      <c r="Q3467" s="7"/>
      <c r="R3467" s="7"/>
      <c r="S3467" s="7"/>
      <c r="T3467" s="7"/>
      <c r="U3467" s="7"/>
      <c r="V3467" s="7"/>
      <c r="W3467" s="7"/>
      <c r="X3467" s="7"/>
      <c r="Y3467" s="7"/>
    </row>
    <row r="3468">
      <c r="A3468" s="14" t="s">
        <v>12366</v>
      </c>
      <c r="B3468" s="17" t="s">
        <v>12362</v>
      </c>
      <c r="C3468" s="17" t="s">
        <v>12367</v>
      </c>
      <c r="D3468" s="19" t="s">
        <v>12368</v>
      </c>
      <c r="E3468" s="20" t="s">
        <v>1095</v>
      </c>
      <c r="F3468" s="21">
        <v>29233.0</v>
      </c>
      <c r="G3468" s="14">
        <v>46.0</v>
      </c>
      <c r="H3468" s="23" t="s">
        <v>26</v>
      </c>
      <c r="I3468" s="24" t="s">
        <v>27</v>
      </c>
      <c r="J3468" s="19" t="s">
        <v>8413</v>
      </c>
      <c r="K3468" s="14">
        <v>28.0</v>
      </c>
      <c r="L3468" s="7"/>
      <c r="M3468" s="7"/>
      <c r="N3468" s="7"/>
      <c r="O3468" s="7"/>
      <c r="P3468" s="7"/>
      <c r="Q3468" s="7"/>
      <c r="R3468" s="7"/>
      <c r="S3468" s="7"/>
      <c r="T3468" s="7"/>
      <c r="U3468" s="7"/>
      <c r="V3468" s="7"/>
      <c r="W3468" s="7"/>
      <c r="X3468" s="7"/>
      <c r="Y3468" s="7"/>
    </row>
    <row r="3469">
      <c r="A3469" s="14" t="s">
        <v>12369</v>
      </c>
      <c r="B3469" s="17" t="s">
        <v>12362</v>
      </c>
      <c r="C3469" s="17" t="s">
        <v>12370</v>
      </c>
      <c r="D3469" s="19" t="s">
        <v>12371</v>
      </c>
      <c r="E3469" s="20" t="s">
        <v>138</v>
      </c>
      <c r="F3469" s="27">
        <v>38278.0</v>
      </c>
      <c r="G3469" s="14">
        <v>21.0</v>
      </c>
      <c r="H3469" s="23" t="s">
        <v>100</v>
      </c>
      <c r="I3469" s="24" t="s">
        <v>27</v>
      </c>
      <c r="J3469" s="19" t="s">
        <v>8413</v>
      </c>
      <c r="K3469" s="14">
        <v>28.0</v>
      </c>
      <c r="L3469" s="7"/>
      <c r="M3469" s="7"/>
      <c r="N3469" s="7"/>
      <c r="O3469" s="7"/>
      <c r="P3469" s="7"/>
      <c r="Q3469" s="7"/>
      <c r="R3469" s="7"/>
      <c r="S3469" s="7"/>
      <c r="T3469" s="7"/>
      <c r="U3469" s="7"/>
      <c r="V3469" s="7"/>
      <c r="W3469" s="7"/>
      <c r="X3469" s="7"/>
      <c r="Y3469" s="7"/>
    </row>
    <row r="3470">
      <c r="A3470" s="14" t="s">
        <v>12372</v>
      </c>
      <c r="B3470" s="17" t="s">
        <v>12373</v>
      </c>
      <c r="C3470" s="17" t="s">
        <v>12374</v>
      </c>
      <c r="D3470" s="19" t="s">
        <v>12375</v>
      </c>
      <c r="E3470" s="20" t="s">
        <v>104</v>
      </c>
      <c r="F3470" s="21">
        <v>37090.0</v>
      </c>
      <c r="G3470" s="14">
        <v>25.0</v>
      </c>
      <c r="H3470" s="23" t="s">
        <v>100</v>
      </c>
      <c r="I3470" s="24" t="s">
        <v>27</v>
      </c>
      <c r="J3470" s="19" t="s">
        <v>146</v>
      </c>
      <c r="K3470" s="14">
        <v>10.0</v>
      </c>
      <c r="L3470" s="7"/>
      <c r="M3470" s="7"/>
      <c r="N3470" s="7"/>
      <c r="O3470" s="7"/>
      <c r="P3470" s="7"/>
      <c r="Q3470" s="7"/>
      <c r="R3470" s="7"/>
      <c r="S3470" s="7"/>
      <c r="T3470" s="7"/>
      <c r="U3470" s="7"/>
      <c r="V3470" s="7"/>
      <c r="W3470" s="7"/>
      <c r="X3470" s="7"/>
      <c r="Y3470" s="7"/>
    </row>
    <row r="3471">
      <c r="A3471" s="14" t="s">
        <v>12376</v>
      </c>
      <c r="B3471" s="17" t="s">
        <v>12373</v>
      </c>
      <c r="C3471" s="17" t="s">
        <v>12377</v>
      </c>
      <c r="D3471" s="19" t="s">
        <v>4523</v>
      </c>
      <c r="E3471" s="20" t="s">
        <v>880</v>
      </c>
      <c r="F3471" s="21">
        <v>27038.0</v>
      </c>
      <c r="G3471" s="14">
        <v>52.0</v>
      </c>
      <c r="H3471" s="23" t="s">
        <v>26</v>
      </c>
      <c r="I3471" s="24" t="s">
        <v>33</v>
      </c>
      <c r="J3471" s="19" t="s">
        <v>146</v>
      </c>
      <c r="K3471" s="14">
        <v>10.0</v>
      </c>
      <c r="L3471" s="7"/>
      <c r="M3471" s="7"/>
      <c r="N3471" s="7"/>
      <c r="O3471" s="7"/>
      <c r="P3471" s="7"/>
      <c r="Q3471" s="7"/>
      <c r="R3471" s="7"/>
      <c r="S3471" s="7"/>
      <c r="T3471" s="7"/>
      <c r="U3471" s="7"/>
      <c r="V3471" s="7"/>
      <c r="W3471" s="7"/>
      <c r="X3471" s="7"/>
      <c r="Y3471" s="7"/>
    </row>
    <row r="3472">
      <c r="A3472" s="14" t="s">
        <v>12378</v>
      </c>
      <c r="B3472" s="17" t="s">
        <v>12373</v>
      </c>
      <c r="C3472" s="17" t="s">
        <v>12379</v>
      </c>
      <c r="D3472" s="19" t="s">
        <v>12380</v>
      </c>
      <c r="E3472" s="20" t="s">
        <v>2680</v>
      </c>
      <c r="F3472" s="21">
        <v>29300.0</v>
      </c>
      <c r="G3472" s="14">
        <v>46.0</v>
      </c>
      <c r="H3472" s="23" t="s">
        <v>26</v>
      </c>
      <c r="I3472" s="24" t="s">
        <v>27</v>
      </c>
      <c r="J3472" s="19" t="s">
        <v>146</v>
      </c>
      <c r="K3472" s="14">
        <v>10.0</v>
      </c>
      <c r="L3472" s="7"/>
      <c r="M3472" s="7"/>
      <c r="N3472" s="7"/>
      <c r="O3472" s="7"/>
      <c r="P3472" s="7"/>
      <c r="Q3472" s="7"/>
      <c r="R3472" s="7"/>
      <c r="S3472" s="7"/>
      <c r="T3472" s="7"/>
      <c r="U3472" s="7"/>
      <c r="V3472" s="7"/>
      <c r="W3472" s="7"/>
      <c r="X3472" s="7"/>
      <c r="Y3472" s="7"/>
    </row>
    <row r="3473">
      <c r="A3473" s="14" t="s">
        <v>12381</v>
      </c>
      <c r="B3473" s="17" t="s">
        <v>12382</v>
      </c>
      <c r="C3473" s="17" t="s">
        <v>12383</v>
      </c>
      <c r="D3473" s="19" t="s">
        <v>12384</v>
      </c>
      <c r="E3473" s="20" t="s">
        <v>7517</v>
      </c>
      <c r="F3473" s="27">
        <v>22205.0</v>
      </c>
      <c r="G3473" s="14">
        <v>65.0</v>
      </c>
      <c r="H3473" s="23" t="s">
        <v>26</v>
      </c>
      <c r="I3473" s="24" t="s">
        <v>33</v>
      </c>
      <c r="J3473" s="19" t="s">
        <v>517</v>
      </c>
      <c r="K3473" s="14">
        <v>5.0</v>
      </c>
      <c r="L3473" s="7"/>
      <c r="M3473" s="7"/>
      <c r="N3473" s="7"/>
      <c r="O3473" s="7"/>
      <c r="P3473" s="7"/>
      <c r="Q3473" s="7"/>
      <c r="R3473" s="7"/>
      <c r="S3473" s="7"/>
      <c r="T3473" s="7"/>
      <c r="U3473" s="7"/>
      <c r="V3473" s="7"/>
      <c r="W3473" s="7"/>
      <c r="X3473" s="7"/>
      <c r="Y3473" s="7"/>
    </row>
    <row r="3474">
      <c r="A3474" s="14" t="s">
        <v>12385</v>
      </c>
      <c r="B3474" s="17" t="s">
        <v>12382</v>
      </c>
      <c r="C3474" s="17" t="s">
        <v>12386</v>
      </c>
      <c r="D3474" s="19" t="s">
        <v>661</v>
      </c>
      <c r="E3474" s="20" t="s">
        <v>5046</v>
      </c>
      <c r="F3474" s="21">
        <v>18527.0</v>
      </c>
      <c r="G3474" s="14">
        <v>75.0</v>
      </c>
      <c r="H3474" s="23" t="s">
        <v>26</v>
      </c>
      <c r="I3474" s="24" t="s">
        <v>27</v>
      </c>
      <c r="J3474" s="19" t="s">
        <v>517</v>
      </c>
      <c r="K3474" s="14">
        <v>5.0</v>
      </c>
      <c r="L3474" s="7"/>
      <c r="M3474" s="7"/>
      <c r="N3474" s="7"/>
      <c r="O3474" s="7"/>
      <c r="P3474" s="7"/>
      <c r="Q3474" s="7"/>
      <c r="R3474" s="7"/>
      <c r="S3474" s="7"/>
      <c r="T3474" s="7"/>
      <c r="U3474" s="7"/>
      <c r="V3474" s="7"/>
      <c r="W3474" s="7"/>
      <c r="X3474" s="7"/>
      <c r="Y3474" s="7"/>
    </row>
    <row r="3475">
      <c r="A3475" s="14" t="s">
        <v>12388</v>
      </c>
      <c r="B3475" s="17" t="s">
        <v>12389</v>
      </c>
      <c r="C3475" s="17" t="s">
        <v>12390</v>
      </c>
      <c r="D3475" s="19" t="s">
        <v>5549</v>
      </c>
      <c r="E3475" s="20" t="s">
        <v>104</v>
      </c>
      <c r="F3475" s="21">
        <v>28946.0</v>
      </c>
      <c r="G3475" s="14">
        <v>47.0</v>
      </c>
      <c r="H3475" s="23" t="s">
        <v>26</v>
      </c>
      <c r="I3475" s="24" t="s">
        <v>33</v>
      </c>
      <c r="J3475" s="19" t="s">
        <v>146</v>
      </c>
      <c r="K3475" s="14">
        <v>6.0</v>
      </c>
      <c r="L3475" s="7"/>
      <c r="M3475" s="7"/>
      <c r="N3475" s="7"/>
      <c r="O3475" s="7"/>
      <c r="P3475" s="7"/>
      <c r="Q3475" s="7"/>
      <c r="R3475" s="7"/>
      <c r="S3475" s="7"/>
      <c r="T3475" s="7"/>
      <c r="U3475" s="7"/>
      <c r="V3475" s="7"/>
      <c r="W3475" s="7"/>
      <c r="X3475" s="7"/>
      <c r="Y3475" s="7"/>
    </row>
    <row r="3476">
      <c r="A3476" s="14" t="s">
        <v>12391</v>
      </c>
      <c r="B3476" s="17" t="s">
        <v>12389</v>
      </c>
      <c r="C3476" s="17" t="s">
        <v>12392</v>
      </c>
      <c r="D3476" s="19" t="s">
        <v>5649</v>
      </c>
      <c r="E3476" s="20" t="s">
        <v>8323</v>
      </c>
      <c r="F3476" s="21">
        <v>29416.0</v>
      </c>
      <c r="G3476" s="14">
        <v>46.0</v>
      </c>
      <c r="H3476" s="23" t="s">
        <v>26</v>
      </c>
      <c r="I3476" s="24" t="s">
        <v>27</v>
      </c>
      <c r="J3476" s="19" t="s">
        <v>146</v>
      </c>
      <c r="K3476" s="14">
        <v>6.0</v>
      </c>
      <c r="L3476" s="7"/>
      <c r="M3476" s="7"/>
      <c r="N3476" s="7"/>
      <c r="O3476" s="7"/>
      <c r="P3476" s="7"/>
      <c r="Q3476" s="7"/>
      <c r="R3476" s="7"/>
      <c r="S3476" s="7"/>
      <c r="T3476" s="7"/>
      <c r="U3476" s="7"/>
      <c r="V3476" s="7"/>
      <c r="W3476" s="7"/>
      <c r="X3476" s="7"/>
      <c r="Y3476" s="7"/>
    </row>
    <row r="3477">
      <c r="A3477" s="14" t="s">
        <v>12393</v>
      </c>
      <c r="B3477" s="17" t="s">
        <v>12394</v>
      </c>
      <c r="C3477" s="17" t="s">
        <v>12395</v>
      </c>
      <c r="D3477" s="19" t="s">
        <v>12396</v>
      </c>
      <c r="E3477" s="20" t="s">
        <v>53</v>
      </c>
      <c r="F3477" s="21">
        <v>39276.0</v>
      </c>
      <c r="G3477" s="14">
        <v>19.0</v>
      </c>
      <c r="H3477" s="23" t="s">
        <v>100</v>
      </c>
      <c r="I3477" s="24" t="s">
        <v>27</v>
      </c>
      <c r="J3477" s="19" t="s">
        <v>8413</v>
      </c>
      <c r="K3477" s="14">
        <v>32.0</v>
      </c>
      <c r="L3477" s="7"/>
      <c r="M3477" s="7"/>
      <c r="N3477" s="7"/>
      <c r="O3477" s="7"/>
      <c r="P3477" s="7"/>
      <c r="Q3477" s="7"/>
      <c r="R3477" s="7"/>
      <c r="S3477" s="7"/>
      <c r="T3477" s="7"/>
      <c r="U3477" s="7"/>
      <c r="V3477" s="7"/>
      <c r="W3477" s="7"/>
      <c r="X3477" s="7"/>
      <c r="Y3477" s="7"/>
    </row>
    <row r="3478">
      <c r="A3478" s="14" t="s">
        <v>12397</v>
      </c>
      <c r="B3478" s="17" t="s">
        <v>12394</v>
      </c>
      <c r="C3478" s="17" t="s">
        <v>12398</v>
      </c>
      <c r="D3478" s="19" t="s">
        <v>2192</v>
      </c>
      <c r="E3478" s="20" t="s">
        <v>337</v>
      </c>
      <c r="F3478" s="21">
        <v>36978.0</v>
      </c>
      <c r="G3478" s="14">
        <v>25.0</v>
      </c>
      <c r="H3478" s="23" t="s">
        <v>100</v>
      </c>
      <c r="I3478" s="24" t="s">
        <v>27</v>
      </c>
      <c r="J3478" s="19" t="s">
        <v>8413</v>
      </c>
      <c r="K3478" s="14">
        <v>32.0</v>
      </c>
      <c r="L3478" s="7"/>
      <c r="M3478" s="7"/>
      <c r="N3478" s="7"/>
      <c r="O3478" s="7"/>
      <c r="P3478" s="7"/>
      <c r="Q3478" s="7"/>
      <c r="R3478" s="7"/>
      <c r="S3478" s="7"/>
      <c r="T3478" s="7"/>
      <c r="U3478" s="7"/>
      <c r="V3478" s="7"/>
      <c r="W3478" s="7"/>
      <c r="X3478" s="7"/>
      <c r="Y3478" s="7"/>
    </row>
    <row r="3479">
      <c r="A3479" s="14" t="s">
        <v>12399</v>
      </c>
      <c r="B3479" s="17" t="s">
        <v>12394</v>
      </c>
      <c r="C3479" s="17" t="s">
        <v>12400</v>
      </c>
      <c r="D3479" s="19" t="s">
        <v>12401</v>
      </c>
      <c r="E3479" s="20" t="s">
        <v>104</v>
      </c>
      <c r="F3479" s="21">
        <v>29603.0</v>
      </c>
      <c r="G3479" s="14">
        <v>45.0</v>
      </c>
      <c r="H3479" s="23" t="s">
        <v>26</v>
      </c>
      <c r="I3479" s="24" t="s">
        <v>27</v>
      </c>
      <c r="J3479" s="19" t="s">
        <v>8413</v>
      </c>
      <c r="K3479" s="14">
        <v>32.0</v>
      </c>
      <c r="L3479" s="7"/>
      <c r="M3479" s="7"/>
      <c r="N3479" s="7"/>
      <c r="O3479" s="7"/>
      <c r="P3479" s="7"/>
      <c r="Q3479" s="7"/>
      <c r="R3479" s="7"/>
      <c r="S3479" s="7"/>
      <c r="T3479" s="7"/>
      <c r="U3479" s="7"/>
      <c r="V3479" s="7"/>
      <c r="W3479" s="7"/>
      <c r="X3479" s="7"/>
      <c r="Y3479" s="7"/>
    </row>
    <row r="3480">
      <c r="A3480" s="14" t="s">
        <v>12402</v>
      </c>
      <c r="B3480" s="17" t="s">
        <v>12394</v>
      </c>
      <c r="C3480" s="17" t="s">
        <v>12403</v>
      </c>
      <c r="D3480" s="19" t="s">
        <v>12404</v>
      </c>
      <c r="E3480" s="20" t="s">
        <v>654</v>
      </c>
      <c r="F3480" s="21">
        <v>26767.0</v>
      </c>
      <c r="G3480" s="14">
        <v>53.0</v>
      </c>
      <c r="H3480" s="23" t="s">
        <v>26</v>
      </c>
      <c r="I3480" s="24" t="s">
        <v>33</v>
      </c>
      <c r="J3480" s="19" t="s">
        <v>8413</v>
      </c>
      <c r="K3480" s="14">
        <v>32.0</v>
      </c>
      <c r="L3480" s="7"/>
      <c r="M3480" s="7"/>
      <c r="N3480" s="7"/>
      <c r="O3480" s="7"/>
      <c r="P3480" s="7"/>
      <c r="Q3480" s="7"/>
      <c r="R3480" s="7"/>
      <c r="S3480" s="7"/>
      <c r="T3480" s="7"/>
      <c r="U3480" s="7"/>
      <c r="V3480" s="7"/>
      <c r="W3480" s="7"/>
      <c r="X3480" s="7"/>
      <c r="Y3480" s="7"/>
    </row>
    <row r="3481">
      <c r="A3481" s="14" t="s">
        <v>12405</v>
      </c>
      <c r="B3481" s="17" t="s">
        <v>12406</v>
      </c>
      <c r="C3481" s="17" t="s">
        <v>12407</v>
      </c>
      <c r="D3481" s="19" t="s">
        <v>12408</v>
      </c>
      <c r="E3481" s="20" t="s">
        <v>53</v>
      </c>
      <c r="F3481" s="27">
        <v>36814.0</v>
      </c>
      <c r="G3481" s="14">
        <v>25.0</v>
      </c>
      <c r="H3481" s="23" t="s">
        <v>100</v>
      </c>
      <c r="I3481" s="24" t="s">
        <v>33</v>
      </c>
      <c r="J3481" s="19" t="s">
        <v>12409</v>
      </c>
      <c r="K3481" s="14">
        <v>8.0</v>
      </c>
      <c r="L3481" s="7"/>
      <c r="M3481" s="7"/>
      <c r="N3481" s="7"/>
      <c r="O3481" s="7"/>
      <c r="P3481" s="7"/>
      <c r="Q3481" s="7"/>
      <c r="R3481" s="7"/>
      <c r="S3481" s="7"/>
      <c r="T3481" s="7"/>
      <c r="U3481" s="7"/>
      <c r="V3481" s="7"/>
      <c r="W3481" s="7"/>
      <c r="X3481" s="7"/>
      <c r="Y3481" s="7"/>
    </row>
    <row r="3482">
      <c r="A3482" s="14" t="s">
        <v>12410</v>
      </c>
      <c r="B3482" s="17" t="s">
        <v>12406</v>
      </c>
      <c r="C3482" s="17" t="s">
        <v>12411</v>
      </c>
      <c r="D3482" s="19" t="s">
        <v>12412</v>
      </c>
      <c r="E3482" s="20" t="s">
        <v>53</v>
      </c>
      <c r="F3482" s="21">
        <v>28437.0</v>
      </c>
      <c r="G3482" s="14">
        <v>48.0</v>
      </c>
      <c r="H3482" s="23" t="s">
        <v>26</v>
      </c>
      <c r="I3482" s="24" t="s">
        <v>27</v>
      </c>
      <c r="J3482" s="19" t="s">
        <v>12409</v>
      </c>
      <c r="K3482" s="14">
        <v>8.0</v>
      </c>
      <c r="L3482" s="7"/>
      <c r="M3482" s="7"/>
      <c r="N3482" s="7"/>
      <c r="O3482" s="7"/>
      <c r="P3482" s="7"/>
      <c r="Q3482" s="7"/>
      <c r="R3482" s="7"/>
      <c r="S3482" s="7"/>
      <c r="T3482" s="7"/>
      <c r="U3482" s="7"/>
      <c r="V3482" s="7"/>
      <c r="W3482" s="7"/>
      <c r="X3482" s="7"/>
      <c r="Y3482" s="7"/>
    </row>
    <row r="3483">
      <c r="A3483" s="14" t="s">
        <v>12413</v>
      </c>
      <c r="B3483" s="17" t="s">
        <v>12406</v>
      </c>
      <c r="C3483" s="17" t="s">
        <v>12414</v>
      </c>
      <c r="D3483" s="19" t="s">
        <v>2667</v>
      </c>
      <c r="E3483" s="20" t="s">
        <v>632</v>
      </c>
      <c r="F3483" s="21">
        <v>25569.0</v>
      </c>
      <c r="G3483" s="14">
        <v>56.0</v>
      </c>
      <c r="H3483" s="23" t="s">
        <v>26</v>
      </c>
      <c r="I3483" s="24" t="s">
        <v>33</v>
      </c>
      <c r="J3483" s="19" t="s">
        <v>12409</v>
      </c>
      <c r="K3483" s="14">
        <v>8.0</v>
      </c>
      <c r="L3483" s="7"/>
      <c r="M3483" s="7"/>
      <c r="N3483" s="7"/>
      <c r="O3483" s="7"/>
      <c r="P3483" s="7"/>
      <c r="Q3483" s="7"/>
      <c r="R3483" s="7"/>
      <c r="S3483" s="7"/>
      <c r="T3483" s="7"/>
      <c r="U3483" s="7"/>
      <c r="V3483" s="7"/>
      <c r="W3483" s="7"/>
      <c r="X3483" s="7"/>
      <c r="Y3483" s="7"/>
    </row>
    <row r="3484">
      <c r="A3484" s="14" t="s">
        <v>12416</v>
      </c>
      <c r="B3484" s="17" t="s">
        <v>12417</v>
      </c>
      <c r="C3484" s="17" t="s">
        <v>12418</v>
      </c>
      <c r="D3484" s="19" t="s">
        <v>6184</v>
      </c>
      <c r="E3484" s="20" t="s">
        <v>290</v>
      </c>
      <c r="F3484" s="27">
        <v>28408.0</v>
      </c>
      <c r="G3484" s="14">
        <v>48.0</v>
      </c>
      <c r="H3484" s="23" t="s">
        <v>26</v>
      </c>
      <c r="I3484" s="24" t="s">
        <v>27</v>
      </c>
      <c r="J3484" s="19" t="s">
        <v>68</v>
      </c>
      <c r="K3484" s="14">
        <v>35.0</v>
      </c>
      <c r="L3484" s="7"/>
      <c r="M3484" s="7"/>
      <c r="N3484" s="7"/>
      <c r="O3484" s="7"/>
      <c r="P3484" s="7"/>
      <c r="Q3484" s="7"/>
      <c r="R3484" s="7"/>
      <c r="S3484" s="7"/>
      <c r="T3484" s="7"/>
      <c r="U3484" s="7"/>
      <c r="V3484" s="7"/>
      <c r="W3484" s="7"/>
      <c r="X3484" s="7"/>
      <c r="Y3484" s="7"/>
    </row>
    <row r="3485">
      <c r="A3485" s="14" t="s">
        <v>12419</v>
      </c>
      <c r="B3485" s="17" t="s">
        <v>12417</v>
      </c>
      <c r="C3485" s="17" t="s">
        <v>12420</v>
      </c>
      <c r="D3485" s="19" t="s">
        <v>12421</v>
      </c>
      <c r="E3485" s="20" t="s">
        <v>53</v>
      </c>
      <c r="F3485" s="21">
        <v>38374.0</v>
      </c>
      <c r="G3485" s="14">
        <v>21.0</v>
      </c>
      <c r="H3485" s="23" t="s">
        <v>100</v>
      </c>
      <c r="I3485" s="24" t="s">
        <v>27</v>
      </c>
      <c r="J3485" s="19" t="s">
        <v>68</v>
      </c>
      <c r="K3485" s="14">
        <v>35.0</v>
      </c>
      <c r="L3485" s="7"/>
      <c r="M3485" s="7"/>
      <c r="N3485" s="7"/>
      <c r="O3485" s="7"/>
      <c r="P3485" s="7"/>
      <c r="Q3485" s="7"/>
      <c r="R3485" s="7"/>
      <c r="S3485" s="7"/>
      <c r="T3485" s="7"/>
      <c r="U3485" s="7"/>
      <c r="V3485" s="7"/>
      <c r="W3485" s="7"/>
      <c r="X3485" s="7"/>
      <c r="Y3485" s="7"/>
    </row>
    <row r="3486">
      <c r="A3486" s="14" t="s">
        <v>12422</v>
      </c>
      <c r="B3486" s="17" t="s">
        <v>12417</v>
      </c>
      <c r="C3486" s="17" t="s">
        <v>12423</v>
      </c>
      <c r="D3486" s="19" t="s">
        <v>3321</v>
      </c>
      <c r="E3486" s="20" t="s">
        <v>67</v>
      </c>
      <c r="F3486" s="21">
        <v>27258.0</v>
      </c>
      <c r="G3486" s="14">
        <v>52.0</v>
      </c>
      <c r="H3486" s="23" t="s">
        <v>26</v>
      </c>
      <c r="I3486" s="24" t="s">
        <v>33</v>
      </c>
      <c r="J3486" s="19" t="s">
        <v>68</v>
      </c>
      <c r="K3486" s="14">
        <v>35.0</v>
      </c>
      <c r="L3486" s="7"/>
      <c r="M3486" s="7"/>
      <c r="N3486" s="7"/>
      <c r="O3486" s="7"/>
      <c r="P3486" s="7"/>
      <c r="Q3486" s="7"/>
      <c r="R3486" s="7"/>
      <c r="S3486" s="7"/>
      <c r="T3486" s="7"/>
      <c r="U3486" s="7"/>
      <c r="V3486" s="7"/>
      <c r="W3486" s="7"/>
      <c r="X3486" s="7"/>
      <c r="Y3486" s="7"/>
    </row>
    <row r="3487">
      <c r="A3487" s="14" t="s">
        <v>12424</v>
      </c>
      <c r="B3487" s="17" t="s">
        <v>12425</v>
      </c>
      <c r="C3487" s="17" t="s">
        <v>12426</v>
      </c>
      <c r="D3487" s="19" t="s">
        <v>12427</v>
      </c>
      <c r="E3487" s="20" t="s">
        <v>798</v>
      </c>
      <c r="F3487" s="21">
        <v>31651.0</v>
      </c>
      <c r="G3487" s="14">
        <v>40.0</v>
      </c>
      <c r="H3487" s="23" t="s">
        <v>26</v>
      </c>
      <c r="I3487" s="24" t="s">
        <v>27</v>
      </c>
      <c r="J3487" s="19" t="s">
        <v>362</v>
      </c>
      <c r="K3487" s="14">
        <v>24.0</v>
      </c>
      <c r="L3487" s="7"/>
      <c r="M3487" s="7"/>
      <c r="N3487" s="7"/>
      <c r="O3487" s="7"/>
      <c r="P3487" s="7"/>
      <c r="Q3487" s="7"/>
      <c r="R3487" s="7"/>
      <c r="S3487" s="7"/>
      <c r="T3487" s="7"/>
      <c r="U3487" s="7"/>
      <c r="V3487" s="7"/>
      <c r="W3487" s="7"/>
      <c r="X3487" s="7"/>
      <c r="Y3487" s="7"/>
    </row>
    <row r="3488">
      <c r="A3488" s="14" t="s">
        <v>12428</v>
      </c>
      <c r="B3488" s="17" t="s">
        <v>12425</v>
      </c>
      <c r="C3488" s="17" t="s">
        <v>12429</v>
      </c>
      <c r="D3488" s="19" t="s">
        <v>12430</v>
      </c>
      <c r="E3488" s="20" t="s">
        <v>104</v>
      </c>
      <c r="F3488" s="21">
        <v>39348.0</v>
      </c>
      <c r="G3488" s="14">
        <v>18.0</v>
      </c>
      <c r="H3488" s="23" t="s">
        <v>100</v>
      </c>
      <c r="I3488" s="24" t="s">
        <v>27</v>
      </c>
      <c r="J3488" s="19" t="s">
        <v>362</v>
      </c>
      <c r="K3488" s="14">
        <v>24.0</v>
      </c>
      <c r="L3488" s="7"/>
      <c r="M3488" s="7"/>
      <c r="N3488" s="7"/>
      <c r="O3488" s="7"/>
      <c r="P3488" s="7"/>
      <c r="Q3488" s="7"/>
      <c r="R3488" s="7"/>
      <c r="S3488" s="7"/>
      <c r="T3488" s="7"/>
      <c r="U3488" s="7"/>
      <c r="V3488" s="7"/>
      <c r="W3488" s="7"/>
      <c r="X3488" s="7"/>
      <c r="Y3488" s="7"/>
    </row>
    <row r="3489">
      <c r="A3489" s="14" t="s">
        <v>12431</v>
      </c>
      <c r="B3489" s="17" t="s">
        <v>12425</v>
      </c>
      <c r="C3489" s="17" t="s">
        <v>12432</v>
      </c>
      <c r="D3489" s="19" t="s">
        <v>12433</v>
      </c>
      <c r="E3489" s="20" t="s">
        <v>104</v>
      </c>
      <c r="F3489" s="27">
        <v>28818.0</v>
      </c>
      <c r="G3489" s="14">
        <v>47.0</v>
      </c>
      <c r="H3489" s="23" t="s">
        <v>26</v>
      </c>
      <c r="I3489" s="24" t="s">
        <v>33</v>
      </c>
      <c r="J3489" s="19" t="s">
        <v>362</v>
      </c>
      <c r="K3489" s="14">
        <v>24.0</v>
      </c>
      <c r="L3489" s="7"/>
      <c r="M3489" s="7"/>
      <c r="N3489" s="7"/>
      <c r="O3489" s="7"/>
      <c r="P3489" s="7"/>
      <c r="Q3489" s="7"/>
      <c r="R3489" s="7"/>
      <c r="S3489" s="7"/>
      <c r="T3489" s="7"/>
      <c r="U3489" s="7"/>
      <c r="V3489" s="7"/>
      <c r="W3489" s="7"/>
      <c r="X3489" s="7"/>
      <c r="Y3489" s="7"/>
    </row>
    <row r="3490">
      <c r="A3490" s="14" t="s">
        <v>12434</v>
      </c>
      <c r="B3490" s="17" t="s">
        <v>12435</v>
      </c>
      <c r="C3490" s="17" t="s">
        <v>12436</v>
      </c>
      <c r="D3490" s="19" t="s">
        <v>12437</v>
      </c>
      <c r="E3490" s="20" t="s">
        <v>1791</v>
      </c>
      <c r="F3490" s="21">
        <v>36005.0</v>
      </c>
      <c r="G3490" s="14">
        <v>28.0</v>
      </c>
      <c r="H3490" s="23" t="s">
        <v>26</v>
      </c>
      <c r="I3490" s="24" t="s">
        <v>33</v>
      </c>
      <c r="J3490" s="19" t="s">
        <v>328</v>
      </c>
      <c r="K3490" s="14">
        <v>24.0</v>
      </c>
      <c r="L3490" s="7"/>
      <c r="M3490" s="7"/>
      <c r="N3490" s="7"/>
      <c r="O3490" s="7"/>
      <c r="P3490" s="7"/>
      <c r="Q3490" s="7"/>
      <c r="R3490" s="7"/>
      <c r="S3490" s="7"/>
      <c r="T3490" s="7"/>
      <c r="U3490" s="7"/>
      <c r="V3490" s="7"/>
      <c r="W3490" s="7"/>
      <c r="X3490" s="7"/>
      <c r="Y3490" s="7"/>
    </row>
    <row r="3491">
      <c r="A3491" s="14" t="s">
        <v>12438</v>
      </c>
      <c r="B3491" s="17" t="s">
        <v>12435</v>
      </c>
      <c r="C3491" s="17" t="s">
        <v>12439</v>
      </c>
      <c r="D3491" s="19" t="s">
        <v>9512</v>
      </c>
      <c r="E3491" s="20" t="s">
        <v>104</v>
      </c>
      <c r="F3491" s="21">
        <v>32343.0</v>
      </c>
      <c r="G3491" s="14">
        <v>38.0</v>
      </c>
      <c r="H3491" s="23" t="s">
        <v>26</v>
      </c>
      <c r="I3491" s="24" t="s">
        <v>27</v>
      </c>
      <c r="J3491" s="19" t="s">
        <v>328</v>
      </c>
      <c r="K3491" s="14">
        <v>24.0</v>
      </c>
      <c r="L3491" s="7"/>
      <c r="M3491" s="7"/>
      <c r="N3491" s="7"/>
      <c r="O3491" s="7"/>
      <c r="P3491" s="7"/>
      <c r="Q3491" s="7"/>
      <c r="R3491" s="7"/>
      <c r="S3491" s="7"/>
      <c r="T3491" s="7"/>
      <c r="U3491" s="7"/>
      <c r="V3491" s="7"/>
      <c r="W3491" s="7"/>
      <c r="X3491" s="7"/>
      <c r="Y3491" s="7"/>
    </row>
    <row r="3492">
      <c r="A3492" s="14" t="s">
        <v>12440</v>
      </c>
      <c r="B3492" s="17" t="s">
        <v>12441</v>
      </c>
      <c r="C3492" s="17" t="s">
        <v>12442</v>
      </c>
      <c r="D3492" s="19" t="s">
        <v>12443</v>
      </c>
      <c r="E3492" s="20" t="s">
        <v>53</v>
      </c>
      <c r="F3492" s="27">
        <v>31715.0</v>
      </c>
      <c r="G3492" s="14">
        <v>39.0</v>
      </c>
      <c r="H3492" s="23" t="s">
        <v>26</v>
      </c>
      <c r="I3492" s="24" t="s">
        <v>33</v>
      </c>
      <c r="J3492" s="19" t="s">
        <v>68</v>
      </c>
      <c r="K3492" s="14">
        <v>30.0</v>
      </c>
      <c r="L3492" s="7"/>
      <c r="M3492" s="7"/>
      <c r="N3492" s="7"/>
      <c r="O3492" s="7"/>
      <c r="P3492" s="7"/>
      <c r="Q3492" s="7"/>
      <c r="R3492" s="7"/>
      <c r="S3492" s="7"/>
      <c r="T3492" s="7"/>
      <c r="U3492" s="7"/>
      <c r="V3492" s="7"/>
      <c r="W3492" s="7"/>
      <c r="X3492" s="7"/>
      <c r="Y3492" s="7"/>
    </row>
    <row r="3493">
      <c r="A3493" s="14" t="s">
        <v>12444</v>
      </c>
      <c r="B3493" s="17" t="s">
        <v>12441</v>
      </c>
      <c r="C3493" s="17" t="s">
        <v>12445</v>
      </c>
      <c r="D3493" s="19" t="s">
        <v>12446</v>
      </c>
      <c r="E3493" s="20" t="s">
        <v>536</v>
      </c>
      <c r="F3493" s="21">
        <v>31721.0</v>
      </c>
      <c r="G3493" s="14">
        <v>39.0</v>
      </c>
      <c r="H3493" s="23" t="s">
        <v>26</v>
      </c>
      <c r="I3493" s="24" t="s">
        <v>27</v>
      </c>
      <c r="J3493" s="19" t="s">
        <v>68</v>
      </c>
      <c r="K3493" s="14">
        <v>30.0</v>
      </c>
      <c r="L3493" s="7"/>
      <c r="M3493" s="7"/>
      <c r="N3493" s="7"/>
      <c r="O3493" s="7"/>
      <c r="P3493" s="7"/>
      <c r="Q3493" s="7"/>
      <c r="R3493" s="7"/>
      <c r="S3493" s="7"/>
      <c r="T3493" s="7"/>
      <c r="U3493" s="7"/>
      <c r="V3493" s="7"/>
      <c r="W3493" s="7"/>
      <c r="X3493" s="7"/>
      <c r="Y3493" s="7"/>
    </row>
    <row r="3494">
      <c r="A3494" s="14" t="s">
        <v>12447</v>
      </c>
      <c r="B3494" s="17" t="s">
        <v>12448</v>
      </c>
      <c r="C3494" s="17" t="s">
        <v>12449</v>
      </c>
      <c r="D3494" s="19" t="s">
        <v>12450</v>
      </c>
      <c r="E3494" s="20" t="s">
        <v>104</v>
      </c>
      <c r="F3494" s="21">
        <v>31306.0</v>
      </c>
      <c r="G3494" s="14">
        <v>40.0</v>
      </c>
      <c r="H3494" s="23" t="s">
        <v>26</v>
      </c>
      <c r="I3494" s="24" t="s">
        <v>33</v>
      </c>
      <c r="J3494" s="19" t="s">
        <v>53</v>
      </c>
      <c r="K3494" s="14">
        <v>15.0</v>
      </c>
      <c r="L3494" s="7"/>
      <c r="M3494" s="7"/>
      <c r="N3494" s="7"/>
      <c r="O3494" s="7"/>
      <c r="P3494" s="7"/>
      <c r="Q3494" s="7"/>
      <c r="R3494" s="7"/>
      <c r="S3494" s="7"/>
      <c r="T3494" s="7"/>
      <c r="U3494" s="7"/>
      <c r="V3494" s="7"/>
      <c r="W3494" s="7"/>
      <c r="X3494" s="7"/>
      <c r="Y3494" s="7"/>
    </row>
    <row r="3495">
      <c r="A3495" s="14" t="s">
        <v>12451</v>
      </c>
      <c r="B3495" s="17" t="s">
        <v>12448</v>
      </c>
      <c r="C3495" s="17" t="s">
        <v>12452</v>
      </c>
      <c r="D3495" s="19" t="s">
        <v>12453</v>
      </c>
      <c r="E3495" s="20" t="s">
        <v>104</v>
      </c>
      <c r="F3495" s="21">
        <v>31649.0</v>
      </c>
      <c r="G3495" s="14">
        <v>40.0</v>
      </c>
      <c r="H3495" s="23" t="s">
        <v>26</v>
      </c>
      <c r="I3495" s="24" t="s">
        <v>27</v>
      </c>
      <c r="J3495" s="19" t="s">
        <v>53</v>
      </c>
      <c r="K3495" s="14">
        <v>15.0</v>
      </c>
      <c r="L3495" s="7"/>
      <c r="M3495" s="7"/>
      <c r="N3495" s="7"/>
      <c r="O3495" s="7"/>
      <c r="P3495" s="7"/>
      <c r="Q3495" s="7"/>
      <c r="R3495" s="7"/>
      <c r="S3495" s="7"/>
      <c r="T3495" s="7"/>
      <c r="U3495" s="7"/>
      <c r="V3495" s="7"/>
      <c r="W3495" s="7"/>
      <c r="X3495" s="7"/>
      <c r="Y3495" s="7"/>
    </row>
    <row r="3496">
      <c r="A3496" s="14" t="s">
        <v>12454</v>
      </c>
      <c r="B3496" s="17" t="s">
        <v>12455</v>
      </c>
      <c r="C3496" s="17" t="s">
        <v>12456</v>
      </c>
      <c r="D3496" s="19" t="s">
        <v>12457</v>
      </c>
      <c r="E3496" s="20" t="s">
        <v>104</v>
      </c>
      <c r="F3496" s="21">
        <v>38058.0</v>
      </c>
      <c r="G3496" s="14">
        <v>22.0</v>
      </c>
      <c r="H3496" s="23" t="s">
        <v>100</v>
      </c>
      <c r="I3496" s="24" t="s">
        <v>27</v>
      </c>
      <c r="J3496" s="19" t="s">
        <v>68</v>
      </c>
      <c r="K3496" s="14">
        <v>28.0</v>
      </c>
      <c r="L3496" s="7"/>
      <c r="M3496" s="7"/>
      <c r="N3496" s="7"/>
      <c r="O3496" s="7"/>
      <c r="P3496" s="7"/>
      <c r="Q3496" s="7"/>
      <c r="R3496" s="7"/>
      <c r="S3496" s="7"/>
      <c r="T3496" s="7"/>
      <c r="U3496" s="7"/>
      <c r="V3496" s="7"/>
      <c r="W3496" s="7"/>
      <c r="X3496" s="7"/>
      <c r="Y3496" s="7"/>
    </row>
    <row r="3497">
      <c r="A3497" s="14" t="s">
        <v>12458</v>
      </c>
      <c r="B3497" s="17" t="s">
        <v>12455</v>
      </c>
      <c r="C3497" s="17" t="s">
        <v>12459</v>
      </c>
      <c r="D3497" s="19" t="s">
        <v>12460</v>
      </c>
      <c r="E3497" s="20" t="s">
        <v>104</v>
      </c>
      <c r="F3497" s="21">
        <v>29283.0</v>
      </c>
      <c r="G3497" s="14">
        <v>46.0</v>
      </c>
      <c r="H3497" s="23" t="s">
        <v>26</v>
      </c>
      <c r="I3497" s="24" t="s">
        <v>27</v>
      </c>
      <c r="J3497" s="19" t="s">
        <v>68</v>
      </c>
      <c r="K3497" s="14">
        <v>28.0</v>
      </c>
      <c r="L3497" s="7"/>
      <c r="M3497" s="7"/>
      <c r="N3497" s="7"/>
      <c r="O3497" s="7"/>
      <c r="P3497" s="7"/>
      <c r="Q3497" s="7"/>
      <c r="R3497" s="7"/>
      <c r="S3497" s="7"/>
      <c r="T3497" s="7"/>
      <c r="U3497" s="7"/>
      <c r="V3497" s="7"/>
      <c r="W3497" s="7"/>
      <c r="X3497" s="7"/>
      <c r="Y3497" s="7"/>
    </row>
    <row r="3498">
      <c r="A3498" s="14" t="s">
        <v>12461</v>
      </c>
      <c r="B3498" s="17" t="s">
        <v>12455</v>
      </c>
      <c r="C3498" s="17" t="s">
        <v>12462</v>
      </c>
      <c r="D3498" s="19" t="s">
        <v>2220</v>
      </c>
      <c r="E3498" s="20" t="s">
        <v>1639</v>
      </c>
      <c r="F3498" s="21">
        <v>29247.0</v>
      </c>
      <c r="G3498" s="14">
        <v>46.0</v>
      </c>
      <c r="H3498" s="23" t="s">
        <v>26</v>
      </c>
      <c r="I3498" s="24" t="s">
        <v>33</v>
      </c>
      <c r="J3498" s="19" t="s">
        <v>68</v>
      </c>
      <c r="K3498" s="14">
        <v>28.0</v>
      </c>
      <c r="L3498" s="7"/>
      <c r="M3498" s="7"/>
      <c r="N3498" s="7"/>
      <c r="O3498" s="7"/>
      <c r="P3498" s="7"/>
      <c r="Q3498" s="7"/>
      <c r="R3498" s="7"/>
      <c r="S3498" s="7"/>
      <c r="T3498" s="7"/>
      <c r="U3498" s="7"/>
      <c r="V3498" s="7"/>
      <c r="W3498" s="7"/>
      <c r="X3498" s="7"/>
      <c r="Y3498" s="7"/>
    </row>
    <row r="3499">
      <c r="A3499" s="14" t="s">
        <v>12463</v>
      </c>
      <c r="B3499" s="17" t="s">
        <v>12464</v>
      </c>
      <c r="C3499" s="17" t="s">
        <v>12465</v>
      </c>
      <c r="D3499" s="19" t="s">
        <v>12466</v>
      </c>
      <c r="E3499" s="20" t="s">
        <v>434</v>
      </c>
      <c r="F3499" s="21">
        <v>20637.0</v>
      </c>
      <c r="G3499" s="14">
        <v>70.0</v>
      </c>
      <c r="H3499" s="23" t="s">
        <v>26</v>
      </c>
      <c r="I3499" s="24" t="s">
        <v>33</v>
      </c>
      <c r="J3499" s="19" t="s">
        <v>328</v>
      </c>
      <c r="K3499" s="14">
        <v>25.0</v>
      </c>
      <c r="L3499" s="7"/>
      <c r="M3499" s="7"/>
      <c r="N3499" s="7"/>
      <c r="O3499" s="7"/>
      <c r="P3499" s="7"/>
      <c r="Q3499" s="7"/>
      <c r="R3499" s="7"/>
      <c r="S3499" s="7"/>
      <c r="T3499" s="7"/>
      <c r="U3499" s="7"/>
      <c r="V3499" s="7"/>
      <c r="W3499" s="7"/>
      <c r="X3499" s="7"/>
      <c r="Y3499" s="7"/>
    </row>
    <row r="3500">
      <c r="A3500" s="14" t="s">
        <v>12467</v>
      </c>
      <c r="B3500" s="17" t="s">
        <v>12464</v>
      </c>
      <c r="C3500" s="17" t="s">
        <v>12468</v>
      </c>
      <c r="D3500" s="19" t="s">
        <v>12469</v>
      </c>
      <c r="E3500" s="20" t="s">
        <v>1148</v>
      </c>
      <c r="F3500" s="21">
        <v>21583.0</v>
      </c>
      <c r="G3500" s="14">
        <v>67.0</v>
      </c>
      <c r="H3500" s="23" t="s">
        <v>26</v>
      </c>
      <c r="I3500" s="24" t="s">
        <v>27</v>
      </c>
      <c r="J3500" s="19" t="s">
        <v>328</v>
      </c>
      <c r="K3500" s="14">
        <v>25.0</v>
      </c>
      <c r="L3500" s="7"/>
      <c r="M3500" s="7"/>
      <c r="N3500" s="7"/>
      <c r="O3500" s="7"/>
      <c r="P3500" s="7"/>
      <c r="Q3500" s="7"/>
      <c r="R3500" s="7"/>
      <c r="S3500" s="7"/>
      <c r="T3500" s="7"/>
      <c r="U3500" s="7"/>
      <c r="V3500" s="7"/>
      <c r="W3500" s="7"/>
      <c r="X3500" s="7"/>
      <c r="Y3500" s="7"/>
    </row>
    <row r="3501">
      <c r="A3501" s="14" t="s">
        <v>12470</v>
      </c>
      <c r="B3501" s="17" t="s">
        <v>12471</v>
      </c>
      <c r="C3501" s="17" t="s">
        <v>12472</v>
      </c>
      <c r="D3501" s="19" t="s">
        <v>554</v>
      </c>
      <c r="E3501" s="20" t="s">
        <v>104</v>
      </c>
      <c r="F3501" s="21">
        <v>24752.0</v>
      </c>
      <c r="G3501" s="14">
        <v>58.0</v>
      </c>
      <c r="H3501" s="23" t="s">
        <v>26</v>
      </c>
      <c r="I3501" s="24" t="s">
        <v>27</v>
      </c>
      <c r="J3501" s="19" t="s">
        <v>989</v>
      </c>
      <c r="K3501" s="14">
        <v>26.0</v>
      </c>
      <c r="L3501" s="7"/>
      <c r="M3501" s="7"/>
      <c r="N3501" s="7"/>
      <c r="O3501" s="7"/>
      <c r="P3501" s="7"/>
      <c r="Q3501" s="7"/>
      <c r="R3501" s="7"/>
      <c r="S3501" s="7"/>
      <c r="T3501" s="7"/>
      <c r="U3501" s="7"/>
      <c r="V3501" s="7"/>
      <c r="W3501" s="7"/>
      <c r="X3501" s="7"/>
      <c r="Y3501" s="7"/>
    </row>
    <row r="3502">
      <c r="A3502" s="14" t="s">
        <v>12473</v>
      </c>
      <c r="B3502" s="17" t="s">
        <v>12471</v>
      </c>
      <c r="C3502" s="17" t="s">
        <v>12474</v>
      </c>
      <c r="D3502" s="19" t="s">
        <v>12475</v>
      </c>
      <c r="E3502" s="20" t="s">
        <v>654</v>
      </c>
      <c r="F3502" s="21">
        <v>27040.0</v>
      </c>
      <c r="G3502" s="14">
        <v>52.0</v>
      </c>
      <c r="H3502" s="23" t="s">
        <v>26</v>
      </c>
      <c r="I3502" s="24" t="s">
        <v>33</v>
      </c>
      <c r="J3502" s="19" t="s">
        <v>989</v>
      </c>
      <c r="K3502" s="14">
        <v>26.0</v>
      </c>
      <c r="L3502" s="7"/>
      <c r="M3502" s="7"/>
      <c r="N3502" s="7"/>
      <c r="O3502" s="7"/>
      <c r="P3502" s="7"/>
      <c r="Q3502" s="7"/>
      <c r="R3502" s="7"/>
      <c r="S3502" s="7"/>
      <c r="T3502" s="7"/>
      <c r="U3502" s="7"/>
      <c r="V3502" s="7"/>
      <c r="W3502" s="7"/>
      <c r="X3502" s="7"/>
      <c r="Y3502" s="7"/>
    </row>
    <row r="3503">
      <c r="A3503" s="14" t="s">
        <v>12476</v>
      </c>
      <c r="B3503" s="17" t="s">
        <v>12477</v>
      </c>
      <c r="C3503" s="17" t="s">
        <v>12478</v>
      </c>
      <c r="D3503" s="19" t="s">
        <v>12479</v>
      </c>
      <c r="E3503" s="20" t="s">
        <v>67</v>
      </c>
      <c r="F3503" s="21">
        <v>23774.0</v>
      </c>
      <c r="G3503" s="14">
        <v>61.0</v>
      </c>
      <c r="H3503" s="23" t="s">
        <v>26</v>
      </c>
      <c r="I3503" s="24" t="s">
        <v>27</v>
      </c>
      <c r="J3503" s="19" t="s">
        <v>68</v>
      </c>
      <c r="K3503" s="14">
        <v>34.0</v>
      </c>
      <c r="L3503" s="7"/>
      <c r="M3503" s="7"/>
      <c r="N3503" s="7"/>
      <c r="O3503" s="7"/>
      <c r="P3503" s="7"/>
      <c r="Q3503" s="7"/>
      <c r="R3503" s="7"/>
      <c r="S3503" s="7"/>
      <c r="T3503" s="7"/>
      <c r="U3503" s="7"/>
      <c r="V3503" s="7"/>
      <c r="W3503" s="7"/>
      <c r="X3503" s="7"/>
      <c r="Y3503" s="7"/>
    </row>
    <row r="3504">
      <c r="A3504" s="14" t="s">
        <v>12480</v>
      </c>
      <c r="B3504" s="17" t="s">
        <v>12477</v>
      </c>
      <c r="C3504" s="17" t="s">
        <v>12481</v>
      </c>
      <c r="D3504" s="19" t="s">
        <v>1282</v>
      </c>
      <c r="E3504" s="20" t="s">
        <v>67</v>
      </c>
      <c r="F3504" s="21">
        <v>22361.0</v>
      </c>
      <c r="G3504" s="14">
        <v>65.0</v>
      </c>
      <c r="H3504" s="23" t="s">
        <v>26</v>
      </c>
      <c r="I3504" s="24" t="s">
        <v>33</v>
      </c>
      <c r="J3504" s="19" t="s">
        <v>68</v>
      </c>
      <c r="K3504" s="14">
        <v>34.0</v>
      </c>
      <c r="L3504" s="7"/>
      <c r="M3504" s="7"/>
      <c r="N3504" s="7"/>
      <c r="O3504" s="7"/>
      <c r="P3504" s="7"/>
      <c r="Q3504" s="7"/>
      <c r="R3504" s="7"/>
      <c r="S3504" s="7"/>
      <c r="T3504" s="7"/>
      <c r="U3504" s="7"/>
      <c r="V3504" s="7"/>
      <c r="W3504" s="7"/>
      <c r="X3504" s="7"/>
      <c r="Y3504" s="7"/>
    </row>
    <row r="3505">
      <c r="A3505" s="14" t="s">
        <v>12482</v>
      </c>
      <c r="B3505" s="17" t="s">
        <v>12483</v>
      </c>
      <c r="C3505" s="17" t="s">
        <v>12484</v>
      </c>
      <c r="D3505" s="19" t="s">
        <v>12485</v>
      </c>
      <c r="E3505" s="20" t="s">
        <v>12486</v>
      </c>
      <c r="F3505" s="21">
        <v>28510.0</v>
      </c>
      <c r="G3505" s="14">
        <v>48.0</v>
      </c>
      <c r="H3505" s="23" t="s">
        <v>26</v>
      </c>
      <c r="I3505" s="24" t="s">
        <v>33</v>
      </c>
      <c r="J3505" s="19" t="s">
        <v>206</v>
      </c>
      <c r="K3505" s="14">
        <v>1.0</v>
      </c>
      <c r="L3505" s="7"/>
      <c r="M3505" s="7"/>
      <c r="N3505" s="7"/>
      <c r="O3505" s="7"/>
      <c r="P3505" s="7"/>
      <c r="Q3505" s="7"/>
      <c r="R3505" s="7"/>
      <c r="S3505" s="7"/>
      <c r="T3505" s="7"/>
      <c r="U3505" s="7"/>
      <c r="V3505" s="7"/>
      <c r="W3505" s="7"/>
      <c r="X3505" s="7"/>
      <c r="Y3505" s="7"/>
    </row>
    <row r="3506">
      <c r="A3506" s="14" t="s">
        <v>12487</v>
      </c>
      <c r="B3506" s="17" t="s">
        <v>12483</v>
      </c>
      <c r="C3506" s="17" t="s">
        <v>12488</v>
      </c>
      <c r="D3506" s="19" t="s">
        <v>12489</v>
      </c>
      <c r="E3506" s="20" t="s">
        <v>53</v>
      </c>
      <c r="F3506" s="21">
        <v>38324.0</v>
      </c>
      <c r="G3506" s="14">
        <v>21.0</v>
      </c>
      <c r="H3506" s="23" t="s">
        <v>100</v>
      </c>
      <c r="I3506" s="24" t="s">
        <v>27</v>
      </c>
      <c r="J3506" s="19" t="s">
        <v>206</v>
      </c>
      <c r="K3506" s="14">
        <v>1.0</v>
      </c>
      <c r="L3506" s="7"/>
      <c r="M3506" s="7"/>
      <c r="N3506" s="7"/>
      <c r="O3506" s="7"/>
      <c r="P3506" s="7"/>
      <c r="Q3506" s="7"/>
      <c r="R3506" s="7"/>
      <c r="S3506" s="7"/>
      <c r="T3506" s="7"/>
      <c r="U3506" s="7"/>
      <c r="V3506" s="7"/>
      <c r="W3506" s="7"/>
      <c r="X3506" s="7"/>
      <c r="Y3506" s="7"/>
    </row>
    <row r="3507">
      <c r="A3507" s="14" t="s">
        <v>12490</v>
      </c>
      <c r="B3507" s="17" t="s">
        <v>12483</v>
      </c>
      <c r="C3507" s="17" t="s">
        <v>12491</v>
      </c>
      <c r="D3507" s="19" t="s">
        <v>12492</v>
      </c>
      <c r="E3507" s="20" t="s">
        <v>8861</v>
      </c>
      <c r="F3507" s="21">
        <v>38195.0</v>
      </c>
      <c r="G3507" s="14">
        <v>22.0</v>
      </c>
      <c r="H3507" s="23" t="s">
        <v>100</v>
      </c>
      <c r="I3507" s="24" t="s">
        <v>33</v>
      </c>
      <c r="J3507" s="19" t="s">
        <v>206</v>
      </c>
      <c r="K3507" s="14">
        <v>1.0</v>
      </c>
      <c r="L3507" s="7"/>
      <c r="M3507" s="7"/>
      <c r="N3507" s="7"/>
      <c r="O3507" s="7"/>
      <c r="P3507" s="7"/>
      <c r="Q3507" s="7"/>
      <c r="R3507" s="7"/>
      <c r="S3507" s="7"/>
      <c r="T3507" s="7"/>
      <c r="U3507" s="7"/>
      <c r="V3507" s="7"/>
      <c r="W3507" s="7"/>
      <c r="X3507" s="7"/>
      <c r="Y3507" s="7"/>
    </row>
    <row r="3508">
      <c r="A3508" s="14" t="s">
        <v>12493</v>
      </c>
      <c r="B3508" s="17" t="s">
        <v>12483</v>
      </c>
      <c r="C3508" s="17" t="s">
        <v>12494</v>
      </c>
      <c r="D3508" s="19" t="s">
        <v>12495</v>
      </c>
      <c r="E3508" s="20" t="s">
        <v>53</v>
      </c>
      <c r="F3508" s="27">
        <v>30282.0</v>
      </c>
      <c r="G3508" s="14">
        <v>43.0</v>
      </c>
      <c r="H3508" s="23" t="s">
        <v>26</v>
      </c>
      <c r="I3508" s="24" t="s">
        <v>27</v>
      </c>
      <c r="J3508" s="19" t="s">
        <v>206</v>
      </c>
      <c r="K3508" s="14">
        <v>1.0</v>
      </c>
      <c r="L3508" s="7"/>
      <c r="M3508" s="7"/>
      <c r="N3508" s="7"/>
      <c r="O3508" s="7"/>
      <c r="P3508" s="7"/>
      <c r="Q3508" s="7"/>
      <c r="R3508" s="7"/>
      <c r="S3508" s="7"/>
      <c r="T3508" s="7"/>
      <c r="U3508" s="7"/>
      <c r="V3508" s="7"/>
      <c r="W3508" s="7"/>
      <c r="X3508" s="7"/>
      <c r="Y3508" s="7"/>
    </row>
    <row r="3509">
      <c r="A3509" s="14" t="s">
        <v>12496</v>
      </c>
      <c r="B3509" s="17" t="s">
        <v>12497</v>
      </c>
      <c r="C3509" s="17" t="s">
        <v>12498</v>
      </c>
      <c r="D3509" s="19" t="s">
        <v>12499</v>
      </c>
      <c r="E3509" s="20" t="s">
        <v>53</v>
      </c>
      <c r="F3509" s="21">
        <v>35527.0</v>
      </c>
      <c r="G3509" s="14">
        <v>29.0</v>
      </c>
      <c r="H3509" s="23" t="s">
        <v>100</v>
      </c>
      <c r="I3509" s="24" t="s">
        <v>33</v>
      </c>
      <c r="J3509" s="19" t="s">
        <v>517</v>
      </c>
      <c r="K3509" s="14">
        <v>7.0</v>
      </c>
      <c r="L3509" s="7"/>
      <c r="M3509" s="7"/>
      <c r="N3509" s="7"/>
      <c r="O3509" s="7"/>
      <c r="P3509" s="7"/>
      <c r="Q3509" s="7"/>
      <c r="R3509" s="7"/>
      <c r="S3509" s="7"/>
      <c r="T3509" s="7"/>
      <c r="U3509" s="7"/>
      <c r="V3509" s="7"/>
      <c r="W3509" s="7"/>
      <c r="X3509" s="7"/>
      <c r="Y3509" s="7"/>
    </row>
    <row r="3510">
      <c r="A3510" s="14" t="s">
        <v>12500</v>
      </c>
      <c r="B3510" s="17" t="s">
        <v>12497</v>
      </c>
      <c r="C3510" s="17" t="s">
        <v>12501</v>
      </c>
      <c r="D3510" s="19" t="s">
        <v>10703</v>
      </c>
      <c r="E3510" s="20" t="s">
        <v>650</v>
      </c>
      <c r="F3510" s="27">
        <v>25499.0</v>
      </c>
      <c r="G3510" s="14">
        <v>56.0</v>
      </c>
      <c r="H3510" s="23" t="s">
        <v>27</v>
      </c>
      <c r="I3510" s="24" t="s">
        <v>27</v>
      </c>
      <c r="J3510" s="19" t="s">
        <v>517</v>
      </c>
      <c r="K3510" s="14">
        <v>7.0</v>
      </c>
      <c r="L3510" s="7"/>
      <c r="M3510" s="7"/>
      <c r="N3510" s="7"/>
      <c r="O3510" s="7"/>
      <c r="P3510" s="7"/>
      <c r="Q3510" s="7"/>
      <c r="R3510" s="7"/>
      <c r="S3510" s="7"/>
      <c r="T3510" s="7"/>
      <c r="U3510" s="7"/>
      <c r="V3510" s="7"/>
      <c r="W3510" s="7"/>
      <c r="X3510" s="7"/>
      <c r="Y3510" s="7"/>
    </row>
    <row r="3511">
      <c r="A3511" s="14" t="s">
        <v>12502</v>
      </c>
      <c r="B3511" s="17" t="s">
        <v>12503</v>
      </c>
      <c r="C3511" s="17" t="s">
        <v>12504</v>
      </c>
      <c r="D3511" s="19" t="s">
        <v>12505</v>
      </c>
      <c r="E3511" s="20" t="s">
        <v>53</v>
      </c>
      <c r="F3511" s="27">
        <v>35409.0</v>
      </c>
      <c r="G3511" s="14">
        <v>29.0</v>
      </c>
      <c r="H3511" s="23" t="s">
        <v>100</v>
      </c>
      <c r="I3511" s="24" t="s">
        <v>33</v>
      </c>
      <c r="J3511" s="19" t="s">
        <v>7905</v>
      </c>
      <c r="K3511" s="14">
        <v>14.0</v>
      </c>
      <c r="L3511" s="7"/>
      <c r="M3511" s="7"/>
      <c r="N3511" s="7"/>
      <c r="O3511" s="7"/>
      <c r="P3511" s="7"/>
      <c r="Q3511" s="7"/>
      <c r="R3511" s="7"/>
      <c r="S3511" s="7"/>
      <c r="T3511" s="7"/>
      <c r="U3511" s="7"/>
      <c r="V3511" s="7"/>
      <c r="W3511" s="7"/>
      <c r="X3511" s="7"/>
      <c r="Y3511" s="7"/>
    </row>
    <row r="3512">
      <c r="A3512" s="14" t="s">
        <v>12506</v>
      </c>
      <c r="B3512" s="17" t="s">
        <v>12503</v>
      </c>
      <c r="C3512" s="17" t="s">
        <v>12507</v>
      </c>
      <c r="D3512" s="19" t="s">
        <v>8521</v>
      </c>
      <c r="E3512" s="20" t="s">
        <v>1058</v>
      </c>
      <c r="F3512" s="21">
        <v>26368.0</v>
      </c>
      <c r="G3512" s="14">
        <v>54.0</v>
      </c>
      <c r="H3512" s="23" t="s">
        <v>26</v>
      </c>
      <c r="I3512" s="24" t="s">
        <v>33</v>
      </c>
      <c r="J3512" s="19" t="s">
        <v>5924</v>
      </c>
      <c r="K3512" s="14">
        <v>16.0</v>
      </c>
      <c r="L3512" s="7"/>
      <c r="M3512" s="7"/>
      <c r="N3512" s="7"/>
      <c r="O3512" s="7"/>
      <c r="P3512" s="7"/>
      <c r="Q3512" s="7"/>
      <c r="R3512" s="7"/>
      <c r="S3512" s="7"/>
      <c r="T3512" s="7"/>
      <c r="U3512" s="7"/>
      <c r="V3512" s="7"/>
      <c r="W3512" s="7"/>
      <c r="X3512" s="7"/>
      <c r="Y3512" s="7"/>
    </row>
    <row r="3513">
      <c r="A3513" s="14" t="s">
        <v>12508</v>
      </c>
      <c r="B3513" s="17" t="s">
        <v>12503</v>
      </c>
      <c r="C3513" s="17" t="s">
        <v>12509</v>
      </c>
      <c r="D3513" s="19" t="s">
        <v>5299</v>
      </c>
      <c r="E3513" s="20" t="s">
        <v>1058</v>
      </c>
      <c r="F3513" s="27">
        <v>26613.0</v>
      </c>
      <c r="G3513" s="14">
        <v>53.0</v>
      </c>
      <c r="H3513" s="23" t="s">
        <v>26</v>
      </c>
      <c r="I3513" s="24" t="s">
        <v>27</v>
      </c>
      <c r="J3513" s="19" t="s">
        <v>7905</v>
      </c>
      <c r="K3513" s="14">
        <v>14.0</v>
      </c>
      <c r="L3513" s="7"/>
      <c r="M3513" s="7"/>
      <c r="N3513" s="7"/>
      <c r="O3513" s="7"/>
      <c r="P3513" s="7"/>
      <c r="Q3513" s="7"/>
      <c r="R3513" s="7"/>
      <c r="S3513" s="7"/>
      <c r="T3513" s="7"/>
      <c r="U3513" s="7"/>
      <c r="V3513" s="7"/>
      <c r="W3513" s="7"/>
      <c r="X3513" s="7"/>
      <c r="Y3513" s="7"/>
    </row>
    <row r="3514">
      <c r="A3514" s="14" t="s">
        <v>12510</v>
      </c>
      <c r="B3514" s="17" t="s">
        <v>12511</v>
      </c>
      <c r="C3514" s="17" t="s">
        <v>12512</v>
      </c>
      <c r="D3514" s="19" t="s">
        <v>12513</v>
      </c>
      <c r="E3514" s="20" t="s">
        <v>195</v>
      </c>
      <c r="F3514" s="21">
        <v>24078.0</v>
      </c>
      <c r="G3514" s="14">
        <v>60.0</v>
      </c>
      <c r="H3514" s="23" t="s">
        <v>27</v>
      </c>
      <c r="I3514" s="24" t="s">
        <v>27</v>
      </c>
      <c r="J3514" s="19" t="s">
        <v>726</v>
      </c>
      <c r="K3514" s="14">
        <v>17.0</v>
      </c>
      <c r="L3514" s="7"/>
      <c r="M3514" s="7"/>
      <c r="N3514" s="7"/>
      <c r="O3514" s="7"/>
      <c r="P3514" s="7"/>
      <c r="Q3514" s="7"/>
      <c r="R3514" s="7"/>
      <c r="S3514" s="7"/>
      <c r="T3514" s="7"/>
      <c r="U3514" s="7"/>
      <c r="V3514" s="7"/>
      <c r="W3514" s="7"/>
      <c r="X3514" s="7"/>
      <c r="Y3514" s="7"/>
    </row>
    <row r="3515">
      <c r="A3515" s="14" t="s">
        <v>12514</v>
      </c>
      <c r="B3515" s="17" t="s">
        <v>12515</v>
      </c>
      <c r="C3515" s="17" t="s">
        <v>12516</v>
      </c>
      <c r="D3515" s="19" t="s">
        <v>12517</v>
      </c>
      <c r="E3515" s="20" t="s">
        <v>624</v>
      </c>
      <c r="F3515" s="21">
        <v>22593.0</v>
      </c>
      <c r="G3515" s="14">
        <v>64.0</v>
      </c>
      <c r="H3515" s="23" t="s">
        <v>27</v>
      </c>
      <c r="I3515" s="24" t="s">
        <v>27</v>
      </c>
      <c r="J3515" s="19" t="s">
        <v>146</v>
      </c>
      <c r="K3515" s="14">
        <v>6.0</v>
      </c>
      <c r="L3515" s="7"/>
      <c r="M3515" s="7"/>
      <c r="N3515" s="7"/>
      <c r="O3515" s="7"/>
      <c r="P3515" s="7"/>
      <c r="Q3515" s="7"/>
      <c r="R3515" s="7"/>
      <c r="S3515" s="7"/>
      <c r="T3515" s="7"/>
      <c r="U3515" s="7"/>
      <c r="V3515" s="7"/>
      <c r="W3515" s="7"/>
      <c r="X3515" s="7"/>
      <c r="Y3515" s="7"/>
    </row>
    <row r="3516">
      <c r="A3516" s="14" t="s">
        <v>12518</v>
      </c>
      <c r="B3516" s="17" t="s">
        <v>12519</v>
      </c>
      <c r="C3516" s="17" t="s">
        <v>12520</v>
      </c>
      <c r="D3516" s="19" t="s">
        <v>12521</v>
      </c>
      <c r="E3516" s="20" t="s">
        <v>104</v>
      </c>
      <c r="F3516" s="21">
        <v>35649.0</v>
      </c>
      <c r="G3516" s="14">
        <v>29.0</v>
      </c>
      <c r="H3516" s="23" t="s">
        <v>100</v>
      </c>
      <c r="I3516" s="24" t="s">
        <v>33</v>
      </c>
      <c r="J3516" s="19" t="s">
        <v>282</v>
      </c>
      <c r="K3516" s="14">
        <v>12.0</v>
      </c>
      <c r="L3516" s="7"/>
      <c r="M3516" s="7"/>
      <c r="N3516" s="7"/>
      <c r="O3516" s="7"/>
      <c r="P3516" s="7"/>
      <c r="Q3516" s="7"/>
      <c r="R3516" s="7"/>
      <c r="S3516" s="7"/>
      <c r="T3516" s="7"/>
      <c r="U3516" s="7"/>
      <c r="V3516" s="7"/>
      <c r="W3516" s="7"/>
      <c r="X3516" s="7"/>
      <c r="Y3516" s="7"/>
    </row>
    <row r="3517">
      <c r="A3517" s="14" t="s">
        <v>12522</v>
      </c>
      <c r="B3517" s="17" t="s">
        <v>12519</v>
      </c>
      <c r="C3517" s="17" t="s">
        <v>12523</v>
      </c>
      <c r="D3517" s="19" t="s">
        <v>12524</v>
      </c>
      <c r="E3517" s="20" t="s">
        <v>624</v>
      </c>
      <c r="F3517" s="21">
        <v>21765.0</v>
      </c>
      <c r="G3517" s="14">
        <v>67.0</v>
      </c>
      <c r="H3517" s="23" t="s">
        <v>27</v>
      </c>
      <c r="I3517" s="24" t="s">
        <v>27</v>
      </c>
      <c r="J3517" s="19" t="s">
        <v>282</v>
      </c>
      <c r="K3517" s="14">
        <v>12.0</v>
      </c>
      <c r="L3517" s="7"/>
      <c r="M3517" s="7"/>
      <c r="N3517" s="7"/>
      <c r="O3517" s="7"/>
      <c r="P3517" s="7"/>
      <c r="Q3517" s="7"/>
      <c r="R3517" s="7"/>
      <c r="S3517" s="7"/>
      <c r="T3517" s="7"/>
      <c r="U3517" s="7"/>
      <c r="V3517" s="7"/>
      <c r="W3517" s="7"/>
      <c r="X3517" s="7"/>
      <c r="Y3517" s="7"/>
    </row>
    <row r="3518">
      <c r="A3518" s="14" t="s">
        <v>12525</v>
      </c>
      <c r="B3518" s="17" t="s">
        <v>12526</v>
      </c>
      <c r="C3518" s="17" t="s">
        <v>12527</v>
      </c>
      <c r="D3518" s="19" t="s">
        <v>12528</v>
      </c>
      <c r="E3518" s="20" t="s">
        <v>10442</v>
      </c>
      <c r="F3518" s="21">
        <v>26520.0</v>
      </c>
      <c r="G3518" s="14">
        <v>54.0</v>
      </c>
      <c r="H3518" s="23" t="s">
        <v>26</v>
      </c>
      <c r="I3518" s="24" t="s">
        <v>33</v>
      </c>
      <c r="J3518" s="19" t="s">
        <v>12529</v>
      </c>
      <c r="K3518" s="14">
        <v>15.0</v>
      </c>
      <c r="L3518" s="7"/>
      <c r="M3518" s="7"/>
      <c r="N3518" s="7"/>
      <c r="O3518" s="7"/>
      <c r="P3518" s="7"/>
      <c r="Q3518" s="7"/>
      <c r="R3518" s="7"/>
      <c r="S3518" s="7"/>
      <c r="T3518" s="7"/>
      <c r="U3518" s="7"/>
      <c r="V3518" s="7"/>
      <c r="W3518" s="7"/>
      <c r="X3518" s="7"/>
      <c r="Y3518" s="7"/>
    </row>
    <row r="3519">
      <c r="A3519" s="14" t="s">
        <v>12530</v>
      </c>
      <c r="B3519" s="17" t="s">
        <v>12526</v>
      </c>
      <c r="C3519" s="17" t="s">
        <v>12531</v>
      </c>
      <c r="D3519" s="19" t="s">
        <v>12532</v>
      </c>
      <c r="E3519" s="20" t="s">
        <v>654</v>
      </c>
      <c r="F3519" s="21">
        <v>29445.0</v>
      </c>
      <c r="G3519" s="14">
        <v>46.0</v>
      </c>
      <c r="H3519" s="23" t="s">
        <v>26</v>
      </c>
      <c r="I3519" s="24" t="s">
        <v>27</v>
      </c>
      <c r="J3519" s="19" t="s">
        <v>12529</v>
      </c>
      <c r="K3519" s="14">
        <v>15.0</v>
      </c>
      <c r="L3519" s="7"/>
      <c r="M3519" s="7"/>
      <c r="N3519" s="7"/>
      <c r="O3519" s="7"/>
      <c r="P3519" s="7"/>
      <c r="Q3519" s="7"/>
      <c r="R3519" s="7"/>
      <c r="S3519" s="7"/>
      <c r="T3519" s="7"/>
      <c r="U3519" s="7"/>
      <c r="V3519" s="7"/>
      <c r="W3519" s="7"/>
      <c r="X3519" s="7"/>
      <c r="Y3519" s="7"/>
    </row>
    <row r="3520">
      <c r="A3520" s="14" t="s">
        <v>12533</v>
      </c>
      <c r="B3520" s="17" t="s">
        <v>12534</v>
      </c>
      <c r="C3520" s="17" t="s">
        <v>12535</v>
      </c>
      <c r="D3520" s="19" t="s">
        <v>12536</v>
      </c>
      <c r="E3520" s="20" t="s">
        <v>104</v>
      </c>
      <c r="F3520" s="21">
        <v>33974.0</v>
      </c>
      <c r="G3520" s="14">
        <v>33.0</v>
      </c>
      <c r="H3520" s="23" t="s">
        <v>100</v>
      </c>
      <c r="I3520" s="24" t="s">
        <v>27</v>
      </c>
      <c r="J3520" s="19" t="s">
        <v>68</v>
      </c>
      <c r="K3520" s="14">
        <v>31.0</v>
      </c>
      <c r="L3520" s="7"/>
      <c r="M3520" s="7"/>
      <c r="N3520" s="7"/>
      <c r="O3520" s="7"/>
      <c r="P3520" s="7"/>
      <c r="Q3520" s="7"/>
      <c r="R3520" s="7"/>
      <c r="S3520" s="7"/>
      <c r="T3520" s="7"/>
      <c r="U3520" s="7"/>
      <c r="V3520" s="7"/>
      <c r="W3520" s="7"/>
      <c r="X3520" s="7"/>
      <c r="Y3520" s="7"/>
    </row>
    <row r="3521">
      <c r="A3521" s="14" t="s">
        <v>12537</v>
      </c>
      <c r="B3521" s="17" t="s">
        <v>12538</v>
      </c>
      <c r="C3521" s="17" t="s">
        <v>12539</v>
      </c>
      <c r="D3521" s="19" t="s">
        <v>12540</v>
      </c>
      <c r="E3521" s="20" t="s">
        <v>104</v>
      </c>
      <c r="F3521" s="21">
        <v>33649.0</v>
      </c>
      <c r="G3521" s="14">
        <v>34.0</v>
      </c>
      <c r="H3521" s="23" t="s">
        <v>26</v>
      </c>
      <c r="I3521" s="24" t="s">
        <v>33</v>
      </c>
      <c r="J3521" s="19" t="s">
        <v>53</v>
      </c>
      <c r="K3521" s="14">
        <v>31.0</v>
      </c>
      <c r="L3521" s="7"/>
      <c r="M3521" s="7"/>
      <c r="N3521" s="7"/>
      <c r="O3521" s="7"/>
      <c r="P3521" s="7"/>
      <c r="Q3521" s="7"/>
      <c r="R3521" s="7"/>
      <c r="S3521" s="7"/>
      <c r="T3521" s="7"/>
      <c r="U3521" s="7"/>
      <c r="V3521" s="7"/>
      <c r="W3521" s="7"/>
      <c r="X3521" s="7"/>
      <c r="Y3521" s="7"/>
    </row>
    <row r="3522">
      <c r="A3522" s="14" t="s">
        <v>12541</v>
      </c>
      <c r="B3522" s="17" t="s">
        <v>12542</v>
      </c>
      <c r="C3522" s="17" t="s">
        <v>12543</v>
      </c>
      <c r="D3522" s="19" t="s">
        <v>12544</v>
      </c>
      <c r="E3522" s="20" t="s">
        <v>12545</v>
      </c>
      <c r="F3522" s="27">
        <v>28471.0</v>
      </c>
      <c r="G3522" s="14">
        <v>48.0</v>
      </c>
      <c r="H3522" s="23" t="s">
        <v>26</v>
      </c>
      <c r="I3522" s="24" t="s">
        <v>27</v>
      </c>
      <c r="J3522" s="19" t="s">
        <v>53</v>
      </c>
      <c r="K3522" s="14">
        <v>14.0</v>
      </c>
      <c r="L3522" s="7"/>
      <c r="M3522" s="7"/>
      <c r="N3522" s="7"/>
      <c r="O3522" s="7"/>
      <c r="P3522" s="7"/>
      <c r="Q3522" s="7"/>
      <c r="R3522" s="7"/>
      <c r="S3522" s="7"/>
      <c r="T3522" s="7"/>
      <c r="U3522" s="7"/>
      <c r="V3522" s="7"/>
      <c r="W3522" s="7"/>
      <c r="X3522" s="7"/>
      <c r="Y3522" s="7"/>
    </row>
    <row r="3523">
      <c r="A3523" s="14" t="s">
        <v>12546</v>
      </c>
      <c r="B3523" s="17" t="s">
        <v>12542</v>
      </c>
      <c r="C3523" s="17" t="s">
        <v>12547</v>
      </c>
      <c r="D3523" s="19" t="s">
        <v>12548</v>
      </c>
      <c r="E3523" s="20" t="s">
        <v>1058</v>
      </c>
      <c r="F3523" s="21">
        <v>25056.0</v>
      </c>
      <c r="G3523" s="14">
        <v>58.0</v>
      </c>
      <c r="H3523" s="23" t="s">
        <v>26</v>
      </c>
      <c r="I3523" s="24" t="s">
        <v>33</v>
      </c>
      <c r="J3523" s="19" t="s">
        <v>53</v>
      </c>
      <c r="K3523" s="14">
        <v>14.0</v>
      </c>
      <c r="L3523" s="7"/>
      <c r="M3523" s="7"/>
      <c r="N3523" s="7"/>
      <c r="O3523" s="7"/>
      <c r="P3523" s="7"/>
      <c r="Q3523" s="7"/>
      <c r="R3523" s="7"/>
      <c r="S3523" s="7"/>
      <c r="T3523" s="7"/>
      <c r="U3523" s="7"/>
      <c r="V3523" s="7"/>
      <c r="W3523" s="7"/>
      <c r="X3523" s="7"/>
      <c r="Y3523" s="7"/>
    </row>
    <row r="3524">
      <c r="A3524" s="14" t="s">
        <v>12549</v>
      </c>
      <c r="B3524" s="17" t="s">
        <v>12542</v>
      </c>
      <c r="C3524" s="17" t="s">
        <v>12550</v>
      </c>
      <c r="D3524" s="19" t="s">
        <v>12551</v>
      </c>
      <c r="E3524" s="20" t="s">
        <v>104</v>
      </c>
      <c r="F3524" s="27">
        <v>37907.0</v>
      </c>
      <c r="G3524" s="14">
        <v>22.0</v>
      </c>
      <c r="H3524" s="23" t="s">
        <v>100</v>
      </c>
      <c r="I3524" s="24" t="s">
        <v>33</v>
      </c>
      <c r="J3524" s="19" t="s">
        <v>53</v>
      </c>
      <c r="K3524" s="14">
        <v>14.0</v>
      </c>
      <c r="L3524" s="7"/>
      <c r="M3524" s="7"/>
      <c r="N3524" s="7"/>
      <c r="O3524" s="7"/>
      <c r="P3524" s="7"/>
      <c r="Q3524" s="7"/>
      <c r="R3524" s="7"/>
      <c r="S3524" s="7"/>
      <c r="T3524" s="7"/>
      <c r="U3524" s="7"/>
      <c r="V3524" s="7"/>
      <c r="W3524" s="7"/>
      <c r="X3524" s="7"/>
      <c r="Y3524" s="7"/>
    </row>
    <row r="3525">
      <c r="A3525" s="14" t="s">
        <v>12552</v>
      </c>
      <c r="B3525" s="17" t="s">
        <v>12553</v>
      </c>
      <c r="C3525" s="17" t="s">
        <v>12554</v>
      </c>
      <c r="D3525" s="19" t="s">
        <v>12555</v>
      </c>
      <c r="E3525" s="20" t="s">
        <v>104</v>
      </c>
      <c r="F3525" s="21">
        <v>35797.0</v>
      </c>
      <c r="G3525" s="14">
        <v>28.0</v>
      </c>
      <c r="H3525" s="23" t="s">
        <v>26</v>
      </c>
      <c r="I3525" s="24" t="s">
        <v>27</v>
      </c>
      <c r="J3525" s="19" t="s">
        <v>68</v>
      </c>
      <c r="K3525" s="14">
        <v>34.0</v>
      </c>
      <c r="L3525" s="7"/>
      <c r="M3525" s="7"/>
      <c r="N3525" s="7"/>
      <c r="O3525" s="7"/>
      <c r="P3525" s="7"/>
      <c r="Q3525" s="7"/>
      <c r="R3525" s="7"/>
      <c r="S3525" s="7"/>
      <c r="T3525" s="7"/>
      <c r="U3525" s="7"/>
      <c r="V3525" s="7"/>
      <c r="W3525" s="7"/>
      <c r="X3525" s="7"/>
      <c r="Y3525" s="7"/>
    </row>
    <row r="3526">
      <c r="A3526" s="14" t="s">
        <v>12556</v>
      </c>
      <c r="B3526" s="17" t="s">
        <v>12553</v>
      </c>
      <c r="C3526" s="17" t="s">
        <v>12557</v>
      </c>
      <c r="D3526" s="19" t="s">
        <v>12558</v>
      </c>
      <c r="E3526" s="20" t="s">
        <v>104</v>
      </c>
      <c r="F3526" s="21">
        <v>34826.0</v>
      </c>
      <c r="G3526" s="14">
        <v>31.0</v>
      </c>
      <c r="H3526" s="23" t="s">
        <v>26</v>
      </c>
      <c r="I3526" s="24" t="s">
        <v>33</v>
      </c>
      <c r="J3526" s="19" t="s">
        <v>68</v>
      </c>
      <c r="K3526" s="14">
        <v>34.0</v>
      </c>
      <c r="L3526" s="7"/>
      <c r="M3526" s="7"/>
      <c r="N3526" s="7"/>
      <c r="O3526" s="7"/>
      <c r="P3526" s="7"/>
      <c r="Q3526" s="7"/>
      <c r="R3526" s="7"/>
      <c r="S3526" s="7"/>
      <c r="T3526" s="7"/>
      <c r="U3526" s="7"/>
      <c r="V3526" s="7"/>
      <c r="W3526" s="7"/>
      <c r="X3526" s="7"/>
      <c r="Y3526" s="7"/>
    </row>
    <row r="3527">
      <c r="A3527" s="14" t="s">
        <v>12559</v>
      </c>
      <c r="B3527" s="17" t="s">
        <v>12560</v>
      </c>
      <c r="C3527" s="17" t="s">
        <v>12561</v>
      </c>
      <c r="D3527" s="19" t="s">
        <v>12562</v>
      </c>
      <c r="E3527" s="20" t="s">
        <v>104</v>
      </c>
      <c r="F3527" s="21">
        <v>28642.0</v>
      </c>
      <c r="G3527" s="14">
        <v>48.0</v>
      </c>
      <c r="H3527" s="23" t="s">
        <v>100</v>
      </c>
      <c r="I3527" s="24" t="s">
        <v>33</v>
      </c>
      <c r="J3527" s="19" t="s">
        <v>12563</v>
      </c>
      <c r="K3527" s="14">
        <v>19.0</v>
      </c>
      <c r="L3527" s="7"/>
      <c r="M3527" s="7"/>
      <c r="N3527" s="7"/>
      <c r="O3527" s="7"/>
      <c r="P3527" s="7"/>
      <c r="Q3527" s="7"/>
      <c r="R3527" s="7"/>
      <c r="S3527" s="7"/>
      <c r="T3527" s="7"/>
      <c r="U3527" s="7"/>
      <c r="V3527" s="7"/>
      <c r="W3527" s="7"/>
      <c r="X3527" s="7"/>
      <c r="Y3527" s="7"/>
    </row>
    <row r="3528">
      <c r="A3528" s="14" t="s">
        <v>12564</v>
      </c>
      <c r="B3528" s="17" t="s">
        <v>12565</v>
      </c>
      <c r="C3528" s="17" t="s">
        <v>12566</v>
      </c>
      <c r="D3528" s="19" t="s">
        <v>12567</v>
      </c>
      <c r="E3528" s="20" t="s">
        <v>67</v>
      </c>
      <c r="F3528" s="21">
        <v>15582.0</v>
      </c>
      <c r="G3528" s="14">
        <v>84.0</v>
      </c>
      <c r="H3528" s="23" t="s">
        <v>27</v>
      </c>
      <c r="I3528" s="24" t="s">
        <v>27</v>
      </c>
      <c r="J3528" s="19" t="s">
        <v>12568</v>
      </c>
      <c r="K3528" s="14">
        <v>32.0</v>
      </c>
      <c r="L3528" s="7"/>
      <c r="M3528" s="7"/>
      <c r="N3528" s="7"/>
      <c r="O3528" s="7"/>
      <c r="P3528" s="7"/>
      <c r="Q3528" s="7"/>
      <c r="R3528" s="7"/>
      <c r="S3528" s="7"/>
      <c r="T3528" s="7"/>
      <c r="U3528" s="7"/>
      <c r="V3528" s="7"/>
      <c r="W3528" s="7"/>
      <c r="X3528" s="7"/>
      <c r="Y3528" s="7"/>
    </row>
    <row r="3529">
      <c r="A3529" s="14" t="s">
        <v>12569</v>
      </c>
      <c r="B3529" s="17" t="s">
        <v>12570</v>
      </c>
      <c r="C3529" s="17" t="s">
        <v>12571</v>
      </c>
      <c r="D3529" s="19" t="s">
        <v>12572</v>
      </c>
      <c r="E3529" s="20" t="s">
        <v>372</v>
      </c>
      <c r="F3529" s="21">
        <v>22827.0</v>
      </c>
      <c r="G3529" s="14">
        <v>64.0</v>
      </c>
      <c r="H3529" s="23" t="s">
        <v>26</v>
      </c>
      <c r="I3529" s="24" t="s">
        <v>33</v>
      </c>
      <c r="J3529" s="19" t="s">
        <v>282</v>
      </c>
      <c r="K3529" s="14">
        <v>16.0</v>
      </c>
      <c r="L3529" s="7"/>
      <c r="M3529" s="7"/>
      <c r="N3529" s="7"/>
      <c r="O3529" s="7"/>
      <c r="P3529" s="7"/>
      <c r="Q3529" s="7"/>
      <c r="R3529" s="7"/>
      <c r="S3529" s="7"/>
      <c r="T3529" s="7"/>
      <c r="U3529" s="7"/>
      <c r="V3529" s="7"/>
      <c r="W3529" s="7"/>
      <c r="X3529" s="7"/>
      <c r="Y3529" s="7"/>
    </row>
    <row r="3530">
      <c r="A3530" s="14" t="s">
        <v>12573</v>
      </c>
      <c r="B3530" s="17" t="s">
        <v>12570</v>
      </c>
      <c r="C3530" s="17" t="s">
        <v>12574</v>
      </c>
      <c r="D3530" s="19" t="s">
        <v>3759</v>
      </c>
      <c r="E3530" s="20" t="s">
        <v>104</v>
      </c>
      <c r="F3530" s="21">
        <v>30579.0</v>
      </c>
      <c r="G3530" s="14">
        <v>42.0</v>
      </c>
      <c r="H3530" s="23" t="s">
        <v>26</v>
      </c>
      <c r="I3530" s="24" t="s">
        <v>27</v>
      </c>
      <c r="J3530" s="19" t="s">
        <v>328</v>
      </c>
      <c r="K3530" s="14">
        <v>23.0</v>
      </c>
      <c r="L3530" s="7"/>
      <c r="M3530" s="7"/>
      <c r="N3530" s="7"/>
      <c r="O3530" s="7"/>
      <c r="P3530" s="7"/>
      <c r="Q3530" s="7"/>
      <c r="R3530" s="7"/>
      <c r="S3530" s="7"/>
      <c r="T3530" s="7"/>
      <c r="U3530" s="7"/>
      <c r="V3530" s="7"/>
      <c r="W3530" s="7"/>
      <c r="X3530" s="7"/>
      <c r="Y3530" s="7"/>
    </row>
    <row r="3531">
      <c r="A3531" s="14" t="s">
        <v>12575</v>
      </c>
      <c r="B3531" s="17" t="s">
        <v>12576</v>
      </c>
      <c r="C3531" s="17" t="s">
        <v>12577</v>
      </c>
      <c r="D3531" s="19" t="s">
        <v>12578</v>
      </c>
      <c r="E3531" s="20" t="s">
        <v>1786</v>
      </c>
      <c r="F3531" s="21">
        <v>16932.0</v>
      </c>
      <c r="G3531" s="14">
        <v>80.0</v>
      </c>
      <c r="H3531" s="23" t="s">
        <v>27</v>
      </c>
      <c r="I3531" s="24" t="s">
        <v>27</v>
      </c>
      <c r="J3531" s="19" t="s">
        <v>146</v>
      </c>
      <c r="K3531" s="14">
        <v>1.0</v>
      </c>
      <c r="L3531" s="7"/>
      <c r="M3531" s="7"/>
      <c r="N3531" s="7"/>
      <c r="O3531" s="7"/>
      <c r="P3531" s="7"/>
      <c r="Q3531" s="7"/>
      <c r="R3531" s="7"/>
      <c r="S3531" s="7"/>
      <c r="T3531" s="7"/>
      <c r="U3531" s="7"/>
      <c r="V3531" s="7"/>
      <c r="W3531" s="7"/>
      <c r="X3531" s="7"/>
      <c r="Y3531" s="7"/>
    </row>
    <row r="3532">
      <c r="A3532" s="14" t="s">
        <v>12579</v>
      </c>
      <c r="B3532" s="17" t="s">
        <v>12580</v>
      </c>
      <c r="C3532" s="17" t="s">
        <v>12581</v>
      </c>
      <c r="D3532" s="19" t="s">
        <v>12582</v>
      </c>
      <c r="E3532" s="20" t="s">
        <v>12583</v>
      </c>
      <c r="F3532" s="21">
        <v>32641.0</v>
      </c>
      <c r="G3532" s="14">
        <v>37.0</v>
      </c>
      <c r="H3532" s="23" t="s">
        <v>100</v>
      </c>
      <c r="I3532" s="24" t="s">
        <v>27</v>
      </c>
      <c r="J3532" s="19" t="s">
        <v>2196</v>
      </c>
      <c r="K3532" s="14">
        <v>17.0</v>
      </c>
      <c r="L3532" s="7"/>
      <c r="M3532" s="7"/>
      <c r="N3532" s="7"/>
      <c r="O3532" s="7"/>
      <c r="P3532" s="7"/>
      <c r="Q3532" s="7"/>
      <c r="R3532" s="7"/>
      <c r="S3532" s="7"/>
      <c r="T3532" s="7"/>
      <c r="U3532" s="7"/>
      <c r="V3532" s="7"/>
      <c r="W3532" s="7"/>
      <c r="X3532" s="7"/>
      <c r="Y3532" s="7"/>
    </row>
    <row r="3533">
      <c r="A3533" s="14" t="s">
        <v>12584</v>
      </c>
      <c r="B3533" s="17" t="s">
        <v>12585</v>
      </c>
      <c r="C3533" s="17" t="s">
        <v>12586</v>
      </c>
      <c r="D3533" s="19" t="s">
        <v>12587</v>
      </c>
      <c r="E3533" s="20" t="s">
        <v>104</v>
      </c>
      <c r="F3533" s="21">
        <v>32525.0</v>
      </c>
      <c r="G3533" s="14">
        <v>37.0</v>
      </c>
      <c r="H3533" s="23" t="s">
        <v>100</v>
      </c>
      <c r="I3533" s="24" t="s">
        <v>33</v>
      </c>
      <c r="J3533" s="19" t="s">
        <v>282</v>
      </c>
      <c r="K3533" s="14">
        <v>14.0</v>
      </c>
      <c r="L3533" s="7"/>
      <c r="M3533" s="7"/>
      <c r="N3533" s="7"/>
      <c r="O3533" s="7"/>
      <c r="P3533" s="7"/>
      <c r="Q3533" s="7"/>
      <c r="R3533" s="7"/>
      <c r="S3533" s="7"/>
      <c r="T3533" s="7"/>
      <c r="U3533" s="7"/>
      <c r="V3533" s="7"/>
      <c r="W3533" s="7"/>
      <c r="X3533" s="7"/>
      <c r="Y3533" s="7"/>
    </row>
    <row r="3534">
      <c r="A3534" s="14" t="s">
        <v>12588</v>
      </c>
      <c r="B3534" s="17" t="s">
        <v>12585</v>
      </c>
      <c r="C3534" s="17" t="s">
        <v>12589</v>
      </c>
      <c r="D3534" s="19" t="s">
        <v>12590</v>
      </c>
      <c r="E3534" s="20" t="s">
        <v>67</v>
      </c>
      <c r="F3534" s="21">
        <v>24692.0</v>
      </c>
      <c r="G3534" s="14">
        <v>59.0</v>
      </c>
      <c r="H3534" s="23" t="s">
        <v>26</v>
      </c>
      <c r="I3534" s="24" t="s">
        <v>33</v>
      </c>
      <c r="J3534" s="19" t="s">
        <v>282</v>
      </c>
      <c r="K3534" s="14">
        <v>14.0</v>
      </c>
      <c r="L3534" s="7"/>
      <c r="M3534" s="7"/>
      <c r="N3534" s="7"/>
      <c r="O3534" s="7"/>
      <c r="P3534" s="7"/>
      <c r="Q3534" s="7"/>
      <c r="R3534" s="7"/>
      <c r="S3534" s="7"/>
      <c r="T3534" s="7"/>
      <c r="U3534" s="7"/>
      <c r="V3534" s="7"/>
      <c r="W3534" s="7"/>
      <c r="X3534" s="7"/>
      <c r="Y3534" s="7"/>
    </row>
    <row r="3535">
      <c r="A3535" s="14" t="s">
        <v>12591</v>
      </c>
      <c r="B3535" s="17" t="s">
        <v>12585</v>
      </c>
      <c r="C3535" s="17" t="s">
        <v>12592</v>
      </c>
      <c r="D3535" s="19" t="s">
        <v>12593</v>
      </c>
      <c r="E3535" s="20" t="s">
        <v>624</v>
      </c>
      <c r="F3535" s="27">
        <v>26618.0</v>
      </c>
      <c r="G3535" s="14">
        <v>53.0</v>
      </c>
      <c r="H3535" s="23" t="s">
        <v>26</v>
      </c>
      <c r="I3535" s="24" t="s">
        <v>27</v>
      </c>
      <c r="J3535" s="19" t="s">
        <v>282</v>
      </c>
      <c r="K3535" s="14">
        <v>14.0</v>
      </c>
      <c r="L3535" s="7"/>
      <c r="M3535" s="7"/>
      <c r="N3535" s="7"/>
      <c r="O3535" s="7"/>
      <c r="P3535" s="7"/>
      <c r="Q3535" s="7"/>
      <c r="R3535" s="7"/>
      <c r="S3535" s="7"/>
      <c r="T3535" s="7"/>
      <c r="U3535" s="7"/>
      <c r="V3535" s="7"/>
      <c r="W3535" s="7"/>
      <c r="X3535" s="7"/>
      <c r="Y3535" s="7"/>
    </row>
    <row r="3536">
      <c r="A3536" s="14" t="s">
        <v>12594</v>
      </c>
      <c r="B3536" s="17" t="s">
        <v>12595</v>
      </c>
      <c r="C3536" s="17" t="s">
        <v>12596</v>
      </c>
      <c r="D3536" s="19" t="s">
        <v>12597</v>
      </c>
      <c r="E3536" s="20" t="s">
        <v>736</v>
      </c>
      <c r="F3536" s="21">
        <v>31832.0</v>
      </c>
      <c r="G3536" s="14">
        <v>39.0</v>
      </c>
      <c r="H3536" s="23" t="s">
        <v>26</v>
      </c>
      <c r="I3536" s="24" t="s">
        <v>33</v>
      </c>
      <c r="J3536" s="19" t="s">
        <v>206</v>
      </c>
      <c r="K3536" s="14">
        <v>3.0</v>
      </c>
      <c r="L3536" s="7"/>
      <c r="M3536" s="7"/>
      <c r="N3536" s="7"/>
      <c r="O3536" s="7"/>
      <c r="P3536" s="7"/>
      <c r="Q3536" s="7"/>
      <c r="R3536" s="7"/>
      <c r="S3536" s="7"/>
      <c r="T3536" s="7"/>
      <c r="U3536" s="7"/>
      <c r="V3536" s="7"/>
      <c r="W3536" s="7"/>
      <c r="X3536" s="7"/>
      <c r="Y3536" s="7"/>
    </row>
    <row r="3537">
      <c r="A3537" s="14" t="s">
        <v>12598</v>
      </c>
      <c r="B3537" s="17" t="s">
        <v>12595</v>
      </c>
      <c r="C3537" s="17" t="s">
        <v>12599</v>
      </c>
      <c r="D3537" s="19" t="s">
        <v>12600</v>
      </c>
      <c r="E3537" s="20" t="s">
        <v>104</v>
      </c>
      <c r="F3537" s="21">
        <v>33984.0</v>
      </c>
      <c r="G3537" s="14">
        <v>33.0</v>
      </c>
      <c r="H3537" s="23" t="s">
        <v>26</v>
      </c>
      <c r="I3537" s="24" t="s">
        <v>27</v>
      </c>
      <c r="J3537" s="19" t="s">
        <v>206</v>
      </c>
      <c r="K3537" s="14">
        <v>3.0</v>
      </c>
      <c r="L3537" s="7"/>
      <c r="M3537" s="7"/>
      <c r="N3537" s="7"/>
      <c r="O3537" s="7"/>
      <c r="P3537" s="7"/>
      <c r="Q3537" s="7"/>
      <c r="R3537" s="7"/>
      <c r="S3537" s="7"/>
      <c r="T3537" s="7"/>
      <c r="U3537" s="7"/>
      <c r="V3537" s="7"/>
      <c r="W3537" s="7"/>
      <c r="X3537" s="7"/>
      <c r="Y3537" s="7"/>
    </row>
    <row r="3538">
      <c r="A3538" s="14" t="s">
        <v>12601</v>
      </c>
      <c r="B3538" s="17" t="s">
        <v>12602</v>
      </c>
      <c r="C3538" s="17" t="s">
        <v>12603</v>
      </c>
      <c r="D3538" s="19" t="s">
        <v>12604</v>
      </c>
      <c r="E3538" s="20" t="s">
        <v>104</v>
      </c>
      <c r="F3538" s="21">
        <v>33673.0</v>
      </c>
      <c r="G3538" s="14">
        <v>34.0</v>
      </c>
      <c r="H3538" s="23" t="s">
        <v>26</v>
      </c>
      <c r="I3538" s="24" t="s">
        <v>33</v>
      </c>
      <c r="J3538" s="19" t="s">
        <v>53</v>
      </c>
      <c r="K3538" s="14">
        <v>3.0</v>
      </c>
      <c r="L3538" s="7"/>
      <c r="M3538" s="7"/>
      <c r="N3538" s="7"/>
      <c r="O3538" s="7"/>
      <c r="P3538" s="7"/>
      <c r="Q3538" s="7"/>
      <c r="R3538" s="7"/>
      <c r="S3538" s="7"/>
      <c r="T3538" s="7"/>
      <c r="U3538" s="7"/>
      <c r="V3538" s="7"/>
      <c r="W3538" s="7"/>
      <c r="X3538" s="7"/>
      <c r="Y3538" s="7"/>
    </row>
    <row r="3539">
      <c r="A3539" s="14" t="s">
        <v>12605</v>
      </c>
      <c r="B3539" s="17" t="s">
        <v>12602</v>
      </c>
      <c r="C3539" s="17" t="s">
        <v>12606</v>
      </c>
      <c r="D3539" s="19" t="s">
        <v>6661</v>
      </c>
      <c r="E3539" s="20" t="s">
        <v>104</v>
      </c>
      <c r="F3539" s="21">
        <v>33721.0</v>
      </c>
      <c r="G3539" s="14">
        <v>34.0</v>
      </c>
      <c r="H3539" s="23" t="s">
        <v>26</v>
      </c>
      <c r="I3539" s="24" t="s">
        <v>27</v>
      </c>
      <c r="J3539" s="19" t="s">
        <v>53</v>
      </c>
      <c r="K3539" s="14">
        <v>3.0</v>
      </c>
      <c r="L3539" s="7"/>
      <c r="M3539" s="7"/>
      <c r="N3539" s="7"/>
      <c r="O3539" s="7"/>
      <c r="P3539" s="7"/>
      <c r="Q3539" s="7"/>
      <c r="R3539" s="7"/>
      <c r="S3539" s="7"/>
      <c r="T3539" s="7"/>
      <c r="U3539" s="7"/>
      <c r="V3539" s="7"/>
      <c r="W3539" s="7"/>
      <c r="X3539" s="7"/>
      <c r="Y3539" s="7"/>
    </row>
    <row r="3540">
      <c r="A3540" s="14" t="s">
        <v>12607</v>
      </c>
      <c r="B3540" s="17" t="s">
        <v>12608</v>
      </c>
      <c r="C3540" s="17" t="s">
        <v>12609</v>
      </c>
      <c r="D3540" s="19" t="s">
        <v>12610</v>
      </c>
      <c r="E3540" s="20" t="s">
        <v>434</v>
      </c>
      <c r="F3540" s="27">
        <v>23671.0</v>
      </c>
      <c r="G3540" s="14">
        <v>61.0</v>
      </c>
      <c r="H3540" s="23" t="s">
        <v>26</v>
      </c>
      <c r="I3540" s="24" t="s">
        <v>27</v>
      </c>
      <c r="J3540" s="19" t="s">
        <v>146</v>
      </c>
      <c r="K3540" s="14">
        <v>2.0</v>
      </c>
      <c r="L3540" s="7"/>
      <c r="M3540" s="7"/>
      <c r="N3540" s="7"/>
      <c r="O3540" s="7"/>
      <c r="P3540" s="7"/>
      <c r="Q3540" s="7"/>
      <c r="R3540" s="7"/>
      <c r="S3540" s="7"/>
      <c r="T3540" s="7"/>
      <c r="U3540" s="7"/>
      <c r="V3540" s="7"/>
      <c r="W3540" s="7"/>
      <c r="X3540" s="7"/>
      <c r="Y3540" s="7"/>
    </row>
    <row r="3541">
      <c r="A3541" s="14" t="s">
        <v>12611</v>
      </c>
      <c r="B3541" s="17" t="s">
        <v>12608</v>
      </c>
      <c r="C3541" s="17" t="s">
        <v>12612</v>
      </c>
      <c r="D3541" s="19" t="s">
        <v>12613</v>
      </c>
      <c r="E3541" s="20" t="s">
        <v>434</v>
      </c>
      <c r="F3541" s="21">
        <v>21802.0</v>
      </c>
      <c r="G3541" s="14">
        <v>66.0</v>
      </c>
      <c r="H3541" s="23" t="s">
        <v>26</v>
      </c>
      <c r="I3541" s="24" t="s">
        <v>33</v>
      </c>
      <c r="J3541" s="19" t="s">
        <v>146</v>
      </c>
      <c r="K3541" s="14">
        <v>2.0</v>
      </c>
      <c r="L3541" s="7"/>
      <c r="M3541" s="7"/>
      <c r="N3541" s="7"/>
      <c r="O3541" s="7"/>
      <c r="P3541" s="7"/>
      <c r="Q3541" s="7"/>
      <c r="R3541" s="7"/>
      <c r="S3541" s="7"/>
      <c r="T3541" s="7"/>
      <c r="U3541" s="7"/>
      <c r="V3541" s="7"/>
      <c r="W3541" s="7"/>
      <c r="X3541" s="7"/>
      <c r="Y3541" s="7"/>
    </row>
    <row r="3542">
      <c r="A3542" s="14" t="s">
        <v>12614</v>
      </c>
      <c r="B3542" s="17" t="s">
        <v>12615</v>
      </c>
      <c r="C3542" s="17" t="s">
        <v>12616</v>
      </c>
      <c r="D3542" s="19" t="s">
        <v>12617</v>
      </c>
      <c r="E3542" s="20" t="s">
        <v>104</v>
      </c>
      <c r="F3542" s="27">
        <v>39041.0</v>
      </c>
      <c r="G3542" s="14">
        <v>19.0</v>
      </c>
      <c r="H3542" s="23" t="s">
        <v>100</v>
      </c>
      <c r="I3542" s="24" t="s">
        <v>27</v>
      </c>
      <c r="J3542" s="19" t="s">
        <v>282</v>
      </c>
      <c r="K3542" s="14">
        <v>15.0</v>
      </c>
      <c r="L3542" s="7"/>
      <c r="M3542" s="7"/>
      <c r="N3542" s="7"/>
      <c r="O3542" s="7"/>
      <c r="P3542" s="7"/>
      <c r="Q3542" s="7"/>
      <c r="R3542" s="7"/>
      <c r="S3542" s="7"/>
      <c r="T3542" s="7"/>
      <c r="U3542" s="7"/>
      <c r="V3542" s="7"/>
      <c r="W3542" s="7"/>
      <c r="X3542" s="7"/>
      <c r="Y3542" s="7"/>
    </row>
    <row r="3543">
      <c r="A3543" s="14" t="s">
        <v>12618</v>
      </c>
      <c r="B3543" s="17" t="s">
        <v>12615</v>
      </c>
      <c r="C3543" s="17" t="s">
        <v>12619</v>
      </c>
      <c r="D3543" s="19" t="s">
        <v>12620</v>
      </c>
      <c r="E3543" s="20" t="s">
        <v>1058</v>
      </c>
      <c r="F3543" s="21">
        <v>27897.0</v>
      </c>
      <c r="G3543" s="14">
        <v>50.0</v>
      </c>
      <c r="H3543" s="23" t="s">
        <v>26</v>
      </c>
      <c r="I3543" s="24" t="s">
        <v>33</v>
      </c>
      <c r="J3543" s="19" t="s">
        <v>282</v>
      </c>
      <c r="K3543" s="14">
        <v>15.0</v>
      </c>
      <c r="L3543" s="7"/>
      <c r="M3543" s="7"/>
      <c r="N3543" s="7"/>
      <c r="O3543" s="7"/>
      <c r="P3543" s="7"/>
      <c r="Q3543" s="7"/>
      <c r="R3543" s="7"/>
      <c r="S3543" s="7"/>
      <c r="T3543" s="7"/>
      <c r="U3543" s="7"/>
      <c r="V3543" s="7"/>
      <c r="W3543" s="7"/>
      <c r="X3543" s="7"/>
      <c r="Y3543" s="7"/>
    </row>
    <row r="3544">
      <c r="A3544" s="14" t="s">
        <v>12621</v>
      </c>
      <c r="B3544" s="17" t="s">
        <v>12615</v>
      </c>
      <c r="C3544" s="17" t="s">
        <v>12622</v>
      </c>
      <c r="D3544" s="19" t="s">
        <v>5916</v>
      </c>
      <c r="E3544" s="20" t="s">
        <v>1058</v>
      </c>
      <c r="F3544" s="21">
        <v>29422.0</v>
      </c>
      <c r="G3544" s="14">
        <v>46.0</v>
      </c>
      <c r="H3544" s="23" t="s">
        <v>26</v>
      </c>
      <c r="I3544" s="24" t="s">
        <v>27</v>
      </c>
      <c r="J3544" s="19" t="s">
        <v>282</v>
      </c>
      <c r="K3544" s="14">
        <v>15.0</v>
      </c>
      <c r="L3544" s="7"/>
      <c r="M3544" s="7"/>
      <c r="N3544" s="7"/>
      <c r="O3544" s="7"/>
      <c r="P3544" s="7"/>
      <c r="Q3544" s="7"/>
      <c r="R3544" s="7"/>
      <c r="S3544" s="7"/>
      <c r="T3544" s="7"/>
      <c r="U3544" s="7"/>
      <c r="V3544" s="7"/>
      <c r="W3544" s="7"/>
      <c r="X3544" s="7"/>
      <c r="Y3544" s="7"/>
    </row>
    <row r="3545">
      <c r="A3545" s="14" t="s">
        <v>12623</v>
      </c>
      <c r="B3545" s="17" t="s">
        <v>12624</v>
      </c>
      <c r="C3545" s="17" t="s">
        <v>12625</v>
      </c>
      <c r="D3545" s="19" t="s">
        <v>12626</v>
      </c>
      <c r="E3545" s="20" t="s">
        <v>671</v>
      </c>
      <c r="F3545" s="21">
        <v>28237.0</v>
      </c>
      <c r="G3545" s="14">
        <v>49.0</v>
      </c>
      <c r="H3545" s="23" t="s">
        <v>26</v>
      </c>
      <c r="I3545" s="24" t="s">
        <v>27</v>
      </c>
      <c r="J3545" s="19" t="s">
        <v>282</v>
      </c>
      <c r="K3545" s="14">
        <v>15.0</v>
      </c>
      <c r="L3545" s="7"/>
      <c r="M3545" s="7"/>
      <c r="N3545" s="7"/>
      <c r="O3545" s="7"/>
      <c r="P3545" s="7"/>
      <c r="Q3545" s="7"/>
      <c r="R3545" s="7"/>
      <c r="S3545" s="7"/>
      <c r="T3545" s="7"/>
      <c r="U3545" s="7"/>
      <c r="V3545" s="7"/>
      <c r="W3545" s="7"/>
      <c r="X3545" s="7"/>
      <c r="Y3545" s="7"/>
    </row>
    <row r="3546">
      <c r="A3546" s="14" t="s">
        <v>12627</v>
      </c>
      <c r="B3546" s="17" t="s">
        <v>12624</v>
      </c>
      <c r="C3546" s="17" t="s">
        <v>12628</v>
      </c>
      <c r="D3546" s="19" t="s">
        <v>4513</v>
      </c>
      <c r="E3546" s="20" t="s">
        <v>1058</v>
      </c>
      <c r="F3546" s="27">
        <v>27689.0</v>
      </c>
      <c r="G3546" s="14">
        <v>50.0</v>
      </c>
      <c r="H3546" s="23" t="s">
        <v>26</v>
      </c>
      <c r="I3546" s="24" t="s">
        <v>33</v>
      </c>
      <c r="J3546" s="19" t="s">
        <v>282</v>
      </c>
      <c r="K3546" s="14">
        <v>15.0</v>
      </c>
      <c r="L3546" s="7"/>
      <c r="M3546" s="7"/>
      <c r="N3546" s="7"/>
      <c r="O3546" s="7"/>
      <c r="P3546" s="7"/>
      <c r="Q3546" s="7"/>
      <c r="R3546" s="7"/>
      <c r="S3546" s="7"/>
      <c r="T3546" s="7"/>
      <c r="U3546" s="7"/>
      <c r="V3546" s="7"/>
      <c r="W3546" s="7"/>
      <c r="X3546" s="7"/>
      <c r="Y3546" s="7"/>
    </row>
    <row r="3547">
      <c r="A3547" s="14" t="s">
        <v>12629</v>
      </c>
      <c r="B3547" s="17" t="s">
        <v>12630</v>
      </c>
      <c r="C3547" s="17" t="s">
        <v>12631</v>
      </c>
      <c r="D3547" s="19" t="s">
        <v>12632</v>
      </c>
      <c r="E3547" s="20" t="s">
        <v>1058</v>
      </c>
      <c r="F3547" s="27">
        <v>25856.0</v>
      </c>
      <c r="G3547" s="14">
        <v>55.0</v>
      </c>
      <c r="H3547" s="23" t="s">
        <v>26</v>
      </c>
      <c r="I3547" s="24" t="s">
        <v>27</v>
      </c>
      <c r="J3547" s="19" t="s">
        <v>7905</v>
      </c>
      <c r="K3547" s="14">
        <v>15.0</v>
      </c>
      <c r="L3547" s="7"/>
      <c r="M3547" s="7"/>
      <c r="N3547" s="7"/>
      <c r="O3547" s="7"/>
      <c r="P3547" s="7"/>
      <c r="Q3547" s="7"/>
      <c r="R3547" s="7"/>
      <c r="S3547" s="7"/>
      <c r="T3547" s="7"/>
      <c r="U3547" s="7"/>
      <c r="V3547" s="7"/>
      <c r="W3547" s="7"/>
      <c r="X3547" s="7"/>
      <c r="Y3547" s="7"/>
    </row>
    <row r="3548">
      <c r="A3548" s="14" t="s">
        <v>12633</v>
      </c>
      <c r="B3548" s="17" t="s">
        <v>12630</v>
      </c>
      <c r="C3548" s="17" t="s">
        <v>12634</v>
      </c>
      <c r="D3548" s="19" t="s">
        <v>12558</v>
      </c>
      <c r="E3548" s="20" t="s">
        <v>1058</v>
      </c>
      <c r="F3548" s="21">
        <v>24019.0</v>
      </c>
      <c r="G3548" s="14">
        <v>60.0</v>
      </c>
      <c r="H3548" s="23" t="s">
        <v>26</v>
      </c>
      <c r="I3548" s="24" t="s">
        <v>33</v>
      </c>
      <c r="J3548" s="19" t="s">
        <v>7905</v>
      </c>
      <c r="K3548" s="14">
        <v>15.0</v>
      </c>
      <c r="L3548" s="7"/>
      <c r="M3548" s="7"/>
      <c r="N3548" s="7"/>
      <c r="O3548" s="7"/>
      <c r="P3548" s="7"/>
      <c r="Q3548" s="7"/>
      <c r="R3548" s="7"/>
      <c r="S3548" s="7"/>
      <c r="T3548" s="7"/>
      <c r="U3548" s="7"/>
      <c r="V3548" s="7"/>
      <c r="W3548" s="7"/>
      <c r="X3548" s="7"/>
      <c r="Y3548" s="7"/>
    </row>
    <row r="3549">
      <c r="A3549" s="14" t="s">
        <v>12635</v>
      </c>
      <c r="B3549" s="17" t="s">
        <v>12636</v>
      </c>
      <c r="C3549" s="17" t="s">
        <v>12637</v>
      </c>
      <c r="D3549" s="19" t="s">
        <v>12638</v>
      </c>
      <c r="E3549" s="20" t="s">
        <v>12639</v>
      </c>
      <c r="F3549" s="21">
        <v>24939.0</v>
      </c>
      <c r="G3549" s="14">
        <v>58.0</v>
      </c>
      <c r="H3549" s="23" t="s">
        <v>26</v>
      </c>
      <c r="I3549" s="24" t="s">
        <v>27</v>
      </c>
      <c r="J3549" s="19" t="s">
        <v>282</v>
      </c>
      <c r="K3549" s="14">
        <v>16.0</v>
      </c>
      <c r="L3549" s="7"/>
      <c r="M3549" s="7"/>
      <c r="N3549" s="7"/>
      <c r="O3549" s="7"/>
      <c r="P3549" s="7"/>
      <c r="Q3549" s="7"/>
      <c r="R3549" s="7"/>
      <c r="S3549" s="7"/>
      <c r="T3549" s="7"/>
      <c r="U3549" s="7"/>
      <c r="V3549" s="7"/>
      <c r="W3549" s="7"/>
      <c r="X3549" s="7"/>
      <c r="Y3549" s="7"/>
    </row>
    <row r="3550">
      <c r="A3550" s="14" t="s">
        <v>12640</v>
      </c>
      <c r="B3550" s="17" t="s">
        <v>12636</v>
      </c>
      <c r="C3550" s="17" t="s">
        <v>12641</v>
      </c>
      <c r="D3550" s="19" t="s">
        <v>12572</v>
      </c>
      <c r="E3550" s="20" t="s">
        <v>104</v>
      </c>
      <c r="F3550" s="21">
        <v>23867.0</v>
      </c>
      <c r="G3550" s="14">
        <v>61.0</v>
      </c>
      <c r="H3550" s="23" t="s">
        <v>26</v>
      </c>
      <c r="I3550" s="24" t="s">
        <v>33</v>
      </c>
      <c r="J3550" s="19" t="s">
        <v>282</v>
      </c>
      <c r="K3550" s="14">
        <v>16.0</v>
      </c>
      <c r="L3550" s="7"/>
      <c r="M3550" s="7"/>
      <c r="N3550" s="7"/>
      <c r="O3550" s="7"/>
      <c r="P3550" s="7"/>
      <c r="Q3550" s="7"/>
      <c r="R3550" s="7"/>
      <c r="S3550" s="7"/>
      <c r="T3550" s="7"/>
      <c r="U3550" s="7"/>
      <c r="V3550" s="7"/>
      <c r="W3550" s="7"/>
      <c r="X3550" s="7"/>
      <c r="Y3550" s="7"/>
    </row>
    <row r="3551">
      <c r="A3551" s="14" t="s">
        <v>12642</v>
      </c>
      <c r="B3551" s="17" t="s">
        <v>12643</v>
      </c>
      <c r="C3551" s="17" t="s">
        <v>12644</v>
      </c>
      <c r="D3551" s="19" t="s">
        <v>2199</v>
      </c>
      <c r="E3551" s="20" t="s">
        <v>1058</v>
      </c>
      <c r="F3551" s="21">
        <v>20280.0</v>
      </c>
      <c r="G3551" s="14">
        <v>71.0</v>
      </c>
      <c r="H3551" s="23" t="s">
        <v>26</v>
      </c>
      <c r="I3551" s="24" t="s">
        <v>33</v>
      </c>
      <c r="J3551" s="19" t="s">
        <v>2196</v>
      </c>
      <c r="K3551" s="14">
        <v>15.0</v>
      </c>
      <c r="L3551" s="7"/>
      <c r="M3551" s="7"/>
      <c r="N3551" s="7"/>
      <c r="O3551" s="7"/>
      <c r="P3551" s="7"/>
      <c r="Q3551" s="7"/>
      <c r="R3551" s="7"/>
      <c r="S3551" s="7"/>
      <c r="T3551" s="7"/>
      <c r="U3551" s="7"/>
      <c r="V3551" s="7"/>
      <c r="W3551" s="7"/>
      <c r="X3551" s="7"/>
      <c r="Y3551" s="7"/>
    </row>
    <row r="3552">
      <c r="A3552" s="14" t="s">
        <v>12645</v>
      </c>
      <c r="B3552" s="17" t="s">
        <v>12646</v>
      </c>
      <c r="C3552" s="17" t="s">
        <v>12647</v>
      </c>
      <c r="D3552" s="19" t="s">
        <v>12648</v>
      </c>
      <c r="E3552" s="20" t="s">
        <v>544</v>
      </c>
      <c r="F3552" s="21">
        <v>16666.0</v>
      </c>
      <c r="G3552" s="14">
        <v>81.0</v>
      </c>
      <c r="H3552" s="23" t="s">
        <v>26</v>
      </c>
      <c r="I3552" s="24" t="s">
        <v>33</v>
      </c>
      <c r="J3552" s="19" t="s">
        <v>1387</v>
      </c>
      <c r="K3552" s="14">
        <v>6.0</v>
      </c>
      <c r="L3552" s="7"/>
      <c r="M3552" s="7"/>
      <c r="N3552" s="7"/>
      <c r="O3552" s="7"/>
      <c r="P3552" s="7"/>
      <c r="Q3552" s="7"/>
      <c r="R3552" s="7"/>
      <c r="S3552" s="7"/>
      <c r="T3552" s="7"/>
      <c r="U3552" s="7"/>
      <c r="V3552" s="7"/>
      <c r="W3552" s="7"/>
      <c r="X3552" s="7"/>
      <c r="Y3552" s="7"/>
    </row>
    <row r="3553">
      <c r="A3553" s="14" t="s">
        <v>12649</v>
      </c>
      <c r="B3553" s="17" t="s">
        <v>12650</v>
      </c>
      <c r="C3553" s="17" t="s">
        <v>12651</v>
      </c>
      <c r="D3553" s="19" t="s">
        <v>12652</v>
      </c>
      <c r="E3553" s="20" t="s">
        <v>1058</v>
      </c>
      <c r="F3553" s="21">
        <v>19216.0</v>
      </c>
      <c r="G3553" s="14">
        <v>74.0</v>
      </c>
      <c r="H3553" s="23" t="s">
        <v>26</v>
      </c>
      <c r="I3553" s="24" t="s">
        <v>27</v>
      </c>
      <c r="J3553" s="19" t="s">
        <v>282</v>
      </c>
      <c r="K3553" s="14">
        <v>15.0</v>
      </c>
      <c r="L3553" s="7"/>
      <c r="M3553" s="7"/>
      <c r="N3553" s="7"/>
      <c r="O3553" s="7"/>
      <c r="P3553" s="7"/>
      <c r="Q3553" s="7"/>
      <c r="R3553" s="7"/>
      <c r="S3553" s="7"/>
      <c r="T3553" s="7"/>
      <c r="U3553" s="7"/>
      <c r="V3553" s="7"/>
      <c r="W3553" s="7"/>
      <c r="X3553" s="7"/>
      <c r="Y3553" s="7"/>
    </row>
    <row r="3554">
      <c r="A3554" s="14" t="s">
        <v>12653</v>
      </c>
      <c r="B3554" s="17" t="s">
        <v>12654</v>
      </c>
      <c r="C3554" s="17" t="s">
        <v>12655</v>
      </c>
      <c r="D3554" s="19" t="s">
        <v>12656</v>
      </c>
      <c r="E3554" s="20" t="s">
        <v>53</v>
      </c>
      <c r="F3554" s="21">
        <v>38850.0</v>
      </c>
      <c r="G3554" s="14">
        <v>20.0</v>
      </c>
      <c r="H3554" s="23" t="s">
        <v>100</v>
      </c>
      <c r="I3554" s="24" t="s">
        <v>27</v>
      </c>
      <c r="J3554" s="19" t="s">
        <v>282</v>
      </c>
      <c r="K3554" s="14">
        <v>15.0</v>
      </c>
      <c r="L3554" s="7"/>
      <c r="M3554" s="7"/>
      <c r="N3554" s="7"/>
      <c r="O3554" s="7"/>
      <c r="P3554" s="7"/>
      <c r="Q3554" s="7"/>
      <c r="R3554" s="7"/>
      <c r="S3554" s="7"/>
      <c r="T3554" s="7"/>
      <c r="U3554" s="7"/>
      <c r="V3554" s="7"/>
      <c r="W3554" s="7"/>
      <c r="X3554" s="7"/>
      <c r="Y3554" s="7"/>
    </row>
    <row r="3555">
      <c r="A3555" s="14" t="s">
        <v>12657</v>
      </c>
      <c r="B3555" s="17" t="s">
        <v>12654</v>
      </c>
      <c r="C3555" s="17" t="s">
        <v>12658</v>
      </c>
      <c r="D3555" s="19" t="s">
        <v>12659</v>
      </c>
      <c r="E3555" s="20" t="s">
        <v>1049</v>
      </c>
      <c r="F3555" s="21">
        <v>21862.0</v>
      </c>
      <c r="G3555" s="14">
        <v>66.0</v>
      </c>
      <c r="H3555" s="23" t="s">
        <v>26</v>
      </c>
      <c r="I3555" s="24" t="s">
        <v>33</v>
      </c>
      <c r="J3555" s="19" t="s">
        <v>282</v>
      </c>
      <c r="K3555" s="14">
        <v>15.0</v>
      </c>
      <c r="L3555" s="7"/>
      <c r="M3555" s="7"/>
      <c r="N3555" s="7"/>
      <c r="O3555" s="7"/>
      <c r="P3555" s="7"/>
      <c r="Q3555" s="7"/>
      <c r="R3555" s="7"/>
      <c r="S3555" s="7"/>
      <c r="T3555" s="7"/>
      <c r="U3555" s="7"/>
      <c r="V3555" s="7"/>
      <c r="W3555" s="7"/>
      <c r="X3555" s="7"/>
      <c r="Y3555" s="7"/>
    </row>
    <row r="3556">
      <c r="A3556" s="14" t="s">
        <v>12660</v>
      </c>
      <c r="B3556" s="17" t="s">
        <v>12654</v>
      </c>
      <c r="C3556" s="17" t="s">
        <v>12661</v>
      </c>
      <c r="D3556" s="19" t="s">
        <v>554</v>
      </c>
      <c r="E3556" s="20" t="s">
        <v>1038</v>
      </c>
      <c r="F3556" s="21">
        <v>23543.0</v>
      </c>
      <c r="G3556" s="14">
        <v>62.0</v>
      </c>
      <c r="H3556" s="23" t="s">
        <v>26</v>
      </c>
      <c r="I3556" s="24" t="s">
        <v>27</v>
      </c>
      <c r="J3556" s="19" t="s">
        <v>282</v>
      </c>
      <c r="K3556" s="14">
        <v>15.0</v>
      </c>
      <c r="L3556" s="7"/>
      <c r="M3556" s="7"/>
      <c r="N3556" s="7"/>
      <c r="O3556" s="7"/>
      <c r="P3556" s="7"/>
      <c r="Q3556" s="7"/>
      <c r="R3556" s="7"/>
      <c r="S3556" s="7"/>
      <c r="T3556" s="7"/>
      <c r="U3556" s="7"/>
      <c r="V3556" s="7"/>
      <c r="W3556" s="7"/>
      <c r="X3556" s="7"/>
      <c r="Y3556" s="7"/>
    </row>
    <row r="3557">
      <c r="A3557" s="14" t="s">
        <v>12662</v>
      </c>
      <c r="B3557" s="17" t="s">
        <v>12663</v>
      </c>
      <c r="C3557" s="17" t="s">
        <v>12664</v>
      </c>
      <c r="D3557" s="19" t="s">
        <v>12665</v>
      </c>
      <c r="E3557" s="20" t="s">
        <v>12666</v>
      </c>
      <c r="F3557" s="21">
        <v>23846.0</v>
      </c>
      <c r="G3557" s="14">
        <v>61.0</v>
      </c>
      <c r="H3557" s="23" t="s">
        <v>26</v>
      </c>
      <c r="I3557" s="24" t="s">
        <v>27</v>
      </c>
      <c r="J3557" s="19" t="s">
        <v>206</v>
      </c>
      <c r="K3557" s="14">
        <v>1.0</v>
      </c>
      <c r="L3557" s="7"/>
      <c r="M3557" s="7"/>
      <c r="N3557" s="7"/>
      <c r="O3557" s="7"/>
      <c r="P3557" s="7"/>
      <c r="Q3557" s="7"/>
      <c r="R3557" s="7"/>
      <c r="S3557" s="7"/>
      <c r="T3557" s="7"/>
      <c r="U3557" s="7"/>
      <c r="V3557" s="7"/>
      <c r="W3557" s="7"/>
      <c r="X3557" s="7"/>
      <c r="Y3557" s="7"/>
    </row>
    <row r="3558">
      <c r="A3558" s="14" t="s">
        <v>12667</v>
      </c>
      <c r="B3558" s="17" t="s">
        <v>12663</v>
      </c>
      <c r="C3558" s="17" t="s">
        <v>12668</v>
      </c>
      <c r="D3558" s="19" t="s">
        <v>4513</v>
      </c>
      <c r="E3558" s="20" t="s">
        <v>8190</v>
      </c>
      <c r="F3558" s="21">
        <v>23209.0</v>
      </c>
      <c r="G3558" s="14">
        <v>63.0</v>
      </c>
      <c r="H3558" s="23" t="s">
        <v>26</v>
      </c>
      <c r="I3558" s="24" t="s">
        <v>33</v>
      </c>
      <c r="J3558" s="19" t="s">
        <v>206</v>
      </c>
      <c r="K3558" s="14">
        <v>1.0</v>
      </c>
      <c r="L3558" s="7"/>
      <c r="M3558" s="7"/>
      <c r="N3558" s="7"/>
      <c r="O3558" s="7"/>
      <c r="P3558" s="7"/>
      <c r="Q3558" s="7"/>
      <c r="R3558" s="7"/>
      <c r="S3558" s="7"/>
      <c r="T3558" s="7"/>
      <c r="U3558" s="7"/>
      <c r="V3558" s="7"/>
      <c r="W3558" s="7"/>
      <c r="X3558" s="7"/>
      <c r="Y3558" s="7"/>
    </row>
    <row r="3559">
      <c r="A3559" s="14" t="s">
        <v>12669</v>
      </c>
      <c r="B3559" s="17" t="s">
        <v>12663</v>
      </c>
      <c r="C3559" s="17" t="s">
        <v>12670</v>
      </c>
      <c r="D3559" s="19" t="s">
        <v>12671</v>
      </c>
      <c r="E3559" s="20" t="s">
        <v>104</v>
      </c>
      <c r="F3559" s="21">
        <v>38515.0</v>
      </c>
      <c r="G3559" s="14">
        <v>21.0</v>
      </c>
      <c r="H3559" s="23" t="s">
        <v>100</v>
      </c>
      <c r="I3559" s="24" t="s">
        <v>33</v>
      </c>
      <c r="J3559" s="19" t="s">
        <v>206</v>
      </c>
      <c r="K3559" s="14">
        <v>1.0</v>
      </c>
      <c r="L3559" s="7"/>
      <c r="M3559" s="7"/>
      <c r="N3559" s="7"/>
      <c r="O3559" s="7"/>
      <c r="P3559" s="7"/>
      <c r="Q3559" s="7"/>
      <c r="R3559" s="7"/>
      <c r="S3559" s="7"/>
      <c r="T3559" s="7"/>
      <c r="U3559" s="7"/>
      <c r="V3559" s="7"/>
      <c r="W3559" s="7"/>
      <c r="X3559" s="7"/>
      <c r="Y3559" s="7"/>
    </row>
    <row r="3560">
      <c r="A3560" s="14" t="s">
        <v>12672</v>
      </c>
      <c r="B3560" s="17" t="s">
        <v>12673</v>
      </c>
      <c r="C3560" s="17" t="s">
        <v>12674</v>
      </c>
      <c r="D3560" s="19" t="s">
        <v>12675</v>
      </c>
      <c r="E3560" s="20" t="s">
        <v>1816</v>
      </c>
      <c r="F3560" s="21">
        <v>27703.0</v>
      </c>
      <c r="G3560" s="14">
        <v>50.0</v>
      </c>
      <c r="H3560" s="23" t="s">
        <v>26</v>
      </c>
      <c r="I3560" s="24" t="s">
        <v>27</v>
      </c>
      <c r="J3560" s="19" t="s">
        <v>7905</v>
      </c>
      <c r="K3560" s="14">
        <v>14.0</v>
      </c>
      <c r="L3560" s="7"/>
      <c r="M3560" s="7"/>
      <c r="N3560" s="7"/>
      <c r="O3560" s="7"/>
      <c r="P3560" s="7"/>
      <c r="Q3560" s="7"/>
      <c r="R3560" s="7"/>
      <c r="S3560" s="7"/>
      <c r="T3560" s="7"/>
      <c r="U3560" s="7"/>
      <c r="V3560" s="7"/>
      <c r="W3560" s="7"/>
      <c r="X3560" s="7"/>
      <c r="Y3560" s="7"/>
    </row>
    <row r="3561">
      <c r="A3561" s="14" t="s">
        <v>12676</v>
      </c>
      <c r="B3561" s="17" t="s">
        <v>12677</v>
      </c>
      <c r="C3561" s="17" t="s">
        <v>12678</v>
      </c>
      <c r="D3561" s="19" t="s">
        <v>12679</v>
      </c>
      <c r="E3561" s="20" t="s">
        <v>1148</v>
      </c>
      <c r="F3561" s="27">
        <v>24472.0</v>
      </c>
      <c r="G3561" s="14">
        <v>59.0</v>
      </c>
      <c r="H3561" s="23" t="s">
        <v>27</v>
      </c>
      <c r="I3561" s="24" t="s">
        <v>27</v>
      </c>
      <c r="J3561" s="19" t="s">
        <v>320</v>
      </c>
      <c r="K3561" s="14">
        <v>11.0</v>
      </c>
      <c r="L3561" s="7"/>
      <c r="M3561" s="7"/>
      <c r="N3561" s="7"/>
      <c r="O3561" s="7"/>
      <c r="P3561" s="7"/>
      <c r="Q3561" s="7"/>
      <c r="R3561" s="7"/>
      <c r="S3561" s="7"/>
      <c r="T3561" s="7"/>
      <c r="U3561" s="7"/>
      <c r="V3561" s="7"/>
      <c r="W3561" s="7"/>
      <c r="X3561" s="7"/>
      <c r="Y3561" s="7"/>
    </row>
    <row r="3562">
      <c r="A3562" s="14" t="s">
        <v>12680</v>
      </c>
      <c r="B3562" s="17" t="s">
        <v>12677</v>
      </c>
      <c r="C3562" s="17" t="s">
        <v>12681</v>
      </c>
      <c r="D3562" s="19" t="s">
        <v>12682</v>
      </c>
      <c r="E3562" s="20" t="s">
        <v>1148</v>
      </c>
      <c r="F3562" s="27">
        <v>29550.0</v>
      </c>
      <c r="G3562" s="14">
        <v>45.0</v>
      </c>
      <c r="H3562" s="23" t="s">
        <v>100</v>
      </c>
      <c r="I3562" s="24" t="s">
        <v>33</v>
      </c>
      <c r="J3562" s="19" t="s">
        <v>320</v>
      </c>
      <c r="K3562" s="14">
        <v>11.0</v>
      </c>
      <c r="L3562" s="7"/>
      <c r="M3562" s="7"/>
      <c r="N3562" s="7"/>
      <c r="O3562" s="7"/>
      <c r="P3562" s="7"/>
      <c r="Q3562" s="7"/>
      <c r="R3562" s="7"/>
      <c r="S3562" s="7"/>
      <c r="T3562" s="7"/>
      <c r="U3562" s="7"/>
      <c r="V3562" s="7"/>
      <c r="W3562" s="7"/>
      <c r="X3562" s="7"/>
      <c r="Y3562" s="7"/>
    </row>
    <row r="3563">
      <c r="A3563" s="14" t="s">
        <v>12683</v>
      </c>
      <c r="B3563" s="17" t="s">
        <v>12677</v>
      </c>
      <c r="C3563" s="17" t="s">
        <v>12684</v>
      </c>
      <c r="D3563" s="19" t="s">
        <v>12685</v>
      </c>
      <c r="E3563" s="20" t="s">
        <v>1148</v>
      </c>
      <c r="F3563" s="21">
        <v>30194.0</v>
      </c>
      <c r="G3563" s="14">
        <v>44.0</v>
      </c>
      <c r="H3563" s="23" t="s">
        <v>100</v>
      </c>
      <c r="I3563" s="24" t="s">
        <v>33</v>
      </c>
      <c r="J3563" s="19" t="s">
        <v>320</v>
      </c>
      <c r="K3563" s="14">
        <v>11.0</v>
      </c>
      <c r="L3563" s="7"/>
      <c r="M3563" s="7"/>
      <c r="N3563" s="7"/>
      <c r="O3563" s="7"/>
      <c r="P3563" s="7"/>
      <c r="Q3563" s="7"/>
      <c r="R3563" s="7"/>
      <c r="S3563" s="7"/>
      <c r="T3563" s="7"/>
      <c r="U3563" s="7"/>
      <c r="V3563" s="7"/>
      <c r="W3563" s="7"/>
      <c r="X3563" s="7"/>
      <c r="Y3563" s="7"/>
    </row>
    <row r="3564">
      <c r="A3564" s="14" t="s">
        <v>12686</v>
      </c>
      <c r="B3564" s="17" t="s">
        <v>12677</v>
      </c>
      <c r="C3564" s="17" t="s">
        <v>12687</v>
      </c>
      <c r="D3564" s="19" t="s">
        <v>12688</v>
      </c>
      <c r="E3564" s="20" t="s">
        <v>1148</v>
      </c>
      <c r="F3564" s="21">
        <v>35478.0</v>
      </c>
      <c r="G3564" s="14">
        <v>29.0</v>
      </c>
      <c r="H3564" s="23" t="s">
        <v>100</v>
      </c>
      <c r="I3564" s="24" t="s">
        <v>33</v>
      </c>
      <c r="J3564" s="19" t="s">
        <v>39</v>
      </c>
      <c r="K3564" s="14">
        <v>11.0</v>
      </c>
      <c r="L3564" s="7"/>
      <c r="M3564" s="7"/>
      <c r="N3564" s="7"/>
      <c r="O3564" s="7"/>
      <c r="P3564" s="7"/>
      <c r="Q3564" s="7"/>
      <c r="R3564" s="7"/>
      <c r="S3564" s="7"/>
      <c r="T3564" s="7"/>
      <c r="U3564" s="7"/>
      <c r="V3564" s="7"/>
      <c r="W3564" s="7"/>
      <c r="X3564" s="7"/>
      <c r="Y3564" s="7"/>
    </row>
    <row r="3565">
      <c r="A3565" s="14" t="s">
        <v>12689</v>
      </c>
      <c r="B3565" s="17" t="s">
        <v>12690</v>
      </c>
      <c r="C3565" s="17" t="s">
        <v>12691</v>
      </c>
      <c r="D3565" s="19" t="s">
        <v>12692</v>
      </c>
      <c r="E3565" s="20" t="s">
        <v>2200</v>
      </c>
      <c r="F3565" s="21">
        <v>33764.0</v>
      </c>
      <c r="G3565" s="14">
        <v>34.0</v>
      </c>
      <c r="H3565" s="23" t="s">
        <v>26</v>
      </c>
      <c r="I3565" s="24" t="s">
        <v>27</v>
      </c>
      <c r="J3565" s="19" t="s">
        <v>58</v>
      </c>
      <c r="K3565" s="14">
        <v>5.0</v>
      </c>
      <c r="L3565" s="7"/>
      <c r="M3565" s="7"/>
      <c r="N3565" s="7"/>
      <c r="O3565" s="7"/>
      <c r="P3565" s="7"/>
      <c r="Q3565" s="7"/>
      <c r="R3565" s="7"/>
      <c r="S3565" s="7"/>
      <c r="T3565" s="7"/>
      <c r="U3565" s="7"/>
      <c r="V3565" s="7"/>
      <c r="W3565" s="7"/>
      <c r="X3565" s="7"/>
      <c r="Y3565" s="7"/>
    </row>
    <row r="3566">
      <c r="A3566" s="14" t="s">
        <v>12693</v>
      </c>
      <c r="B3566" s="17" t="s">
        <v>12694</v>
      </c>
      <c r="C3566" s="17" t="s">
        <v>12695</v>
      </c>
      <c r="D3566" s="19" t="s">
        <v>12696</v>
      </c>
      <c r="E3566" s="20" t="s">
        <v>53</v>
      </c>
      <c r="F3566" s="21">
        <v>33106.0</v>
      </c>
      <c r="G3566" s="14">
        <v>36.0</v>
      </c>
      <c r="H3566" s="23" t="s">
        <v>26</v>
      </c>
      <c r="I3566" s="24" t="s">
        <v>27</v>
      </c>
      <c r="J3566" s="19" t="s">
        <v>12697</v>
      </c>
      <c r="K3566" s="14">
        <v>30.0</v>
      </c>
      <c r="L3566" s="7"/>
      <c r="M3566" s="7"/>
      <c r="N3566" s="7"/>
      <c r="O3566" s="7"/>
      <c r="P3566" s="7"/>
      <c r="Q3566" s="7"/>
      <c r="R3566" s="7"/>
      <c r="S3566" s="7"/>
      <c r="T3566" s="7"/>
      <c r="U3566" s="7"/>
      <c r="V3566" s="7"/>
      <c r="W3566" s="7"/>
      <c r="X3566" s="7"/>
      <c r="Y3566" s="7"/>
    </row>
    <row r="3567">
      <c r="A3567" s="14" t="s">
        <v>12698</v>
      </c>
      <c r="B3567" s="17" t="s">
        <v>12694</v>
      </c>
      <c r="C3567" s="17" t="s">
        <v>12699</v>
      </c>
      <c r="D3567" s="19" t="s">
        <v>12700</v>
      </c>
      <c r="E3567" s="20" t="s">
        <v>2023</v>
      </c>
      <c r="F3567" s="21">
        <v>39207.0</v>
      </c>
      <c r="G3567" s="14">
        <v>19.0</v>
      </c>
      <c r="H3567" s="23" t="s">
        <v>100</v>
      </c>
      <c r="I3567" s="24" t="s">
        <v>27</v>
      </c>
      <c r="J3567" s="19" t="s">
        <v>12697</v>
      </c>
      <c r="K3567" s="14">
        <v>30.0</v>
      </c>
      <c r="L3567" s="7"/>
      <c r="M3567" s="7"/>
      <c r="N3567" s="7"/>
      <c r="O3567" s="7"/>
      <c r="P3567" s="7"/>
      <c r="Q3567" s="7"/>
      <c r="R3567" s="7"/>
      <c r="S3567" s="7"/>
      <c r="T3567" s="7"/>
      <c r="U3567" s="7"/>
      <c r="V3567" s="7"/>
      <c r="W3567" s="7"/>
      <c r="X3567" s="7"/>
      <c r="Y3567" s="7"/>
    </row>
    <row r="3568">
      <c r="A3568" s="14" t="s">
        <v>12701</v>
      </c>
      <c r="B3568" s="17" t="s">
        <v>12694</v>
      </c>
      <c r="C3568" s="17" t="s">
        <v>12702</v>
      </c>
      <c r="D3568" s="19" t="s">
        <v>12703</v>
      </c>
      <c r="E3568" s="20" t="s">
        <v>11291</v>
      </c>
      <c r="F3568" s="21">
        <v>33640.0</v>
      </c>
      <c r="G3568" s="14">
        <v>34.0</v>
      </c>
      <c r="H3568" s="23" t="s">
        <v>26</v>
      </c>
      <c r="I3568" s="24" t="s">
        <v>33</v>
      </c>
      <c r="J3568" s="19" t="s">
        <v>12697</v>
      </c>
      <c r="K3568" s="14">
        <v>30.0</v>
      </c>
      <c r="L3568" s="7"/>
      <c r="M3568" s="7"/>
      <c r="N3568" s="7"/>
      <c r="O3568" s="7"/>
      <c r="P3568" s="7"/>
      <c r="Q3568" s="7"/>
      <c r="R3568" s="7"/>
      <c r="S3568" s="7"/>
      <c r="T3568" s="7"/>
      <c r="U3568" s="7"/>
      <c r="V3568" s="7"/>
      <c r="W3568" s="7"/>
      <c r="X3568" s="7"/>
      <c r="Y3568" s="7"/>
    </row>
    <row r="3569">
      <c r="A3569" s="14" t="s">
        <v>12704</v>
      </c>
      <c r="B3569" s="17" t="s">
        <v>12705</v>
      </c>
      <c r="C3569" s="17" t="s">
        <v>12706</v>
      </c>
      <c r="D3569" s="19" t="s">
        <v>12707</v>
      </c>
      <c r="E3569" s="20" t="s">
        <v>104</v>
      </c>
      <c r="F3569" s="21">
        <v>36989.0</v>
      </c>
      <c r="G3569" s="14">
        <v>25.0</v>
      </c>
      <c r="H3569" s="23" t="s">
        <v>100</v>
      </c>
      <c r="I3569" s="24" t="s">
        <v>33</v>
      </c>
      <c r="J3569" s="19" t="s">
        <v>257</v>
      </c>
      <c r="K3569" s="14">
        <v>9.0</v>
      </c>
      <c r="L3569" s="7"/>
      <c r="M3569" s="7"/>
      <c r="N3569" s="7"/>
      <c r="O3569" s="7"/>
      <c r="P3569" s="7"/>
      <c r="Q3569" s="7"/>
      <c r="R3569" s="7"/>
      <c r="S3569" s="7"/>
      <c r="T3569" s="7"/>
      <c r="U3569" s="7"/>
      <c r="V3569" s="7"/>
      <c r="W3569" s="7"/>
      <c r="X3569" s="7"/>
      <c r="Y3569" s="7"/>
    </row>
    <row r="3570">
      <c r="A3570" s="14" t="s">
        <v>12708</v>
      </c>
      <c r="B3570" s="17" t="s">
        <v>12705</v>
      </c>
      <c r="C3570" s="17" t="s">
        <v>12709</v>
      </c>
      <c r="D3570" s="19" t="s">
        <v>12710</v>
      </c>
      <c r="E3570" s="20" t="s">
        <v>104</v>
      </c>
      <c r="F3570" s="21">
        <v>36200.0</v>
      </c>
      <c r="G3570" s="14">
        <v>27.0</v>
      </c>
      <c r="H3570" s="23" t="s">
        <v>100</v>
      </c>
      <c r="I3570" s="24" t="s">
        <v>27</v>
      </c>
      <c r="J3570" s="19" t="s">
        <v>257</v>
      </c>
      <c r="K3570" s="14">
        <v>9.0</v>
      </c>
      <c r="L3570" s="7"/>
      <c r="M3570" s="7"/>
      <c r="N3570" s="7"/>
      <c r="O3570" s="7"/>
      <c r="P3570" s="7"/>
      <c r="Q3570" s="7"/>
      <c r="R3570" s="7"/>
      <c r="S3570" s="7"/>
      <c r="T3570" s="7"/>
      <c r="U3570" s="7"/>
      <c r="V3570" s="7"/>
      <c r="W3570" s="7"/>
      <c r="X3570" s="7"/>
      <c r="Y3570" s="7"/>
    </row>
    <row r="3571">
      <c r="A3571" s="14" t="s">
        <v>12711</v>
      </c>
      <c r="B3571" s="17" t="s">
        <v>12705</v>
      </c>
      <c r="C3571" s="17" t="s">
        <v>12712</v>
      </c>
      <c r="D3571" s="19" t="s">
        <v>12713</v>
      </c>
      <c r="E3571" s="20" t="s">
        <v>749</v>
      </c>
      <c r="F3571" s="21">
        <v>28039.0</v>
      </c>
      <c r="G3571" s="14">
        <v>49.0</v>
      </c>
      <c r="H3571" s="23" t="s">
        <v>27</v>
      </c>
      <c r="I3571" s="24" t="s">
        <v>27</v>
      </c>
      <c r="J3571" s="19" t="s">
        <v>257</v>
      </c>
      <c r="K3571" s="14">
        <v>9.0</v>
      </c>
      <c r="L3571" s="7"/>
      <c r="M3571" s="7"/>
      <c r="N3571" s="7"/>
      <c r="O3571" s="7"/>
      <c r="P3571" s="7"/>
      <c r="Q3571" s="7"/>
      <c r="R3571" s="7"/>
      <c r="S3571" s="7"/>
      <c r="T3571" s="7"/>
      <c r="U3571" s="7"/>
      <c r="V3571" s="7"/>
      <c r="W3571" s="7"/>
      <c r="X3571" s="7"/>
      <c r="Y3571" s="7"/>
    </row>
    <row r="3572">
      <c r="A3572" s="14" t="s">
        <v>12714</v>
      </c>
      <c r="B3572" s="17" t="s">
        <v>12715</v>
      </c>
      <c r="C3572" s="17" t="s">
        <v>12716</v>
      </c>
      <c r="D3572" s="19" t="s">
        <v>11161</v>
      </c>
      <c r="E3572" s="20" t="s">
        <v>195</v>
      </c>
      <c r="F3572" s="21">
        <v>28980.0</v>
      </c>
      <c r="G3572" s="14">
        <v>47.0</v>
      </c>
      <c r="H3572" s="23" t="s">
        <v>26</v>
      </c>
      <c r="I3572" s="24" t="s">
        <v>27</v>
      </c>
      <c r="J3572" s="19" t="s">
        <v>68</v>
      </c>
      <c r="K3572" s="14">
        <v>30.0</v>
      </c>
      <c r="L3572" s="7"/>
      <c r="M3572" s="7"/>
      <c r="N3572" s="7"/>
      <c r="O3572" s="7"/>
      <c r="P3572" s="7"/>
      <c r="Q3572" s="7"/>
      <c r="R3572" s="7"/>
      <c r="S3572" s="7"/>
      <c r="T3572" s="7"/>
      <c r="U3572" s="7"/>
      <c r="V3572" s="7"/>
      <c r="W3572" s="7"/>
      <c r="X3572" s="7"/>
      <c r="Y3572" s="7"/>
    </row>
    <row r="3573">
      <c r="A3573" s="14" t="s">
        <v>12717</v>
      </c>
      <c r="B3573" s="17" t="s">
        <v>12715</v>
      </c>
      <c r="C3573" s="17" t="s">
        <v>12718</v>
      </c>
      <c r="D3573" s="19" t="s">
        <v>12719</v>
      </c>
      <c r="E3573" s="20" t="s">
        <v>104</v>
      </c>
      <c r="F3573" s="21">
        <v>35972.0</v>
      </c>
      <c r="G3573" s="14">
        <v>28.0</v>
      </c>
      <c r="H3573" s="23" t="s">
        <v>100</v>
      </c>
      <c r="I3573" s="24" t="s">
        <v>33</v>
      </c>
      <c r="J3573" s="19" t="s">
        <v>39</v>
      </c>
      <c r="K3573" s="14">
        <v>18.0</v>
      </c>
      <c r="L3573" s="7"/>
      <c r="M3573" s="7"/>
      <c r="N3573" s="7"/>
      <c r="O3573" s="7"/>
      <c r="P3573" s="7"/>
      <c r="Q3573" s="7"/>
      <c r="R3573" s="7"/>
      <c r="S3573" s="7"/>
      <c r="T3573" s="7"/>
      <c r="U3573" s="7"/>
      <c r="V3573" s="7"/>
      <c r="W3573" s="7"/>
      <c r="X3573" s="7"/>
      <c r="Y3573" s="7"/>
    </row>
    <row r="3574">
      <c r="A3574" s="14" t="s">
        <v>12720</v>
      </c>
      <c r="B3574" s="17" t="s">
        <v>12715</v>
      </c>
      <c r="C3574" s="17" t="s">
        <v>12721</v>
      </c>
      <c r="D3574" s="19" t="s">
        <v>12722</v>
      </c>
      <c r="E3574" s="20" t="s">
        <v>104</v>
      </c>
      <c r="F3574" s="21">
        <v>37129.0</v>
      </c>
      <c r="G3574" s="14">
        <v>25.0</v>
      </c>
      <c r="H3574" s="23" t="s">
        <v>100</v>
      </c>
      <c r="I3574" s="24" t="s">
        <v>27</v>
      </c>
      <c r="J3574" s="19" t="s">
        <v>39</v>
      </c>
      <c r="K3574" s="14">
        <v>18.0</v>
      </c>
      <c r="L3574" s="7"/>
      <c r="M3574" s="7"/>
      <c r="N3574" s="7"/>
      <c r="O3574" s="7"/>
      <c r="P3574" s="7"/>
      <c r="Q3574" s="7"/>
      <c r="R3574" s="7"/>
      <c r="S3574" s="7"/>
      <c r="T3574" s="7"/>
      <c r="U3574" s="7"/>
      <c r="V3574" s="7"/>
      <c r="W3574" s="7"/>
      <c r="X3574" s="7"/>
      <c r="Y3574" s="7"/>
    </row>
    <row r="3575">
      <c r="A3575" s="14" t="s">
        <v>12723</v>
      </c>
      <c r="B3575" s="17" t="s">
        <v>12715</v>
      </c>
      <c r="C3575" s="17" t="s">
        <v>12724</v>
      </c>
      <c r="D3575" s="19" t="s">
        <v>12725</v>
      </c>
      <c r="E3575" s="20" t="s">
        <v>1058</v>
      </c>
      <c r="F3575" s="21">
        <v>26835.0</v>
      </c>
      <c r="G3575" s="14">
        <v>53.0</v>
      </c>
      <c r="H3575" s="23" t="s">
        <v>26</v>
      </c>
      <c r="I3575" s="24" t="s">
        <v>33</v>
      </c>
      <c r="J3575" s="19" t="s">
        <v>39</v>
      </c>
      <c r="K3575" s="14">
        <v>18.0</v>
      </c>
      <c r="L3575" s="7"/>
      <c r="M3575" s="7"/>
      <c r="N3575" s="7"/>
      <c r="O3575" s="7"/>
      <c r="P3575" s="7"/>
      <c r="Q3575" s="7"/>
      <c r="R3575" s="7"/>
      <c r="S3575" s="7"/>
      <c r="T3575" s="7"/>
      <c r="U3575" s="7"/>
      <c r="V3575" s="7"/>
      <c r="W3575" s="7"/>
      <c r="X3575" s="7"/>
      <c r="Y3575" s="7"/>
    </row>
    <row r="3576">
      <c r="A3576" s="14" t="s">
        <v>12726</v>
      </c>
      <c r="B3576" s="17" t="s">
        <v>12727</v>
      </c>
      <c r="C3576" s="17" t="s">
        <v>12728</v>
      </c>
      <c r="D3576" s="19" t="s">
        <v>12729</v>
      </c>
      <c r="E3576" s="20" t="s">
        <v>6693</v>
      </c>
      <c r="F3576" s="27">
        <v>29202.0</v>
      </c>
      <c r="G3576" s="14">
        <v>46.0</v>
      </c>
      <c r="H3576" s="23" t="s">
        <v>26</v>
      </c>
      <c r="I3576" s="24" t="s">
        <v>33</v>
      </c>
      <c r="J3576" s="19" t="s">
        <v>104</v>
      </c>
      <c r="K3576" s="14">
        <v>22.0</v>
      </c>
      <c r="L3576" s="7"/>
      <c r="M3576" s="7"/>
      <c r="N3576" s="7"/>
      <c r="O3576" s="7"/>
      <c r="P3576" s="7"/>
      <c r="Q3576" s="7"/>
      <c r="R3576" s="7"/>
      <c r="S3576" s="7"/>
      <c r="T3576" s="7"/>
      <c r="U3576" s="7"/>
      <c r="V3576" s="7"/>
      <c r="W3576" s="7"/>
      <c r="X3576" s="7"/>
      <c r="Y3576" s="7"/>
    </row>
    <row r="3577">
      <c r="A3577" s="14" t="s">
        <v>12730</v>
      </c>
      <c r="B3577" s="17" t="s">
        <v>12727</v>
      </c>
      <c r="C3577" s="17" t="s">
        <v>12731</v>
      </c>
      <c r="D3577" s="19" t="s">
        <v>12732</v>
      </c>
      <c r="E3577" s="20" t="s">
        <v>104</v>
      </c>
      <c r="F3577" s="21">
        <v>31491.0</v>
      </c>
      <c r="G3577" s="14">
        <v>40.0</v>
      </c>
      <c r="H3577" s="23" t="s">
        <v>26</v>
      </c>
      <c r="I3577" s="24" t="s">
        <v>27</v>
      </c>
      <c r="J3577" s="19" t="s">
        <v>104</v>
      </c>
      <c r="K3577" s="14">
        <v>22.0</v>
      </c>
      <c r="L3577" s="7"/>
      <c r="M3577" s="7"/>
      <c r="N3577" s="7"/>
      <c r="O3577" s="7"/>
      <c r="P3577" s="7"/>
      <c r="Q3577" s="7"/>
      <c r="R3577" s="7"/>
      <c r="S3577" s="7"/>
      <c r="T3577" s="7"/>
      <c r="U3577" s="7"/>
      <c r="V3577" s="7"/>
      <c r="W3577" s="7"/>
      <c r="X3577" s="7"/>
      <c r="Y3577" s="7"/>
    </row>
    <row r="3578">
      <c r="A3578" s="14" t="s">
        <v>12733</v>
      </c>
      <c r="B3578" s="17" t="s">
        <v>12734</v>
      </c>
      <c r="C3578" s="17" t="s">
        <v>12735</v>
      </c>
      <c r="D3578" s="19" t="s">
        <v>12736</v>
      </c>
      <c r="E3578" s="20" t="s">
        <v>12737</v>
      </c>
      <c r="F3578" s="27">
        <v>35734.0</v>
      </c>
      <c r="G3578" s="14">
        <v>28.0</v>
      </c>
      <c r="H3578" s="23" t="s">
        <v>26</v>
      </c>
      <c r="I3578" s="24" t="s">
        <v>33</v>
      </c>
      <c r="J3578" s="19" t="s">
        <v>282</v>
      </c>
      <c r="K3578" s="14">
        <v>18.0</v>
      </c>
      <c r="L3578" s="7"/>
      <c r="M3578" s="7"/>
      <c r="N3578" s="7"/>
      <c r="O3578" s="7"/>
      <c r="P3578" s="7"/>
      <c r="Q3578" s="7"/>
      <c r="R3578" s="7"/>
      <c r="S3578" s="7"/>
      <c r="T3578" s="7"/>
      <c r="U3578" s="7"/>
      <c r="V3578" s="7"/>
      <c r="W3578" s="7"/>
      <c r="X3578" s="7"/>
      <c r="Y3578" s="7"/>
    </row>
    <row r="3579">
      <c r="A3579" s="14" t="s">
        <v>12738</v>
      </c>
      <c r="B3579" s="17" t="s">
        <v>12734</v>
      </c>
      <c r="C3579" s="17" t="s">
        <v>12739</v>
      </c>
      <c r="D3579" s="19" t="s">
        <v>5443</v>
      </c>
      <c r="E3579" s="20" t="s">
        <v>1058</v>
      </c>
      <c r="F3579" s="21">
        <v>35977.0</v>
      </c>
      <c r="G3579" s="14">
        <v>28.0</v>
      </c>
      <c r="H3579" s="23" t="s">
        <v>26</v>
      </c>
      <c r="I3579" s="24" t="s">
        <v>27</v>
      </c>
      <c r="J3579" s="19" t="s">
        <v>282</v>
      </c>
      <c r="K3579" s="14">
        <v>18.0</v>
      </c>
      <c r="L3579" s="7"/>
      <c r="M3579" s="7"/>
      <c r="N3579" s="7"/>
      <c r="O3579" s="7"/>
      <c r="P3579" s="7"/>
      <c r="Q3579" s="7"/>
      <c r="R3579" s="7"/>
      <c r="S3579" s="7"/>
      <c r="T3579" s="7"/>
      <c r="U3579" s="7"/>
      <c r="V3579" s="7"/>
      <c r="W3579" s="7"/>
      <c r="X3579" s="7"/>
      <c r="Y3579" s="7"/>
    </row>
    <row r="3580">
      <c r="A3580" s="14" t="s">
        <v>12740</v>
      </c>
      <c r="B3580" s="17" t="s">
        <v>12741</v>
      </c>
      <c r="C3580" s="17" t="s">
        <v>12742</v>
      </c>
      <c r="D3580" s="19" t="s">
        <v>12743</v>
      </c>
      <c r="E3580" s="20" t="s">
        <v>138</v>
      </c>
      <c r="F3580" s="21">
        <v>35941.0</v>
      </c>
      <c r="G3580" s="14">
        <v>28.0</v>
      </c>
      <c r="H3580" s="23" t="s">
        <v>26</v>
      </c>
      <c r="I3580" s="24" t="s">
        <v>33</v>
      </c>
      <c r="J3580" s="19" t="s">
        <v>1437</v>
      </c>
      <c r="K3580" s="14">
        <v>33.0</v>
      </c>
      <c r="L3580" s="7"/>
      <c r="M3580" s="7"/>
      <c r="N3580" s="7"/>
      <c r="O3580" s="7"/>
      <c r="P3580" s="7"/>
      <c r="Q3580" s="7"/>
      <c r="R3580" s="7"/>
      <c r="S3580" s="7"/>
      <c r="T3580" s="7"/>
      <c r="U3580" s="7"/>
      <c r="V3580" s="7"/>
      <c r="W3580" s="7"/>
      <c r="X3580" s="7"/>
      <c r="Y3580" s="7"/>
    </row>
    <row r="3581">
      <c r="A3581" s="14" t="s">
        <v>12744</v>
      </c>
      <c r="B3581" s="17" t="s">
        <v>12741</v>
      </c>
      <c r="C3581" s="17" t="s">
        <v>12745</v>
      </c>
      <c r="D3581" s="19" t="s">
        <v>12746</v>
      </c>
      <c r="E3581" s="20" t="s">
        <v>53</v>
      </c>
      <c r="F3581" s="21">
        <v>36001.0</v>
      </c>
      <c r="G3581" s="14">
        <v>28.0</v>
      </c>
      <c r="H3581" s="23" t="s">
        <v>26</v>
      </c>
      <c r="I3581" s="24" t="s">
        <v>27</v>
      </c>
      <c r="J3581" s="19" t="s">
        <v>1437</v>
      </c>
      <c r="K3581" s="14">
        <v>33.0</v>
      </c>
      <c r="L3581" s="7"/>
      <c r="M3581" s="7"/>
      <c r="N3581" s="7"/>
      <c r="O3581" s="7"/>
      <c r="P3581" s="7"/>
      <c r="Q3581" s="7"/>
      <c r="R3581" s="7"/>
      <c r="S3581" s="7"/>
      <c r="T3581" s="7"/>
      <c r="U3581" s="7"/>
      <c r="V3581" s="7"/>
      <c r="W3581" s="7"/>
      <c r="X3581" s="7"/>
      <c r="Y3581" s="7"/>
    </row>
    <row r="3582">
      <c r="A3582" s="14" t="s">
        <v>12747</v>
      </c>
      <c r="B3582" s="17" t="s">
        <v>12748</v>
      </c>
      <c r="C3582" s="17" t="s">
        <v>12749</v>
      </c>
      <c r="D3582" s="19" t="s">
        <v>12750</v>
      </c>
      <c r="E3582" s="20" t="s">
        <v>53</v>
      </c>
      <c r="F3582" s="21">
        <v>36012.0</v>
      </c>
      <c r="G3582" s="14">
        <v>28.0</v>
      </c>
      <c r="H3582" s="23" t="s">
        <v>26</v>
      </c>
      <c r="I3582" s="24" t="s">
        <v>33</v>
      </c>
      <c r="J3582" s="19" t="s">
        <v>282</v>
      </c>
      <c r="K3582" s="14">
        <v>11.0</v>
      </c>
      <c r="L3582" s="7"/>
      <c r="M3582" s="7"/>
      <c r="N3582" s="7"/>
      <c r="O3582" s="7"/>
      <c r="P3582" s="7"/>
      <c r="Q3582" s="7"/>
      <c r="R3582" s="7"/>
      <c r="S3582" s="7"/>
      <c r="T3582" s="7"/>
      <c r="U3582" s="7"/>
      <c r="V3582" s="7"/>
      <c r="W3582" s="7"/>
      <c r="X3582" s="7"/>
      <c r="Y3582" s="7"/>
    </row>
    <row r="3583">
      <c r="A3583" s="14" t="s">
        <v>12751</v>
      </c>
      <c r="B3583" s="17" t="s">
        <v>12748</v>
      </c>
      <c r="C3583" s="17" t="s">
        <v>12752</v>
      </c>
      <c r="D3583" s="19" t="s">
        <v>12753</v>
      </c>
      <c r="E3583" s="20" t="s">
        <v>536</v>
      </c>
      <c r="F3583" s="27">
        <v>36493.0</v>
      </c>
      <c r="G3583" s="14">
        <v>26.0</v>
      </c>
      <c r="H3583" s="23" t="s">
        <v>26</v>
      </c>
      <c r="I3583" s="24" t="s">
        <v>27</v>
      </c>
      <c r="J3583" s="19" t="s">
        <v>282</v>
      </c>
      <c r="K3583" s="14">
        <v>11.0</v>
      </c>
      <c r="L3583" s="7"/>
      <c r="M3583" s="7"/>
      <c r="N3583" s="7"/>
      <c r="O3583" s="7"/>
      <c r="P3583" s="7"/>
      <c r="Q3583" s="7"/>
      <c r="R3583" s="7"/>
      <c r="S3583" s="7"/>
      <c r="T3583" s="7"/>
      <c r="U3583" s="7"/>
      <c r="V3583" s="7"/>
      <c r="W3583" s="7"/>
      <c r="X3583" s="7"/>
      <c r="Y3583" s="7"/>
    </row>
    <row r="3584">
      <c r="A3584" s="14" t="s">
        <v>12754</v>
      </c>
      <c r="B3584" s="17" t="s">
        <v>12755</v>
      </c>
      <c r="C3584" s="17" t="s">
        <v>12756</v>
      </c>
      <c r="D3584" s="19" t="s">
        <v>12757</v>
      </c>
      <c r="E3584" s="20" t="s">
        <v>1816</v>
      </c>
      <c r="F3584" s="27">
        <v>20435.0</v>
      </c>
      <c r="G3584" s="14">
        <v>70.0</v>
      </c>
      <c r="H3584" s="23" t="s">
        <v>26</v>
      </c>
      <c r="I3584" s="24" t="s">
        <v>33</v>
      </c>
      <c r="J3584" s="19" t="s">
        <v>282</v>
      </c>
      <c r="K3584" s="14">
        <v>18.0</v>
      </c>
      <c r="L3584" s="7"/>
      <c r="M3584" s="7"/>
      <c r="N3584" s="7"/>
      <c r="O3584" s="7"/>
      <c r="P3584" s="7"/>
      <c r="Q3584" s="7"/>
      <c r="R3584" s="7"/>
      <c r="S3584" s="7"/>
      <c r="T3584" s="7"/>
      <c r="U3584" s="7"/>
      <c r="V3584" s="7"/>
      <c r="W3584" s="7"/>
      <c r="X3584" s="7"/>
      <c r="Y3584" s="7"/>
    </row>
    <row r="3585">
      <c r="A3585" s="14" t="s">
        <v>12758</v>
      </c>
      <c r="B3585" s="17" t="s">
        <v>12755</v>
      </c>
      <c r="C3585" s="17" t="s">
        <v>12759</v>
      </c>
      <c r="D3585" s="19" t="s">
        <v>3729</v>
      </c>
      <c r="E3585" s="20" t="s">
        <v>2672</v>
      </c>
      <c r="F3585" s="21">
        <v>24967.0</v>
      </c>
      <c r="G3585" s="14">
        <v>58.0</v>
      </c>
      <c r="H3585" s="23" t="s">
        <v>26</v>
      </c>
      <c r="I3585" s="24" t="s">
        <v>27</v>
      </c>
      <c r="J3585" s="19" t="s">
        <v>282</v>
      </c>
      <c r="K3585" s="14">
        <v>18.0</v>
      </c>
      <c r="L3585" s="7"/>
      <c r="M3585" s="7"/>
      <c r="N3585" s="7"/>
      <c r="O3585" s="7"/>
      <c r="P3585" s="7"/>
      <c r="Q3585" s="7"/>
      <c r="R3585" s="7"/>
      <c r="S3585" s="7"/>
      <c r="T3585" s="7"/>
      <c r="U3585" s="7"/>
      <c r="V3585" s="7"/>
      <c r="W3585" s="7"/>
      <c r="X3585" s="7"/>
      <c r="Y3585" s="7"/>
    </row>
    <row r="3586">
      <c r="A3586" s="14" t="s">
        <v>12760</v>
      </c>
      <c r="B3586" s="17" t="s">
        <v>12761</v>
      </c>
      <c r="C3586" s="17" t="s">
        <v>12762</v>
      </c>
      <c r="D3586" s="19" t="s">
        <v>12763</v>
      </c>
      <c r="E3586" s="20" t="s">
        <v>12764</v>
      </c>
      <c r="F3586" s="21">
        <v>32621.0</v>
      </c>
      <c r="G3586" s="14">
        <v>37.0</v>
      </c>
      <c r="H3586" s="23" t="s">
        <v>26</v>
      </c>
      <c r="I3586" s="24" t="s">
        <v>33</v>
      </c>
      <c r="J3586" s="19" t="s">
        <v>53</v>
      </c>
      <c r="K3586" s="14">
        <v>30.0</v>
      </c>
      <c r="L3586" s="7"/>
      <c r="M3586" s="7"/>
      <c r="N3586" s="7"/>
      <c r="O3586" s="7"/>
      <c r="P3586" s="7"/>
      <c r="Q3586" s="7"/>
      <c r="R3586" s="7"/>
      <c r="S3586" s="7"/>
      <c r="T3586" s="7"/>
      <c r="U3586" s="7"/>
      <c r="V3586" s="7"/>
      <c r="W3586" s="7"/>
      <c r="X3586" s="7"/>
      <c r="Y3586" s="7"/>
    </row>
    <row r="3587">
      <c r="A3587" s="14" t="s">
        <v>12765</v>
      </c>
      <c r="B3587" s="17" t="s">
        <v>12761</v>
      </c>
      <c r="C3587" s="17" t="s">
        <v>12766</v>
      </c>
      <c r="D3587" s="19" t="s">
        <v>12767</v>
      </c>
      <c r="E3587" s="20" t="s">
        <v>104</v>
      </c>
      <c r="F3587" s="27">
        <v>38682.0</v>
      </c>
      <c r="G3587" s="14">
        <v>20.0</v>
      </c>
      <c r="H3587" s="23" t="s">
        <v>100</v>
      </c>
      <c r="I3587" s="24" t="s">
        <v>33</v>
      </c>
      <c r="J3587" s="19" t="s">
        <v>53</v>
      </c>
      <c r="K3587" s="14">
        <v>30.0</v>
      </c>
      <c r="L3587" s="7"/>
      <c r="M3587" s="7"/>
      <c r="N3587" s="7"/>
      <c r="O3587" s="7"/>
      <c r="P3587" s="7"/>
      <c r="Q3587" s="7"/>
      <c r="R3587" s="7"/>
      <c r="S3587" s="7"/>
      <c r="T3587" s="7"/>
      <c r="U3587" s="7"/>
      <c r="V3587" s="7"/>
      <c r="W3587" s="7"/>
      <c r="X3587" s="7"/>
      <c r="Y3587" s="7"/>
    </row>
    <row r="3588">
      <c r="A3588" s="14" t="s">
        <v>12768</v>
      </c>
      <c r="B3588" s="17" t="s">
        <v>12761</v>
      </c>
      <c r="C3588" s="17" t="s">
        <v>12769</v>
      </c>
      <c r="D3588" s="19" t="s">
        <v>861</v>
      </c>
      <c r="E3588" s="20" t="s">
        <v>3587</v>
      </c>
      <c r="F3588" s="21">
        <v>28161.0</v>
      </c>
      <c r="G3588" s="14">
        <v>49.0</v>
      </c>
      <c r="H3588" s="23" t="s">
        <v>26</v>
      </c>
      <c r="I3588" s="24" t="s">
        <v>27</v>
      </c>
      <c r="J3588" s="19" t="s">
        <v>53</v>
      </c>
      <c r="K3588" s="14">
        <v>30.0</v>
      </c>
      <c r="L3588" s="7"/>
      <c r="M3588" s="7"/>
      <c r="N3588" s="7"/>
      <c r="O3588" s="7"/>
      <c r="P3588" s="7"/>
      <c r="Q3588" s="7"/>
      <c r="R3588" s="7"/>
      <c r="S3588" s="7"/>
      <c r="T3588" s="7"/>
      <c r="U3588" s="7"/>
      <c r="V3588" s="7"/>
      <c r="W3588" s="7"/>
      <c r="X3588" s="7"/>
      <c r="Y3588" s="7"/>
    </row>
    <row r="3589">
      <c r="A3589" s="14" t="s">
        <v>12770</v>
      </c>
      <c r="B3589" s="17" t="s">
        <v>12771</v>
      </c>
      <c r="C3589" s="17" t="s">
        <v>12772</v>
      </c>
      <c r="D3589" s="19" t="s">
        <v>460</v>
      </c>
      <c r="E3589" s="20" t="s">
        <v>104</v>
      </c>
      <c r="F3589" s="21">
        <v>29771.0</v>
      </c>
      <c r="G3589" s="14">
        <v>45.0</v>
      </c>
      <c r="H3589" s="23" t="s">
        <v>26</v>
      </c>
      <c r="I3589" s="24" t="s">
        <v>33</v>
      </c>
      <c r="J3589" s="19" t="s">
        <v>362</v>
      </c>
      <c r="K3589" s="14">
        <v>19.0</v>
      </c>
      <c r="L3589" s="7"/>
      <c r="M3589" s="7"/>
      <c r="N3589" s="7"/>
      <c r="O3589" s="7"/>
      <c r="P3589" s="7"/>
      <c r="Q3589" s="7"/>
      <c r="R3589" s="7"/>
      <c r="S3589" s="7"/>
      <c r="T3589" s="7"/>
      <c r="U3589" s="7"/>
      <c r="V3589" s="7"/>
      <c r="W3589" s="7"/>
      <c r="X3589" s="7"/>
      <c r="Y3589" s="7"/>
    </row>
    <row r="3590">
      <c r="A3590" s="14" t="s">
        <v>12773</v>
      </c>
      <c r="B3590" s="17" t="s">
        <v>12771</v>
      </c>
      <c r="C3590" s="17" t="s">
        <v>12774</v>
      </c>
      <c r="D3590" s="19" t="s">
        <v>12775</v>
      </c>
      <c r="E3590" s="20" t="s">
        <v>12776</v>
      </c>
      <c r="F3590" s="21">
        <v>33604.0</v>
      </c>
      <c r="G3590" s="14">
        <v>34.0</v>
      </c>
      <c r="H3590" s="23" t="s">
        <v>26</v>
      </c>
      <c r="I3590" s="24" t="s">
        <v>27</v>
      </c>
      <c r="J3590" s="19" t="s">
        <v>362</v>
      </c>
      <c r="K3590" s="14">
        <v>19.0</v>
      </c>
      <c r="L3590" s="7"/>
      <c r="M3590" s="7"/>
      <c r="N3590" s="7"/>
      <c r="O3590" s="7"/>
      <c r="P3590" s="7"/>
      <c r="Q3590" s="7"/>
      <c r="R3590" s="7"/>
      <c r="S3590" s="7"/>
      <c r="T3590" s="7"/>
      <c r="U3590" s="7"/>
      <c r="V3590" s="7"/>
      <c r="W3590" s="7"/>
      <c r="X3590" s="7"/>
      <c r="Y3590" s="7"/>
    </row>
    <row r="3591">
      <c r="A3591" s="14" t="s">
        <v>12777</v>
      </c>
      <c r="B3591" s="17" t="s">
        <v>12778</v>
      </c>
      <c r="C3591" s="17" t="s">
        <v>12779</v>
      </c>
      <c r="D3591" s="19" t="s">
        <v>12780</v>
      </c>
      <c r="E3591" s="20" t="s">
        <v>12781</v>
      </c>
      <c r="F3591" s="21">
        <v>32363.0</v>
      </c>
      <c r="G3591" s="14">
        <v>38.0</v>
      </c>
      <c r="H3591" s="23" t="s">
        <v>26</v>
      </c>
      <c r="I3591" s="24" t="s">
        <v>27</v>
      </c>
      <c r="J3591" s="19" t="s">
        <v>53</v>
      </c>
      <c r="K3591" s="14">
        <v>34.0</v>
      </c>
      <c r="L3591" s="7"/>
      <c r="M3591" s="7"/>
      <c r="N3591" s="7"/>
      <c r="O3591" s="7"/>
      <c r="P3591" s="7"/>
      <c r="Q3591" s="7"/>
      <c r="R3591" s="7"/>
      <c r="S3591" s="7"/>
      <c r="T3591" s="7"/>
      <c r="U3591" s="7"/>
      <c r="V3591" s="7"/>
      <c r="W3591" s="7"/>
      <c r="X3591" s="7"/>
      <c r="Y3591" s="7"/>
    </row>
    <row r="3592">
      <c r="A3592" s="14" t="s">
        <v>12782</v>
      </c>
      <c r="B3592" s="17" t="s">
        <v>12778</v>
      </c>
      <c r="C3592" s="17" t="s">
        <v>12783</v>
      </c>
      <c r="D3592" s="19" t="s">
        <v>12784</v>
      </c>
      <c r="E3592" s="20" t="s">
        <v>53</v>
      </c>
      <c r="F3592" s="21">
        <v>32290.0</v>
      </c>
      <c r="G3592" s="14">
        <v>38.0</v>
      </c>
      <c r="H3592" s="23" t="s">
        <v>26</v>
      </c>
      <c r="I3592" s="24" t="s">
        <v>33</v>
      </c>
      <c r="J3592" s="19" t="s">
        <v>53</v>
      </c>
      <c r="K3592" s="14">
        <v>34.0</v>
      </c>
      <c r="L3592" s="7"/>
      <c r="M3592" s="7"/>
      <c r="N3592" s="7"/>
      <c r="O3592" s="7"/>
      <c r="P3592" s="7"/>
      <c r="Q3592" s="7"/>
      <c r="R3592" s="7"/>
      <c r="S3592" s="7"/>
      <c r="T3592" s="7"/>
      <c r="U3592" s="7"/>
      <c r="V3592" s="7"/>
      <c r="W3592" s="7"/>
      <c r="X3592" s="7"/>
      <c r="Y3592" s="7"/>
    </row>
    <row r="3593">
      <c r="A3593" s="14" t="s">
        <v>12785</v>
      </c>
      <c r="B3593" s="17" t="s">
        <v>12786</v>
      </c>
      <c r="C3593" s="17" t="s">
        <v>12787</v>
      </c>
      <c r="D3593" s="19" t="s">
        <v>12788</v>
      </c>
      <c r="E3593" s="20" t="s">
        <v>10898</v>
      </c>
      <c r="F3593" s="21">
        <v>32206.0</v>
      </c>
      <c r="G3593" s="14">
        <v>38.0</v>
      </c>
      <c r="H3593" s="23" t="s">
        <v>26</v>
      </c>
      <c r="I3593" s="24" t="s">
        <v>27</v>
      </c>
      <c r="J3593" s="19" t="s">
        <v>68</v>
      </c>
      <c r="K3593" s="14">
        <v>30.0</v>
      </c>
      <c r="L3593" s="7"/>
      <c r="M3593" s="7"/>
      <c r="N3593" s="7"/>
      <c r="O3593" s="7"/>
      <c r="P3593" s="7"/>
      <c r="Q3593" s="7"/>
      <c r="R3593" s="7"/>
      <c r="S3593" s="7"/>
      <c r="T3593" s="7"/>
      <c r="U3593" s="7"/>
      <c r="V3593" s="7"/>
      <c r="W3593" s="7"/>
      <c r="X3593" s="7"/>
      <c r="Y3593" s="7"/>
    </row>
    <row r="3594">
      <c r="A3594" s="14" t="s">
        <v>12789</v>
      </c>
      <c r="B3594" s="17" t="s">
        <v>12786</v>
      </c>
      <c r="C3594" s="17" t="s">
        <v>12790</v>
      </c>
      <c r="D3594" s="19" t="s">
        <v>12791</v>
      </c>
      <c r="E3594" s="20" t="s">
        <v>195</v>
      </c>
      <c r="F3594" s="21">
        <v>32971.0</v>
      </c>
      <c r="G3594" s="14">
        <v>36.0</v>
      </c>
      <c r="H3594" s="23" t="s">
        <v>26</v>
      </c>
      <c r="I3594" s="24" t="s">
        <v>33</v>
      </c>
      <c r="J3594" s="19" t="s">
        <v>68</v>
      </c>
      <c r="K3594" s="14">
        <v>30.0</v>
      </c>
      <c r="L3594" s="7"/>
      <c r="M3594" s="7"/>
      <c r="N3594" s="7"/>
      <c r="O3594" s="7"/>
      <c r="P3594" s="7"/>
      <c r="Q3594" s="7"/>
      <c r="R3594" s="7"/>
      <c r="S3594" s="7"/>
      <c r="T3594" s="7"/>
      <c r="U3594" s="7"/>
      <c r="V3594" s="7"/>
      <c r="W3594" s="7"/>
      <c r="X3594" s="7"/>
      <c r="Y3594" s="7"/>
    </row>
    <row r="3595">
      <c r="A3595" s="14" t="s">
        <v>12792</v>
      </c>
      <c r="B3595" s="17" t="s">
        <v>12793</v>
      </c>
      <c r="C3595" s="17" t="s">
        <v>12794</v>
      </c>
      <c r="D3595" s="19" t="s">
        <v>12795</v>
      </c>
      <c r="E3595" s="20" t="s">
        <v>104</v>
      </c>
      <c r="F3595" s="21">
        <v>34558.0</v>
      </c>
      <c r="G3595" s="14">
        <v>32.0</v>
      </c>
      <c r="H3595" s="23" t="s">
        <v>26</v>
      </c>
      <c r="I3595" s="24" t="s">
        <v>27</v>
      </c>
      <c r="J3595" s="19" t="s">
        <v>53</v>
      </c>
      <c r="K3595" s="14">
        <v>5.0</v>
      </c>
      <c r="L3595" s="7"/>
      <c r="M3595" s="7"/>
      <c r="N3595" s="7"/>
      <c r="O3595" s="7"/>
      <c r="P3595" s="7"/>
      <c r="Q3595" s="7"/>
      <c r="R3595" s="7"/>
      <c r="S3595" s="7"/>
      <c r="T3595" s="7"/>
      <c r="U3595" s="7"/>
      <c r="V3595" s="7"/>
      <c r="W3595" s="7"/>
      <c r="X3595" s="7"/>
      <c r="Y3595" s="7"/>
    </row>
    <row r="3596">
      <c r="A3596" s="14" t="s">
        <v>12796</v>
      </c>
      <c r="B3596" s="17" t="s">
        <v>12793</v>
      </c>
      <c r="C3596" s="17" t="s">
        <v>12797</v>
      </c>
      <c r="D3596" s="19" t="s">
        <v>12798</v>
      </c>
      <c r="E3596" s="20" t="s">
        <v>769</v>
      </c>
      <c r="F3596" s="21">
        <v>31442.0</v>
      </c>
      <c r="G3596" s="14">
        <v>40.0</v>
      </c>
      <c r="H3596" s="23" t="s">
        <v>26</v>
      </c>
      <c r="I3596" s="24" t="s">
        <v>33</v>
      </c>
      <c r="J3596" s="19" t="s">
        <v>53</v>
      </c>
      <c r="K3596" s="14">
        <v>5.0</v>
      </c>
      <c r="L3596" s="7"/>
      <c r="M3596" s="7"/>
      <c r="N3596" s="7"/>
      <c r="O3596" s="7"/>
      <c r="P3596" s="7"/>
      <c r="Q3596" s="7"/>
      <c r="R3596" s="7"/>
      <c r="S3596" s="7"/>
      <c r="T3596" s="7"/>
      <c r="U3596" s="7"/>
      <c r="V3596" s="7"/>
      <c r="W3596" s="7"/>
      <c r="X3596" s="7"/>
      <c r="Y3596" s="7"/>
    </row>
    <row r="3597">
      <c r="A3597" s="14" t="s">
        <v>12799</v>
      </c>
      <c r="B3597" s="17" t="s">
        <v>12800</v>
      </c>
      <c r="C3597" s="17" t="s">
        <v>12801</v>
      </c>
      <c r="D3597" s="19" t="s">
        <v>12802</v>
      </c>
      <c r="E3597" s="20" t="s">
        <v>5578</v>
      </c>
      <c r="F3597" s="21">
        <v>31599.0</v>
      </c>
      <c r="G3597" s="14">
        <v>40.0</v>
      </c>
      <c r="H3597" s="23" t="s">
        <v>100</v>
      </c>
      <c r="I3597" s="24" t="s">
        <v>33</v>
      </c>
      <c r="J3597" s="19" t="s">
        <v>53</v>
      </c>
      <c r="K3597" s="14">
        <v>23.0</v>
      </c>
      <c r="L3597" s="7"/>
      <c r="M3597" s="7"/>
      <c r="N3597" s="7"/>
      <c r="O3597" s="7"/>
      <c r="P3597" s="7"/>
      <c r="Q3597" s="7"/>
      <c r="R3597" s="7"/>
      <c r="S3597" s="7"/>
      <c r="T3597" s="7"/>
      <c r="U3597" s="7"/>
      <c r="V3597" s="7"/>
      <c r="W3597" s="7"/>
      <c r="X3597" s="7"/>
      <c r="Y3597" s="7"/>
    </row>
    <row r="3598">
      <c r="A3598" s="14" t="s">
        <v>12803</v>
      </c>
      <c r="B3598" s="17" t="s">
        <v>12800</v>
      </c>
      <c r="C3598" s="17" t="s">
        <v>12804</v>
      </c>
      <c r="D3598" s="19" t="s">
        <v>12805</v>
      </c>
      <c r="E3598" s="20" t="s">
        <v>5578</v>
      </c>
      <c r="F3598" s="21">
        <v>19828.0</v>
      </c>
      <c r="G3598" s="14">
        <v>72.0</v>
      </c>
      <c r="H3598" s="23" t="s">
        <v>26</v>
      </c>
      <c r="I3598" s="24" t="s">
        <v>33</v>
      </c>
      <c r="J3598" s="19" t="s">
        <v>53</v>
      </c>
      <c r="K3598" s="14">
        <v>23.0</v>
      </c>
      <c r="L3598" s="7"/>
      <c r="M3598" s="7"/>
      <c r="N3598" s="7"/>
      <c r="O3598" s="7"/>
      <c r="P3598" s="7"/>
      <c r="Q3598" s="7"/>
      <c r="R3598" s="7"/>
      <c r="S3598" s="7"/>
      <c r="T3598" s="7"/>
      <c r="U3598" s="7"/>
      <c r="V3598" s="7"/>
      <c r="W3598" s="7"/>
      <c r="X3598" s="7"/>
      <c r="Y3598" s="7"/>
    </row>
    <row r="3599">
      <c r="A3599" s="14" t="s">
        <v>12806</v>
      </c>
      <c r="B3599" s="17" t="s">
        <v>12800</v>
      </c>
      <c r="C3599" s="17" t="s">
        <v>12807</v>
      </c>
      <c r="D3599" s="19" t="s">
        <v>12808</v>
      </c>
      <c r="E3599" s="20" t="s">
        <v>1058</v>
      </c>
      <c r="F3599" s="27">
        <v>21473.0</v>
      </c>
      <c r="G3599" s="14">
        <v>67.0</v>
      </c>
      <c r="H3599" s="23" t="s">
        <v>26</v>
      </c>
      <c r="I3599" s="24" t="s">
        <v>27</v>
      </c>
      <c r="J3599" s="19" t="s">
        <v>53</v>
      </c>
      <c r="K3599" s="14">
        <v>23.0</v>
      </c>
      <c r="L3599" s="7"/>
      <c r="M3599" s="7"/>
      <c r="N3599" s="7"/>
      <c r="O3599" s="7"/>
      <c r="P3599" s="7"/>
      <c r="Q3599" s="7"/>
      <c r="R3599" s="7"/>
      <c r="S3599" s="7"/>
      <c r="T3599" s="7"/>
      <c r="U3599" s="7"/>
      <c r="V3599" s="7"/>
      <c r="W3599" s="7"/>
      <c r="X3599" s="7"/>
      <c r="Y3599" s="7"/>
    </row>
    <row r="3600">
      <c r="A3600" s="14" t="s">
        <v>12809</v>
      </c>
      <c r="B3600" s="17" t="s">
        <v>12810</v>
      </c>
      <c r="C3600" s="17" t="s">
        <v>12811</v>
      </c>
      <c r="D3600" s="19" t="s">
        <v>12812</v>
      </c>
      <c r="E3600" s="20" t="s">
        <v>104</v>
      </c>
      <c r="F3600" s="21">
        <v>35674.0</v>
      </c>
      <c r="G3600" s="14">
        <v>28.0</v>
      </c>
      <c r="H3600" s="23" t="s">
        <v>26</v>
      </c>
      <c r="I3600" s="24" t="s">
        <v>27</v>
      </c>
      <c r="J3600" s="19" t="s">
        <v>1915</v>
      </c>
      <c r="K3600" s="14">
        <v>11.0</v>
      </c>
      <c r="L3600" s="7"/>
      <c r="M3600" s="7"/>
      <c r="N3600" s="7"/>
      <c r="O3600" s="7"/>
      <c r="P3600" s="7"/>
      <c r="Q3600" s="7"/>
      <c r="R3600" s="7"/>
      <c r="S3600" s="7"/>
      <c r="T3600" s="7"/>
      <c r="U3600" s="7"/>
      <c r="V3600" s="7"/>
      <c r="W3600" s="7"/>
      <c r="X3600" s="7"/>
      <c r="Y3600" s="7"/>
    </row>
    <row r="3601">
      <c r="A3601" s="14" t="s">
        <v>12813</v>
      </c>
      <c r="B3601" s="17" t="s">
        <v>12810</v>
      </c>
      <c r="C3601" s="17" t="s">
        <v>12814</v>
      </c>
      <c r="D3601" s="19" t="s">
        <v>12815</v>
      </c>
      <c r="E3601" s="20" t="s">
        <v>671</v>
      </c>
      <c r="F3601" s="21">
        <v>31943.0</v>
      </c>
      <c r="G3601" s="14">
        <v>39.0</v>
      </c>
      <c r="H3601" s="23" t="s">
        <v>26</v>
      </c>
      <c r="I3601" s="24" t="s">
        <v>33</v>
      </c>
      <c r="J3601" s="19" t="s">
        <v>1915</v>
      </c>
      <c r="K3601" s="14">
        <v>11.0</v>
      </c>
      <c r="L3601" s="7"/>
      <c r="M3601" s="7"/>
      <c r="N3601" s="7"/>
      <c r="O3601" s="7"/>
      <c r="P3601" s="7"/>
      <c r="Q3601" s="7"/>
      <c r="R3601" s="7"/>
      <c r="S3601" s="7"/>
      <c r="T3601" s="7"/>
      <c r="U3601" s="7"/>
      <c r="V3601" s="7"/>
      <c r="W3601" s="7"/>
      <c r="X3601" s="7"/>
      <c r="Y3601" s="7"/>
    </row>
    <row r="3602">
      <c r="A3602" s="14" t="s">
        <v>12816</v>
      </c>
      <c r="B3602" s="17" t="s">
        <v>12817</v>
      </c>
      <c r="C3602" s="17" t="s">
        <v>12818</v>
      </c>
      <c r="D3602" s="19" t="s">
        <v>12819</v>
      </c>
      <c r="E3602" s="20" t="s">
        <v>12820</v>
      </c>
      <c r="F3602" s="21">
        <v>31856.0</v>
      </c>
      <c r="G3602" s="14">
        <v>39.0</v>
      </c>
      <c r="H3602" s="23" t="s">
        <v>26</v>
      </c>
      <c r="I3602" s="24" t="s">
        <v>33</v>
      </c>
      <c r="J3602" s="19" t="s">
        <v>282</v>
      </c>
      <c r="K3602" s="14">
        <v>17.0</v>
      </c>
      <c r="L3602" s="7"/>
      <c r="M3602" s="7"/>
      <c r="N3602" s="7"/>
      <c r="O3602" s="7"/>
      <c r="P3602" s="7"/>
      <c r="Q3602" s="7"/>
      <c r="R3602" s="7"/>
      <c r="S3602" s="7"/>
      <c r="T3602" s="7"/>
      <c r="U3602" s="7"/>
      <c r="V3602" s="7"/>
      <c r="W3602" s="7"/>
      <c r="X3602" s="7"/>
      <c r="Y3602" s="7"/>
    </row>
    <row r="3603">
      <c r="A3603" s="14" t="s">
        <v>12821</v>
      </c>
      <c r="B3603" s="17" t="s">
        <v>12817</v>
      </c>
      <c r="C3603" s="17" t="s">
        <v>12822</v>
      </c>
      <c r="D3603" s="19" t="s">
        <v>12823</v>
      </c>
      <c r="E3603" s="20" t="s">
        <v>337</v>
      </c>
      <c r="F3603" s="21">
        <v>34053.0</v>
      </c>
      <c r="G3603" s="14">
        <v>33.0</v>
      </c>
      <c r="H3603" s="23" t="s">
        <v>26</v>
      </c>
      <c r="I3603" s="24" t="s">
        <v>27</v>
      </c>
      <c r="J3603" s="19" t="s">
        <v>282</v>
      </c>
      <c r="K3603" s="14">
        <v>17.0</v>
      </c>
      <c r="L3603" s="7"/>
      <c r="M3603" s="7"/>
      <c r="N3603" s="7"/>
      <c r="O3603" s="7"/>
      <c r="P3603" s="7"/>
      <c r="Q3603" s="7"/>
      <c r="R3603" s="7"/>
      <c r="S3603" s="7"/>
      <c r="T3603" s="7"/>
      <c r="U3603" s="7"/>
      <c r="V3603" s="7"/>
      <c r="W3603" s="7"/>
      <c r="X3603" s="7"/>
      <c r="Y3603" s="7"/>
    </row>
    <row r="3604">
      <c r="A3604" s="14" t="s">
        <v>12824</v>
      </c>
      <c r="B3604" s="17" t="s">
        <v>12825</v>
      </c>
      <c r="C3604" s="17" t="s">
        <v>12827</v>
      </c>
      <c r="D3604" s="19" t="s">
        <v>12828</v>
      </c>
      <c r="E3604" s="20" t="s">
        <v>1816</v>
      </c>
      <c r="F3604" s="27">
        <v>16781.0</v>
      </c>
      <c r="G3604" s="14">
        <v>80.0</v>
      </c>
      <c r="H3604" s="23" t="s">
        <v>26</v>
      </c>
      <c r="I3604" s="24" t="s">
        <v>27</v>
      </c>
      <c r="J3604" s="19" t="s">
        <v>12829</v>
      </c>
      <c r="K3604" s="14">
        <v>28.0</v>
      </c>
      <c r="L3604" s="7"/>
      <c r="M3604" s="7"/>
      <c r="N3604" s="7"/>
      <c r="O3604" s="7"/>
      <c r="P3604" s="7"/>
      <c r="Q3604" s="7"/>
      <c r="R3604" s="7"/>
      <c r="S3604" s="7"/>
      <c r="T3604" s="7"/>
      <c r="U3604" s="7"/>
      <c r="V3604" s="7"/>
      <c r="W3604" s="7"/>
      <c r="X3604" s="7"/>
      <c r="Y3604" s="7"/>
    </row>
    <row r="3605">
      <c r="A3605" s="14" t="s">
        <v>12830</v>
      </c>
      <c r="B3605" s="17" t="s">
        <v>12831</v>
      </c>
      <c r="C3605" s="17" t="s">
        <v>12832</v>
      </c>
      <c r="D3605" s="19" t="s">
        <v>12833</v>
      </c>
      <c r="E3605" s="20" t="s">
        <v>104</v>
      </c>
      <c r="F3605" s="21">
        <v>30411.0</v>
      </c>
      <c r="G3605" s="14">
        <v>43.0</v>
      </c>
      <c r="H3605" s="23" t="s">
        <v>26</v>
      </c>
      <c r="I3605" s="24" t="s">
        <v>27</v>
      </c>
      <c r="J3605" s="19" t="s">
        <v>156</v>
      </c>
      <c r="K3605" s="14">
        <v>28.0</v>
      </c>
      <c r="L3605" s="7"/>
      <c r="M3605" s="7"/>
      <c r="N3605" s="7"/>
      <c r="O3605" s="7"/>
      <c r="P3605" s="7"/>
      <c r="Q3605" s="7"/>
      <c r="R3605" s="7"/>
      <c r="S3605" s="7"/>
      <c r="T3605" s="7"/>
      <c r="U3605" s="7"/>
      <c r="V3605" s="7"/>
      <c r="W3605" s="7"/>
      <c r="X3605" s="7"/>
      <c r="Y3605" s="7"/>
    </row>
    <row r="3606">
      <c r="A3606" s="14" t="s">
        <v>12834</v>
      </c>
      <c r="B3606" s="17" t="s">
        <v>12831</v>
      </c>
      <c r="C3606" s="17" t="s">
        <v>12835</v>
      </c>
      <c r="D3606" s="19" t="s">
        <v>12836</v>
      </c>
      <c r="E3606" s="20" t="s">
        <v>195</v>
      </c>
      <c r="F3606" s="27">
        <v>24091.0</v>
      </c>
      <c r="G3606" s="14">
        <v>60.0</v>
      </c>
      <c r="H3606" s="23" t="s">
        <v>26</v>
      </c>
      <c r="I3606" s="24" t="s">
        <v>33</v>
      </c>
      <c r="J3606" s="19" t="s">
        <v>156</v>
      </c>
      <c r="K3606" s="14">
        <v>28.0</v>
      </c>
      <c r="L3606" s="7"/>
      <c r="M3606" s="7"/>
      <c r="N3606" s="7"/>
      <c r="O3606" s="7"/>
      <c r="P3606" s="7"/>
      <c r="Q3606" s="7"/>
      <c r="R3606" s="7"/>
      <c r="S3606" s="7"/>
      <c r="T3606" s="7"/>
      <c r="U3606" s="7"/>
      <c r="V3606" s="7"/>
      <c r="W3606" s="7"/>
      <c r="X3606" s="7"/>
      <c r="Y3606" s="7"/>
    </row>
    <row r="3607">
      <c r="A3607" s="14" t="s">
        <v>12837</v>
      </c>
      <c r="B3607" s="17" t="s">
        <v>12838</v>
      </c>
      <c r="C3607" s="17" t="s">
        <v>12839</v>
      </c>
      <c r="D3607" s="19" t="s">
        <v>12840</v>
      </c>
      <c r="E3607" s="20" t="s">
        <v>138</v>
      </c>
      <c r="F3607" s="27">
        <v>37244.0</v>
      </c>
      <c r="G3607" s="14">
        <v>24.0</v>
      </c>
      <c r="H3607" s="23" t="s">
        <v>100</v>
      </c>
      <c r="I3607" s="24" t="s">
        <v>27</v>
      </c>
      <c r="J3607" s="19" t="s">
        <v>156</v>
      </c>
      <c r="K3607" s="14">
        <v>28.0</v>
      </c>
      <c r="L3607" s="7"/>
      <c r="M3607" s="7"/>
      <c r="N3607" s="7"/>
      <c r="O3607" s="7"/>
      <c r="P3607" s="7"/>
      <c r="Q3607" s="7"/>
      <c r="R3607" s="7"/>
      <c r="S3607" s="7"/>
      <c r="T3607" s="7"/>
      <c r="U3607" s="7"/>
      <c r="V3607" s="7"/>
      <c r="W3607" s="7"/>
      <c r="X3607" s="7"/>
      <c r="Y3607" s="7"/>
    </row>
    <row r="3608">
      <c r="A3608" s="14" t="s">
        <v>12841</v>
      </c>
      <c r="B3608" s="17" t="s">
        <v>12838</v>
      </c>
      <c r="C3608" s="17" t="s">
        <v>12842</v>
      </c>
      <c r="D3608" s="19" t="s">
        <v>8767</v>
      </c>
      <c r="E3608" s="20" t="s">
        <v>12843</v>
      </c>
      <c r="F3608" s="21">
        <v>21002.0</v>
      </c>
      <c r="G3608" s="14">
        <v>69.0</v>
      </c>
      <c r="H3608" s="23" t="s">
        <v>26</v>
      </c>
      <c r="I3608" s="24" t="s">
        <v>33</v>
      </c>
      <c r="J3608" s="19" t="s">
        <v>156</v>
      </c>
      <c r="K3608" s="14">
        <v>28.0</v>
      </c>
      <c r="L3608" s="7"/>
      <c r="M3608" s="7"/>
      <c r="N3608" s="7"/>
      <c r="O3608" s="7"/>
      <c r="P3608" s="7"/>
      <c r="Q3608" s="7"/>
      <c r="R3608" s="7"/>
      <c r="S3608" s="7"/>
      <c r="T3608" s="7"/>
      <c r="U3608" s="7"/>
      <c r="V3608" s="7"/>
      <c r="W3608" s="7"/>
      <c r="X3608" s="7"/>
      <c r="Y3608" s="7"/>
    </row>
    <row r="3609">
      <c r="A3609" s="14" t="s">
        <v>12844</v>
      </c>
      <c r="B3609" s="17" t="s">
        <v>12838</v>
      </c>
      <c r="C3609" s="17" t="s">
        <v>12845</v>
      </c>
      <c r="D3609" s="19" t="s">
        <v>950</v>
      </c>
      <c r="E3609" s="20" t="s">
        <v>12843</v>
      </c>
      <c r="F3609" s="21">
        <v>26481.0</v>
      </c>
      <c r="G3609" s="14">
        <v>54.0</v>
      </c>
      <c r="H3609" s="23" t="s">
        <v>26</v>
      </c>
      <c r="I3609" s="24" t="s">
        <v>27</v>
      </c>
      <c r="J3609" s="19" t="s">
        <v>156</v>
      </c>
      <c r="K3609" s="14">
        <v>28.0</v>
      </c>
      <c r="L3609" s="7"/>
      <c r="M3609" s="7"/>
      <c r="N3609" s="7"/>
      <c r="O3609" s="7"/>
      <c r="P3609" s="7"/>
      <c r="Q3609" s="7"/>
      <c r="R3609" s="7"/>
      <c r="S3609" s="7"/>
      <c r="T3609" s="7"/>
      <c r="U3609" s="7"/>
      <c r="V3609" s="7"/>
      <c r="W3609" s="7"/>
      <c r="X3609" s="7"/>
      <c r="Y3609" s="7"/>
    </row>
    <row r="3610">
      <c r="A3610" s="14" t="s">
        <v>12846</v>
      </c>
      <c r="B3610" s="17" t="s">
        <v>12847</v>
      </c>
      <c r="C3610" s="17" t="s">
        <v>12848</v>
      </c>
      <c r="D3610" s="19" t="s">
        <v>12849</v>
      </c>
      <c r="E3610" s="20" t="s">
        <v>1816</v>
      </c>
      <c r="F3610" s="21">
        <v>16103.0</v>
      </c>
      <c r="G3610" s="14">
        <v>82.0</v>
      </c>
      <c r="H3610" s="23" t="s">
        <v>26</v>
      </c>
      <c r="I3610" s="24" t="s">
        <v>27</v>
      </c>
      <c r="J3610" s="19" t="s">
        <v>156</v>
      </c>
      <c r="K3610" s="14">
        <v>28.0</v>
      </c>
      <c r="L3610" s="7"/>
      <c r="M3610" s="7"/>
      <c r="N3610" s="7"/>
      <c r="O3610" s="7"/>
      <c r="P3610" s="7"/>
      <c r="Q3610" s="7"/>
      <c r="R3610" s="7"/>
      <c r="S3610" s="7"/>
      <c r="T3610" s="7"/>
      <c r="U3610" s="7"/>
      <c r="V3610" s="7"/>
      <c r="W3610" s="7"/>
      <c r="X3610" s="7"/>
      <c r="Y3610" s="7"/>
    </row>
    <row r="3611">
      <c r="A3611" s="14" t="s">
        <v>12850</v>
      </c>
      <c r="B3611" s="17" t="s">
        <v>12851</v>
      </c>
      <c r="C3611" s="17" t="s">
        <v>12852</v>
      </c>
      <c r="D3611" s="19" t="s">
        <v>12853</v>
      </c>
      <c r="E3611" s="20" t="s">
        <v>67</v>
      </c>
      <c r="F3611" s="21">
        <v>14427.0</v>
      </c>
      <c r="G3611" s="14">
        <v>87.0</v>
      </c>
      <c r="H3611" s="23" t="s">
        <v>26</v>
      </c>
      <c r="I3611" s="24" t="s">
        <v>27</v>
      </c>
      <c r="J3611" s="19" t="s">
        <v>12829</v>
      </c>
      <c r="K3611" s="14">
        <v>35.0</v>
      </c>
      <c r="L3611" s="7"/>
      <c r="M3611" s="7"/>
      <c r="N3611" s="7"/>
      <c r="O3611" s="7"/>
      <c r="P3611" s="7"/>
      <c r="Q3611" s="7"/>
      <c r="R3611" s="7"/>
      <c r="S3611" s="7"/>
      <c r="T3611" s="7"/>
      <c r="U3611" s="7"/>
      <c r="V3611" s="7"/>
      <c r="W3611" s="7"/>
      <c r="X3611" s="7"/>
      <c r="Y3611" s="7"/>
    </row>
    <row r="3612">
      <c r="A3612" s="14" t="s">
        <v>12854</v>
      </c>
      <c r="B3612" s="17" t="s">
        <v>12855</v>
      </c>
      <c r="C3612" s="17" t="s">
        <v>12856</v>
      </c>
      <c r="D3612" s="19" t="s">
        <v>12857</v>
      </c>
      <c r="E3612" s="20" t="s">
        <v>1903</v>
      </c>
      <c r="F3612" s="21">
        <v>24387.0</v>
      </c>
      <c r="G3612" s="14">
        <v>59.0</v>
      </c>
      <c r="H3612" s="23" t="s">
        <v>26</v>
      </c>
      <c r="I3612" s="24" t="s">
        <v>33</v>
      </c>
      <c r="J3612" s="19" t="s">
        <v>53</v>
      </c>
      <c r="K3612" s="14">
        <v>6.0</v>
      </c>
      <c r="L3612" s="7"/>
      <c r="M3612" s="7"/>
      <c r="N3612" s="7"/>
      <c r="O3612" s="7"/>
      <c r="P3612" s="7"/>
      <c r="Q3612" s="7"/>
      <c r="R3612" s="7"/>
      <c r="S3612" s="7"/>
      <c r="T3612" s="7"/>
      <c r="U3612" s="7"/>
      <c r="V3612" s="7"/>
      <c r="W3612" s="7"/>
      <c r="X3612" s="7"/>
      <c r="Y3612" s="7"/>
    </row>
    <row r="3613">
      <c r="A3613" s="14" t="s">
        <v>12858</v>
      </c>
      <c r="B3613" s="17" t="s">
        <v>12855</v>
      </c>
      <c r="C3613" s="17" t="s">
        <v>12859</v>
      </c>
      <c r="D3613" s="19" t="s">
        <v>12860</v>
      </c>
      <c r="E3613" s="20" t="s">
        <v>290</v>
      </c>
      <c r="F3613" s="21">
        <v>26002.0</v>
      </c>
      <c r="G3613" s="14">
        <v>55.0</v>
      </c>
      <c r="H3613" s="23" t="s">
        <v>26</v>
      </c>
      <c r="I3613" s="24" t="s">
        <v>27</v>
      </c>
      <c r="J3613" s="19" t="s">
        <v>53</v>
      </c>
      <c r="K3613" s="14">
        <v>6.0</v>
      </c>
      <c r="L3613" s="7"/>
      <c r="M3613" s="7"/>
      <c r="N3613" s="7"/>
      <c r="O3613" s="7"/>
      <c r="P3613" s="7"/>
      <c r="Q3613" s="7"/>
      <c r="R3613" s="7"/>
      <c r="S3613" s="7"/>
      <c r="T3613" s="7"/>
      <c r="U3613" s="7"/>
      <c r="V3613" s="7"/>
      <c r="W3613" s="7"/>
      <c r="X3613" s="7"/>
      <c r="Y3613" s="7"/>
    </row>
    <row r="3614">
      <c r="A3614" s="14" t="s">
        <v>12861</v>
      </c>
      <c r="B3614" s="17" t="s">
        <v>12862</v>
      </c>
      <c r="C3614" s="17" t="s">
        <v>12863</v>
      </c>
      <c r="D3614" s="19" t="s">
        <v>12864</v>
      </c>
      <c r="E3614" s="20" t="s">
        <v>650</v>
      </c>
      <c r="F3614" s="21">
        <v>10426.0</v>
      </c>
      <c r="G3614" s="14">
        <v>98.0</v>
      </c>
      <c r="H3614" s="23" t="s">
        <v>26</v>
      </c>
      <c r="I3614" s="24" t="s">
        <v>27</v>
      </c>
      <c r="J3614" s="19" t="s">
        <v>53</v>
      </c>
      <c r="K3614" s="14">
        <v>6.0</v>
      </c>
      <c r="L3614" s="7"/>
      <c r="M3614" s="7"/>
      <c r="N3614" s="7"/>
      <c r="O3614" s="7"/>
      <c r="P3614" s="7"/>
      <c r="Q3614" s="7"/>
      <c r="R3614" s="7"/>
      <c r="S3614" s="7"/>
      <c r="T3614" s="7"/>
      <c r="U3614" s="7"/>
      <c r="V3614" s="7"/>
      <c r="W3614" s="7"/>
      <c r="X3614" s="7"/>
      <c r="Y3614" s="7"/>
    </row>
    <row r="3615">
      <c r="A3615" s="14" t="s">
        <v>12865</v>
      </c>
      <c r="B3615" s="17" t="s">
        <v>12866</v>
      </c>
      <c r="C3615" s="17" t="s">
        <v>12867</v>
      </c>
      <c r="D3615" s="19" t="s">
        <v>12868</v>
      </c>
      <c r="E3615" s="20" t="s">
        <v>650</v>
      </c>
      <c r="F3615" s="21">
        <v>29004.0</v>
      </c>
      <c r="G3615" s="14">
        <v>47.0</v>
      </c>
      <c r="H3615" s="23" t="s">
        <v>26</v>
      </c>
      <c r="I3615" s="24" t="s">
        <v>33</v>
      </c>
      <c r="J3615" s="19" t="s">
        <v>53</v>
      </c>
      <c r="K3615" s="14">
        <v>6.0</v>
      </c>
      <c r="L3615" s="7"/>
      <c r="M3615" s="7"/>
      <c r="N3615" s="7"/>
      <c r="O3615" s="7"/>
      <c r="P3615" s="7"/>
      <c r="Q3615" s="7"/>
      <c r="R3615" s="7"/>
      <c r="S3615" s="7"/>
      <c r="T3615" s="7"/>
      <c r="U3615" s="7"/>
      <c r="V3615" s="7"/>
      <c r="W3615" s="7"/>
      <c r="X3615" s="7"/>
      <c r="Y3615" s="7"/>
    </row>
    <row r="3616">
      <c r="A3616" s="14" t="s">
        <v>12869</v>
      </c>
      <c r="B3616" s="17" t="s">
        <v>12866</v>
      </c>
      <c r="C3616" s="17" t="s">
        <v>12870</v>
      </c>
      <c r="D3616" s="19" t="s">
        <v>12871</v>
      </c>
      <c r="E3616" s="20" t="s">
        <v>650</v>
      </c>
      <c r="F3616" s="27">
        <v>37611.0</v>
      </c>
      <c r="G3616" s="14">
        <v>23.0</v>
      </c>
      <c r="H3616" s="23" t="s">
        <v>100</v>
      </c>
      <c r="I3616" s="24" t="s">
        <v>33</v>
      </c>
      <c r="J3616" s="19" t="s">
        <v>53</v>
      </c>
      <c r="K3616" s="14">
        <v>6.0</v>
      </c>
      <c r="L3616" s="7"/>
      <c r="M3616" s="7"/>
      <c r="N3616" s="7"/>
      <c r="O3616" s="7"/>
      <c r="P3616" s="7"/>
      <c r="Q3616" s="7"/>
      <c r="R3616" s="7"/>
      <c r="S3616" s="7"/>
      <c r="T3616" s="7"/>
      <c r="U3616" s="7"/>
      <c r="V3616" s="7"/>
      <c r="W3616" s="7"/>
      <c r="X3616" s="7"/>
      <c r="Y3616" s="7"/>
    </row>
    <row r="3617">
      <c r="A3617" s="14" t="s">
        <v>12872</v>
      </c>
      <c r="B3617" s="17" t="s">
        <v>12866</v>
      </c>
      <c r="C3617" s="17" t="s">
        <v>12873</v>
      </c>
      <c r="D3617" s="19" t="s">
        <v>2374</v>
      </c>
      <c r="E3617" s="20" t="s">
        <v>104</v>
      </c>
      <c r="F3617" s="21">
        <v>29281.0</v>
      </c>
      <c r="G3617" s="14">
        <v>46.0</v>
      </c>
      <c r="H3617" s="23" t="s">
        <v>26</v>
      </c>
      <c r="I3617" s="24" t="s">
        <v>27</v>
      </c>
      <c r="J3617" s="19" t="s">
        <v>53</v>
      </c>
      <c r="K3617" s="14">
        <v>6.0</v>
      </c>
      <c r="L3617" s="7"/>
      <c r="M3617" s="7"/>
      <c r="N3617" s="7"/>
      <c r="O3617" s="7"/>
      <c r="P3617" s="7"/>
      <c r="Q3617" s="7"/>
      <c r="R3617" s="7"/>
      <c r="S3617" s="7"/>
      <c r="T3617" s="7"/>
      <c r="U3617" s="7"/>
      <c r="V3617" s="7"/>
      <c r="W3617" s="7"/>
      <c r="X3617" s="7"/>
      <c r="Y3617" s="7"/>
    </row>
    <row r="3618">
      <c r="A3618" s="14" t="s">
        <v>12874</v>
      </c>
      <c r="B3618" s="17" t="s">
        <v>12875</v>
      </c>
      <c r="C3618" s="17" t="s">
        <v>12876</v>
      </c>
      <c r="D3618" s="19" t="s">
        <v>12877</v>
      </c>
      <c r="E3618" s="20" t="s">
        <v>650</v>
      </c>
      <c r="F3618" s="21">
        <v>19541.0</v>
      </c>
      <c r="G3618" s="14">
        <v>73.0</v>
      </c>
      <c r="H3618" s="23" t="s">
        <v>27</v>
      </c>
      <c r="I3618" s="24" t="s">
        <v>27</v>
      </c>
      <c r="J3618" s="19" t="s">
        <v>517</v>
      </c>
      <c r="K3618" s="14">
        <v>6.0</v>
      </c>
      <c r="L3618" s="7"/>
      <c r="M3618" s="7"/>
      <c r="N3618" s="7"/>
      <c r="O3618" s="7"/>
      <c r="P3618" s="7"/>
      <c r="Q3618" s="7"/>
      <c r="R3618" s="7"/>
      <c r="S3618" s="7"/>
      <c r="T3618" s="7"/>
      <c r="U3618" s="7"/>
      <c r="V3618" s="7"/>
      <c r="W3618" s="7"/>
      <c r="X3618" s="7"/>
      <c r="Y3618" s="7"/>
    </row>
    <row r="3619">
      <c r="A3619" s="14" t="s">
        <v>12878</v>
      </c>
      <c r="B3619" s="17" t="s">
        <v>12879</v>
      </c>
      <c r="C3619" s="17" t="s">
        <v>12880</v>
      </c>
      <c r="D3619" s="19" t="s">
        <v>12881</v>
      </c>
      <c r="E3619" s="20" t="s">
        <v>104</v>
      </c>
      <c r="F3619" s="21">
        <v>29561.0</v>
      </c>
      <c r="G3619" s="14">
        <v>45.0</v>
      </c>
      <c r="H3619" s="23" t="s">
        <v>26</v>
      </c>
      <c r="I3619" s="24" t="s">
        <v>27</v>
      </c>
      <c r="J3619" s="19" t="s">
        <v>58</v>
      </c>
      <c r="K3619" s="14">
        <v>6.0</v>
      </c>
      <c r="L3619" s="7"/>
      <c r="M3619" s="7"/>
      <c r="N3619" s="7"/>
      <c r="O3619" s="7"/>
      <c r="P3619" s="7"/>
      <c r="Q3619" s="7"/>
      <c r="R3619" s="7"/>
      <c r="S3619" s="7"/>
      <c r="T3619" s="7"/>
      <c r="U3619" s="7"/>
      <c r="V3619" s="7"/>
      <c r="W3619" s="7"/>
      <c r="X3619" s="7"/>
      <c r="Y3619" s="7"/>
    </row>
    <row r="3620">
      <c r="A3620" s="14" t="s">
        <v>12882</v>
      </c>
      <c r="B3620" s="17" t="s">
        <v>12879</v>
      </c>
      <c r="C3620" s="17" t="s">
        <v>12883</v>
      </c>
      <c r="D3620" s="19" t="s">
        <v>12884</v>
      </c>
      <c r="E3620" s="20" t="s">
        <v>53</v>
      </c>
      <c r="F3620" s="27">
        <v>36859.0</v>
      </c>
      <c r="G3620" s="14">
        <v>25.0</v>
      </c>
      <c r="H3620" s="23" t="s">
        <v>100</v>
      </c>
      <c r="I3620" s="24" t="s">
        <v>27</v>
      </c>
      <c r="J3620" s="19" t="s">
        <v>58</v>
      </c>
      <c r="K3620" s="14">
        <v>6.0</v>
      </c>
      <c r="L3620" s="7"/>
      <c r="M3620" s="7"/>
      <c r="N3620" s="7"/>
      <c r="O3620" s="7"/>
      <c r="P3620" s="7"/>
      <c r="Q3620" s="7"/>
      <c r="R3620" s="7"/>
      <c r="S3620" s="7"/>
      <c r="T3620" s="7"/>
      <c r="U3620" s="7"/>
      <c r="V3620" s="7"/>
      <c r="W3620" s="7"/>
      <c r="X3620" s="7"/>
      <c r="Y3620" s="7"/>
    </row>
    <row r="3621">
      <c r="A3621" s="14" t="s">
        <v>12885</v>
      </c>
      <c r="B3621" s="17" t="s">
        <v>12879</v>
      </c>
      <c r="C3621" s="17" t="s">
        <v>12886</v>
      </c>
      <c r="D3621" s="19" t="s">
        <v>12887</v>
      </c>
      <c r="E3621" s="20" t="s">
        <v>650</v>
      </c>
      <c r="F3621" s="27">
        <v>27375.0</v>
      </c>
      <c r="G3621" s="14">
        <v>51.0</v>
      </c>
      <c r="H3621" s="23" t="s">
        <v>26</v>
      </c>
      <c r="I3621" s="24" t="s">
        <v>33</v>
      </c>
      <c r="J3621" s="19" t="s">
        <v>58</v>
      </c>
      <c r="K3621" s="14">
        <v>6.0</v>
      </c>
      <c r="L3621" s="7"/>
      <c r="M3621" s="7"/>
      <c r="N3621" s="7"/>
      <c r="O3621" s="7"/>
      <c r="P3621" s="7"/>
      <c r="Q3621" s="7"/>
      <c r="R3621" s="7"/>
      <c r="S3621" s="7"/>
      <c r="T3621" s="7"/>
      <c r="U3621" s="7"/>
      <c r="V3621" s="7"/>
      <c r="W3621" s="7"/>
      <c r="X3621" s="7"/>
      <c r="Y3621" s="7"/>
    </row>
    <row r="3622">
      <c r="A3622" s="14" t="s">
        <v>12888</v>
      </c>
      <c r="B3622" s="17" t="s">
        <v>12879</v>
      </c>
      <c r="C3622" s="17" t="s">
        <v>12889</v>
      </c>
      <c r="D3622" s="19" t="s">
        <v>12890</v>
      </c>
      <c r="E3622" s="20" t="s">
        <v>53</v>
      </c>
      <c r="F3622" s="21">
        <v>35153.0</v>
      </c>
      <c r="G3622" s="14">
        <v>30.0</v>
      </c>
      <c r="H3622" s="23" t="s">
        <v>100</v>
      </c>
      <c r="I3622" s="24" t="s">
        <v>33</v>
      </c>
      <c r="J3622" s="19" t="s">
        <v>58</v>
      </c>
      <c r="K3622" s="14">
        <v>6.0</v>
      </c>
      <c r="L3622" s="7"/>
      <c r="M3622" s="7"/>
      <c r="N3622" s="7"/>
      <c r="O3622" s="7"/>
      <c r="P3622" s="7"/>
      <c r="Q3622" s="7"/>
      <c r="R3622" s="7"/>
      <c r="S3622" s="7"/>
      <c r="T3622" s="7"/>
      <c r="U3622" s="7"/>
      <c r="V3622" s="7"/>
      <c r="W3622" s="7"/>
      <c r="X3622" s="7"/>
      <c r="Y3622" s="7"/>
    </row>
    <row r="3623">
      <c r="A3623" s="14" t="s">
        <v>12891</v>
      </c>
      <c r="B3623" s="17" t="s">
        <v>12892</v>
      </c>
      <c r="C3623" s="17" t="s">
        <v>12893</v>
      </c>
      <c r="D3623" s="19" t="s">
        <v>12894</v>
      </c>
      <c r="E3623" s="20" t="s">
        <v>605</v>
      </c>
      <c r="F3623" s="21">
        <v>24968.0</v>
      </c>
      <c r="G3623" s="14">
        <v>58.0</v>
      </c>
      <c r="H3623" s="23" t="s">
        <v>26</v>
      </c>
      <c r="I3623" s="24" t="s">
        <v>33</v>
      </c>
      <c r="J3623" s="19" t="s">
        <v>517</v>
      </c>
      <c r="K3623" s="14">
        <v>8.0</v>
      </c>
      <c r="L3623" s="7"/>
      <c r="M3623" s="7"/>
      <c r="N3623" s="7"/>
      <c r="O3623" s="7"/>
      <c r="P3623" s="7"/>
      <c r="Q3623" s="7"/>
      <c r="R3623" s="7"/>
      <c r="S3623" s="7"/>
      <c r="T3623" s="7"/>
      <c r="U3623" s="7"/>
      <c r="V3623" s="7"/>
      <c r="W3623" s="7"/>
      <c r="X3623" s="7"/>
      <c r="Y3623" s="7"/>
    </row>
    <row r="3624">
      <c r="A3624" s="14" t="s">
        <v>12895</v>
      </c>
      <c r="B3624" s="17" t="s">
        <v>12892</v>
      </c>
      <c r="C3624" s="17" t="s">
        <v>12896</v>
      </c>
      <c r="D3624" s="19" t="s">
        <v>12897</v>
      </c>
      <c r="E3624" s="20" t="s">
        <v>104</v>
      </c>
      <c r="F3624" s="21">
        <v>38719.0</v>
      </c>
      <c r="G3624" s="14">
        <v>20.0</v>
      </c>
      <c r="H3624" s="23" t="s">
        <v>100</v>
      </c>
      <c r="I3624" s="24" t="s">
        <v>27</v>
      </c>
      <c r="J3624" s="19" t="s">
        <v>517</v>
      </c>
      <c r="K3624" s="14">
        <v>8.0</v>
      </c>
      <c r="L3624" s="7"/>
      <c r="M3624" s="7"/>
      <c r="N3624" s="7"/>
      <c r="O3624" s="7"/>
      <c r="P3624" s="7"/>
      <c r="Q3624" s="7"/>
      <c r="R3624" s="7"/>
      <c r="S3624" s="7"/>
      <c r="T3624" s="7"/>
      <c r="U3624" s="7"/>
      <c r="V3624" s="7"/>
      <c r="W3624" s="7"/>
      <c r="X3624" s="7"/>
      <c r="Y3624" s="7"/>
    </row>
    <row r="3625">
      <c r="A3625" s="14" t="s">
        <v>12898</v>
      </c>
      <c r="B3625" s="17" t="s">
        <v>12892</v>
      </c>
      <c r="C3625" s="17" t="s">
        <v>12899</v>
      </c>
      <c r="D3625" s="19" t="s">
        <v>8108</v>
      </c>
      <c r="E3625" s="20" t="s">
        <v>502</v>
      </c>
      <c r="F3625" s="21">
        <v>26399.0</v>
      </c>
      <c r="G3625" s="14">
        <v>54.0</v>
      </c>
      <c r="H3625" s="23" t="s">
        <v>26</v>
      </c>
      <c r="I3625" s="24" t="s">
        <v>27</v>
      </c>
      <c r="J3625" s="19" t="s">
        <v>517</v>
      </c>
      <c r="K3625" s="14">
        <v>8.0</v>
      </c>
      <c r="L3625" s="7"/>
      <c r="M3625" s="7"/>
      <c r="N3625" s="7"/>
      <c r="O3625" s="7"/>
      <c r="P3625" s="7"/>
      <c r="Q3625" s="7"/>
      <c r="R3625" s="7"/>
      <c r="S3625" s="7"/>
      <c r="T3625" s="7"/>
      <c r="U3625" s="7"/>
      <c r="V3625" s="7"/>
      <c r="W3625" s="7"/>
      <c r="X3625" s="7"/>
      <c r="Y3625" s="7"/>
    </row>
    <row r="3626">
      <c r="A3626" s="14" t="s">
        <v>12900</v>
      </c>
      <c r="B3626" s="17" t="s">
        <v>12901</v>
      </c>
      <c r="C3626" s="17" t="s">
        <v>12902</v>
      </c>
      <c r="D3626" s="19" t="s">
        <v>12903</v>
      </c>
      <c r="E3626" s="20" t="s">
        <v>104</v>
      </c>
      <c r="F3626" s="21">
        <v>37133.0</v>
      </c>
      <c r="G3626" s="14">
        <v>25.0</v>
      </c>
      <c r="H3626" s="23" t="s">
        <v>100</v>
      </c>
      <c r="I3626" s="24" t="s">
        <v>33</v>
      </c>
      <c r="J3626" s="19" t="s">
        <v>53</v>
      </c>
      <c r="K3626" s="14">
        <v>5.0</v>
      </c>
      <c r="L3626" s="7"/>
      <c r="M3626" s="7"/>
      <c r="N3626" s="7"/>
      <c r="O3626" s="7"/>
      <c r="P3626" s="7"/>
      <c r="Q3626" s="7"/>
      <c r="R3626" s="7"/>
      <c r="S3626" s="7"/>
      <c r="T3626" s="7"/>
      <c r="U3626" s="7"/>
      <c r="V3626" s="7"/>
      <c r="W3626" s="7"/>
      <c r="X3626" s="7"/>
      <c r="Y3626" s="7"/>
    </row>
    <row r="3627">
      <c r="A3627" s="14" t="s">
        <v>12904</v>
      </c>
      <c r="B3627" s="17" t="s">
        <v>12901</v>
      </c>
      <c r="C3627" s="17" t="s">
        <v>12905</v>
      </c>
      <c r="D3627" s="19" t="s">
        <v>12906</v>
      </c>
      <c r="E3627" s="20" t="s">
        <v>104</v>
      </c>
      <c r="F3627" s="21">
        <v>28945.0</v>
      </c>
      <c r="G3627" s="14">
        <v>47.0</v>
      </c>
      <c r="H3627" s="23" t="s">
        <v>26</v>
      </c>
      <c r="I3627" s="24" t="s">
        <v>33</v>
      </c>
      <c r="J3627" s="19" t="s">
        <v>53</v>
      </c>
      <c r="K3627" s="14">
        <v>5.0</v>
      </c>
      <c r="L3627" s="7"/>
      <c r="M3627" s="7"/>
      <c r="N3627" s="7"/>
      <c r="O3627" s="7"/>
      <c r="P3627" s="7"/>
      <c r="Q3627" s="7"/>
      <c r="R3627" s="7"/>
      <c r="S3627" s="7"/>
      <c r="T3627" s="7"/>
      <c r="U3627" s="7"/>
      <c r="V3627" s="7"/>
      <c r="W3627" s="7"/>
      <c r="X3627" s="7"/>
      <c r="Y3627" s="7"/>
    </row>
    <row r="3628">
      <c r="A3628" s="14" t="s">
        <v>12907</v>
      </c>
      <c r="B3628" s="17" t="s">
        <v>12901</v>
      </c>
      <c r="C3628" s="17" t="s">
        <v>12908</v>
      </c>
      <c r="D3628" s="19" t="s">
        <v>2868</v>
      </c>
      <c r="E3628" s="20" t="s">
        <v>53</v>
      </c>
      <c r="F3628" s="21">
        <v>30514.0</v>
      </c>
      <c r="G3628" s="14">
        <v>43.0</v>
      </c>
      <c r="H3628" s="23" t="s">
        <v>26</v>
      </c>
      <c r="I3628" s="24" t="s">
        <v>27</v>
      </c>
      <c r="J3628" s="19" t="s">
        <v>53</v>
      </c>
      <c r="K3628" s="14">
        <v>5.0</v>
      </c>
      <c r="L3628" s="7"/>
      <c r="M3628" s="7"/>
      <c r="N3628" s="7"/>
      <c r="O3628" s="7"/>
      <c r="P3628" s="7"/>
      <c r="Q3628" s="7"/>
      <c r="R3628" s="7"/>
      <c r="S3628" s="7"/>
      <c r="T3628" s="7"/>
      <c r="U3628" s="7"/>
      <c r="V3628" s="7"/>
      <c r="W3628" s="7"/>
      <c r="X3628" s="7"/>
      <c r="Y3628" s="7"/>
    </row>
    <row r="3629">
      <c r="A3629" s="14" t="s">
        <v>12909</v>
      </c>
      <c r="B3629" s="17" t="s">
        <v>12910</v>
      </c>
      <c r="C3629" s="17" t="s">
        <v>12911</v>
      </c>
      <c r="D3629" s="19" t="s">
        <v>12912</v>
      </c>
      <c r="E3629" s="20" t="s">
        <v>104</v>
      </c>
      <c r="F3629" s="21">
        <v>37130.0</v>
      </c>
      <c r="G3629" s="14">
        <v>25.0</v>
      </c>
      <c r="H3629" s="23" t="s">
        <v>100</v>
      </c>
      <c r="I3629" s="24" t="s">
        <v>33</v>
      </c>
      <c r="J3629" s="19" t="s">
        <v>517</v>
      </c>
      <c r="K3629" s="14">
        <v>9.0</v>
      </c>
      <c r="L3629" s="7"/>
      <c r="M3629" s="7"/>
      <c r="N3629" s="7"/>
      <c r="O3629" s="7"/>
      <c r="P3629" s="7"/>
      <c r="Q3629" s="7"/>
      <c r="R3629" s="7"/>
      <c r="S3629" s="7"/>
      <c r="T3629" s="7"/>
      <c r="U3629" s="7"/>
      <c r="V3629" s="7"/>
      <c r="W3629" s="7"/>
      <c r="X3629" s="7"/>
      <c r="Y3629" s="7"/>
    </row>
    <row r="3630">
      <c r="A3630" s="14" t="s">
        <v>12913</v>
      </c>
      <c r="B3630" s="17" t="s">
        <v>12910</v>
      </c>
      <c r="C3630" s="17" t="s">
        <v>12914</v>
      </c>
      <c r="D3630" s="19" t="s">
        <v>12915</v>
      </c>
      <c r="E3630" s="20" t="s">
        <v>632</v>
      </c>
      <c r="F3630" s="21">
        <v>23193.0</v>
      </c>
      <c r="G3630" s="14">
        <v>63.0</v>
      </c>
      <c r="H3630" s="23" t="s">
        <v>27</v>
      </c>
      <c r="I3630" s="24" t="s">
        <v>27</v>
      </c>
      <c r="J3630" s="19" t="s">
        <v>517</v>
      </c>
      <c r="K3630" s="14">
        <v>9.0</v>
      </c>
      <c r="L3630" s="7"/>
      <c r="M3630" s="7"/>
      <c r="N3630" s="7"/>
      <c r="O3630" s="7"/>
      <c r="P3630" s="7"/>
      <c r="Q3630" s="7"/>
      <c r="R3630" s="7"/>
      <c r="S3630" s="7"/>
      <c r="T3630" s="7"/>
      <c r="U3630" s="7"/>
      <c r="V3630" s="7"/>
      <c r="W3630" s="7"/>
      <c r="X3630" s="7"/>
      <c r="Y3630" s="7"/>
    </row>
    <row r="3631">
      <c r="A3631" s="14" t="s">
        <v>12916</v>
      </c>
      <c r="B3631" s="17" t="s">
        <v>12917</v>
      </c>
      <c r="C3631" s="17" t="s">
        <v>12918</v>
      </c>
      <c r="D3631" s="19" t="s">
        <v>12919</v>
      </c>
      <c r="E3631" s="20" t="s">
        <v>12920</v>
      </c>
      <c r="F3631" s="27">
        <v>28476.0</v>
      </c>
      <c r="G3631" s="14">
        <v>48.0</v>
      </c>
      <c r="H3631" s="23" t="s">
        <v>26</v>
      </c>
      <c r="I3631" s="24" t="s">
        <v>33</v>
      </c>
      <c r="J3631" s="19" t="s">
        <v>53</v>
      </c>
      <c r="K3631" s="14">
        <v>3.0</v>
      </c>
      <c r="L3631" s="7"/>
      <c r="M3631" s="7"/>
      <c r="N3631" s="7"/>
      <c r="O3631" s="7"/>
      <c r="P3631" s="7"/>
      <c r="Q3631" s="7"/>
      <c r="R3631" s="7"/>
      <c r="S3631" s="7"/>
      <c r="T3631" s="7"/>
      <c r="U3631" s="7"/>
      <c r="V3631" s="7"/>
      <c r="W3631" s="7"/>
      <c r="X3631" s="7"/>
      <c r="Y3631" s="7"/>
    </row>
    <row r="3632">
      <c r="A3632" s="14" t="s">
        <v>12921</v>
      </c>
      <c r="B3632" s="17" t="s">
        <v>12917</v>
      </c>
      <c r="C3632" s="17" t="s">
        <v>12922</v>
      </c>
      <c r="D3632" s="19" t="s">
        <v>12923</v>
      </c>
      <c r="E3632" s="20" t="s">
        <v>138</v>
      </c>
      <c r="F3632" s="27">
        <v>39000.0</v>
      </c>
      <c r="G3632" s="14">
        <v>19.0</v>
      </c>
      <c r="H3632" s="23" t="s">
        <v>100</v>
      </c>
      <c r="I3632" s="24" t="s">
        <v>33</v>
      </c>
      <c r="J3632" s="19" t="s">
        <v>53</v>
      </c>
      <c r="K3632" s="14">
        <v>3.0</v>
      </c>
      <c r="L3632" s="7"/>
      <c r="M3632" s="7"/>
      <c r="N3632" s="7"/>
      <c r="O3632" s="7"/>
      <c r="P3632" s="7"/>
      <c r="Q3632" s="7"/>
      <c r="R3632" s="7"/>
      <c r="S3632" s="7"/>
      <c r="T3632" s="7"/>
      <c r="U3632" s="7"/>
      <c r="V3632" s="7"/>
      <c r="W3632" s="7"/>
      <c r="X3632" s="7"/>
      <c r="Y3632" s="7"/>
    </row>
    <row r="3633">
      <c r="A3633" s="14" t="s">
        <v>12924</v>
      </c>
      <c r="B3633" s="17" t="s">
        <v>12917</v>
      </c>
      <c r="C3633" s="17" t="s">
        <v>12925</v>
      </c>
      <c r="D3633" s="19" t="s">
        <v>12926</v>
      </c>
      <c r="E3633" s="20" t="s">
        <v>1291</v>
      </c>
      <c r="F3633" s="21">
        <v>27110.0</v>
      </c>
      <c r="G3633" s="14">
        <v>52.0</v>
      </c>
      <c r="H3633" s="23" t="s">
        <v>26</v>
      </c>
      <c r="I3633" s="24" t="s">
        <v>27</v>
      </c>
      <c r="J3633" s="19" t="s">
        <v>53</v>
      </c>
      <c r="K3633" s="14">
        <v>3.0</v>
      </c>
      <c r="L3633" s="7"/>
      <c r="M3633" s="7"/>
      <c r="N3633" s="7"/>
      <c r="O3633" s="7"/>
      <c r="P3633" s="7"/>
      <c r="Q3633" s="7"/>
      <c r="R3633" s="7"/>
      <c r="S3633" s="7"/>
      <c r="T3633" s="7"/>
      <c r="U3633" s="7"/>
      <c r="V3633" s="7"/>
      <c r="W3633" s="7"/>
      <c r="X3633" s="7"/>
      <c r="Y3633" s="7"/>
    </row>
    <row r="3634">
      <c r="A3634" s="14" t="s">
        <v>12927</v>
      </c>
      <c r="B3634" s="17" t="s">
        <v>12928</v>
      </c>
      <c r="C3634" s="17" t="s">
        <v>12929</v>
      </c>
      <c r="D3634" s="19" t="s">
        <v>1390</v>
      </c>
      <c r="E3634" s="20" t="s">
        <v>2014</v>
      </c>
      <c r="F3634" s="21">
        <v>21128.0</v>
      </c>
      <c r="G3634" s="14">
        <v>68.0</v>
      </c>
      <c r="H3634" s="23" t="s">
        <v>26</v>
      </c>
      <c r="I3634" s="24" t="s">
        <v>33</v>
      </c>
      <c r="J3634" s="19" t="s">
        <v>53</v>
      </c>
      <c r="K3634" s="14">
        <v>14.0</v>
      </c>
      <c r="L3634" s="7"/>
      <c r="M3634" s="7"/>
      <c r="N3634" s="7"/>
      <c r="O3634" s="7"/>
      <c r="P3634" s="7"/>
      <c r="Q3634" s="7"/>
      <c r="R3634" s="7"/>
      <c r="S3634" s="7"/>
      <c r="T3634" s="7"/>
      <c r="U3634" s="7"/>
      <c r="V3634" s="7"/>
      <c r="W3634" s="7"/>
      <c r="X3634" s="7"/>
      <c r="Y3634" s="7"/>
    </row>
    <row r="3635">
      <c r="A3635" s="14" t="s">
        <v>12930</v>
      </c>
      <c r="B3635" s="17" t="s">
        <v>12928</v>
      </c>
      <c r="C3635" s="17" t="s">
        <v>12931</v>
      </c>
      <c r="D3635" s="19" t="s">
        <v>6812</v>
      </c>
      <c r="E3635" s="20" t="s">
        <v>632</v>
      </c>
      <c r="F3635" s="21">
        <v>23175.0</v>
      </c>
      <c r="G3635" s="14">
        <v>63.0</v>
      </c>
      <c r="H3635" s="23" t="s">
        <v>26</v>
      </c>
      <c r="I3635" s="24" t="s">
        <v>27</v>
      </c>
      <c r="J3635" s="19" t="s">
        <v>53</v>
      </c>
      <c r="K3635" s="14">
        <v>14.0</v>
      </c>
      <c r="L3635" s="7"/>
      <c r="M3635" s="7"/>
      <c r="N3635" s="7"/>
      <c r="O3635" s="7"/>
      <c r="P3635" s="7"/>
      <c r="Q3635" s="7"/>
      <c r="R3635" s="7"/>
      <c r="S3635" s="7"/>
      <c r="T3635" s="7"/>
      <c r="U3635" s="7"/>
      <c r="V3635" s="7"/>
      <c r="W3635" s="7"/>
      <c r="X3635" s="7"/>
      <c r="Y3635" s="7"/>
    </row>
    <row r="3636">
      <c r="A3636" s="14" t="s">
        <v>12932</v>
      </c>
      <c r="B3636" s="17" t="s">
        <v>12933</v>
      </c>
      <c r="C3636" s="17" t="s">
        <v>12934</v>
      </c>
      <c r="D3636" s="19" t="s">
        <v>12935</v>
      </c>
      <c r="E3636" s="20" t="s">
        <v>736</v>
      </c>
      <c r="F3636" s="27">
        <v>29140.0</v>
      </c>
      <c r="G3636" s="14">
        <v>46.0</v>
      </c>
      <c r="H3636" s="23" t="s">
        <v>26</v>
      </c>
      <c r="I3636" s="24" t="s">
        <v>33</v>
      </c>
      <c r="J3636" s="19" t="s">
        <v>282</v>
      </c>
      <c r="K3636" s="14">
        <v>14.0</v>
      </c>
      <c r="L3636" s="7"/>
      <c r="M3636" s="7"/>
      <c r="N3636" s="7"/>
      <c r="O3636" s="7"/>
      <c r="P3636" s="7"/>
      <c r="Q3636" s="7"/>
      <c r="R3636" s="7"/>
      <c r="S3636" s="7"/>
      <c r="T3636" s="7"/>
      <c r="U3636" s="7"/>
      <c r="V3636" s="7"/>
      <c r="W3636" s="7"/>
      <c r="X3636" s="7"/>
      <c r="Y3636" s="7"/>
    </row>
    <row r="3637">
      <c r="A3637" s="14" t="s">
        <v>12936</v>
      </c>
      <c r="B3637" s="17" t="s">
        <v>12933</v>
      </c>
      <c r="C3637" s="17" t="s">
        <v>12937</v>
      </c>
      <c r="D3637" s="19" t="s">
        <v>12938</v>
      </c>
      <c r="E3637" s="20" t="s">
        <v>104</v>
      </c>
      <c r="F3637" s="21">
        <v>34335.0</v>
      </c>
      <c r="G3637" s="14">
        <v>32.0</v>
      </c>
      <c r="H3637" s="23" t="s">
        <v>26</v>
      </c>
      <c r="I3637" s="24" t="s">
        <v>27</v>
      </c>
      <c r="J3637" s="19" t="s">
        <v>282</v>
      </c>
      <c r="K3637" s="14">
        <v>14.0</v>
      </c>
      <c r="L3637" s="7"/>
      <c r="M3637" s="7"/>
      <c r="N3637" s="7"/>
      <c r="O3637" s="7"/>
      <c r="P3637" s="7"/>
      <c r="Q3637" s="7"/>
      <c r="R3637" s="7"/>
      <c r="S3637" s="7"/>
      <c r="T3637" s="7"/>
      <c r="U3637" s="7"/>
      <c r="V3637" s="7"/>
      <c r="W3637" s="7"/>
      <c r="X3637" s="7"/>
      <c r="Y3637" s="7"/>
    </row>
    <row r="3638">
      <c r="A3638" s="14" t="s">
        <v>12939</v>
      </c>
      <c r="B3638" s="17" t="s">
        <v>12940</v>
      </c>
      <c r="C3638" s="17" t="s">
        <v>12941</v>
      </c>
      <c r="D3638" s="19" t="s">
        <v>12942</v>
      </c>
      <c r="E3638" s="20" t="s">
        <v>12943</v>
      </c>
      <c r="F3638" s="21">
        <v>25020.0</v>
      </c>
      <c r="G3638" s="14">
        <v>58.0</v>
      </c>
      <c r="H3638" s="23" t="s">
        <v>26</v>
      </c>
      <c r="I3638" s="24" t="s">
        <v>27</v>
      </c>
      <c r="J3638" s="19" t="s">
        <v>58</v>
      </c>
      <c r="K3638" s="14">
        <v>9.0</v>
      </c>
      <c r="L3638" s="7"/>
      <c r="M3638" s="7"/>
      <c r="N3638" s="7"/>
      <c r="O3638" s="7"/>
      <c r="P3638" s="7"/>
      <c r="Q3638" s="7"/>
      <c r="R3638" s="7"/>
      <c r="S3638" s="7"/>
      <c r="T3638" s="7"/>
      <c r="U3638" s="7"/>
      <c r="V3638" s="7"/>
      <c r="W3638" s="7"/>
      <c r="X3638" s="7"/>
      <c r="Y3638" s="7"/>
    </row>
    <row r="3639">
      <c r="A3639" s="14" t="s">
        <v>12944</v>
      </c>
      <c r="B3639" s="17" t="s">
        <v>12945</v>
      </c>
      <c r="C3639" s="17" t="s">
        <v>12946</v>
      </c>
      <c r="D3639" s="19" t="s">
        <v>12947</v>
      </c>
      <c r="E3639" s="20" t="s">
        <v>12948</v>
      </c>
      <c r="F3639" s="21">
        <v>27063.0</v>
      </c>
      <c r="G3639" s="14">
        <v>52.0</v>
      </c>
      <c r="H3639" s="23" t="s">
        <v>27</v>
      </c>
      <c r="I3639" s="24" t="s">
        <v>27</v>
      </c>
      <c r="J3639" s="19" t="s">
        <v>53</v>
      </c>
      <c r="K3639" s="14">
        <v>25.0</v>
      </c>
      <c r="L3639" s="7"/>
      <c r="M3639" s="7"/>
      <c r="N3639" s="7"/>
      <c r="O3639" s="7"/>
      <c r="P3639" s="7"/>
      <c r="Q3639" s="7"/>
      <c r="R3639" s="7"/>
      <c r="S3639" s="7"/>
      <c r="T3639" s="7"/>
      <c r="U3639" s="7"/>
      <c r="V3639" s="7"/>
      <c r="W3639" s="7"/>
      <c r="X3639" s="7"/>
      <c r="Y3639" s="7"/>
    </row>
    <row r="3640">
      <c r="A3640" s="14" t="s">
        <v>12949</v>
      </c>
      <c r="B3640" s="17" t="s">
        <v>12945</v>
      </c>
      <c r="C3640" s="17" t="s">
        <v>12950</v>
      </c>
      <c r="D3640" s="19" t="s">
        <v>12951</v>
      </c>
      <c r="E3640" s="20" t="s">
        <v>104</v>
      </c>
      <c r="F3640" s="27">
        <v>38651.0</v>
      </c>
      <c r="G3640" s="14">
        <v>20.0</v>
      </c>
      <c r="H3640" s="23" t="s">
        <v>100</v>
      </c>
      <c r="I3640" s="24" t="s">
        <v>33</v>
      </c>
      <c r="J3640" s="19" t="s">
        <v>53</v>
      </c>
      <c r="K3640" s="14">
        <v>25.0</v>
      </c>
      <c r="L3640" s="7"/>
      <c r="M3640" s="7"/>
      <c r="N3640" s="7"/>
      <c r="O3640" s="7"/>
      <c r="P3640" s="7"/>
      <c r="Q3640" s="7"/>
      <c r="R3640" s="7"/>
      <c r="S3640" s="7"/>
      <c r="T3640" s="7"/>
      <c r="U3640" s="7"/>
      <c r="V3640" s="7"/>
      <c r="W3640" s="7"/>
      <c r="X3640" s="7"/>
      <c r="Y3640" s="7"/>
    </row>
    <row r="3641">
      <c r="A3641" s="14" t="s">
        <v>12952</v>
      </c>
      <c r="B3641" s="17" t="s">
        <v>12945</v>
      </c>
      <c r="C3641" s="17" t="s">
        <v>12953</v>
      </c>
      <c r="D3641" s="19" t="s">
        <v>12954</v>
      </c>
      <c r="E3641" s="20" t="s">
        <v>104</v>
      </c>
      <c r="F3641" s="21">
        <v>35698.0</v>
      </c>
      <c r="G3641" s="14">
        <v>28.0</v>
      </c>
      <c r="H3641" s="23" t="s">
        <v>100</v>
      </c>
      <c r="I3641" s="24" t="s">
        <v>33</v>
      </c>
      <c r="J3641" s="19" t="s">
        <v>53</v>
      </c>
      <c r="K3641" s="14">
        <v>25.0</v>
      </c>
      <c r="L3641" s="7"/>
      <c r="M3641" s="7"/>
      <c r="N3641" s="7"/>
      <c r="O3641" s="7"/>
      <c r="P3641" s="7"/>
      <c r="Q3641" s="7"/>
      <c r="R3641" s="7"/>
      <c r="S3641" s="7"/>
      <c r="T3641" s="7"/>
      <c r="U3641" s="7"/>
      <c r="V3641" s="7"/>
      <c r="W3641" s="7"/>
      <c r="X3641" s="7"/>
      <c r="Y3641" s="7"/>
    </row>
    <row r="3642">
      <c r="A3642" s="14" t="s">
        <v>12955</v>
      </c>
      <c r="B3642" s="17" t="s">
        <v>12956</v>
      </c>
      <c r="C3642" s="17" t="s">
        <v>12957</v>
      </c>
      <c r="D3642" s="19" t="s">
        <v>12958</v>
      </c>
      <c r="E3642" s="20" t="s">
        <v>53</v>
      </c>
      <c r="F3642" s="21">
        <v>37882.0</v>
      </c>
      <c r="G3642" s="14">
        <v>22.0</v>
      </c>
      <c r="H3642" s="23" t="s">
        <v>100</v>
      </c>
      <c r="I3642" s="24" t="s">
        <v>33</v>
      </c>
      <c r="J3642" s="19" t="s">
        <v>12959</v>
      </c>
      <c r="K3642" s="14">
        <v>13.0</v>
      </c>
      <c r="L3642" s="7"/>
      <c r="M3642" s="7"/>
      <c r="N3642" s="7"/>
      <c r="O3642" s="7"/>
      <c r="P3642" s="7"/>
      <c r="Q3642" s="7"/>
      <c r="R3642" s="7"/>
      <c r="S3642" s="7"/>
      <c r="T3642" s="7"/>
      <c r="U3642" s="7"/>
      <c r="V3642" s="7"/>
      <c r="W3642" s="7"/>
      <c r="X3642" s="7"/>
      <c r="Y3642" s="7"/>
    </row>
    <row r="3643">
      <c r="A3643" s="14" t="s">
        <v>12960</v>
      </c>
      <c r="B3643" s="17" t="s">
        <v>12956</v>
      </c>
      <c r="C3643" s="17" t="s">
        <v>12961</v>
      </c>
      <c r="D3643" s="19" t="s">
        <v>8782</v>
      </c>
      <c r="E3643" s="20" t="s">
        <v>544</v>
      </c>
      <c r="F3643" s="21">
        <v>24983.0</v>
      </c>
      <c r="G3643" s="14">
        <v>58.0</v>
      </c>
      <c r="H3643" s="23" t="s">
        <v>26</v>
      </c>
      <c r="I3643" s="24" t="s">
        <v>33</v>
      </c>
      <c r="J3643" s="19" t="s">
        <v>12959</v>
      </c>
      <c r="K3643" s="14">
        <v>13.0</v>
      </c>
      <c r="L3643" s="7"/>
      <c r="M3643" s="7"/>
      <c r="N3643" s="7"/>
      <c r="O3643" s="7"/>
      <c r="P3643" s="7"/>
      <c r="Q3643" s="7"/>
      <c r="R3643" s="7"/>
      <c r="S3643" s="7"/>
      <c r="T3643" s="7"/>
      <c r="U3643" s="7"/>
      <c r="V3643" s="7"/>
      <c r="W3643" s="7"/>
      <c r="X3643" s="7"/>
      <c r="Y3643" s="7"/>
    </row>
    <row r="3644">
      <c r="A3644" s="14" t="s">
        <v>12962</v>
      </c>
      <c r="B3644" s="17" t="s">
        <v>12956</v>
      </c>
      <c r="C3644" s="17" t="s">
        <v>12963</v>
      </c>
      <c r="D3644" s="19" t="s">
        <v>12964</v>
      </c>
      <c r="E3644" s="20" t="s">
        <v>53</v>
      </c>
      <c r="F3644" s="27">
        <v>35363.0</v>
      </c>
      <c r="G3644" s="14">
        <v>29.0</v>
      </c>
      <c r="H3644" s="23" t="s">
        <v>100</v>
      </c>
      <c r="I3644" s="24" t="s">
        <v>33</v>
      </c>
      <c r="J3644" s="19" t="s">
        <v>12959</v>
      </c>
      <c r="K3644" s="14">
        <v>13.0</v>
      </c>
      <c r="L3644" s="7"/>
      <c r="M3644" s="7"/>
      <c r="N3644" s="7"/>
      <c r="O3644" s="7"/>
      <c r="P3644" s="7"/>
      <c r="Q3644" s="7"/>
      <c r="R3644" s="7"/>
      <c r="S3644" s="7"/>
      <c r="T3644" s="7"/>
      <c r="U3644" s="7"/>
      <c r="V3644" s="7"/>
      <c r="W3644" s="7"/>
      <c r="X3644" s="7"/>
      <c r="Y3644" s="7"/>
    </row>
    <row r="3645">
      <c r="A3645" s="14" t="s">
        <v>12965</v>
      </c>
      <c r="B3645" s="17" t="s">
        <v>12956</v>
      </c>
      <c r="C3645" s="17" t="s">
        <v>12966</v>
      </c>
      <c r="D3645" s="19" t="s">
        <v>3759</v>
      </c>
      <c r="E3645" s="20" t="s">
        <v>53</v>
      </c>
      <c r="F3645" s="21">
        <v>28722.0</v>
      </c>
      <c r="G3645" s="14">
        <v>48.0</v>
      </c>
      <c r="H3645" s="23" t="s">
        <v>26</v>
      </c>
      <c r="I3645" s="24" t="s">
        <v>27</v>
      </c>
      <c r="J3645" s="19" t="s">
        <v>12959</v>
      </c>
      <c r="K3645" s="14">
        <v>13.0</v>
      </c>
      <c r="L3645" s="7"/>
      <c r="M3645" s="7"/>
      <c r="N3645" s="7"/>
      <c r="O3645" s="7"/>
      <c r="P3645" s="7"/>
      <c r="Q3645" s="7"/>
      <c r="R3645" s="7"/>
      <c r="S3645" s="7"/>
      <c r="T3645" s="7"/>
      <c r="U3645" s="7"/>
      <c r="V3645" s="7"/>
      <c r="W3645" s="7"/>
      <c r="X3645" s="7"/>
      <c r="Y3645" s="7"/>
    </row>
    <row r="3646">
      <c r="A3646" s="14" t="s">
        <v>12967</v>
      </c>
      <c r="B3646" s="17" t="s">
        <v>12968</v>
      </c>
      <c r="C3646" s="17" t="s">
        <v>12969</v>
      </c>
      <c r="D3646" s="19" t="s">
        <v>12970</v>
      </c>
      <c r="E3646" s="20" t="s">
        <v>104</v>
      </c>
      <c r="F3646" s="21">
        <v>39125.0</v>
      </c>
      <c r="G3646" s="14">
        <v>19.0</v>
      </c>
      <c r="H3646" s="23" t="s">
        <v>100</v>
      </c>
      <c r="I3646" s="24" t="s">
        <v>33</v>
      </c>
      <c r="J3646" s="19" t="s">
        <v>257</v>
      </c>
      <c r="K3646" s="14">
        <v>5.0</v>
      </c>
      <c r="L3646" s="7"/>
      <c r="M3646" s="7"/>
      <c r="N3646" s="7"/>
      <c r="O3646" s="7"/>
      <c r="P3646" s="7"/>
      <c r="Q3646" s="7"/>
      <c r="R3646" s="7"/>
      <c r="S3646" s="7"/>
      <c r="T3646" s="7"/>
      <c r="U3646" s="7"/>
      <c r="V3646" s="7"/>
      <c r="W3646" s="7"/>
      <c r="X3646" s="7"/>
      <c r="Y3646" s="7"/>
    </row>
    <row r="3647">
      <c r="A3647" s="14" t="s">
        <v>12971</v>
      </c>
      <c r="B3647" s="17" t="s">
        <v>12968</v>
      </c>
      <c r="C3647" s="17" t="s">
        <v>12972</v>
      </c>
      <c r="D3647" s="19" t="s">
        <v>12973</v>
      </c>
      <c r="E3647" s="20" t="s">
        <v>219</v>
      </c>
      <c r="F3647" s="21">
        <v>29624.0</v>
      </c>
      <c r="G3647" s="14">
        <v>45.0</v>
      </c>
      <c r="H3647" s="23" t="s">
        <v>26</v>
      </c>
      <c r="I3647" s="24" t="s">
        <v>33</v>
      </c>
      <c r="J3647" s="19" t="s">
        <v>257</v>
      </c>
      <c r="K3647" s="14">
        <v>5.0</v>
      </c>
      <c r="L3647" s="7"/>
      <c r="M3647" s="7"/>
      <c r="N3647" s="7"/>
      <c r="O3647" s="7"/>
      <c r="P3647" s="7"/>
      <c r="Q3647" s="7"/>
      <c r="R3647" s="7"/>
      <c r="S3647" s="7"/>
      <c r="T3647" s="7"/>
      <c r="U3647" s="7"/>
      <c r="V3647" s="7"/>
      <c r="W3647" s="7"/>
      <c r="X3647" s="7"/>
      <c r="Y3647" s="7"/>
    </row>
    <row r="3648">
      <c r="A3648" s="14" t="s">
        <v>12974</v>
      </c>
      <c r="B3648" s="17" t="s">
        <v>12968</v>
      </c>
      <c r="C3648" s="17" t="s">
        <v>12975</v>
      </c>
      <c r="D3648" s="19" t="s">
        <v>12976</v>
      </c>
      <c r="E3648" s="20" t="s">
        <v>1095</v>
      </c>
      <c r="F3648" s="21">
        <v>38957.0</v>
      </c>
      <c r="G3648" s="14">
        <v>20.0</v>
      </c>
      <c r="H3648" s="23" t="s">
        <v>100</v>
      </c>
      <c r="I3648" s="24" t="s">
        <v>27</v>
      </c>
      <c r="J3648" s="19" t="s">
        <v>257</v>
      </c>
      <c r="K3648" s="14">
        <v>5.0</v>
      </c>
      <c r="L3648" s="7"/>
      <c r="M3648" s="7"/>
      <c r="N3648" s="7"/>
      <c r="O3648" s="7"/>
      <c r="P3648" s="7"/>
      <c r="Q3648" s="7"/>
      <c r="R3648" s="7"/>
      <c r="S3648" s="7"/>
      <c r="T3648" s="7"/>
      <c r="U3648" s="7"/>
      <c r="V3648" s="7"/>
      <c r="W3648" s="7"/>
      <c r="X3648" s="7"/>
      <c r="Y3648" s="7"/>
    </row>
    <row r="3649">
      <c r="A3649" s="14" t="s">
        <v>12977</v>
      </c>
      <c r="B3649" s="17" t="s">
        <v>12968</v>
      </c>
      <c r="C3649" s="17" t="s">
        <v>12978</v>
      </c>
      <c r="D3649" s="19" t="s">
        <v>12979</v>
      </c>
      <c r="E3649" s="20" t="s">
        <v>219</v>
      </c>
      <c r="F3649" s="27">
        <v>31727.0</v>
      </c>
      <c r="G3649" s="14">
        <v>39.0</v>
      </c>
      <c r="H3649" s="23" t="s">
        <v>26</v>
      </c>
      <c r="I3649" s="24" t="s">
        <v>27</v>
      </c>
      <c r="J3649" s="19" t="s">
        <v>257</v>
      </c>
      <c r="K3649" s="14">
        <v>5.0</v>
      </c>
      <c r="L3649" s="7"/>
      <c r="M3649" s="7"/>
      <c r="N3649" s="7"/>
      <c r="O3649" s="7"/>
      <c r="P3649" s="7"/>
      <c r="Q3649" s="7"/>
      <c r="R3649" s="7"/>
      <c r="S3649" s="7"/>
      <c r="T3649" s="7"/>
      <c r="U3649" s="7"/>
      <c r="V3649" s="7"/>
      <c r="W3649" s="7"/>
      <c r="X3649" s="7"/>
      <c r="Y3649" s="7"/>
    </row>
    <row r="3650">
      <c r="A3650" s="14" t="s">
        <v>12980</v>
      </c>
      <c r="B3650" s="17" t="s">
        <v>12981</v>
      </c>
      <c r="C3650" s="17" t="s">
        <v>12982</v>
      </c>
      <c r="D3650" s="19" t="s">
        <v>12983</v>
      </c>
      <c r="E3650" s="20" t="s">
        <v>187</v>
      </c>
      <c r="F3650" s="21">
        <v>29314.0</v>
      </c>
      <c r="G3650" s="14">
        <v>46.0</v>
      </c>
      <c r="H3650" s="23" t="s">
        <v>26</v>
      </c>
      <c r="I3650" s="24" t="s">
        <v>27</v>
      </c>
      <c r="J3650" s="19" t="s">
        <v>328</v>
      </c>
      <c r="K3650" s="14">
        <v>22.0</v>
      </c>
      <c r="L3650" s="7"/>
      <c r="M3650" s="7"/>
      <c r="N3650" s="7"/>
      <c r="O3650" s="7"/>
      <c r="P3650" s="7"/>
      <c r="Q3650" s="7"/>
      <c r="R3650" s="7"/>
      <c r="S3650" s="7"/>
      <c r="T3650" s="7"/>
      <c r="U3650" s="7"/>
      <c r="V3650" s="7"/>
      <c r="W3650" s="7"/>
      <c r="X3650" s="7"/>
      <c r="Y3650" s="7"/>
    </row>
    <row r="3651">
      <c r="A3651" s="14" t="s">
        <v>12984</v>
      </c>
      <c r="B3651" s="17" t="s">
        <v>12981</v>
      </c>
      <c r="C3651" s="17" t="s">
        <v>12985</v>
      </c>
      <c r="D3651" s="19" t="s">
        <v>12986</v>
      </c>
      <c r="E3651" s="20" t="s">
        <v>104</v>
      </c>
      <c r="F3651" s="21">
        <v>38599.0</v>
      </c>
      <c r="G3651" s="14">
        <v>20.0</v>
      </c>
      <c r="H3651" s="23" t="s">
        <v>100</v>
      </c>
      <c r="I3651" s="24" t="s">
        <v>27</v>
      </c>
      <c r="J3651" s="19" t="s">
        <v>328</v>
      </c>
      <c r="K3651" s="14">
        <v>22.0</v>
      </c>
      <c r="L3651" s="7"/>
      <c r="M3651" s="7"/>
      <c r="N3651" s="7"/>
      <c r="O3651" s="7"/>
      <c r="P3651" s="7"/>
      <c r="Q3651" s="7"/>
      <c r="R3651" s="7"/>
      <c r="S3651" s="7"/>
      <c r="T3651" s="7"/>
      <c r="U3651" s="7"/>
      <c r="V3651" s="7"/>
      <c r="W3651" s="7"/>
      <c r="X3651" s="7"/>
      <c r="Y3651" s="7"/>
    </row>
    <row r="3652">
      <c r="A3652" s="14" t="s">
        <v>12987</v>
      </c>
      <c r="B3652" s="17" t="s">
        <v>12981</v>
      </c>
      <c r="C3652" s="17" t="s">
        <v>12988</v>
      </c>
      <c r="D3652" s="19" t="s">
        <v>12989</v>
      </c>
      <c r="E3652" s="20" t="s">
        <v>650</v>
      </c>
      <c r="F3652" s="21">
        <v>26801.0</v>
      </c>
      <c r="G3652" s="14">
        <v>53.0</v>
      </c>
      <c r="H3652" s="23" t="s">
        <v>26</v>
      </c>
      <c r="I3652" s="24" t="s">
        <v>33</v>
      </c>
      <c r="J3652" s="19" t="s">
        <v>328</v>
      </c>
      <c r="K3652" s="14">
        <v>22.0</v>
      </c>
      <c r="L3652" s="7"/>
      <c r="M3652" s="7"/>
      <c r="N3652" s="7"/>
      <c r="O3652" s="7"/>
      <c r="P3652" s="7"/>
      <c r="Q3652" s="7"/>
      <c r="R3652" s="7"/>
      <c r="S3652" s="7"/>
      <c r="T3652" s="7"/>
      <c r="U3652" s="7"/>
      <c r="V3652" s="7"/>
      <c r="W3652" s="7"/>
      <c r="X3652" s="7"/>
      <c r="Y3652" s="7"/>
    </row>
    <row r="3653">
      <c r="A3653" s="14" t="s">
        <v>12990</v>
      </c>
      <c r="B3653" s="17" t="s">
        <v>12991</v>
      </c>
      <c r="C3653" s="17" t="s">
        <v>12992</v>
      </c>
      <c r="D3653" s="19" t="s">
        <v>12993</v>
      </c>
      <c r="E3653" s="20" t="s">
        <v>210</v>
      </c>
      <c r="F3653" s="21">
        <v>23161.0</v>
      </c>
      <c r="G3653" s="14">
        <v>63.0</v>
      </c>
      <c r="H3653" s="23" t="s">
        <v>27</v>
      </c>
      <c r="I3653" s="24" t="s">
        <v>33</v>
      </c>
      <c r="J3653" s="19" t="s">
        <v>53</v>
      </c>
      <c r="K3653" s="14">
        <v>6.0</v>
      </c>
      <c r="L3653" s="7"/>
      <c r="M3653" s="7"/>
      <c r="N3653" s="7"/>
      <c r="O3653" s="7"/>
      <c r="P3653" s="7"/>
      <c r="Q3653" s="7"/>
      <c r="R3653" s="7"/>
      <c r="S3653" s="7"/>
      <c r="T3653" s="7"/>
      <c r="U3653" s="7"/>
      <c r="V3653" s="7"/>
      <c r="W3653" s="7"/>
      <c r="X3653" s="7"/>
      <c r="Y3653" s="7"/>
    </row>
    <row r="3654">
      <c r="A3654" s="14" t="s">
        <v>12994</v>
      </c>
      <c r="B3654" s="17" t="s">
        <v>12995</v>
      </c>
      <c r="C3654" s="17" t="s">
        <v>12996</v>
      </c>
      <c r="D3654" s="19" t="s">
        <v>4823</v>
      </c>
      <c r="E3654" s="20" t="s">
        <v>632</v>
      </c>
      <c r="F3654" s="21">
        <v>25274.0</v>
      </c>
      <c r="G3654" s="14">
        <v>57.0</v>
      </c>
      <c r="H3654" s="23" t="s">
        <v>27</v>
      </c>
      <c r="I3654" s="24" t="s">
        <v>27</v>
      </c>
      <c r="J3654" s="19" t="s">
        <v>4079</v>
      </c>
      <c r="K3654" s="14">
        <v>22.0</v>
      </c>
      <c r="L3654" s="7"/>
      <c r="M3654" s="7"/>
      <c r="N3654" s="7"/>
      <c r="O3654" s="7"/>
      <c r="P3654" s="7"/>
      <c r="Q3654" s="7"/>
      <c r="R3654" s="7"/>
      <c r="S3654" s="7"/>
      <c r="T3654" s="7"/>
      <c r="U3654" s="7"/>
      <c r="V3654" s="7"/>
      <c r="W3654" s="7"/>
      <c r="X3654" s="7"/>
      <c r="Y3654" s="7"/>
    </row>
    <row r="3655">
      <c r="A3655" s="14" t="s">
        <v>12997</v>
      </c>
      <c r="B3655" s="17" t="s">
        <v>12998</v>
      </c>
      <c r="C3655" s="17" t="s">
        <v>12999</v>
      </c>
      <c r="D3655" s="19" t="s">
        <v>13000</v>
      </c>
      <c r="E3655" s="20" t="s">
        <v>337</v>
      </c>
      <c r="F3655" s="21">
        <v>34039.0</v>
      </c>
      <c r="G3655" s="14">
        <v>33.0</v>
      </c>
      <c r="H3655" s="23" t="s">
        <v>26</v>
      </c>
      <c r="I3655" s="24" t="s">
        <v>27</v>
      </c>
      <c r="J3655" s="19" t="s">
        <v>328</v>
      </c>
      <c r="K3655" s="14">
        <v>9.0</v>
      </c>
      <c r="L3655" s="7"/>
      <c r="M3655" s="7"/>
      <c r="N3655" s="7"/>
      <c r="O3655" s="7"/>
      <c r="P3655" s="7"/>
      <c r="Q3655" s="7"/>
      <c r="R3655" s="7"/>
      <c r="S3655" s="7"/>
      <c r="T3655" s="7"/>
      <c r="U3655" s="7"/>
      <c r="V3655" s="7"/>
      <c r="W3655" s="7"/>
      <c r="X3655" s="7"/>
      <c r="Y3655" s="7"/>
    </row>
    <row r="3656">
      <c r="A3656" s="14" t="s">
        <v>13001</v>
      </c>
      <c r="B3656" s="17" t="s">
        <v>12998</v>
      </c>
      <c r="C3656" s="17" t="s">
        <v>13002</v>
      </c>
      <c r="D3656" s="19" t="s">
        <v>13003</v>
      </c>
      <c r="E3656" s="20" t="s">
        <v>104</v>
      </c>
      <c r="F3656" s="27">
        <v>33531.0</v>
      </c>
      <c r="G3656" s="14">
        <v>34.0</v>
      </c>
      <c r="H3656" s="23" t="s">
        <v>26</v>
      </c>
      <c r="I3656" s="24" t="s">
        <v>33</v>
      </c>
      <c r="J3656" s="19" t="s">
        <v>328</v>
      </c>
      <c r="K3656" s="14">
        <v>9.0</v>
      </c>
      <c r="L3656" s="7"/>
      <c r="M3656" s="7"/>
      <c r="N3656" s="7"/>
      <c r="O3656" s="7"/>
      <c r="P3656" s="7"/>
      <c r="Q3656" s="7"/>
      <c r="R3656" s="7"/>
      <c r="S3656" s="7"/>
      <c r="T3656" s="7"/>
      <c r="U3656" s="7"/>
      <c r="V3656" s="7"/>
      <c r="W3656" s="7"/>
      <c r="X3656" s="7"/>
      <c r="Y3656" s="7"/>
    </row>
    <row r="3657">
      <c r="A3657" s="14" t="s">
        <v>13004</v>
      </c>
      <c r="B3657" s="17" t="s">
        <v>13005</v>
      </c>
      <c r="C3657" s="17" t="s">
        <v>13006</v>
      </c>
      <c r="D3657" s="19" t="s">
        <v>13007</v>
      </c>
      <c r="E3657" s="20" t="s">
        <v>104</v>
      </c>
      <c r="F3657" s="21">
        <v>39264.0</v>
      </c>
      <c r="G3657" s="14">
        <v>19.0</v>
      </c>
      <c r="H3657" s="23" t="s">
        <v>100</v>
      </c>
      <c r="I3657" s="24" t="s">
        <v>33</v>
      </c>
      <c r="J3657" s="19" t="s">
        <v>146</v>
      </c>
      <c r="K3657" s="14">
        <v>6.0</v>
      </c>
      <c r="L3657" s="7"/>
      <c r="M3657" s="7"/>
      <c r="N3657" s="7"/>
      <c r="O3657" s="7"/>
      <c r="P3657" s="7"/>
      <c r="Q3657" s="7"/>
      <c r="R3657" s="7"/>
      <c r="S3657" s="7"/>
      <c r="T3657" s="7"/>
      <c r="U3657" s="7"/>
      <c r="V3657" s="7"/>
      <c r="W3657" s="7"/>
      <c r="X3657" s="7"/>
      <c r="Y3657" s="7"/>
    </row>
    <row r="3658">
      <c r="A3658" s="14" t="s">
        <v>13008</v>
      </c>
      <c r="B3658" s="17" t="s">
        <v>13005</v>
      </c>
      <c r="C3658" s="17" t="s">
        <v>13009</v>
      </c>
      <c r="D3658" s="19" t="s">
        <v>13010</v>
      </c>
      <c r="E3658" s="20" t="s">
        <v>104</v>
      </c>
      <c r="F3658" s="21">
        <v>35977.0</v>
      </c>
      <c r="G3658" s="14">
        <v>28.0</v>
      </c>
      <c r="H3658" s="23" t="s">
        <v>100</v>
      </c>
      <c r="I3658" s="24" t="s">
        <v>33</v>
      </c>
      <c r="J3658" s="19" t="s">
        <v>146</v>
      </c>
      <c r="K3658" s="14">
        <v>6.0</v>
      </c>
      <c r="L3658" s="7"/>
      <c r="M3658" s="7"/>
      <c r="N3658" s="7"/>
      <c r="O3658" s="7"/>
      <c r="P3658" s="7"/>
      <c r="Q3658" s="7"/>
      <c r="R3658" s="7"/>
      <c r="S3658" s="7"/>
      <c r="T3658" s="7"/>
      <c r="U3658" s="7"/>
      <c r="V3658" s="7"/>
      <c r="W3658" s="7"/>
      <c r="X3658" s="7"/>
      <c r="Y3658" s="7"/>
    </row>
    <row r="3659">
      <c r="A3659" s="14" t="s">
        <v>13011</v>
      </c>
      <c r="B3659" s="17" t="s">
        <v>13005</v>
      </c>
      <c r="C3659" s="17" t="s">
        <v>13012</v>
      </c>
      <c r="D3659" s="19" t="s">
        <v>13013</v>
      </c>
      <c r="E3659" s="20" t="s">
        <v>290</v>
      </c>
      <c r="F3659" s="21">
        <v>23851.0</v>
      </c>
      <c r="G3659" s="14">
        <v>61.0</v>
      </c>
      <c r="H3659" s="23" t="s">
        <v>26</v>
      </c>
      <c r="I3659" s="24" t="s">
        <v>33</v>
      </c>
      <c r="J3659" s="19" t="s">
        <v>146</v>
      </c>
      <c r="K3659" s="14">
        <v>6.0</v>
      </c>
      <c r="L3659" s="7"/>
      <c r="M3659" s="7"/>
      <c r="N3659" s="7"/>
      <c r="O3659" s="7"/>
      <c r="P3659" s="7"/>
      <c r="Q3659" s="7"/>
      <c r="R3659" s="7"/>
      <c r="S3659" s="7"/>
      <c r="T3659" s="7"/>
      <c r="U3659" s="7"/>
      <c r="V3659" s="7"/>
      <c r="W3659" s="7"/>
      <c r="X3659" s="7"/>
      <c r="Y3659" s="7"/>
    </row>
    <row r="3660">
      <c r="A3660" s="14" t="s">
        <v>13014</v>
      </c>
      <c r="B3660" s="17" t="s">
        <v>13005</v>
      </c>
      <c r="C3660" s="17" t="s">
        <v>13015</v>
      </c>
      <c r="D3660" s="19" t="s">
        <v>3114</v>
      </c>
      <c r="E3660" s="20" t="s">
        <v>290</v>
      </c>
      <c r="F3660" s="21">
        <v>26398.0</v>
      </c>
      <c r="G3660" s="14">
        <v>54.0</v>
      </c>
      <c r="H3660" s="23" t="s">
        <v>26</v>
      </c>
      <c r="I3660" s="24" t="s">
        <v>27</v>
      </c>
      <c r="J3660" s="19" t="s">
        <v>146</v>
      </c>
      <c r="K3660" s="14">
        <v>6.0</v>
      </c>
      <c r="L3660" s="7"/>
      <c r="M3660" s="7"/>
      <c r="N3660" s="7"/>
      <c r="O3660" s="7"/>
      <c r="P3660" s="7"/>
      <c r="Q3660" s="7"/>
      <c r="R3660" s="7"/>
      <c r="S3660" s="7"/>
      <c r="T3660" s="7"/>
      <c r="U3660" s="7"/>
      <c r="V3660" s="7"/>
      <c r="W3660" s="7"/>
      <c r="X3660" s="7"/>
      <c r="Y3660" s="7"/>
    </row>
    <row r="3661">
      <c r="A3661" s="14" t="s">
        <v>13016</v>
      </c>
      <c r="B3661" s="17" t="s">
        <v>13017</v>
      </c>
      <c r="C3661" s="17" t="s">
        <v>13018</v>
      </c>
      <c r="D3661" s="19" t="s">
        <v>5027</v>
      </c>
      <c r="E3661" s="20" t="s">
        <v>544</v>
      </c>
      <c r="F3661" s="21">
        <v>14722.0</v>
      </c>
      <c r="G3661" s="14">
        <v>86.0</v>
      </c>
      <c r="H3661" s="23" t="s">
        <v>26</v>
      </c>
      <c r="I3661" s="24" t="s">
        <v>33</v>
      </c>
      <c r="J3661" s="19" t="s">
        <v>517</v>
      </c>
      <c r="K3661" s="14">
        <v>6.0</v>
      </c>
      <c r="L3661" s="7"/>
      <c r="M3661" s="7"/>
      <c r="N3661" s="7"/>
      <c r="O3661" s="7"/>
      <c r="P3661" s="7"/>
      <c r="Q3661" s="7"/>
      <c r="R3661" s="7"/>
      <c r="S3661" s="7"/>
      <c r="T3661" s="7"/>
      <c r="U3661" s="7"/>
      <c r="V3661" s="7"/>
      <c r="W3661" s="7"/>
      <c r="X3661" s="7"/>
      <c r="Y3661" s="7"/>
    </row>
    <row r="3662">
      <c r="A3662" s="14" t="s">
        <v>13019</v>
      </c>
      <c r="B3662" s="17" t="s">
        <v>13017</v>
      </c>
      <c r="C3662" s="17" t="s">
        <v>13020</v>
      </c>
      <c r="D3662" s="19" t="s">
        <v>13021</v>
      </c>
      <c r="E3662" s="20" t="s">
        <v>624</v>
      </c>
      <c r="F3662" s="21">
        <v>22828.0</v>
      </c>
      <c r="G3662" s="14">
        <v>64.0</v>
      </c>
      <c r="H3662" s="23" t="s">
        <v>26</v>
      </c>
      <c r="I3662" s="24" t="s">
        <v>27</v>
      </c>
      <c r="J3662" s="19" t="s">
        <v>517</v>
      </c>
      <c r="K3662" s="14">
        <v>6.0</v>
      </c>
      <c r="L3662" s="7"/>
      <c r="M3662" s="7"/>
      <c r="N3662" s="7"/>
      <c r="O3662" s="7"/>
      <c r="P3662" s="7"/>
      <c r="Q3662" s="7"/>
      <c r="R3662" s="7"/>
      <c r="S3662" s="7"/>
      <c r="T3662" s="7"/>
      <c r="U3662" s="7"/>
      <c r="V3662" s="7"/>
      <c r="W3662" s="7"/>
      <c r="X3662" s="7"/>
      <c r="Y3662" s="7"/>
    </row>
    <row r="3663">
      <c r="A3663" s="14" t="s">
        <v>13022</v>
      </c>
      <c r="B3663" s="17" t="s">
        <v>13023</v>
      </c>
      <c r="C3663" s="17" t="s">
        <v>13024</v>
      </c>
      <c r="D3663" s="19" t="s">
        <v>13025</v>
      </c>
      <c r="E3663" s="20" t="s">
        <v>104</v>
      </c>
      <c r="F3663" s="21">
        <v>30057.0</v>
      </c>
      <c r="G3663" s="14">
        <v>44.0</v>
      </c>
      <c r="H3663" s="23" t="s">
        <v>26</v>
      </c>
      <c r="I3663" s="24" t="s">
        <v>33</v>
      </c>
      <c r="J3663" s="19" t="s">
        <v>146</v>
      </c>
      <c r="K3663" s="14">
        <v>6.0</v>
      </c>
      <c r="L3663" s="7"/>
      <c r="M3663" s="7"/>
      <c r="N3663" s="7"/>
      <c r="O3663" s="7"/>
      <c r="P3663" s="7"/>
      <c r="Q3663" s="7"/>
      <c r="R3663" s="7"/>
      <c r="S3663" s="7"/>
      <c r="T3663" s="7"/>
      <c r="U3663" s="7"/>
      <c r="V3663" s="7"/>
      <c r="W3663" s="7"/>
      <c r="X3663" s="7"/>
      <c r="Y3663" s="7"/>
    </row>
    <row r="3664">
      <c r="A3664" s="14" t="s">
        <v>13026</v>
      </c>
      <c r="B3664" s="17" t="s">
        <v>13027</v>
      </c>
      <c r="C3664" s="17" t="s">
        <v>13028</v>
      </c>
      <c r="D3664" s="19" t="s">
        <v>13029</v>
      </c>
      <c r="E3664" s="20" t="s">
        <v>210</v>
      </c>
      <c r="F3664" s="21">
        <v>31275.0</v>
      </c>
      <c r="G3664" s="14">
        <v>41.0</v>
      </c>
      <c r="H3664" s="23" t="s">
        <v>26</v>
      </c>
      <c r="I3664" s="24" t="s">
        <v>33</v>
      </c>
      <c r="J3664" s="19" t="s">
        <v>146</v>
      </c>
      <c r="K3664" s="14">
        <v>6.0</v>
      </c>
      <c r="L3664" s="7"/>
      <c r="M3664" s="7"/>
      <c r="N3664" s="7"/>
      <c r="O3664" s="7"/>
      <c r="P3664" s="7"/>
      <c r="Q3664" s="7"/>
      <c r="R3664" s="7"/>
      <c r="S3664" s="7"/>
      <c r="T3664" s="7"/>
      <c r="U3664" s="7"/>
      <c r="V3664" s="7"/>
      <c r="W3664" s="7"/>
      <c r="X3664" s="7"/>
      <c r="Y3664" s="7"/>
    </row>
    <row r="3665">
      <c r="A3665" s="14" t="s">
        <v>13030</v>
      </c>
      <c r="B3665" s="17" t="s">
        <v>13027</v>
      </c>
      <c r="C3665" s="17" t="s">
        <v>13031</v>
      </c>
      <c r="D3665" s="19" t="s">
        <v>13032</v>
      </c>
      <c r="E3665" s="20" t="s">
        <v>104</v>
      </c>
      <c r="F3665" s="21">
        <v>38591.0</v>
      </c>
      <c r="G3665" s="14">
        <v>21.0</v>
      </c>
      <c r="H3665" s="23" t="s">
        <v>100</v>
      </c>
      <c r="I3665" s="24" t="s">
        <v>33</v>
      </c>
      <c r="J3665" s="19" t="s">
        <v>146</v>
      </c>
      <c r="K3665" s="14">
        <v>6.0</v>
      </c>
      <c r="L3665" s="7"/>
      <c r="M3665" s="7"/>
      <c r="N3665" s="7"/>
      <c r="O3665" s="7"/>
      <c r="P3665" s="7"/>
      <c r="Q3665" s="7"/>
      <c r="R3665" s="7"/>
      <c r="S3665" s="7"/>
      <c r="T3665" s="7"/>
      <c r="U3665" s="7"/>
      <c r="V3665" s="7"/>
      <c r="W3665" s="7"/>
      <c r="X3665" s="7"/>
      <c r="Y3665" s="7"/>
    </row>
    <row r="3666">
      <c r="A3666" s="14" t="s">
        <v>13033</v>
      </c>
      <c r="B3666" s="17" t="s">
        <v>13027</v>
      </c>
      <c r="C3666" s="17" t="s">
        <v>13034</v>
      </c>
      <c r="D3666" s="19" t="s">
        <v>1440</v>
      </c>
      <c r="E3666" s="20" t="s">
        <v>104</v>
      </c>
      <c r="F3666" s="21">
        <v>31544.0</v>
      </c>
      <c r="G3666" s="14">
        <v>40.0</v>
      </c>
      <c r="H3666" s="23" t="s">
        <v>26</v>
      </c>
      <c r="I3666" s="24" t="s">
        <v>27</v>
      </c>
      <c r="J3666" s="19" t="s">
        <v>146</v>
      </c>
      <c r="K3666" s="14">
        <v>6.0</v>
      </c>
      <c r="L3666" s="7"/>
      <c r="M3666" s="7"/>
      <c r="N3666" s="7"/>
      <c r="O3666" s="7"/>
      <c r="P3666" s="7"/>
      <c r="Q3666" s="7"/>
      <c r="R3666" s="7"/>
      <c r="S3666" s="7"/>
      <c r="T3666" s="7"/>
      <c r="U3666" s="7"/>
      <c r="V3666" s="7"/>
      <c r="W3666" s="7"/>
      <c r="X3666" s="7"/>
      <c r="Y3666" s="7"/>
    </row>
    <row r="3667">
      <c r="A3667" s="14" t="s">
        <v>13035</v>
      </c>
      <c r="B3667" s="17" t="s">
        <v>13036</v>
      </c>
      <c r="C3667" s="17" t="s">
        <v>13037</v>
      </c>
      <c r="D3667" s="19" t="s">
        <v>13038</v>
      </c>
      <c r="E3667" s="20" t="s">
        <v>337</v>
      </c>
      <c r="F3667" s="21">
        <v>38222.0</v>
      </c>
      <c r="G3667" s="14">
        <v>22.0</v>
      </c>
      <c r="H3667" s="23" t="s">
        <v>100</v>
      </c>
      <c r="I3667" s="24" t="s">
        <v>27</v>
      </c>
      <c r="J3667" s="19" t="s">
        <v>146</v>
      </c>
      <c r="K3667" s="14">
        <v>6.0</v>
      </c>
      <c r="L3667" s="7"/>
      <c r="M3667" s="7"/>
      <c r="N3667" s="7"/>
      <c r="O3667" s="7"/>
      <c r="P3667" s="7"/>
      <c r="Q3667" s="7"/>
      <c r="R3667" s="7"/>
      <c r="S3667" s="7"/>
      <c r="T3667" s="7"/>
      <c r="U3667" s="7"/>
      <c r="V3667" s="7"/>
      <c r="W3667" s="7"/>
      <c r="X3667" s="7"/>
      <c r="Y3667" s="7"/>
    </row>
    <row r="3668">
      <c r="A3668" s="14" t="s">
        <v>13039</v>
      </c>
      <c r="B3668" s="17" t="s">
        <v>13036</v>
      </c>
      <c r="C3668" s="17" t="s">
        <v>13040</v>
      </c>
      <c r="D3668" s="19" t="s">
        <v>13041</v>
      </c>
      <c r="E3668" s="20" t="s">
        <v>836</v>
      </c>
      <c r="F3668" s="27">
        <v>28090.0</v>
      </c>
      <c r="G3668" s="14">
        <v>49.0</v>
      </c>
      <c r="H3668" s="23" t="s">
        <v>26</v>
      </c>
      <c r="I3668" s="24" t="s">
        <v>33</v>
      </c>
      <c r="J3668" s="19" t="s">
        <v>146</v>
      </c>
      <c r="K3668" s="14">
        <v>6.0</v>
      </c>
      <c r="L3668" s="7"/>
      <c r="M3668" s="7"/>
      <c r="N3668" s="7"/>
      <c r="O3668" s="7"/>
      <c r="P3668" s="7"/>
      <c r="Q3668" s="7"/>
      <c r="R3668" s="7"/>
      <c r="S3668" s="7"/>
      <c r="T3668" s="7"/>
      <c r="U3668" s="7"/>
      <c r="V3668" s="7"/>
      <c r="W3668" s="7"/>
      <c r="X3668" s="7"/>
      <c r="Y3668" s="7"/>
    </row>
    <row r="3669">
      <c r="A3669" s="14" t="s">
        <v>13042</v>
      </c>
      <c r="B3669" s="17" t="s">
        <v>13036</v>
      </c>
      <c r="C3669" s="17" t="s">
        <v>13043</v>
      </c>
      <c r="D3669" s="19" t="s">
        <v>13044</v>
      </c>
      <c r="E3669" s="20" t="s">
        <v>53</v>
      </c>
      <c r="F3669" s="21">
        <v>37857.0</v>
      </c>
      <c r="G3669" s="14">
        <v>23.0</v>
      </c>
      <c r="H3669" s="23" t="s">
        <v>100</v>
      </c>
      <c r="I3669" s="24" t="s">
        <v>27</v>
      </c>
      <c r="J3669" s="19" t="s">
        <v>146</v>
      </c>
      <c r="K3669" s="14">
        <v>6.0</v>
      </c>
      <c r="L3669" s="7"/>
      <c r="M3669" s="7"/>
      <c r="N3669" s="7"/>
      <c r="O3669" s="7"/>
      <c r="P3669" s="7"/>
      <c r="Q3669" s="7"/>
      <c r="R3669" s="7"/>
      <c r="S3669" s="7"/>
      <c r="T3669" s="7"/>
      <c r="U3669" s="7"/>
      <c r="V3669" s="7"/>
      <c r="W3669" s="7"/>
      <c r="X3669" s="7"/>
      <c r="Y3669" s="7"/>
    </row>
    <row r="3670">
      <c r="A3670" s="14" t="s">
        <v>13045</v>
      </c>
      <c r="B3670" s="17" t="s">
        <v>13036</v>
      </c>
      <c r="C3670" s="17" t="s">
        <v>13046</v>
      </c>
      <c r="D3670" s="19" t="s">
        <v>10472</v>
      </c>
      <c r="E3670" s="20" t="s">
        <v>104</v>
      </c>
      <c r="F3670" s="21">
        <v>30934.0</v>
      </c>
      <c r="G3670" s="14">
        <v>41.0</v>
      </c>
      <c r="H3670" s="23" t="s">
        <v>26</v>
      </c>
      <c r="I3670" s="24" t="s">
        <v>27</v>
      </c>
      <c r="J3670" s="19" t="s">
        <v>146</v>
      </c>
      <c r="K3670" s="14">
        <v>6.0</v>
      </c>
      <c r="L3670" s="7"/>
      <c r="M3670" s="7"/>
      <c r="N3670" s="7"/>
      <c r="O3670" s="7"/>
      <c r="P3670" s="7"/>
      <c r="Q3670" s="7"/>
      <c r="R3670" s="7"/>
      <c r="S3670" s="7"/>
      <c r="T3670" s="7"/>
      <c r="U3670" s="7"/>
      <c r="V3670" s="7"/>
      <c r="W3670" s="7"/>
      <c r="X3670" s="7"/>
      <c r="Y3670" s="7"/>
    </row>
    <row r="3671">
      <c r="A3671" s="14" t="s">
        <v>13047</v>
      </c>
      <c r="B3671" s="17" t="s">
        <v>13048</v>
      </c>
      <c r="C3671" s="17" t="s">
        <v>13049</v>
      </c>
      <c r="D3671" s="19" t="s">
        <v>13050</v>
      </c>
      <c r="E3671" s="20" t="s">
        <v>104</v>
      </c>
      <c r="F3671" s="27">
        <v>39050.0</v>
      </c>
      <c r="G3671" s="14">
        <v>19.0</v>
      </c>
      <c r="H3671" s="23" t="s">
        <v>100</v>
      </c>
      <c r="I3671" s="24" t="s">
        <v>33</v>
      </c>
      <c r="J3671" s="19" t="s">
        <v>362</v>
      </c>
      <c r="K3671" s="14">
        <v>24.0</v>
      </c>
      <c r="L3671" s="7"/>
      <c r="M3671" s="7"/>
      <c r="N3671" s="7"/>
      <c r="O3671" s="7"/>
      <c r="P3671" s="7"/>
      <c r="Q3671" s="7"/>
      <c r="R3671" s="7"/>
      <c r="S3671" s="7"/>
      <c r="T3671" s="7"/>
      <c r="U3671" s="7"/>
      <c r="V3671" s="7"/>
      <c r="W3671" s="7"/>
      <c r="X3671" s="7"/>
      <c r="Y3671" s="7"/>
    </row>
    <row r="3672">
      <c r="A3672" s="14" t="s">
        <v>13051</v>
      </c>
      <c r="B3672" s="17" t="s">
        <v>13048</v>
      </c>
      <c r="C3672" s="17" t="s">
        <v>13052</v>
      </c>
      <c r="D3672" s="19" t="s">
        <v>5852</v>
      </c>
      <c r="E3672" s="20" t="s">
        <v>104</v>
      </c>
      <c r="F3672" s="21">
        <v>31293.0</v>
      </c>
      <c r="G3672" s="14">
        <v>40.0</v>
      </c>
      <c r="H3672" s="23" t="s">
        <v>26</v>
      </c>
      <c r="I3672" s="24" t="s">
        <v>33</v>
      </c>
      <c r="J3672" s="19" t="s">
        <v>362</v>
      </c>
      <c r="K3672" s="14">
        <v>24.0</v>
      </c>
      <c r="L3672" s="7"/>
      <c r="M3672" s="7"/>
      <c r="N3672" s="7"/>
      <c r="O3672" s="7"/>
      <c r="P3672" s="7"/>
      <c r="Q3672" s="7"/>
      <c r="R3672" s="7"/>
      <c r="S3672" s="7"/>
      <c r="T3672" s="7"/>
      <c r="U3672" s="7"/>
      <c r="V3672" s="7"/>
      <c r="W3672" s="7"/>
      <c r="X3672" s="7"/>
      <c r="Y3672" s="7"/>
    </row>
    <row r="3673">
      <c r="A3673" s="14" t="s">
        <v>13053</v>
      </c>
      <c r="B3673" s="17" t="s">
        <v>13048</v>
      </c>
      <c r="C3673" s="17" t="s">
        <v>13054</v>
      </c>
      <c r="D3673" s="19" t="s">
        <v>13055</v>
      </c>
      <c r="E3673" s="20" t="s">
        <v>104</v>
      </c>
      <c r="F3673" s="27">
        <v>33219.0</v>
      </c>
      <c r="G3673" s="14">
        <v>35.0</v>
      </c>
      <c r="H3673" s="23" t="s">
        <v>26</v>
      </c>
      <c r="I3673" s="24" t="s">
        <v>27</v>
      </c>
      <c r="J3673" s="19" t="s">
        <v>362</v>
      </c>
      <c r="K3673" s="14">
        <v>24.0</v>
      </c>
      <c r="L3673" s="7"/>
      <c r="M3673" s="7"/>
      <c r="N3673" s="7"/>
      <c r="O3673" s="7"/>
      <c r="P3673" s="7"/>
      <c r="Q3673" s="7"/>
      <c r="R3673" s="7"/>
      <c r="S3673" s="7"/>
      <c r="T3673" s="7"/>
      <c r="U3673" s="7"/>
      <c r="V3673" s="7"/>
      <c r="W3673" s="7"/>
      <c r="X3673" s="7"/>
      <c r="Y3673" s="7"/>
    </row>
    <row r="3674">
      <c r="A3674" s="14" t="s">
        <v>13056</v>
      </c>
      <c r="B3674" s="17" t="s">
        <v>13057</v>
      </c>
      <c r="C3674" s="17" t="s">
        <v>13058</v>
      </c>
      <c r="D3674" s="19" t="s">
        <v>13059</v>
      </c>
      <c r="E3674" s="20" t="s">
        <v>195</v>
      </c>
      <c r="F3674" s="21">
        <v>27440.0</v>
      </c>
      <c r="G3674" s="14">
        <v>51.0</v>
      </c>
      <c r="H3674" s="23" t="s">
        <v>26</v>
      </c>
      <c r="I3674" s="24" t="s">
        <v>33</v>
      </c>
      <c r="J3674" s="19" t="s">
        <v>757</v>
      </c>
      <c r="K3674" s="14">
        <v>10.0</v>
      </c>
      <c r="L3674" s="7"/>
      <c r="M3674" s="7"/>
      <c r="N3674" s="7"/>
      <c r="O3674" s="7"/>
      <c r="P3674" s="7"/>
      <c r="Q3674" s="7"/>
      <c r="R3674" s="7"/>
      <c r="S3674" s="7"/>
      <c r="T3674" s="7"/>
      <c r="U3674" s="7"/>
      <c r="V3674" s="7"/>
      <c r="W3674" s="7"/>
      <c r="X3674" s="7"/>
      <c r="Y3674" s="7"/>
    </row>
    <row r="3675">
      <c r="A3675" s="14" t="s">
        <v>13060</v>
      </c>
      <c r="B3675" s="17" t="s">
        <v>13057</v>
      </c>
      <c r="C3675" s="17" t="s">
        <v>13061</v>
      </c>
      <c r="D3675" s="19" t="s">
        <v>13062</v>
      </c>
      <c r="E3675" s="20" t="s">
        <v>544</v>
      </c>
      <c r="F3675" s="27">
        <v>27717.0</v>
      </c>
      <c r="G3675" s="14">
        <v>50.0</v>
      </c>
      <c r="H3675" s="23" t="s">
        <v>26</v>
      </c>
      <c r="I3675" s="24" t="s">
        <v>27</v>
      </c>
      <c r="J3675" s="19" t="s">
        <v>757</v>
      </c>
      <c r="K3675" s="14">
        <v>10.0</v>
      </c>
      <c r="L3675" s="7"/>
      <c r="M3675" s="7"/>
      <c r="N3675" s="7"/>
      <c r="O3675" s="7"/>
      <c r="P3675" s="7"/>
      <c r="Q3675" s="7"/>
      <c r="R3675" s="7"/>
      <c r="S3675" s="7"/>
      <c r="T3675" s="7"/>
      <c r="U3675" s="7"/>
      <c r="V3675" s="7"/>
      <c r="W3675" s="7"/>
      <c r="X3675" s="7"/>
      <c r="Y3675" s="7"/>
    </row>
    <row r="3676">
      <c r="A3676" s="14" t="s">
        <v>13063</v>
      </c>
      <c r="B3676" s="17" t="s">
        <v>13064</v>
      </c>
      <c r="C3676" s="17" t="s">
        <v>13065</v>
      </c>
      <c r="D3676" s="19" t="s">
        <v>13066</v>
      </c>
      <c r="E3676" s="20" t="s">
        <v>231</v>
      </c>
      <c r="F3676" s="21">
        <v>30287.0</v>
      </c>
      <c r="G3676" s="14">
        <v>43.0</v>
      </c>
      <c r="H3676" s="23" t="s">
        <v>26</v>
      </c>
      <c r="I3676" s="24" t="s">
        <v>33</v>
      </c>
      <c r="J3676" s="19" t="s">
        <v>146</v>
      </c>
      <c r="K3676" s="14">
        <v>6.0</v>
      </c>
      <c r="L3676" s="7"/>
      <c r="M3676" s="7"/>
      <c r="N3676" s="7"/>
      <c r="O3676" s="7"/>
      <c r="P3676" s="7"/>
      <c r="Q3676" s="7"/>
      <c r="R3676" s="7"/>
      <c r="S3676" s="7"/>
      <c r="T3676" s="7"/>
      <c r="U3676" s="7"/>
      <c r="V3676" s="7"/>
      <c r="W3676" s="7"/>
      <c r="X3676" s="7"/>
      <c r="Y3676" s="7"/>
    </row>
    <row r="3677">
      <c r="A3677" s="14" t="s">
        <v>13067</v>
      </c>
      <c r="B3677" s="17" t="s">
        <v>13064</v>
      </c>
      <c r="C3677" s="17" t="s">
        <v>13068</v>
      </c>
      <c r="D3677" s="19" t="s">
        <v>286</v>
      </c>
      <c r="E3677" s="20" t="s">
        <v>231</v>
      </c>
      <c r="F3677" s="21">
        <v>30719.0</v>
      </c>
      <c r="G3677" s="14">
        <v>42.0</v>
      </c>
      <c r="H3677" s="23" t="s">
        <v>26</v>
      </c>
      <c r="I3677" s="24" t="s">
        <v>27</v>
      </c>
      <c r="J3677" s="19" t="s">
        <v>146</v>
      </c>
      <c r="K3677" s="14">
        <v>6.0</v>
      </c>
      <c r="L3677" s="7"/>
      <c r="M3677" s="7"/>
      <c r="N3677" s="7"/>
      <c r="O3677" s="7"/>
      <c r="P3677" s="7"/>
      <c r="Q3677" s="7"/>
      <c r="R3677" s="7"/>
      <c r="S3677" s="7"/>
      <c r="T3677" s="7"/>
      <c r="U3677" s="7"/>
      <c r="V3677" s="7"/>
      <c r="W3677" s="7"/>
      <c r="X3677" s="7"/>
      <c r="Y3677" s="7"/>
    </row>
    <row r="3678">
      <c r="A3678" s="14" t="s">
        <v>13069</v>
      </c>
      <c r="B3678" s="17" t="s">
        <v>13070</v>
      </c>
      <c r="C3678" s="17" t="s">
        <v>13071</v>
      </c>
      <c r="D3678" s="19" t="s">
        <v>13072</v>
      </c>
      <c r="E3678" s="20" t="s">
        <v>650</v>
      </c>
      <c r="F3678" s="21">
        <v>16165.0</v>
      </c>
      <c r="G3678" s="14">
        <v>82.0</v>
      </c>
      <c r="H3678" s="23" t="s">
        <v>26</v>
      </c>
      <c r="I3678" s="24" t="s">
        <v>27</v>
      </c>
      <c r="J3678" s="19" t="s">
        <v>146</v>
      </c>
      <c r="K3678" s="14">
        <v>36.0</v>
      </c>
      <c r="L3678" s="7"/>
      <c r="M3678" s="7"/>
      <c r="N3678" s="7"/>
      <c r="O3678" s="7"/>
      <c r="P3678" s="7"/>
      <c r="Q3678" s="7"/>
      <c r="R3678" s="7"/>
      <c r="S3678" s="7"/>
      <c r="T3678" s="7"/>
      <c r="U3678" s="7"/>
      <c r="V3678" s="7"/>
      <c r="W3678" s="7"/>
      <c r="X3678" s="7"/>
      <c r="Y3678" s="7"/>
    </row>
    <row r="3679">
      <c r="A3679" s="14" t="s">
        <v>13073</v>
      </c>
      <c r="B3679" s="17" t="s">
        <v>13074</v>
      </c>
      <c r="C3679" s="17" t="s">
        <v>13075</v>
      </c>
      <c r="D3679" s="19" t="s">
        <v>7385</v>
      </c>
      <c r="E3679" s="20" t="s">
        <v>104</v>
      </c>
      <c r="F3679" s="27">
        <v>29579.0</v>
      </c>
      <c r="G3679" s="14">
        <v>45.0</v>
      </c>
      <c r="H3679" s="23" t="s">
        <v>26</v>
      </c>
      <c r="I3679" s="24" t="s">
        <v>33</v>
      </c>
      <c r="J3679" s="19" t="s">
        <v>68</v>
      </c>
      <c r="K3679" s="14">
        <v>35.0</v>
      </c>
      <c r="L3679" s="7"/>
      <c r="M3679" s="7"/>
      <c r="N3679" s="7"/>
      <c r="O3679" s="7"/>
      <c r="P3679" s="7"/>
      <c r="Q3679" s="7"/>
      <c r="R3679" s="7"/>
      <c r="S3679" s="7"/>
      <c r="T3679" s="7"/>
      <c r="U3679" s="7"/>
      <c r="V3679" s="7"/>
      <c r="W3679" s="7"/>
      <c r="X3679" s="7"/>
      <c r="Y3679" s="7"/>
    </row>
    <row r="3680">
      <c r="A3680" s="14" t="s">
        <v>13076</v>
      </c>
      <c r="B3680" s="17" t="s">
        <v>13074</v>
      </c>
      <c r="C3680" s="17" t="s">
        <v>13077</v>
      </c>
      <c r="D3680" s="19" t="s">
        <v>13078</v>
      </c>
      <c r="E3680" s="20" t="s">
        <v>104</v>
      </c>
      <c r="F3680" s="21">
        <v>32887.0</v>
      </c>
      <c r="G3680" s="14">
        <v>36.0</v>
      </c>
      <c r="H3680" s="23" t="s">
        <v>26</v>
      </c>
      <c r="I3680" s="24" t="s">
        <v>27</v>
      </c>
      <c r="J3680" s="19" t="s">
        <v>68</v>
      </c>
      <c r="K3680" s="14">
        <v>35.0</v>
      </c>
      <c r="L3680" s="7"/>
      <c r="M3680" s="7"/>
      <c r="N3680" s="7"/>
      <c r="O3680" s="7"/>
      <c r="P3680" s="7"/>
      <c r="Q3680" s="7"/>
      <c r="R3680" s="7"/>
      <c r="S3680" s="7"/>
      <c r="T3680" s="7"/>
      <c r="U3680" s="7"/>
      <c r="V3680" s="7"/>
      <c r="W3680" s="7"/>
      <c r="X3680" s="7"/>
      <c r="Y3680" s="7"/>
    </row>
    <row r="3681">
      <c r="A3681" s="14" t="s">
        <v>13079</v>
      </c>
      <c r="B3681" s="17" t="s">
        <v>13080</v>
      </c>
      <c r="C3681" s="17" t="s">
        <v>13081</v>
      </c>
      <c r="D3681" s="19" t="s">
        <v>13082</v>
      </c>
      <c r="E3681" s="20" t="s">
        <v>13083</v>
      </c>
      <c r="F3681" s="21">
        <v>30902.0</v>
      </c>
      <c r="G3681" s="14">
        <v>42.0</v>
      </c>
      <c r="H3681" s="23" t="s">
        <v>27</v>
      </c>
      <c r="I3681" s="24" t="s">
        <v>27</v>
      </c>
      <c r="J3681" s="19" t="s">
        <v>328</v>
      </c>
      <c r="K3681" s="14">
        <v>22.0</v>
      </c>
      <c r="L3681" s="7"/>
      <c r="M3681" s="7"/>
      <c r="N3681" s="7"/>
      <c r="O3681" s="7"/>
      <c r="P3681" s="7"/>
      <c r="Q3681" s="7"/>
      <c r="R3681" s="7"/>
      <c r="S3681" s="7"/>
      <c r="T3681" s="7"/>
      <c r="U3681" s="7"/>
      <c r="V3681" s="7"/>
      <c r="W3681" s="7"/>
      <c r="X3681" s="7"/>
      <c r="Y3681" s="7"/>
    </row>
    <row r="3682">
      <c r="A3682" s="14" t="s">
        <v>13084</v>
      </c>
      <c r="B3682" s="17" t="s">
        <v>13085</v>
      </c>
      <c r="C3682" s="17" t="s">
        <v>13086</v>
      </c>
      <c r="D3682" s="19" t="s">
        <v>13087</v>
      </c>
      <c r="E3682" s="20" t="s">
        <v>1095</v>
      </c>
      <c r="F3682" s="21">
        <v>18362.0</v>
      </c>
      <c r="G3682" s="14">
        <v>76.0</v>
      </c>
      <c r="H3682" s="23" t="s">
        <v>27</v>
      </c>
      <c r="I3682" s="24" t="s">
        <v>27</v>
      </c>
      <c r="J3682" s="19" t="s">
        <v>328</v>
      </c>
      <c r="K3682" s="14">
        <v>22.0</v>
      </c>
      <c r="L3682" s="7"/>
      <c r="M3682" s="7"/>
      <c r="N3682" s="7"/>
      <c r="O3682" s="7"/>
      <c r="P3682" s="7"/>
      <c r="Q3682" s="7"/>
      <c r="R3682" s="7"/>
      <c r="S3682" s="7"/>
      <c r="T3682" s="7"/>
      <c r="U3682" s="7"/>
      <c r="V3682" s="7"/>
      <c r="W3682" s="7"/>
      <c r="X3682" s="7"/>
      <c r="Y3682" s="7"/>
    </row>
    <row r="3683">
      <c r="A3683" s="14" t="s">
        <v>13088</v>
      </c>
      <c r="B3683" s="17" t="s">
        <v>13089</v>
      </c>
      <c r="C3683" s="17" t="s">
        <v>13090</v>
      </c>
      <c r="D3683" s="19" t="s">
        <v>13091</v>
      </c>
      <c r="E3683" s="20" t="s">
        <v>13092</v>
      </c>
      <c r="F3683" s="21">
        <v>30554.0</v>
      </c>
      <c r="G3683" s="14">
        <v>43.0</v>
      </c>
      <c r="H3683" s="23" t="s">
        <v>26</v>
      </c>
      <c r="I3683" s="24" t="s">
        <v>27</v>
      </c>
      <c r="J3683" s="19" t="s">
        <v>146</v>
      </c>
      <c r="K3683" s="14">
        <v>3.0</v>
      </c>
      <c r="L3683" s="7"/>
      <c r="M3683" s="7"/>
      <c r="N3683" s="7"/>
      <c r="O3683" s="7"/>
      <c r="P3683" s="7"/>
      <c r="Q3683" s="7"/>
      <c r="R3683" s="7"/>
      <c r="S3683" s="7"/>
      <c r="T3683" s="7"/>
      <c r="U3683" s="7"/>
      <c r="V3683" s="7"/>
      <c r="W3683" s="7"/>
      <c r="X3683" s="7"/>
      <c r="Y3683" s="7"/>
    </row>
    <row r="3684">
      <c r="A3684" s="14" t="s">
        <v>13093</v>
      </c>
      <c r="B3684" s="17" t="s">
        <v>13089</v>
      </c>
      <c r="C3684" s="17" t="s">
        <v>13094</v>
      </c>
      <c r="D3684" s="19" t="s">
        <v>5845</v>
      </c>
      <c r="E3684" s="20" t="s">
        <v>880</v>
      </c>
      <c r="F3684" s="21">
        <v>29402.0</v>
      </c>
      <c r="G3684" s="14">
        <v>46.0</v>
      </c>
      <c r="H3684" s="23" t="s">
        <v>26</v>
      </c>
      <c r="I3684" s="24" t="s">
        <v>33</v>
      </c>
      <c r="J3684" s="19" t="s">
        <v>146</v>
      </c>
      <c r="K3684" s="14">
        <v>3.0</v>
      </c>
      <c r="L3684" s="7"/>
      <c r="M3684" s="7"/>
      <c r="N3684" s="7"/>
      <c r="O3684" s="7"/>
      <c r="P3684" s="7"/>
      <c r="Q3684" s="7"/>
      <c r="R3684" s="7"/>
      <c r="S3684" s="7"/>
      <c r="T3684" s="7"/>
      <c r="U3684" s="7"/>
      <c r="V3684" s="7"/>
      <c r="W3684" s="7"/>
      <c r="X3684" s="7"/>
      <c r="Y3684" s="7"/>
    </row>
    <row r="3685">
      <c r="A3685" s="14" t="s">
        <v>13095</v>
      </c>
      <c r="B3685" s="17" t="s">
        <v>13096</v>
      </c>
      <c r="C3685" s="17" t="s">
        <v>13097</v>
      </c>
      <c r="D3685" s="19" t="s">
        <v>13098</v>
      </c>
      <c r="E3685" s="20" t="s">
        <v>53</v>
      </c>
      <c r="F3685" s="21">
        <v>35923.0</v>
      </c>
      <c r="G3685" s="14">
        <v>28.0</v>
      </c>
      <c r="H3685" s="23" t="s">
        <v>100</v>
      </c>
      <c r="I3685" s="24" t="s">
        <v>33</v>
      </c>
      <c r="J3685" s="19" t="s">
        <v>68</v>
      </c>
      <c r="K3685" s="14">
        <v>32.0</v>
      </c>
      <c r="L3685" s="7"/>
      <c r="M3685" s="7"/>
      <c r="N3685" s="7"/>
      <c r="O3685" s="7"/>
      <c r="P3685" s="7"/>
      <c r="Q3685" s="7"/>
      <c r="R3685" s="7"/>
      <c r="S3685" s="7"/>
      <c r="T3685" s="7"/>
      <c r="U3685" s="7"/>
      <c r="V3685" s="7"/>
      <c r="W3685" s="7"/>
      <c r="X3685" s="7"/>
      <c r="Y3685" s="7"/>
    </row>
    <row r="3686">
      <c r="A3686" s="14" t="s">
        <v>13099</v>
      </c>
      <c r="B3686" s="17" t="s">
        <v>13096</v>
      </c>
      <c r="C3686" s="17" t="s">
        <v>13100</v>
      </c>
      <c r="D3686" s="19" t="s">
        <v>13101</v>
      </c>
      <c r="E3686" s="20" t="s">
        <v>67</v>
      </c>
      <c r="F3686" s="21">
        <v>23801.0</v>
      </c>
      <c r="G3686" s="14">
        <v>61.0</v>
      </c>
      <c r="H3686" s="23" t="s">
        <v>26</v>
      </c>
      <c r="I3686" s="24" t="s">
        <v>27</v>
      </c>
      <c r="J3686" s="19" t="s">
        <v>68</v>
      </c>
      <c r="K3686" s="14">
        <v>32.0</v>
      </c>
      <c r="L3686" s="7"/>
      <c r="M3686" s="7"/>
      <c r="N3686" s="7"/>
      <c r="O3686" s="7"/>
      <c r="P3686" s="7"/>
      <c r="Q3686" s="7"/>
      <c r="R3686" s="7"/>
      <c r="S3686" s="7"/>
      <c r="T3686" s="7"/>
      <c r="U3686" s="7"/>
      <c r="V3686" s="7"/>
      <c r="W3686" s="7"/>
      <c r="X3686" s="7"/>
      <c r="Y3686" s="7"/>
    </row>
    <row r="3687">
      <c r="A3687" s="14" t="s">
        <v>13102</v>
      </c>
      <c r="B3687" s="17" t="s">
        <v>13096</v>
      </c>
      <c r="C3687" s="17" t="s">
        <v>13103</v>
      </c>
      <c r="D3687" s="19" t="s">
        <v>13104</v>
      </c>
      <c r="E3687" s="20" t="s">
        <v>67</v>
      </c>
      <c r="F3687" s="21">
        <v>23208.0</v>
      </c>
      <c r="G3687" s="14">
        <v>63.0</v>
      </c>
      <c r="H3687" s="23" t="s">
        <v>26</v>
      </c>
      <c r="I3687" s="24" t="s">
        <v>33</v>
      </c>
      <c r="J3687" s="19" t="s">
        <v>68</v>
      </c>
      <c r="K3687" s="14">
        <v>32.0</v>
      </c>
      <c r="L3687" s="7"/>
      <c r="M3687" s="7"/>
      <c r="N3687" s="7"/>
      <c r="O3687" s="7"/>
      <c r="P3687" s="7"/>
      <c r="Q3687" s="7"/>
      <c r="R3687" s="7"/>
      <c r="S3687" s="7"/>
      <c r="T3687" s="7"/>
      <c r="U3687" s="7"/>
      <c r="V3687" s="7"/>
      <c r="W3687" s="7"/>
      <c r="X3687" s="7"/>
      <c r="Y3687" s="7"/>
    </row>
    <row r="3688">
      <c r="A3688" s="14" t="s">
        <v>13105</v>
      </c>
      <c r="B3688" s="17" t="s">
        <v>13106</v>
      </c>
      <c r="C3688" s="17" t="s">
        <v>13107</v>
      </c>
      <c r="D3688" s="19" t="s">
        <v>13108</v>
      </c>
      <c r="E3688" s="20" t="s">
        <v>104</v>
      </c>
      <c r="F3688" s="21">
        <v>37134.0</v>
      </c>
      <c r="G3688" s="14">
        <v>25.0</v>
      </c>
      <c r="H3688" s="23" t="s">
        <v>100</v>
      </c>
      <c r="I3688" s="24" t="s">
        <v>33</v>
      </c>
      <c r="J3688" s="19" t="s">
        <v>5770</v>
      </c>
      <c r="K3688" s="14">
        <v>25.0</v>
      </c>
      <c r="L3688" s="7"/>
      <c r="M3688" s="7"/>
      <c r="N3688" s="7"/>
      <c r="O3688" s="7"/>
      <c r="P3688" s="7"/>
      <c r="Q3688" s="7"/>
      <c r="R3688" s="7"/>
      <c r="S3688" s="7"/>
      <c r="T3688" s="7"/>
      <c r="U3688" s="7"/>
      <c r="V3688" s="7"/>
      <c r="W3688" s="7"/>
      <c r="X3688" s="7"/>
      <c r="Y3688" s="7"/>
    </row>
    <row r="3689">
      <c r="A3689" s="14" t="s">
        <v>13109</v>
      </c>
      <c r="B3689" s="17" t="s">
        <v>13106</v>
      </c>
      <c r="C3689" s="17" t="s">
        <v>13110</v>
      </c>
      <c r="D3689" s="19" t="s">
        <v>13111</v>
      </c>
      <c r="E3689" s="20" t="s">
        <v>1291</v>
      </c>
      <c r="F3689" s="21">
        <v>27435.0</v>
      </c>
      <c r="G3689" s="14">
        <v>51.0</v>
      </c>
      <c r="H3689" s="23" t="s">
        <v>26</v>
      </c>
      <c r="I3689" s="24" t="s">
        <v>27</v>
      </c>
      <c r="J3689" s="19" t="s">
        <v>5770</v>
      </c>
      <c r="K3689" s="14">
        <v>25.0</v>
      </c>
      <c r="L3689" s="7"/>
      <c r="M3689" s="7"/>
      <c r="N3689" s="7"/>
      <c r="O3689" s="7"/>
      <c r="P3689" s="7"/>
      <c r="Q3689" s="7"/>
      <c r="R3689" s="7"/>
      <c r="S3689" s="7"/>
      <c r="T3689" s="7"/>
      <c r="U3689" s="7"/>
      <c r="V3689" s="7"/>
      <c r="W3689" s="7"/>
      <c r="X3689" s="7"/>
      <c r="Y3689" s="7"/>
    </row>
    <row r="3690">
      <c r="A3690" s="14" t="s">
        <v>13112</v>
      </c>
      <c r="B3690" s="17" t="s">
        <v>13106</v>
      </c>
      <c r="C3690" s="17" t="s">
        <v>13113</v>
      </c>
      <c r="D3690" s="19" t="s">
        <v>684</v>
      </c>
      <c r="E3690" s="20" t="s">
        <v>429</v>
      </c>
      <c r="F3690" s="21">
        <v>24178.0</v>
      </c>
      <c r="G3690" s="14">
        <v>60.0</v>
      </c>
      <c r="H3690" s="23" t="s">
        <v>26</v>
      </c>
      <c r="I3690" s="24" t="s">
        <v>33</v>
      </c>
      <c r="J3690" s="19" t="s">
        <v>5770</v>
      </c>
      <c r="K3690" s="14">
        <v>25.0</v>
      </c>
      <c r="L3690" s="7"/>
      <c r="M3690" s="7"/>
      <c r="N3690" s="7"/>
      <c r="O3690" s="7"/>
      <c r="P3690" s="7"/>
      <c r="Q3690" s="7"/>
      <c r="R3690" s="7"/>
      <c r="S3690" s="7"/>
      <c r="T3690" s="7"/>
      <c r="U3690" s="7"/>
      <c r="V3690" s="7"/>
      <c r="W3690" s="7"/>
      <c r="X3690" s="7"/>
      <c r="Y3690" s="7"/>
    </row>
    <row r="3691">
      <c r="A3691" s="14" t="s">
        <v>13114</v>
      </c>
      <c r="B3691" s="17" t="s">
        <v>13115</v>
      </c>
      <c r="C3691" s="17" t="s">
        <v>13116</v>
      </c>
      <c r="D3691" s="19" t="s">
        <v>13117</v>
      </c>
      <c r="E3691" s="20" t="s">
        <v>138</v>
      </c>
      <c r="F3691" s="21">
        <v>38745.0</v>
      </c>
      <c r="G3691" s="14">
        <v>20.0</v>
      </c>
      <c r="H3691" s="23" t="s">
        <v>100</v>
      </c>
      <c r="I3691" s="24" t="s">
        <v>33</v>
      </c>
      <c r="J3691" s="19" t="s">
        <v>328</v>
      </c>
      <c r="K3691" s="14">
        <v>26.0</v>
      </c>
      <c r="L3691" s="7"/>
      <c r="M3691" s="7"/>
      <c r="N3691" s="7"/>
      <c r="O3691" s="7"/>
      <c r="P3691" s="7"/>
      <c r="Q3691" s="7"/>
      <c r="R3691" s="7"/>
      <c r="S3691" s="7"/>
      <c r="T3691" s="7"/>
      <c r="U3691" s="7"/>
      <c r="V3691" s="7"/>
      <c r="W3691" s="7"/>
      <c r="X3691" s="7"/>
      <c r="Y3691" s="7"/>
    </row>
    <row r="3692">
      <c r="A3692" s="14" t="s">
        <v>13118</v>
      </c>
      <c r="B3692" s="17" t="s">
        <v>13115</v>
      </c>
      <c r="C3692" s="17" t="s">
        <v>13119</v>
      </c>
      <c r="D3692" s="19" t="s">
        <v>13120</v>
      </c>
      <c r="E3692" s="20" t="s">
        <v>3263</v>
      </c>
      <c r="F3692" s="21">
        <v>25297.0</v>
      </c>
      <c r="G3692" s="14">
        <v>57.0</v>
      </c>
      <c r="H3692" s="23" t="s">
        <v>27</v>
      </c>
      <c r="I3692" s="24" t="s">
        <v>33</v>
      </c>
      <c r="J3692" s="19" t="s">
        <v>328</v>
      </c>
      <c r="K3692" s="14">
        <v>26.0</v>
      </c>
      <c r="L3692" s="7"/>
      <c r="M3692" s="7"/>
      <c r="N3692" s="7"/>
      <c r="O3692" s="7"/>
      <c r="P3692" s="7"/>
      <c r="Q3692" s="7"/>
      <c r="R3692" s="7"/>
      <c r="S3692" s="7"/>
      <c r="T3692" s="7"/>
      <c r="U3692" s="7"/>
      <c r="V3692" s="7"/>
      <c r="W3692" s="7"/>
      <c r="X3692" s="7"/>
      <c r="Y3692" s="7"/>
    </row>
    <row r="3693">
      <c r="A3693" s="14" t="s">
        <v>13121</v>
      </c>
      <c r="B3693" s="17" t="s">
        <v>13115</v>
      </c>
      <c r="C3693" s="17" t="s">
        <v>13122</v>
      </c>
      <c r="D3693" s="19" t="s">
        <v>13123</v>
      </c>
      <c r="E3693" s="20" t="s">
        <v>138</v>
      </c>
      <c r="F3693" s="21">
        <v>36656.0</v>
      </c>
      <c r="G3693" s="14">
        <v>26.0</v>
      </c>
      <c r="H3693" s="23" t="s">
        <v>100</v>
      </c>
      <c r="I3693" s="24" t="s">
        <v>33</v>
      </c>
      <c r="J3693" s="19" t="s">
        <v>328</v>
      </c>
      <c r="K3693" s="14">
        <v>26.0</v>
      </c>
      <c r="L3693" s="7"/>
      <c r="M3693" s="7"/>
      <c r="N3693" s="7"/>
      <c r="O3693" s="7"/>
      <c r="P3693" s="7"/>
      <c r="Q3693" s="7"/>
      <c r="R3693" s="7"/>
      <c r="S3693" s="7"/>
      <c r="T3693" s="7"/>
      <c r="U3693" s="7"/>
      <c r="V3693" s="7"/>
      <c r="W3693" s="7"/>
      <c r="X3693" s="7"/>
      <c r="Y3693" s="7"/>
    </row>
    <row r="3694">
      <c r="A3694" s="14" t="s">
        <v>13124</v>
      </c>
      <c r="B3694" s="17" t="s">
        <v>13125</v>
      </c>
      <c r="C3694" s="17" t="s">
        <v>13126</v>
      </c>
      <c r="D3694" s="19" t="s">
        <v>13127</v>
      </c>
      <c r="E3694" s="20" t="s">
        <v>4043</v>
      </c>
      <c r="F3694" s="21">
        <v>28387.0</v>
      </c>
      <c r="G3694" s="14">
        <v>48.0</v>
      </c>
      <c r="H3694" s="23" t="s">
        <v>26</v>
      </c>
      <c r="I3694" s="24" t="s">
        <v>27</v>
      </c>
      <c r="J3694" s="19" t="s">
        <v>1437</v>
      </c>
      <c r="K3694" s="14">
        <v>30.0</v>
      </c>
      <c r="L3694" s="7"/>
      <c r="M3694" s="7"/>
      <c r="N3694" s="7"/>
      <c r="O3694" s="7"/>
      <c r="P3694" s="7"/>
      <c r="Q3694" s="7"/>
      <c r="R3694" s="7"/>
      <c r="S3694" s="7"/>
      <c r="T3694" s="7"/>
      <c r="U3694" s="7"/>
      <c r="V3694" s="7"/>
      <c r="W3694" s="7"/>
      <c r="X3694" s="7"/>
      <c r="Y3694" s="7"/>
    </row>
    <row r="3695">
      <c r="A3695" s="14" t="s">
        <v>13128</v>
      </c>
      <c r="B3695" s="17" t="s">
        <v>13125</v>
      </c>
      <c r="C3695" s="17" t="s">
        <v>13129</v>
      </c>
      <c r="D3695" s="19" t="s">
        <v>13130</v>
      </c>
      <c r="E3695" s="20" t="s">
        <v>104</v>
      </c>
      <c r="F3695" s="21">
        <v>38226.0</v>
      </c>
      <c r="G3695" s="14">
        <v>22.0</v>
      </c>
      <c r="H3695" s="23" t="s">
        <v>100</v>
      </c>
      <c r="I3695" s="24" t="s">
        <v>33</v>
      </c>
      <c r="J3695" s="19" t="s">
        <v>1437</v>
      </c>
      <c r="K3695" s="14">
        <v>30.0</v>
      </c>
      <c r="L3695" s="7"/>
      <c r="M3695" s="7"/>
      <c r="N3695" s="7"/>
      <c r="O3695" s="7"/>
      <c r="P3695" s="7"/>
      <c r="Q3695" s="7"/>
      <c r="R3695" s="7"/>
      <c r="S3695" s="7"/>
      <c r="T3695" s="7"/>
      <c r="U3695" s="7"/>
      <c r="V3695" s="7"/>
      <c r="W3695" s="7"/>
      <c r="X3695" s="7"/>
      <c r="Y3695" s="7"/>
    </row>
    <row r="3696">
      <c r="A3696" s="14" t="s">
        <v>13131</v>
      </c>
      <c r="B3696" s="17" t="s">
        <v>13125</v>
      </c>
      <c r="C3696" s="17" t="s">
        <v>13132</v>
      </c>
      <c r="D3696" s="19" t="s">
        <v>13133</v>
      </c>
      <c r="E3696" s="20" t="s">
        <v>1038</v>
      </c>
      <c r="F3696" s="27">
        <v>25486.0</v>
      </c>
      <c r="G3696" s="14">
        <v>56.0</v>
      </c>
      <c r="H3696" s="23" t="s">
        <v>26</v>
      </c>
      <c r="I3696" s="24" t="s">
        <v>33</v>
      </c>
      <c r="J3696" s="19" t="s">
        <v>1437</v>
      </c>
      <c r="K3696" s="14">
        <v>30.0</v>
      </c>
      <c r="L3696" s="7"/>
      <c r="M3696" s="7"/>
      <c r="N3696" s="7"/>
      <c r="O3696" s="7"/>
      <c r="P3696" s="7"/>
      <c r="Q3696" s="7"/>
      <c r="R3696" s="7"/>
      <c r="S3696" s="7"/>
      <c r="T3696" s="7"/>
      <c r="U3696" s="7"/>
      <c r="V3696" s="7"/>
      <c r="W3696" s="7"/>
      <c r="X3696" s="7"/>
      <c r="Y3696" s="7"/>
    </row>
    <row r="3697">
      <c r="A3697" s="14" t="s">
        <v>13134</v>
      </c>
      <c r="B3697" s="17" t="s">
        <v>13135</v>
      </c>
      <c r="C3697" s="17" t="s">
        <v>13136</v>
      </c>
      <c r="D3697" s="19" t="s">
        <v>13137</v>
      </c>
      <c r="E3697" s="20" t="s">
        <v>104</v>
      </c>
      <c r="F3697" s="21">
        <v>36018.0</v>
      </c>
      <c r="G3697" s="14">
        <v>28.0</v>
      </c>
      <c r="H3697" s="23" t="s">
        <v>100</v>
      </c>
      <c r="I3697" s="24" t="s">
        <v>33</v>
      </c>
      <c r="J3697" s="19" t="s">
        <v>68</v>
      </c>
      <c r="K3697" s="14">
        <v>30.0</v>
      </c>
      <c r="L3697" s="7"/>
      <c r="M3697" s="7"/>
      <c r="N3697" s="7"/>
      <c r="O3697" s="7"/>
      <c r="P3697" s="7"/>
      <c r="Q3697" s="7"/>
      <c r="R3697" s="7"/>
      <c r="S3697" s="7"/>
      <c r="T3697" s="7"/>
      <c r="U3697" s="7"/>
      <c r="V3697" s="7"/>
      <c r="W3697" s="7"/>
      <c r="X3697" s="7"/>
      <c r="Y3697" s="7"/>
    </row>
    <row r="3698">
      <c r="A3698" s="14" t="s">
        <v>13138</v>
      </c>
      <c r="B3698" s="17" t="s">
        <v>13135</v>
      </c>
      <c r="C3698" s="17" t="s">
        <v>13139</v>
      </c>
      <c r="D3698" s="19" t="s">
        <v>13140</v>
      </c>
      <c r="E3698" s="20" t="s">
        <v>104</v>
      </c>
      <c r="F3698" s="21">
        <v>37685.0</v>
      </c>
      <c r="G3698" s="14">
        <v>23.0</v>
      </c>
      <c r="H3698" s="23" t="s">
        <v>100</v>
      </c>
      <c r="I3698" s="24" t="s">
        <v>33</v>
      </c>
      <c r="J3698" s="19" t="s">
        <v>68</v>
      </c>
      <c r="K3698" s="14">
        <v>30.0</v>
      </c>
      <c r="L3698" s="7"/>
      <c r="M3698" s="7"/>
      <c r="N3698" s="7"/>
      <c r="O3698" s="7"/>
      <c r="P3698" s="7"/>
      <c r="Q3698" s="7"/>
      <c r="R3698" s="7"/>
      <c r="S3698" s="7"/>
      <c r="T3698" s="7"/>
      <c r="U3698" s="7"/>
      <c r="V3698" s="7"/>
      <c r="W3698" s="7"/>
      <c r="X3698" s="7"/>
      <c r="Y3698" s="7"/>
    </row>
    <row r="3699">
      <c r="A3699" s="14" t="s">
        <v>13141</v>
      </c>
      <c r="B3699" s="17" t="s">
        <v>13135</v>
      </c>
      <c r="C3699" s="17" t="s">
        <v>13142</v>
      </c>
      <c r="D3699" s="19" t="s">
        <v>6339</v>
      </c>
      <c r="E3699" s="20" t="s">
        <v>624</v>
      </c>
      <c r="F3699" s="21">
        <v>25476.0</v>
      </c>
      <c r="G3699" s="14">
        <v>56.0</v>
      </c>
      <c r="H3699" s="23" t="s">
        <v>26</v>
      </c>
      <c r="I3699" s="24" t="s">
        <v>33</v>
      </c>
      <c r="J3699" s="19" t="s">
        <v>68</v>
      </c>
      <c r="K3699" s="14">
        <v>30.0</v>
      </c>
      <c r="L3699" s="7"/>
      <c r="M3699" s="7"/>
      <c r="N3699" s="7"/>
      <c r="O3699" s="7"/>
      <c r="P3699" s="7"/>
      <c r="Q3699" s="7"/>
      <c r="R3699" s="7"/>
      <c r="S3699" s="7"/>
      <c r="T3699" s="7"/>
      <c r="U3699" s="7"/>
      <c r="V3699" s="7"/>
      <c r="W3699" s="7"/>
      <c r="X3699" s="7"/>
      <c r="Y3699" s="7"/>
    </row>
    <row r="3700">
      <c r="A3700" s="14" t="s">
        <v>13143</v>
      </c>
      <c r="B3700" s="17" t="s">
        <v>13144</v>
      </c>
      <c r="C3700" s="17" t="s">
        <v>13145</v>
      </c>
      <c r="D3700" s="19" t="s">
        <v>13146</v>
      </c>
      <c r="E3700" s="20" t="s">
        <v>13147</v>
      </c>
      <c r="F3700" s="21">
        <v>24478.0</v>
      </c>
      <c r="G3700" s="14">
        <v>59.0</v>
      </c>
      <c r="H3700" s="23" t="s">
        <v>26</v>
      </c>
      <c r="I3700" s="24" t="s">
        <v>33</v>
      </c>
      <c r="J3700" s="19" t="s">
        <v>13148</v>
      </c>
      <c r="K3700" s="14">
        <v>28.0</v>
      </c>
      <c r="L3700" s="7"/>
      <c r="M3700" s="7"/>
      <c r="N3700" s="7"/>
      <c r="O3700" s="7"/>
      <c r="P3700" s="7"/>
      <c r="Q3700" s="7"/>
      <c r="R3700" s="7"/>
      <c r="S3700" s="7"/>
      <c r="T3700" s="7"/>
      <c r="U3700" s="7"/>
      <c r="V3700" s="7"/>
      <c r="W3700" s="7"/>
      <c r="X3700" s="7"/>
      <c r="Y3700" s="7"/>
    </row>
    <row r="3701">
      <c r="A3701" s="14" t="s">
        <v>13149</v>
      </c>
      <c r="B3701" s="17" t="s">
        <v>13144</v>
      </c>
      <c r="C3701" s="17" t="s">
        <v>13150</v>
      </c>
      <c r="D3701" s="19" t="s">
        <v>13151</v>
      </c>
      <c r="E3701" s="20" t="s">
        <v>138</v>
      </c>
      <c r="F3701" s="21">
        <v>39104.0</v>
      </c>
      <c r="G3701" s="14">
        <v>19.0</v>
      </c>
      <c r="H3701" s="23" t="s">
        <v>100</v>
      </c>
      <c r="I3701" s="24" t="s">
        <v>33</v>
      </c>
      <c r="J3701" s="19" t="s">
        <v>13148</v>
      </c>
      <c r="K3701" s="14">
        <v>28.0</v>
      </c>
      <c r="L3701" s="7"/>
      <c r="M3701" s="7"/>
      <c r="N3701" s="7"/>
      <c r="O3701" s="7"/>
      <c r="P3701" s="7"/>
      <c r="Q3701" s="7"/>
      <c r="R3701" s="7"/>
      <c r="S3701" s="7"/>
      <c r="T3701" s="7"/>
      <c r="U3701" s="7"/>
      <c r="V3701" s="7"/>
      <c r="W3701" s="7"/>
      <c r="X3701" s="7"/>
      <c r="Y3701" s="7"/>
    </row>
    <row r="3702">
      <c r="A3702" s="14" t="s">
        <v>13152</v>
      </c>
      <c r="B3702" s="17" t="s">
        <v>13144</v>
      </c>
      <c r="C3702" s="17" t="s">
        <v>13153</v>
      </c>
      <c r="D3702" s="19" t="s">
        <v>13154</v>
      </c>
      <c r="E3702" s="20" t="s">
        <v>8873</v>
      </c>
      <c r="F3702" s="21">
        <v>26803.0</v>
      </c>
      <c r="G3702" s="14">
        <v>53.0</v>
      </c>
      <c r="H3702" s="23" t="s">
        <v>26</v>
      </c>
      <c r="I3702" s="24" t="s">
        <v>27</v>
      </c>
      <c r="J3702" s="19" t="s">
        <v>13148</v>
      </c>
      <c r="K3702" s="14">
        <v>28.0</v>
      </c>
      <c r="L3702" s="7"/>
      <c r="M3702" s="7"/>
      <c r="N3702" s="7"/>
      <c r="O3702" s="7"/>
      <c r="P3702" s="7"/>
      <c r="Q3702" s="7"/>
      <c r="R3702" s="7"/>
      <c r="S3702" s="7"/>
      <c r="T3702" s="7"/>
      <c r="U3702" s="7"/>
      <c r="V3702" s="7"/>
      <c r="W3702" s="7"/>
      <c r="X3702" s="7"/>
      <c r="Y3702" s="7"/>
    </row>
    <row r="3703">
      <c r="A3703" s="14" t="s">
        <v>13155</v>
      </c>
      <c r="B3703" s="17" t="s">
        <v>13144</v>
      </c>
      <c r="C3703" s="17" t="s">
        <v>13156</v>
      </c>
      <c r="D3703" s="19" t="s">
        <v>13157</v>
      </c>
      <c r="E3703" s="20" t="s">
        <v>138</v>
      </c>
      <c r="F3703" s="21">
        <v>35861.0</v>
      </c>
      <c r="G3703" s="14">
        <v>28.0</v>
      </c>
      <c r="H3703" s="23" t="s">
        <v>100</v>
      </c>
      <c r="I3703" s="24" t="s">
        <v>27</v>
      </c>
      <c r="J3703" s="19" t="s">
        <v>13148</v>
      </c>
      <c r="K3703" s="14">
        <v>28.0</v>
      </c>
      <c r="L3703" s="7"/>
      <c r="M3703" s="7"/>
      <c r="N3703" s="7"/>
      <c r="O3703" s="7"/>
      <c r="P3703" s="7"/>
      <c r="Q3703" s="7"/>
      <c r="R3703" s="7"/>
      <c r="S3703" s="7"/>
      <c r="T3703" s="7"/>
      <c r="U3703" s="7"/>
      <c r="V3703" s="7"/>
      <c r="W3703" s="7"/>
      <c r="X3703" s="7"/>
      <c r="Y3703" s="7"/>
    </row>
    <row r="3704">
      <c r="A3704" s="14" t="s">
        <v>13158</v>
      </c>
      <c r="B3704" s="17" t="s">
        <v>13159</v>
      </c>
      <c r="C3704" s="17" t="s">
        <v>13160</v>
      </c>
      <c r="D3704" s="19" t="s">
        <v>1017</v>
      </c>
      <c r="E3704" s="20" t="s">
        <v>632</v>
      </c>
      <c r="F3704" s="21">
        <v>20489.0</v>
      </c>
      <c r="G3704" s="14">
        <v>70.0</v>
      </c>
      <c r="H3704" s="23" t="s">
        <v>26</v>
      </c>
      <c r="I3704" s="24" t="s">
        <v>27</v>
      </c>
      <c r="J3704" s="19" t="s">
        <v>53</v>
      </c>
      <c r="K3704" s="14">
        <v>3.0</v>
      </c>
      <c r="L3704" s="7"/>
      <c r="M3704" s="7"/>
      <c r="N3704" s="7"/>
      <c r="O3704" s="7"/>
      <c r="P3704" s="7"/>
      <c r="Q3704" s="7"/>
      <c r="R3704" s="7"/>
      <c r="S3704" s="7"/>
      <c r="T3704" s="7"/>
      <c r="U3704" s="7"/>
      <c r="V3704" s="7"/>
      <c r="W3704" s="7"/>
      <c r="X3704" s="7"/>
      <c r="Y3704" s="7"/>
    </row>
    <row r="3705">
      <c r="A3705" s="14" t="s">
        <v>13161</v>
      </c>
      <c r="B3705" s="17" t="s">
        <v>13159</v>
      </c>
      <c r="C3705" s="17" t="s">
        <v>13162</v>
      </c>
      <c r="D3705" s="19" t="s">
        <v>13163</v>
      </c>
      <c r="E3705" s="20" t="s">
        <v>337</v>
      </c>
      <c r="F3705" s="21">
        <v>36286.0</v>
      </c>
      <c r="G3705" s="14">
        <v>27.0</v>
      </c>
      <c r="H3705" s="23" t="s">
        <v>100</v>
      </c>
      <c r="I3705" s="24" t="s">
        <v>27</v>
      </c>
      <c r="J3705" s="19" t="s">
        <v>53</v>
      </c>
      <c r="K3705" s="14">
        <v>3.0</v>
      </c>
      <c r="L3705" s="7"/>
      <c r="M3705" s="7"/>
      <c r="N3705" s="7"/>
      <c r="O3705" s="7"/>
      <c r="P3705" s="7"/>
      <c r="Q3705" s="7"/>
      <c r="R3705" s="7"/>
      <c r="S3705" s="7"/>
      <c r="T3705" s="7"/>
      <c r="U3705" s="7"/>
      <c r="V3705" s="7"/>
      <c r="W3705" s="7"/>
      <c r="X3705" s="7"/>
      <c r="Y3705" s="7"/>
    </row>
    <row r="3706">
      <c r="A3706" s="14" t="s">
        <v>13164</v>
      </c>
      <c r="B3706" s="17" t="s">
        <v>13165</v>
      </c>
      <c r="C3706" s="17" t="s">
        <v>13166</v>
      </c>
      <c r="D3706" s="19" t="s">
        <v>13167</v>
      </c>
      <c r="E3706" s="20" t="s">
        <v>1058</v>
      </c>
      <c r="F3706" s="21">
        <v>35901.0</v>
      </c>
      <c r="G3706" s="14">
        <v>28.0</v>
      </c>
      <c r="H3706" s="23" t="s">
        <v>100</v>
      </c>
      <c r="I3706" s="24" t="s">
        <v>33</v>
      </c>
      <c r="J3706" s="19" t="s">
        <v>68</v>
      </c>
      <c r="K3706" s="14">
        <v>31.0</v>
      </c>
      <c r="L3706" s="7"/>
      <c r="M3706" s="7"/>
      <c r="N3706" s="7"/>
      <c r="O3706" s="7"/>
      <c r="P3706" s="7"/>
      <c r="Q3706" s="7"/>
      <c r="R3706" s="7"/>
      <c r="S3706" s="7"/>
      <c r="T3706" s="7"/>
      <c r="U3706" s="7"/>
      <c r="V3706" s="7"/>
      <c r="W3706" s="7"/>
      <c r="X3706" s="7"/>
      <c r="Y3706" s="7"/>
    </row>
    <row r="3707">
      <c r="A3707" s="14" t="s">
        <v>13168</v>
      </c>
      <c r="B3707" s="17" t="s">
        <v>13165</v>
      </c>
      <c r="C3707" s="17" t="s">
        <v>13169</v>
      </c>
      <c r="D3707" s="19" t="s">
        <v>1753</v>
      </c>
      <c r="E3707" s="20" t="s">
        <v>1058</v>
      </c>
      <c r="F3707" s="21">
        <v>25579.0</v>
      </c>
      <c r="G3707" s="14">
        <v>56.0</v>
      </c>
      <c r="H3707" s="23" t="s">
        <v>26</v>
      </c>
      <c r="I3707" s="24" t="s">
        <v>33</v>
      </c>
      <c r="J3707" s="19" t="s">
        <v>68</v>
      </c>
      <c r="K3707" s="14">
        <v>34.0</v>
      </c>
      <c r="L3707" s="7"/>
      <c r="M3707" s="7"/>
      <c r="N3707" s="7"/>
      <c r="O3707" s="7"/>
      <c r="P3707" s="7"/>
      <c r="Q3707" s="7"/>
      <c r="R3707" s="7"/>
      <c r="S3707" s="7"/>
      <c r="T3707" s="7"/>
      <c r="U3707" s="7"/>
      <c r="V3707" s="7"/>
      <c r="W3707" s="7"/>
      <c r="X3707" s="7"/>
      <c r="Y3707" s="7"/>
    </row>
    <row r="3708">
      <c r="A3708" s="14" t="s">
        <v>13170</v>
      </c>
      <c r="B3708" s="17" t="s">
        <v>13165</v>
      </c>
      <c r="C3708" s="17" t="s">
        <v>13171</v>
      </c>
      <c r="D3708" s="19" t="s">
        <v>5348</v>
      </c>
      <c r="E3708" s="20" t="s">
        <v>1058</v>
      </c>
      <c r="F3708" s="27">
        <v>26662.0</v>
      </c>
      <c r="G3708" s="14">
        <v>53.0</v>
      </c>
      <c r="H3708" s="23" t="s">
        <v>26</v>
      </c>
      <c r="I3708" s="24" t="s">
        <v>27</v>
      </c>
      <c r="J3708" s="19" t="s">
        <v>68</v>
      </c>
      <c r="K3708" s="14">
        <v>31.0</v>
      </c>
      <c r="L3708" s="7"/>
      <c r="M3708" s="7"/>
      <c r="N3708" s="7"/>
      <c r="O3708" s="7"/>
      <c r="P3708" s="7"/>
      <c r="Q3708" s="7"/>
      <c r="R3708" s="7"/>
      <c r="S3708" s="7"/>
      <c r="T3708" s="7"/>
      <c r="U3708" s="7"/>
      <c r="V3708" s="7"/>
      <c r="W3708" s="7"/>
      <c r="X3708" s="7"/>
      <c r="Y3708" s="7"/>
    </row>
    <row r="3709">
      <c r="A3709" s="14" t="s">
        <v>13172</v>
      </c>
      <c r="B3709" s="17" t="s">
        <v>13173</v>
      </c>
      <c r="C3709" s="17" t="s">
        <v>13174</v>
      </c>
      <c r="D3709" s="19" t="s">
        <v>2809</v>
      </c>
      <c r="E3709" s="20" t="s">
        <v>4976</v>
      </c>
      <c r="F3709" s="21">
        <v>26744.0</v>
      </c>
      <c r="G3709" s="14">
        <v>53.0</v>
      </c>
      <c r="H3709" s="23" t="s">
        <v>26</v>
      </c>
      <c r="I3709" s="24" t="s">
        <v>33</v>
      </c>
      <c r="J3709" s="19" t="s">
        <v>156</v>
      </c>
      <c r="K3709" s="14">
        <v>35.0</v>
      </c>
      <c r="L3709" s="7"/>
      <c r="M3709" s="7"/>
      <c r="N3709" s="7"/>
      <c r="O3709" s="7"/>
      <c r="P3709" s="7"/>
      <c r="Q3709" s="7"/>
      <c r="R3709" s="7"/>
      <c r="S3709" s="7"/>
      <c r="T3709" s="7"/>
      <c r="U3709" s="7"/>
      <c r="V3709" s="7"/>
      <c r="W3709" s="7"/>
      <c r="X3709" s="7"/>
      <c r="Y3709" s="7"/>
    </row>
    <row r="3710">
      <c r="A3710" s="14" t="s">
        <v>13175</v>
      </c>
      <c r="B3710" s="17" t="s">
        <v>13173</v>
      </c>
      <c r="C3710" s="17" t="s">
        <v>13176</v>
      </c>
      <c r="D3710" s="19" t="s">
        <v>13177</v>
      </c>
      <c r="E3710" s="20" t="s">
        <v>104</v>
      </c>
      <c r="F3710" s="21">
        <v>38745.0</v>
      </c>
      <c r="G3710" s="14">
        <v>20.0</v>
      </c>
      <c r="H3710" s="23" t="s">
        <v>100</v>
      </c>
      <c r="I3710" s="24" t="s">
        <v>27</v>
      </c>
      <c r="J3710" s="19" t="s">
        <v>156</v>
      </c>
      <c r="K3710" s="14">
        <v>35.0</v>
      </c>
      <c r="L3710" s="7"/>
      <c r="M3710" s="7"/>
      <c r="N3710" s="7"/>
      <c r="O3710" s="7"/>
      <c r="P3710" s="7"/>
      <c r="Q3710" s="7"/>
      <c r="R3710" s="7"/>
      <c r="S3710" s="7"/>
      <c r="T3710" s="7"/>
      <c r="U3710" s="7"/>
      <c r="V3710" s="7"/>
      <c r="W3710" s="7"/>
      <c r="X3710" s="7"/>
      <c r="Y3710" s="7"/>
    </row>
    <row r="3711">
      <c r="A3711" s="14" t="s">
        <v>13178</v>
      </c>
      <c r="B3711" s="17" t="s">
        <v>13173</v>
      </c>
      <c r="C3711" s="17" t="s">
        <v>13179</v>
      </c>
      <c r="D3711" s="19" t="s">
        <v>13180</v>
      </c>
      <c r="E3711" s="20" t="s">
        <v>53</v>
      </c>
      <c r="F3711" s="27">
        <v>28074.0</v>
      </c>
      <c r="G3711" s="14">
        <v>49.0</v>
      </c>
      <c r="H3711" s="23" t="s">
        <v>26</v>
      </c>
      <c r="I3711" s="24" t="s">
        <v>27</v>
      </c>
      <c r="J3711" s="19" t="s">
        <v>156</v>
      </c>
      <c r="K3711" s="14">
        <v>35.0</v>
      </c>
      <c r="L3711" s="7"/>
      <c r="M3711" s="7"/>
      <c r="N3711" s="7"/>
      <c r="O3711" s="7"/>
      <c r="P3711" s="7"/>
      <c r="Q3711" s="7"/>
      <c r="R3711" s="7"/>
      <c r="S3711" s="7"/>
      <c r="T3711" s="7"/>
      <c r="U3711" s="7"/>
      <c r="V3711" s="7"/>
      <c r="W3711" s="7"/>
      <c r="X3711" s="7"/>
      <c r="Y3711" s="7"/>
    </row>
    <row r="3712">
      <c r="A3712" s="14" t="s">
        <v>13181</v>
      </c>
      <c r="B3712" s="17" t="s">
        <v>13173</v>
      </c>
      <c r="C3712" s="17" t="s">
        <v>13182</v>
      </c>
      <c r="D3712" s="19" t="s">
        <v>13183</v>
      </c>
      <c r="E3712" s="20" t="s">
        <v>104</v>
      </c>
      <c r="F3712" s="21">
        <v>36197.0</v>
      </c>
      <c r="G3712" s="14">
        <v>27.0</v>
      </c>
      <c r="H3712" s="23" t="s">
        <v>100</v>
      </c>
      <c r="I3712" s="24" t="s">
        <v>27</v>
      </c>
      <c r="J3712" s="19" t="s">
        <v>156</v>
      </c>
      <c r="K3712" s="14">
        <v>35.0</v>
      </c>
      <c r="L3712" s="7"/>
      <c r="M3712" s="7"/>
      <c r="N3712" s="7"/>
      <c r="O3712" s="7"/>
      <c r="P3712" s="7"/>
      <c r="Q3712" s="7"/>
      <c r="R3712" s="7"/>
      <c r="S3712" s="7"/>
      <c r="T3712" s="7"/>
      <c r="U3712" s="7"/>
      <c r="V3712" s="7"/>
      <c r="W3712" s="7"/>
      <c r="X3712" s="7"/>
      <c r="Y3712" s="7"/>
    </row>
    <row r="3713">
      <c r="A3713" s="14" t="s">
        <v>13184</v>
      </c>
      <c r="B3713" s="17" t="s">
        <v>13185</v>
      </c>
      <c r="C3713" s="17" t="s">
        <v>13186</v>
      </c>
      <c r="D3713" s="19" t="s">
        <v>13187</v>
      </c>
      <c r="E3713" s="20" t="s">
        <v>1291</v>
      </c>
      <c r="F3713" s="21">
        <v>16968.0</v>
      </c>
      <c r="G3713" s="14">
        <v>80.0</v>
      </c>
      <c r="H3713" s="23" t="s">
        <v>26</v>
      </c>
      <c r="I3713" s="24" t="s">
        <v>33</v>
      </c>
      <c r="J3713" s="19" t="s">
        <v>156</v>
      </c>
      <c r="K3713" s="14">
        <v>35.0</v>
      </c>
      <c r="L3713" s="7"/>
      <c r="M3713" s="7"/>
      <c r="N3713" s="7"/>
      <c r="O3713" s="7"/>
      <c r="P3713" s="7"/>
      <c r="Q3713" s="7"/>
      <c r="R3713" s="7"/>
      <c r="S3713" s="7"/>
      <c r="T3713" s="7"/>
      <c r="U3713" s="7"/>
      <c r="V3713" s="7"/>
      <c r="W3713" s="7"/>
      <c r="X3713" s="7"/>
      <c r="Y3713" s="7"/>
    </row>
    <row r="3714">
      <c r="A3714" s="14" t="s">
        <v>13188</v>
      </c>
      <c r="B3714" s="17" t="s">
        <v>13185</v>
      </c>
      <c r="C3714" s="17" t="s">
        <v>13189</v>
      </c>
      <c r="D3714" s="19" t="s">
        <v>13190</v>
      </c>
      <c r="E3714" s="20" t="s">
        <v>1291</v>
      </c>
      <c r="F3714" s="21">
        <v>18513.0</v>
      </c>
      <c r="G3714" s="14">
        <v>75.0</v>
      </c>
      <c r="H3714" s="23" t="s">
        <v>26</v>
      </c>
      <c r="I3714" s="24" t="s">
        <v>27</v>
      </c>
      <c r="J3714" s="19" t="s">
        <v>156</v>
      </c>
      <c r="K3714" s="14">
        <v>35.0</v>
      </c>
      <c r="L3714" s="7"/>
      <c r="M3714" s="7"/>
      <c r="N3714" s="7"/>
      <c r="O3714" s="7"/>
      <c r="P3714" s="7"/>
      <c r="Q3714" s="7"/>
      <c r="R3714" s="7"/>
      <c r="S3714" s="7"/>
      <c r="T3714" s="7"/>
      <c r="U3714" s="7"/>
      <c r="V3714" s="7"/>
      <c r="W3714" s="7"/>
      <c r="X3714" s="7"/>
      <c r="Y3714" s="7"/>
    </row>
    <row r="3715">
      <c r="A3715" s="14" t="s">
        <v>13191</v>
      </c>
      <c r="B3715" s="17" t="s">
        <v>13192</v>
      </c>
      <c r="C3715" s="17" t="s">
        <v>13193</v>
      </c>
      <c r="D3715" s="19" t="s">
        <v>1432</v>
      </c>
      <c r="E3715" s="20" t="s">
        <v>13194</v>
      </c>
      <c r="F3715" s="21">
        <v>32928.0</v>
      </c>
      <c r="G3715" s="14">
        <v>36.0</v>
      </c>
      <c r="H3715" s="23" t="s">
        <v>26</v>
      </c>
      <c r="I3715" s="24" t="s">
        <v>27</v>
      </c>
      <c r="J3715" s="19" t="s">
        <v>156</v>
      </c>
      <c r="K3715" s="14">
        <v>35.0</v>
      </c>
      <c r="L3715" s="7"/>
      <c r="M3715" s="7"/>
      <c r="N3715" s="7"/>
      <c r="O3715" s="7"/>
      <c r="P3715" s="7"/>
      <c r="Q3715" s="7"/>
      <c r="R3715" s="7"/>
      <c r="S3715" s="7"/>
      <c r="T3715" s="7"/>
      <c r="U3715" s="7"/>
      <c r="V3715" s="7"/>
      <c r="W3715" s="7"/>
      <c r="X3715" s="7"/>
      <c r="Y3715" s="7"/>
    </row>
    <row r="3716">
      <c r="A3716" s="14" t="s">
        <v>13195</v>
      </c>
      <c r="B3716" s="17" t="s">
        <v>13192</v>
      </c>
      <c r="C3716" s="17" t="s">
        <v>13196</v>
      </c>
      <c r="D3716" s="19" t="s">
        <v>13197</v>
      </c>
      <c r="E3716" s="20" t="s">
        <v>53</v>
      </c>
      <c r="F3716" s="21">
        <v>30744.0</v>
      </c>
      <c r="G3716" s="14">
        <v>42.0</v>
      </c>
      <c r="H3716" s="23" t="s">
        <v>26</v>
      </c>
      <c r="I3716" s="24" t="s">
        <v>33</v>
      </c>
      <c r="J3716" s="19" t="s">
        <v>156</v>
      </c>
      <c r="K3716" s="14">
        <v>35.0</v>
      </c>
      <c r="L3716" s="7"/>
      <c r="M3716" s="7"/>
      <c r="N3716" s="7"/>
      <c r="O3716" s="7"/>
      <c r="P3716" s="7"/>
      <c r="Q3716" s="7"/>
      <c r="R3716" s="7"/>
      <c r="S3716" s="7"/>
      <c r="T3716" s="7"/>
      <c r="U3716" s="7"/>
      <c r="V3716" s="7"/>
      <c r="W3716" s="7"/>
      <c r="X3716" s="7"/>
      <c r="Y3716" s="7"/>
    </row>
    <row r="3717">
      <c r="A3717" s="14" t="s">
        <v>13198</v>
      </c>
      <c r="B3717" s="17" t="s">
        <v>13199</v>
      </c>
      <c r="C3717" s="17" t="s">
        <v>13200</v>
      </c>
      <c r="D3717" s="19" t="s">
        <v>13201</v>
      </c>
      <c r="E3717" s="20" t="s">
        <v>104</v>
      </c>
      <c r="F3717" s="27">
        <v>34624.0</v>
      </c>
      <c r="G3717" s="14">
        <v>31.0</v>
      </c>
      <c r="H3717" s="23" t="s">
        <v>100</v>
      </c>
      <c r="I3717" s="24" t="s">
        <v>33</v>
      </c>
      <c r="J3717" s="19" t="s">
        <v>328</v>
      </c>
      <c r="K3717" s="14">
        <v>25.0</v>
      </c>
      <c r="L3717" s="7"/>
      <c r="M3717" s="7"/>
      <c r="N3717" s="7"/>
      <c r="O3717" s="7"/>
      <c r="P3717" s="7"/>
      <c r="Q3717" s="7"/>
      <c r="R3717" s="7"/>
      <c r="S3717" s="7"/>
      <c r="T3717" s="7"/>
      <c r="U3717" s="7"/>
      <c r="V3717" s="7"/>
      <c r="W3717" s="7"/>
      <c r="X3717" s="7"/>
      <c r="Y3717" s="7"/>
    </row>
    <row r="3718">
      <c r="A3718" s="14" t="s">
        <v>13202</v>
      </c>
      <c r="B3718" s="17" t="s">
        <v>13199</v>
      </c>
      <c r="C3718" s="17" t="s">
        <v>13203</v>
      </c>
      <c r="D3718" s="19" t="s">
        <v>13204</v>
      </c>
      <c r="E3718" s="20" t="s">
        <v>13205</v>
      </c>
      <c r="F3718" s="21">
        <v>20958.0</v>
      </c>
      <c r="G3718" s="14">
        <v>69.0</v>
      </c>
      <c r="H3718" s="23" t="s">
        <v>26</v>
      </c>
      <c r="I3718" s="24" t="s">
        <v>33</v>
      </c>
      <c r="J3718" s="19" t="s">
        <v>328</v>
      </c>
      <c r="K3718" s="14">
        <v>25.0</v>
      </c>
      <c r="L3718" s="7"/>
      <c r="M3718" s="7"/>
      <c r="N3718" s="7"/>
      <c r="O3718" s="7"/>
      <c r="P3718" s="7"/>
      <c r="Q3718" s="7"/>
      <c r="R3718" s="7"/>
      <c r="S3718" s="7"/>
      <c r="T3718" s="7"/>
      <c r="U3718" s="7"/>
      <c r="V3718" s="7"/>
      <c r="W3718" s="7"/>
      <c r="X3718" s="7"/>
      <c r="Y3718" s="7"/>
    </row>
    <row r="3719">
      <c r="A3719" s="14" t="s">
        <v>13206</v>
      </c>
      <c r="B3719" s="17" t="s">
        <v>13199</v>
      </c>
      <c r="C3719" s="17" t="s">
        <v>13207</v>
      </c>
      <c r="D3719" s="19" t="s">
        <v>13208</v>
      </c>
      <c r="E3719" s="20" t="s">
        <v>632</v>
      </c>
      <c r="F3719" s="21">
        <v>22463.0</v>
      </c>
      <c r="G3719" s="14">
        <v>65.0</v>
      </c>
      <c r="H3719" s="23" t="s">
        <v>26</v>
      </c>
      <c r="I3719" s="24" t="s">
        <v>27</v>
      </c>
      <c r="J3719" s="19" t="s">
        <v>328</v>
      </c>
      <c r="K3719" s="14">
        <v>25.0</v>
      </c>
      <c r="L3719" s="7"/>
      <c r="M3719" s="7"/>
      <c r="N3719" s="7"/>
      <c r="O3719" s="7"/>
      <c r="P3719" s="7"/>
      <c r="Q3719" s="7"/>
      <c r="R3719" s="7"/>
      <c r="S3719" s="7"/>
      <c r="T3719" s="7"/>
      <c r="U3719" s="7"/>
      <c r="V3719" s="7"/>
      <c r="W3719" s="7"/>
      <c r="X3719" s="7"/>
      <c r="Y3719" s="7"/>
    </row>
    <row r="3720">
      <c r="A3720" s="14" t="s">
        <v>13209</v>
      </c>
      <c r="B3720" s="17" t="s">
        <v>13210</v>
      </c>
      <c r="C3720" s="17" t="s">
        <v>13211</v>
      </c>
      <c r="D3720" s="19" t="s">
        <v>13212</v>
      </c>
      <c r="E3720" s="20" t="s">
        <v>138</v>
      </c>
      <c r="F3720" s="21">
        <v>36671.0</v>
      </c>
      <c r="G3720" s="14">
        <v>26.0</v>
      </c>
      <c r="H3720" s="23" t="s">
        <v>100</v>
      </c>
      <c r="I3720" s="24" t="s">
        <v>33</v>
      </c>
      <c r="J3720" s="19" t="s">
        <v>13213</v>
      </c>
      <c r="K3720" s="14">
        <v>7.0</v>
      </c>
      <c r="L3720" s="7"/>
      <c r="M3720" s="7"/>
      <c r="N3720" s="7"/>
      <c r="O3720" s="7"/>
      <c r="P3720" s="7"/>
      <c r="Q3720" s="7"/>
      <c r="R3720" s="7"/>
      <c r="S3720" s="7"/>
      <c r="T3720" s="7"/>
      <c r="U3720" s="7"/>
      <c r="V3720" s="7"/>
      <c r="W3720" s="7"/>
      <c r="X3720" s="7"/>
      <c r="Y3720" s="7"/>
    </row>
    <row r="3721">
      <c r="A3721" s="14" t="s">
        <v>13214</v>
      </c>
      <c r="B3721" s="17" t="s">
        <v>13215</v>
      </c>
      <c r="C3721" s="17" t="s">
        <v>13216</v>
      </c>
      <c r="D3721" s="19" t="s">
        <v>13217</v>
      </c>
      <c r="E3721" s="20" t="s">
        <v>53</v>
      </c>
      <c r="F3721" s="27">
        <v>35369.0</v>
      </c>
      <c r="G3721" s="14">
        <v>29.0</v>
      </c>
      <c r="H3721" s="23" t="s">
        <v>26</v>
      </c>
      <c r="I3721" s="24" t="s">
        <v>33</v>
      </c>
      <c r="J3721" s="19" t="s">
        <v>53</v>
      </c>
      <c r="K3721" s="14">
        <v>29.0</v>
      </c>
      <c r="L3721" s="7"/>
      <c r="M3721" s="7"/>
      <c r="N3721" s="7"/>
      <c r="O3721" s="7"/>
      <c r="P3721" s="7"/>
      <c r="Q3721" s="7"/>
      <c r="R3721" s="7"/>
      <c r="S3721" s="7"/>
      <c r="T3721" s="7"/>
      <c r="U3721" s="7"/>
      <c r="V3721" s="7"/>
      <c r="W3721" s="7"/>
      <c r="X3721" s="7"/>
      <c r="Y3721" s="7"/>
    </row>
    <row r="3722">
      <c r="A3722" s="14" t="s">
        <v>13218</v>
      </c>
      <c r="B3722" s="17" t="s">
        <v>13215</v>
      </c>
      <c r="C3722" s="17" t="s">
        <v>13219</v>
      </c>
      <c r="D3722" s="19" t="s">
        <v>13221</v>
      </c>
      <c r="E3722" s="20" t="s">
        <v>195</v>
      </c>
      <c r="F3722" s="21">
        <v>35807.0</v>
      </c>
      <c r="G3722" s="14">
        <v>28.0</v>
      </c>
      <c r="H3722" s="23" t="s">
        <v>26</v>
      </c>
      <c r="I3722" s="24" t="s">
        <v>27</v>
      </c>
      <c r="J3722" s="19" t="s">
        <v>53</v>
      </c>
      <c r="K3722" s="14">
        <v>29.0</v>
      </c>
      <c r="L3722" s="7"/>
      <c r="M3722" s="7"/>
      <c r="N3722" s="7"/>
      <c r="O3722" s="7"/>
      <c r="P3722" s="7"/>
      <c r="Q3722" s="7"/>
      <c r="R3722" s="7"/>
      <c r="S3722" s="7"/>
      <c r="T3722" s="7"/>
      <c r="U3722" s="7"/>
      <c r="V3722" s="7"/>
      <c r="W3722" s="7"/>
      <c r="X3722" s="7"/>
      <c r="Y3722" s="7"/>
    </row>
    <row r="3723">
      <c r="A3723" s="14" t="s">
        <v>13222</v>
      </c>
      <c r="B3723" s="17" t="s">
        <v>13223</v>
      </c>
      <c r="C3723" s="17" t="s">
        <v>13224</v>
      </c>
      <c r="D3723" s="19" t="s">
        <v>13225</v>
      </c>
      <c r="E3723" s="20" t="s">
        <v>104</v>
      </c>
      <c r="F3723" s="21">
        <v>36934.0</v>
      </c>
      <c r="G3723" s="14">
        <v>25.0</v>
      </c>
      <c r="H3723" s="23" t="s">
        <v>100</v>
      </c>
      <c r="I3723" s="24" t="s">
        <v>33</v>
      </c>
      <c r="J3723" s="19" t="s">
        <v>68</v>
      </c>
      <c r="K3723" s="14">
        <v>35.0</v>
      </c>
      <c r="L3723" s="7"/>
      <c r="M3723" s="7"/>
      <c r="N3723" s="7"/>
      <c r="O3723" s="7"/>
      <c r="P3723" s="7"/>
      <c r="Q3723" s="7"/>
      <c r="R3723" s="7"/>
      <c r="S3723" s="7"/>
      <c r="T3723" s="7"/>
      <c r="U3723" s="7"/>
      <c r="V3723" s="7"/>
      <c r="W3723" s="7"/>
      <c r="X3723" s="7"/>
      <c r="Y3723" s="7"/>
    </row>
    <row r="3724">
      <c r="A3724" s="14" t="s">
        <v>13226</v>
      </c>
      <c r="B3724" s="17" t="s">
        <v>13223</v>
      </c>
      <c r="C3724" s="17" t="s">
        <v>13227</v>
      </c>
      <c r="D3724" s="19" t="s">
        <v>13228</v>
      </c>
      <c r="E3724" s="20" t="s">
        <v>138</v>
      </c>
      <c r="F3724" s="21">
        <v>38907.0</v>
      </c>
      <c r="G3724" s="14">
        <v>20.0</v>
      </c>
      <c r="H3724" s="23" t="s">
        <v>100</v>
      </c>
      <c r="I3724" s="24" t="s">
        <v>27</v>
      </c>
      <c r="J3724" s="19" t="s">
        <v>68</v>
      </c>
      <c r="K3724" s="14">
        <v>35.0</v>
      </c>
      <c r="L3724" s="7"/>
      <c r="M3724" s="7"/>
      <c r="N3724" s="7"/>
      <c r="O3724" s="7"/>
      <c r="P3724" s="7"/>
      <c r="Q3724" s="7"/>
      <c r="R3724" s="7"/>
      <c r="S3724" s="7"/>
      <c r="T3724" s="7"/>
      <c r="U3724" s="7"/>
      <c r="V3724" s="7"/>
      <c r="W3724" s="7"/>
      <c r="X3724" s="7"/>
      <c r="Y3724" s="7"/>
    </row>
    <row r="3725">
      <c r="A3725" s="14" t="s">
        <v>13229</v>
      </c>
      <c r="B3725" s="17" t="s">
        <v>13223</v>
      </c>
      <c r="C3725" s="17" t="s">
        <v>13230</v>
      </c>
      <c r="D3725" s="19" t="s">
        <v>6134</v>
      </c>
      <c r="E3725" s="20" t="s">
        <v>67</v>
      </c>
      <c r="F3725" s="21">
        <v>24929.0</v>
      </c>
      <c r="G3725" s="14">
        <v>58.0</v>
      </c>
      <c r="H3725" s="23" t="s">
        <v>26</v>
      </c>
      <c r="I3725" s="24" t="s">
        <v>33</v>
      </c>
      <c r="J3725" s="19" t="s">
        <v>68</v>
      </c>
      <c r="K3725" s="14">
        <v>35.0</v>
      </c>
      <c r="L3725" s="7"/>
      <c r="M3725" s="7"/>
      <c r="N3725" s="7"/>
      <c r="O3725" s="7"/>
      <c r="P3725" s="7"/>
      <c r="Q3725" s="7"/>
      <c r="R3725" s="7"/>
      <c r="S3725" s="7"/>
      <c r="T3725" s="7"/>
      <c r="U3725" s="7"/>
      <c r="V3725" s="7"/>
      <c r="W3725" s="7"/>
      <c r="X3725" s="7"/>
      <c r="Y3725" s="7"/>
    </row>
    <row r="3726">
      <c r="A3726" s="14" t="s">
        <v>13231</v>
      </c>
      <c r="B3726" s="17" t="s">
        <v>13223</v>
      </c>
      <c r="C3726" s="17" t="s">
        <v>13232</v>
      </c>
      <c r="D3726" s="19" t="s">
        <v>5493</v>
      </c>
      <c r="E3726" s="20" t="s">
        <v>104</v>
      </c>
      <c r="F3726" s="21">
        <v>28321.0</v>
      </c>
      <c r="G3726" s="14">
        <v>49.0</v>
      </c>
      <c r="H3726" s="23" t="s">
        <v>26</v>
      </c>
      <c r="I3726" s="24" t="s">
        <v>27</v>
      </c>
      <c r="J3726" s="19" t="s">
        <v>68</v>
      </c>
      <c r="K3726" s="14">
        <v>35.0</v>
      </c>
      <c r="L3726" s="7"/>
      <c r="M3726" s="7"/>
      <c r="N3726" s="7"/>
      <c r="O3726" s="7"/>
      <c r="P3726" s="7"/>
      <c r="Q3726" s="7"/>
      <c r="R3726" s="7"/>
      <c r="S3726" s="7"/>
      <c r="T3726" s="7"/>
      <c r="U3726" s="7"/>
      <c r="V3726" s="7"/>
      <c r="W3726" s="7"/>
      <c r="X3726" s="7"/>
      <c r="Y3726" s="7"/>
    </row>
    <row r="3727">
      <c r="A3727" s="14" t="s">
        <v>13233</v>
      </c>
      <c r="B3727" s="17" t="s">
        <v>13234</v>
      </c>
      <c r="C3727" s="17" t="s">
        <v>13235</v>
      </c>
      <c r="D3727" s="19" t="s">
        <v>13236</v>
      </c>
      <c r="E3727" s="20" t="s">
        <v>1291</v>
      </c>
      <c r="F3727" s="21">
        <v>20333.0</v>
      </c>
      <c r="G3727" s="14">
        <v>70.0</v>
      </c>
      <c r="H3727" s="23" t="s">
        <v>26</v>
      </c>
      <c r="I3727" s="24" t="s">
        <v>33</v>
      </c>
      <c r="J3727" s="19" t="s">
        <v>68</v>
      </c>
      <c r="K3727" s="14">
        <v>34.0</v>
      </c>
      <c r="L3727" s="7"/>
      <c r="M3727" s="7"/>
      <c r="N3727" s="7"/>
      <c r="O3727" s="7"/>
      <c r="P3727" s="7"/>
      <c r="Q3727" s="7"/>
      <c r="R3727" s="7"/>
      <c r="S3727" s="7"/>
      <c r="T3727" s="7"/>
      <c r="U3727" s="7"/>
      <c r="V3727" s="7"/>
      <c r="W3727" s="7"/>
      <c r="X3727" s="7"/>
      <c r="Y3727" s="7"/>
    </row>
    <row r="3728">
      <c r="A3728" s="14" t="s">
        <v>13237</v>
      </c>
      <c r="B3728" s="17" t="s">
        <v>13234</v>
      </c>
      <c r="C3728" s="17" t="s">
        <v>13238</v>
      </c>
      <c r="D3728" s="19" t="s">
        <v>6171</v>
      </c>
      <c r="E3728" s="20" t="s">
        <v>67</v>
      </c>
      <c r="F3728" s="21">
        <v>24283.0</v>
      </c>
      <c r="G3728" s="14">
        <v>60.0</v>
      </c>
      <c r="H3728" s="23" t="s">
        <v>26</v>
      </c>
      <c r="I3728" s="24" t="s">
        <v>27</v>
      </c>
      <c r="J3728" s="19" t="s">
        <v>68</v>
      </c>
      <c r="K3728" s="14">
        <v>34.0</v>
      </c>
      <c r="L3728" s="7"/>
      <c r="M3728" s="7"/>
      <c r="N3728" s="7"/>
      <c r="O3728" s="7"/>
      <c r="P3728" s="7"/>
      <c r="Q3728" s="7"/>
      <c r="R3728" s="7"/>
      <c r="S3728" s="7"/>
      <c r="T3728" s="7"/>
      <c r="U3728" s="7"/>
      <c r="V3728" s="7"/>
      <c r="W3728" s="7"/>
      <c r="X3728" s="7"/>
      <c r="Y3728" s="7"/>
    </row>
    <row r="3729">
      <c r="A3729" s="14" t="s">
        <v>13239</v>
      </c>
      <c r="B3729" s="17" t="s">
        <v>13240</v>
      </c>
      <c r="C3729" s="17" t="s">
        <v>13241</v>
      </c>
      <c r="D3729" s="19" t="s">
        <v>13242</v>
      </c>
      <c r="E3729" s="20" t="s">
        <v>67</v>
      </c>
      <c r="F3729" s="21">
        <v>23898.0</v>
      </c>
      <c r="G3729" s="14">
        <v>61.0</v>
      </c>
      <c r="H3729" s="23" t="s">
        <v>26</v>
      </c>
      <c r="I3729" s="24" t="s">
        <v>33</v>
      </c>
      <c r="J3729" s="19" t="s">
        <v>68</v>
      </c>
      <c r="K3729" s="14">
        <v>35.0</v>
      </c>
      <c r="L3729" s="7"/>
      <c r="M3729" s="7"/>
      <c r="N3729" s="7"/>
      <c r="O3729" s="7"/>
      <c r="P3729" s="7"/>
      <c r="Q3729" s="7"/>
      <c r="R3729" s="7"/>
      <c r="S3729" s="7"/>
      <c r="T3729" s="7"/>
      <c r="U3729" s="7"/>
      <c r="V3729" s="7"/>
      <c r="W3729" s="7"/>
      <c r="X3729" s="7"/>
      <c r="Y3729" s="7"/>
    </row>
    <row r="3730">
      <c r="A3730" s="14" t="s">
        <v>13243</v>
      </c>
      <c r="B3730" s="17" t="s">
        <v>13240</v>
      </c>
      <c r="C3730" s="17" t="s">
        <v>13244</v>
      </c>
      <c r="D3730" s="19" t="s">
        <v>13245</v>
      </c>
      <c r="E3730" s="20" t="s">
        <v>53</v>
      </c>
      <c r="F3730" s="21">
        <v>38973.0</v>
      </c>
      <c r="G3730" s="14">
        <v>19.0</v>
      </c>
      <c r="H3730" s="23" t="s">
        <v>100</v>
      </c>
      <c r="I3730" s="24" t="s">
        <v>27</v>
      </c>
      <c r="J3730" s="19" t="s">
        <v>68</v>
      </c>
      <c r="K3730" s="14">
        <v>35.0</v>
      </c>
      <c r="L3730" s="7"/>
      <c r="M3730" s="7"/>
      <c r="N3730" s="7"/>
      <c r="O3730" s="7"/>
      <c r="P3730" s="7"/>
      <c r="Q3730" s="7"/>
      <c r="R3730" s="7"/>
      <c r="S3730" s="7"/>
      <c r="T3730" s="7"/>
      <c r="U3730" s="7"/>
      <c r="V3730" s="7"/>
      <c r="W3730" s="7"/>
      <c r="X3730" s="7"/>
      <c r="Y3730" s="7"/>
    </row>
    <row r="3731">
      <c r="A3731" s="14" t="s">
        <v>13246</v>
      </c>
      <c r="B3731" s="17" t="s">
        <v>13240</v>
      </c>
      <c r="C3731" s="17" t="s">
        <v>13247</v>
      </c>
      <c r="D3731" s="19" t="s">
        <v>9601</v>
      </c>
      <c r="E3731" s="20" t="s">
        <v>13248</v>
      </c>
      <c r="F3731" s="21">
        <v>30845.0</v>
      </c>
      <c r="G3731" s="14">
        <v>42.0</v>
      </c>
      <c r="H3731" s="23" t="s">
        <v>26</v>
      </c>
      <c r="I3731" s="24" t="s">
        <v>27</v>
      </c>
      <c r="J3731" s="19" t="s">
        <v>68</v>
      </c>
      <c r="K3731" s="14">
        <v>35.0</v>
      </c>
      <c r="L3731" s="7"/>
      <c r="M3731" s="7"/>
      <c r="N3731" s="7"/>
      <c r="O3731" s="7"/>
      <c r="P3731" s="7"/>
      <c r="Q3731" s="7"/>
      <c r="R3731" s="7"/>
      <c r="S3731" s="7"/>
      <c r="T3731" s="7"/>
      <c r="U3731" s="7"/>
      <c r="V3731" s="7"/>
      <c r="W3731" s="7"/>
      <c r="X3731" s="7"/>
      <c r="Y3731" s="7"/>
    </row>
    <row r="3732">
      <c r="A3732" s="14" t="s">
        <v>13249</v>
      </c>
      <c r="B3732" s="17" t="s">
        <v>13250</v>
      </c>
      <c r="C3732" s="17" t="s">
        <v>13251</v>
      </c>
      <c r="D3732" s="19" t="s">
        <v>13252</v>
      </c>
      <c r="E3732" s="20" t="s">
        <v>2551</v>
      </c>
      <c r="F3732" s="21">
        <v>35079.0</v>
      </c>
      <c r="G3732" s="14">
        <v>30.0</v>
      </c>
      <c r="H3732" s="23" t="s">
        <v>100</v>
      </c>
      <c r="I3732" s="24" t="s">
        <v>27</v>
      </c>
      <c r="J3732" s="19" t="s">
        <v>328</v>
      </c>
      <c r="K3732" s="14">
        <v>21.0</v>
      </c>
      <c r="L3732" s="7"/>
      <c r="M3732" s="7"/>
      <c r="N3732" s="7"/>
      <c r="O3732" s="7"/>
      <c r="P3732" s="7"/>
      <c r="Q3732" s="7"/>
      <c r="R3732" s="7"/>
      <c r="S3732" s="7"/>
      <c r="T3732" s="7"/>
      <c r="U3732" s="7"/>
      <c r="V3732" s="7"/>
      <c r="W3732" s="7"/>
      <c r="X3732" s="7"/>
      <c r="Y3732" s="7"/>
    </row>
    <row r="3733">
      <c r="A3733" s="14" t="s">
        <v>13253</v>
      </c>
      <c r="B3733" s="17" t="s">
        <v>13250</v>
      </c>
      <c r="C3733" s="17" t="s">
        <v>13254</v>
      </c>
      <c r="D3733" s="19" t="s">
        <v>13255</v>
      </c>
      <c r="E3733" s="20" t="s">
        <v>4976</v>
      </c>
      <c r="F3733" s="21">
        <v>32244.0</v>
      </c>
      <c r="G3733" s="14">
        <v>38.0</v>
      </c>
      <c r="H3733" s="23" t="s">
        <v>26</v>
      </c>
      <c r="I3733" s="24" t="s">
        <v>27</v>
      </c>
      <c r="J3733" s="19" t="s">
        <v>328</v>
      </c>
      <c r="K3733" s="14">
        <v>21.0</v>
      </c>
      <c r="L3733" s="7"/>
      <c r="M3733" s="7"/>
      <c r="N3733" s="7"/>
      <c r="O3733" s="7"/>
      <c r="P3733" s="7"/>
      <c r="Q3733" s="7"/>
      <c r="R3733" s="7"/>
      <c r="S3733" s="7"/>
      <c r="T3733" s="7"/>
      <c r="U3733" s="7"/>
      <c r="V3733" s="7"/>
      <c r="W3733" s="7"/>
      <c r="X3733" s="7"/>
      <c r="Y3733" s="7"/>
    </row>
    <row r="3734">
      <c r="A3734" s="14" t="s">
        <v>13256</v>
      </c>
      <c r="B3734" s="17" t="s">
        <v>13250</v>
      </c>
      <c r="C3734" s="17" t="s">
        <v>13257</v>
      </c>
      <c r="D3734" s="19" t="s">
        <v>6611</v>
      </c>
      <c r="E3734" s="20" t="s">
        <v>632</v>
      </c>
      <c r="F3734" s="21">
        <v>18810.0</v>
      </c>
      <c r="G3734" s="14">
        <v>75.0</v>
      </c>
      <c r="H3734" s="23" t="s">
        <v>26</v>
      </c>
      <c r="I3734" s="24" t="s">
        <v>33</v>
      </c>
      <c r="J3734" s="19" t="s">
        <v>328</v>
      </c>
      <c r="K3734" s="14">
        <v>21.0</v>
      </c>
      <c r="L3734" s="7"/>
      <c r="M3734" s="7"/>
      <c r="N3734" s="7"/>
      <c r="O3734" s="7"/>
      <c r="P3734" s="7"/>
      <c r="Q3734" s="7"/>
      <c r="R3734" s="7"/>
      <c r="S3734" s="7"/>
      <c r="T3734" s="7"/>
      <c r="U3734" s="7"/>
      <c r="V3734" s="7"/>
      <c r="W3734" s="7"/>
      <c r="X3734" s="7"/>
      <c r="Y3734" s="7"/>
    </row>
    <row r="3735">
      <c r="A3735" s="14" t="s">
        <v>13258</v>
      </c>
      <c r="B3735" s="17" t="s">
        <v>13259</v>
      </c>
      <c r="C3735" s="17" t="s">
        <v>13260</v>
      </c>
      <c r="D3735" s="19" t="s">
        <v>13261</v>
      </c>
      <c r="E3735" s="20" t="s">
        <v>1291</v>
      </c>
      <c r="F3735" s="21">
        <v>25361.0</v>
      </c>
      <c r="G3735" s="14">
        <v>57.0</v>
      </c>
      <c r="H3735" s="23" t="s">
        <v>26</v>
      </c>
      <c r="I3735" s="24" t="s">
        <v>27</v>
      </c>
      <c r="J3735" s="19" t="s">
        <v>68</v>
      </c>
      <c r="K3735" s="14">
        <v>34.0</v>
      </c>
      <c r="L3735" s="7"/>
      <c r="M3735" s="7"/>
      <c r="N3735" s="7"/>
      <c r="O3735" s="7"/>
      <c r="P3735" s="7"/>
      <c r="Q3735" s="7"/>
      <c r="R3735" s="7"/>
      <c r="S3735" s="7"/>
      <c r="T3735" s="7"/>
      <c r="U3735" s="7"/>
      <c r="V3735" s="7"/>
      <c r="W3735" s="7"/>
      <c r="X3735" s="7"/>
      <c r="Y3735" s="7"/>
    </row>
    <row r="3736">
      <c r="A3736" s="14" t="s">
        <v>13262</v>
      </c>
      <c r="B3736" s="17" t="s">
        <v>13259</v>
      </c>
      <c r="C3736" s="17" t="s">
        <v>13263</v>
      </c>
      <c r="D3736" s="19" t="s">
        <v>13264</v>
      </c>
      <c r="E3736" s="20" t="s">
        <v>10266</v>
      </c>
      <c r="F3736" s="21">
        <v>22333.0</v>
      </c>
      <c r="G3736" s="14">
        <v>65.0</v>
      </c>
      <c r="H3736" s="23" t="s">
        <v>26</v>
      </c>
      <c r="I3736" s="24" t="s">
        <v>33</v>
      </c>
      <c r="J3736" s="19" t="s">
        <v>68</v>
      </c>
      <c r="K3736" s="14">
        <v>34.0</v>
      </c>
      <c r="L3736" s="7"/>
      <c r="M3736" s="7"/>
      <c r="N3736" s="7"/>
      <c r="O3736" s="7"/>
      <c r="P3736" s="7"/>
      <c r="Q3736" s="7"/>
      <c r="R3736" s="7"/>
      <c r="S3736" s="7"/>
      <c r="T3736" s="7"/>
      <c r="U3736" s="7"/>
      <c r="V3736" s="7"/>
      <c r="W3736" s="7"/>
      <c r="X3736" s="7"/>
      <c r="Y3736" s="7"/>
    </row>
    <row r="3737">
      <c r="A3737" s="14" t="s">
        <v>13265</v>
      </c>
      <c r="B3737" s="17" t="s">
        <v>13266</v>
      </c>
      <c r="C3737" s="17" t="s">
        <v>13267</v>
      </c>
      <c r="D3737" s="19" t="s">
        <v>13268</v>
      </c>
      <c r="E3737" s="20" t="s">
        <v>210</v>
      </c>
      <c r="F3737" s="21">
        <v>30902.0</v>
      </c>
      <c r="G3737" s="14">
        <v>42.0</v>
      </c>
      <c r="H3737" s="23" t="s">
        <v>26</v>
      </c>
      <c r="I3737" s="24" t="s">
        <v>33</v>
      </c>
      <c r="J3737" s="19" t="s">
        <v>13269</v>
      </c>
      <c r="K3737" s="14">
        <v>35.0</v>
      </c>
      <c r="L3737" s="7"/>
      <c r="M3737" s="7"/>
      <c r="N3737" s="7"/>
      <c r="O3737" s="7"/>
      <c r="P3737" s="7"/>
      <c r="Q3737" s="7"/>
      <c r="R3737" s="7"/>
      <c r="S3737" s="7"/>
      <c r="T3737" s="7"/>
      <c r="U3737" s="7"/>
      <c r="V3737" s="7"/>
      <c r="W3737" s="7"/>
      <c r="X3737" s="7"/>
      <c r="Y3737" s="7"/>
    </row>
    <row r="3738">
      <c r="A3738" s="14" t="s">
        <v>13270</v>
      </c>
      <c r="B3738" s="17" t="s">
        <v>13266</v>
      </c>
      <c r="C3738" s="17" t="s">
        <v>13271</v>
      </c>
      <c r="D3738" s="19" t="s">
        <v>103</v>
      </c>
      <c r="E3738" s="20" t="s">
        <v>104</v>
      </c>
      <c r="F3738" s="21">
        <v>32949.0</v>
      </c>
      <c r="G3738" s="14">
        <v>36.0</v>
      </c>
      <c r="H3738" s="23" t="s">
        <v>26</v>
      </c>
      <c r="I3738" s="24" t="s">
        <v>27</v>
      </c>
      <c r="J3738" s="19" t="s">
        <v>328</v>
      </c>
      <c r="K3738" s="14">
        <v>27.0</v>
      </c>
      <c r="L3738" s="7"/>
      <c r="M3738" s="7"/>
      <c r="N3738" s="7"/>
      <c r="O3738" s="7"/>
      <c r="P3738" s="7"/>
      <c r="Q3738" s="7"/>
      <c r="R3738" s="7"/>
      <c r="S3738" s="7"/>
      <c r="T3738" s="7"/>
      <c r="U3738" s="7"/>
      <c r="V3738" s="7"/>
      <c r="W3738" s="7"/>
      <c r="X3738" s="7"/>
      <c r="Y3738" s="7"/>
    </row>
    <row r="3739">
      <c r="A3739" s="14" t="s">
        <v>13272</v>
      </c>
      <c r="B3739" s="17" t="s">
        <v>13273</v>
      </c>
      <c r="C3739" s="17" t="s">
        <v>13274</v>
      </c>
      <c r="D3739" s="19" t="s">
        <v>13275</v>
      </c>
      <c r="E3739" s="20" t="s">
        <v>1038</v>
      </c>
      <c r="F3739" s="21">
        <v>25039.0</v>
      </c>
      <c r="G3739" s="14">
        <v>58.0</v>
      </c>
      <c r="H3739" s="23" t="s">
        <v>26</v>
      </c>
      <c r="I3739" s="24" t="s">
        <v>33</v>
      </c>
      <c r="J3739" s="19" t="s">
        <v>328</v>
      </c>
      <c r="K3739" s="14">
        <v>23.0</v>
      </c>
      <c r="L3739" s="7"/>
      <c r="M3739" s="7"/>
      <c r="N3739" s="7"/>
      <c r="O3739" s="7"/>
      <c r="P3739" s="7"/>
      <c r="Q3739" s="7"/>
      <c r="R3739" s="7"/>
      <c r="S3739" s="7"/>
      <c r="T3739" s="7"/>
      <c r="U3739" s="7"/>
      <c r="V3739" s="7"/>
      <c r="W3739" s="7"/>
      <c r="X3739" s="7"/>
      <c r="Y3739" s="7"/>
    </row>
    <row r="3740">
      <c r="A3740" s="14" t="s">
        <v>13276</v>
      </c>
      <c r="B3740" s="17" t="s">
        <v>13273</v>
      </c>
      <c r="C3740" s="17" t="s">
        <v>13277</v>
      </c>
      <c r="D3740" s="19" t="s">
        <v>9388</v>
      </c>
      <c r="E3740" s="20" t="s">
        <v>1038</v>
      </c>
      <c r="F3740" s="21">
        <v>22116.0</v>
      </c>
      <c r="G3740" s="14">
        <v>66.0</v>
      </c>
      <c r="H3740" s="23" t="s">
        <v>26</v>
      </c>
      <c r="I3740" s="24" t="s">
        <v>27</v>
      </c>
      <c r="J3740" s="19" t="s">
        <v>328</v>
      </c>
      <c r="K3740" s="14">
        <v>23.0</v>
      </c>
      <c r="L3740" s="7"/>
      <c r="M3740" s="7"/>
      <c r="N3740" s="7"/>
      <c r="O3740" s="7"/>
      <c r="P3740" s="7"/>
      <c r="Q3740" s="7"/>
      <c r="R3740" s="7"/>
      <c r="S3740" s="7"/>
      <c r="T3740" s="7"/>
      <c r="U3740" s="7"/>
      <c r="V3740" s="7"/>
      <c r="W3740" s="7"/>
      <c r="X3740" s="7"/>
      <c r="Y3740" s="7"/>
    </row>
    <row r="3741">
      <c r="A3741" s="14" t="s">
        <v>13278</v>
      </c>
      <c r="B3741" s="17" t="s">
        <v>13279</v>
      </c>
      <c r="C3741" s="17" t="s">
        <v>13280</v>
      </c>
      <c r="D3741" s="19" t="s">
        <v>13281</v>
      </c>
      <c r="E3741" s="20" t="s">
        <v>624</v>
      </c>
      <c r="F3741" s="21">
        <v>27570.0</v>
      </c>
      <c r="G3741" s="14">
        <v>51.0</v>
      </c>
      <c r="H3741" s="23" t="s">
        <v>26</v>
      </c>
      <c r="I3741" s="24" t="s">
        <v>33</v>
      </c>
      <c r="J3741" s="19" t="s">
        <v>328</v>
      </c>
      <c r="K3741" s="14">
        <v>21.0</v>
      </c>
      <c r="L3741" s="7"/>
      <c r="M3741" s="7"/>
      <c r="N3741" s="7"/>
      <c r="O3741" s="7"/>
      <c r="P3741" s="7"/>
      <c r="Q3741" s="7"/>
      <c r="R3741" s="7"/>
      <c r="S3741" s="7"/>
      <c r="T3741" s="7"/>
      <c r="U3741" s="7"/>
      <c r="V3741" s="7"/>
      <c r="W3741" s="7"/>
      <c r="X3741" s="7"/>
      <c r="Y3741" s="7"/>
    </row>
    <row r="3742">
      <c r="A3742" s="14" t="s">
        <v>13282</v>
      </c>
      <c r="B3742" s="17" t="s">
        <v>13279</v>
      </c>
      <c r="C3742" s="17" t="s">
        <v>13283</v>
      </c>
      <c r="D3742" s="19" t="s">
        <v>13284</v>
      </c>
      <c r="E3742" s="20" t="s">
        <v>104</v>
      </c>
      <c r="F3742" s="27">
        <v>38654.0</v>
      </c>
      <c r="G3742" s="14">
        <v>20.0</v>
      </c>
      <c r="H3742" s="23" t="s">
        <v>100</v>
      </c>
      <c r="I3742" s="24" t="s">
        <v>33</v>
      </c>
      <c r="J3742" s="19" t="s">
        <v>328</v>
      </c>
      <c r="K3742" s="14">
        <v>21.0</v>
      </c>
      <c r="L3742" s="7"/>
      <c r="M3742" s="7"/>
      <c r="N3742" s="7"/>
      <c r="O3742" s="7"/>
      <c r="P3742" s="7"/>
      <c r="Q3742" s="7"/>
      <c r="R3742" s="7"/>
      <c r="S3742" s="7"/>
      <c r="T3742" s="7"/>
      <c r="U3742" s="7"/>
      <c r="V3742" s="7"/>
      <c r="W3742" s="7"/>
      <c r="X3742" s="7"/>
      <c r="Y3742" s="7"/>
    </row>
    <row r="3743">
      <c r="A3743" s="14" t="s">
        <v>13285</v>
      </c>
      <c r="B3743" s="17" t="s">
        <v>13279</v>
      </c>
      <c r="C3743" s="17" t="s">
        <v>13286</v>
      </c>
      <c r="D3743" s="19" t="s">
        <v>13287</v>
      </c>
      <c r="E3743" s="20" t="s">
        <v>372</v>
      </c>
      <c r="F3743" s="21">
        <v>30493.0</v>
      </c>
      <c r="G3743" s="14">
        <v>43.0</v>
      </c>
      <c r="H3743" s="23" t="s">
        <v>26</v>
      </c>
      <c r="I3743" s="24" t="s">
        <v>27</v>
      </c>
      <c r="J3743" s="19" t="s">
        <v>328</v>
      </c>
      <c r="K3743" s="14">
        <v>21.0</v>
      </c>
      <c r="L3743" s="7"/>
      <c r="M3743" s="7"/>
      <c r="N3743" s="7"/>
      <c r="O3743" s="7"/>
      <c r="P3743" s="7"/>
      <c r="Q3743" s="7"/>
      <c r="R3743" s="7"/>
      <c r="S3743" s="7"/>
      <c r="T3743" s="7"/>
      <c r="U3743" s="7"/>
      <c r="V3743" s="7"/>
      <c r="W3743" s="7"/>
      <c r="X3743" s="7"/>
      <c r="Y3743" s="7"/>
    </row>
    <row r="3744">
      <c r="A3744" s="14" t="s">
        <v>13288</v>
      </c>
      <c r="B3744" s="17" t="s">
        <v>13289</v>
      </c>
      <c r="C3744" s="17" t="s">
        <v>13290</v>
      </c>
      <c r="D3744" s="19" t="s">
        <v>13291</v>
      </c>
      <c r="E3744" s="20" t="s">
        <v>104</v>
      </c>
      <c r="F3744" s="21">
        <v>31875.0</v>
      </c>
      <c r="G3744" s="14">
        <v>39.0</v>
      </c>
      <c r="H3744" s="23" t="s">
        <v>26</v>
      </c>
      <c r="I3744" s="24" t="s">
        <v>27</v>
      </c>
      <c r="J3744" s="19" t="s">
        <v>53</v>
      </c>
      <c r="K3744" s="14">
        <v>15.0</v>
      </c>
      <c r="L3744" s="7"/>
      <c r="M3744" s="7"/>
      <c r="N3744" s="7"/>
      <c r="O3744" s="7"/>
      <c r="P3744" s="7"/>
      <c r="Q3744" s="7"/>
      <c r="R3744" s="7"/>
      <c r="S3744" s="7"/>
      <c r="T3744" s="7"/>
      <c r="U3744" s="7"/>
      <c r="V3744" s="7"/>
      <c r="W3744" s="7"/>
      <c r="X3744" s="7"/>
      <c r="Y3744" s="7"/>
    </row>
    <row r="3745">
      <c r="A3745" s="14" t="s">
        <v>13292</v>
      </c>
      <c r="B3745" s="17" t="s">
        <v>13289</v>
      </c>
      <c r="C3745" s="17" t="s">
        <v>13293</v>
      </c>
      <c r="D3745" s="19" t="s">
        <v>13294</v>
      </c>
      <c r="E3745" s="20" t="s">
        <v>5046</v>
      </c>
      <c r="F3745" s="21">
        <v>30293.0</v>
      </c>
      <c r="G3745" s="14">
        <v>43.0</v>
      </c>
      <c r="H3745" s="23" t="s">
        <v>26</v>
      </c>
      <c r="I3745" s="24" t="s">
        <v>33</v>
      </c>
      <c r="J3745" s="19" t="s">
        <v>53</v>
      </c>
      <c r="K3745" s="14">
        <v>15.0</v>
      </c>
      <c r="L3745" s="7"/>
      <c r="M3745" s="7"/>
      <c r="N3745" s="7"/>
      <c r="O3745" s="7"/>
      <c r="P3745" s="7"/>
      <c r="Q3745" s="7"/>
      <c r="R3745" s="7"/>
      <c r="S3745" s="7"/>
      <c r="T3745" s="7"/>
      <c r="U3745" s="7"/>
      <c r="V3745" s="7"/>
      <c r="W3745" s="7"/>
      <c r="X3745" s="7"/>
      <c r="Y3745" s="7"/>
    </row>
    <row r="3746">
      <c r="A3746" s="14" t="s">
        <v>13295</v>
      </c>
      <c r="B3746" s="17" t="s">
        <v>13289</v>
      </c>
      <c r="C3746" s="17" t="s">
        <v>13296</v>
      </c>
      <c r="D3746" s="19" t="s">
        <v>13297</v>
      </c>
      <c r="E3746" s="20" t="s">
        <v>138</v>
      </c>
      <c r="F3746" s="21">
        <v>39164.0</v>
      </c>
      <c r="G3746" s="14">
        <v>19.0</v>
      </c>
      <c r="H3746" s="23" t="s">
        <v>100</v>
      </c>
      <c r="I3746" s="24" t="s">
        <v>33</v>
      </c>
      <c r="J3746" s="19" t="s">
        <v>53</v>
      </c>
      <c r="K3746" s="14">
        <v>15.0</v>
      </c>
      <c r="L3746" s="7"/>
      <c r="M3746" s="7"/>
      <c r="N3746" s="7"/>
      <c r="O3746" s="7"/>
      <c r="P3746" s="7"/>
      <c r="Q3746" s="7"/>
      <c r="R3746" s="7"/>
      <c r="S3746" s="7"/>
      <c r="T3746" s="7"/>
      <c r="U3746" s="7"/>
      <c r="V3746" s="7"/>
      <c r="W3746" s="7"/>
      <c r="X3746" s="7"/>
      <c r="Y3746" s="7"/>
    </row>
    <row r="3747">
      <c r="A3747" s="14" t="s">
        <v>13298</v>
      </c>
      <c r="B3747" s="17" t="s">
        <v>13299</v>
      </c>
      <c r="C3747" s="17" t="s">
        <v>13300</v>
      </c>
      <c r="D3747" s="19" t="s">
        <v>13301</v>
      </c>
      <c r="E3747" s="20" t="s">
        <v>210</v>
      </c>
      <c r="F3747" s="21">
        <v>36740.0</v>
      </c>
      <c r="G3747" s="14">
        <v>26.0</v>
      </c>
      <c r="H3747" s="23" t="s">
        <v>26</v>
      </c>
      <c r="I3747" s="24" t="s">
        <v>27</v>
      </c>
      <c r="J3747" s="19" t="s">
        <v>156</v>
      </c>
      <c r="K3747" s="14">
        <v>29.0</v>
      </c>
      <c r="L3747" s="7"/>
      <c r="M3747" s="7"/>
      <c r="N3747" s="7"/>
      <c r="O3747" s="7"/>
      <c r="P3747" s="7"/>
      <c r="Q3747" s="7"/>
      <c r="R3747" s="7"/>
      <c r="S3747" s="7"/>
      <c r="T3747" s="7"/>
      <c r="U3747" s="7"/>
      <c r="V3747" s="7"/>
      <c r="W3747" s="7"/>
      <c r="X3747" s="7"/>
      <c r="Y3747" s="7"/>
    </row>
    <row r="3748">
      <c r="A3748" s="14" t="s">
        <v>13302</v>
      </c>
      <c r="B3748" s="17" t="s">
        <v>13299</v>
      </c>
      <c r="C3748" s="17" t="s">
        <v>13303</v>
      </c>
      <c r="D3748" s="19" t="s">
        <v>13304</v>
      </c>
      <c r="E3748" s="20" t="s">
        <v>4923</v>
      </c>
      <c r="F3748" s="21">
        <v>29380.0</v>
      </c>
      <c r="G3748" s="14">
        <v>46.0</v>
      </c>
      <c r="H3748" s="23" t="s">
        <v>26</v>
      </c>
      <c r="I3748" s="24" t="s">
        <v>33</v>
      </c>
      <c r="J3748" s="19" t="s">
        <v>156</v>
      </c>
      <c r="K3748" s="14">
        <v>29.0</v>
      </c>
      <c r="L3748" s="7"/>
      <c r="M3748" s="7"/>
      <c r="N3748" s="7"/>
      <c r="O3748" s="7"/>
      <c r="P3748" s="7"/>
      <c r="Q3748" s="7"/>
      <c r="R3748" s="7"/>
      <c r="S3748" s="7"/>
      <c r="T3748" s="7"/>
      <c r="U3748" s="7"/>
      <c r="V3748" s="7"/>
      <c r="W3748" s="7"/>
      <c r="X3748" s="7"/>
      <c r="Y3748" s="7"/>
    </row>
    <row r="3749">
      <c r="A3749" s="14" t="s">
        <v>13305</v>
      </c>
      <c r="B3749" s="17" t="s">
        <v>13306</v>
      </c>
      <c r="C3749" s="17" t="s">
        <v>13307</v>
      </c>
      <c r="D3749" s="19" t="s">
        <v>13308</v>
      </c>
      <c r="E3749" s="20" t="s">
        <v>104</v>
      </c>
      <c r="F3749" s="21">
        <v>36833.0</v>
      </c>
      <c r="G3749" s="14">
        <v>25.0</v>
      </c>
      <c r="H3749" s="23" t="s">
        <v>26</v>
      </c>
      <c r="I3749" s="24" t="s">
        <v>27</v>
      </c>
      <c r="J3749" s="19" t="s">
        <v>282</v>
      </c>
      <c r="K3749" s="14">
        <v>17.0</v>
      </c>
      <c r="L3749" s="7"/>
      <c r="M3749" s="7"/>
      <c r="N3749" s="7"/>
      <c r="O3749" s="7"/>
      <c r="P3749" s="7"/>
      <c r="Q3749" s="7"/>
      <c r="R3749" s="7"/>
      <c r="S3749" s="7"/>
      <c r="T3749" s="7"/>
      <c r="U3749" s="7"/>
      <c r="V3749" s="7"/>
      <c r="W3749" s="7"/>
      <c r="X3749" s="7"/>
      <c r="Y3749" s="7"/>
    </row>
    <row r="3750">
      <c r="A3750" s="14" t="s">
        <v>13309</v>
      </c>
      <c r="B3750" s="17" t="s">
        <v>13306</v>
      </c>
      <c r="C3750" s="17" t="s">
        <v>13310</v>
      </c>
      <c r="D3750" s="19" t="s">
        <v>2199</v>
      </c>
      <c r="E3750" s="20" t="s">
        <v>104</v>
      </c>
      <c r="F3750" s="27">
        <v>35713.0</v>
      </c>
      <c r="G3750" s="14">
        <v>28.0</v>
      </c>
      <c r="H3750" s="23" t="s">
        <v>26</v>
      </c>
      <c r="I3750" s="24" t="s">
        <v>33</v>
      </c>
      <c r="J3750" s="19" t="s">
        <v>726</v>
      </c>
      <c r="K3750" s="14">
        <v>17.0</v>
      </c>
      <c r="L3750" s="7"/>
      <c r="M3750" s="7"/>
      <c r="N3750" s="7"/>
      <c r="O3750" s="7"/>
      <c r="P3750" s="7"/>
      <c r="Q3750" s="7"/>
      <c r="R3750" s="7"/>
      <c r="S3750" s="7"/>
      <c r="T3750" s="7"/>
      <c r="U3750" s="7"/>
      <c r="V3750" s="7"/>
      <c r="W3750" s="7"/>
      <c r="X3750" s="7"/>
      <c r="Y3750" s="7"/>
    </row>
    <row r="3751">
      <c r="A3751" s="14" t="s">
        <v>13311</v>
      </c>
      <c r="B3751" s="17" t="s">
        <v>13312</v>
      </c>
      <c r="C3751" s="17" t="s">
        <v>13313</v>
      </c>
      <c r="D3751" s="19" t="s">
        <v>13314</v>
      </c>
      <c r="E3751" s="20" t="s">
        <v>632</v>
      </c>
      <c r="F3751" s="21">
        <v>12966.0</v>
      </c>
      <c r="G3751" s="14">
        <v>91.0</v>
      </c>
      <c r="H3751" s="23" t="s">
        <v>27</v>
      </c>
      <c r="I3751" s="24" t="s">
        <v>27</v>
      </c>
      <c r="J3751" s="19" t="s">
        <v>156</v>
      </c>
      <c r="K3751" s="14">
        <v>30.0</v>
      </c>
      <c r="L3751" s="7"/>
      <c r="M3751" s="7"/>
      <c r="N3751" s="7"/>
      <c r="O3751" s="7"/>
      <c r="P3751" s="7"/>
      <c r="Q3751" s="7"/>
      <c r="R3751" s="7"/>
      <c r="S3751" s="7"/>
      <c r="T3751" s="7"/>
      <c r="U3751" s="7"/>
      <c r="V3751" s="7"/>
      <c r="W3751" s="7"/>
      <c r="X3751" s="7"/>
      <c r="Y3751" s="7"/>
    </row>
    <row r="3752">
      <c r="A3752" s="14" t="s">
        <v>13315</v>
      </c>
      <c r="B3752" s="17" t="s">
        <v>13316</v>
      </c>
      <c r="C3752" s="17" t="s">
        <v>13317</v>
      </c>
      <c r="D3752" s="19" t="s">
        <v>13318</v>
      </c>
      <c r="E3752" s="20" t="s">
        <v>104</v>
      </c>
      <c r="F3752" s="27">
        <v>36844.0</v>
      </c>
      <c r="G3752" s="14">
        <v>25.0</v>
      </c>
      <c r="H3752" s="23" t="s">
        <v>26</v>
      </c>
      <c r="I3752" s="24" t="s">
        <v>33</v>
      </c>
      <c r="J3752" s="19" t="s">
        <v>68</v>
      </c>
      <c r="K3752" s="14">
        <v>35.0</v>
      </c>
      <c r="L3752" s="7"/>
      <c r="M3752" s="7"/>
      <c r="N3752" s="7"/>
      <c r="O3752" s="7"/>
      <c r="P3752" s="7"/>
      <c r="Q3752" s="7"/>
      <c r="R3752" s="7"/>
      <c r="S3752" s="7"/>
      <c r="T3752" s="7"/>
      <c r="U3752" s="7"/>
      <c r="V3752" s="7"/>
      <c r="W3752" s="7"/>
      <c r="X3752" s="7"/>
      <c r="Y3752" s="7"/>
    </row>
    <row r="3753">
      <c r="A3753" s="14" t="s">
        <v>13319</v>
      </c>
      <c r="B3753" s="17" t="s">
        <v>13316</v>
      </c>
      <c r="C3753" s="17" t="s">
        <v>13320</v>
      </c>
      <c r="D3753" s="19" t="s">
        <v>13321</v>
      </c>
      <c r="E3753" s="20" t="s">
        <v>53</v>
      </c>
      <c r="F3753" s="21">
        <v>36470.0</v>
      </c>
      <c r="G3753" s="14">
        <v>26.0</v>
      </c>
      <c r="H3753" s="23" t="s">
        <v>26</v>
      </c>
      <c r="I3753" s="24" t="s">
        <v>27</v>
      </c>
      <c r="J3753" s="19" t="s">
        <v>68</v>
      </c>
      <c r="K3753" s="14">
        <v>35.0</v>
      </c>
      <c r="L3753" s="7"/>
      <c r="M3753" s="7"/>
      <c r="N3753" s="7"/>
      <c r="O3753" s="7"/>
      <c r="P3753" s="7"/>
      <c r="Q3753" s="7"/>
      <c r="R3753" s="7"/>
      <c r="S3753" s="7"/>
      <c r="T3753" s="7"/>
      <c r="U3753" s="7"/>
      <c r="V3753" s="7"/>
      <c r="W3753" s="7"/>
      <c r="X3753" s="7"/>
      <c r="Y3753" s="7"/>
    </row>
    <row r="3754">
      <c r="A3754" s="14" t="s">
        <v>13322</v>
      </c>
      <c r="B3754" s="17" t="s">
        <v>13323</v>
      </c>
      <c r="C3754" s="17" t="s">
        <v>13324</v>
      </c>
      <c r="D3754" s="19" t="s">
        <v>13325</v>
      </c>
      <c r="E3754" s="20" t="s">
        <v>650</v>
      </c>
      <c r="F3754" s="21">
        <v>15539.0</v>
      </c>
      <c r="G3754" s="14">
        <v>84.0</v>
      </c>
      <c r="H3754" s="23" t="s">
        <v>27</v>
      </c>
      <c r="I3754" s="24" t="s">
        <v>27</v>
      </c>
      <c r="J3754" s="19" t="s">
        <v>53</v>
      </c>
      <c r="K3754" s="14">
        <v>4.0</v>
      </c>
      <c r="L3754" s="7"/>
      <c r="M3754" s="7"/>
      <c r="N3754" s="7"/>
      <c r="O3754" s="7"/>
      <c r="P3754" s="7"/>
      <c r="Q3754" s="7"/>
      <c r="R3754" s="7"/>
      <c r="S3754" s="7"/>
      <c r="T3754" s="7"/>
      <c r="U3754" s="7"/>
      <c r="V3754" s="7"/>
      <c r="W3754" s="7"/>
      <c r="X3754" s="7"/>
      <c r="Y3754" s="7"/>
    </row>
    <row r="3755">
      <c r="A3755" s="14" t="s">
        <v>13326</v>
      </c>
      <c r="B3755" s="17" t="s">
        <v>13327</v>
      </c>
      <c r="C3755" s="17" t="s">
        <v>13328</v>
      </c>
      <c r="D3755" s="19" t="s">
        <v>13329</v>
      </c>
      <c r="E3755" s="20" t="s">
        <v>13330</v>
      </c>
      <c r="F3755" s="21">
        <v>34740.0</v>
      </c>
      <c r="G3755" s="14">
        <v>31.0</v>
      </c>
      <c r="H3755" s="23" t="s">
        <v>26</v>
      </c>
      <c r="I3755" s="24" t="s">
        <v>33</v>
      </c>
      <c r="J3755" s="19" t="s">
        <v>156</v>
      </c>
      <c r="K3755" s="14">
        <v>29.0</v>
      </c>
      <c r="L3755" s="7"/>
      <c r="M3755" s="7"/>
      <c r="N3755" s="7"/>
      <c r="O3755" s="7"/>
      <c r="P3755" s="7"/>
      <c r="Q3755" s="7"/>
      <c r="R3755" s="7"/>
      <c r="S3755" s="7"/>
      <c r="T3755" s="7"/>
      <c r="U3755" s="7"/>
      <c r="V3755" s="7"/>
      <c r="W3755" s="7"/>
      <c r="X3755" s="7"/>
      <c r="Y3755" s="7"/>
    </row>
    <row r="3756">
      <c r="A3756" s="14" t="s">
        <v>13331</v>
      </c>
      <c r="B3756" s="17" t="s">
        <v>13327</v>
      </c>
      <c r="C3756" s="17" t="s">
        <v>13332</v>
      </c>
      <c r="D3756" s="19" t="s">
        <v>13333</v>
      </c>
      <c r="E3756" s="20" t="s">
        <v>13334</v>
      </c>
      <c r="F3756" s="21">
        <v>35766.0</v>
      </c>
      <c r="G3756" s="14">
        <v>28.0</v>
      </c>
      <c r="H3756" s="23" t="s">
        <v>26</v>
      </c>
      <c r="I3756" s="24" t="s">
        <v>27</v>
      </c>
      <c r="J3756" s="19" t="s">
        <v>156</v>
      </c>
      <c r="K3756" s="14">
        <v>29.0</v>
      </c>
      <c r="L3756" s="7"/>
      <c r="M3756" s="7"/>
      <c r="N3756" s="7"/>
      <c r="O3756" s="7"/>
      <c r="P3756" s="7"/>
      <c r="Q3756" s="7"/>
      <c r="R3756" s="7"/>
      <c r="S3756" s="7"/>
      <c r="T3756" s="7"/>
      <c r="U3756" s="7"/>
      <c r="V3756" s="7"/>
      <c r="W3756" s="7"/>
      <c r="X3756" s="7"/>
      <c r="Y3756" s="7"/>
    </row>
    <row r="3757">
      <c r="A3757" s="14" t="s">
        <v>13335</v>
      </c>
      <c r="B3757" s="17" t="s">
        <v>13336</v>
      </c>
      <c r="C3757" s="17" t="s">
        <v>13337</v>
      </c>
      <c r="D3757" s="19" t="s">
        <v>13338</v>
      </c>
      <c r="E3757" s="20" t="s">
        <v>654</v>
      </c>
      <c r="F3757" s="21">
        <v>18241.0</v>
      </c>
      <c r="G3757" s="14">
        <v>76.0</v>
      </c>
      <c r="H3757" s="23" t="s">
        <v>27</v>
      </c>
      <c r="I3757" s="24" t="s">
        <v>27</v>
      </c>
      <c r="J3757" s="19" t="s">
        <v>68</v>
      </c>
      <c r="K3757" s="14">
        <v>31.0</v>
      </c>
      <c r="L3757" s="7"/>
      <c r="M3757" s="7"/>
      <c r="N3757" s="7"/>
      <c r="O3757" s="7"/>
      <c r="P3757" s="7"/>
      <c r="Q3757" s="7"/>
      <c r="R3757" s="7"/>
      <c r="S3757" s="7"/>
      <c r="T3757" s="7"/>
      <c r="U3757" s="7"/>
      <c r="V3757" s="7"/>
      <c r="W3757" s="7"/>
      <c r="X3757" s="7"/>
      <c r="Y3757" s="7"/>
    </row>
    <row r="3758">
      <c r="A3758" s="14" t="s">
        <v>13339</v>
      </c>
      <c r="B3758" s="17" t="s">
        <v>13340</v>
      </c>
      <c r="C3758" s="17" t="s">
        <v>13341</v>
      </c>
      <c r="D3758" s="19" t="s">
        <v>13342</v>
      </c>
      <c r="E3758" s="20" t="s">
        <v>736</v>
      </c>
      <c r="F3758" s="27">
        <v>35715.0</v>
      </c>
      <c r="G3758" s="14">
        <v>28.0</v>
      </c>
      <c r="H3758" s="23" t="s">
        <v>26</v>
      </c>
      <c r="I3758" s="24" t="s">
        <v>33</v>
      </c>
      <c r="J3758" s="19" t="s">
        <v>58</v>
      </c>
      <c r="K3758" s="14">
        <v>7.0</v>
      </c>
      <c r="L3758" s="7"/>
      <c r="M3758" s="7"/>
      <c r="N3758" s="7"/>
      <c r="O3758" s="7"/>
      <c r="P3758" s="7"/>
      <c r="Q3758" s="7"/>
      <c r="R3758" s="7"/>
      <c r="S3758" s="7"/>
      <c r="T3758" s="7"/>
      <c r="U3758" s="7"/>
      <c r="V3758" s="7"/>
      <c r="W3758" s="7"/>
      <c r="X3758" s="7"/>
      <c r="Y3758" s="7"/>
    </row>
    <row r="3759">
      <c r="A3759" s="14" t="s">
        <v>13343</v>
      </c>
      <c r="B3759" s="17" t="s">
        <v>13340</v>
      </c>
      <c r="C3759" s="17" t="s">
        <v>13344</v>
      </c>
      <c r="D3759" s="19" t="s">
        <v>13345</v>
      </c>
      <c r="E3759" s="20" t="s">
        <v>104</v>
      </c>
      <c r="F3759" s="21">
        <v>35440.0</v>
      </c>
      <c r="G3759" s="14">
        <v>29.0</v>
      </c>
      <c r="H3759" s="23" t="s">
        <v>26</v>
      </c>
      <c r="I3759" s="24" t="s">
        <v>27</v>
      </c>
      <c r="J3759" s="19" t="s">
        <v>58</v>
      </c>
      <c r="K3759" s="14">
        <v>7.0</v>
      </c>
      <c r="L3759" s="7"/>
      <c r="M3759" s="7"/>
      <c r="N3759" s="7"/>
      <c r="O3759" s="7"/>
      <c r="P3759" s="7"/>
      <c r="Q3759" s="7"/>
      <c r="R3759" s="7"/>
      <c r="S3759" s="7"/>
      <c r="T3759" s="7"/>
      <c r="U3759" s="7"/>
      <c r="V3759" s="7"/>
      <c r="W3759" s="7"/>
      <c r="X3759" s="7"/>
      <c r="Y3759" s="7"/>
    </row>
    <row r="3760">
      <c r="A3760" s="14" t="s">
        <v>13346</v>
      </c>
      <c r="B3760" s="17" t="s">
        <v>13347</v>
      </c>
      <c r="C3760" s="17" t="s">
        <v>13348</v>
      </c>
      <c r="D3760" s="19" t="s">
        <v>13349</v>
      </c>
      <c r="E3760" s="20" t="s">
        <v>1786</v>
      </c>
      <c r="F3760" s="21">
        <v>21002.0</v>
      </c>
      <c r="G3760" s="14">
        <v>69.0</v>
      </c>
      <c r="H3760" s="23" t="s">
        <v>27</v>
      </c>
      <c r="I3760" s="24" t="s">
        <v>27</v>
      </c>
      <c r="J3760" s="19" t="s">
        <v>146</v>
      </c>
      <c r="K3760" s="14">
        <v>2.0</v>
      </c>
      <c r="L3760" s="7"/>
      <c r="M3760" s="7"/>
      <c r="N3760" s="7"/>
      <c r="O3760" s="7"/>
      <c r="P3760" s="7"/>
      <c r="Q3760" s="7"/>
      <c r="R3760" s="7"/>
      <c r="S3760" s="7"/>
      <c r="T3760" s="7"/>
      <c r="U3760" s="7"/>
      <c r="V3760" s="7"/>
      <c r="W3760" s="7"/>
      <c r="X3760" s="7"/>
      <c r="Y3760" s="7"/>
    </row>
    <row r="3761">
      <c r="A3761" s="14" t="s">
        <v>13350</v>
      </c>
      <c r="B3761" s="17" t="s">
        <v>13351</v>
      </c>
      <c r="C3761" s="17" t="s">
        <v>13352</v>
      </c>
      <c r="D3761" s="19" t="s">
        <v>13353</v>
      </c>
      <c r="E3761" s="20" t="s">
        <v>890</v>
      </c>
      <c r="F3761" s="21">
        <v>36392.0</v>
      </c>
      <c r="G3761" s="14">
        <v>27.0</v>
      </c>
      <c r="H3761" s="23" t="s">
        <v>100</v>
      </c>
      <c r="I3761" s="24" t="s">
        <v>27</v>
      </c>
      <c r="J3761" s="19" t="s">
        <v>53</v>
      </c>
      <c r="K3761" s="14">
        <v>6.0</v>
      </c>
      <c r="L3761" s="7"/>
      <c r="M3761" s="7"/>
      <c r="N3761" s="7"/>
      <c r="O3761" s="7"/>
      <c r="P3761" s="7"/>
      <c r="Q3761" s="7"/>
      <c r="R3761" s="7"/>
      <c r="S3761" s="7"/>
      <c r="T3761" s="7"/>
      <c r="U3761" s="7"/>
      <c r="V3761" s="7"/>
      <c r="W3761" s="7"/>
      <c r="X3761" s="7"/>
      <c r="Y3761" s="7"/>
    </row>
    <row r="3762">
      <c r="A3762" s="14" t="s">
        <v>13354</v>
      </c>
      <c r="B3762" s="17" t="s">
        <v>13351</v>
      </c>
      <c r="C3762" s="17" t="s">
        <v>13355</v>
      </c>
      <c r="D3762" s="19" t="s">
        <v>13356</v>
      </c>
      <c r="E3762" s="20" t="s">
        <v>176</v>
      </c>
      <c r="F3762" s="21">
        <v>26765.0</v>
      </c>
      <c r="G3762" s="14">
        <v>53.0</v>
      </c>
      <c r="H3762" s="23" t="s">
        <v>26</v>
      </c>
      <c r="I3762" s="24" t="s">
        <v>27</v>
      </c>
      <c r="J3762" s="19" t="s">
        <v>53</v>
      </c>
      <c r="K3762" s="14">
        <v>6.0</v>
      </c>
      <c r="L3762" s="7"/>
      <c r="M3762" s="7"/>
      <c r="N3762" s="7"/>
      <c r="O3762" s="7"/>
      <c r="P3762" s="7"/>
      <c r="Q3762" s="7"/>
      <c r="R3762" s="7"/>
      <c r="S3762" s="7"/>
      <c r="T3762" s="7"/>
      <c r="U3762" s="7"/>
      <c r="V3762" s="7"/>
      <c r="W3762" s="7"/>
      <c r="X3762" s="7"/>
      <c r="Y3762" s="7"/>
    </row>
    <row r="3763">
      <c r="A3763" s="14" t="s">
        <v>13357</v>
      </c>
      <c r="B3763" s="17" t="s">
        <v>13351</v>
      </c>
      <c r="C3763" s="17" t="s">
        <v>13358</v>
      </c>
      <c r="D3763" s="19" t="s">
        <v>13359</v>
      </c>
      <c r="E3763" s="20" t="s">
        <v>890</v>
      </c>
      <c r="F3763" s="21">
        <v>25652.0</v>
      </c>
      <c r="G3763" s="14">
        <v>56.0</v>
      </c>
      <c r="H3763" s="23" t="s">
        <v>26</v>
      </c>
      <c r="I3763" s="24" t="s">
        <v>33</v>
      </c>
      <c r="J3763" s="19" t="s">
        <v>53</v>
      </c>
      <c r="K3763" s="14">
        <v>6.0</v>
      </c>
      <c r="L3763" s="7"/>
      <c r="M3763" s="7"/>
      <c r="N3763" s="7"/>
      <c r="O3763" s="7"/>
      <c r="P3763" s="7"/>
      <c r="Q3763" s="7"/>
      <c r="R3763" s="7"/>
      <c r="S3763" s="7"/>
      <c r="T3763" s="7"/>
      <c r="U3763" s="7"/>
      <c r="V3763" s="7"/>
      <c r="W3763" s="7"/>
      <c r="X3763" s="7"/>
      <c r="Y3763" s="7"/>
    </row>
    <row r="3764">
      <c r="A3764" s="14" t="s">
        <v>13360</v>
      </c>
      <c r="B3764" s="17" t="s">
        <v>13351</v>
      </c>
      <c r="C3764" s="17" t="s">
        <v>13361</v>
      </c>
      <c r="D3764" s="19" t="s">
        <v>13362</v>
      </c>
      <c r="E3764" s="20" t="s">
        <v>890</v>
      </c>
      <c r="F3764" s="21">
        <v>38606.0</v>
      </c>
      <c r="G3764" s="14">
        <v>20.0</v>
      </c>
      <c r="H3764" s="23" t="s">
        <v>100</v>
      </c>
      <c r="I3764" s="24" t="s">
        <v>33</v>
      </c>
      <c r="J3764" s="19" t="s">
        <v>53</v>
      </c>
      <c r="K3764" s="14">
        <v>6.0</v>
      </c>
      <c r="L3764" s="7"/>
      <c r="M3764" s="7"/>
      <c r="N3764" s="7"/>
      <c r="O3764" s="7"/>
      <c r="P3764" s="7"/>
      <c r="Q3764" s="7"/>
      <c r="R3764" s="7"/>
      <c r="S3764" s="7"/>
      <c r="T3764" s="7"/>
      <c r="U3764" s="7"/>
      <c r="V3764" s="7"/>
      <c r="W3764" s="7"/>
      <c r="X3764" s="7"/>
      <c r="Y3764" s="7"/>
    </row>
    <row r="3765">
      <c r="A3765" s="14" t="s">
        <v>13363</v>
      </c>
      <c r="B3765" s="17" t="s">
        <v>13351</v>
      </c>
      <c r="C3765" s="17" t="s">
        <v>13364</v>
      </c>
      <c r="D3765" s="19" t="s">
        <v>13365</v>
      </c>
      <c r="E3765" s="20" t="s">
        <v>890</v>
      </c>
      <c r="F3765" s="21">
        <v>37840.0</v>
      </c>
      <c r="G3765" s="14">
        <v>23.0</v>
      </c>
      <c r="H3765" s="23" t="s">
        <v>100</v>
      </c>
      <c r="I3765" s="24" t="s">
        <v>33</v>
      </c>
      <c r="J3765" s="19" t="s">
        <v>53</v>
      </c>
      <c r="K3765" s="14">
        <v>6.0</v>
      </c>
      <c r="L3765" s="7"/>
      <c r="M3765" s="7"/>
      <c r="N3765" s="7"/>
      <c r="O3765" s="7"/>
      <c r="P3765" s="7"/>
      <c r="Q3765" s="7"/>
      <c r="R3765" s="7"/>
      <c r="S3765" s="7"/>
      <c r="T3765" s="7"/>
      <c r="U3765" s="7"/>
      <c r="V3765" s="7"/>
      <c r="W3765" s="7"/>
      <c r="X3765" s="7"/>
      <c r="Y3765" s="7"/>
    </row>
    <row r="3766">
      <c r="A3766" s="14" t="s">
        <v>13366</v>
      </c>
      <c r="B3766" s="17" t="s">
        <v>13367</v>
      </c>
      <c r="C3766" s="17" t="s">
        <v>13368</v>
      </c>
      <c r="D3766" s="19" t="s">
        <v>4688</v>
      </c>
      <c r="E3766" s="20" t="s">
        <v>104</v>
      </c>
      <c r="F3766" s="27">
        <v>32854.0</v>
      </c>
      <c r="G3766" s="14">
        <v>36.0</v>
      </c>
      <c r="H3766" s="23" t="s">
        <v>26</v>
      </c>
      <c r="I3766" s="24" t="s">
        <v>27</v>
      </c>
      <c r="J3766" s="19" t="s">
        <v>53</v>
      </c>
      <c r="K3766" s="14">
        <v>6.0</v>
      </c>
      <c r="L3766" s="7"/>
      <c r="M3766" s="7"/>
      <c r="N3766" s="7"/>
      <c r="O3766" s="7"/>
      <c r="P3766" s="7"/>
      <c r="Q3766" s="7"/>
      <c r="R3766" s="7"/>
      <c r="S3766" s="7"/>
      <c r="T3766" s="7"/>
      <c r="U3766" s="7"/>
      <c r="V3766" s="7"/>
      <c r="W3766" s="7"/>
      <c r="X3766" s="7"/>
      <c r="Y3766" s="7"/>
    </row>
    <row r="3767">
      <c r="A3767" s="14" t="s">
        <v>13369</v>
      </c>
      <c r="B3767" s="17" t="s">
        <v>13367</v>
      </c>
      <c r="C3767" s="17" t="s">
        <v>13370</v>
      </c>
      <c r="D3767" s="19" t="s">
        <v>5852</v>
      </c>
      <c r="E3767" s="20" t="s">
        <v>104</v>
      </c>
      <c r="F3767" s="21">
        <v>29247.0</v>
      </c>
      <c r="G3767" s="14">
        <v>46.0</v>
      </c>
      <c r="H3767" s="23" t="s">
        <v>26</v>
      </c>
      <c r="I3767" s="24" t="s">
        <v>33</v>
      </c>
      <c r="J3767" s="19" t="s">
        <v>53</v>
      </c>
      <c r="K3767" s="14">
        <v>6.0</v>
      </c>
      <c r="L3767" s="7"/>
      <c r="M3767" s="7"/>
      <c r="N3767" s="7"/>
      <c r="O3767" s="7"/>
      <c r="P3767" s="7"/>
      <c r="Q3767" s="7"/>
      <c r="R3767" s="7"/>
      <c r="S3767" s="7"/>
      <c r="T3767" s="7"/>
      <c r="U3767" s="7"/>
      <c r="V3767" s="7"/>
      <c r="W3767" s="7"/>
      <c r="X3767" s="7"/>
      <c r="Y3767" s="7"/>
    </row>
    <row r="3768">
      <c r="A3768" s="14" t="s">
        <v>13371</v>
      </c>
      <c r="B3768" s="17" t="s">
        <v>13367</v>
      </c>
      <c r="C3768" s="17" t="s">
        <v>13372</v>
      </c>
      <c r="D3768" s="19" t="s">
        <v>13373</v>
      </c>
      <c r="E3768" s="20" t="s">
        <v>104</v>
      </c>
      <c r="F3768" s="21">
        <v>38903.0</v>
      </c>
      <c r="G3768" s="14">
        <v>20.0</v>
      </c>
      <c r="H3768" s="23" t="s">
        <v>100</v>
      </c>
      <c r="I3768" s="24" t="s">
        <v>33</v>
      </c>
      <c r="J3768" s="19" t="s">
        <v>53</v>
      </c>
      <c r="K3768" s="14">
        <v>6.0</v>
      </c>
      <c r="L3768" s="7"/>
      <c r="M3768" s="7"/>
      <c r="N3768" s="7"/>
      <c r="O3768" s="7"/>
      <c r="P3768" s="7"/>
      <c r="Q3768" s="7"/>
      <c r="R3768" s="7"/>
      <c r="S3768" s="7"/>
      <c r="T3768" s="7"/>
      <c r="U3768" s="7"/>
      <c r="V3768" s="7"/>
      <c r="W3768" s="7"/>
      <c r="X3768" s="7"/>
      <c r="Y3768" s="7"/>
    </row>
    <row r="3769">
      <c r="A3769" s="14" t="s">
        <v>13374</v>
      </c>
      <c r="B3769" s="17" t="s">
        <v>13375</v>
      </c>
      <c r="C3769" s="17" t="s">
        <v>13376</v>
      </c>
      <c r="D3769" s="19" t="s">
        <v>13377</v>
      </c>
      <c r="E3769" s="20" t="s">
        <v>195</v>
      </c>
      <c r="F3769" s="21">
        <v>28192.0</v>
      </c>
      <c r="G3769" s="14">
        <v>49.0</v>
      </c>
      <c r="H3769" s="23" t="s">
        <v>26</v>
      </c>
      <c r="I3769" s="24" t="s">
        <v>33</v>
      </c>
      <c r="J3769" s="19" t="s">
        <v>517</v>
      </c>
      <c r="K3769" s="14">
        <v>6.0</v>
      </c>
      <c r="L3769" s="7"/>
      <c r="M3769" s="7"/>
      <c r="N3769" s="7"/>
      <c r="O3769" s="7"/>
      <c r="P3769" s="7"/>
      <c r="Q3769" s="7"/>
      <c r="R3769" s="7"/>
      <c r="S3769" s="7"/>
      <c r="T3769" s="7"/>
      <c r="U3769" s="7"/>
      <c r="V3769" s="7"/>
      <c r="W3769" s="7"/>
      <c r="X3769" s="7"/>
      <c r="Y3769" s="7"/>
    </row>
    <row r="3770">
      <c r="A3770" s="14" t="s">
        <v>13378</v>
      </c>
      <c r="B3770" s="17" t="s">
        <v>13375</v>
      </c>
      <c r="C3770" s="17" t="s">
        <v>13379</v>
      </c>
      <c r="D3770" s="19" t="s">
        <v>13380</v>
      </c>
      <c r="E3770" s="20" t="s">
        <v>13381</v>
      </c>
      <c r="F3770" s="27">
        <v>37935.0</v>
      </c>
      <c r="G3770" s="14">
        <v>22.0</v>
      </c>
      <c r="H3770" s="23" t="s">
        <v>100</v>
      </c>
      <c r="I3770" s="24" t="s">
        <v>27</v>
      </c>
      <c r="J3770" s="19" t="s">
        <v>517</v>
      </c>
      <c r="K3770" s="14">
        <v>6.0</v>
      </c>
      <c r="L3770" s="7"/>
      <c r="M3770" s="7"/>
      <c r="N3770" s="7"/>
      <c r="O3770" s="7"/>
      <c r="P3770" s="7"/>
      <c r="Q3770" s="7"/>
      <c r="R3770" s="7"/>
      <c r="S3770" s="7"/>
      <c r="T3770" s="7"/>
      <c r="U3770" s="7"/>
      <c r="V3770" s="7"/>
      <c r="W3770" s="7"/>
      <c r="X3770" s="7"/>
      <c r="Y3770" s="7"/>
    </row>
    <row r="3771">
      <c r="A3771" s="14" t="s">
        <v>13382</v>
      </c>
      <c r="B3771" s="17" t="s">
        <v>13375</v>
      </c>
      <c r="C3771" s="17" t="s">
        <v>13383</v>
      </c>
      <c r="D3771" s="19" t="s">
        <v>13384</v>
      </c>
      <c r="E3771" s="20" t="s">
        <v>13385</v>
      </c>
      <c r="F3771" s="21">
        <v>39183.0</v>
      </c>
      <c r="G3771" s="14">
        <v>19.0</v>
      </c>
      <c r="H3771" s="23" t="s">
        <v>100</v>
      </c>
      <c r="I3771" s="24" t="s">
        <v>27</v>
      </c>
      <c r="J3771" s="19" t="s">
        <v>517</v>
      </c>
      <c r="K3771" s="14">
        <v>6.0</v>
      </c>
      <c r="L3771" s="7"/>
      <c r="M3771" s="7"/>
      <c r="N3771" s="7"/>
      <c r="O3771" s="7"/>
      <c r="P3771" s="7"/>
      <c r="Q3771" s="7"/>
      <c r="R3771" s="7"/>
      <c r="S3771" s="7"/>
      <c r="T3771" s="7"/>
      <c r="U3771" s="7"/>
      <c r="V3771" s="7"/>
      <c r="W3771" s="7"/>
      <c r="X3771" s="7"/>
      <c r="Y3771" s="7"/>
    </row>
    <row r="3772">
      <c r="A3772" s="14" t="s">
        <v>13386</v>
      </c>
      <c r="B3772" s="17" t="s">
        <v>13375</v>
      </c>
      <c r="C3772" s="17" t="s">
        <v>13387</v>
      </c>
      <c r="D3772" s="19" t="s">
        <v>1604</v>
      </c>
      <c r="E3772" s="20" t="s">
        <v>138</v>
      </c>
      <c r="F3772" s="21">
        <v>29072.0</v>
      </c>
      <c r="G3772" s="14">
        <v>47.0</v>
      </c>
      <c r="H3772" s="23" t="s">
        <v>26</v>
      </c>
      <c r="I3772" s="24" t="s">
        <v>27</v>
      </c>
      <c r="J3772" s="19" t="s">
        <v>517</v>
      </c>
      <c r="K3772" s="14">
        <v>6.0</v>
      </c>
      <c r="L3772" s="7"/>
      <c r="M3772" s="7"/>
      <c r="N3772" s="7"/>
      <c r="O3772" s="7"/>
      <c r="P3772" s="7"/>
      <c r="Q3772" s="7"/>
      <c r="R3772" s="7"/>
      <c r="S3772" s="7"/>
      <c r="T3772" s="7"/>
      <c r="U3772" s="7"/>
      <c r="V3772" s="7"/>
      <c r="W3772" s="7"/>
      <c r="X3772" s="7"/>
      <c r="Y3772" s="7"/>
    </row>
    <row r="3773">
      <c r="A3773" s="14" t="s">
        <v>13388</v>
      </c>
      <c r="B3773" s="17" t="s">
        <v>13389</v>
      </c>
      <c r="C3773" s="17" t="s">
        <v>13390</v>
      </c>
      <c r="D3773" s="19" t="s">
        <v>13391</v>
      </c>
      <c r="E3773" s="20" t="s">
        <v>53</v>
      </c>
      <c r="F3773" s="21">
        <v>33873.0</v>
      </c>
      <c r="G3773" s="14">
        <v>33.0</v>
      </c>
      <c r="H3773" s="23" t="s">
        <v>100</v>
      </c>
      <c r="I3773" s="24" t="s">
        <v>33</v>
      </c>
      <c r="J3773" s="19" t="s">
        <v>53</v>
      </c>
      <c r="K3773" s="14">
        <v>17.0</v>
      </c>
      <c r="L3773" s="7"/>
      <c r="M3773" s="7"/>
      <c r="N3773" s="7"/>
      <c r="O3773" s="7"/>
      <c r="P3773" s="7"/>
      <c r="Q3773" s="7"/>
      <c r="R3773" s="7"/>
      <c r="S3773" s="7"/>
      <c r="T3773" s="7"/>
      <c r="U3773" s="7"/>
      <c r="V3773" s="7"/>
      <c r="W3773" s="7"/>
      <c r="X3773" s="7"/>
      <c r="Y3773" s="7"/>
    </row>
    <row r="3774">
      <c r="A3774" s="14" t="s">
        <v>13392</v>
      </c>
      <c r="B3774" s="17" t="s">
        <v>13389</v>
      </c>
      <c r="C3774" s="17" t="s">
        <v>13393</v>
      </c>
      <c r="D3774" s="19" t="s">
        <v>11384</v>
      </c>
      <c r="E3774" s="20" t="s">
        <v>1049</v>
      </c>
      <c r="F3774" s="21">
        <v>25648.0</v>
      </c>
      <c r="G3774" s="14">
        <v>56.0</v>
      </c>
      <c r="H3774" s="23" t="s">
        <v>26</v>
      </c>
      <c r="I3774" s="24" t="s">
        <v>33</v>
      </c>
      <c r="J3774" s="19" t="s">
        <v>53</v>
      </c>
      <c r="K3774" s="14">
        <v>17.0</v>
      </c>
      <c r="L3774" s="7"/>
      <c r="M3774" s="7"/>
      <c r="N3774" s="7"/>
      <c r="O3774" s="7"/>
      <c r="P3774" s="7"/>
      <c r="Q3774" s="7"/>
      <c r="R3774" s="7"/>
      <c r="S3774" s="7"/>
      <c r="T3774" s="7"/>
      <c r="U3774" s="7"/>
      <c r="V3774" s="7"/>
      <c r="W3774" s="7"/>
      <c r="X3774" s="7"/>
      <c r="Y3774" s="7"/>
    </row>
    <row r="3775">
      <c r="A3775" s="14" t="s">
        <v>13394</v>
      </c>
      <c r="B3775" s="17" t="s">
        <v>13389</v>
      </c>
      <c r="C3775" s="17" t="s">
        <v>13395</v>
      </c>
      <c r="D3775" s="19" t="s">
        <v>13396</v>
      </c>
      <c r="E3775" s="20" t="s">
        <v>104</v>
      </c>
      <c r="F3775" s="21">
        <v>36690.0</v>
      </c>
      <c r="G3775" s="14">
        <v>26.0</v>
      </c>
      <c r="H3775" s="23" t="s">
        <v>100</v>
      </c>
      <c r="I3775" s="24" t="s">
        <v>33</v>
      </c>
      <c r="J3775" s="19" t="s">
        <v>53</v>
      </c>
      <c r="K3775" s="14">
        <v>17.0</v>
      </c>
      <c r="L3775" s="7"/>
      <c r="M3775" s="7"/>
      <c r="N3775" s="7"/>
      <c r="O3775" s="7"/>
      <c r="P3775" s="7"/>
      <c r="Q3775" s="7"/>
      <c r="R3775" s="7"/>
      <c r="S3775" s="7"/>
      <c r="T3775" s="7"/>
      <c r="U3775" s="7"/>
      <c r="V3775" s="7"/>
      <c r="W3775" s="7"/>
      <c r="X3775" s="7"/>
      <c r="Y3775" s="7"/>
    </row>
    <row r="3776">
      <c r="A3776" s="14" t="s">
        <v>13397</v>
      </c>
      <c r="B3776" s="17" t="s">
        <v>13389</v>
      </c>
      <c r="C3776" s="17" t="s">
        <v>13398</v>
      </c>
      <c r="D3776" s="19" t="s">
        <v>13399</v>
      </c>
      <c r="E3776" s="20" t="s">
        <v>1058</v>
      </c>
      <c r="F3776" s="21">
        <v>26112.0</v>
      </c>
      <c r="G3776" s="14">
        <v>55.0</v>
      </c>
      <c r="H3776" s="23" t="s">
        <v>26</v>
      </c>
      <c r="I3776" s="24" t="s">
        <v>27</v>
      </c>
      <c r="J3776" s="19" t="s">
        <v>53</v>
      </c>
      <c r="K3776" s="14">
        <v>17.0</v>
      </c>
      <c r="L3776" s="7"/>
      <c r="M3776" s="7"/>
      <c r="N3776" s="7"/>
      <c r="O3776" s="7"/>
      <c r="P3776" s="7"/>
      <c r="Q3776" s="7"/>
      <c r="R3776" s="7"/>
      <c r="S3776" s="7"/>
      <c r="T3776" s="7"/>
      <c r="U3776" s="7"/>
      <c r="V3776" s="7"/>
      <c r="W3776" s="7"/>
      <c r="X3776" s="7"/>
      <c r="Y3776" s="7"/>
    </row>
    <row r="3777">
      <c r="A3777" s="14" t="s">
        <v>13400</v>
      </c>
      <c r="B3777" s="17" t="s">
        <v>13401</v>
      </c>
      <c r="C3777" s="17" t="s">
        <v>13402</v>
      </c>
      <c r="D3777" s="19" t="s">
        <v>13403</v>
      </c>
      <c r="E3777" s="20" t="s">
        <v>544</v>
      </c>
      <c r="F3777" s="27">
        <v>30265.0</v>
      </c>
      <c r="G3777" s="14">
        <v>43.0</v>
      </c>
      <c r="H3777" s="23" t="s">
        <v>26</v>
      </c>
      <c r="I3777" s="24" t="s">
        <v>33</v>
      </c>
      <c r="J3777" s="19" t="s">
        <v>53</v>
      </c>
      <c r="K3777" s="14">
        <v>6.0</v>
      </c>
      <c r="L3777" s="7"/>
      <c r="M3777" s="7"/>
      <c r="N3777" s="7"/>
      <c r="O3777" s="7"/>
      <c r="P3777" s="7"/>
      <c r="Q3777" s="7"/>
      <c r="R3777" s="7"/>
      <c r="S3777" s="7"/>
      <c r="T3777" s="7"/>
      <c r="U3777" s="7"/>
      <c r="V3777" s="7"/>
      <c r="W3777" s="7"/>
      <c r="X3777" s="7"/>
      <c r="Y3777" s="7"/>
    </row>
    <row r="3778">
      <c r="A3778" s="14" t="s">
        <v>13404</v>
      </c>
      <c r="B3778" s="17" t="s">
        <v>13401</v>
      </c>
      <c r="C3778" s="17" t="s">
        <v>13405</v>
      </c>
      <c r="D3778" s="19" t="s">
        <v>13406</v>
      </c>
      <c r="E3778" s="20" t="s">
        <v>104</v>
      </c>
      <c r="F3778" s="21">
        <v>30469.0</v>
      </c>
      <c r="G3778" s="14">
        <v>43.0</v>
      </c>
      <c r="H3778" s="23" t="s">
        <v>26</v>
      </c>
      <c r="I3778" s="24" t="s">
        <v>27</v>
      </c>
      <c r="J3778" s="19" t="s">
        <v>53</v>
      </c>
      <c r="K3778" s="14">
        <v>6.0</v>
      </c>
      <c r="L3778" s="7"/>
      <c r="M3778" s="7"/>
      <c r="N3778" s="7"/>
      <c r="O3778" s="7"/>
      <c r="P3778" s="7"/>
      <c r="Q3778" s="7"/>
      <c r="R3778" s="7"/>
      <c r="S3778" s="7"/>
      <c r="T3778" s="7"/>
      <c r="U3778" s="7"/>
      <c r="V3778" s="7"/>
      <c r="W3778" s="7"/>
      <c r="X3778" s="7"/>
      <c r="Y3778" s="7"/>
    </row>
    <row r="3779">
      <c r="A3779" s="14" t="s">
        <v>13407</v>
      </c>
      <c r="B3779" s="17" t="s">
        <v>13408</v>
      </c>
      <c r="C3779" s="17" t="s">
        <v>13409</v>
      </c>
      <c r="D3779" s="19" t="s">
        <v>2456</v>
      </c>
      <c r="E3779" s="20" t="s">
        <v>2038</v>
      </c>
      <c r="F3779" s="21">
        <v>36708.0</v>
      </c>
      <c r="G3779" s="14">
        <v>26.0</v>
      </c>
      <c r="H3779" s="23" t="s">
        <v>100</v>
      </c>
      <c r="I3779" s="24" t="s">
        <v>27</v>
      </c>
      <c r="J3779" s="19" t="s">
        <v>53</v>
      </c>
      <c r="K3779" s="14">
        <v>6.0</v>
      </c>
      <c r="L3779" s="7"/>
      <c r="M3779" s="7"/>
      <c r="N3779" s="7"/>
      <c r="O3779" s="7"/>
      <c r="P3779" s="7"/>
      <c r="Q3779" s="7"/>
      <c r="R3779" s="7"/>
      <c r="S3779" s="7"/>
      <c r="T3779" s="7"/>
      <c r="U3779" s="7"/>
      <c r="V3779" s="7"/>
      <c r="W3779" s="7"/>
      <c r="X3779" s="7"/>
      <c r="Y3779" s="7"/>
    </row>
    <row r="3780">
      <c r="A3780" s="14" t="s">
        <v>13410</v>
      </c>
      <c r="B3780" s="17" t="s">
        <v>13411</v>
      </c>
      <c r="C3780" s="17" t="s">
        <v>13412</v>
      </c>
      <c r="D3780" s="19" t="s">
        <v>13413</v>
      </c>
      <c r="E3780" s="20" t="s">
        <v>13414</v>
      </c>
      <c r="F3780" s="21">
        <v>25328.0</v>
      </c>
      <c r="G3780" s="14">
        <v>57.0</v>
      </c>
      <c r="H3780" s="23" t="s">
        <v>26</v>
      </c>
      <c r="I3780" s="24" t="s">
        <v>33</v>
      </c>
      <c r="J3780" s="19" t="s">
        <v>156</v>
      </c>
      <c r="K3780" s="14">
        <v>31.0</v>
      </c>
      <c r="L3780" s="7"/>
      <c r="M3780" s="7"/>
      <c r="N3780" s="7"/>
      <c r="O3780" s="7"/>
      <c r="P3780" s="7"/>
      <c r="Q3780" s="7"/>
      <c r="R3780" s="7"/>
      <c r="S3780" s="7"/>
      <c r="T3780" s="7"/>
      <c r="U3780" s="7"/>
      <c r="V3780" s="7"/>
      <c r="W3780" s="7"/>
      <c r="X3780" s="7"/>
      <c r="Y3780" s="7"/>
    </row>
    <row r="3781">
      <c r="A3781" s="14" t="s">
        <v>13415</v>
      </c>
      <c r="B3781" s="17" t="s">
        <v>13411</v>
      </c>
      <c r="C3781" s="17" t="s">
        <v>13416</v>
      </c>
      <c r="D3781" s="19" t="s">
        <v>11369</v>
      </c>
      <c r="E3781" s="20" t="s">
        <v>104</v>
      </c>
      <c r="F3781" s="21">
        <v>28431.0</v>
      </c>
      <c r="G3781" s="14">
        <v>48.0</v>
      </c>
      <c r="H3781" s="23" t="s">
        <v>26</v>
      </c>
      <c r="I3781" s="24" t="s">
        <v>27</v>
      </c>
      <c r="J3781" s="19" t="s">
        <v>53</v>
      </c>
      <c r="K3781" s="14">
        <v>32.0</v>
      </c>
      <c r="L3781" s="7"/>
      <c r="M3781" s="7"/>
      <c r="N3781" s="7"/>
      <c r="O3781" s="7"/>
      <c r="P3781" s="7"/>
      <c r="Q3781" s="7"/>
      <c r="R3781" s="7"/>
      <c r="S3781" s="7"/>
      <c r="T3781" s="7"/>
      <c r="U3781" s="7"/>
      <c r="V3781" s="7"/>
      <c r="W3781" s="7"/>
      <c r="X3781" s="7"/>
      <c r="Y3781" s="7"/>
    </row>
    <row r="3782">
      <c r="A3782" s="14" t="s">
        <v>13417</v>
      </c>
      <c r="B3782" s="17" t="s">
        <v>13418</v>
      </c>
      <c r="C3782" s="17" t="s">
        <v>13419</v>
      </c>
      <c r="D3782" s="19" t="s">
        <v>2381</v>
      </c>
      <c r="E3782" s="20" t="s">
        <v>195</v>
      </c>
      <c r="F3782" s="21">
        <v>26942.0</v>
      </c>
      <c r="G3782" s="14">
        <v>52.0</v>
      </c>
      <c r="H3782" s="23" t="s">
        <v>26</v>
      </c>
      <c r="I3782" s="24" t="s">
        <v>27</v>
      </c>
      <c r="J3782" s="19" t="s">
        <v>362</v>
      </c>
      <c r="K3782" s="14">
        <v>27.0</v>
      </c>
      <c r="L3782" s="7"/>
      <c r="M3782" s="7"/>
      <c r="N3782" s="7"/>
      <c r="O3782" s="7"/>
      <c r="P3782" s="7"/>
      <c r="Q3782" s="7"/>
      <c r="R3782" s="7"/>
      <c r="S3782" s="7"/>
      <c r="T3782" s="7"/>
      <c r="U3782" s="7"/>
      <c r="V3782" s="7"/>
      <c r="W3782" s="7"/>
      <c r="X3782" s="7"/>
      <c r="Y3782" s="7"/>
    </row>
    <row r="3783">
      <c r="A3783" s="14" t="s">
        <v>13420</v>
      </c>
      <c r="B3783" s="17" t="s">
        <v>13418</v>
      </c>
      <c r="C3783" s="17" t="s">
        <v>13421</v>
      </c>
      <c r="D3783" s="19" t="s">
        <v>13422</v>
      </c>
      <c r="E3783" s="20" t="s">
        <v>13423</v>
      </c>
      <c r="F3783" s="21">
        <v>38029.0</v>
      </c>
      <c r="G3783" s="14">
        <v>22.0</v>
      </c>
      <c r="H3783" s="23" t="s">
        <v>100</v>
      </c>
      <c r="I3783" s="24" t="s">
        <v>33</v>
      </c>
      <c r="J3783" s="19" t="s">
        <v>362</v>
      </c>
      <c r="K3783" s="14">
        <v>27.0</v>
      </c>
      <c r="L3783" s="7"/>
      <c r="M3783" s="7"/>
      <c r="N3783" s="7"/>
      <c r="O3783" s="7"/>
      <c r="P3783" s="7"/>
      <c r="Q3783" s="7"/>
      <c r="R3783" s="7"/>
      <c r="S3783" s="7"/>
      <c r="T3783" s="7"/>
      <c r="U3783" s="7"/>
      <c r="V3783" s="7"/>
      <c r="W3783" s="7"/>
      <c r="X3783" s="7"/>
      <c r="Y3783" s="7"/>
    </row>
    <row r="3784">
      <c r="A3784" s="14" t="s">
        <v>13424</v>
      </c>
      <c r="B3784" s="17" t="s">
        <v>13418</v>
      </c>
      <c r="C3784" s="17" t="s">
        <v>13425</v>
      </c>
      <c r="D3784" s="19" t="s">
        <v>13426</v>
      </c>
      <c r="E3784" s="20" t="s">
        <v>104</v>
      </c>
      <c r="F3784" s="21">
        <v>35434.0</v>
      </c>
      <c r="G3784" s="14">
        <v>29.0</v>
      </c>
      <c r="H3784" s="23" t="s">
        <v>100</v>
      </c>
      <c r="I3784" s="24" t="s">
        <v>33</v>
      </c>
      <c r="J3784" s="19" t="s">
        <v>362</v>
      </c>
      <c r="K3784" s="14">
        <v>27.0</v>
      </c>
      <c r="L3784" s="7"/>
      <c r="M3784" s="7"/>
      <c r="N3784" s="7"/>
      <c r="O3784" s="7"/>
      <c r="P3784" s="7"/>
      <c r="Q3784" s="7"/>
      <c r="R3784" s="7"/>
      <c r="S3784" s="7"/>
      <c r="T3784" s="7"/>
      <c r="U3784" s="7"/>
      <c r="V3784" s="7"/>
      <c r="W3784" s="7"/>
      <c r="X3784" s="7"/>
      <c r="Y3784" s="7"/>
    </row>
    <row r="3785">
      <c r="A3785" s="14" t="s">
        <v>13427</v>
      </c>
      <c r="B3785" s="17" t="s">
        <v>13418</v>
      </c>
      <c r="C3785" s="17" t="s">
        <v>13428</v>
      </c>
      <c r="D3785" s="19" t="s">
        <v>13429</v>
      </c>
      <c r="E3785" s="20" t="s">
        <v>632</v>
      </c>
      <c r="F3785" s="21">
        <v>25903.0</v>
      </c>
      <c r="G3785" s="14">
        <v>55.0</v>
      </c>
      <c r="H3785" s="23" t="s">
        <v>26</v>
      </c>
      <c r="I3785" s="24" t="s">
        <v>33</v>
      </c>
      <c r="J3785" s="19" t="s">
        <v>362</v>
      </c>
      <c r="K3785" s="14">
        <v>27.0</v>
      </c>
      <c r="L3785" s="7"/>
      <c r="M3785" s="7"/>
      <c r="N3785" s="7"/>
      <c r="O3785" s="7"/>
      <c r="P3785" s="7"/>
      <c r="Q3785" s="7"/>
      <c r="R3785" s="7"/>
      <c r="S3785" s="7"/>
      <c r="T3785" s="7"/>
      <c r="U3785" s="7"/>
      <c r="V3785" s="7"/>
      <c r="W3785" s="7"/>
      <c r="X3785" s="7"/>
      <c r="Y3785" s="7"/>
    </row>
    <row r="3786">
      <c r="A3786" s="14" t="s">
        <v>13430</v>
      </c>
      <c r="B3786" s="17" t="s">
        <v>13431</v>
      </c>
      <c r="C3786" s="17" t="s">
        <v>13432</v>
      </c>
      <c r="D3786" s="19" t="s">
        <v>13433</v>
      </c>
      <c r="E3786" s="20" t="s">
        <v>53</v>
      </c>
      <c r="F3786" s="27">
        <v>33162.0</v>
      </c>
      <c r="G3786" s="14">
        <v>35.0</v>
      </c>
      <c r="H3786" s="23" t="s">
        <v>26</v>
      </c>
      <c r="I3786" s="24" t="s">
        <v>33</v>
      </c>
      <c r="J3786" s="19" t="s">
        <v>282</v>
      </c>
      <c r="K3786" s="14">
        <v>14.0</v>
      </c>
      <c r="L3786" s="7"/>
      <c r="M3786" s="7"/>
      <c r="N3786" s="7"/>
      <c r="O3786" s="7"/>
      <c r="P3786" s="7"/>
      <c r="Q3786" s="7"/>
      <c r="R3786" s="7"/>
      <c r="S3786" s="7"/>
      <c r="T3786" s="7"/>
      <c r="U3786" s="7"/>
      <c r="V3786" s="7"/>
      <c r="W3786" s="7"/>
      <c r="X3786" s="7"/>
      <c r="Y3786" s="7"/>
    </row>
    <row r="3787">
      <c r="A3787" s="14" t="s">
        <v>13434</v>
      </c>
      <c r="B3787" s="17" t="s">
        <v>13431</v>
      </c>
      <c r="C3787" s="17" t="s">
        <v>13435</v>
      </c>
      <c r="D3787" s="19" t="s">
        <v>13436</v>
      </c>
      <c r="E3787" s="20" t="s">
        <v>138</v>
      </c>
      <c r="F3787" s="21">
        <v>34712.0</v>
      </c>
      <c r="G3787" s="14">
        <v>31.0</v>
      </c>
      <c r="H3787" s="23" t="s">
        <v>26</v>
      </c>
      <c r="I3787" s="24" t="s">
        <v>27</v>
      </c>
      <c r="J3787" s="19" t="s">
        <v>282</v>
      </c>
      <c r="K3787" s="14">
        <v>14.0</v>
      </c>
      <c r="L3787" s="7"/>
      <c r="M3787" s="7"/>
      <c r="N3787" s="7"/>
      <c r="O3787" s="7"/>
      <c r="P3787" s="7"/>
      <c r="Q3787" s="7"/>
      <c r="R3787" s="7"/>
      <c r="S3787" s="7"/>
      <c r="T3787" s="7"/>
      <c r="U3787" s="7"/>
      <c r="V3787" s="7"/>
      <c r="W3787" s="7"/>
      <c r="X3787" s="7"/>
      <c r="Y3787" s="7"/>
    </row>
    <row r="3788">
      <c r="A3788" s="14" t="s">
        <v>13437</v>
      </c>
      <c r="B3788" s="17" t="s">
        <v>13438</v>
      </c>
      <c r="C3788" s="17" t="s">
        <v>13439</v>
      </c>
      <c r="D3788" s="19" t="s">
        <v>13440</v>
      </c>
      <c r="E3788" s="20" t="s">
        <v>3345</v>
      </c>
      <c r="F3788" s="21">
        <v>37496.0</v>
      </c>
      <c r="G3788" s="14">
        <v>24.0</v>
      </c>
      <c r="H3788" s="23" t="s">
        <v>26</v>
      </c>
      <c r="I3788" s="24" t="s">
        <v>33</v>
      </c>
      <c r="J3788" s="19" t="s">
        <v>328</v>
      </c>
      <c r="K3788" s="14">
        <v>25.0</v>
      </c>
      <c r="L3788" s="7"/>
      <c r="M3788" s="7"/>
      <c r="N3788" s="7"/>
      <c r="O3788" s="7"/>
      <c r="P3788" s="7"/>
      <c r="Q3788" s="7"/>
      <c r="R3788" s="7"/>
      <c r="S3788" s="7"/>
      <c r="T3788" s="7"/>
      <c r="U3788" s="7"/>
      <c r="V3788" s="7"/>
      <c r="W3788" s="7"/>
      <c r="X3788" s="7"/>
      <c r="Y3788" s="7"/>
    </row>
    <row r="3789">
      <c r="A3789" s="14" t="s">
        <v>13441</v>
      </c>
      <c r="B3789" s="17" t="s">
        <v>13438</v>
      </c>
      <c r="C3789" s="17" t="s">
        <v>13442</v>
      </c>
      <c r="D3789" s="19" t="s">
        <v>13443</v>
      </c>
      <c r="E3789" s="20" t="s">
        <v>6420</v>
      </c>
      <c r="F3789" s="21">
        <v>36987.0</v>
      </c>
      <c r="G3789" s="14">
        <v>25.0</v>
      </c>
      <c r="H3789" s="23" t="s">
        <v>26</v>
      </c>
      <c r="I3789" s="24" t="s">
        <v>27</v>
      </c>
      <c r="J3789" s="19" t="s">
        <v>328</v>
      </c>
      <c r="K3789" s="14">
        <v>25.0</v>
      </c>
      <c r="L3789" s="7"/>
      <c r="M3789" s="7"/>
      <c r="N3789" s="7"/>
      <c r="O3789" s="7"/>
      <c r="P3789" s="7"/>
      <c r="Q3789" s="7"/>
      <c r="R3789" s="7"/>
      <c r="S3789" s="7"/>
      <c r="T3789" s="7"/>
      <c r="U3789" s="7"/>
      <c r="V3789" s="7"/>
      <c r="W3789" s="7"/>
      <c r="X3789" s="7"/>
      <c r="Y3789" s="7"/>
    </row>
    <row r="3790">
      <c r="A3790" s="14" t="s">
        <v>13444</v>
      </c>
      <c r="B3790" s="17" t="s">
        <v>13445</v>
      </c>
      <c r="C3790" s="17" t="s">
        <v>13446</v>
      </c>
      <c r="D3790" s="19" t="s">
        <v>13447</v>
      </c>
      <c r="E3790" s="20" t="s">
        <v>104</v>
      </c>
      <c r="F3790" s="21">
        <v>33917.0</v>
      </c>
      <c r="G3790" s="14">
        <v>33.0</v>
      </c>
      <c r="H3790" s="23" t="s">
        <v>26</v>
      </c>
      <c r="I3790" s="24" t="s">
        <v>27</v>
      </c>
      <c r="J3790" s="19" t="s">
        <v>13448</v>
      </c>
      <c r="K3790" s="14">
        <v>3.0</v>
      </c>
      <c r="L3790" s="7"/>
      <c r="M3790" s="7"/>
      <c r="N3790" s="7"/>
      <c r="O3790" s="7"/>
      <c r="P3790" s="7"/>
      <c r="Q3790" s="7"/>
      <c r="R3790" s="7"/>
      <c r="S3790" s="7"/>
      <c r="T3790" s="7"/>
      <c r="U3790" s="7"/>
      <c r="V3790" s="7"/>
      <c r="W3790" s="7"/>
      <c r="X3790" s="7"/>
      <c r="Y3790" s="7"/>
    </row>
    <row r="3791">
      <c r="A3791" s="14" t="s">
        <v>13449</v>
      </c>
      <c r="B3791" s="17" t="s">
        <v>13445</v>
      </c>
      <c r="C3791" s="17" t="s">
        <v>13450</v>
      </c>
      <c r="D3791" s="19" t="s">
        <v>13451</v>
      </c>
      <c r="E3791" s="20" t="s">
        <v>104</v>
      </c>
      <c r="F3791" s="21">
        <v>32017.0</v>
      </c>
      <c r="G3791" s="14">
        <v>39.0</v>
      </c>
      <c r="H3791" s="23" t="s">
        <v>26</v>
      </c>
      <c r="I3791" s="24" t="s">
        <v>33</v>
      </c>
      <c r="J3791" s="19" t="s">
        <v>13448</v>
      </c>
      <c r="K3791" s="14">
        <v>3.0</v>
      </c>
      <c r="L3791" s="7"/>
      <c r="M3791" s="7"/>
      <c r="N3791" s="7"/>
      <c r="O3791" s="7"/>
      <c r="P3791" s="7"/>
      <c r="Q3791" s="7"/>
      <c r="R3791" s="7"/>
      <c r="S3791" s="7"/>
      <c r="T3791" s="7"/>
      <c r="U3791" s="7"/>
      <c r="V3791" s="7"/>
      <c r="W3791" s="7"/>
      <c r="X3791" s="7"/>
      <c r="Y3791" s="7"/>
    </row>
    <row r="3792">
      <c r="A3792" s="14" t="s">
        <v>13452</v>
      </c>
      <c r="B3792" s="17" t="s">
        <v>13453</v>
      </c>
      <c r="C3792" s="17" t="s">
        <v>13454</v>
      </c>
      <c r="D3792" s="19" t="s">
        <v>13455</v>
      </c>
      <c r="E3792" s="20" t="s">
        <v>1370</v>
      </c>
      <c r="F3792" s="21">
        <v>30410.0</v>
      </c>
      <c r="G3792" s="14">
        <v>43.0</v>
      </c>
      <c r="H3792" s="23" t="s">
        <v>26</v>
      </c>
      <c r="I3792" s="24" t="s">
        <v>33</v>
      </c>
      <c r="J3792" s="19" t="s">
        <v>726</v>
      </c>
      <c r="K3792" s="14">
        <v>17.0</v>
      </c>
      <c r="L3792" s="7"/>
      <c r="M3792" s="7"/>
      <c r="N3792" s="7"/>
      <c r="O3792" s="7"/>
      <c r="P3792" s="7"/>
      <c r="Q3792" s="7"/>
      <c r="R3792" s="7"/>
      <c r="S3792" s="7"/>
      <c r="T3792" s="7"/>
      <c r="U3792" s="7"/>
      <c r="V3792" s="7"/>
      <c r="W3792" s="7"/>
      <c r="X3792" s="7"/>
      <c r="Y3792" s="7"/>
    </row>
    <row r="3793">
      <c r="A3793" s="14" t="s">
        <v>13456</v>
      </c>
      <c r="B3793" s="17" t="s">
        <v>13453</v>
      </c>
      <c r="C3793" s="17" t="s">
        <v>13457</v>
      </c>
      <c r="D3793" s="19" t="s">
        <v>13458</v>
      </c>
      <c r="E3793" s="20" t="s">
        <v>104</v>
      </c>
      <c r="F3793" s="21">
        <v>32545.0</v>
      </c>
      <c r="G3793" s="14">
        <v>37.0</v>
      </c>
      <c r="H3793" s="23" t="s">
        <v>26</v>
      </c>
      <c r="I3793" s="24" t="s">
        <v>27</v>
      </c>
      <c r="J3793" s="19" t="s">
        <v>726</v>
      </c>
      <c r="K3793" s="14">
        <v>17.0</v>
      </c>
      <c r="L3793" s="7"/>
      <c r="M3793" s="7"/>
      <c r="N3793" s="7"/>
      <c r="O3793" s="7"/>
      <c r="P3793" s="7"/>
      <c r="Q3793" s="7"/>
      <c r="R3793" s="7"/>
      <c r="S3793" s="7"/>
      <c r="T3793" s="7"/>
      <c r="U3793" s="7"/>
      <c r="V3793" s="7"/>
      <c r="W3793" s="7"/>
      <c r="X3793" s="7"/>
      <c r="Y3793" s="7"/>
    </row>
    <row r="3794">
      <c r="A3794" s="14" t="s">
        <v>13459</v>
      </c>
      <c r="B3794" s="17" t="s">
        <v>13460</v>
      </c>
      <c r="C3794" s="17" t="s">
        <v>13461</v>
      </c>
      <c r="D3794" s="19" t="s">
        <v>13462</v>
      </c>
      <c r="E3794" s="20" t="s">
        <v>13463</v>
      </c>
      <c r="F3794" s="21">
        <v>39030.0</v>
      </c>
      <c r="G3794" s="14">
        <v>19.0</v>
      </c>
      <c r="H3794" s="23" t="s">
        <v>100</v>
      </c>
      <c r="I3794" s="24" t="s">
        <v>33</v>
      </c>
      <c r="J3794" s="19" t="s">
        <v>53</v>
      </c>
      <c r="K3794" s="14">
        <v>2.0</v>
      </c>
      <c r="L3794" s="7"/>
      <c r="M3794" s="7"/>
      <c r="N3794" s="7"/>
      <c r="O3794" s="7"/>
      <c r="P3794" s="7"/>
      <c r="Q3794" s="7"/>
      <c r="R3794" s="7"/>
      <c r="S3794" s="7"/>
      <c r="T3794" s="7"/>
      <c r="U3794" s="7"/>
      <c r="V3794" s="7"/>
      <c r="W3794" s="7"/>
      <c r="X3794" s="7"/>
      <c r="Y3794" s="7"/>
    </row>
    <row r="3795">
      <c r="A3795" s="14" t="s">
        <v>13464</v>
      </c>
      <c r="B3795" s="17" t="s">
        <v>13460</v>
      </c>
      <c r="C3795" s="17" t="s">
        <v>13465</v>
      </c>
      <c r="D3795" s="19" t="s">
        <v>13466</v>
      </c>
      <c r="E3795" s="20" t="s">
        <v>3414</v>
      </c>
      <c r="F3795" s="21">
        <v>37006.0</v>
      </c>
      <c r="G3795" s="14">
        <v>25.0</v>
      </c>
      <c r="H3795" s="23" t="s">
        <v>100</v>
      </c>
      <c r="I3795" s="24" t="s">
        <v>33</v>
      </c>
      <c r="J3795" s="19" t="s">
        <v>53</v>
      </c>
      <c r="K3795" s="14">
        <v>2.0</v>
      </c>
      <c r="L3795" s="7"/>
      <c r="M3795" s="7"/>
      <c r="N3795" s="7"/>
      <c r="O3795" s="7"/>
      <c r="P3795" s="7"/>
      <c r="Q3795" s="7"/>
      <c r="R3795" s="7"/>
      <c r="S3795" s="7"/>
      <c r="T3795" s="7"/>
      <c r="U3795" s="7"/>
      <c r="V3795" s="7"/>
      <c r="W3795" s="7"/>
      <c r="X3795" s="7"/>
      <c r="Y3795" s="7"/>
    </row>
    <row r="3796">
      <c r="A3796" s="14" t="s">
        <v>13467</v>
      </c>
      <c r="B3796" s="17" t="s">
        <v>13460</v>
      </c>
      <c r="C3796" s="17" t="s">
        <v>13468</v>
      </c>
      <c r="D3796" s="19" t="s">
        <v>13469</v>
      </c>
      <c r="E3796" s="20" t="s">
        <v>3414</v>
      </c>
      <c r="F3796" s="21">
        <v>37624.0</v>
      </c>
      <c r="G3796" s="14">
        <v>23.0</v>
      </c>
      <c r="H3796" s="23" t="s">
        <v>100</v>
      </c>
      <c r="I3796" s="24" t="s">
        <v>27</v>
      </c>
      <c r="J3796" s="19" t="s">
        <v>53</v>
      </c>
      <c r="K3796" s="14">
        <v>2.0</v>
      </c>
      <c r="L3796" s="7"/>
      <c r="M3796" s="7"/>
      <c r="N3796" s="7"/>
      <c r="O3796" s="7"/>
      <c r="P3796" s="7"/>
      <c r="Q3796" s="7"/>
      <c r="R3796" s="7"/>
      <c r="S3796" s="7"/>
      <c r="T3796" s="7"/>
      <c r="U3796" s="7"/>
      <c r="V3796" s="7"/>
      <c r="W3796" s="7"/>
      <c r="X3796" s="7"/>
      <c r="Y3796" s="7"/>
    </row>
    <row r="3797">
      <c r="A3797" s="14" t="s">
        <v>13470</v>
      </c>
      <c r="B3797" s="17" t="s">
        <v>13460</v>
      </c>
      <c r="C3797" s="17" t="s">
        <v>13471</v>
      </c>
      <c r="D3797" s="19" t="s">
        <v>13472</v>
      </c>
      <c r="E3797" s="20" t="s">
        <v>3414</v>
      </c>
      <c r="F3797" s="21">
        <v>28551.0</v>
      </c>
      <c r="G3797" s="14">
        <v>48.0</v>
      </c>
      <c r="H3797" s="23" t="s">
        <v>26</v>
      </c>
      <c r="I3797" s="24" t="s">
        <v>33</v>
      </c>
      <c r="J3797" s="19" t="s">
        <v>53</v>
      </c>
      <c r="K3797" s="14">
        <v>2.0</v>
      </c>
      <c r="L3797" s="7"/>
      <c r="M3797" s="7"/>
      <c r="N3797" s="7"/>
      <c r="O3797" s="7"/>
      <c r="P3797" s="7"/>
      <c r="Q3797" s="7"/>
      <c r="R3797" s="7"/>
      <c r="S3797" s="7"/>
      <c r="T3797" s="7"/>
      <c r="U3797" s="7"/>
      <c r="V3797" s="7"/>
      <c r="W3797" s="7"/>
      <c r="X3797" s="7"/>
      <c r="Y3797" s="7"/>
    </row>
    <row r="3798">
      <c r="A3798" s="14" t="s">
        <v>13473</v>
      </c>
      <c r="B3798" s="17" t="s">
        <v>13460</v>
      </c>
      <c r="C3798" s="17" t="s">
        <v>13474</v>
      </c>
      <c r="D3798" s="19" t="s">
        <v>7736</v>
      </c>
      <c r="E3798" s="20" t="s">
        <v>3414</v>
      </c>
      <c r="F3798" s="21">
        <v>28672.0</v>
      </c>
      <c r="G3798" s="14">
        <v>48.0</v>
      </c>
      <c r="H3798" s="23" t="s">
        <v>26</v>
      </c>
      <c r="I3798" s="24" t="s">
        <v>27</v>
      </c>
      <c r="J3798" s="19" t="s">
        <v>53</v>
      </c>
      <c r="K3798" s="14">
        <v>2.0</v>
      </c>
      <c r="L3798" s="7"/>
      <c r="M3798" s="7"/>
      <c r="N3798" s="7"/>
      <c r="O3798" s="7"/>
      <c r="P3798" s="7"/>
      <c r="Q3798" s="7"/>
      <c r="R3798" s="7"/>
      <c r="S3798" s="7"/>
      <c r="T3798" s="7"/>
      <c r="U3798" s="7"/>
      <c r="V3798" s="7"/>
      <c r="W3798" s="7"/>
      <c r="X3798" s="7"/>
      <c r="Y3798" s="7"/>
    </row>
    <row r="3799">
      <c r="A3799" s="14" t="s">
        <v>13475</v>
      </c>
      <c r="B3799" s="17" t="s">
        <v>13476</v>
      </c>
      <c r="C3799" s="17" t="s">
        <v>13477</v>
      </c>
      <c r="D3799" s="19" t="s">
        <v>13478</v>
      </c>
      <c r="E3799" s="20" t="s">
        <v>632</v>
      </c>
      <c r="F3799" s="21">
        <v>20897.0</v>
      </c>
      <c r="G3799" s="14">
        <v>69.0</v>
      </c>
      <c r="H3799" s="23" t="s">
        <v>26</v>
      </c>
      <c r="I3799" s="24" t="s">
        <v>33</v>
      </c>
      <c r="J3799" s="19" t="s">
        <v>328</v>
      </c>
      <c r="K3799" s="14">
        <v>22.0</v>
      </c>
      <c r="L3799" s="7"/>
      <c r="M3799" s="7"/>
      <c r="N3799" s="7"/>
      <c r="O3799" s="7"/>
      <c r="P3799" s="7"/>
      <c r="Q3799" s="7"/>
      <c r="R3799" s="7"/>
      <c r="S3799" s="7"/>
      <c r="T3799" s="7"/>
      <c r="U3799" s="7"/>
      <c r="V3799" s="7"/>
      <c r="W3799" s="7"/>
      <c r="X3799" s="7"/>
      <c r="Y3799" s="7"/>
    </row>
    <row r="3800">
      <c r="A3800" s="14" t="s">
        <v>13479</v>
      </c>
      <c r="B3800" s="17" t="s">
        <v>13476</v>
      </c>
      <c r="C3800" s="17" t="s">
        <v>13480</v>
      </c>
      <c r="D3800" s="19" t="s">
        <v>13481</v>
      </c>
      <c r="E3800" s="20" t="s">
        <v>632</v>
      </c>
      <c r="F3800" s="21">
        <v>24003.0</v>
      </c>
      <c r="G3800" s="14">
        <v>60.0</v>
      </c>
      <c r="H3800" s="23" t="s">
        <v>26</v>
      </c>
      <c r="I3800" s="24" t="s">
        <v>27</v>
      </c>
      <c r="J3800" s="19" t="s">
        <v>362</v>
      </c>
      <c r="K3800" s="14">
        <v>22.0</v>
      </c>
      <c r="L3800" s="7"/>
      <c r="M3800" s="7"/>
      <c r="N3800" s="7"/>
      <c r="O3800" s="7"/>
      <c r="P3800" s="7"/>
      <c r="Q3800" s="7"/>
      <c r="R3800" s="7"/>
      <c r="S3800" s="7"/>
      <c r="T3800" s="7"/>
      <c r="U3800" s="7"/>
      <c r="V3800" s="7"/>
      <c r="W3800" s="7"/>
      <c r="X3800" s="7"/>
      <c r="Y3800" s="7"/>
    </row>
    <row r="3801">
      <c r="A3801" s="14" t="s">
        <v>13482</v>
      </c>
      <c r="B3801" s="17" t="s">
        <v>13483</v>
      </c>
      <c r="C3801" s="17" t="s">
        <v>13484</v>
      </c>
      <c r="D3801" s="19" t="s">
        <v>6121</v>
      </c>
      <c r="E3801" s="20" t="s">
        <v>13485</v>
      </c>
      <c r="F3801" s="21">
        <v>30776.0</v>
      </c>
      <c r="G3801" s="14">
        <v>42.0</v>
      </c>
      <c r="H3801" s="23" t="s">
        <v>26</v>
      </c>
      <c r="I3801" s="24" t="s">
        <v>33</v>
      </c>
      <c r="J3801" s="19" t="s">
        <v>146</v>
      </c>
      <c r="K3801" s="14">
        <v>4.0</v>
      </c>
      <c r="L3801" s="7"/>
      <c r="M3801" s="7"/>
      <c r="N3801" s="7"/>
      <c r="O3801" s="7"/>
      <c r="P3801" s="7"/>
      <c r="Q3801" s="7"/>
      <c r="R3801" s="7"/>
      <c r="S3801" s="7"/>
      <c r="T3801" s="7"/>
      <c r="U3801" s="7"/>
      <c r="V3801" s="7"/>
      <c r="W3801" s="7"/>
      <c r="X3801" s="7"/>
      <c r="Y3801" s="7"/>
    </row>
    <row r="3802">
      <c r="A3802" s="14" t="s">
        <v>13486</v>
      </c>
      <c r="B3802" s="17" t="s">
        <v>13487</v>
      </c>
      <c r="C3802" s="17" t="s">
        <v>13488</v>
      </c>
      <c r="D3802" s="19" t="s">
        <v>10302</v>
      </c>
      <c r="E3802" s="20" t="s">
        <v>1058</v>
      </c>
      <c r="F3802" s="21">
        <v>14793.0</v>
      </c>
      <c r="G3802" s="14">
        <v>86.0</v>
      </c>
      <c r="H3802" s="23" t="s">
        <v>26</v>
      </c>
      <c r="I3802" s="24" t="s">
        <v>27</v>
      </c>
      <c r="J3802" s="19" t="s">
        <v>68</v>
      </c>
      <c r="K3802" s="14">
        <v>30.0</v>
      </c>
      <c r="L3802" s="7"/>
      <c r="M3802" s="7"/>
      <c r="N3802" s="7"/>
      <c r="O3802" s="7"/>
      <c r="P3802" s="7"/>
      <c r="Q3802" s="7"/>
      <c r="R3802" s="7"/>
      <c r="S3802" s="7"/>
      <c r="T3802" s="7"/>
      <c r="U3802" s="7"/>
      <c r="V3802" s="7"/>
      <c r="W3802" s="7"/>
      <c r="X3802" s="7"/>
      <c r="Y3802" s="7"/>
    </row>
    <row r="3803">
      <c r="A3803" s="14" t="s">
        <v>13489</v>
      </c>
      <c r="B3803" s="17" t="s">
        <v>13490</v>
      </c>
      <c r="C3803" s="17" t="s">
        <v>13491</v>
      </c>
      <c r="D3803" s="19" t="s">
        <v>13492</v>
      </c>
      <c r="E3803" s="20" t="s">
        <v>138</v>
      </c>
      <c r="F3803" s="21">
        <v>31234.0</v>
      </c>
      <c r="G3803" s="14">
        <v>41.0</v>
      </c>
      <c r="H3803" s="23" t="s">
        <v>26</v>
      </c>
      <c r="I3803" s="24" t="s">
        <v>27</v>
      </c>
      <c r="J3803" s="19" t="s">
        <v>53</v>
      </c>
      <c r="K3803" s="14">
        <v>15.0</v>
      </c>
      <c r="L3803" s="7"/>
      <c r="M3803" s="7"/>
      <c r="N3803" s="7"/>
      <c r="O3803" s="7"/>
      <c r="P3803" s="7"/>
      <c r="Q3803" s="7"/>
      <c r="R3803" s="7"/>
      <c r="S3803" s="7"/>
      <c r="T3803" s="7"/>
      <c r="U3803" s="7"/>
      <c r="V3803" s="7"/>
      <c r="W3803" s="7"/>
      <c r="X3803" s="7"/>
      <c r="Y3803" s="7"/>
    </row>
    <row r="3804">
      <c r="A3804" s="14" t="s">
        <v>13493</v>
      </c>
      <c r="B3804" s="17" t="s">
        <v>13494</v>
      </c>
      <c r="C3804" s="17" t="s">
        <v>13495</v>
      </c>
      <c r="D3804" s="19" t="s">
        <v>13496</v>
      </c>
      <c r="E3804" s="20" t="s">
        <v>104</v>
      </c>
      <c r="F3804" s="21">
        <v>36343.0</v>
      </c>
      <c r="G3804" s="14">
        <v>27.0</v>
      </c>
      <c r="H3804" s="23" t="s">
        <v>100</v>
      </c>
      <c r="I3804" s="24" t="s">
        <v>33</v>
      </c>
      <c r="J3804" s="19" t="s">
        <v>328</v>
      </c>
      <c r="K3804" s="14">
        <v>27.0</v>
      </c>
      <c r="L3804" s="7"/>
      <c r="M3804" s="7"/>
      <c r="N3804" s="7"/>
      <c r="O3804" s="7"/>
      <c r="P3804" s="7"/>
      <c r="Q3804" s="7"/>
      <c r="R3804" s="7"/>
      <c r="S3804" s="7"/>
      <c r="T3804" s="7"/>
      <c r="U3804" s="7"/>
      <c r="V3804" s="7"/>
      <c r="W3804" s="7"/>
      <c r="X3804" s="7"/>
      <c r="Y3804" s="7"/>
    </row>
    <row r="3805">
      <c r="A3805" s="14" t="s">
        <v>13497</v>
      </c>
      <c r="B3805" s="17" t="s">
        <v>13494</v>
      </c>
      <c r="C3805" s="17" t="s">
        <v>13498</v>
      </c>
      <c r="D3805" s="19" t="s">
        <v>13499</v>
      </c>
      <c r="E3805" s="20" t="s">
        <v>104</v>
      </c>
      <c r="F3805" s="27">
        <v>36814.0</v>
      </c>
      <c r="G3805" s="14">
        <v>25.0</v>
      </c>
      <c r="H3805" s="23" t="s">
        <v>100</v>
      </c>
      <c r="I3805" s="24" t="s">
        <v>33</v>
      </c>
      <c r="J3805" s="19" t="s">
        <v>328</v>
      </c>
      <c r="K3805" s="14">
        <v>27.0</v>
      </c>
      <c r="L3805" s="7"/>
      <c r="M3805" s="7"/>
      <c r="N3805" s="7"/>
      <c r="O3805" s="7"/>
      <c r="P3805" s="7"/>
      <c r="Q3805" s="7"/>
      <c r="R3805" s="7"/>
      <c r="S3805" s="7"/>
      <c r="T3805" s="7"/>
      <c r="U3805" s="7"/>
      <c r="V3805" s="7"/>
      <c r="W3805" s="7"/>
      <c r="X3805" s="7"/>
      <c r="Y3805" s="7"/>
    </row>
    <row r="3806">
      <c r="A3806" s="14" t="s">
        <v>13500</v>
      </c>
      <c r="B3806" s="17" t="s">
        <v>13494</v>
      </c>
      <c r="C3806" s="17" t="s">
        <v>13501</v>
      </c>
      <c r="D3806" s="19" t="s">
        <v>1707</v>
      </c>
      <c r="E3806" s="20" t="s">
        <v>1084</v>
      </c>
      <c r="F3806" s="21">
        <v>28654.0</v>
      </c>
      <c r="G3806" s="14">
        <v>48.0</v>
      </c>
      <c r="H3806" s="23" t="s">
        <v>26</v>
      </c>
      <c r="I3806" s="24" t="s">
        <v>27</v>
      </c>
      <c r="J3806" s="19" t="s">
        <v>328</v>
      </c>
      <c r="K3806" s="14">
        <v>27.0</v>
      </c>
      <c r="L3806" s="7"/>
      <c r="M3806" s="7"/>
      <c r="N3806" s="7"/>
      <c r="O3806" s="7"/>
      <c r="P3806" s="7"/>
      <c r="Q3806" s="7"/>
      <c r="R3806" s="7"/>
      <c r="S3806" s="7"/>
      <c r="T3806" s="7"/>
      <c r="U3806" s="7"/>
      <c r="V3806" s="7"/>
      <c r="W3806" s="7"/>
      <c r="X3806" s="7"/>
      <c r="Y3806" s="7"/>
    </row>
    <row r="3807">
      <c r="A3807" s="14" t="s">
        <v>13502</v>
      </c>
      <c r="B3807" s="17" t="s">
        <v>13494</v>
      </c>
      <c r="C3807" s="17" t="s">
        <v>13503</v>
      </c>
      <c r="D3807" s="19" t="s">
        <v>13504</v>
      </c>
      <c r="E3807" s="20" t="s">
        <v>1291</v>
      </c>
      <c r="F3807" s="21">
        <v>26464.0</v>
      </c>
      <c r="G3807" s="14">
        <v>54.0</v>
      </c>
      <c r="H3807" s="23" t="s">
        <v>26</v>
      </c>
      <c r="I3807" s="24" t="s">
        <v>33</v>
      </c>
      <c r="J3807" s="19" t="s">
        <v>328</v>
      </c>
      <c r="K3807" s="14">
        <v>27.0</v>
      </c>
      <c r="L3807" s="7"/>
      <c r="M3807" s="7"/>
      <c r="N3807" s="7"/>
      <c r="O3807" s="7"/>
      <c r="P3807" s="7"/>
      <c r="Q3807" s="7"/>
      <c r="R3807" s="7"/>
      <c r="S3807" s="7"/>
      <c r="T3807" s="7"/>
      <c r="U3807" s="7"/>
      <c r="V3807" s="7"/>
      <c r="W3807" s="7"/>
      <c r="X3807" s="7"/>
      <c r="Y3807" s="7"/>
    </row>
    <row r="3808">
      <c r="A3808" s="14" t="s">
        <v>13505</v>
      </c>
      <c r="B3808" s="17" t="s">
        <v>13506</v>
      </c>
      <c r="C3808" s="17" t="s">
        <v>13507</v>
      </c>
      <c r="D3808" s="19" t="s">
        <v>9465</v>
      </c>
      <c r="E3808" s="20" t="s">
        <v>654</v>
      </c>
      <c r="F3808" s="21">
        <v>20271.0</v>
      </c>
      <c r="G3808" s="14">
        <v>71.0</v>
      </c>
      <c r="H3808" s="23" t="s">
        <v>27</v>
      </c>
      <c r="I3808" s="24" t="s">
        <v>27</v>
      </c>
      <c r="J3808" s="19" t="s">
        <v>895</v>
      </c>
      <c r="K3808" s="14">
        <v>25.0</v>
      </c>
      <c r="L3808" s="7"/>
      <c r="M3808" s="7"/>
      <c r="N3808" s="7"/>
      <c r="O3808" s="7"/>
      <c r="P3808" s="7"/>
      <c r="Q3808" s="7"/>
      <c r="R3808" s="7"/>
      <c r="S3808" s="7"/>
      <c r="T3808" s="7"/>
      <c r="U3808" s="7"/>
      <c r="V3808" s="7"/>
      <c r="W3808" s="7"/>
      <c r="X3808" s="7"/>
      <c r="Y3808" s="7"/>
    </row>
    <row r="3809">
      <c r="A3809" s="14" t="s">
        <v>13508</v>
      </c>
      <c r="B3809" s="17" t="s">
        <v>13509</v>
      </c>
      <c r="C3809" s="17" t="s">
        <v>13510</v>
      </c>
      <c r="D3809" s="19" t="s">
        <v>13511</v>
      </c>
      <c r="E3809" s="20" t="s">
        <v>104</v>
      </c>
      <c r="F3809" s="27">
        <v>34627.0</v>
      </c>
      <c r="G3809" s="14">
        <v>31.0</v>
      </c>
      <c r="H3809" s="23" t="s">
        <v>26</v>
      </c>
      <c r="I3809" s="24" t="s">
        <v>27</v>
      </c>
      <c r="J3809" s="19" t="s">
        <v>58</v>
      </c>
      <c r="K3809" s="14">
        <v>9.0</v>
      </c>
      <c r="L3809" s="7"/>
      <c r="M3809" s="7"/>
      <c r="N3809" s="7"/>
      <c r="O3809" s="7"/>
      <c r="P3809" s="7"/>
      <c r="Q3809" s="7"/>
      <c r="R3809" s="7"/>
      <c r="S3809" s="7"/>
      <c r="T3809" s="7"/>
      <c r="U3809" s="7"/>
      <c r="V3809" s="7"/>
      <c r="W3809" s="7"/>
      <c r="X3809" s="7"/>
      <c r="Y3809" s="7"/>
    </row>
    <row r="3810">
      <c r="A3810" s="14" t="s">
        <v>13512</v>
      </c>
      <c r="B3810" s="17" t="s">
        <v>13509</v>
      </c>
      <c r="C3810" s="17" t="s">
        <v>13513</v>
      </c>
      <c r="D3810" s="19" t="s">
        <v>13514</v>
      </c>
      <c r="E3810" s="20" t="s">
        <v>13515</v>
      </c>
      <c r="F3810" s="21">
        <v>31315.0</v>
      </c>
      <c r="G3810" s="14">
        <v>40.0</v>
      </c>
      <c r="H3810" s="23" t="s">
        <v>26</v>
      </c>
      <c r="I3810" s="24" t="s">
        <v>33</v>
      </c>
      <c r="J3810" s="19" t="s">
        <v>58</v>
      </c>
      <c r="K3810" s="14">
        <v>9.0</v>
      </c>
      <c r="L3810" s="7"/>
      <c r="M3810" s="7"/>
      <c r="N3810" s="7"/>
      <c r="O3810" s="7"/>
      <c r="P3810" s="7"/>
      <c r="Q3810" s="7"/>
      <c r="R3810" s="7"/>
      <c r="S3810" s="7"/>
      <c r="T3810" s="7"/>
      <c r="U3810" s="7"/>
      <c r="V3810" s="7"/>
      <c r="W3810" s="7"/>
      <c r="X3810" s="7"/>
      <c r="Y3810" s="7"/>
    </row>
    <row r="3811">
      <c r="A3811" s="14" t="s">
        <v>13516</v>
      </c>
      <c r="B3811" s="17" t="s">
        <v>13517</v>
      </c>
      <c r="C3811" s="17" t="s">
        <v>13518</v>
      </c>
      <c r="D3811" s="19" t="s">
        <v>13519</v>
      </c>
      <c r="E3811" s="20" t="s">
        <v>5389</v>
      </c>
      <c r="F3811" s="21">
        <v>24329.0</v>
      </c>
      <c r="G3811" s="14">
        <v>60.0</v>
      </c>
      <c r="H3811" s="23" t="s">
        <v>27</v>
      </c>
      <c r="I3811" s="24" t="s">
        <v>27</v>
      </c>
      <c r="J3811" s="19" t="s">
        <v>206</v>
      </c>
      <c r="K3811" s="14">
        <v>1.0</v>
      </c>
      <c r="L3811" s="7"/>
      <c r="M3811" s="7"/>
      <c r="N3811" s="7"/>
      <c r="O3811" s="7"/>
      <c r="P3811" s="7"/>
      <c r="Q3811" s="7"/>
      <c r="R3811" s="7"/>
      <c r="S3811" s="7"/>
      <c r="T3811" s="7"/>
      <c r="U3811" s="7"/>
      <c r="V3811" s="7"/>
      <c r="W3811" s="7"/>
      <c r="X3811" s="7"/>
      <c r="Y3811" s="7"/>
    </row>
    <row r="3812">
      <c r="A3812" s="14" t="s">
        <v>13520</v>
      </c>
      <c r="B3812" s="17" t="s">
        <v>13517</v>
      </c>
      <c r="C3812" s="17" t="s">
        <v>13521</v>
      </c>
      <c r="D3812" s="19" t="s">
        <v>13522</v>
      </c>
      <c r="E3812" s="20" t="s">
        <v>13523</v>
      </c>
      <c r="F3812" s="21">
        <v>36776.0</v>
      </c>
      <c r="G3812" s="14">
        <v>25.0</v>
      </c>
      <c r="H3812" s="23" t="s">
        <v>100</v>
      </c>
      <c r="I3812" s="24" t="s">
        <v>33</v>
      </c>
      <c r="J3812" s="19" t="s">
        <v>206</v>
      </c>
      <c r="K3812" s="14">
        <v>1.0</v>
      </c>
      <c r="L3812" s="7"/>
      <c r="M3812" s="7"/>
      <c r="N3812" s="7"/>
      <c r="O3812" s="7"/>
      <c r="P3812" s="7"/>
      <c r="Q3812" s="7"/>
      <c r="R3812" s="7"/>
      <c r="S3812" s="7"/>
      <c r="T3812" s="7"/>
      <c r="U3812" s="7"/>
      <c r="V3812" s="7"/>
      <c r="W3812" s="7"/>
      <c r="X3812" s="7"/>
      <c r="Y3812" s="7"/>
    </row>
    <row r="3813">
      <c r="A3813" s="14" t="s">
        <v>13524</v>
      </c>
      <c r="B3813" s="17" t="s">
        <v>276</v>
      </c>
      <c r="C3813" s="17" t="s">
        <v>13525</v>
      </c>
      <c r="D3813" s="19" t="s">
        <v>13526</v>
      </c>
      <c r="E3813" s="20" t="s">
        <v>2689</v>
      </c>
      <c r="F3813" s="21">
        <v>32303.0</v>
      </c>
      <c r="G3813" s="14">
        <v>38.0</v>
      </c>
      <c r="H3813" s="23" t="s">
        <v>100</v>
      </c>
      <c r="I3813" s="24" t="s">
        <v>33</v>
      </c>
      <c r="J3813" s="19" t="s">
        <v>13527</v>
      </c>
      <c r="K3813" s="14">
        <v>9.0</v>
      </c>
      <c r="L3813" s="7"/>
      <c r="M3813" s="7"/>
      <c r="N3813" s="7"/>
      <c r="O3813" s="7"/>
      <c r="P3813" s="7"/>
      <c r="Q3813" s="7"/>
      <c r="R3813" s="7"/>
      <c r="S3813" s="7"/>
      <c r="T3813" s="7"/>
      <c r="U3813" s="7"/>
      <c r="V3813" s="7"/>
      <c r="W3813" s="7"/>
      <c r="X3813" s="7"/>
      <c r="Y3813" s="7"/>
    </row>
    <row r="3814">
      <c r="A3814" s="14" t="s">
        <v>13528</v>
      </c>
      <c r="B3814" s="17" t="s">
        <v>13529</v>
      </c>
      <c r="C3814" s="17" t="s">
        <v>13530</v>
      </c>
      <c r="D3814" s="19" t="s">
        <v>12450</v>
      </c>
      <c r="E3814" s="20" t="s">
        <v>429</v>
      </c>
      <c r="F3814" s="21">
        <v>14681.0</v>
      </c>
      <c r="G3814" s="14">
        <v>86.0</v>
      </c>
      <c r="H3814" s="23" t="s">
        <v>26</v>
      </c>
      <c r="I3814" s="24" t="s">
        <v>33</v>
      </c>
      <c r="J3814" s="19" t="s">
        <v>726</v>
      </c>
      <c r="K3814" s="14">
        <v>11.0</v>
      </c>
      <c r="L3814" s="7"/>
      <c r="M3814" s="7"/>
      <c r="N3814" s="7"/>
      <c r="O3814" s="7"/>
      <c r="P3814" s="7"/>
      <c r="Q3814" s="7"/>
      <c r="R3814" s="7"/>
      <c r="S3814" s="7"/>
      <c r="T3814" s="7"/>
      <c r="U3814" s="7"/>
      <c r="V3814" s="7"/>
      <c r="W3814" s="7"/>
      <c r="X3814" s="7"/>
      <c r="Y3814" s="7"/>
    </row>
    <row r="3815">
      <c r="A3815" s="14" t="s">
        <v>13531</v>
      </c>
      <c r="B3815" s="17" t="s">
        <v>13532</v>
      </c>
      <c r="C3815" s="17" t="s">
        <v>13533</v>
      </c>
      <c r="D3815" s="19" t="s">
        <v>13534</v>
      </c>
      <c r="E3815" s="20" t="s">
        <v>1095</v>
      </c>
      <c r="F3815" s="27">
        <v>39010.0</v>
      </c>
      <c r="G3815" s="14">
        <v>19.0</v>
      </c>
      <c r="H3815" s="23" t="s">
        <v>100</v>
      </c>
      <c r="I3815" s="24" t="s">
        <v>33</v>
      </c>
      <c r="J3815" s="19" t="s">
        <v>362</v>
      </c>
      <c r="K3815" s="14">
        <v>21.0</v>
      </c>
      <c r="L3815" s="7"/>
      <c r="M3815" s="7"/>
      <c r="N3815" s="7"/>
      <c r="O3815" s="7"/>
      <c r="P3815" s="7"/>
      <c r="Q3815" s="7"/>
      <c r="R3815" s="7"/>
      <c r="S3815" s="7"/>
      <c r="T3815" s="7"/>
      <c r="U3815" s="7"/>
      <c r="V3815" s="7"/>
      <c r="W3815" s="7"/>
      <c r="X3815" s="7"/>
      <c r="Y3815" s="7"/>
    </row>
    <row r="3816">
      <c r="A3816" s="14" t="s">
        <v>13535</v>
      </c>
      <c r="B3816" s="17" t="s">
        <v>13532</v>
      </c>
      <c r="C3816" s="17" t="s">
        <v>13536</v>
      </c>
      <c r="D3816" s="19" t="s">
        <v>13537</v>
      </c>
      <c r="E3816" s="20" t="s">
        <v>104</v>
      </c>
      <c r="F3816" s="21">
        <v>31426.0</v>
      </c>
      <c r="G3816" s="14">
        <v>40.0</v>
      </c>
      <c r="H3816" s="23" t="s">
        <v>26</v>
      </c>
      <c r="I3816" s="24" t="s">
        <v>27</v>
      </c>
      <c r="J3816" s="19" t="s">
        <v>362</v>
      </c>
      <c r="K3816" s="14">
        <v>21.0</v>
      </c>
      <c r="L3816" s="7"/>
      <c r="M3816" s="7"/>
      <c r="N3816" s="7"/>
      <c r="O3816" s="7"/>
      <c r="P3816" s="7"/>
      <c r="Q3816" s="7"/>
      <c r="R3816" s="7"/>
      <c r="S3816" s="7"/>
      <c r="T3816" s="7"/>
      <c r="U3816" s="7"/>
      <c r="V3816" s="7"/>
      <c r="W3816" s="7"/>
      <c r="X3816" s="7"/>
      <c r="Y3816" s="7"/>
    </row>
    <row r="3817">
      <c r="A3817" s="14" t="s">
        <v>13538</v>
      </c>
      <c r="B3817" s="17" t="s">
        <v>13532</v>
      </c>
      <c r="C3817" s="17" t="s">
        <v>13539</v>
      </c>
      <c r="D3817" s="19" t="s">
        <v>540</v>
      </c>
      <c r="E3817" s="20" t="s">
        <v>104</v>
      </c>
      <c r="F3817" s="21">
        <v>30902.0</v>
      </c>
      <c r="G3817" s="14">
        <v>42.0</v>
      </c>
      <c r="H3817" s="23" t="s">
        <v>26</v>
      </c>
      <c r="I3817" s="24" t="s">
        <v>33</v>
      </c>
      <c r="J3817" s="19" t="s">
        <v>362</v>
      </c>
      <c r="K3817" s="14">
        <v>21.0</v>
      </c>
      <c r="L3817" s="7"/>
      <c r="M3817" s="7"/>
      <c r="N3817" s="7"/>
      <c r="O3817" s="7"/>
      <c r="P3817" s="7"/>
      <c r="Q3817" s="7"/>
      <c r="R3817" s="7"/>
      <c r="S3817" s="7"/>
      <c r="T3817" s="7"/>
      <c r="U3817" s="7"/>
      <c r="V3817" s="7"/>
      <c r="W3817" s="7"/>
      <c r="X3817" s="7"/>
      <c r="Y3817" s="7"/>
    </row>
    <row r="3818">
      <c r="A3818" s="14" t="s">
        <v>13540</v>
      </c>
      <c r="B3818" s="17" t="s">
        <v>13541</v>
      </c>
      <c r="C3818" s="17" t="s">
        <v>13542</v>
      </c>
      <c r="D3818" s="19" t="s">
        <v>13543</v>
      </c>
      <c r="E3818" s="20" t="s">
        <v>1133</v>
      </c>
      <c r="F3818" s="21">
        <v>38902.0</v>
      </c>
      <c r="G3818" s="14">
        <v>20.0</v>
      </c>
      <c r="H3818" s="23" t="s">
        <v>100</v>
      </c>
      <c r="I3818" s="24" t="s">
        <v>33</v>
      </c>
      <c r="J3818" s="19" t="s">
        <v>282</v>
      </c>
      <c r="K3818" s="14">
        <v>16.0</v>
      </c>
      <c r="L3818" s="7"/>
      <c r="M3818" s="7"/>
      <c r="N3818" s="7"/>
      <c r="O3818" s="7"/>
      <c r="P3818" s="7"/>
      <c r="Q3818" s="7"/>
      <c r="R3818" s="7"/>
      <c r="S3818" s="7"/>
      <c r="T3818" s="7"/>
      <c r="U3818" s="7"/>
      <c r="V3818" s="7"/>
      <c r="W3818" s="7"/>
      <c r="X3818" s="7"/>
      <c r="Y3818" s="7"/>
    </row>
    <row r="3819">
      <c r="A3819" s="14" t="s">
        <v>13544</v>
      </c>
      <c r="B3819" s="17" t="s">
        <v>13541</v>
      </c>
      <c r="C3819" s="17" t="s">
        <v>13545</v>
      </c>
      <c r="D3819" s="19" t="s">
        <v>13546</v>
      </c>
      <c r="E3819" s="20" t="s">
        <v>671</v>
      </c>
      <c r="F3819" s="21">
        <v>25283.0</v>
      </c>
      <c r="G3819" s="14">
        <v>57.0</v>
      </c>
      <c r="H3819" s="23" t="s">
        <v>26</v>
      </c>
      <c r="I3819" s="24" t="s">
        <v>33</v>
      </c>
      <c r="J3819" s="19" t="s">
        <v>282</v>
      </c>
      <c r="K3819" s="14">
        <v>16.0</v>
      </c>
      <c r="L3819" s="7"/>
      <c r="M3819" s="7"/>
      <c r="N3819" s="7"/>
      <c r="O3819" s="7"/>
      <c r="P3819" s="7"/>
      <c r="Q3819" s="7"/>
      <c r="R3819" s="7"/>
      <c r="S3819" s="7"/>
      <c r="T3819" s="7"/>
      <c r="U3819" s="7"/>
      <c r="V3819" s="7"/>
      <c r="W3819" s="7"/>
      <c r="X3819" s="7"/>
      <c r="Y3819" s="7"/>
    </row>
    <row r="3820">
      <c r="A3820" s="14" t="s">
        <v>13547</v>
      </c>
      <c r="B3820" s="17" t="s">
        <v>13541</v>
      </c>
      <c r="C3820" s="17" t="s">
        <v>13548</v>
      </c>
      <c r="D3820" s="19" t="s">
        <v>13549</v>
      </c>
      <c r="E3820" s="20" t="s">
        <v>624</v>
      </c>
      <c r="F3820" s="21">
        <v>27634.0</v>
      </c>
      <c r="G3820" s="14">
        <v>51.0</v>
      </c>
      <c r="H3820" s="23" t="s">
        <v>26</v>
      </c>
      <c r="I3820" s="24" t="s">
        <v>27</v>
      </c>
      <c r="J3820" s="19" t="s">
        <v>282</v>
      </c>
      <c r="K3820" s="14">
        <v>16.0</v>
      </c>
      <c r="L3820" s="7"/>
      <c r="M3820" s="7"/>
      <c r="N3820" s="7"/>
      <c r="O3820" s="7"/>
      <c r="P3820" s="7"/>
      <c r="Q3820" s="7"/>
      <c r="R3820" s="7"/>
      <c r="S3820" s="7"/>
      <c r="T3820" s="7"/>
      <c r="U3820" s="7"/>
      <c r="V3820" s="7"/>
      <c r="W3820" s="7"/>
      <c r="X3820" s="7"/>
      <c r="Y3820" s="7"/>
    </row>
    <row r="3821">
      <c r="A3821" s="14" t="s">
        <v>13550</v>
      </c>
      <c r="B3821" s="17" t="s">
        <v>13551</v>
      </c>
      <c r="C3821" s="17" t="s">
        <v>13552</v>
      </c>
      <c r="D3821" s="19" t="s">
        <v>13553</v>
      </c>
      <c r="E3821" s="20" t="s">
        <v>337</v>
      </c>
      <c r="F3821" s="21">
        <v>33105.0</v>
      </c>
      <c r="G3821" s="14">
        <v>36.0</v>
      </c>
      <c r="H3821" s="23" t="s">
        <v>26</v>
      </c>
      <c r="I3821" s="24" t="s">
        <v>27</v>
      </c>
      <c r="J3821" s="19" t="s">
        <v>757</v>
      </c>
      <c r="K3821" s="14">
        <v>10.0</v>
      </c>
      <c r="L3821" s="7"/>
      <c r="M3821" s="7"/>
      <c r="N3821" s="7"/>
      <c r="O3821" s="7"/>
      <c r="P3821" s="7"/>
      <c r="Q3821" s="7"/>
      <c r="R3821" s="7"/>
      <c r="S3821" s="7"/>
      <c r="T3821" s="7"/>
      <c r="U3821" s="7"/>
      <c r="V3821" s="7"/>
      <c r="W3821" s="7"/>
      <c r="X3821" s="7"/>
      <c r="Y3821" s="7"/>
    </row>
    <row r="3822">
      <c r="A3822" s="14" t="s">
        <v>13554</v>
      </c>
      <c r="B3822" s="17" t="s">
        <v>13551</v>
      </c>
      <c r="C3822" s="17" t="s">
        <v>13555</v>
      </c>
      <c r="D3822" s="19" t="s">
        <v>684</v>
      </c>
      <c r="E3822" s="20" t="s">
        <v>104</v>
      </c>
      <c r="F3822" s="21">
        <v>33065.0</v>
      </c>
      <c r="G3822" s="14">
        <v>36.0</v>
      </c>
      <c r="H3822" s="23" t="s">
        <v>26</v>
      </c>
      <c r="I3822" s="24" t="s">
        <v>33</v>
      </c>
      <c r="J3822" s="19" t="s">
        <v>757</v>
      </c>
      <c r="K3822" s="14">
        <v>10.0</v>
      </c>
      <c r="L3822" s="7"/>
      <c r="M3822" s="7"/>
      <c r="N3822" s="7"/>
      <c r="O3822" s="7"/>
      <c r="P3822" s="7"/>
      <c r="Q3822" s="7"/>
      <c r="R3822" s="7"/>
      <c r="S3822" s="7"/>
      <c r="T3822" s="7"/>
      <c r="U3822" s="7"/>
      <c r="V3822" s="7"/>
      <c r="W3822" s="7"/>
      <c r="X3822" s="7"/>
      <c r="Y3822" s="7"/>
    </row>
    <row r="3823">
      <c r="A3823" s="14" t="s">
        <v>13556</v>
      </c>
      <c r="B3823" s="17" t="s">
        <v>13557</v>
      </c>
      <c r="C3823" s="17" t="s">
        <v>13558</v>
      </c>
      <c r="D3823" s="19" t="s">
        <v>13559</v>
      </c>
      <c r="E3823" s="20" t="s">
        <v>13560</v>
      </c>
      <c r="F3823" s="21">
        <v>32392.0</v>
      </c>
      <c r="G3823" s="14">
        <v>37.0</v>
      </c>
      <c r="H3823" s="23" t="s">
        <v>26</v>
      </c>
      <c r="I3823" s="24" t="s">
        <v>33</v>
      </c>
      <c r="J3823" s="19" t="s">
        <v>58</v>
      </c>
      <c r="K3823" s="14">
        <v>7.0</v>
      </c>
      <c r="L3823" s="7"/>
      <c r="M3823" s="7"/>
      <c r="N3823" s="7"/>
      <c r="O3823" s="7"/>
      <c r="P3823" s="7"/>
      <c r="Q3823" s="7"/>
      <c r="R3823" s="7"/>
      <c r="S3823" s="7"/>
      <c r="T3823" s="7"/>
      <c r="U3823" s="7"/>
      <c r="V3823" s="7"/>
      <c r="W3823" s="7"/>
      <c r="X3823" s="7"/>
      <c r="Y3823" s="7"/>
    </row>
    <row r="3824">
      <c r="A3824" s="14" t="s">
        <v>13561</v>
      </c>
      <c r="B3824" s="17" t="s">
        <v>13557</v>
      </c>
      <c r="C3824" s="17" t="s">
        <v>13562</v>
      </c>
      <c r="D3824" s="19" t="s">
        <v>13563</v>
      </c>
      <c r="E3824" s="20" t="s">
        <v>104</v>
      </c>
      <c r="F3824" s="21">
        <v>34220.0</v>
      </c>
      <c r="G3824" s="14">
        <v>32.0</v>
      </c>
      <c r="H3824" s="23" t="s">
        <v>26</v>
      </c>
      <c r="I3824" s="24" t="s">
        <v>27</v>
      </c>
      <c r="J3824" s="19" t="s">
        <v>58</v>
      </c>
      <c r="K3824" s="14">
        <v>7.0</v>
      </c>
      <c r="L3824" s="7"/>
      <c r="M3824" s="7"/>
      <c r="N3824" s="7"/>
      <c r="O3824" s="7"/>
      <c r="P3824" s="7"/>
      <c r="Q3824" s="7"/>
      <c r="R3824" s="7"/>
      <c r="S3824" s="7"/>
      <c r="T3824" s="7"/>
      <c r="U3824" s="7"/>
      <c r="V3824" s="7"/>
      <c r="W3824" s="7"/>
      <c r="X3824" s="7"/>
      <c r="Y3824" s="7"/>
    </row>
    <row r="3825">
      <c r="A3825" s="14" t="s">
        <v>13564</v>
      </c>
      <c r="B3825" s="17" t="s">
        <v>13565</v>
      </c>
      <c r="C3825" s="17" t="s">
        <v>13566</v>
      </c>
      <c r="D3825" s="19" t="s">
        <v>1143</v>
      </c>
      <c r="E3825" s="20" t="s">
        <v>104</v>
      </c>
      <c r="F3825" s="27">
        <v>30240.0</v>
      </c>
      <c r="G3825" s="14">
        <v>43.0</v>
      </c>
      <c r="H3825" s="23" t="s">
        <v>26</v>
      </c>
      <c r="I3825" s="24" t="s">
        <v>33</v>
      </c>
      <c r="J3825" s="19" t="s">
        <v>53</v>
      </c>
      <c r="K3825" s="14">
        <v>6.0</v>
      </c>
      <c r="L3825" s="7"/>
      <c r="M3825" s="7"/>
      <c r="N3825" s="7"/>
      <c r="O3825" s="7"/>
      <c r="P3825" s="7"/>
      <c r="Q3825" s="7"/>
      <c r="R3825" s="7"/>
      <c r="S3825" s="7"/>
      <c r="T3825" s="7"/>
      <c r="U3825" s="7"/>
      <c r="V3825" s="7"/>
      <c r="W3825" s="7"/>
      <c r="X3825" s="7"/>
      <c r="Y3825" s="7"/>
    </row>
    <row r="3826">
      <c r="A3826" s="14" t="s">
        <v>13567</v>
      </c>
      <c r="B3826" s="17" t="s">
        <v>13565</v>
      </c>
      <c r="C3826" s="17" t="s">
        <v>13568</v>
      </c>
      <c r="D3826" s="19" t="s">
        <v>13569</v>
      </c>
      <c r="E3826" s="20" t="s">
        <v>53</v>
      </c>
      <c r="F3826" s="21">
        <v>33801.0</v>
      </c>
      <c r="G3826" s="14">
        <v>34.0</v>
      </c>
      <c r="H3826" s="23" t="s">
        <v>26</v>
      </c>
      <c r="I3826" s="24" t="s">
        <v>27</v>
      </c>
      <c r="J3826" s="19" t="s">
        <v>53</v>
      </c>
      <c r="K3826" s="14">
        <v>6.0</v>
      </c>
      <c r="L3826" s="7"/>
      <c r="M3826" s="7"/>
      <c r="N3826" s="7"/>
      <c r="O3826" s="7"/>
      <c r="P3826" s="7"/>
      <c r="Q3826" s="7"/>
      <c r="R3826" s="7"/>
      <c r="S3826" s="7"/>
      <c r="T3826" s="7"/>
      <c r="U3826" s="7"/>
      <c r="V3826" s="7"/>
      <c r="W3826" s="7"/>
      <c r="X3826" s="7"/>
      <c r="Y3826" s="7"/>
    </row>
    <row r="3827">
      <c r="A3827" s="14" t="s">
        <v>13570</v>
      </c>
      <c r="B3827" s="17" t="s">
        <v>13571</v>
      </c>
      <c r="C3827" s="17" t="s">
        <v>13572</v>
      </c>
      <c r="D3827" s="19" t="s">
        <v>13573</v>
      </c>
      <c r="E3827" s="20" t="s">
        <v>112</v>
      </c>
      <c r="F3827" s="21">
        <v>24696.0</v>
      </c>
      <c r="G3827" s="14">
        <v>59.0</v>
      </c>
      <c r="H3827" s="23" t="s">
        <v>26</v>
      </c>
      <c r="I3827" s="24" t="s">
        <v>33</v>
      </c>
      <c r="J3827" s="19" t="s">
        <v>726</v>
      </c>
      <c r="K3827" s="14">
        <v>13.0</v>
      </c>
      <c r="L3827" s="7"/>
      <c r="M3827" s="7"/>
      <c r="N3827" s="7"/>
      <c r="O3827" s="7"/>
      <c r="P3827" s="7"/>
      <c r="Q3827" s="7"/>
      <c r="R3827" s="7"/>
      <c r="S3827" s="7"/>
      <c r="T3827" s="7"/>
      <c r="U3827" s="7"/>
      <c r="V3827" s="7"/>
      <c r="W3827" s="7"/>
      <c r="X3827" s="7"/>
      <c r="Y3827" s="7"/>
    </row>
    <row r="3828">
      <c r="A3828" s="14" t="s">
        <v>13574</v>
      </c>
      <c r="B3828" s="17" t="s">
        <v>13571</v>
      </c>
      <c r="C3828" s="17" t="s">
        <v>13575</v>
      </c>
      <c r="D3828" s="19" t="s">
        <v>13576</v>
      </c>
      <c r="E3828" s="20" t="s">
        <v>4257</v>
      </c>
      <c r="F3828" s="21">
        <v>35946.0</v>
      </c>
      <c r="G3828" s="14">
        <v>28.0</v>
      </c>
      <c r="H3828" s="23" t="s">
        <v>100</v>
      </c>
      <c r="I3828" s="24" t="s">
        <v>33</v>
      </c>
      <c r="J3828" s="19" t="s">
        <v>726</v>
      </c>
      <c r="K3828" s="14">
        <v>13.0</v>
      </c>
      <c r="L3828" s="7"/>
      <c r="M3828" s="7"/>
      <c r="N3828" s="7"/>
      <c r="O3828" s="7"/>
      <c r="P3828" s="7"/>
      <c r="Q3828" s="7"/>
      <c r="R3828" s="7"/>
      <c r="S3828" s="7"/>
      <c r="T3828" s="7"/>
      <c r="U3828" s="7"/>
      <c r="V3828" s="7"/>
      <c r="W3828" s="7"/>
      <c r="X3828" s="7"/>
      <c r="Y3828" s="7"/>
    </row>
    <row r="3829">
      <c r="A3829" s="14" t="s">
        <v>13577</v>
      </c>
      <c r="B3829" s="17" t="s">
        <v>13571</v>
      </c>
      <c r="C3829" s="17" t="s">
        <v>13578</v>
      </c>
      <c r="D3829" s="19" t="s">
        <v>11971</v>
      </c>
      <c r="E3829" s="20" t="s">
        <v>195</v>
      </c>
      <c r="F3829" s="21">
        <v>26173.0</v>
      </c>
      <c r="G3829" s="14">
        <v>55.0</v>
      </c>
      <c r="H3829" s="23" t="s">
        <v>26</v>
      </c>
      <c r="I3829" s="24" t="s">
        <v>27</v>
      </c>
      <c r="J3829" s="19" t="s">
        <v>726</v>
      </c>
      <c r="K3829" s="14">
        <v>13.0</v>
      </c>
      <c r="L3829" s="7"/>
      <c r="M3829" s="7"/>
      <c r="N3829" s="7"/>
      <c r="O3829" s="7"/>
      <c r="P3829" s="7"/>
      <c r="Q3829" s="7"/>
      <c r="R3829" s="7"/>
      <c r="S3829" s="7"/>
      <c r="T3829" s="7"/>
      <c r="U3829" s="7"/>
      <c r="V3829" s="7"/>
      <c r="W3829" s="7"/>
      <c r="X3829" s="7"/>
      <c r="Y3829" s="7"/>
    </row>
    <row r="3830">
      <c r="A3830" s="14" t="s">
        <v>13579</v>
      </c>
      <c r="B3830" s="17" t="s">
        <v>13580</v>
      </c>
      <c r="C3830" s="17" t="s">
        <v>13581</v>
      </c>
      <c r="D3830" s="19" t="s">
        <v>13582</v>
      </c>
      <c r="E3830" s="20" t="s">
        <v>53</v>
      </c>
      <c r="F3830" s="21">
        <v>35083.0</v>
      </c>
      <c r="G3830" s="14">
        <v>30.0</v>
      </c>
      <c r="H3830" s="23" t="s">
        <v>27</v>
      </c>
      <c r="I3830" s="24" t="s">
        <v>27</v>
      </c>
      <c r="J3830" s="19" t="s">
        <v>282</v>
      </c>
      <c r="K3830" s="14">
        <v>18.0</v>
      </c>
      <c r="L3830" s="7"/>
      <c r="M3830" s="7"/>
      <c r="N3830" s="7"/>
      <c r="O3830" s="7"/>
      <c r="P3830" s="7"/>
      <c r="Q3830" s="7"/>
      <c r="R3830" s="7"/>
      <c r="S3830" s="7"/>
      <c r="T3830" s="7"/>
      <c r="U3830" s="7"/>
      <c r="V3830" s="7"/>
      <c r="W3830" s="7"/>
      <c r="X3830" s="7"/>
      <c r="Y3830" s="7"/>
    </row>
    <row r="3831">
      <c r="A3831" s="14" t="s">
        <v>13583</v>
      </c>
      <c r="B3831" s="17" t="s">
        <v>13584</v>
      </c>
      <c r="C3831" s="17" t="s">
        <v>13585</v>
      </c>
      <c r="D3831" s="19" t="s">
        <v>13586</v>
      </c>
      <c r="E3831" s="20" t="s">
        <v>104</v>
      </c>
      <c r="F3831" s="21">
        <v>29561.0</v>
      </c>
      <c r="G3831" s="14">
        <v>45.0</v>
      </c>
      <c r="H3831" s="23" t="s">
        <v>100</v>
      </c>
      <c r="I3831" s="24" t="s">
        <v>33</v>
      </c>
      <c r="J3831" s="19" t="s">
        <v>53</v>
      </c>
      <c r="K3831" s="14">
        <v>22.0</v>
      </c>
      <c r="L3831" s="7"/>
      <c r="M3831" s="7"/>
      <c r="N3831" s="7"/>
      <c r="O3831" s="7"/>
      <c r="P3831" s="7"/>
      <c r="Q3831" s="7"/>
      <c r="R3831" s="7"/>
      <c r="S3831" s="7"/>
      <c r="T3831" s="7"/>
      <c r="U3831" s="7"/>
      <c r="V3831" s="7"/>
      <c r="W3831" s="7"/>
      <c r="X3831" s="7"/>
      <c r="Y3831" s="7"/>
    </row>
    <row r="3832">
      <c r="A3832" s="14" t="s">
        <v>13587</v>
      </c>
      <c r="B3832" s="17" t="s">
        <v>13584</v>
      </c>
      <c r="C3832" s="17" t="s">
        <v>13588</v>
      </c>
      <c r="D3832" s="19" t="s">
        <v>13589</v>
      </c>
      <c r="E3832" s="20" t="s">
        <v>104</v>
      </c>
      <c r="F3832" s="27">
        <v>36889.0</v>
      </c>
      <c r="G3832" s="14">
        <v>25.0</v>
      </c>
      <c r="H3832" s="23" t="s">
        <v>100</v>
      </c>
      <c r="I3832" s="24" t="s">
        <v>27</v>
      </c>
      <c r="J3832" s="19" t="s">
        <v>53</v>
      </c>
      <c r="K3832" s="14">
        <v>22.0</v>
      </c>
      <c r="L3832" s="7"/>
      <c r="M3832" s="7"/>
      <c r="N3832" s="7"/>
      <c r="O3832" s="7"/>
      <c r="P3832" s="7"/>
      <c r="Q3832" s="7"/>
      <c r="R3832" s="7"/>
      <c r="S3832" s="7"/>
      <c r="T3832" s="7"/>
      <c r="U3832" s="7"/>
      <c r="V3832" s="7"/>
      <c r="W3832" s="7"/>
      <c r="X3832" s="7"/>
      <c r="Y3832" s="7"/>
    </row>
    <row r="3833">
      <c r="A3833" s="14" t="s">
        <v>13590</v>
      </c>
      <c r="B3833" s="17" t="s">
        <v>13584</v>
      </c>
      <c r="C3833" s="17" t="s">
        <v>13591</v>
      </c>
      <c r="D3833" s="19" t="s">
        <v>13592</v>
      </c>
      <c r="E3833" s="20" t="s">
        <v>632</v>
      </c>
      <c r="F3833" s="21">
        <v>19944.0</v>
      </c>
      <c r="G3833" s="14">
        <v>72.0</v>
      </c>
      <c r="H3833" s="23" t="s">
        <v>26</v>
      </c>
      <c r="I3833" s="24" t="s">
        <v>33</v>
      </c>
      <c r="J3833" s="19" t="s">
        <v>53</v>
      </c>
      <c r="K3833" s="14">
        <v>22.0</v>
      </c>
      <c r="L3833" s="7"/>
      <c r="M3833" s="7"/>
      <c r="N3833" s="7"/>
      <c r="O3833" s="7"/>
      <c r="P3833" s="7"/>
      <c r="Q3833" s="7"/>
      <c r="R3833" s="7"/>
      <c r="S3833" s="7"/>
      <c r="T3833" s="7"/>
      <c r="U3833" s="7"/>
      <c r="V3833" s="7"/>
      <c r="W3833" s="7"/>
      <c r="X3833" s="7"/>
      <c r="Y3833" s="7"/>
    </row>
    <row r="3834">
      <c r="A3834" s="14" t="s">
        <v>13593</v>
      </c>
      <c r="B3834" s="17" t="s">
        <v>13584</v>
      </c>
      <c r="C3834" s="17" t="s">
        <v>13594</v>
      </c>
      <c r="D3834" s="19" t="s">
        <v>13595</v>
      </c>
      <c r="E3834" s="20" t="s">
        <v>632</v>
      </c>
      <c r="F3834" s="21">
        <v>21708.0</v>
      </c>
      <c r="G3834" s="14">
        <v>67.0</v>
      </c>
      <c r="H3834" s="23" t="s">
        <v>26</v>
      </c>
      <c r="I3834" s="24" t="s">
        <v>27</v>
      </c>
      <c r="J3834" s="19" t="s">
        <v>337</v>
      </c>
      <c r="K3834" s="14">
        <v>22.0</v>
      </c>
      <c r="L3834" s="7"/>
      <c r="M3834" s="7"/>
      <c r="N3834" s="7"/>
      <c r="O3834" s="7"/>
      <c r="P3834" s="7"/>
      <c r="Q3834" s="7"/>
      <c r="R3834" s="7"/>
      <c r="S3834" s="7"/>
      <c r="T3834" s="7"/>
      <c r="U3834" s="7"/>
      <c r="V3834" s="7"/>
      <c r="W3834" s="7"/>
      <c r="X3834" s="7"/>
      <c r="Y3834" s="7"/>
    </row>
    <row r="3835">
      <c r="A3835" s="14" t="s">
        <v>13596</v>
      </c>
      <c r="B3835" s="17" t="s">
        <v>13597</v>
      </c>
      <c r="C3835" s="17" t="s">
        <v>13598</v>
      </c>
      <c r="D3835" s="19" t="s">
        <v>13599</v>
      </c>
      <c r="E3835" s="20" t="s">
        <v>13600</v>
      </c>
      <c r="F3835" s="21">
        <v>26343.0</v>
      </c>
      <c r="G3835" s="14">
        <v>54.0</v>
      </c>
      <c r="H3835" s="23" t="s">
        <v>26</v>
      </c>
      <c r="I3835" s="24" t="s">
        <v>33</v>
      </c>
      <c r="J3835" s="19" t="s">
        <v>257</v>
      </c>
      <c r="K3835" s="14">
        <v>25.0</v>
      </c>
      <c r="L3835" s="7"/>
      <c r="M3835" s="7"/>
      <c r="N3835" s="7"/>
      <c r="O3835" s="7"/>
      <c r="P3835" s="7"/>
      <c r="Q3835" s="7"/>
      <c r="R3835" s="7"/>
      <c r="S3835" s="7"/>
      <c r="T3835" s="7"/>
      <c r="U3835" s="7"/>
      <c r="V3835" s="7"/>
      <c r="W3835" s="7"/>
      <c r="X3835" s="7"/>
      <c r="Y3835" s="7"/>
    </row>
    <row r="3836">
      <c r="A3836" s="14" t="s">
        <v>13601</v>
      </c>
      <c r="B3836" s="17" t="s">
        <v>13597</v>
      </c>
      <c r="C3836" s="17" t="s">
        <v>13602</v>
      </c>
      <c r="D3836" s="19" t="s">
        <v>13603</v>
      </c>
      <c r="E3836" s="20" t="s">
        <v>6420</v>
      </c>
      <c r="F3836" s="21">
        <v>38038.0</v>
      </c>
      <c r="G3836" s="14">
        <v>22.0</v>
      </c>
      <c r="H3836" s="23" t="s">
        <v>100</v>
      </c>
      <c r="I3836" s="24" t="s">
        <v>33</v>
      </c>
      <c r="J3836" s="19" t="s">
        <v>257</v>
      </c>
      <c r="K3836" s="14">
        <v>25.0</v>
      </c>
      <c r="L3836" s="7"/>
      <c r="M3836" s="7"/>
      <c r="N3836" s="7"/>
      <c r="O3836" s="7"/>
      <c r="P3836" s="7"/>
      <c r="Q3836" s="7"/>
      <c r="R3836" s="7"/>
      <c r="S3836" s="7"/>
      <c r="T3836" s="7"/>
      <c r="U3836" s="7"/>
      <c r="V3836" s="7"/>
      <c r="W3836" s="7"/>
      <c r="X3836" s="7"/>
      <c r="Y3836" s="7"/>
    </row>
    <row r="3837">
      <c r="A3837" s="14" t="s">
        <v>13604</v>
      </c>
      <c r="B3837" s="17" t="s">
        <v>13597</v>
      </c>
      <c r="C3837" s="17" t="s">
        <v>13605</v>
      </c>
      <c r="D3837" s="19" t="s">
        <v>7933</v>
      </c>
      <c r="E3837" s="20" t="s">
        <v>6420</v>
      </c>
      <c r="F3837" s="21">
        <v>26049.0</v>
      </c>
      <c r="G3837" s="14">
        <v>55.0</v>
      </c>
      <c r="H3837" s="23" t="s">
        <v>26</v>
      </c>
      <c r="I3837" s="24" t="s">
        <v>27</v>
      </c>
      <c r="J3837" s="19" t="s">
        <v>257</v>
      </c>
      <c r="K3837" s="14">
        <v>25.0</v>
      </c>
      <c r="L3837" s="7"/>
      <c r="M3837" s="7"/>
      <c r="N3837" s="7"/>
      <c r="O3837" s="7"/>
      <c r="P3837" s="7"/>
      <c r="Q3837" s="7"/>
      <c r="R3837" s="7"/>
      <c r="S3837" s="7"/>
      <c r="T3837" s="7"/>
      <c r="U3837" s="7"/>
      <c r="V3837" s="7"/>
      <c r="W3837" s="7"/>
      <c r="X3837" s="7"/>
      <c r="Y3837" s="7"/>
    </row>
    <row r="3838">
      <c r="A3838" s="14" t="s">
        <v>13606</v>
      </c>
      <c r="B3838" s="17" t="s">
        <v>13607</v>
      </c>
      <c r="C3838" s="17" t="s">
        <v>13608</v>
      </c>
      <c r="D3838" s="19" t="s">
        <v>13609</v>
      </c>
      <c r="E3838" s="20" t="s">
        <v>53</v>
      </c>
      <c r="F3838" s="21">
        <v>29891.0</v>
      </c>
      <c r="G3838" s="14">
        <v>44.0</v>
      </c>
      <c r="H3838" s="23" t="s">
        <v>26</v>
      </c>
      <c r="I3838" s="24" t="s">
        <v>27</v>
      </c>
      <c r="J3838" s="19" t="s">
        <v>7905</v>
      </c>
      <c r="K3838" s="14">
        <v>22.0</v>
      </c>
      <c r="L3838" s="7"/>
      <c r="M3838" s="7"/>
      <c r="N3838" s="7"/>
      <c r="O3838" s="7"/>
      <c r="P3838" s="7"/>
      <c r="Q3838" s="7"/>
      <c r="R3838" s="7"/>
      <c r="S3838" s="7"/>
      <c r="T3838" s="7"/>
      <c r="U3838" s="7"/>
      <c r="V3838" s="7"/>
      <c r="W3838" s="7"/>
      <c r="X3838" s="7"/>
      <c r="Y3838" s="7"/>
    </row>
    <row r="3839">
      <c r="A3839" s="14" t="s">
        <v>13610</v>
      </c>
      <c r="B3839" s="17" t="s">
        <v>13607</v>
      </c>
      <c r="C3839" s="17" t="s">
        <v>13611</v>
      </c>
      <c r="D3839" s="19" t="s">
        <v>13612</v>
      </c>
      <c r="E3839" s="20" t="s">
        <v>13613</v>
      </c>
      <c r="F3839" s="21">
        <v>36664.0</v>
      </c>
      <c r="G3839" s="14">
        <v>26.0</v>
      </c>
      <c r="H3839" s="23" t="s">
        <v>100</v>
      </c>
      <c r="I3839" s="24" t="s">
        <v>33</v>
      </c>
      <c r="J3839" s="19" t="s">
        <v>7905</v>
      </c>
      <c r="K3839" s="14">
        <v>22.0</v>
      </c>
      <c r="L3839" s="7"/>
      <c r="M3839" s="7"/>
      <c r="N3839" s="7"/>
      <c r="O3839" s="7"/>
      <c r="P3839" s="7"/>
      <c r="Q3839" s="7"/>
      <c r="R3839" s="7"/>
      <c r="S3839" s="7"/>
      <c r="T3839" s="7"/>
      <c r="U3839" s="7"/>
      <c r="V3839" s="7"/>
      <c r="W3839" s="7"/>
      <c r="X3839" s="7"/>
      <c r="Y3839" s="7"/>
    </row>
    <row r="3840">
      <c r="A3840" s="14" t="s">
        <v>13614</v>
      </c>
      <c r="B3840" s="17" t="s">
        <v>13607</v>
      </c>
      <c r="C3840" s="17" t="s">
        <v>13615</v>
      </c>
      <c r="D3840" s="19" t="s">
        <v>311</v>
      </c>
      <c r="E3840" s="20" t="s">
        <v>195</v>
      </c>
      <c r="F3840" s="21">
        <v>27951.0</v>
      </c>
      <c r="G3840" s="14">
        <v>50.0</v>
      </c>
      <c r="H3840" s="23" t="s">
        <v>26</v>
      </c>
      <c r="I3840" s="24" t="s">
        <v>33</v>
      </c>
      <c r="J3840" s="19" t="s">
        <v>7905</v>
      </c>
      <c r="K3840" s="14">
        <v>22.0</v>
      </c>
      <c r="L3840" s="7"/>
      <c r="M3840" s="7"/>
      <c r="N3840" s="7"/>
      <c r="O3840" s="7"/>
      <c r="P3840" s="7"/>
      <c r="Q3840" s="7"/>
      <c r="R3840" s="7"/>
      <c r="S3840" s="7"/>
      <c r="T3840" s="7"/>
      <c r="U3840" s="7"/>
      <c r="V3840" s="7"/>
      <c r="W3840" s="7"/>
      <c r="X3840" s="7"/>
      <c r="Y3840" s="7"/>
    </row>
    <row r="3841">
      <c r="A3841" s="14" t="s">
        <v>13616</v>
      </c>
      <c r="B3841" s="17" t="s">
        <v>13617</v>
      </c>
      <c r="C3841" s="17" t="s">
        <v>13618</v>
      </c>
      <c r="D3841" s="19" t="s">
        <v>13619</v>
      </c>
      <c r="E3841" s="20" t="s">
        <v>632</v>
      </c>
      <c r="F3841" s="21">
        <v>25819.0</v>
      </c>
      <c r="G3841" s="14">
        <v>55.0</v>
      </c>
      <c r="H3841" s="23" t="s">
        <v>26</v>
      </c>
      <c r="I3841" s="24" t="s">
        <v>33</v>
      </c>
      <c r="J3841" s="19" t="s">
        <v>783</v>
      </c>
      <c r="K3841" s="14">
        <v>22.0</v>
      </c>
      <c r="L3841" s="7"/>
      <c r="M3841" s="7"/>
      <c r="N3841" s="7"/>
      <c r="O3841" s="7"/>
      <c r="P3841" s="7"/>
      <c r="Q3841" s="7"/>
      <c r="R3841" s="7"/>
      <c r="S3841" s="7"/>
      <c r="T3841" s="7"/>
      <c r="U3841" s="7"/>
      <c r="V3841" s="7"/>
      <c r="W3841" s="7"/>
      <c r="X3841" s="7"/>
      <c r="Y3841" s="7"/>
    </row>
    <row r="3842">
      <c r="A3842" s="14" t="s">
        <v>13620</v>
      </c>
      <c r="B3842" s="17" t="s">
        <v>13617</v>
      </c>
      <c r="C3842" s="17" t="s">
        <v>13621</v>
      </c>
      <c r="D3842" s="19" t="s">
        <v>13622</v>
      </c>
      <c r="E3842" s="20" t="s">
        <v>53</v>
      </c>
      <c r="F3842" s="21">
        <v>37138.0</v>
      </c>
      <c r="G3842" s="14">
        <v>24.0</v>
      </c>
      <c r="H3842" s="23" t="s">
        <v>100</v>
      </c>
      <c r="I3842" s="24" t="s">
        <v>33</v>
      </c>
      <c r="J3842" s="19" t="s">
        <v>783</v>
      </c>
      <c r="K3842" s="14">
        <v>22.0</v>
      </c>
      <c r="L3842" s="7"/>
      <c r="M3842" s="7"/>
      <c r="N3842" s="7"/>
      <c r="O3842" s="7"/>
      <c r="P3842" s="7"/>
      <c r="Q3842" s="7"/>
      <c r="R3842" s="7"/>
      <c r="S3842" s="7"/>
      <c r="T3842" s="7"/>
      <c r="U3842" s="7"/>
      <c r="V3842" s="7"/>
      <c r="W3842" s="7"/>
      <c r="X3842" s="7"/>
      <c r="Y3842" s="7"/>
    </row>
    <row r="3843">
      <c r="A3843" s="14" t="s">
        <v>13623</v>
      </c>
      <c r="B3843" s="17" t="s">
        <v>13617</v>
      </c>
      <c r="C3843" s="17" t="s">
        <v>13624</v>
      </c>
      <c r="D3843" s="19" t="s">
        <v>13625</v>
      </c>
      <c r="E3843" s="20" t="s">
        <v>434</v>
      </c>
      <c r="F3843" s="21">
        <v>27090.0</v>
      </c>
      <c r="G3843" s="14">
        <v>52.0</v>
      </c>
      <c r="H3843" s="23" t="s">
        <v>26</v>
      </c>
      <c r="I3843" s="24" t="s">
        <v>27</v>
      </c>
      <c r="J3843" s="19" t="s">
        <v>783</v>
      </c>
      <c r="K3843" s="14">
        <v>22.0</v>
      </c>
      <c r="L3843" s="7"/>
      <c r="M3843" s="7"/>
      <c r="N3843" s="7"/>
      <c r="O3843" s="7"/>
      <c r="P3843" s="7"/>
      <c r="Q3843" s="7"/>
      <c r="R3843" s="7"/>
      <c r="S3843" s="7"/>
      <c r="T3843" s="7"/>
      <c r="U3843" s="7"/>
      <c r="V3843" s="7"/>
      <c r="W3843" s="7"/>
      <c r="X3843" s="7"/>
      <c r="Y3843" s="7"/>
    </row>
    <row r="3844">
      <c r="A3844" s="14" t="s">
        <v>13626</v>
      </c>
      <c r="B3844" s="17" t="s">
        <v>13627</v>
      </c>
      <c r="C3844" s="17" t="s">
        <v>13628</v>
      </c>
      <c r="D3844" s="19" t="s">
        <v>13629</v>
      </c>
      <c r="E3844" s="20" t="s">
        <v>429</v>
      </c>
      <c r="F3844" s="21">
        <v>21966.0</v>
      </c>
      <c r="G3844" s="14">
        <v>66.0</v>
      </c>
      <c r="H3844" s="23" t="s">
        <v>26</v>
      </c>
      <c r="I3844" s="24" t="s">
        <v>27</v>
      </c>
      <c r="J3844" s="19" t="s">
        <v>362</v>
      </c>
      <c r="K3844" s="14">
        <v>22.0</v>
      </c>
      <c r="L3844" s="7"/>
      <c r="M3844" s="7"/>
      <c r="N3844" s="7"/>
      <c r="O3844" s="7"/>
      <c r="P3844" s="7"/>
      <c r="Q3844" s="7"/>
      <c r="R3844" s="7"/>
      <c r="S3844" s="7"/>
      <c r="T3844" s="7"/>
      <c r="U3844" s="7"/>
      <c r="V3844" s="7"/>
      <c r="W3844" s="7"/>
      <c r="X3844" s="7"/>
      <c r="Y3844" s="7"/>
    </row>
    <row r="3845">
      <c r="A3845" s="14" t="s">
        <v>13630</v>
      </c>
      <c r="B3845" s="17" t="s">
        <v>13627</v>
      </c>
      <c r="C3845" s="17" t="s">
        <v>13631</v>
      </c>
      <c r="D3845" s="19" t="s">
        <v>4673</v>
      </c>
      <c r="E3845" s="20" t="s">
        <v>429</v>
      </c>
      <c r="F3845" s="27">
        <v>21850.0</v>
      </c>
      <c r="G3845" s="14">
        <v>66.0</v>
      </c>
      <c r="H3845" s="23" t="s">
        <v>26</v>
      </c>
      <c r="I3845" s="24" t="s">
        <v>33</v>
      </c>
      <c r="J3845" s="19" t="s">
        <v>362</v>
      </c>
      <c r="K3845" s="14">
        <v>22.0</v>
      </c>
      <c r="L3845" s="7"/>
      <c r="M3845" s="7"/>
      <c r="N3845" s="7"/>
      <c r="O3845" s="7"/>
      <c r="P3845" s="7"/>
      <c r="Q3845" s="7"/>
      <c r="R3845" s="7"/>
      <c r="S3845" s="7"/>
      <c r="T3845" s="7"/>
      <c r="U3845" s="7"/>
      <c r="V3845" s="7"/>
      <c r="W3845" s="7"/>
      <c r="X3845" s="7"/>
      <c r="Y3845" s="7"/>
    </row>
    <row r="3846">
      <c r="A3846" s="14" t="s">
        <v>13632</v>
      </c>
      <c r="B3846" s="17" t="s">
        <v>13633</v>
      </c>
      <c r="C3846" s="17" t="s">
        <v>13634</v>
      </c>
      <c r="D3846" s="19" t="s">
        <v>13635</v>
      </c>
      <c r="E3846" s="20" t="s">
        <v>2762</v>
      </c>
      <c r="F3846" s="21">
        <v>36756.0</v>
      </c>
      <c r="G3846" s="14">
        <v>26.0</v>
      </c>
      <c r="H3846" s="23" t="s">
        <v>100</v>
      </c>
      <c r="I3846" s="24" t="s">
        <v>33</v>
      </c>
      <c r="J3846" s="19" t="s">
        <v>68</v>
      </c>
      <c r="K3846" s="14">
        <v>31.0</v>
      </c>
      <c r="L3846" s="7"/>
      <c r="M3846" s="7"/>
      <c r="N3846" s="7"/>
      <c r="O3846" s="7"/>
      <c r="P3846" s="7"/>
      <c r="Q3846" s="7"/>
      <c r="R3846" s="7"/>
      <c r="S3846" s="7"/>
      <c r="T3846" s="7"/>
      <c r="U3846" s="7"/>
      <c r="V3846" s="7"/>
      <c r="W3846" s="7"/>
      <c r="X3846" s="7"/>
      <c r="Y3846" s="7"/>
    </row>
    <row r="3847">
      <c r="A3847" s="14" t="s">
        <v>13636</v>
      </c>
      <c r="B3847" s="17" t="s">
        <v>13633</v>
      </c>
      <c r="C3847" s="17" t="s">
        <v>13637</v>
      </c>
      <c r="D3847" s="19" t="s">
        <v>13638</v>
      </c>
      <c r="E3847" s="20" t="s">
        <v>7893</v>
      </c>
      <c r="F3847" s="21">
        <v>23488.0</v>
      </c>
      <c r="G3847" s="14">
        <v>62.0</v>
      </c>
      <c r="H3847" s="23" t="s">
        <v>26</v>
      </c>
      <c r="I3847" s="24" t="s">
        <v>33</v>
      </c>
      <c r="J3847" s="19" t="s">
        <v>68</v>
      </c>
      <c r="K3847" s="14">
        <v>31.0</v>
      </c>
      <c r="L3847" s="7"/>
      <c r="M3847" s="7"/>
      <c r="N3847" s="7"/>
      <c r="O3847" s="7"/>
      <c r="P3847" s="7"/>
      <c r="Q3847" s="7"/>
      <c r="R3847" s="7"/>
      <c r="S3847" s="7"/>
      <c r="T3847" s="7"/>
      <c r="U3847" s="7"/>
      <c r="V3847" s="7"/>
      <c r="W3847" s="7"/>
      <c r="X3847" s="7"/>
      <c r="Y3847" s="7"/>
    </row>
    <row r="3848">
      <c r="A3848" s="14" t="s">
        <v>13639</v>
      </c>
      <c r="B3848" s="17" t="s">
        <v>13633</v>
      </c>
      <c r="C3848" s="17" t="s">
        <v>13640</v>
      </c>
      <c r="D3848" s="19" t="s">
        <v>8955</v>
      </c>
      <c r="E3848" s="20" t="s">
        <v>632</v>
      </c>
      <c r="F3848" s="21">
        <v>24587.0</v>
      </c>
      <c r="G3848" s="14">
        <v>59.0</v>
      </c>
      <c r="H3848" s="23" t="s">
        <v>26</v>
      </c>
      <c r="I3848" s="24" t="s">
        <v>27</v>
      </c>
      <c r="J3848" s="19" t="s">
        <v>68</v>
      </c>
      <c r="K3848" s="14">
        <v>31.0</v>
      </c>
      <c r="L3848" s="7"/>
      <c r="M3848" s="7"/>
      <c r="N3848" s="7"/>
      <c r="O3848" s="7"/>
      <c r="P3848" s="7"/>
      <c r="Q3848" s="7"/>
      <c r="R3848" s="7"/>
      <c r="S3848" s="7"/>
      <c r="T3848" s="7"/>
      <c r="U3848" s="7"/>
      <c r="V3848" s="7"/>
      <c r="W3848" s="7"/>
      <c r="X3848" s="7"/>
      <c r="Y3848" s="7"/>
    </row>
    <row r="3849">
      <c r="A3849" s="14" t="s">
        <v>13641</v>
      </c>
      <c r="B3849" s="17" t="s">
        <v>13642</v>
      </c>
      <c r="C3849" s="17" t="s">
        <v>13643</v>
      </c>
      <c r="D3849" s="19" t="s">
        <v>13644</v>
      </c>
      <c r="E3849" s="20" t="s">
        <v>219</v>
      </c>
      <c r="F3849" s="27">
        <v>31756.0</v>
      </c>
      <c r="G3849" s="14">
        <v>39.0</v>
      </c>
      <c r="H3849" s="23" t="s">
        <v>26</v>
      </c>
      <c r="I3849" s="24" t="s">
        <v>27</v>
      </c>
      <c r="J3849" s="19" t="s">
        <v>362</v>
      </c>
      <c r="K3849" s="14">
        <v>23.0</v>
      </c>
      <c r="L3849" s="7"/>
      <c r="M3849" s="7"/>
      <c r="N3849" s="7"/>
      <c r="O3849" s="7"/>
      <c r="P3849" s="7"/>
      <c r="Q3849" s="7"/>
      <c r="R3849" s="7"/>
      <c r="S3849" s="7"/>
      <c r="T3849" s="7"/>
      <c r="U3849" s="7"/>
      <c r="V3849" s="7"/>
      <c r="W3849" s="7"/>
      <c r="X3849" s="7"/>
      <c r="Y3849" s="7"/>
    </row>
    <row r="3850">
      <c r="A3850" s="14" t="s">
        <v>13645</v>
      </c>
      <c r="B3850" s="17" t="s">
        <v>13642</v>
      </c>
      <c r="C3850" s="17" t="s">
        <v>13646</v>
      </c>
      <c r="D3850" s="19" t="s">
        <v>13647</v>
      </c>
      <c r="E3850" s="20" t="s">
        <v>104</v>
      </c>
      <c r="F3850" s="21">
        <v>27895.0</v>
      </c>
      <c r="G3850" s="14">
        <v>50.0</v>
      </c>
      <c r="H3850" s="23" t="s">
        <v>26</v>
      </c>
      <c r="I3850" s="24" t="s">
        <v>33</v>
      </c>
      <c r="J3850" s="19" t="s">
        <v>362</v>
      </c>
      <c r="K3850" s="14">
        <v>23.0</v>
      </c>
      <c r="L3850" s="7"/>
      <c r="M3850" s="7"/>
      <c r="N3850" s="7"/>
      <c r="O3850" s="7"/>
      <c r="P3850" s="7"/>
      <c r="Q3850" s="7"/>
      <c r="R3850" s="7"/>
      <c r="S3850" s="7"/>
      <c r="T3850" s="7"/>
      <c r="U3850" s="7"/>
      <c r="V3850" s="7"/>
      <c r="W3850" s="7"/>
      <c r="X3850" s="7"/>
      <c r="Y3850" s="7"/>
    </row>
    <row r="3851">
      <c r="A3851" s="14" t="s">
        <v>13648</v>
      </c>
      <c r="B3851" s="17" t="s">
        <v>13649</v>
      </c>
      <c r="C3851" s="17" t="s">
        <v>13650</v>
      </c>
      <c r="D3851" s="19" t="s">
        <v>13651</v>
      </c>
      <c r="E3851" s="20" t="s">
        <v>195</v>
      </c>
      <c r="F3851" s="21">
        <v>30807.0</v>
      </c>
      <c r="G3851" s="14">
        <v>42.0</v>
      </c>
      <c r="H3851" s="23" t="s">
        <v>26</v>
      </c>
      <c r="I3851" s="24" t="s">
        <v>33</v>
      </c>
      <c r="J3851" s="19" t="s">
        <v>362</v>
      </c>
      <c r="K3851" s="14">
        <v>9.0</v>
      </c>
      <c r="L3851" s="7"/>
      <c r="M3851" s="7"/>
      <c r="N3851" s="7"/>
      <c r="O3851" s="7"/>
      <c r="P3851" s="7"/>
      <c r="Q3851" s="7"/>
      <c r="R3851" s="7"/>
      <c r="S3851" s="7"/>
      <c r="T3851" s="7"/>
      <c r="U3851" s="7"/>
      <c r="V3851" s="7"/>
      <c r="W3851" s="7"/>
      <c r="X3851" s="7"/>
      <c r="Y3851" s="7"/>
    </row>
    <row r="3852">
      <c r="A3852" s="14" t="s">
        <v>13652</v>
      </c>
      <c r="B3852" s="17" t="s">
        <v>13649</v>
      </c>
      <c r="C3852" s="17" t="s">
        <v>13653</v>
      </c>
      <c r="D3852" s="19" t="s">
        <v>13654</v>
      </c>
      <c r="E3852" s="20" t="s">
        <v>104</v>
      </c>
      <c r="F3852" s="21">
        <v>31921.0</v>
      </c>
      <c r="G3852" s="14">
        <v>39.0</v>
      </c>
      <c r="H3852" s="23" t="s">
        <v>26</v>
      </c>
      <c r="I3852" s="24" t="s">
        <v>27</v>
      </c>
      <c r="J3852" s="19" t="s">
        <v>362</v>
      </c>
      <c r="K3852" s="14">
        <v>9.0</v>
      </c>
      <c r="L3852" s="7"/>
      <c r="M3852" s="7"/>
      <c r="N3852" s="7"/>
      <c r="O3852" s="7"/>
      <c r="P3852" s="7"/>
      <c r="Q3852" s="7"/>
      <c r="R3852" s="7"/>
      <c r="S3852" s="7"/>
      <c r="T3852" s="7"/>
      <c r="U3852" s="7"/>
      <c r="V3852" s="7"/>
      <c r="W3852" s="7"/>
      <c r="X3852" s="7"/>
      <c r="Y3852" s="7"/>
    </row>
    <row r="3853">
      <c r="A3853" s="14" t="s">
        <v>13655</v>
      </c>
      <c r="B3853" s="17" t="s">
        <v>13656</v>
      </c>
      <c r="C3853" s="17" t="s">
        <v>13657</v>
      </c>
      <c r="D3853" s="19" t="s">
        <v>13658</v>
      </c>
      <c r="E3853" s="20" t="s">
        <v>1846</v>
      </c>
      <c r="F3853" s="21">
        <v>28858.0</v>
      </c>
      <c r="G3853" s="14">
        <v>47.0</v>
      </c>
      <c r="H3853" s="23" t="s">
        <v>26</v>
      </c>
      <c r="I3853" s="24" t="s">
        <v>33</v>
      </c>
      <c r="J3853" s="19" t="s">
        <v>68</v>
      </c>
      <c r="K3853" s="14">
        <v>31.0</v>
      </c>
      <c r="L3853" s="7"/>
      <c r="M3853" s="7"/>
      <c r="N3853" s="7"/>
      <c r="O3853" s="7"/>
      <c r="P3853" s="7"/>
      <c r="Q3853" s="7"/>
      <c r="R3853" s="7"/>
      <c r="S3853" s="7"/>
      <c r="T3853" s="7"/>
      <c r="U3853" s="7"/>
      <c r="V3853" s="7"/>
      <c r="W3853" s="7"/>
      <c r="X3853" s="7"/>
      <c r="Y3853" s="7"/>
    </row>
    <row r="3854">
      <c r="A3854" s="14" t="s">
        <v>13659</v>
      </c>
      <c r="B3854" s="17" t="s">
        <v>13656</v>
      </c>
      <c r="C3854" s="17" t="s">
        <v>13660</v>
      </c>
      <c r="D3854" s="19" t="s">
        <v>13661</v>
      </c>
      <c r="E3854" s="20" t="s">
        <v>274</v>
      </c>
      <c r="F3854" s="21">
        <v>30130.0</v>
      </c>
      <c r="G3854" s="14">
        <v>44.0</v>
      </c>
      <c r="H3854" s="23" t="s">
        <v>26</v>
      </c>
      <c r="I3854" s="24" t="s">
        <v>27</v>
      </c>
      <c r="J3854" s="19" t="s">
        <v>68</v>
      </c>
      <c r="K3854" s="14">
        <v>31.0</v>
      </c>
      <c r="L3854" s="7"/>
      <c r="M3854" s="7"/>
      <c r="N3854" s="7"/>
      <c r="O3854" s="7"/>
      <c r="P3854" s="7"/>
      <c r="Q3854" s="7"/>
      <c r="R3854" s="7"/>
      <c r="S3854" s="7"/>
      <c r="T3854" s="7"/>
      <c r="U3854" s="7"/>
      <c r="V3854" s="7"/>
      <c r="W3854" s="7"/>
      <c r="X3854" s="7"/>
      <c r="Y3854" s="7"/>
    </row>
    <row r="3855">
      <c r="A3855" s="14" t="s">
        <v>13662</v>
      </c>
      <c r="B3855" s="17" t="s">
        <v>13663</v>
      </c>
      <c r="C3855" s="17" t="s">
        <v>13664</v>
      </c>
      <c r="D3855" s="19" t="s">
        <v>13665</v>
      </c>
      <c r="E3855" s="20" t="s">
        <v>632</v>
      </c>
      <c r="F3855" s="21">
        <v>15158.0</v>
      </c>
      <c r="G3855" s="14">
        <v>85.0</v>
      </c>
      <c r="H3855" s="23" t="s">
        <v>26</v>
      </c>
      <c r="I3855" s="24" t="s">
        <v>33</v>
      </c>
      <c r="J3855" s="19" t="s">
        <v>328</v>
      </c>
      <c r="K3855" s="14">
        <v>21.0</v>
      </c>
      <c r="L3855" s="7"/>
      <c r="M3855" s="7"/>
      <c r="N3855" s="7"/>
      <c r="O3855" s="7"/>
      <c r="P3855" s="7"/>
      <c r="Q3855" s="7"/>
      <c r="R3855" s="7"/>
      <c r="S3855" s="7"/>
      <c r="T3855" s="7"/>
      <c r="U3855" s="7"/>
      <c r="V3855" s="7"/>
      <c r="W3855" s="7"/>
      <c r="X3855" s="7"/>
      <c r="Y3855" s="7"/>
    </row>
    <row r="3856">
      <c r="A3856" s="14" t="s">
        <v>13666</v>
      </c>
      <c r="B3856" s="17" t="s">
        <v>13663</v>
      </c>
      <c r="C3856" s="17" t="s">
        <v>13667</v>
      </c>
      <c r="D3856" s="19" t="s">
        <v>9472</v>
      </c>
      <c r="E3856" s="20" t="s">
        <v>632</v>
      </c>
      <c r="F3856" s="21">
        <v>17349.0</v>
      </c>
      <c r="G3856" s="14">
        <v>79.0</v>
      </c>
      <c r="H3856" s="23" t="s">
        <v>26</v>
      </c>
      <c r="I3856" s="24" t="s">
        <v>27</v>
      </c>
      <c r="J3856" s="19" t="s">
        <v>328</v>
      </c>
      <c r="K3856" s="14">
        <v>21.0</v>
      </c>
      <c r="L3856" s="7"/>
      <c r="M3856" s="7"/>
      <c r="N3856" s="7"/>
      <c r="O3856" s="7"/>
      <c r="P3856" s="7"/>
      <c r="Q3856" s="7"/>
      <c r="R3856" s="7"/>
      <c r="S3856" s="7"/>
      <c r="T3856" s="7"/>
      <c r="U3856" s="7"/>
      <c r="V3856" s="7"/>
      <c r="W3856" s="7"/>
      <c r="X3856" s="7"/>
      <c r="Y3856" s="7"/>
    </row>
    <row r="3857">
      <c r="A3857" s="14" t="s">
        <v>13668</v>
      </c>
      <c r="B3857" s="17" t="s">
        <v>13669</v>
      </c>
      <c r="C3857" s="17" t="s">
        <v>13670</v>
      </c>
      <c r="D3857" s="19" t="s">
        <v>13671</v>
      </c>
      <c r="E3857" s="20" t="s">
        <v>187</v>
      </c>
      <c r="F3857" s="21">
        <v>23197.0</v>
      </c>
      <c r="G3857" s="14">
        <v>63.0</v>
      </c>
      <c r="H3857" s="23" t="s">
        <v>26</v>
      </c>
      <c r="I3857" s="24" t="s">
        <v>27</v>
      </c>
      <c r="J3857" s="19" t="s">
        <v>328</v>
      </c>
      <c r="K3857" s="14">
        <v>22.0</v>
      </c>
      <c r="L3857" s="7"/>
      <c r="M3857" s="7"/>
      <c r="N3857" s="7"/>
      <c r="O3857" s="7"/>
      <c r="P3857" s="7"/>
      <c r="Q3857" s="7"/>
      <c r="R3857" s="7"/>
      <c r="S3857" s="7"/>
      <c r="T3857" s="7"/>
      <c r="U3857" s="7"/>
      <c r="V3857" s="7"/>
      <c r="W3857" s="7"/>
      <c r="X3857" s="7"/>
      <c r="Y3857" s="7"/>
    </row>
    <row r="3858">
      <c r="A3858" s="14" t="s">
        <v>13672</v>
      </c>
      <c r="B3858" s="17" t="s">
        <v>13669</v>
      </c>
      <c r="C3858" s="17" t="s">
        <v>13673</v>
      </c>
      <c r="D3858" s="19" t="s">
        <v>7385</v>
      </c>
      <c r="E3858" s="20" t="s">
        <v>13674</v>
      </c>
      <c r="F3858" s="21">
        <v>22801.0</v>
      </c>
      <c r="G3858" s="14">
        <v>64.0</v>
      </c>
      <c r="H3858" s="23" t="s">
        <v>26</v>
      </c>
      <c r="I3858" s="24" t="s">
        <v>33</v>
      </c>
      <c r="J3858" s="19" t="s">
        <v>328</v>
      </c>
      <c r="K3858" s="14">
        <v>22.0</v>
      </c>
      <c r="L3858" s="7"/>
      <c r="M3858" s="7"/>
      <c r="N3858" s="7"/>
      <c r="O3858" s="7"/>
      <c r="P3858" s="7"/>
      <c r="Q3858" s="7"/>
      <c r="R3858" s="7"/>
      <c r="S3858" s="7"/>
      <c r="T3858" s="7"/>
      <c r="U3858" s="7"/>
      <c r="V3858" s="7"/>
      <c r="W3858" s="7"/>
      <c r="X3858" s="7"/>
      <c r="Y3858" s="7"/>
    </row>
    <row r="3859">
      <c r="A3859" s="14" t="s">
        <v>13675</v>
      </c>
      <c r="B3859" s="17" t="s">
        <v>13676</v>
      </c>
      <c r="C3859" s="17" t="s">
        <v>13677</v>
      </c>
      <c r="D3859" s="19" t="s">
        <v>13678</v>
      </c>
      <c r="E3859" s="20" t="s">
        <v>4923</v>
      </c>
      <c r="F3859" s="21">
        <v>31991.0</v>
      </c>
      <c r="G3859" s="14">
        <v>39.0</v>
      </c>
      <c r="H3859" s="23" t="s">
        <v>26</v>
      </c>
      <c r="I3859" s="24" t="s">
        <v>33</v>
      </c>
      <c r="J3859" s="19" t="s">
        <v>328</v>
      </c>
      <c r="K3859" s="14">
        <v>21.0</v>
      </c>
      <c r="L3859" s="7"/>
      <c r="M3859" s="7"/>
      <c r="N3859" s="7"/>
      <c r="O3859" s="7"/>
      <c r="P3859" s="7"/>
      <c r="Q3859" s="7"/>
      <c r="R3859" s="7"/>
      <c r="S3859" s="7"/>
      <c r="T3859" s="7"/>
      <c r="U3859" s="7"/>
      <c r="V3859" s="7"/>
      <c r="W3859" s="7"/>
      <c r="X3859" s="7"/>
      <c r="Y3859" s="7"/>
    </row>
    <row r="3860">
      <c r="A3860" s="14" t="s">
        <v>13679</v>
      </c>
      <c r="B3860" s="17" t="s">
        <v>13676</v>
      </c>
      <c r="C3860" s="17" t="s">
        <v>13680</v>
      </c>
      <c r="D3860" s="19" t="s">
        <v>13681</v>
      </c>
      <c r="E3860" s="20" t="s">
        <v>53</v>
      </c>
      <c r="F3860" s="21">
        <v>35190.0</v>
      </c>
      <c r="G3860" s="14">
        <v>30.0</v>
      </c>
      <c r="H3860" s="23" t="s">
        <v>26</v>
      </c>
      <c r="I3860" s="24" t="s">
        <v>27</v>
      </c>
      <c r="J3860" s="19" t="s">
        <v>328</v>
      </c>
      <c r="K3860" s="14">
        <v>21.0</v>
      </c>
      <c r="L3860" s="7"/>
      <c r="M3860" s="7"/>
      <c r="N3860" s="7"/>
      <c r="O3860" s="7"/>
      <c r="P3860" s="7"/>
      <c r="Q3860" s="7"/>
      <c r="R3860" s="7"/>
      <c r="S3860" s="7"/>
      <c r="T3860" s="7"/>
      <c r="U3860" s="7"/>
      <c r="V3860" s="7"/>
      <c r="W3860" s="7"/>
      <c r="X3860" s="7"/>
      <c r="Y3860" s="7"/>
    </row>
    <row r="3861">
      <c r="A3861" s="14" t="s">
        <v>13682</v>
      </c>
      <c r="B3861" s="17" t="s">
        <v>13683</v>
      </c>
      <c r="C3861" s="17" t="s">
        <v>13684</v>
      </c>
      <c r="D3861" s="19" t="s">
        <v>13685</v>
      </c>
      <c r="E3861" s="20" t="s">
        <v>337</v>
      </c>
      <c r="F3861" s="27">
        <v>33222.0</v>
      </c>
      <c r="G3861" s="14">
        <v>35.0</v>
      </c>
      <c r="H3861" s="23" t="s">
        <v>26</v>
      </c>
      <c r="I3861" s="24" t="s">
        <v>27</v>
      </c>
      <c r="J3861" s="19" t="s">
        <v>328</v>
      </c>
      <c r="K3861" s="14">
        <v>22.0</v>
      </c>
      <c r="L3861" s="7"/>
      <c r="M3861" s="7"/>
      <c r="N3861" s="7"/>
      <c r="O3861" s="7"/>
      <c r="P3861" s="7"/>
      <c r="Q3861" s="7"/>
      <c r="R3861" s="7"/>
      <c r="S3861" s="7"/>
      <c r="T3861" s="7"/>
      <c r="U3861" s="7"/>
      <c r="V3861" s="7"/>
      <c r="W3861" s="7"/>
      <c r="X3861" s="7"/>
      <c r="Y3861" s="7"/>
    </row>
    <row r="3862">
      <c r="A3862" s="14" t="s">
        <v>13686</v>
      </c>
      <c r="B3862" s="17" t="s">
        <v>13683</v>
      </c>
      <c r="C3862" s="17" t="s">
        <v>13687</v>
      </c>
      <c r="D3862" s="19" t="s">
        <v>13688</v>
      </c>
      <c r="E3862" s="20" t="s">
        <v>9849</v>
      </c>
      <c r="F3862" s="21">
        <v>33416.0</v>
      </c>
      <c r="G3862" s="14">
        <v>35.0</v>
      </c>
      <c r="H3862" s="23" t="s">
        <v>26</v>
      </c>
      <c r="I3862" s="24" t="s">
        <v>33</v>
      </c>
      <c r="J3862" s="19" t="s">
        <v>328</v>
      </c>
      <c r="K3862" s="14">
        <v>22.0</v>
      </c>
      <c r="L3862" s="7"/>
      <c r="M3862" s="7"/>
      <c r="N3862" s="7"/>
      <c r="O3862" s="7"/>
      <c r="P3862" s="7"/>
      <c r="Q3862" s="7"/>
      <c r="R3862" s="7"/>
      <c r="S3862" s="7"/>
      <c r="T3862" s="7"/>
      <c r="U3862" s="7"/>
      <c r="V3862" s="7"/>
      <c r="W3862" s="7"/>
      <c r="X3862" s="7"/>
      <c r="Y3862" s="7"/>
    </row>
    <row r="3863">
      <c r="A3863" s="14" t="s">
        <v>13689</v>
      </c>
      <c r="B3863" s="17" t="s">
        <v>13690</v>
      </c>
      <c r="C3863" s="17" t="s">
        <v>13691</v>
      </c>
      <c r="D3863" s="19" t="s">
        <v>13692</v>
      </c>
      <c r="E3863" s="20" t="s">
        <v>104</v>
      </c>
      <c r="F3863" s="21">
        <v>30048.0</v>
      </c>
      <c r="G3863" s="14">
        <v>44.0</v>
      </c>
      <c r="H3863" s="23" t="s">
        <v>26</v>
      </c>
      <c r="I3863" s="24" t="s">
        <v>33</v>
      </c>
      <c r="J3863" s="19" t="s">
        <v>68</v>
      </c>
      <c r="K3863" s="14">
        <v>35.0</v>
      </c>
      <c r="L3863" s="7"/>
      <c r="M3863" s="7"/>
      <c r="N3863" s="7"/>
      <c r="O3863" s="7"/>
      <c r="P3863" s="7"/>
      <c r="Q3863" s="7"/>
      <c r="R3863" s="7"/>
      <c r="S3863" s="7"/>
      <c r="T3863" s="7"/>
      <c r="U3863" s="7"/>
      <c r="V3863" s="7"/>
      <c r="W3863" s="7"/>
      <c r="X3863" s="7"/>
      <c r="Y3863" s="7"/>
    </row>
    <row r="3864">
      <c r="A3864" s="14" t="s">
        <v>13693</v>
      </c>
      <c r="B3864" s="17" t="s">
        <v>13690</v>
      </c>
      <c r="C3864" s="17" t="s">
        <v>13694</v>
      </c>
      <c r="D3864" s="19" t="s">
        <v>13695</v>
      </c>
      <c r="E3864" s="20" t="s">
        <v>5353</v>
      </c>
      <c r="F3864" s="21">
        <v>33278.0</v>
      </c>
      <c r="G3864" s="14">
        <v>35.0</v>
      </c>
      <c r="H3864" s="23" t="s">
        <v>26</v>
      </c>
      <c r="I3864" s="24" t="s">
        <v>27</v>
      </c>
      <c r="J3864" s="19" t="s">
        <v>68</v>
      </c>
      <c r="K3864" s="14">
        <v>35.0</v>
      </c>
      <c r="L3864" s="7"/>
      <c r="M3864" s="7"/>
      <c r="N3864" s="7"/>
      <c r="O3864" s="7"/>
      <c r="P3864" s="7"/>
      <c r="Q3864" s="7"/>
      <c r="R3864" s="7"/>
      <c r="S3864" s="7"/>
      <c r="T3864" s="7"/>
      <c r="U3864" s="7"/>
      <c r="V3864" s="7"/>
      <c r="W3864" s="7"/>
      <c r="X3864" s="7"/>
      <c r="Y3864" s="7"/>
    </row>
    <row r="3865">
      <c r="A3865" s="14" t="s">
        <v>13696</v>
      </c>
      <c r="B3865" s="17" t="s">
        <v>13697</v>
      </c>
      <c r="C3865" s="17" t="s">
        <v>13698</v>
      </c>
      <c r="D3865" s="19" t="s">
        <v>13699</v>
      </c>
      <c r="E3865" s="20" t="s">
        <v>138</v>
      </c>
      <c r="F3865" s="27">
        <v>36520.0</v>
      </c>
      <c r="G3865" s="14">
        <v>26.0</v>
      </c>
      <c r="H3865" s="23" t="s">
        <v>26</v>
      </c>
      <c r="I3865" s="24" t="s">
        <v>27</v>
      </c>
      <c r="J3865" s="19" t="s">
        <v>68</v>
      </c>
      <c r="K3865" s="14">
        <v>35.0</v>
      </c>
      <c r="L3865" s="7"/>
      <c r="M3865" s="7"/>
      <c r="N3865" s="7"/>
      <c r="O3865" s="7"/>
      <c r="P3865" s="7"/>
      <c r="Q3865" s="7"/>
      <c r="R3865" s="7"/>
      <c r="S3865" s="7"/>
      <c r="T3865" s="7"/>
      <c r="U3865" s="7"/>
      <c r="V3865" s="7"/>
      <c r="W3865" s="7"/>
      <c r="X3865" s="7"/>
      <c r="Y3865" s="7"/>
    </row>
    <row r="3866">
      <c r="A3866" s="14" t="s">
        <v>13700</v>
      </c>
      <c r="B3866" s="17" t="s">
        <v>13697</v>
      </c>
      <c r="C3866" s="17" t="s">
        <v>13701</v>
      </c>
      <c r="D3866" s="19" t="s">
        <v>13702</v>
      </c>
      <c r="E3866" s="20" t="s">
        <v>104</v>
      </c>
      <c r="F3866" s="21">
        <v>35522.0</v>
      </c>
      <c r="G3866" s="14">
        <v>29.0</v>
      </c>
      <c r="H3866" s="23" t="s">
        <v>26</v>
      </c>
      <c r="I3866" s="24" t="s">
        <v>33</v>
      </c>
      <c r="J3866" s="19" t="s">
        <v>68</v>
      </c>
      <c r="K3866" s="14">
        <v>35.0</v>
      </c>
      <c r="L3866" s="7"/>
      <c r="M3866" s="7"/>
      <c r="N3866" s="7"/>
      <c r="O3866" s="7"/>
      <c r="P3866" s="7"/>
      <c r="Q3866" s="7"/>
      <c r="R3866" s="7"/>
      <c r="S3866" s="7"/>
      <c r="T3866" s="7"/>
      <c r="U3866" s="7"/>
      <c r="V3866" s="7"/>
      <c r="W3866" s="7"/>
      <c r="X3866" s="7"/>
      <c r="Y3866" s="7"/>
    </row>
    <row r="3867">
      <c r="A3867" s="14" t="s">
        <v>13703</v>
      </c>
      <c r="B3867" s="17" t="s">
        <v>13704</v>
      </c>
      <c r="C3867" s="17" t="s">
        <v>13705</v>
      </c>
      <c r="D3867" s="19" t="s">
        <v>13706</v>
      </c>
      <c r="E3867" s="20" t="s">
        <v>632</v>
      </c>
      <c r="F3867" s="27">
        <v>26996.0</v>
      </c>
      <c r="G3867" s="14">
        <v>52.0</v>
      </c>
      <c r="H3867" s="23" t="s">
        <v>26</v>
      </c>
      <c r="I3867" s="24" t="s">
        <v>27</v>
      </c>
      <c r="J3867" s="19" t="s">
        <v>206</v>
      </c>
      <c r="K3867" s="14">
        <v>4.0</v>
      </c>
      <c r="L3867" s="7"/>
      <c r="M3867" s="7"/>
      <c r="N3867" s="7"/>
      <c r="O3867" s="7"/>
      <c r="P3867" s="7"/>
      <c r="Q3867" s="7"/>
      <c r="R3867" s="7"/>
      <c r="S3867" s="7"/>
      <c r="T3867" s="7"/>
      <c r="U3867" s="7"/>
      <c r="V3867" s="7"/>
      <c r="W3867" s="7"/>
      <c r="X3867" s="7"/>
      <c r="Y3867" s="7"/>
    </row>
    <row r="3868">
      <c r="A3868" s="14" t="s">
        <v>13707</v>
      </c>
      <c r="B3868" s="17" t="s">
        <v>13704</v>
      </c>
      <c r="C3868" s="17" t="s">
        <v>13708</v>
      </c>
      <c r="D3868" s="19" t="s">
        <v>13709</v>
      </c>
      <c r="E3868" s="20" t="s">
        <v>112</v>
      </c>
      <c r="F3868" s="21">
        <v>25728.0</v>
      </c>
      <c r="G3868" s="14">
        <v>56.0</v>
      </c>
      <c r="H3868" s="23" t="s">
        <v>26</v>
      </c>
      <c r="I3868" s="24" t="s">
        <v>33</v>
      </c>
      <c r="J3868" s="19" t="s">
        <v>206</v>
      </c>
      <c r="K3868" s="14">
        <v>4.0</v>
      </c>
      <c r="L3868" s="7"/>
      <c r="M3868" s="7"/>
      <c r="N3868" s="7"/>
      <c r="O3868" s="7"/>
      <c r="P3868" s="7"/>
      <c r="Q3868" s="7"/>
      <c r="R3868" s="7"/>
      <c r="S3868" s="7"/>
      <c r="T3868" s="7"/>
      <c r="U3868" s="7"/>
      <c r="V3868" s="7"/>
      <c r="W3868" s="7"/>
      <c r="X3868" s="7"/>
      <c r="Y3868" s="7"/>
    </row>
    <row r="3869">
      <c r="A3869" s="14" t="s">
        <v>13710</v>
      </c>
      <c r="B3869" s="17" t="s">
        <v>13704</v>
      </c>
      <c r="C3869" s="17" t="s">
        <v>13711</v>
      </c>
      <c r="D3869" s="19" t="s">
        <v>13712</v>
      </c>
      <c r="E3869" s="20" t="s">
        <v>53</v>
      </c>
      <c r="F3869" s="21">
        <v>35460.0</v>
      </c>
      <c r="G3869" s="14">
        <v>29.0</v>
      </c>
      <c r="H3869" s="23" t="s">
        <v>100</v>
      </c>
      <c r="I3869" s="24" t="s">
        <v>27</v>
      </c>
      <c r="J3869" s="19" t="s">
        <v>206</v>
      </c>
      <c r="K3869" s="14">
        <v>4.0</v>
      </c>
      <c r="L3869" s="7"/>
      <c r="M3869" s="7"/>
      <c r="N3869" s="7"/>
      <c r="O3869" s="7"/>
      <c r="P3869" s="7"/>
      <c r="Q3869" s="7"/>
      <c r="R3869" s="7"/>
      <c r="S3869" s="7"/>
      <c r="T3869" s="7"/>
      <c r="U3869" s="7"/>
      <c r="V3869" s="7"/>
      <c r="W3869" s="7"/>
      <c r="X3869" s="7"/>
      <c r="Y3869" s="7"/>
    </row>
    <row r="3870">
      <c r="A3870" s="14" t="s">
        <v>13713</v>
      </c>
      <c r="B3870" s="17" t="s">
        <v>13714</v>
      </c>
      <c r="C3870" s="17" t="s">
        <v>13715</v>
      </c>
      <c r="D3870" s="19" t="s">
        <v>13716</v>
      </c>
      <c r="E3870" s="20" t="s">
        <v>104</v>
      </c>
      <c r="F3870" s="21">
        <v>33710.0</v>
      </c>
      <c r="G3870" s="14">
        <v>34.0</v>
      </c>
      <c r="H3870" s="23" t="s">
        <v>26</v>
      </c>
      <c r="I3870" s="24" t="s">
        <v>27</v>
      </c>
      <c r="J3870" s="19" t="s">
        <v>68</v>
      </c>
      <c r="K3870" s="14">
        <v>32.0</v>
      </c>
      <c r="L3870" s="7"/>
      <c r="M3870" s="7"/>
      <c r="N3870" s="7"/>
      <c r="O3870" s="7"/>
      <c r="P3870" s="7"/>
      <c r="Q3870" s="7"/>
      <c r="R3870" s="7"/>
      <c r="S3870" s="7"/>
      <c r="T3870" s="7"/>
      <c r="U3870" s="7"/>
      <c r="V3870" s="7"/>
      <c r="W3870" s="7"/>
      <c r="X3870" s="7"/>
      <c r="Y3870" s="7"/>
    </row>
    <row r="3871">
      <c r="A3871" s="14" t="s">
        <v>13717</v>
      </c>
      <c r="B3871" s="17" t="s">
        <v>13714</v>
      </c>
      <c r="C3871" s="17" t="s">
        <v>13718</v>
      </c>
      <c r="D3871" s="19" t="s">
        <v>4284</v>
      </c>
      <c r="E3871" s="20" t="s">
        <v>104</v>
      </c>
      <c r="F3871" s="21">
        <v>29493.0</v>
      </c>
      <c r="G3871" s="14">
        <v>45.0</v>
      </c>
      <c r="H3871" s="23" t="s">
        <v>26</v>
      </c>
      <c r="I3871" s="24" t="s">
        <v>33</v>
      </c>
      <c r="J3871" s="19" t="s">
        <v>68</v>
      </c>
      <c r="K3871" s="14">
        <v>32.0</v>
      </c>
      <c r="L3871" s="7"/>
      <c r="M3871" s="7"/>
      <c r="N3871" s="7"/>
      <c r="O3871" s="7"/>
      <c r="P3871" s="7"/>
      <c r="Q3871" s="7"/>
      <c r="R3871" s="7"/>
      <c r="S3871" s="7"/>
      <c r="T3871" s="7"/>
      <c r="U3871" s="7"/>
      <c r="V3871" s="7"/>
      <c r="W3871" s="7"/>
      <c r="X3871" s="7"/>
      <c r="Y3871" s="7"/>
    </row>
    <row r="3872">
      <c r="A3872" s="14" t="s">
        <v>13719</v>
      </c>
      <c r="B3872" s="17" t="s">
        <v>13720</v>
      </c>
      <c r="C3872" s="17" t="s">
        <v>13721</v>
      </c>
      <c r="D3872" s="19" t="s">
        <v>13722</v>
      </c>
      <c r="E3872" s="20" t="s">
        <v>53</v>
      </c>
      <c r="F3872" s="21">
        <v>33000.0</v>
      </c>
      <c r="G3872" s="14">
        <v>36.0</v>
      </c>
      <c r="H3872" s="23" t="s">
        <v>26</v>
      </c>
      <c r="I3872" s="24" t="s">
        <v>33</v>
      </c>
      <c r="J3872" s="19" t="s">
        <v>68</v>
      </c>
      <c r="K3872" s="14">
        <v>33.0</v>
      </c>
      <c r="L3872" s="7"/>
      <c r="M3872" s="7"/>
      <c r="N3872" s="7"/>
      <c r="O3872" s="7"/>
      <c r="P3872" s="7"/>
      <c r="Q3872" s="7"/>
      <c r="R3872" s="7"/>
      <c r="S3872" s="7"/>
      <c r="T3872" s="7"/>
      <c r="U3872" s="7"/>
      <c r="V3872" s="7"/>
      <c r="W3872" s="7"/>
      <c r="X3872" s="7"/>
      <c r="Y3872" s="7"/>
    </row>
    <row r="3873">
      <c r="A3873" s="14" t="s">
        <v>13723</v>
      </c>
      <c r="B3873" s="17" t="s">
        <v>13720</v>
      </c>
      <c r="C3873" s="17" t="s">
        <v>13724</v>
      </c>
      <c r="D3873" s="19" t="s">
        <v>13725</v>
      </c>
      <c r="E3873" s="20" t="s">
        <v>195</v>
      </c>
      <c r="F3873" s="27">
        <v>34691.0</v>
      </c>
      <c r="G3873" s="14">
        <v>31.0</v>
      </c>
      <c r="H3873" s="23" t="s">
        <v>26</v>
      </c>
      <c r="I3873" s="24" t="s">
        <v>27</v>
      </c>
      <c r="J3873" s="19" t="s">
        <v>68</v>
      </c>
      <c r="K3873" s="14">
        <v>33.0</v>
      </c>
      <c r="L3873" s="7"/>
      <c r="M3873" s="7"/>
      <c r="N3873" s="7"/>
      <c r="O3873" s="7"/>
      <c r="P3873" s="7"/>
      <c r="Q3873" s="7"/>
      <c r="R3873" s="7"/>
      <c r="S3873" s="7"/>
      <c r="T3873" s="7"/>
      <c r="U3873" s="7"/>
      <c r="V3873" s="7"/>
      <c r="W3873" s="7"/>
      <c r="X3873" s="7"/>
      <c r="Y3873" s="7"/>
    </row>
    <row r="3874">
      <c r="A3874" s="14" t="s">
        <v>13726</v>
      </c>
      <c r="B3874" s="17" t="s">
        <v>13727</v>
      </c>
      <c r="C3874" s="17" t="s">
        <v>13728</v>
      </c>
      <c r="D3874" s="19" t="s">
        <v>1986</v>
      </c>
      <c r="E3874" s="20" t="s">
        <v>2980</v>
      </c>
      <c r="F3874" s="21">
        <v>30028.0</v>
      </c>
      <c r="G3874" s="14">
        <v>44.0</v>
      </c>
      <c r="H3874" s="23" t="s">
        <v>26</v>
      </c>
      <c r="I3874" s="24" t="s">
        <v>33</v>
      </c>
      <c r="J3874" s="19" t="s">
        <v>328</v>
      </c>
      <c r="K3874" s="14">
        <v>22.0</v>
      </c>
      <c r="L3874" s="7"/>
      <c r="M3874" s="7"/>
      <c r="N3874" s="7"/>
      <c r="O3874" s="7"/>
      <c r="P3874" s="7"/>
      <c r="Q3874" s="7"/>
      <c r="R3874" s="7"/>
      <c r="S3874" s="7"/>
      <c r="T3874" s="7"/>
      <c r="U3874" s="7"/>
      <c r="V3874" s="7"/>
      <c r="W3874" s="7"/>
      <c r="X3874" s="7"/>
      <c r="Y3874" s="7"/>
    </row>
    <row r="3875">
      <c r="A3875" s="14" t="s">
        <v>13729</v>
      </c>
      <c r="B3875" s="17" t="s">
        <v>13727</v>
      </c>
      <c r="C3875" s="17" t="s">
        <v>13730</v>
      </c>
      <c r="D3875" s="19" t="s">
        <v>13731</v>
      </c>
      <c r="E3875" s="20" t="s">
        <v>104</v>
      </c>
      <c r="F3875" s="21">
        <v>33099.0</v>
      </c>
      <c r="G3875" s="14">
        <v>36.0</v>
      </c>
      <c r="H3875" s="23" t="s">
        <v>26</v>
      </c>
      <c r="I3875" s="24" t="s">
        <v>27</v>
      </c>
      <c r="J3875" s="19" t="s">
        <v>53</v>
      </c>
      <c r="K3875" s="14">
        <v>12.0</v>
      </c>
      <c r="L3875" s="7"/>
      <c r="M3875" s="7"/>
      <c r="N3875" s="7"/>
      <c r="O3875" s="7"/>
      <c r="P3875" s="7"/>
      <c r="Q3875" s="7"/>
      <c r="R3875" s="7"/>
      <c r="S3875" s="7"/>
      <c r="T3875" s="7"/>
      <c r="U3875" s="7"/>
      <c r="V3875" s="7"/>
      <c r="W3875" s="7"/>
      <c r="X3875" s="7"/>
      <c r="Y3875" s="7"/>
    </row>
    <row r="3876">
      <c r="A3876" s="14" t="s">
        <v>13732</v>
      </c>
      <c r="B3876" s="17" t="s">
        <v>13733</v>
      </c>
      <c r="C3876" s="17" t="s">
        <v>13734</v>
      </c>
      <c r="D3876" s="19" t="s">
        <v>13735</v>
      </c>
      <c r="E3876" s="20" t="s">
        <v>104</v>
      </c>
      <c r="F3876" s="21">
        <v>34557.0</v>
      </c>
      <c r="G3876" s="14">
        <v>32.0</v>
      </c>
      <c r="H3876" s="23" t="s">
        <v>26</v>
      </c>
      <c r="I3876" s="24" t="s">
        <v>27</v>
      </c>
      <c r="J3876" s="19" t="s">
        <v>68</v>
      </c>
      <c r="K3876" s="14">
        <v>34.0</v>
      </c>
      <c r="L3876" s="7"/>
      <c r="M3876" s="7"/>
      <c r="N3876" s="7"/>
      <c r="O3876" s="7"/>
      <c r="P3876" s="7"/>
      <c r="Q3876" s="7"/>
      <c r="R3876" s="7"/>
      <c r="S3876" s="7"/>
      <c r="T3876" s="7"/>
      <c r="U3876" s="7"/>
      <c r="V3876" s="7"/>
      <c r="W3876" s="7"/>
      <c r="X3876" s="7"/>
      <c r="Y3876" s="7"/>
    </row>
    <row r="3877">
      <c r="A3877" s="14" t="s">
        <v>13736</v>
      </c>
      <c r="B3877" s="17" t="s">
        <v>13733</v>
      </c>
      <c r="C3877" s="17" t="s">
        <v>13737</v>
      </c>
      <c r="D3877" s="19" t="s">
        <v>13738</v>
      </c>
      <c r="E3877" s="20" t="s">
        <v>104</v>
      </c>
      <c r="F3877" s="21">
        <v>32943.0</v>
      </c>
      <c r="G3877" s="14">
        <v>36.0</v>
      </c>
      <c r="H3877" s="23" t="s">
        <v>26</v>
      </c>
      <c r="I3877" s="24" t="s">
        <v>33</v>
      </c>
      <c r="J3877" s="19" t="s">
        <v>68</v>
      </c>
      <c r="K3877" s="14">
        <v>34.0</v>
      </c>
      <c r="L3877" s="7"/>
      <c r="M3877" s="7"/>
      <c r="N3877" s="7"/>
      <c r="O3877" s="7"/>
      <c r="P3877" s="7"/>
      <c r="Q3877" s="7"/>
      <c r="R3877" s="7"/>
      <c r="S3877" s="7"/>
      <c r="T3877" s="7"/>
      <c r="U3877" s="7"/>
      <c r="V3877" s="7"/>
      <c r="W3877" s="7"/>
      <c r="X3877" s="7"/>
      <c r="Y3877" s="7"/>
    </row>
    <row r="3878">
      <c r="A3878" s="14" t="s">
        <v>13739</v>
      </c>
      <c r="B3878" s="17" t="s">
        <v>13740</v>
      </c>
      <c r="C3878" s="17" t="s">
        <v>13741</v>
      </c>
      <c r="D3878" s="19" t="s">
        <v>13742</v>
      </c>
      <c r="E3878" s="20" t="s">
        <v>2079</v>
      </c>
      <c r="F3878" s="27">
        <v>35421.0</v>
      </c>
      <c r="G3878" s="14">
        <v>29.0</v>
      </c>
      <c r="H3878" s="23" t="s">
        <v>26</v>
      </c>
      <c r="I3878" s="24" t="s">
        <v>33</v>
      </c>
      <c r="J3878" s="19" t="s">
        <v>146</v>
      </c>
      <c r="K3878" s="14">
        <v>2.0</v>
      </c>
      <c r="L3878" s="7"/>
      <c r="M3878" s="7"/>
      <c r="N3878" s="7"/>
      <c r="O3878" s="7"/>
      <c r="P3878" s="7"/>
      <c r="Q3878" s="7"/>
      <c r="R3878" s="7"/>
      <c r="S3878" s="7"/>
      <c r="T3878" s="7"/>
      <c r="U3878" s="7"/>
      <c r="V3878" s="7"/>
      <c r="W3878" s="7"/>
      <c r="X3878" s="7"/>
      <c r="Y3878" s="7"/>
    </row>
    <row r="3879">
      <c r="A3879" s="14" t="s">
        <v>13743</v>
      </c>
      <c r="B3879" s="17" t="s">
        <v>13740</v>
      </c>
      <c r="C3879" s="17" t="s">
        <v>13744</v>
      </c>
      <c r="D3879" s="19" t="s">
        <v>11486</v>
      </c>
      <c r="E3879" s="20" t="s">
        <v>13745</v>
      </c>
      <c r="F3879" s="27">
        <v>36446.0</v>
      </c>
      <c r="G3879" s="14">
        <v>26.0</v>
      </c>
      <c r="H3879" s="23" t="s">
        <v>26</v>
      </c>
      <c r="I3879" s="24" t="s">
        <v>27</v>
      </c>
      <c r="J3879" s="19" t="s">
        <v>146</v>
      </c>
      <c r="K3879" s="14">
        <v>2.0</v>
      </c>
      <c r="L3879" s="7"/>
      <c r="M3879" s="7"/>
      <c r="N3879" s="7"/>
      <c r="O3879" s="7"/>
      <c r="P3879" s="7"/>
      <c r="Q3879" s="7"/>
      <c r="R3879" s="7"/>
      <c r="S3879" s="7"/>
      <c r="T3879" s="7"/>
      <c r="U3879" s="7"/>
      <c r="V3879" s="7"/>
      <c r="W3879" s="7"/>
      <c r="X3879" s="7"/>
      <c r="Y3879" s="7"/>
    </row>
    <row r="3880">
      <c r="A3880" s="14" t="s">
        <v>13746</v>
      </c>
      <c r="B3880" s="17" t="s">
        <v>13747</v>
      </c>
      <c r="C3880" s="17" t="s">
        <v>13748</v>
      </c>
      <c r="D3880" s="19" t="s">
        <v>13749</v>
      </c>
      <c r="E3880" s="20" t="s">
        <v>104</v>
      </c>
      <c r="F3880" s="21">
        <v>32367.0</v>
      </c>
      <c r="G3880" s="14">
        <v>38.0</v>
      </c>
      <c r="H3880" s="23" t="s">
        <v>27</v>
      </c>
      <c r="I3880" s="24" t="s">
        <v>27</v>
      </c>
      <c r="J3880" s="19" t="s">
        <v>206</v>
      </c>
      <c r="K3880" s="14">
        <v>10.0</v>
      </c>
      <c r="L3880" s="7"/>
      <c r="M3880" s="7"/>
      <c r="N3880" s="7"/>
      <c r="O3880" s="7"/>
      <c r="P3880" s="7"/>
      <c r="Q3880" s="7"/>
      <c r="R3880" s="7"/>
      <c r="S3880" s="7"/>
      <c r="T3880" s="7"/>
      <c r="U3880" s="7"/>
      <c r="V3880" s="7"/>
      <c r="W3880" s="7"/>
      <c r="X3880" s="7"/>
      <c r="Y3880" s="7"/>
    </row>
    <row r="3881">
      <c r="A3881" s="14" t="s">
        <v>13751</v>
      </c>
      <c r="B3881" s="17" t="s">
        <v>13752</v>
      </c>
      <c r="C3881" s="17" t="s">
        <v>13753</v>
      </c>
      <c r="D3881" s="19" t="s">
        <v>13754</v>
      </c>
      <c r="E3881" s="20" t="s">
        <v>104</v>
      </c>
      <c r="F3881" s="21">
        <v>39222.0</v>
      </c>
      <c r="G3881" s="14">
        <v>19.0</v>
      </c>
      <c r="H3881" s="23" t="s">
        <v>100</v>
      </c>
      <c r="I3881" s="24" t="s">
        <v>27</v>
      </c>
      <c r="J3881" s="19" t="s">
        <v>1960</v>
      </c>
      <c r="K3881" s="14">
        <v>23.0</v>
      </c>
      <c r="L3881" s="7"/>
      <c r="M3881" s="7"/>
      <c r="N3881" s="7"/>
      <c r="O3881" s="7"/>
      <c r="P3881" s="7"/>
      <c r="Q3881" s="7"/>
      <c r="R3881" s="7"/>
      <c r="S3881" s="7"/>
      <c r="T3881" s="7"/>
      <c r="U3881" s="7"/>
      <c r="V3881" s="7"/>
      <c r="W3881" s="7"/>
      <c r="X3881" s="7"/>
      <c r="Y3881" s="7"/>
    </row>
    <row r="3882">
      <c r="A3882" s="14" t="s">
        <v>13755</v>
      </c>
      <c r="B3882" s="17" t="s">
        <v>13752</v>
      </c>
      <c r="C3882" s="17" t="s">
        <v>13756</v>
      </c>
      <c r="D3882" s="19" t="s">
        <v>13757</v>
      </c>
      <c r="E3882" s="20" t="s">
        <v>104</v>
      </c>
      <c r="F3882" s="21">
        <v>37152.0</v>
      </c>
      <c r="G3882" s="14">
        <v>24.0</v>
      </c>
      <c r="H3882" s="23" t="s">
        <v>100</v>
      </c>
      <c r="I3882" s="24" t="s">
        <v>27</v>
      </c>
      <c r="J3882" s="19" t="s">
        <v>1960</v>
      </c>
      <c r="K3882" s="14">
        <v>23.0</v>
      </c>
      <c r="L3882" s="7"/>
      <c r="M3882" s="7"/>
      <c r="N3882" s="7"/>
      <c r="O3882" s="7"/>
      <c r="P3882" s="7"/>
      <c r="Q3882" s="7"/>
      <c r="R3882" s="7"/>
      <c r="S3882" s="7"/>
      <c r="T3882" s="7"/>
      <c r="U3882" s="7"/>
      <c r="V3882" s="7"/>
      <c r="W3882" s="7"/>
      <c r="X3882" s="7"/>
      <c r="Y3882" s="7"/>
    </row>
    <row r="3883">
      <c r="A3883" s="14" t="s">
        <v>13758</v>
      </c>
      <c r="B3883" s="17" t="s">
        <v>13752</v>
      </c>
      <c r="C3883" s="17" t="s">
        <v>13759</v>
      </c>
      <c r="D3883" s="19" t="s">
        <v>13760</v>
      </c>
      <c r="E3883" s="20" t="s">
        <v>11265</v>
      </c>
      <c r="F3883" s="21">
        <v>25512.0</v>
      </c>
      <c r="G3883" s="14">
        <v>56.0</v>
      </c>
      <c r="H3883" s="23" t="s">
        <v>26</v>
      </c>
      <c r="I3883" s="24" t="s">
        <v>33</v>
      </c>
      <c r="J3883" s="19" t="s">
        <v>1960</v>
      </c>
      <c r="K3883" s="14">
        <v>23.0</v>
      </c>
      <c r="L3883" s="7"/>
      <c r="M3883" s="7"/>
      <c r="N3883" s="7"/>
      <c r="O3883" s="7"/>
      <c r="P3883" s="7"/>
      <c r="Q3883" s="7"/>
      <c r="R3883" s="7"/>
      <c r="S3883" s="7"/>
      <c r="T3883" s="7"/>
      <c r="U3883" s="7"/>
      <c r="V3883" s="7"/>
      <c r="W3883" s="7"/>
      <c r="X3883" s="7"/>
      <c r="Y3883" s="7"/>
    </row>
    <row r="3884">
      <c r="A3884" s="14" t="s">
        <v>13761</v>
      </c>
      <c r="B3884" s="17" t="s">
        <v>13752</v>
      </c>
      <c r="C3884" s="17" t="s">
        <v>13762</v>
      </c>
      <c r="D3884" s="19" t="s">
        <v>1815</v>
      </c>
      <c r="E3884" s="20" t="s">
        <v>632</v>
      </c>
      <c r="F3884" s="27">
        <v>26960.0</v>
      </c>
      <c r="G3884" s="14">
        <v>52.0</v>
      </c>
      <c r="H3884" s="23" t="s">
        <v>26</v>
      </c>
      <c r="I3884" s="24" t="s">
        <v>27</v>
      </c>
      <c r="J3884" s="19" t="s">
        <v>328</v>
      </c>
      <c r="K3884" s="14">
        <v>23.0</v>
      </c>
      <c r="L3884" s="7"/>
      <c r="M3884" s="7"/>
      <c r="N3884" s="7"/>
      <c r="O3884" s="7"/>
      <c r="P3884" s="7"/>
      <c r="Q3884" s="7"/>
      <c r="R3884" s="7"/>
      <c r="S3884" s="7"/>
      <c r="T3884" s="7"/>
      <c r="U3884" s="7"/>
      <c r="V3884" s="7"/>
      <c r="W3884" s="7"/>
      <c r="X3884" s="7"/>
      <c r="Y3884" s="7"/>
    </row>
    <row r="3885">
      <c r="A3885" s="14" t="s">
        <v>13763</v>
      </c>
      <c r="B3885" s="17" t="s">
        <v>13764</v>
      </c>
      <c r="C3885" s="17" t="s">
        <v>13765</v>
      </c>
      <c r="D3885" s="19" t="s">
        <v>13766</v>
      </c>
      <c r="E3885" s="20" t="s">
        <v>104</v>
      </c>
      <c r="F3885" s="21">
        <v>28896.0</v>
      </c>
      <c r="G3885" s="14">
        <v>47.0</v>
      </c>
      <c r="H3885" s="23" t="s">
        <v>26</v>
      </c>
      <c r="I3885" s="24" t="s">
        <v>27</v>
      </c>
      <c r="J3885" s="19" t="s">
        <v>1960</v>
      </c>
      <c r="K3885" s="14">
        <v>21.0</v>
      </c>
      <c r="L3885" s="7"/>
      <c r="M3885" s="7"/>
      <c r="N3885" s="7"/>
      <c r="O3885" s="7"/>
      <c r="P3885" s="7"/>
      <c r="Q3885" s="7"/>
      <c r="R3885" s="7"/>
      <c r="S3885" s="7"/>
      <c r="T3885" s="7"/>
      <c r="U3885" s="7"/>
      <c r="V3885" s="7"/>
      <c r="W3885" s="7"/>
      <c r="X3885" s="7"/>
      <c r="Y3885" s="7"/>
    </row>
    <row r="3886">
      <c r="A3886" s="14" t="s">
        <v>13767</v>
      </c>
      <c r="B3886" s="17" t="s">
        <v>13764</v>
      </c>
      <c r="C3886" s="17" t="s">
        <v>13768</v>
      </c>
      <c r="D3886" s="19" t="s">
        <v>13769</v>
      </c>
      <c r="E3886" s="20" t="s">
        <v>104</v>
      </c>
      <c r="F3886" s="21">
        <v>38238.0</v>
      </c>
      <c r="G3886" s="14">
        <v>21.0</v>
      </c>
      <c r="H3886" s="23" t="s">
        <v>100</v>
      </c>
      <c r="I3886" s="24" t="s">
        <v>27</v>
      </c>
      <c r="J3886" s="19" t="s">
        <v>1960</v>
      </c>
      <c r="K3886" s="14">
        <v>21.0</v>
      </c>
      <c r="L3886" s="7"/>
      <c r="M3886" s="7"/>
      <c r="N3886" s="7"/>
      <c r="O3886" s="7"/>
      <c r="P3886" s="7"/>
      <c r="Q3886" s="7"/>
      <c r="R3886" s="7"/>
      <c r="S3886" s="7"/>
      <c r="T3886" s="7"/>
      <c r="U3886" s="7"/>
      <c r="V3886" s="7"/>
      <c r="W3886" s="7"/>
      <c r="X3886" s="7"/>
      <c r="Y3886" s="7"/>
    </row>
    <row r="3887">
      <c r="A3887" s="14" t="s">
        <v>13770</v>
      </c>
      <c r="B3887" s="17" t="s">
        <v>13764</v>
      </c>
      <c r="C3887" s="17" t="s">
        <v>13771</v>
      </c>
      <c r="D3887" s="19" t="s">
        <v>5436</v>
      </c>
      <c r="E3887" s="20" t="s">
        <v>104</v>
      </c>
      <c r="F3887" s="21">
        <v>28292.0</v>
      </c>
      <c r="G3887" s="14">
        <v>49.0</v>
      </c>
      <c r="H3887" s="23" t="s">
        <v>26</v>
      </c>
      <c r="I3887" s="24" t="s">
        <v>33</v>
      </c>
      <c r="J3887" s="19" t="s">
        <v>1960</v>
      </c>
      <c r="K3887" s="14">
        <v>21.0</v>
      </c>
      <c r="L3887" s="7"/>
      <c r="M3887" s="7"/>
      <c r="N3887" s="7"/>
      <c r="O3887" s="7"/>
      <c r="P3887" s="7"/>
      <c r="Q3887" s="7"/>
      <c r="R3887" s="7"/>
      <c r="S3887" s="7"/>
      <c r="T3887" s="7"/>
      <c r="U3887" s="7"/>
      <c r="V3887" s="7"/>
      <c r="W3887" s="7"/>
      <c r="X3887" s="7"/>
      <c r="Y3887" s="7"/>
    </row>
    <row r="3888">
      <c r="A3888" s="14" t="s">
        <v>13772</v>
      </c>
      <c r="B3888" s="17" t="s">
        <v>13773</v>
      </c>
      <c r="C3888" s="17" t="s">
        <v>13774</v>
      </c>
      <c r="D3888" s="19" t="s">
        <v>4677</v>
      </c>
      <c r="E3888" s="20" t="s">
        <v>429</v>
      </c>
      <c r="F3888" s="21">
        <v>27860.0</v>
      </c>
      <c r="G3888" s="14">
        <v>50.0</v>
      </c>
      <c r="H3888" s="23" t="s">
        <v>26</v>
      </c>
      <c r="I3888" s="24" t="s">
        <v>33</v>
      </c>
      <c r="J3888" s="19" t="s">
        <v>726</v>
      </c>
      <c r="K3888" s="14">
        <v>18.0</v>
      </c>
      <c r="L3888" s="7"/>
      <c r="M3888" s="7"/>
      <c r="N3888" s="7"/>
      <c r="O3888" s="7"/>
      <c r="P3888" s="7"/>
      <c r="Q3888" s="7"/>
      <c r="R3888" s="7"/>
      <c r="S3888" s="7"/>
      <c r="T3888" s="7"/>
      <c r="U3888" s="7"/>
      <c r="V3888" s="7"/>
      <c r="W3888" s="7"/>
      <c r="X3888" s="7"/>
      <c r="Y3888" s="7"/>
    </row>
    <row r="3889">
      <c r="A3889" s="14" t="s">
        <v>13775</v>
      </c>
      <c r="B3889" s="17" t="s">
        <v>13773</v>
      </c>
      <c r="C3889" s="17" t="s">
        <v>13776</v>
      </c>
      <c r="D3889" s="19" t="s">
        <v>13777</v>
      </c>
      <c r="E3889" s="20" t="s">
        <v>274</v>
      </c>
      <c r="F3889" s="21">
        <v>30070.0</v>
      </c>
      <c r="G3889" s="14">
        <v>44.0</v>
      </c>
      <c r="H3889" s="23" t="s">
        <v>26</v>
      </c>
      <c r="I3889" s="24" t="s">
        <v>27</v>
      </c>
      <c r="J3889" s="19" t="s">
        <v>726</v>
      </c>
      <c r="K3889" s="14">
        <v>18.0</v>
      </c>
      <c r="L3889" s="7"/>
      <c r="M3889" s="7"/>
      <c r="N3889" s="7"/>
      <c r="O3889" s="7"/>
      <c r="P3889" s="7"/>
      <c r="Q3889" s="7"/>
      <c r="R3889" s="7"/>
      <c r="S3889" s="7"/>
      <c r="T3889" s="7"/>
      <c r="U3889" s="7"/>
      <c r="V3889" s="7"/>
      <c r="W3889" s="7"/>
      <c r="X3889" s="7"/>
      <c r="Y3889" s="7"/>
    </row>
    <row r="3890">
      <c r="A3890" s="14" t="s">
        <v>13778</v>
      </c>
      <c r="B3890" s="17" t="s">
        <v>13779</v>
      </c>
      <c r="C3890" s="17" t="s">
        <v>13780</v>
      </c>
      <c r="D3890" s="19" t="s">
        <v>13781</v>
      </c>
      <c r="E3890" s="20" t="s">
        <v>104</v>
      </c>
      <c r="F3890" s="21">
        <v>30902.0</v>
      </c>
      <c r="G3890" s="14">
        <v>42.0</v>
      </c>
      <c r="H3890" s="23" t="s">
        <v>26</v>
      </c>
      <c r="I3890" s="24" t="s">
        <v>33</v>
      </c>
      <c r="J3890" s="19" t="s">
        <v>726</v>
      </c>
      <c r="K3890" s="14">
        <v>13.0</v>
      </c>
      <c r="L3890" s="7"/>
      <c r="M3890" s="7"/>
      <c r="N3890" s="7"/>
      <c r="O3890" s="7"/>
      <c r="P3890" s="7"/>
      <c r="Q3890" s="7"/>
      <c r="R3890" s="7"/>
      <c r="S3890" s="7"/>
      <c r="T3890" s="7"/>
      <c r="U3890" s="7"/>
      <c r="V3890" s="7"/>
      <c r="W3890" s="7"/>
      <c r="X3890" s="7"/>
      <c r="Y3890" s="7"/>
    </row>
    <row r="3891">
      <c r="A3891" s="14" t="s">
        <v>13782</v>
      </c>
      <c r="B3891" s="17" t="s">
        <v>13779</v>
      </c>
      <c r="C3891" s="17" t="s">
        <v>13783</v>
      </c>
      <c r="D3891" s="19" t="s">
        <v>13784</v>
      </c>
      <c r="E3891" s="20" t="s">
        <v>104</v>
      </c>
      <c r="F3891" s="27">
        <v>32807.0</v>
      </c>
      <c r="G3891" s="14">
        <v>36.0</v>
      </c>
      <c r="H3891" s="23" t="s">
        <v>26</v>
      </c>
      <c r="I3891" s="24" t="s">
        <v>27</v>
      </c>
      <c r="J3891" s="19" t="s">
        <v>726</v>
      </c>
      <c r="K3891" s="14">
        <v>13.0</v>
      </c>
      <c r="L3891" s="7"/>
      <c r="M3891" s="7"/>
      <c r="N3891" s="7"/>
      <c r="O3891" s="7"/>
      <c r="P3891" s="7"/>
      <c r="Q3891" s="7"/>
      <c r="R3891" s="7"/>
      <c r="S3891" s="7"/>
      <c r="T3891" s="7"/>
      <c r="U3891" s="7"/>
      <c r="V3891" s="7"/>
      <c r="W3891" s="7"/>
      <c r="X3891" s="7"/>
      <c r="Y3891" s="7"/>
    </row>
    <row r="3892">
      <c r="A3892" s="14" t="s">
        <v>13785</v>
      </c>
      <c r="B3892" s="17" t="s">
        <v>13786</v>
      </c>
      <c r="C3892" s="17" t="s">
        <v>13787</v>
      </c>
      <c r="D3892" s="19" t="s">
        <v>13788</v>
      </c>
      <c r="E3892" s="20" t="s">
        <v>104</v>
      </c>
      <c r="F3892" s="21">
        <v>29000.0</v>
      </c>
      <c r="G3892" s="14">
        <v>47.0</v>
      </c>
      <c r="H3892" s="23" t="s">
        <v>26</v>
      </c>
      <c r="I3892" s="24" t="s">
        <v>33</v>
      </c>
      <c r="J3892" s="19" t="s">
        <v>328</v>
      </c>
      <c r="K3892" s="14">
        <v>20.0</v>
      </c>
      <c r="L3892" s="7"/>
      <c r="M3892" s="7"/>
      <c r="N3892" s="7"/>
      <c r="O3892" s="7"/>
      <c r="P3892" s="7"/>
      <c r="Q3892" s="7"/>
      <c r="R3892" s="7"/>
      <c r="S3892" s="7"/>
      <c r="T3892" s="7"/>
      <c r="U3892" s="7"/>
      <c r="V3892" s="7"/>
      <c r="W3892" s="7"/>
      <c r="X3892" s="7"/>
      <c r="Y3892" s="7"/>
    </row>
    <row r="3893">
      <c r="A3893" s="14" t="s">
        <v>13789</v>
      </c>
      <c r="B3893" s="17" t="s">
        <v>13786</v>
      </c>
      <c r="C3893" s="17" t="s">
        <v>13790</v>
      </c>
      <c r="D3893" s="19" t="s">
        <v>13791</v>
      </c>
      <c r="E3893" s="20" t="s">
        <v>104</v>
      </c>
      <c r="F3893" s="21">
        <v>39340.0</v>
      </c>
      <c r="G3893" s="14">
        <v>18.0</v>
      </c>
      <c r="H3893" s="23" t="s">
        <v>100</v>
      </c>
      <c r="I3893" s="24" t="s">
        <v>33</v>
      </c>
      <c r="J3893" s="19" t="s">
        <v>328</v>
      </c>
      <c r="K3893" s="14">
        <v>20.0</v>
      </c>
      <c r="L3893" s="7"/>
      <c r="M3893" s="7"/>
      <c r="N3893" s="7"/>
      <c r="O3893" s="7"/>
      <c r="P3893" s="7"/>
      <c r="Q3893" s="7"/>
      <c r="R3893" s="7"/>
      <c r="S3893" s="7"/>
      <c r="T3893" s="7"/>
      <c r="U3893" s="7"/>
      <c r="V3893" s="7"/>
      <c r="W3893" s="7"/>
      <c r="X3893" s="7"/>
      <c r="Y3893" s="7"/>
    </row>
    <row r="3894">
      <c r="A3894" s="14" t="s">
        <v>13792</v>
      </c>
      <c r="B3894" s="17" t="s">
        <v>13786</v>
      </c>
      <c r="C3894" s="17" t="s">
        <v>13793</v>
      </c>
      <c r="D3894" s="19" t="s">
        <v>13794</v>
      </c>
      <c r="E3894" s="20" t="s">
        <v>104</v>
      </c>
      <c r="F3894" s="21">
        <v>31114.0</v>
      </c>
      <c r="G3894" s="14">
        <v>41.0</v>
      </c>
      <c r="H3894" s="23" t="s">
        <v>26</v>
      </c>
      <c r="I3894" s="24" t="s">
        <v>27</v>
      </c>
      <c r="J3894" s="19" t="s">
        <v>328</v>
      </c>
      <c r="K3894" s="14">
        <v>20.0</v>
      </c>
      <c r="L3894" s="7"/>
      <c r="M3894" s="7"/>
      <c r="N3894" s="7"/>
      <c r="O3894" s="7"/>
      <c r="P3894" s="7"/>
      <c r="Q3894" s="7"/>
      <c r="R3894" s="7"/>
      <c r="S3894" s="7"/>
      <c r="T3894" s="7"/>
      <c r="U3894" s="7"/>
      <c r="V3894" s="7"/>
      <c r="W3894" s="7"/>
      <c r="X3894" s="7"/>
      <c r="Y3894" s="7"/>
    </row>
    <row r="3895">
      <c r="A3895" s="14" t="s">
        <v>13795</v>
      </c>
      <c r="B3895" s="17" t="s">
        <v>13796</v>
      </c>
      <c r="C3895" s="17" t="s">
        <v>13797</v>
      </c>
      <c r="D3895" s="19" t="s">
        <v>13798</v>
      </c>
      <c r="E3895" s="20" t="s">
        <v>3587</v>
      </c>
      <c r="F3895" s="21">
        <v>35945.0</v>
      </c>
      <c r="G3895" s="14">
        <v>28.0</v>
      </c>
      <c r="H3895" s="23" t="s">
        <v>26</v>
      </c>
      <c r="I3895" s="24" t="s">
        <v>27</v>
      </c>
      <c r="J3895" s="19" t="s">
        <v>53</v>
      </c>
      <c r="K3895" s="14">
        <v>30.0</v>
      </c>
      <c r="L3895" s="7"/>
      <c r="M3895" s="7"/>
      <c r="N3895" s="7"/>
      <c r="O3895" s="7"/>
      <c r="P3895" s="7"/>
      <c r="Q3895" s="7"/>
      <c r="R3895" s="7"/>
      <c r="S3895" s="7"/>
      <c r="T3895" s="7"/>
      <c r="U3895" s="7"/>
      <c r="V3895" s="7"/>
      <c r="W3895" s="7"/>
      <c r="X3895" s="7"/>
      <c r="Y3895" s="7"/>
    </row>
    <row r="3896">
      <c r="A3896" s="14" t="s">
        <v>13799</v>
      </c>
      <c r="B3896" s="17" t="s">
        <v>13796</v>
      </c>
      <c r="C3896" s="17" t="s">
        <v>13800</v>
      </c>
      <c r="D3896" s="19" t="s">
        <v>13801</v>
      </c>
      <c r="E3896" s="20" t="s">
        <v>53</v>
      </c>
      <c r="F3896" s="21">
        <v>33405.0</v>
      </c>
      <c r="G3896" s="14">
        <v>35.0</v>
      </c>
      <c r="H3896" s="23" t="s">
        <v>26</v>
      </c>
      <c r="I3896" s="24" t="s">
        <v>33</v>
      </c>
      <c r="J3896" s="19" t="s">
        <v>53</v>
      </c>
      <c r="K3896" s="14">
        <v>30.0</v>
      </c>
      <c r="L3896" s="7"/>
      <c r="M3896" s="7"/>
      <c r="N3896" s="7"/>
      <c r="O3896" s="7"/>
      <c r="P3896" s="7"/>
      <c r="Q3896" s="7"/>
      <c r="R3896" s="7"/>
      <c r="S3896" s="7"/>
      <c r="T3896" s="7"/>
      <c r="U3896" s="7"/>
      <c r="V3896" s="7"/>
      <c r="W3896" s="7"/>
      <c r="X3896" s="7"/>
      <c r="Y3896" s="7"/>
    </row>
    <row r="3897">
      <c r="A3897" s="14" t="s">
        <v>13802</v>
      </c>
      <c r="B3897" s="17" t="s">
        <v>13796</v>
      </c>
      <c r="C3897" s="17" t="s">
        <v>13803</v>
      </c>
      <c r="D3897" s="19" t="s">
        <v>7892</v>
      </c>
      <c r="E3897" s="20" t="s">
        <v>3587</v>
      </c>
      <c r="F3897" s="27">
        <v>22230.0</v>
      </c>
      <c r="G3897" s="14">
        <v>65.0</v>
      </c>
      <c r="H3897" s="23" t="s">
        <v>27</v>
      </c>
      <c r="I3897" s="24" t="s">
        <v>27</v>
      </c>
      <c r="J3897" s="19" t="s">
        <v>53</v>
      </c>
      <c r="K3897" s="14">
        <v>30.0</v>
      </c>
      <c r="L3897" s="7"/>
      <c r="M3897" s="7"/>
      <c r="N3897" s="7"/>
      <c r="O3897" s="7"/>
      <c r="P3897" s="7"/>
      <c r="Q3897" s="7"/>
      <c r="R3897" s="7"/>
      <c r="S3897" s="7"/>
      <c r="T3897" s="7"/>
      <c r="U3897" s="7"/>
      <c r="V3897" s="7"/>
      <c r="W3897" s="7"/>
      <c r="X3897" s="7"/>
      <c r="Y3897" s="7"/>
    </row>
    <row r="3898">
      <c r="A3898" s="14" t="s">
        <v>13804</v>
      </c>
      <c r="B3898" s="17" t="s">
        <v>13805</v>
      </c>
      <c r="C3898" s="17" t="s">
        <v>13806</v>
      </c>
      <c r="D3898" s="19" t="s">
        <v>13807</v>
      </c>
      <c r="E3898" s="20" t="s">
        <v>10719</v>
      </c>
      <c r="F3898" s="21">
        <v>29131.0</v>
      </c>
      <c r="G3898" s="14">
        <v>46.0</v>
      </c>
      <c r="H3898" s="23" t="s">
        <v>26</v>
      </c>
      <c r="I3898" s="24" t="s">
        <v>33</v>
      </c>
      <c r="J3898" s="19" t="s">
        <v>282</v>
      </c>
      <c r="K3898" s="14">
        <v>17.0</v>
      </c>
      <c r="L3898" s="7"/>
      <c r="M3898" s="7"/>
      <c r="N3898" s="7"/>
      <c r="O3898" s="7"/>
      <c r="P3898" s="7"/>
      <c r="Q3898" s="7"/>
      <c r="R3898" s="7"/>
      <c r="S3898" s="7"/>
      <c r="T3898" s="7"/>
      <c r="U3898" s="7"/>
      <c r="V3898" s="7"/>
      <c r="W3898" s="7"/>
      <c r="X3898" s="7"/>
      <c r="Y3898" s="7"/>
    </row>
    <row r="3899">
      <c r="A3899" s="14" t="s">
        <v>13808</v>
      </c>
      <c r="B3899" s="17" t="s">
        <v>13805</v>
      </c>
      <c r="C3899" s="17" t="s">
        <v>13809</v>
      </c>
      <c r="D3899" s="19" t="s">
        <v>13810</v>
      </c>
      <c r="E3899" s="20" t="s">
        <v>138</v>
      </c>
      <c r="F3899" s="21">
        <v>28493.0</v>
      </c>
      <c r="G3899" s="14">
        <v>48.0</v>
      </c>
      <c r="H3899" s="23" t="s">
        <v>26</v>
      </c>
      <c r="I3899" s="24" t="s">
        <v>27</v>
      </c>
      <c r="J3899" s="19" t="s">
        <v>282</v>
      </c>
      <c r="K3899" s="14">
        <v>17.0</v>
      </c>
      <c r="L3899" s="7"/>
      <c r="M3899" s="7"/>
      <c r="N3899" s="7"/>
      <c r="O3899" s="7"/>
      <c r="P3899" s="7"/>
      <c r="Q3899" s="7"/>
      <c r="R3899" s="7"/>
      <c r="S3899" s="7"/>
      <c r="T3899" s="7"/>
      <c r="U3899" s="7"/>
      <c r="V3899" s="7"/>
      <c r="W3899" s="7"/>
      <c r="X3899" s="7"/>
      <c r="Y3899" s="7"/>
    </row>
    <row r="3900">
      <c r="A3900" s="14" t="s">
        <v>13811</v>
      </c>
      <c r="B3900" s="17" t="s">
        <v>13812</v>
      </c>
      <c r="C3900" s="17" t="s">
        <v>13813</v>
      </c>
      <c r="D3900" s="19" t="s">
        <v>1282</v>
      </c>
      <c r="E3900" s="20" t="s">
        <v>104</v>
      </c>
      <c r="F3900" s="27">
        <v>31003.0</v>
      </c>
      <c r="G3900" s="14">
        <v>41.0</v>
      </c>
      <c r="H3900" s="23" t="s">
        <v>26</v>
      </c>
      <c r="I3900" s="24" t="s">
        <v>33</v>
      </c>
      <c r="J3900" s="19" t="s">
        <v>282</v>
      </c>
      <c r="K3900" s="14">
        <v>14.0</v>
      </c>
      <c r="L3900" s="7"/>
      <c r="M3900" s="7"/>
      <c r="N3900" s="7"/>
      <c r="O3900" s="7"/>
      <c r="P3900" s="7"/>
      <c r="Q3900" s="7"/>
      <c r="R3900" s="7"/>
      <c r="S3900" s="7"/>
      <c r="T3900" s="7"/>
      <c r="U3900" s="7"/>
      <c r="V3900" s="7"/>
      <c r="W3900" s="7"/>
      <c r="X3900" s="7"/>
      <c r="Y3900" s="7"/>
    </row>
    <row r="3901">
      <c r="A3901" s="14" t="s">
        <v>13814</v>
      </c>
      <c r="B3901" s="17" t="s">
        <v>13812</v>
      </c>
      <c r="C3901" s="17" t="s">
        <v>13815</v>
      </c>
      <c r="D3901" s="19" t="s">
        <v>13816</v>
      </c>
      <c r="E3901" s="20" t="s">
        <v>53</v>
      </c>
      <c r="F3901" s="21">
        <v>32630.0</v>
      </c>
      <c r="G3901" s="14">
        <v>37.0</v>
      </c>
      <c r="H3901" s="23" t="s">
        <v>26</v>
      </c>
      <c r="I3901" s="24" t="s">
        <v>27</v>
      </c>
      <c r="J3901" s="19" t="s">
        <v>282</v>
      </c>
      <c r="K3901" s="14">
        <v>14.0</v>
      </c>
      <c r="L3901" s="7"/>
      <c r="M3901" s="7"/>
      <c r="N3901" s="7"/>
      <c r="O3901" s="7"/>
      <c r="P3901" s="7"/>
      <c r="Q3901" s="7"/>
      <c r="R3901" s="7"/>
      <c r="S3901" s="7"/>
      <c r="T3901" s="7"/>
      <c r="U3901" s="7"/>
      <c r="V3901" s="7"/>
      <c r="W3901" s="7"/>
      <c r="X3901" s="7"/>
      <c r="Y3901" s="7"/>
    </row>
    <row r="3902">
      <c r="A3902" s="14" t="s">
        <v>13817</v>
      </c>
      <c r="B3902" s="17" t="s">
        <v>13818</v>
      </c>
      <c r="C3902" s="17" t="s">
        <v>13819</v>
      </c>
      <c r="D3902" s="19" t="s">
        <v>13820</v>
      </c>
      <c r="E3902" s="20" t="s">
        <v>274</v>
      </c>
      <c r="F3902" s="27">
        <v>35362.0</v>
      </c>
      <c r="G3902" s="14">
        <v>29.0</v>
      </c>
      <c r="H3902" s="23" t="s">
        <v>26</v>
      </c>
      <c r="I3902" s="24" t="s">
        <v>33</v>
      </c>
      <c r="J3902" s="19" t="s">
        <v>206</v>
      </c>
      <c r="K3902" s="14">
        <v>10.0</v>
      </c>
      <c r="L3902" s="7"/>
      <c r="M3902" s="7"/>
      <c r="N3902" s="7"/>
      <c r="O3902" s="7"/>
      <c r="P3902" s="7"/>
      <c r="Q3902" s="7"/>
      <c r="R3902" s="7"/>
      <c r="S3902" s="7"/>
      <c r="T3902" s="7"/>
      <c r="U3902" s="7"/>
      <c r="V3902" s="7"/>
      <c r="W3902" s="7"/>
      <c r="X3902" s="7"/>
      <c r="Y3902" s="7"/>
    </row>
    <row r="3903">
      <c r="A3903" s="14" t="s">
        <v>13821</v>
      </c>
      <c r="B3903" s="17" t="s">
        <v>13818</v>
      </c>
      <c r="C3903" s="17" t="s">
        <v>13822</v>
      </c>
      <c r="D3903" s="19" t="s">
        <v>13823</v>
      </c>
      <c r="E3903" s="20" t="s">
        <v>3587</v>
      </c>
      <c r="F3903" s="27">
        <v>37237.0</v>
      </c>
      <c r="G3903" s="14">
        <v>24.0</v>
      </c>
      <c r="H3903" s="23" t="s">
        <v>26</v>
      </c>
      <c r="I3903" s="24" t="s">
        <v>27</v>
      </c>
      <c r="J3903" s="19" t="s">
        <v>206</v>
      </c>
      <c r="K3903" s="14">
        <v>10.0</v>
      </c>
      <c r="L3903" s="7"/>
      <c r="M3903" s="7"/>
      <c r="N3903" s="7"/>
      <c r="O3903" s="7"/>
      <c r="P3903" s="7"/>
      <c r="Q3903" s="7"/>
      <c r="R3903" s="7"/>
      <c r="S3903" s="7"/>
      <c r="T3903" s="7"/>
      <c r="U3903" s="7"/>
      <c r="V3903" s="7"/>
      <c r="W3903" s="7"/>
      <c r="X3903" s="7"/>
      <c r="Y3903" s="7"/>
    </row>
    <row r="3904">
      <c r="A3904" s="14" t="s">
        <v>13824</v>
      </c>
      <c r="B3904" s="17" t="s">
        <v>13825</v>
      </c>
      <c r="C3904" s="17" t="s">
        <v>13826</v>
      </c>
      <c r="D3904" s="19" t="s">
        <v>13827</v>
      </c>
      <c r="E3904" s="20" t="s">
        <v>9953</v>
      </c>
      <c r="F3904" s="21">
        <v>28719.0</v>
      </c>
      <c r="G3904" s="14">
        <v>48.0</v>
      </c>
      <c r="H3904" s="23" t="s">
        <v>26</v>
      </c>
      <c r="I3904" s="24" t="s">
        <v>27</v>
      </c>
      <c r="J3904" s="19" t="s">
        <v>53</v>
      </c>
      <c r="K3904" s="14">
        <v>25.0</v>
      </c>
      <c r="L3904" s="7"/>
      <c r="M3904" s="7"/>
      <c r="N3904" s="7"/>
      <c r="O3904" s="7"/>
      <c r="P3904" s="7"/>
      <c r="Q3904" s="7"/>
      <c r="R3904" s="7"/>
      <c r="S3904" s="7"/>
      <c r="T3904" s="7"/>
      <c r="U3904" s="7"/>
      <c r="V3904" s="7"/>
      <c r="W3904" s="7"/>
      <c r="X3904" s="7"/>
      <c r="Y3904" s="7"/>
    </row>
    <row r="3905">
      <c r="A3905" s="14" t="s">
        <v>13828</v>
      </c>
      <c r="B3905" s="17" t="s">
        <v>13825</v>
      </c>
      <c r="C3905" s="17" t="s">
        <v>13829</v>
      </c>
      <c r="D3905" s="19" t="s">
        <v>13830</v>
      </c>
      <c r="E3905" s="20" t="s">
        <v>1830</v>
      </c>
      <c r="F3905" s="21">
        <v>38556.0</v>
      </c>
      <c r="G3905" s="14">
        <v>21.0</v>
      </c>
      <c r="H3905" s="23" t="s">
        <v>100</v>
      </c>
      <c r="I3905" s="24" t="s">
        <v>27</v>
      </c>
      <c r="J3905" s="19" t="s">
        <v>53</v>
      </c>
      <c r="K3905" s="14">
        <v>25.0</v>
      </c>
      <c r="L3905" s="7"/>
      <c r="M3905" s="7"/>
      <c r="N3905" s="7"/>
      <c r="O3905" s="7"/>
      <c r="P3905" s="7"/>
      <c r="Q3905" s="7"/>
      <c r="R3905" s="7"/>
      <c r="S3905" s="7"/>
      <c r="T3905" s="7"/>
      <c r="U3905" s="7"/>
      <c r="V3905" s="7"/>
      <c r="W3905" s="7"/>
      <c r="X3905" s="7"/>
      <c r="Y3905" s="7"/>
    </row>
    <row r="3906">
      <c r="A3906" s="14" t="s">
        <v>13831</v>
      </c>
      <c r="B3906" s="17" t="s">
        <v>13825</v>
      </c>
      <c r="C3906" s="17" t="s">
        <v>13832</v>
      </c>
      <c r="D3906" s="19" t="s">
        <v>13833</v>
      </c>
      <c r="E3906" s="20" t="s">
        <v>13834</v>
      </c>
      <c r="F3906" s="21">
        <v>26912.0</v>
      </c>
      <c r="G3906" s="14">
        <v>52.0</v>
      </c>
      <c r="H3906" s="23" t="s">
        <v>26</v>
      </c>
      <c r="I3906" s="24" t="s">
        <v>33</v>
      </c>
      <c r="J3906" s="19" t="s">
        <v>53</v>
      </c>
      <c r="K3906" s="14">
        <v>25.0</v>
      </c>
      <c r="L3906" s="7"/>
      <c r="M3906" s="7"/>
      <c r="N3906" s="7"/>
      <c r="O3906" s="7"/>
      <c r="P3906" s="7"/>
      <c r="Q3906" s="7"/>
      <c r="R3906" s="7"/>
      <c r="S3906" s="7"/>
      <c r="T3906" s="7"/>
      <c r="U3906" s="7"/>
      <c r="V3906" s="7"/>
      <c r="W3906" s="7"/>
      <c r="X3906" s="7"/>
      <c r="Y3906" s="7"/>
    </row>
    <row r="3907">
      <c r="A3907" s="14" t="s">
        <v>13835</v>
      </c>
      <c r="B3907" s="17" t="s">
        <v>13836</v>
      </c>
      <c r="C3907" s="17" t="s">
        <v>13837</v>
      </c>
      <c r="D3907" s="19" t="s">
        <v>1865</v>
      </c>
      <c r="E3907" s="20" t="s">
        <v>749</v>
      </c>
      <c r="F3907" s="21">
        <v>28435.0</v>
      </c>
      <c r="G3907" s="14">
        <v>48.0</v>
      </c>
      <c r="H3907" s="23" t="s">
        <v>26</v>
      </c>
      <c r="I3907" s="24" t="s">
        <v>33</v>
      </c>
      <c r="J3907" s="19" t="s">
        <v>726</v>
      </c>
      <c r="K3907" s="14">
        <v>12.0</v>
      </c>
      <c r="L3907" s="7"/>
      <c r="M3907" s="7"/>
      <c r="N3907" s="7"/>
      <c r="O3907" s="7"/>
      <c r="P3907" s="7"/>
      <c r="Q3907" s="7"/>
      <c r="R3907" s="7"/>
      <c r="S3907" s="7"/>
      <c r="T3907" s="7"/>
      <c r="U3907" s="7"/>
      <c r="V3907" s="7"/>
      <c r="W3907" s="7"/>
      <c r="X3907" s="7"/>
      <c r="Y3907" s="7"/>
    </row>
    <row r="3908">
      <c r="A3908" s="14" t="s">
        <v>13838</v>
      </c>
      <c r="B3908" s="17" t="s">
        <v>13836</v>
      </c>
      <c r="C3908" s="17" t="s">
        <v>13839</v>
      </c>
      <c r="D3908" s="19" t="s">
        <v>13840</v>
      </c>
      <c r="E3908" s="20" t="s">
        <v>337</v>
      </c>
      <c r="F3908" s="21">
        <v>37503.0</v>
      </c>
      <c r="G3908" s="14">
        <v>23.0</v>
      </c>
      <c r="H3908" s="23" t="s">
        <v>100</v>
      </c>
      <c r="I3908" s="24" t="s">
        <v>27</v>
      </c>
      <c r="J3908" s="19" t="s">
        <v>726</v>
      </c>
      <c r="K3908" s="14">
        <v>12.0</v>
      </c>
      <c r="L3908" s="7"/>
      <c r="M3908" s="7"/>
      <c r="N3908" s="7"/>
      <c r="O3908" s="7"/>
      <c r="P3908" s="7"/>
      <c r="Q3908" s="7"/>
      <c r="R3908" s="7"/>
      <c r="S3908" s="7"/>
      <c r="T3908" s="7"/>
      <c r="U3908" s="7"/>
      <c r="V3908" s="7"/>
      <c r="W3908" s="7"/>
      <c r="X3908" s="7"/>
      <c r="Y3908" s="7"/>
    </row>
    <row r="3909">
      <c r="A3909" s="14" t="s">
        <v>13841</v>
      </c>
      <c r="B3909" s="17" t="s">
        <v>13836</v>
      </c>
      <c r="C3909" s="17" t="s">
        <v>13842</v>
      </c>
      <c r="D3909" s="19" t="s">
        <v>13843</v>
      </c>
      <c r="E3909" s="20" t="s">
        <v>104</v>
      </c>
      <c r="F3909" s="21">
        <v>30549.0</v>
      </c>
      <c r="G3909" s="14">
        <v>43.0</v>
      </c>
      <c r="H3909" s="23" t="s">
        <v>26</v>
      </c>
      <c r="I3909" s="24" t="s">
        <v>27</v>
      </c>
      <c r="J3909" s="19" t="s">
        <v>726</v>
      </c>
      <c r="K3909" s="14">
        <v>12.0</v>
      </c>
      <c r="L3909" s="7"/>
      <c r="M3909" s="7"/>
      <c r="N3909" s="7"/>
      <c r="O3909" s="7"/>
      <c r="P3909" s="7"/>
      <c r="Q3909" s="7"/>
      <c r="R3909" s="7"/>
      <c r="S3909" s="7"/>
      <c r="T3909" s="7"/>
      <c r="U3909" s="7"/>
      <c r="V3909" s="7"/>
      <c r="W3909" s="7"/>
      <c r="X3909" s="7"/>
      <c r="Y3909" s="7"/>
    </row>
    <row r="3910">
      <c r="A3910" s="14" t="s">
        <v>13844</v>
      </c>
      <c r="B3910" s="17" t="s">
        <v>13845</v>
      </c>
      <c r="C3910" s="17" t="s">
        <v>13846</v>
      </c>
      <c r="D3910" s="19" t="s">
        <v>13847</v>
      </c>
      <c r="E3910" s="20" t="s">
        <v>104</v>
      </c>
      <c r="F3910" s="21">
        <v>33730.0</v>
      </c>
      <c r="G3910" s="14">
        <v>34.0</v>
      </c>
      <c r="H3910" s="23" t="s">
        <v>26</v>
      </c>
      <c r="I3910" s="24" t="s">
        <v>27</v>
      </c>
      <c r="J3910" s="19" t="s">
        <v>68</v>
      </c>
      <c r="K3910" s="14">
        <v>31.0</v>
      </c>
      <c r="L3910" s="7"/>
      <c r="M3910" s="7"/>
      <c r="N3910" s="7"/>
      <c r="O3910" s="7"/>
      <c r="P3910" s="7"/>
      <c r="Q3910" s="7"/>
      <c r="R3910" s="7"/>
      <c r="S3910" s="7"/>
      <c r="T3910" s="7"/>
      <c r="U3910" s="7"/>
      <c r="V3910" s="7"/>
      <c r="W3910" s="7"/>
      <c r="X3910" s="7"/>
      <c r="Y3910" s="7"/>
    </row>
    <row r="3911">
      <c r="A3911" s="14" t="s">
        <v>13848</v>
      </c>
      <c r="B3911" s="17" t="s">
        <v>13845</v>
      </c>
      <c r="C3911" s="17" t="s">
        <v>13849</v>
      </c>
      <c r="D3911" s="19" t="s">
        <v>13850</v>
      </c>
      <c r="E3911" s="20" t="s">
        <v>5125</v>
      </c>
      <c r="F3911" s="21">
        <v>29589.0</v>
      </c>
      <c r="G3911" s="14">
        <v>45.0</v>
      </c>
      <c r="H3911" s="23" t="s">
        <v>26</v>
      </c>
      <c r="I3911" s="24" t="s">
        <v>33</v>
      </c>
      <c r="J3911" s="19" t="s">
        <v>68</v>
      </c>
      <c r="K3911" s="14">
        <v>31.0</v>
      </c>
      <c r="L3911" s="7"/>
      <c r="M3911" s="7"/>
      <c r="N3911" s="7"/>
      <c r="O3911" s="7"/>
      <c r="P3911" s="7"/>
      <c r="Q3911" s="7"/>
      <c r="R3911" s="7"/>
      <c r="S3911" s="7"/>
      <c r="T3911" s="7"/>
      <c r="U3911" s="7"/>
      <c r="V3911" s="7"/>
      <c r="W3911" s="7"/>
      <c r="X3911" s="7"/>
      <c r="Y3911" s="7"/>
    </row>
    <row r="3912">
      <c r="A3912" s="14" t="s">
        <v>13851</v>
      </c>
      <c r="B3912" s="17" t="s">
        <v>13852</v>
      </c>
      <c r="C3912" s="17" t="s">
        <v>13853</v>
      </c>
      <c r="D3912" s="19" t="s">
        <v>13854</v>
      </c>
      <c r="E3912" s="20" t="s">
        <v>391</v>
      </c>
      <c r="F3912" s="21">
        <v>38927.0</v>
      </c>
      <c r="G3912" s="14">
        <v>20.0</v>
      </c>
      <c r="H3912" s="23" t="s">
        <v>26</v>
      </c>
      <c r="I3912" s="24" t="s">
        <v>33</v>
      </c>
      <c r="J3912" s="19" t="s">
        <v>58</v>
      </c>
      <c r="K3912" s="14">
        <v>6.0</v>
      </c>
      <c r="L3912" s="7"/>
      <c r="M3912" s="7"/>
      <c r="N3912" s="7"/>
      <c r="O3912" s="7"/>
      <c r="P3912" s="7"/>
      <c r="Q3912" s="7"/>
      <c r="R3912" s="7"/>
      <c r="S3912" s="7"/>
      <c r="T3912" s="7"/>
      <c r="U3912" s="7"/>
      <c r="V3912" s="7"/>
      <c r="W3912" s="7"/>
      <c r="X3912" s="7"/>
      <c r="Y3912" s="7"/>
    </row>
    <row r="3913">
      <c r="A3913" s="14" t="s">
        <v>13855</v>
      </c>
      <c r="B3913" s="17" t="s">
        <v>13852</v>
      </c>
      <c r="C3913" s="17" t="s">
        <v>13856</v>
      </c>
      <c r="D3913" s="19" t="s">
        <v>13857</v>
      </c>
      <c r="E3913" s="20" t="s">
        <v>13858</v>
      </c>
      <c r="F3913" s="21">
        <v>38612.0</v>
      </c>
      <c r="G3913" s="14">
        <v>20.0</v>
      </c>
      <c r="H3913" s="23" t="s">
        <v>26</v>
      </c>
      <c r="I3913" s="24" t="s">
        <v>27</v>
      </c>
      <c r="J3913" s="19" t="s">
        <v>58</v>
      </c>
      <c r="K3913" s="14">
        <v>6.0</v>
      </c>
      <c r="L3913" s="7"/>
      <c r="M3913" s="7"/>
      <c r="N3913" s="7"/>
      <c r="O3913" s="7"/>
      <c r="P3913" s="7"/>
      <c r="Q3913" s="7"/>
      <c r="R3913" s="7"/>
      <c r="S3913" s="7"/>
      <c r="T3913" s="7"/>
      <c r="U3913" s="7"/>
      <c r="V3913" s="7"/>
      <c r="W3913" s="7"/>
      <c r="X3913" s="7"/>
      <c r="Y3913" s="7"/>
    </row>
    <row r="3914">
      <c r="A3914" s="14" t="s">
        <v>13859</v>
      </c>
      <c r="B3914" s="17" t="s">
        <v>13860</v>
      </c>
      <c r="C3914" s="17" t="s">
        <v>13861</v>
      </c>
      <c r="D3914" s="19" t="s">
        <v>13862</v>
      </c>
      <c r="E3914" s="20" t="s">
        <v>104</v>
      </c>
      <c r="F3914" s="21">
        <v>36589.0</v>
      </c>
      <c r="G3914" s="14">
        <v>26.0</v>
      </c>
      <c r="H3914" s="23" t="s">
        <v>100</v>
      </c>
      <c r="I3914" s="24" t="s">
        <v>33</v>
      </c>
      <c r="J3914" s="19" t="s">
        <v>8413</v>
      </c>
      <c r="K3914" s="14">
        <v>32.0</v>
      </c>
      <c r="L3914" s="7"/>
      <c r="M3914" s="7"/>
      <c r="N3914" s="7"/>
      <c r="O3914" s="7"/>
      <c r="P3914" s="7"/>
      <c r="Q3914" s="7"/>
      <c r="R3914" s="7"/>
      <c r="S3914" s="7"/>
      <c r="T3914" s="7"/>
      <c r="U3914" s="7"/>
      <c r="V3914" s="7"/>
      <c r="W3914" s="7"/>
      <c r="X3914" s="7"/>
      <c r="Y3914" s="7"/>
    </row>
    <row r="3915">
      <c r="A3915" s="14" t="s">
        <v>13863</v>
      </c>
      <c r="B3915" s="17" t="s">
        <v>13864</v>
      </c>
      <c r="C3915" s="17" t="s">
        <v>13865</v>
      </c>
      <c r="D3915" s="19" t="s">
        <v>13866</v>
      </c>
      <c r="E3915" s="20" t="s">
        <v>104</v>
      </c>
      <c r="F3915" s="21">
        <v>29755.0</v>
      </c>
      <c r="G3915" s="14">
        <v>45.0</v>
      </c>
      <c r="H3915" s="23" t="s">
        <v>26</v>
      </c>
      <c r="I3915" s="24" t="s">
        <v>33</v>
      </c>
      <c r="J3915" s="19" t="s">
        <v>53</v>
      </c>
      <c r="K3915" s="14">
        <v>5.0</v>
      </c>
      <c r="L3915" s="7"/>
      <c r="M3915" s="7"/>
      <c r="N3915" s="7"/>
      <c r="O3915" s="7"/>
      <c r="P3915" s="7"/>
      <c r="Q3915" s="7"/>
      <c r="R3915" s="7"/>
      <c r="S3915" s="7"/>
      <c r="T3915" s="7"/>
      <c r="U3915" s="7"/>
      <c r="V3915" s="7"/>
      <c r="W3915" s="7"/>
      <c r="X3915" s="7"/>
      <c r="Y3915" s="7"/>
    </row>
    <row r="3916">
      <c r="A3916" s="14" t="s">
        <v>13867</v>
      </c>
      <c r="B3916" s="17" t="s">
        <v>13864</v>
      </c>
      <c r="C3916" s="17" t="s">
        <v>13868</v>
      </c>
      <c r="D3916" s="19" t="s">
        <v>13869</v>
      </c>
      <c r="E3916" s="20" t="s">
        <v>666</v>
      </c>
      <c r="F3916" s="21">
        <v>31194.0</v>
      </c>
      <c r="G3916" s="14">
        <v>41.0</v>
      </c>
      <c r="H3916" s="23" t="s">
        <v>26</v>
      </c>
      <c r="I3916" s="24" t="s">
        <v>27</v>
      </c>
      <c r="J3916" s="19" t="s">
        <v>53</v>
      </c>
      <c r="K3916" s="14">
        <v>5.0</v>
      </c>
      <c r="L3916" s="7"/>
      <c r="M3916" s="7"/>
      <c r="N3916" s="7"/>
      <c r="O3916" s="7"/>
      <c r="P3916" s="7"/>
      <c r="Q3916" s="7"/>
      <c r="R3916" s="7"/>
      <c r="S3916" s="7"/>
      <c r="T3916" s="7"/>
      <c r="U3916" s="7"/>
      <c r="V3916" s="7"/>
      <c r="W3916" s="7"/>
      <c r="X3916" s="7"/>
      <c r="Y3916" s="7"/>
    </row>
    <row r="3917">
      <c r="A3917" s="14" t="s">
        <v>13870</v>
      </c>
      <c r="B3917" s="17" t="s">
        <v>13864</v>
      </c>
      <c r="C3917" s="17" t="s">
        <v>13871</v>
      </c>
      <c r="D3917" s="19" t="s">
        <v>13872</v>
      </c>
      <c r="E3917" s="20" t="s">
        <v>876</v>
      </c>
      <c r="F3917" s="21">
        <v>38523.0</v>
      </c>
      <c r="G3917" s="14">
        <v>21.0</v>
      </c>
      <c r="H3917" s="23" t="s">
        <v>100</v>
      </c>
      <c r="I3917" s="24" t="s">
        <v>27</v>
      </c>
      <c r="J3917" s="19" t="s">
        <v>53</v>
      </c>
      <c r="K3917" s="14">
        <v>5.0</v>
      </c>
      <c r="L3917" s="7"/>
      <c r="M3917" s="7"/>
      <c r="N3917" s="7"/>
      <c r="O3917" s="7"/>
      <c r="P3917" s="7"/>
      <c r="Q3917" s="7"/>
      <c r="R3917" s="7"/>
      <c r="S3917" s="7"/>
      <c r="T3917" s="7"/>
      <c r="U3917" s="7"/>
      <c r="V3917" s="7"/>
      <c r="W3917" s="7"/>
      <c r="X3917" s="7"/>
      <c r="Y3917" s="7"/>
    </row>
    <row r="3918">
      <c r="A3918" s="14" t="s">
        <v>13873</v>
      </c>
      <c r="B3918" s="17" t="s">
        <v>13874</v>
      </c>
      <c r="C3918" s="17" t="s">
        <v>13875</v>
      </c>
      <c r="D3918" s="19" t="s">
        <v>11252</v>
      </c>
      <c r="E3918" s="20" t="s">
        <v>654</v>
      </c>
      <c r="F3918" s="21">
        <v>24332.0</v>
      </c>
      <c r="G3918" s="14">
        <v>60.0</v>
      </c>
      <c r="H3918" s="23" t="s">
        <v>26</v>
      </c>
      <c r="I3918" s="24" t="s">
        <v>33</v>
      </c>
      <c r="J3918" s="19" t="s">
        <v>517</v>
      </c>
      <c r="K3918" s="14">
        <v>5.0</v>
      </c>
      <c r="L3918" s="7"/>
      <c r="M3918" s="7"/>
      <c r="N3918" s="7"/>
      <c r="O3918" s="7"/>
      <c r="P3918" s="7"/>
      <c r="Q3918" s="7"/>
      <c r="R3918" s="7"/>
      <c r="S3918" s="7"/>
      <c r="T3918" s="7"/>
      <c r="U3918" s="7"/>
      <c r="V3918" s="7"/>
      <c r="W3918" s="7"/>
      <c r="X3918" s="7"/>
      <c r="Y3918" s="7"/>
    </row>
    <row r="3919">
      <c r="A3919" s="14" t="s">
        <v>13876</v>
      </c>
      <c r="B3919" s="17" t="s">
        <v>13874</v>
      </c>
      <c r="C3919" s="17" t="s">
        <v>13877</v>
      </c>
      <c r="D3919" s="19" t="s">
        <v>4488</v>
      </c>
      <c r="E3919" s="20" t="s">
        <v>210</v>
      </c>
      <c r="F3919" s="21">
        <v>27518.0</v>
      </c>
      <c r="G3919" s="14">
        <v>51.0</v>
      </c>
      <c r="H3919" s="23" t="s">
        <v>26</v>
      </c>
      <c r="I3919" s="24" t="s">
        <v>27</v>
      </c>
      <c r="J3919" s="19" t="s">
        <v>517</v>
      </c>
      <c r="K3919" s="14">
        <v>5.0</v>
      </c>
      <c r="L3919" s="7"/>
      <c r="M3919" s="7"/>
      <c r="N3919" s="7"/>
      <c r="O3919" s="7"/>
      <c r="P3919" s="7"/>
      <c r="Q3919" s="7"/>
      <c r="R3919" s="7"/>
      <c r="S3919" s="7"/>
      <c r="T3919" s="7"/>
      <c r="U3919" s="7"/>
      <c r="V3919" s="7"/>
      <c r="W3919" s="7"/>
      <c r="X3919" s="7"/>
      <c r="Y3919" s="7"/>
    </row>
    <row r="3920">
      <c r="A3920" s="14" t="s">
        <v>13878</v>
      </c>
      <c r="B3920" s="17" t="s">
        <v>13879</v>
      </c>
      <c r="C3920" s="17" t="s">
        <v>13880</v>
      </c>
      <c r="D3920" s="19" t="s">
        <v>13881</v>
      </c>
      <c r="E3920" s="20" t="s">
        <v>654</v>
      </c>
      <c r="F3920" s="21">
        <v>25766.0</v>
      </c>
      <c r="G3920" s="14">
        <v>56.0</v>
      </c>
      <c r="H3920" s="23" t="s">
        <v>26</v>
      </c>
      <c r="I3920" s="24" t="s">
        <v>33</v>
      </c>
      <c r="J3920" s="19" t="s">
        <v>53</v>
      </c>
      <c r="K3920" s="14">
        <v>5.0</v>
      </c>
      <c r="L3920" s="7"/>
      <c r="M3920" s="7"/>
      <c r="N3920" s="7"/>
      <c r="O3920" s="7"/>
      <c r="P3920" s="7"/>
      <c r="Q3920" s="7"/>
      <c r="R3920" s="7"/>
      <c r="S3920" s="7"/>
      <c r="T3920" s="7"/>
      <c r="U3920" s="7"/>
      <c r="V3920" s="7"/>
      <c r="W3920" s="7"/>
      <c r="X3920" s="7"/>
      <c r="Y3920" s="7"/>
    </row>
    <row r="3921">
      <c r="A3921" s="14" t="s">
        <v>13882</v>
      </c>
      <c r="B3921" s="17" t="s">
        <v>13879</v>
      </c>
      <c r="C3921" s="17" t="s">
        <v>13883</v>
      </c>
      <c r="D3921" s="19" t="s">
        <v>13884</v>
      </c>
      <c r="E3921" s="20" t="s">
        <v>104</v>
      </c>
      <c r="F3921" s="21">
        <v>29419.0</v>
      </c>
      <c r="G3921" s="14">
        <v>46.0</v>
      </c>
      <c r="H3921" s="23" t="s">
        <v>26</v>
      </c>
      <c r="I3921" s="24" t="s">
        <v>27</v>
      </c>
      <c r="J3921" s="19" t="s">
        <v>53</v>
      </c>
      <c r="K3921" s="14">
        <v>5.0</v>
      </c>
      <c r="L3921" s="7"/>
      <c r="M3921" s="7"/>
      <c r="N3921" s="7"/>
      <c r="O3921" s="7"/>
      <c r="P3921" s="7"/>
      <c r="Q3921" s="7"/>
      <c r="R3921" s="7"/>
      <c r="S3921" s="7"/>
      <c r="T3921" s="7"/>
      <c r="U3921" s="7"/>
      <c r="V3921" s="7"/>
      <c r="W3921" s="7"/>
      <c r="X3921" s="7"/>
      <c r="Y3921" s="7"/>
    </row>
    <row r="3922">
      <c r="A3922" s="14" t="s">
        <v>13885</v>
      </c>
      <c r="B3922" s="17" t="s">
        <v>13879</v>
      </c>
      <c r="C3922" s="17" t="s">
        <v>13886</v>
      </c>
      <c r="D3922" s="19" t="s">
        <v>13887</v>
      </c>
      <c r="E3922" s="20" t="s">
        <v>104</v>
      </c>
      <c r="F3922" s="27">
        <v>38635.0</v>
      </c>
      <c r="G3922" s="14">
        <v>20.0</v>
      </c>
      <c r="H3922" s="23" t="s">
        <v>100</v>
      </c>
      <c r="I3922" s="24" t="s">
        <v>33</v>
      </c>
      <c r="J3922" s="19" t="s">
        <v>53</v>
      </c>
      <c r="K3922" s="14">
        <v>5.0</v>
      </c>
      <c r="L3922" s="7"/>
      <c r="M3922" s="7"/>
      <c r="N3922" s="7"/>
      <c r="O3922" s="7"/>
      <c r="P3922" s="7"/>
      <c r="Q3922" s="7"/>
      <c r="R3922" s="7"/>
      <c r="S3922" s="7"/>
      <c r="T3922" s="7"/>
      <c r="U3922" s="7"/>
      <c r="V3922" s="7"/>
      <c r="W3922" s="7"/>
      <c r="X3922" s="7"/>
      <c r="Y3922" s="7"/>
    </row>
    <row r="3923">
      <c r="A3923" s="14" t="s">
        <v>13888</v>
      </c>
      <c r="B3923" s="17" t="s">
        <v>13889</v>
      </c>
      <c r="C3923" s="17" t="s">
        <v>13890</v>
      </c>
      <c r="D3923" s="19" t="s">
        <v>5367</v>
      </c>
      <c r="E3923" s="20" t="s">
        <v>650</v>
      </c>
      <c r="F3923" s="21">
        <v>23447.0</v>
      </c>
      <c r="G3923" s="14">
        <v>62.0</v>
      </c>
      <c r="H3923" s="23" t="s">
        <v>26</v>
      </c>
      <c r="I3923" s="24" t="s">
        <v>27</v>
      </c>
      <c r="J3923" s="19" t="s">
        <v>53</v>
      </c>
      <c r="K3923" s="14">
        <v>5.0</v>
      </c>
      <c r="L3923" s="7"/>
      <c r="M3923" s="7"/>
      <c r="N3923" s="7"/>
      <c r="O3923" s="7"/>
      <c r="P3923" s="7"/>
      <c r="Q3923" s="7"/>
      <c r="R3923" s="7"/>
      <c r="S3923" s="7"/>
      <c r="T3923" s="7"/>
      <c r="U3923" s="7"/>
      <c r="V3923" s="7"/>
      <c r="W3923" s="7"/>
      <c r="X3923" s="7"/>
      <c r="Y3923" s="7"/>
    </row>
    <row r="3924">
      <c r="A3924" s="14" t="s">
        <v>13891</v>
      </c>
      <c r="B3924" s="17" t="s">
        <v>13889</v>
      </c>
      <c r="C3924" s="17" t="s">
        <v>13892</v>
      </c>
      <c r="D3924" s="19" t="s">
        <v>13893</v>
      </c>
      <c r="E3924" s="20" t="s">
        <v>650</v>
      </c>
      <c r="F3924" s="21">
        <v>22098.0</v>
      </c>
      <c r="G3924" s="14">
        <v>66.0</v>
      </c>
      <c r="H3924" s="23" t="s">
        <v>26</v>
      </c>
      <c r="I3924" s="24" t="s">
        <v>33</v>
      </c>
      <c r="J3924" s="19" t="s">
        <v>53</v>
      </c>
      <c r="K3924" s="14">
        <v>5.0</v>
      </c>
      <c r="L3924" s="7"/>
      <c r="M3924" s="7"/>
      <c r="N3924" s="7"/>
      <c r="O3924" s="7"/>
      <c r="P3924" s="7"/>
      <c r="Q3924" s="7"/>
      <c r="R3924" s="7"/>
      <c r="S3924" s="7"/>
      <c r="T3924" s="7"/>
      <c r="U3924" s="7"/>
      <c r="V3924" s="7"/>
      <c r="W3924" s="7"/>
      <c r="X3924" s="7"/>
      <c r="Y3924" s="7"/>
    </row>
    <row r="3925">
      <c r="A3925" s="14" t="s">
        <v>13894</v>
      </c>
      <c r="B3925" s="17" t="s">
        <v>13895</v>
      </c>
      <c r="C3925" s="17" t="s">
        <v>13896</v>
      </c>
      <c r="D3925" s="19" t="s">
        <v>13897</v>
      </c>
      <c r="E3925" s="20" t="s">
        <v>1095</v>
      </c>
      <c r="F3925" s="27">
        <v>37235.0</v>
      </c>
      <c r="G3925" s="14">
        <v>24.0</v>
      </c>
      <c r="H3925" s="23" t="s">
        <v>100</v>
      </c>
      <c r="I3925" s="24" t="s">
        <v>27</v>
      </c>
      <c r="J3925" s="19" t="s">
        <v>53</v>
      </c>
      <c r="K3925" s="14">
        <v>5.0</v>
      </c>
      <c r="L3925" s="7"/>
      <c r="M3925" s="7"/>
      <c r="N3925" s="7"/>
      <c r="O3925" s="7"/>
      <c r="P3925" s="7"/>
      <c r="Q3925" s="7"/>
      <c r="R3925" s="7"/>
      <c r="S3925" s="7"/>
      <c r="T3925" s="7"/>
      <c r="U3925" s="7"/>
      <c r="V3925" s="7"/>
      <c r="W3925" s="7"/>
      <c r="X3925" s="7"/>
      <c r="Y3925" s="7"/>
    </row>
    <row r="3926">
      <c r="A3926" s="14" t="s">
        <v>13898</v>
      </c>
      <c r="B3926" s="17" t="s">
        <v>13895</v>
      </c>
      <c r="C3926" s="17" t="s">
        <v>13899</v>
      </c>
      <c r="D3926" s="19" t="s">
        <v>13900</v>
      </c>
      <c r="E3926" s="20" t="s">
        <v>104</v>
      </c>
      <c r="F3926" s="21">
        <v>29419.0</v>
      </c>
      <c r="G3926" s="14">
        <v>46.0</v>
      </c>
      <c r="H3926" s="23" t="s">
        <v>26</v>
      </c>
      <c r="I3926" s="24" t="s">
        <v>27</v>
      </c>
      <c r="J3926" s="19" t="s">
        <v>53</v>
      </c>
      <c r="K3926" s="14">
        <v>5.0</v>
      </c>
      <c r="L3926" s="7"/>
      <c r="M3926" s="7"/>
      <c r="N3926" s="7"/>
      <c r="O3926" s="7"/>
      <c r="P3926" s="7"/>
      <c r="Q3926" s="7"/>
      <c r="R3926" s="7"/>
      <c r="S3926" s="7"/>
      <c r="T3926" s="7"/>
      <c r="U3926" s="7"/>
      <c r="V3926" s="7"/>
      <c r="W3926" s="7"/>
      <c r="X3926" s="7"/>
      <c r="Y3926" s="7"/>
    </row>
    <row r="3927">
      <c r="A3927" s="14" t="s">
        <v>13901</v>
      </c>
      <c r="B3927" s="17" t="s">
        <v>13895</v>
      </c>
      <c r="C3927" s="17" t="s">
        <v>13902</v>
      </c>
      <c r="D3927" s="19" t="s">
        <v>6748</v>
      </c>
      <c r="E3927" s="20" t="s">
        <v>104</v>
      </c>
      <c r="F3927" s="27">
        <v>28440.0</v>
      </c>
      <c r="G3927" s="14">
        <v>48.0</v>
      </c>
      <c r="H3927" s="23" t="s">
        <v>26</v>
      </c>
      <c r="I3927" s="24" t="s">
        <v>33</v>
      </c>
      <c r="J3927" s="19" t="s">
        <v>53</v>
      </c>
      <c r="K3927" s="14">
        <v>5.0</v>
      </c>
      <c r="L3927" s="7"/>
      <c r="M3927" s="7"/>
      <c r="N3927" s="7"/>
      <c r="O3927" s="7"/>
      <c r="P3927" s="7"/>
      <c r="Q3927" s="7"/>
      <c r="R3927" s="7"/>
      <c r="S3927" s="7"/>
      <c r="T3927" s="7"/>
      <c r="U3927" s="7"/>
      <c r="V3927" s="7"/>
      <c r="W3927" s="7"/>
      <c r="X3927" s="7"/>
      <c r="Y3927" s="7"/>
    </row>
    <row r="3928">
      <c r="A3928" s="14" t="s">
        <v>13903</v>
      </c>
      <c r="B3928" s="17" t="s">
        <v>13904</v>
      </c>
      <c r="C3928" s="17" t="s">
        <v>13905</v>
      </c>
      <c r="D3928" s="19" t="s">
        <v>13906</v>
      </c>
      <c r="E3928" s="20" t="s">
        <v>53</v>
      </c>
      <c r="F3928" s="21">
        <v>33940.0</v>
      </c>
      <c r="G3928" s="14">
        <v>33.0</v>
      </c>
      <c r="H3928" s="23" t="s">
        <v>26</v>
      </c>
      <c r="I3928" s="24" t="s">
        <v>33</v>
      </c>
      <c r="J3928" s="19" t="s">
        <v>282</v>
      </c>
      <c r="K3928" s="14">
        <v>12.0</v>
      </c>
      <c r="L3928" s="7"/>
      <c r="M3928" s="7"/>
      <c r="N3928" s="7"/>
      <c r="O3928" s="7"/>
      <c r="P3928" s="7"/>
      <c r="Q3928" s="7"/>
      <c r="R3928" s="7"/>
      <c r="S3928" s="7"/>
      <c r="T3928" s="7"/>
      <c r="U3928" s="7"/>
      <c r="V3928" s="7"/>
      <c r="W3928" s="7"/>
      <c r="X3928" s="7"/>
      <c r="Y3928" s="7"/>
    </row>
    <row r="3929">
      <c r="A3929" s="14" t="s">
        <v>13907</v>
      </c>
      <c r="B3929" s="17" t="s">
        <v>13904</v>
      </c>
      <c r="C3929" s="17" t="s">
        <v>13908</v>
      </c>
      <c r="D3929" s="19" t="s">
        <v>7668</v>
      </c>
      <c r="E3929" s="20" t="s">
        <v>104</v>
      </c>
      <c r="F3929" s="27">
        <v>35747.0</v>
      </c>
      <c r="G3929" s="14">
        <v>28.0</v>
      </c>
      <c r="H3929" s="23" t="s">
        <v>26</v>
      </c>
      <c r="I3929" s="24" t="s">
        <v>27</v>
      </c>
      <c r="J3929" s="19" t="s">
        <v>282</v>
      </c>
      <c r="K3929" s="14">
        <v>12.0</v>
      </c>
      <c r="L3929" s="7"/>
      <c r="M3929" s="7"/>
      <c r="N3929" s="7"/>
      <c r="O3929" s="7"/>
      <c r="P3929" s="7"/>
      <c r="Q3929" s="7"/>
      <c r="R3929" s="7"/>
      <c r="S3929" s="7"/>
      <c r="T3929" s="7"/>
      <c r="U3929" s="7"/>
      <c r="V3929" s="7"/>
      <c r="W3929" s="7"/>
      <c r="X3929" s="7"/>
      <c r="Y3929" s="7"/>
    </row>
    <row r="3930">
      <c r="A3930" s="14" t="s">
        <v>13909</v>
      </c>
      <c r="B3930" s="17" t="s">
        <v>13910</v>
      </c>
      <c r="C3930" s="17" t="s">
        <v>13911</v>
      </c>
      <c r="D3930" s="19" t="s">
        <v>13912</v>
      </c>
      <c r="E3930" s="20" t="s">
        <v>624</v>
      </c>
      <c r="F3930" s="21">
        <v>21961.0</v>
      </c>
      <c r="G3930" s="14">
        <v>66.0</v>
      </c>
      <c r="H3930" s="23" t="s">
        <v>27</v>
      </c>
      <c r="I3930" s="24" t="s">
        <v>27</v>
      </c>
      <c r="J3930" s="19" t="s">
        <v>282</v>
      </c>
      <c r="K3930" s="14">
        <v>12.0</v>
      </c>
      <c r="L3930" s="7"/>
      <c r="M3930" s="7"/>
      <c r="N3930" s="7"/>
      <c r="O3930" s="7"/>
      <c r="P3930" s="7"/>
      <c r="Q3930" s="7"/>
      <c r="R3930" s="7"/>
      <c r="S3930" s="7"/>
      <c r="T3930" s="7"/>
      <c r="U3930" s="7"/>
      <c r="V3930" s="7"/>
      <c r="W3930" s="7"/>
      <c r="X3930" s="7"/>
      <c r="Y3930" s="7"/>
    </row>
    <row r="3931">
      <c r="A3931" s="14" t="s">
        <v>13913</v>
      </c>
      <c r="B3931" s="17" t="s">
        <v>13914</v>
      </c>
      <c r="C3931" s="17" t="s">
        <v>13915</v>
      </c>
      <c r="D3931" s="19" t="s">
        <v>13916</v>
      </c>
      <c r="E3931" s="20" t="s">
        <v>104</v>
      </c>
      <c r="F3931" s="27">
        <v>32126.0</v>
      </c>
      <c r="G3931" s="14">
        <v>38.0</v>
      </c>
      <c r="H3931" s="23" t="s">
        <v>27</v>
      </c>
      <c r="I3931" s="24" t="s">
        <v>27</v>
      </c>
      <c r="J3931" s="19" t="s">
        <v>146</v>
      </c>
      <c r="K3931" s="14">
        <v>10.0</v>
      </c>
      <c r="L3931" s="7"/>
      <c r="M3931" s="7"/>
      <c r="N3931" s="7"/>
      <c r="O3931" s="7"/>
      <c r="P3931" s="7"/>
      <c r="Q3931" s="7"/>
      <c r="R3931" s="7"/>
      <c r="S3931" s="7"/>
      <c r="T3931" s="7"/>
      <c r="U3931" s="7"/>
      <c r="V3931" s="7"/>
      <c r="W3931" s="7"/>
      <c r="X3931" s="7"/>
      <c r="Y3931" s="7"/>
    </row>
    <row r="3932">
      <c r="A3932" s="14" t="s">
        <v>13917</v>
      </c>
      <c r="B3932" s="17" t="s">
        <v>13918</v>
      </c>
      <c r="C3932" s="17" t="s">
        <v>13919</v>
      </c>
      <c r="D3932" s="19" t="s">
        <v>13920</v>
      </c>
      <c r="E3932" s="20" t="s">
        <v>274</v>
      </c>
      <c r="F3932" s="21">
        <v>27995.0</v>
      </c>
      <c r="G3932" s="14">
        <v>50.0</v>
      </c>
      <c r="H3932" s="23" t="s">
        <v>26</v>
      </c>
      <c r="I3932" s="24" t="s">
        <v>27</v>
      </c>
      <c r="J3932" s="19" t="s">
        <v>726</v>
      </c>
      <c r="K3932" s="14">
        <v>15.0</v>
      </c>
      <c r="L3932" s="7"/>
      <c r="M3932" s="7"/>
      <c r="N3932" s="7"/>
      <c r="O3932" s="7"/>
      <c r="P3932" s="7"/>
      <c r="Q3932" s="7"/>
      <c r="R3932" s="7"/>
      <c r="S3932" s="7"/>
      <c r="T3932" s="7"/>
      <c r="U3932" s="7"/>
      <c r="V3932" s="7"/>
      <c r="W3932" s="7"/>
      <c r="X3932" s="7"/>
      <c r="Y3932" s="7"/>
    </row>
    <row r="3933">
      <c r="A3933" s="14" t="s">
        <v>13921</v>
      </c>
      <c r="B3933" s="17" t="s">
        <v>13918</v>
      </c>
      <c r="C3933" s="17" t="s">
        <v>13922</v>
      </c>
      <c r="D3933" s="19" t="s">
        <v>13923</v>
      </c>
      <c r="E3933" s="20" t="s">
        <v>104</v>
      </c>
      <c r="F3933" s="21">
        <v>36966.0</v>
      </c>
      <c r="G3933" s="14">
        <v>25.0</v>
      </c>
      <c r="H3933" s="23" t="s">
        <v>100</v>
      </c>
      <c r="I3933" s="24" t="s">
        <v>33</v>
      </c>
      <c r="J3933" s="19" t="s">
        <v>726</v>
      </c>
      <c r="K3933" s="14">
        <v>15.0</v>
      </c>
      <c r="L3933" s="7"/>
      <c r="M3933" s="7"/>
      <c r="N3933" s="7"/>
      <c r="O3933" s="7"/>
      <c r="P3933" s="7"/>
      <c r="Q3933" s="7"/>
      <c r="R3933" s="7"/>
      <c r="S3933" s="7"/>
      <c r="T3933" s="7"/>
      <c r="U3933" s="7"/>
      <c r="V3933" s="7"/>
      <c r="W3933" s="7"/>
      <c r="X3933" s="7"/>
      <c r="Y3933" s="7"/>
    </row>
    <row r="3934">
      <c r="A3934" s="14" t="s">
        <v>13924</v>
      </c>
      <c r="B3934" s="17" t="s">
        <v>13918</v>
      </c>
      <c r="C3934" s="17" t="s">
        <v>13925</v>
      </c>
      <c r="D3934" s="19" t="s">
        <v>13926</v>
      </c>
      <c r="E3934" s="20" t="s">
        <v>290</v>
      </c>
      <c r="F3934" s="21">
        <v>24547.0</v>
      </c>
      <c r="G3934" s="14">
        <v>59.0</v>
      </c>
      <c r="H3934" s="23" t="s">
        <v>26</v>
      </c>
      <c r="I3934" s="24" t="s">
        <v>33</v>
      </c>
      <c r="J3934" s="19" t="s">
        <v>726</v>
      </c>
      <c r="K3934" s="14">
        <v>15.0</v>
      </c>
      <c r="L3934" s="7"/>
      <c r="M3934" s="7"/>
      <c r="N3934" s="7"/>
      <c r="O3934" s="7"/>
      <c r="P3934" s="7"/>
      <c r="Q3934" s="7"/>
      <c r="R3934" s="7"/>
      <c r="S3934" s="7"/>
      <c r="T3934" s="7"/>
      <c r="U3934" s="7"/>
      <c r="V3934" s="7"/>
      <c r="W3934" s="7"/>
      <c r="X3934" s="7"/>
      <c r="Y3934" s="7"/>
    </row>
    <row r="3935">
      <c r="A3935" s="14" t="s">
        <v>13927</v>
      </c>
      <c r="B3935" s="17" t="s">
        <v>13928</v>
      </c>
      <c r="C3935" s="17" t="s">
        <v>13929</v>
      </c>
      <c r="D3935" s="19" t="s">
        <v>13930</v>
      </c>
      <c r="E3935" s="20" t="s">
        <v>274</v>
      </c>
      <c r="F3935" s="21">
        <v>28620.0</v>
      </c>
      <c r="G3935" s="14">
        <v>48.0</v>
      </c>
      <c r="H3935" s="23" t="s">
        <v>26</v>
      </c>
      <c r="I3935" s="24" t="s">
        <v>27</v>
      </c>
      <c r="J3935" s="19" t="s">
        <v>726</v>
      </c>
      <c r="K3935" s="14">
        <v>18.0</v>
      </c>
      <c r="L3935" s="7"/>
      <c r="M3935" s="7"/>
      <c r="N3935" s="7"/>
      <c r="O3935" s="7"/>
      <c r="P3935" s="7"/>
      <c r="Q3935" s="7"/>
      <c r="R3935" s="7"/>
      <c r="S3935" s="7"/>
      <c r="T3935" s="7"/>
      <c r="U3935" s="7"/>
      <c r="V3935" s="7"/>
      <c r="W3935" s="7"/>
      <c r="X3935" s="7"/>
      <c r="Y3935" s="7"/>
    </row>
    <row r="3936">
      <c r="A3936" s="14" t="s">
        <v>13931</v>
      </c>
      <c r="B3936" s="17" t="s">
        <v>13928</v>
      </c>
      <c r="C3936" s="17" t="s">
        <v>13932</v>
      </c>
      <c r="D3936" s="19" t="s">
        <v>13933</v>
      </c>
      <c r="E3936" s="20" t="s">
        <v>53</v>
      </c>
      <c r="F3936" s="27">
        <v>37183.0</v>
      </c>
      <c r="G3936" s="14">
        <v>24.0</v>
      </c>
      <c r="H3936" s="23" t="s">
        <v>100</v>
      </c>
      <c r="I3936" s="24" t="s">
        <v>27</v>
      </c>
      <c r="J3936" s="19" t="s">
        <v>726</v>
      </c>
      <c r="K3936" s="14">
        <v>18.0</v>
      </c>
      <c r="L3936" s="7"/>
      <c r="M3936" s="7"/>
      <c r="N3936" s="7"/>
      <c r="O3936" s="7"/>
      <c r="P3936" s="7"/>
      <c r="Q3936" s="7"/>
      <c r="R3936" s="7"/>
      <c r="S3936" s="7"/>
      <c r="T3936" s="7"/>
      <c r="U3936" s="7"/>
      <c r="V3936" s="7"/>
      <c r="W3936" s="7"/>
      <c r="X3936" s="7"/>
      <c r="Y3936" s="7"/>
    </row>
    <row r="3937">
      <c r="A3937" s="14" t="s">
        <v>13934</v>
      </c>
      <c r="B3937" s="17" t="s">
        <v>13928</v>
      </c>
      <c r="C3937" s="17" t="s">
        <v>13935</v>
      </c>
      <c r="D3937" s="19" t="s">
        <v>13936</v>
      </c>
      <c r="E3937" s="20" t="s">
        <v>836</v>
      </c>
      <c r="F3937" s="21">
        <v>26722.0</v>
      </c>
      <c r="G3937" s="14">
        <v>53.0</v>
      </c>
      <c r="H3937" s="23" t="s">
        <v>26</v>
      </c>
      <c r="I3937" s="24" t="s">
        <v>33</v>
      </c>
      <c r="J3937" s="19" t="s">
        <v>726</v>
      </c>
      <c r="K3937" s="14">
        <v>18.0</v>
      </c>
      <c r="L3937" s="7"/>
      <c r="M3937" s="7"/>
      <c r="N3937" s="7"/>
      <c r="O3937" s="7"/>
      <c r="P3937" s="7"/>
      <c r="Q3937" s="7"/>
      <c r="R3937" s="7"/>
      <c r="S3937" s="7"/>
      <c r="T3937" s="7"/>
      <c r="U3937" s="7"/>
      <c r="V3937" s="7"/>
      <c r="W3937" s="7"/>
      <c r="X3937" s="7"/>
      <c r="Y3937" s="7"/>
    </row>
    <row r="3938">
      <c r="A3938" s="14" t="s">
        <v>13937</v>
      </c>
      <c r="B3938" s="17" t="s">
        <v>13938</v>
      </c>
      <c r="C3938" s="17" t="s">
        <v>13939</v>
      </c>
      <c r="D3938" s="19" t="s">
        <v>13940</v>
      </c>
      <c r="E3938" s="20" t="s">
        <v>13414</v>
      </c>
      <c r="F3938" s="27">
        <v>29540.0</v>
      </c>
      <c r="G3938" s="14">
        <v>45.0</v>
      </c>
      <c r="H3938" s="23" t="s">
        <v>26</v>
      </c>
      <c r="I3938" s="24" t="s">
        <v>27</v>
      </c>
      <c r="J3938" s="19" t="s">
        <v>282</v>
      </c>
      <c r="K3938" s="14">
        <v>18.0</v>
      </c>
      <c r="L3938" s="7"/>
      <c r="M3938" s="7"/>
      <c r="N3938" s="7"/>
      <c r="O3938" s="7"/>
      <c r="P3938" s="7"/>
      <c r="Q3938" s="7"/>
      <c r="R3938" s="7"/>
      <c r="S3938" s="7"/>
      <c r="T3938" s="7"/>
      <c r="U3938" s="7"/>
      <c r="V3938" s="7"/>
      <c r="W3938" s="7"/>
      <c r="X3938" s="7"/>
      <c r="Y3938" s="7"/>
    </row>
    <row r="3939">
      <c r="A3939" s="14" t="s">
        <v>13941</v>
      </c>
      <c r="B3939" s="17" t="s">
        <v>13938</v>
      </c>
      <c r="C3939" s="17" t="s">
        <v>13942</v>
      </c>
      <c r="D3939" s="19" t="s">
        <v>13943</v>
      </c>
      <c r="E3939" s="20" t="s">
        <v>274</v>
      </c>
      <c r="F3939" s="21">
        <v>30148.0</v>
      </c>
      <c r="G3939" s="14">
        <v>44.0</v>
      </c>
      <c r="H3939" s="23" t="s">
        <v>26</v>
      </c>
      <c r="I3939" s="24" t="s">
        <v>33</v>
      </c>
      <c r="J3939" s="19" t="s">
        <v>282</v>
      </c>
      <c r="K3939" s="14">
        <v>18.0</v>
      </c>
      <c r="L3939" s="7"/>
      <c r="M3939" s="7"/>
      <c r="N3939" s="7"/>
      <c r="O3939" s="7"/>
      <c r="P3939" s="7"/>
      <c r="Q3939" s="7"/>
      <c r="R3939" s="7"/>
      <c r="S3939" s="7"/>
      <c r="T3939" s="7"/>
      <c r="U3939" s="7"/>
      <c r="V3939" s="7"/>
      <c r="W3939" s="7"/>
      <c r="X3939" s="7"/>
      <c r="Y3939" s="7"/>
    </row>
    <row r="3940">
      <c r="A3940" s="14" t="s">
        <v>13944</v>
      </c>
      <c r="B3940" s="17" t="s">
        <v>13945</v>
      </c>
      <c r="C3940" s="17" t="s">
        <v>13946</v>
      </c>
      <c r="D3940" s="19" t="s">
        <v>13947</v>
      </c>
      <c r="E3940" s="20" t="s">
        <v>654</v>
      </c>
      <c r="F3940" s="27">
        <v>27756.0</v>
      </c>
      <c r="G3940" s="14">
        <v>50.0</v>
      </c>
      <c r="H3940" s="23" t="s">
        <v>26</v>
      </c>
      <c r="I3940" s="24" t="s">
        <v>27</v>
      </c>
      <c r="J3940" s="19" t="s">
        <v>146</v>
      </c>
      <c r="K3940" s="14">
        <v>3.0</v>
      </c>
      <c r="L3940" s="7"/>
      <c r="M3940" s="7"/>
      <c r="N3940" s="7"/>
      <c r="O3940" s="7"/>
      <c r="P3940" s="7"/>
      <c r="Q3940" s="7"/>
      <c r="R3940" s="7"/>
      <c r="S3940" s="7"/>
      <c r="T3940" s="7"/>
      <c r="U3940" s="7"/>
      <c r="V3940" s="7"/>
      <c r="W3940" s="7"/>
      <c r="X3940" s="7"/>
      <c r="Y3940" s="7"/>
    </row>
    <row r="3941">
      <c r="A3941" s="14" t="s">
        <v>13948</v>
      </c>
      <c r="B3941" s="17" t="s">
        <v>13945</v>
      </c>
      <c r="C3941" s="17" t="s">
        <v>13949</v>
      </c>
      <c r="D3941" s="19" t="s">
        <v>13950</v>
      </c>
      <c r="E3941" s="20" t="s">
        <v>880</v>
      </c>
      <c r="F3941" s="21">
        <v>16288.0</v>
      </c>
      <c r="G3941" s="14">
        <v>82.0</v>
      </c>
      <c r="H3941" s="23" t="s">
        <v>26</v>
      </c>
      <c r="I3941" s="24" t="s">
        <v>33</v>
      </c>
      <c r="J3941" s="19" t="s">
        <v>146</v>
      </c>
      <c r="K3941" s="14">
        <v>3.0</v>
      </c>
      <c r="L3941" s="7"/>
      <c r="M3941" s="7"/>
      <c r="N3941" s="7"/>
      <c r="O3941" s="7"/>
      <c r="P3941" s="7"/>
      <c r="Q3941" s="7"/>
      <c r="R3941" s="7"/>
      <c r="S3941" s="7"/>
      <c r="T3941" s="7"/>
      <c r="U3941" s="7"/>
      <c r="V3941" s="7"/>
      <c r="W3941" s="7"/>
      <c r="X3941" s="7"/>
      <c r="Y3941" s="7"/>
    </row>
    <row r="3942">
      <c r="A3942" s="14" t="s">
        <v>13951</v>
      </c>
      <c r="B3942" s="17" t="s">
        <v>13952</v>
      </c>
      <c r="C3942" s="17" t="s">
        <v>13953</v>
      </c>
      <c r="D3942" s="19" t="s">
        <v>13954</v>
      </c>
      <c r="E3942" s="20" t="s">
        <v>104</v>
      </c>
      <c r="F3942" s="21">
        <v>32849.0</v>
      </c>
      <c r="G3942" s="14">
        <v>36.0</v>
      </c>
      <c r="H3942" s="23" t="s">
        <v>26</v>
      </c>
      <c r="I3942" s="24" t="s">
        <v>27</v>
      </c>
      <c r="J3942" s="19" t="s">
        <v>95</v>
      </c>
      <c r="K3942" s="14">
        <v>15.0</v>
      </c>
      <c r="L3942" s="7"/>
      <c r="M3942" s="7"/>
      <c r="N3942" s="7"/>
      <c r="O3942" s="7"/>
      <c r="P3942" s="7"/>
      <c r="Q3942" s="7"/>
      <c r="R3942" s="7"/>
      <c r="S3942" s="7"/>
      <c r="T3942" s="7"/>
      <c r="U3942" s="7"/>
      <c r="V3942" s="7"/>
      <c r="W3942" s="7"/>
      <c r="X3942" s="7"/>
      <c r="Y3942" s="7"/>
    </row>
    <row r="3943">
      <c r="A3943" s="14" t="s">
        <v>13955</v>
      </c>
      <c r="B3943" s="17" t="s">
        <v>13952</v>
      </c>
      <c r="C3943" s="17" t="s">
        <v>13956</v>
      </c>
      <c r="D3943" s="19" t="s">
        <v>13957</v>
      </c>
      <c r="E3943" s="20" t="s">
        <v>434</v>
      </c>
      <c r="F3943" s="21">
        <v>33145.0</v>
      </c>
      <c r="G3943" s="14">
        <v>35.0</v>
      </c>
      <c r="H3943" s="23" t="s">
        <v>26</v>
      </c>
      <c r="I3943" s="24" t="s">
        <v>33</v>
      </c>
      <c r="J3943" s="19" t="s">
        <v>95</v>
      </c>
      <c r="K3943" s="14">
        <v>15.0</v>
      </c>
      <c r="L3943" s="7"/>
      <c r="M3943" s="7"/>
      <c r="N3943" s="7"/>
      <c r="O3943" s="7"/>
      <c r="P3943" s="7"/>
      <c r="Q3943" s="7"/>
      <c r="R3943" s="7"/>
      <c r="S3943" s="7"/>
      <c r="T3943" s="7"/>
      <c r="U3943" s="7"/>
      <c r="V3943" s="7"/>
      <c r="W3943" s="7"/>
      <c r="X3943" s="7"/>
      <c r="Y3943" s="7"/>
    </row>
    <row r="3944">
      <c r="A3944" s="14" t="s">
        <v>13958</v>
      </c>
      <c r="B3944" s="17" t="s">
        <v>13959</v>
      </c>
      <c r="C3944" s="17" t="s">
        <v>13960</v>
      </c>
      <c r="D3944" s="19" t="s">
        <v>13961</v>
      </c>
      <c r="E3944" s="20" t="s">
        <v>187</v>
      </c>
      <c r="F3944" s="27">
        <v>32470.0</v>
      </c>
      <c r="G3944" s="14">
        <v>37.0</v>
      </c>
      <c r="H3944" s="23" t="s">
        <v>26</v>
      </c>
      <c r="I3944" s="24" t="s">
        <v>33</v>
      </c>
      <c r="J3944" s="19" t="s">
        <v>726</v>
      </c>
      <c r="K3944" s="14">
        <v>17.0</v>
      </c>
      <c r="L3944" s="7"/>
      <c r="M3944" s="7"/>
      <c r="N3944" s="7"/>
      <c r="O3944" s="7"/>
      <c r="P3944" s="7"/>
      <c r="Q3944" s="7"/>
      <c r="R3944" s="7"/>
      <c r="S3944" s="7"/>
      <c r="T3944" s="7"/>
      <c r="U3944" s="7"/>
      <c r="V3944" s="7"/>
      <c r="W3944" s="7"/>
      <c r="X3944" s="7"/>
      <c r="Y3944" s="7"/>
    </row>
    <row r="3945">
      <c r="A3945" s="14" t="s">
        <v>13962</v>
      </c>
      <c r="B3945" s="17" t="s">
        <v>13959</v>
      </c>
      <c r="C3945" s="17" t="s">
        <v>13963</v>
      </c>
      <c r="D3945" s="19" t="s">
        <v>835</v>
      </c>
      <c r="E3945" s="20" t="s">
        <v>104</v>
      </c>
      <c r="F3945" s="21">
        <v>33604.0</v>
      </c>
      <c r="G3945" s="14">
        <v>34.0</v>
      </c>
      <c r="H3945" s="23" t="s">
        <v>26</v>
      </c>
      <c r="I3945" s="24" t="s">
        <v>27</v>
      </c>
      <c r="J3945" s="19" t="s">
        <v>726</v>
      </c>
      <c r="K3945" s="14">
        <v>17.0</v>
      </c>
      <c r="L3945" s="7"/>
      <c r="M3945" s="7"/>
      <c r="N3945" s="7"/>
      <c r="O3945" s="7"/>
      <c r="P3945" s="7"/>
      <c r="Q3945" s="7"/>
      <c r="R3945" s="7"/>
      <c r="S3945" s="7"/>
      <c r="T3945" s="7"/>
      <c r="U3945" s="7"/>
      <c r="V3945" s="7"/>
      <c r="W3945" s="7"/>
      <c r="X3945" s="7"/>
      <c r="Y3945" s="7"/>
    </row>
    <row r="3946">
      <c r="A3946" s="14" t="s">
        <v>13964</v>
      </c>
      <c r="B3946" s="17" t="s">
        <v>13965</v>
      </c>
      <c r="C3946" s="17" t="s">
        <v>13966</v>
      </c>
      <c r="D3946" s="19" t="s">
        <v>13967</v>
      </c>
      <c r="E3946" s="20" t="s">
        <v>104</v>
      </c>
      <c r="F3946" s="27">
        <v>39076.0</v>
      </c>
      <c r="G3946" s="14">
        <v>19.0</v>
      </c>
      <c r="H3946" s="23" t="s">
        <v>100</v>
      </c>
      <c r="I3946" s="24" t="s">
        <v>27</v>
      </c>
      <c r="J3946" s="19" t="s">
        <v>206</v>
      </c>
      <c r="K3946" s="14">
        <v>4.0</v>
      </c>
      <c r="L3946" s="7"/>
      <c r="M3946" s="7"/>
      <c r="N3946" s="7"/>
      <c r="O3946" s="7"/>
      <c r="P3946" s="7"/>
      <c r="Q3946" s="7"/>
      <c r="R3946" s="7"/>
      <c r="S3946" s="7"/>
      <c r="T3946" s="7"/>
      <c r="U3946" s="7"/>
      <c r="V3946" s="7"/>
      <c r="W3946" s="7"/>
      <c r="X3946" s="7"/>
      <c r="Y3946" s="7"/>
    </row>
    <row r="3947">
      <c r="A3947" s="14" t="s">
        <v>13968</v>
      </c>
      <c r="B3947" s="17" t="s">
        <v>13965</v>
      </c>
      <c r="C3947" s="17" t="s">
        <v>13969</v>
      </c>
      <c r="D3947" s="19" t="s">
        <v>13970</v>
      </c>
      <c r="E3947" s="20" t="s">
        <v>187</v>
      </c>
      <c r="F3947" s="21">
        <v>26497.0</v>
      </c>
      <c r="G3947" s="14">
        <v>54.0</v>
      </c>
      <c r="H3947" s="23" t="s">
        <v>27</v>
      </c>
      <c r="I3947" s="24" t="s">
        <v>27</v>
      </c>
      <c r="J3947" s="19" t="s">
        <v>206</v>
      </c>
      <c r="K3947" s="14">
        <v>4.0</v>
      </c>
      <c r="L3947" s="7"/>
      <c r="M3947" s="7"/>
      <c r="N3947" s="7"/>
      <c r="O3947" s="7"/>
      <c r="P3947" s="7"/>
      <c r="Q3947" s="7"/>
      <c r="R3947" s="7"/>
      <c r="S3947" s="7"/>
      <c r="T3947" s="7"/>
      <c r="U3947" s="7"/>
      <c r="V3947" s="7"/>
      <c r="W3947" s="7"/>
      <c r="X3947" s="7"/>
      <c r="Y3947" s="7"/>
    </row>
    <row r="3948">
      <c r="A3948" s="14" t="s">
        <v>13971</v>
      </c>
      <c r="B3948" s="17" t="s">
        <v>13972</v>
      </c>
      <c r="C3948" s="17" t="s">
        <v>13973</v>
      </c>
      <c r="D3948" s="19" t="s">
        <v>13974</v>
      </c>
      <c r="E3948" s="20" t="s">
        <v>53</v>
      </c>
      <c r="F3948" s="21">
        <v>35216.0</v>
      </c>
      <c r="G3948" s="14">
        <v>30.0</v>
      </c>
      <c r="H3948" s="23" t="s">
        <v>26</v>
      </c>
      <c r="I3948" s="24" t="s">
        <v>33</v>
      </c>
      <c r="J3948" s="19" t="s">
        <v>58</v>
      </c>
      <c r="K3948" s="14">
        <v>8.0</v>
      </c>
      <c r="L3948" s="7"/>
      <c r="M3948" s="7"/>
      <c r="N3948" s="7"/>
      <c r="O3948" s="7"/>
      <c r="P3948" s="7"/>
      <c r="Q3948" s="7"/>
      <c r="R3948" s="7"/>
      <c r="S3948" s="7"/>
      <c r="T3948" s="7"/>
      <c r="U3948" s="7"/>
      <c r="V3948" s="7"/>
      <c r="W3948" s="7"/>
      <c r="X3948" s="7"/>
      <c r="Y3948" s="7"/>
    </row>
    <row r="3949">
      <c r="A3949" s="14" t="s">
        <v>13975</v>
      </c>
      <c r="B3949" s="17" t="s">
        <v>13972</v>
      </c>
      <c r="C3949" s="17" t="s">
        <v>13976</v>
      </c>
      <c r="D3949" s="19" t="s">
        <v>13977</v>
      </c>
      <c r="E3949" s="20" t="s">
        <v>104</v>
      </c>
      <c r="F3949" s="21">
        <v>37140.0</v>
      </c>
      <c r="G3949" s="14">
        <v>24.0</v>
      </c>
      <c r="H3949" s="23" t="s">
        <v>26</v>
      </c>
      <c r="I3949" s="24" t="s">
        <v>27</v>
      </c>
      <c r="J3949" s="19" t="s">
        <v>58</v>
      </c>
      <c r="K3949" s="14">
        <v>8.0</v>
      </c>
      <c r="L3949" s="7"/>
      <c r="M3949" s="7"/>
      <c r="N3949" s="7"/>
      <c r="O3949" s="7"/>
      <c r="P3949" s="7"/>
      <c r="Q3949" s="7"/>
      <c r="R3949" s="7"/>
      <c r="S3949" s="7"/>
      <c r="T3949" s="7"/>
      <c r="U3949" s="7"/>
      <c r="V3949" s="7"/>
      <c r="W3949" s="7"/>
      <c r="X3949" s="7"/>
      <c r="Y3949" s="7"/>
    </row>
    <row r="3950">
      <c r="A3950" s="14" t="s">
        <v>13978</v>
      </c>
      <c r="B3950" s="17" t="s">
        <v>13979</v>
      </c>
      <c r="C3950" s="17" t="s">
        <v>13980</v>
      </c>
      <c r="D3950" s="19" t="s">
        <v>103</v>
      </c>
      <c r="E3950" s="20" t="s">
        <v>53</v>
      </c>
      <c r="F3950" s="21">
        <v>33389.0</v>
      </c>
      <c r="G3950" s="14">
        <v>35.0</v>
      </c>
      <c r="H3950" s="23" t="s">
        <v>26</v>
      </c>
      <c r="I3950" s="24" t="s">
        <v>27</v>
      </c>
      <c r="J3950" s="19" t="s">
        <v>13269</v>
      </c>
      <c r="K3950" s="14">
        <v>35.0</v>
      </c>
      <c r="L3950" s="7"/>
      <c r="M3950" s="7"/>
      <c r="N3950" s="7"/>
      <c r="O3950" s="7"/>
      <c r="P3950" s="7"/>
      <c r="Q3950" s="7"/>
      <c r="R3950" s="7"/>
      <c r="S3950" s="7"/>
      <c r="T3950" s="7"/>
      <c r="U3950" s="7"/>
      <c r="V3950" s="7"/>
      <c r="W3950" s="7"/>
      <c r="X3950" s="7"/>
      <c r="Y3950" s="7"/>
    </row>
    <row r="3951">
      <c r="A3951" s="14" t="s">
        <v>13981</v>
      </c>
      <c r="B3951" s="17" t="s">
        <v>13979</v>
      </c>
      <c r="C3951" s="17" t="s">
        <v>13982</v>
      </c>
      <c r="D3951" s="19" t="s">
        <v>2629</v>
      </c>
      <c r="E3951" s="20" t="s">
        <v>13983</v>
      </c>
      <c r="F3951" s="21">
        <v>28685.0</v>
      </c>
      <c r="G3951" s="14">
        <v>48.0</v>
      </c>
      <c r="H3951" s="23" t="s">
        <v>26</v>
      </c>
      <c r="I3951" s="24" t="s">
        <v>33</v>
      </c>
      <c r="J3951" s="19" t="s">
        <v>328</v>
      </c>
      <c r="K3951" s="14">
        <v>27.0</v>
      </c>
      <c r="L3951" s="7"/>
      <c r="M3951" s="7"/>
      <c r="N3951" s="7"/>
      <c r="O3951" s="7"/>
      <c r="P3951" s="7"/>
      <c r="Q3951" s="7"/>
      <c r="R3951" s="7"/>
      <c r="S3951" s="7"/>
      <c r="T3951" s="7"/>
      <c r="U3951" s="7"/>
      <c r="V3951" s="7"/>
      <c r="W3951" s="7"/>
      <c r="X3951" s="7"/>
      <c r="Y3951" s="7"/>
    </row>
    <row r="3952">
      <c r="A3952" s="14" t="s">
        <v>13984</v>
      </c>
      <c r="B3952" s="17" t="s">
        <v>13985</v>
      </c>
      <c r="C3952" s="17" t="s">
        <v>13986</v>
      </c>
      <c r="D3952" s="19" t="s">
        <v>1925</v>
      </c>
      <c r="E3952" s="20" t="s">
        <v>67</v>
      </c>
      <c r="F3952" s="21">
        <v>19545.0</v>
      </c>
      <c r="G3952" s="14">
        <v>73.0</v>
      </c>
      <c r="H3952" s="23" t="s">
        <v>27</v>
      </c>
      <c r="I3952" s="24" t="s">
        <v>27</v>
      </c>
      <c r="J3952" s="19" t="s">
        <v>1915</v>
      </c>
      <c r="K3952" s="14">
        <v>11.0</v>
      </c>
      <c r="L3952" s="7"/>
      <c r="M3952" s="7"/>
      <c r="N3952" s="7"/>
      <c r="O3952" s="7"/>
      <c r="P3952" s="7"/>
      <c r="Q3952" s="7"/>
      <c r="R3952" s="7"/>
      <c r="S3952" s="7"/>
      <c r="T3952" s="7"/>
      <c r="U3952" s="7"/>
      <c r="V3952" s="7"/>
      <c r="W3952" s="7"/>
      <c r="X3952" s="7"/>
      <c r="Y3952" s="7"/>
    </row>
    <row r="3953">
      <c r="A3953" s="14" t="s">
        <v>13987</v>
      </c>
      <c r="B3953" s="17" t="s">
        <v>13988</v>
      </c>
      <c r="C3953" s="17" t="s">
        <v>13989</v>
      </c>
      <c r="D3953" s="19" t="s">
        <v>13990</v>
      </c>
      <c r="E3953" s="20" t="s">
        <v>104</v>
      </c>
      <c r="F3953" s="21">
        <v>34610.0</v>
      </c>
      <c r="G3953" s="14">
        <v>31.0</v>
      </c>
      <c r="H3953" s="23" t="s">
        <v>26</v>
      </c>
      <c r="I3953" s="24" t="s">
        <v>27</v>
      </c>
      <c r="J3953" s="19" t="s">
        <v>206</v>
      </c>
      <c r="K3953" s="14">
        <v>1.0</v>
      </c>
      <c r="L3953" s="7"/>
      <c r="M3953" s="7"/>
      <c r="N3953" s="7"/>
      <c r="O3953" s="7"/>
      <c r="P3953" s="7"/>
      <c r="Q3953" s="7"/>
      <c r="R3953" s="7"/>
      <c r="S3953" s="7"/>
      <c r="T3953" s="7"/>
      <c r="U3953" s="7"/>
      <c r="V3953" s="7"/>
      <c r="W3953" s="7"/>
      <c r="X3953" s="7"/>
      <c r="Y3953" s="7"/>
    </row>
    <row r="3954">
      <c r="A3954" s="14" t="s">
        <v>13991</v>
      </c>
      <c r="B3954" s="17" t="s">
        <v>13988</v>
      </c>
      <c r="C3954" s="17" t="s">
        <v>13992</v>
      </c>
      <c r="D3954" s="19" t="s">
        <v>13993</v>
      </c>
      <c r="E3954" s="20" t="s">
        <v>104</v>
      </c>
      <c r="F3954" s="21">
        <v>33311.0</v>
      </c>
      <c r="G3954" s="14">
        <v>35.0</v>
      </c>
      <c r="H3954" s="23" t="s">
        <v>26</v>
      </c>
      <c r="I3954" s="24" t="s">
        <v>33</v>
      </c>
      <c r="J3954" s="19" t="s">
        <v>206</v>
      </c>
      <c r="K3954" s="14">
        <v>1.0</v>
      </c>
      <c r="L3954" s="7"/>
      <c r="M3954" s="7"/>
      <c r="N3954" s="7"/>
      <c r="O3954" s="7"/>
      <c r="P3954" s="7"/>
      <c r="Q3954" s="7"/>
      <c r="R3954" s="7"/>
      <c r="S3954" s="7"/>
      <c r="T3954" s="7"/>
      <c r="U3954" s="7"/>
      <c r="V3954" s="7"/>
      <c r="W3954" s="7"/>
      <c r="X3954" s="7"/>
      <c r="Y3954" s="7"/>
    </row>
    <row r="3955">
      <c r="A3955" s="14" t="s">
        <v>13994</v>
      </c>
      <c r="B3955" s="17" t="s">
        <v>13995</v>
      </c>
      <c r="C3955" s="17" t="s">
        <v>13996</v>
      </c>
      <c r="D3955" s="19" t="s">
        <v>13997</v>
      </c>
      <c r="E3955" s="20" t="s">
        <v>104</v>
      </c>
      <c r="F3955" s="21">
        <v>32388.0</v>
      </c>
      <c r="G3955" s="14">
        <v>37.0</v>
      </c>
      <c r="H3955" s="23" t="s">
        <v>26</v>
      </c>
      <c r="I3955" s="24" t="s">
        <v>27</v>
      </c>
      <c r="J3955" s="19" t="s">
        <v>328</v>
      </c>
      <c r="K3955" s="14">
        <v>25.0</v>
      </c>
      <c r="L3955" s="7"/>
      <c r="M3955" s="7"/>
      <c r="N3955" s="7"/>
      <c r="O3955" s="7"/>
      <c r="P3955" s="7"/>
      <c r="Q3955" s="7"/>
      <c r="R3955" s="7"/>
      <c r="S3955" s="7"/>
      <c r="T3955" s="7"/>
      <c r="U3955" s="7"/>
      <c r="V3955" s="7"/>
      <c r="W3955" s="7"/>
      <c r="X3955" s="7"/>
      <c r="Y3955" s="7"/>
    </row>
    <row r="3956">
      <c r="A3956" s="14" t="s">
        <v>13998</v>
      </c>
      <c r="B3956" s="17" t="s">
        <v>13995</v>
      </c>
      <c r="C3956" s="17" t="s">
        <v>13999</v>
      </c>
      <c r="D3956" s="19" t="s">
        <v>14000</v>
      </c>
      <c r="E3956" s="20" t="s">
        <v>1370</v>
      </c>
      <c r="F3956" s="21">
        <v>30107.0</v>
      </c>
      <c r="G3956" s="14">
        <v>44.0</v>
      </c>
      <c r="H3956" s="23" t="s">
        <v>26</v>
      </c>
      <c r="I3956" s="24" t="s">
        <v>33</v>
      </c>
      <c r="J3956" s="19" t="s">
        <v>328</v>
      </c>
      <c r="K3956" s="14">
        <v>25.0</v>
      </c>
      <c r="L3956" s="7"/>
      <c r="M3956" s="7"/>
      <c r="N3956" s="7"/>
      <c r="O3956" s="7"/>
      <c r="P3956" s="7"/>
      <c r="Q3956" s="7"/>
      <c r="R3956" s="7"/>
      <c r="S3956" s="7"/>
      <c r="T3956" s="7"/>
      <c r="U3956" s="7"/>
      <c r="V3956" s="7"/>
      <c r="W3956" s="7"/>
      <c r="X3956" s="7"/>
      <c r="Y3956" s="7"/>
    </row>
    <row r="3957">
      <c r="A3957" s="14" t="s">
        <v>14001</v>
      </c>
      <c r="B3957" s="17" t="s">
        <v>14002</v>
      </c>
      <c r="C3957" s="17" t="s">
        <v>14003</v>
      </c>
      <c r="D3957" s="19" t="s">
        <v>14004</v>
      </c>
      <c r="E3957" s="20" t="s">
        <v>104</v>
      </c>
      <c r="F3957" s="21">
        <v>33095.0</v>
      </c>
      <c r="G3957" s="14">
        <v>36.0</v>
      </c>
      <c r="H3957" s="23" t="s">
        <v>26</v>
      </c>
      <c r="I3957" s="24" t="s">
        <v>33</v>
      </c>
      <c r="J3957" s="19" t="s">
        <v>53</v>
      </c>
      <c r="K3957" s="14">
        <v>17.0</v>
      </c>
      <c r="L3957" s="7"/>
      <c r="M3957" s="7"/>
      <c r="N3957" s="7"/>
      <c r="O3957" s="7"/>
      <c r="P3957" s="7"/>
      <c r="Q3957" s="7"/>
      <c r="R3957" s="7"/>
      <c r="S3957" s="7"/>
      <c r="T3957" s="7"/>
      <c r="U3957" s="7"/>
      <c r="V3957" s="7"/>
      <c r="W3957" s="7"/>
      <c r="X3957" s="7"/>
      <c r="Y3957" s="7"/>
    </row>
    <row r="3958">
      <c r="A3958" s="14" t="s">
        <v>14005</v>
      </c>
      <c r="B3958" s="17" t="s">
        <v>14006</v>
      </c>
      <c r="C3958" s="17" t="s">
        <v>14007</v>
      </c>
      <c r="D3958" s="19" t="s">
        <v>14008</v>
      </c>
      <c r="E3958" s="20" t="s">
        <v>104</v>
      </c>
      <c r="F3958" s="21">
        <v>35993.0</v>
      </c>
      <c r="G3958" s="14">
        <v>28.0</v>
      </c>
      <c r="H3958" s="23" t="s">
        <v>100</v>
      </c>
      <c r="I3958" s="24" t="s">
        <v>33</v>
      </c>
      <c r="J3958" s="19" t="s">
        <v>68</v>
      </c>
      <c r="K3958" s="14">
        <v>31.0</v>
      </c>
      <c r="L3958" s="7"/>
      <c r="M3958" s="7"/>
      <c r="N3958" s="7"/>
      <c r="O3958" s="7"/>
      <c r="P3958" s="7"/>
      <c r="Q3958" s="7"/>
      <c r="R3958" s="7"/>
      <c r="S3958" s="7"/>
      <c r="T3958" s="7"/>
      <c r="U3958" s="7"/>
      <c r="V3958" s="7"/>
      <c r="W3958" s="7"/>
      <c r="X3958" s="7"/>
      <c r="Y3958" s="7"/>
    </row>
    <row r="3959">
      <c r="A3959" s="14" t="s">
        <v>14009</v>
      </c>
      <c r="B3959" s="17" t="s">
        <v>14010</v>
      </c>
      <c r="C3959" s="17" t="s">
        <v>14011</v>
      </c>
      <c r="D3959" s="19" t="s">
        <v>14012</v>
      </c>
      <c r="E3959" s="20" t="s">
        <v>187</v>
      </c>
      <c r="F3959" s="21">
        <v>28216.0</v>
      </c>
      <c r="G3959" s="14">
        <v>49.0</v>
      </c>
      <c r="H3959" s="23" t="s">
        <v>26</v>
      </c>
      <c r="I3959" s="24" t="s">
        <v>33</v>
      </c>
      <c r="J3959" s="19" t="s">
        <v>58</v>
      </c>
      <c r="K3959" s="14">
        <v>9.0</v>
      </c>
      <c r="L3959" s="7"/>
      <c r="M3959" s="7"/>
      <c r="N3959" s="7"/>
      <c r="O3959" s="7"/>
      <c r="P3959" s="7"/>
      <c r="Q3959" s="7"/>
      <c r="R3959" s="7"/>
      <c r="S3959" s="7"/>
      <c r="T3959" s="7"/>
      <c r="U3959" s="7"/>
      <c r="V3959" s="7"/>
      <c r="W3959" s="7"/>
      <c r="X3959" s="7"/>
      <c r="Y3959" s="7"/>
    </row>
    <row r="3960">
      <c r="A3960" s="14" t="s">
        <v>14013</v>
      </c>
      <c r="B3960" s="17" t="s">
        <v>14010</v>
      </c>
      <c r="C3960" s="17" t="s">
        <v>14014</v>
      </c>
      <c r="D3960" s="19" t="s">
        <v>14015</v>
      </c>
      <c r="E3960" s="20" t="s">
        <v>104</v>
      </c>
      <c r="F3960" s="21">
        <v>28403.0</v>
      </c>
      <c r="G3960" s="14">
        <v>48.0</v>
      </c>
      <c r="H3960" s="23" t="s">
        <v>26</v>
      </c>
      <c r="I3960" s="24" t="s">
        <v>27</v>
      </c>
      <c r="J3960" s="19" t="s">
        <v>58</v>
      </c>
      <c r="K3960" s="14">
        <v>9.0</v>
      </c>
      <c r="L3960" s="7"/>
      <c r="M3960" s="7"/>
      <c r="N3960" s="7"/>
      <c r="O3960" s="7"/>
      <c r="P3960" s="7"/>
      <c r="Q3960" s="7"/>
      <c r="R3960" s="7"/>
      <c r="S3960" s="7"/>
      <c r="T3960" s="7"/>
      <c r="U3960" s="7"/>
      <c r="V3960" s="7"/>
      <c r="W3960" s="7"/>
      <c r="X3960" s="7"/>
      <c r="Y3960" s="7"/>
    </row>
    <row r="3961">
      <c r="A3961" s="14" t="s">
        <v>14016</v>
      </c>
      <c r="B3961" s="17" t="s">
        <v>14017</v>
      </c>
      <c r="C3961" s="17" t="s">
        <v>14018</v>
      </c>
      <c r="D3961" s="19" t="s">
        <v>14019</v>
      </c>
      <c r="E3961" s="20" t="s">
        <v>104</v>
      </c>
      <c r="F3961" s="27">
        <v>34255.0</v>
      </c>
      <c r="G3961" s="14">
        <v>32.0</v>
      </c>
      <c r="H3961" s="23" t="s">
        <v>26</v>
      </c>
      <c r="I3961" s="24" t="s">
        <v>33</v>
      </c>
      <c r="J3961" s="19" t="s">
        <v>53</v>
      </c>
      <c r="K3961" s="14">
        <v>35.0</v>
      </c>
      <c r="L3961" s="7"/>
      <c r="M3961" s="7"/>
      <c r="N3961" s="7"/>
      <c r="O3961" s="7"/>
      <c r="P3961" s="7"/>
      <c r="Q3961" s="7"/>
      <c r="R3961" s="7"/>
      <c r="S3961" s="7"/>
      <c r="T3961" s="7"/>
      <c r="U3961" s="7"/>
      <c r="V3961" s="7"/>
      <c r="W3961" s="7"/>
      <c r="X3961" s="7"/>
      <c r="Y3961" s="7"/>
    </row>
    <row r="3962">
      <c r="A3962" s="14" t="s">
        <v>14020</v>
      </c>
      <c r="B3962" s="17" t="s">
        <v>14017</v>
      </c>
      <c r="C3962" s="17" t="s">
        <v>14021</v>
      </c>
      <c r="D3962" s="19" t="s">
        <v>14022</v>
      </c>
      <c r="E3962" s="20" t="s">
        <v>53</v>
      </c>
      <c r="F3962" s="27">
        <v>34263.0</v>
      </c>
      <c r="G3962" s="14">
        <v>32.0</v>
      </c>
      <c r="H3962" s="23" t="s">
        <v>26</v>
      </c>
      <c r="I3962" s="24" t="s">
        <v>27</v>
      </c>
      <c r="J3962" s="19" t="s">
        <v>53</v>
      </c>
      <c r="K3962" s="14">
        <v>35.0</v>
      </c>
      <c r="L3962" s="7"/>
      <c r="M3962" s="7"/>
      <c r="N3962" s="7"/>
      <c r="O3962" s="7"/>
      <c r="P3962" s="7"/>
      <c r="Q3962" s="7"/>
      <c r="R3962" s="7"/>
      <c r="S3962" s="7"/>
      <c r="T3962" s="7"/>
      <c r="U3962" s="7"/>
      <c r="V3962" s="7"/>
      <c r="W3962" s="7"/>
      <c r="X3962" s="7"/>
      <c r="Y3962" s="7"/>
    </row>
    <row r="3963">
      <c r="A3963" s="14" t="s">
        <v>14023</v>
      </c>
      <c r="B3963" s="17" t="s">
        <v>14024</v>
      </c>
      <c r="C3963" s="17" t="s">
        <v>14025</v>
      </c>
      <c r="D3963" s="19" t="s">
        <v>4409</v>
      </c>
      <c r="E3963" s="20" t="s">
        <v>274</v>
      </c>
      <c r="F3963" s="21">
        <v>34594.0</v>
      </c>
      <c r="G3963" s="14">
        <v>31.0</v>
      </c>
      <c r="H3963" s="23" t="s">
        <v>26</v>
      </c>
      <c r="I3963" s="24" t="s">
        <v>33</v>
      </c>
      <c r="J3963" s="19" t="s">
        <v>517</v>
      </c>
      <c r="K3963" s="14">
        <v>5.0</v>
      </c>
      <c r="L3963" s="7"/>
      <c r="M3963" s="7"/>
      <c r="N3963" s="7"/>
      <c r="O3963" s="7"/>
      <c r="P3963" s="7"/>
      <c r="Q3963" s="7"/>
      <c r="R3963" s="7"/>
      <c r="S3963" s="7"/>
      <c r="T3963" s="7"/>
      <c r="U3963" s="7"/>
      <c r="V3963" s="7"/>
      <c r="W3963" s="7"/>
      <c r="X3963" s="7"/>
      <c r="Y3963" s="7"/>
    </row>
    <row r="3964">
      <c r="A3964" s="14" t="s">
        <v>14026</v>
      </c>
      <c r="B3964" s="17" t="s">
        <v>14024</v>
      </c>
      <c r="C3964" s="17" t="s">
        <v>14027</v>
      </c>
      <c r="D3964" s="19" t="s">
        <v>14028</v>
      </c>
      <c r="E3964" s="20" t="s">
        <v>138</v>
      </c>
      <c r="F3964" s="27">
        <v>35057.0</v>
      </c>
      <c r="G3964" s="14">
        <v>30.0</v>
      </c>
      <c r="H3964" s="23" t="s">
        <v>26</v>
      </c>
      <c r="I3964" s="24" t="s">
        <v>27</v>
      </c>
      <c r="J3964" s="19" t="s">
        <v>517</v>
      </c>
      <c r="K3964" s="14">
        <v>5.0</v>
      </c>
      <c r="L3964" s="7"/>
      <c r="M3964" s="7"/>
      <c r="N3964" s="7"/>
      <c r="O3964" s="7"/>
      <c r="P3964" s="7"/>
      <c r="Q3964" s="7"/>
      <c r="R3964" s="7"/>
      <c r="S3964" s="7"/>
      <c r="T3964" s="7"/>
      <c r="U3964" s="7"/>
      <c r="V3964" s="7"/>
      <c r="W3964" s="7"/>
      <c r="X3964" s="7"/>
      <c r="Y3964" s="7"/>
    </row>
    <row r="3965">
      <c r="A3965" s="14" t="s">
        <v>14029</v>
      </c>
      <c r="B3965" s="17" t="s">
        <v>14030</v>
      </c>
      <c r="C3965" s="17" t="s">
        <v>14031</v>
      </c>
      <c r="D3965" s="19" t="s">
        <v>14032</v>
      </c>
      <c r="E3965" s="20" t="s">
        <v>187</v>
      </c>
      <c r="F3965" s="21">
        <v>32021.0</v>
      </c>
      <c r="G3965" s="14">
        <v>38.0</v>
      </c>
      <c r="H3965" s="23" t="s">
        <v>26</v>
      </c>
      <c r="I3965" s="24" t="s">
        <v>33</v>
      </c>
      <c r="J3965" s="19" t="s">
        <v>14033</v>
      </c>
      <c r="K3965" s="14">
        <v>17.0</v>
      </c>
      <c r="L3965" s="7"/>
      <c r="M3965" s="7"/>
      <c r="N3965" s="7"/>
      <c r="O3965" s="7"/>
      <c r="P3965" s="7"/>
      <c r="Q3965" s="7"/>
      <c r="R3965" s="7"/>
      <c r="S3965" s="7"/>
      <c r="T3965" s="7"/>
      <c r="U3965" s="7"/>
      <c r="V3965" s="7"/>
      <c r="W3965" s="7"/>
      <c r="X3965" s="7"/>
      <c r="Y3965" s="7"/>
    </row>
    <row r="3966">
      <c r="A3966" s="14" t="s">
        <v>14034</v>
      </c>
      <c r="B3966" s="17" t="s">
        <v>14030</v>
      </c>
      <c r="C3966" s="17" t="s">
        <v>14035</v>
      </c>
      <c r="D3966" s="19" t="s">
        <v>14036</v>
      </c>
      <c r="E3966" s="20" t="s">
        <v>176</v>
      </c>
      <c r="F3966" s="21">
        <v>18438.0</v>
      </c>
      <c r="G3966" s="14">
        <v>76.0</v>
      </c>
      <c r="H3966" s="23" t="s">
        <v>27</v>
      </c>
      <c r="I3966" s="24" t="s">
        <v>27</v>
      </c>
      <c r="J3966" s="19" t="s">
        <v>14033</v>
      </c>
      <c r="K3966" s="14">
        <v>17.0</v>
      </c>
      <c r="L3966" s="7"/>
      <c r="M3966" s="7"/>
      <c r="N3966" s="7"/>
      <c r="O3966" s="7"/>
      <c r="P3966" s="7"/>
      <c r="Q3966" s="7"/>
      <c r="R3966" s="7"/>
      <c r="S3966" s="7"/>
      <c r="T3966" s="7"/>
      <c r="U3966" s="7"/>
      <c r="V3966" s="7"/>
      <c r="W3966" s="7"/>
      <c r="X3966" s="7"/>
      <c r="Y3966" s="7"/>
    </row>
    <row r="3967">
      <c r="A3967" s="14" t="s">
        <v>14037</v>
      </c>
      <c r="B3967" s="17" t="s">
        <v>14030</v>
      </c>
      <c r="C3967" s="17" t="s">
        <v>14038</v>
      </c>
      <c r="D3967" s="19" t="s">
        <v>14039</v>
      </c>
      <c r="E3967" s="20" t="s">
        <v>176</v>
      </c>
      <c r="F3967" s="21">
        <v>33298.0</v>
      </c>
      <c r="G3967" s="14">
        <v>35.0</v>
      </c>
      <c r="H3967" s="23" t="s">
        <v>26</v>
      </c>
      <c r="I3967" s="24" t="s">
        <v>27</v>
      </c>
      <c r="J3967" s="19" t="s">
        <v>14033</v>
      </c>
      <c r="K3967" s="14">
        <v>17.0</v>
      </c>
      <c r="L3967" s="7"/>
      <c r="M3967" s="7"/>
      <c r="N3967" s="7"/>
      <c r="O3967" s="7"/>
      <c r="P3967" s="7"/>
      <c r="Q3967" s="7"/>
      <c r="R3967" s="7"/>
      <c r="S3967" s="7"/>
      <c r="T3967" s="7"/>
      <c r="U3967" s="7"/>
      <c r="V3967" s="7"/>
      <c r="W3967" s="7"/>
      <c r="X3967" s="7"/>
      <c r="Y3967" s="7"/>
    </row>
    <row r="3968">
      <c r="A3968" s="14" t="s">
        <v>14040</v>
      </c>
      <c r="B3968" s="17" t="s">
        <v>14030</v>
      </c>
      <c r="C3968" s="17" t="s">
        <v>14041</v>
      </c>
      <c r="D3968" s="19" t="s">
        <v>14042</v>
      </c>
      <c r="E3968" s="20" t="s">
        <v>14043</v>
      </c>
      <c r="F3968" s="21">
        <v>32480.0</v>
      </c>
      <c r="G3968" s="14">
        <v>37.0</v>
      </c>
      <c r="H3968" s="23" t="s">
        <v>100</v>
      </c>
      <c r="I3968" s="24" t="s">
        <v>33</v>
      </c>
      <c r="J3968" s="19" t="s">
        <v>14033</v>
      </c>
      <c r="K3968" s="14">
        <v>17.0</v>
      </c>
      <c r="L3968" s="7"/>
      <c r="M3968" s="7"/>
      <c r="N3968" s="7"/>
      <c r="O3968" s="7"/>
      <c r="P3968" s="7"/>
      <c r="Q3968" s="7"/>
      <c r="R3968" s="7"/>
      <c r="S3968" s="7"/>
      <c r="T3968" s="7"/>
      <c r="U3968" s="7"/>
      <c r="V3968" s="7"/>
      <c r="W3968" s="7"/>
      <c r="X3968" s="7"/>
      <c r="Y3968" s="7"/>
    </row>
    <row r="3969">
      <c r="A3969" s="14" t="s">
        <v>14044</v>
      </c>
      <c r="B3969" s="17" t="s">
        <v>14045</v>
      </c>
      <c r="C3969" s="17" t="s">
        <v>14046</v>
      </c>
      <c r="D3969" s="19" t="s">
        <v>5117</v>
      </c>
      <c r="E3969" s="20" t="s">
        <v>632</v>
      </c>
      <c r="F3969" s="21">
        <v>23261.0</v>
      </c>
      <c r="G3969" s="14">
        <v>62.0</v>
      </c>
      <c r="H3969" s="23" t="s">
        <v>27</v>
      </c>
      <c r="I3969" s="24" t="s">
        <v>27</v>
      </c>
      <c r="J3969" s="19" t="s">
        <v>53</v>
      </c>
      <c r="K3969" s="14">
        <v>29.0</v>
      </c>
      <c r="L3969" s="7"/>
      <c r="M3969" s="7"/>
      <c r="N3969" s="7"/>
      <c r="O3969" s="7"/>
      <c r="P3969" s="7"/>
      <c r="Q3969" s="7"/>
      <c r="R3969" s="7"/>
      <c r="S3969" s="7"/>
      <c r="T3969" s="7"/>
      <c r="U3969" s="7"/>
      <c r="V3969" s="7"/>
      <c r="W3969" s="7"/>
      <c r="X3969" s="7"/>
      <c r="Y3969" s="7"/>
    </row>
    <row r="3970">
      <c r="A3970" s="14" t="s">
        <v>14047</v>
      </c>
      <c r="B3970" s="17" t="s">
        <v>14048</v>
      </c>
      <c r="C3970" s="17" t="s">
        <v>14049</v>
      </c>
      <c r="D3970" s="19" t="s">
        <v>14050</v>
      </c>
      <c r="E3970" s="20" t="s">
        <v>14051</v>
      </c>
      <c r="F3970" s="21">
        <v>29701.0</v>
      </c>
      <c r="G3970" s="14">
        <v>45.0</v>
      </c>
      <c r="H3970" s="23" t="s">
        <v>26</v>
      </c>
      <c r="I3970" s="24" t="s">
        <v>33</v>
      </c>
      <c r="J3970" s="19" t="s">
        <v>328</v>
      </c>
      <c r="K3970" s="14">
        <v>22.0</v>
      </c>
      <c r="L3970" s="7"/>
      <c r="M3970" s="7"/>
      <c r="N3970" s="7"/>
      <c r="O3970" s="7"/>
      <c r="P3970" s="7"/>
      <c r="Q3970" s="7"/>
      <c r="R3970" s="7"/>
      <c r="S3970" s="7"/>
      <c r="T3970" s="7"/>
      <c r="U3970" s="7"/>
      <c r="V3970" s="7"/>
      <c r="W3970" s="7"/>
      <c r="X3970" s="7"/>
      <c r="Y3970" s="7"/>
    </row>
    <row r="3971">
      <c r="A3971" s="14" t="s">
        <v>14052</v>
      </c>
      <c r="B3971" s="17" t="s">
        <v>14053</v>
      </c>
      <c r="C3971" s="17" t="s">
        <v>14054</v>
      </c>
      <c r="D3971" s="19" t="s">
        <v>11161</v>
      </c>
      <c r="E3971" s="20" t="s">
        <v>104</v>
      </c>
      <c r="F3971" s="21">
        <v>33734.0</v>
      </c>
      <c r="G3971" s="14">
        <v>34.0</v>
      </c>
      <c r="H3971" s="23" t="s">
        <v>26</v>
      </c>
      <c r="I3971" s="24" t="s">
        <v>27</v>
      </c>
      <c r="J3971" s="19" t="s">
        <v>156</v>
      </c>
      <c r="K3971" s="14">
        <v>32.0</v>
      </c>
      <c r="L3971" s="7"/>
      <c r="M3971" s="7"/>
      <c r="N3971" s="7"/>
      <c r="O3971" s="7"/>
      <c r="P3971" s="7"/>
      <c r="Q3971" s="7"/>
      <c r="R3971" s="7"/>
      <c r="S3971" s="7"/>
      <c r="T3971" s="7"/>
      <c r="U3971" s="7"/>
      <c r="V3971" s="7"/>
      <c r="W3971" s="7"/>
      <c r="X3971" s="7"/>
      <c r="Y3971" s="7"/>
    </row>
    <row r="3972">
      <c r="A3972" s="14" t="s">
        <v>14055</v>
      </c>
      <c r="B3972" s="17" t="s">
        <v>14053</v>
      </c>
      <c r="C3972" s="17" t="s">
        <v>14056</v>
      </c>
      <c r="D3972" s="19" t="s">
        <v>14057</v>
      </c>
      <c r="E3972" s="20" t="s">
        <v>104</v>
      </c>
      <c r="F3972" s="21">
        <v>32774.0</v>
      </c>
      <c r="G3972" s="14">
        <v>36.0</v>
      </c>
      <c r="H3972" s="23" t="s">
        <v>26</v>
      </c>
      <c r="I3972" s="24" t="s">
        <v>33</v>
      </c>
      <c r="J3972" s="19" t="s">
        <v>156</v>
      </c>
      <c r="K3972" s="14">
        <v>32.0</v>
      </c>
      <c r="L3972" s="7"/>
      <c r="M3972" s="7"/>
      <c r="N3972" s="7"/>
      <c r="O3972" s="7"/>
      <c r="P3972" s="7"/>
      <c r="Q3972" s="7"/>
      <c r="R3972" s="7"/>
      <c r="S3972" s="7"/>
      <c r="T3972" s="7"/>
      <c r="U3972" s="7"/>
      <c r="V3972" s="7"/>
      <c r="W3972" s="7"/>
      <c r="X3972" s="7"/>
      <c r="Y3972" s="7"/>
    </row>
    <row r="3973">
      <c r="A3973" s="14" t="s">
        <v>14058</v>
      </c>
      <c r="B3973" s="17" t="s">
        <v>14059</v>
      </c>
      <c r="C3973" s="17" t="s">
        <v>14060</v>
      </c>
      <c r="D3973" s="19" t="s">
        <v>14061</v>
      </c>
      <c r="E3973" s="20" t="s">
        <v>104</v>
      </c>
      <c r="F3973" s="21">
        <v>31450.0</v>
      </c>
      <c r="G3973" s="14">
        <v>40.0</v>
      </c>
      <c r="H3973" s="23" t="s">
        <v>26</v>
      </c>
      <c r="I3973" s="24" t="s">
        <v>33</v>
      </c>
      <c r="J3973" s="19" t="s">
        <v>14062</v>
      </c>
      <c r="K3973" s="14">
        <v>10.0</v>
      </c>
      <c r="L3973" s="7"/>
      <c r="M3973" s="7"/>
      <c r="N3973" s="7"/>
      <c r="O3973" s="7"/>
      <c r="P3973" s="7"/>
      <c r="Q3973" s="7"/>
      <c r="R3973" s="7"/>
      <c r="S3973" s="7"/>
      <c r="T3973" s="7"/>
      <c r="U3973" s="7"/>
      <c r="V3973" s="7"/>
      <c r="W3973" s="7"/>
      <c r="X3973" s="7"/>
      <c r="Y3973" s="7"/>
    </row>
    <row r="3974">
      <c r="A3974" s="14" t="s">
        <v>14063</v>
      </c>
      <c r="B3974" s="17" t="s">
        <v>14059</v>
      </c>
      <c r="C3974" s="17" t="s">
        <v>14064</v>
      </c>
      <c r="D3974" s="19" t="s">
        <v>14065</v>
      </c>
      <c r="E3974" s="20" t="s">
        <v>104</v>
      </c>
      <c r="F3974" s="21">
        <v>31669.0</v>
      </c>
      <c r="G3974" s="14">
        <v>39.0</v>
      </c>
      <c r="H3974" s="23" t="s">
        <v>26</v>
      </c>
      <c r="I3974" s="24" t="s">
        <v>27</v>
      </c>
      <c r="J3974" s="19" t="s">
        <v>14062</v>
      </c>
      <c r="K3974" s="14">
        <v>10.0</v>
      </c>
      <c r="L3974" s="7"/>
      <c r="M3974" s="7"/>
      <c r="N3974" s="7"/>
      <c r="O3974" s="7"/>
      <c r="P3974" s="7"/>
      <c r="Q3974" s="7"/>
      <c r="R3974" s="7"/>
      <c r="S3974" s="7"/>
      <c r="T3974" s="7"/>
      <c r="U3974" s="7"/>
      <c r="V3974" s="7"/>
      <c r="W3974" s="7"/>
      <c r="X3974" s="7"/>
      <c r="Y3974" s="7"/>
    </row>
    <row r="3975">
      <c r="A3975" s="14" t="s">
        <v>14066</v>
      </c>
      <c r="B3975" s="17" t="s">
        <v>14067</v>
      </c>
      <c r="C3975" s="17" t="s">
        <v>14068</v>
      </c>
      <c r="D3975" s="19" t="s">
        <v>14069</v>
      </c>
      <c r="E3975" s="20" t="s">
        <v>53</v>
      </c>
      <c r="F3975" s="21">
        <v>32449.0</v>
      </c>
      <c r="G3975" s="14">
        <v>37.0</v>
      </c>
      <c r="H3975" s="23" t="s">
        <v>26</v>
      </c>
      <c r="I3975" s="24" t="s">
        <v>27</v>
      </c>
      <c r="J3975" s="19" t="s">
        <v>328</v>
      </c>
      <c r="K3975" s="14">
        <v>26.0</v>
      </c>
      <c r="L3975" s="7"/>
      <c r="M3975" s="7"/>
      <c r="N3975" s="7"/>
      <c r="O3975" s="7"/>
      <c r="P3975" s="7"/>
      <c r="Q3975" s="7"/>
      <c r="R3975" s="7"/>
      <c r="S3975" s="7"/>
      <c r="T3975" s="7"/>
      <c r="U3975" s="7"/>
      <c r="V3975" s="7"/>
      <c r="W3975" s="7"/>
      <c r="X3975" s="7"/>
      <c r="Y3975" s="7"/>
    </row>
    <row r="3976">
      <c r="A3976" s="14" t="s">
        <v>14070</v>
      </c>
      <c r="B3976" s="17" t="s">
        <v>14067</v>
      </c>
      <c r="C3976" s="17" t="s">
        <v>14071</v>
      </c>
      <c r="D3976" s="19" t="s">
        <v>14072</v>
      </c>
      <c r="E3976" s="20" t="s">
        <v>736</v>
      </c>
      <c r="F3976" s="21">
        <v>32330.0</v>
      </c>
      <c r="G3976" s="14">
        <v>38.0</v>
      </c>
      <c r="H3976" s="23" t="s">
        <v>26</v>
      </c>
      <c r="I3976" s="24" t="s">
        <v>33</v>
      </c>
      <c r="J3976" s="19" t="s">
        <v>328</v>
      </c>
      <c r="K3976" s="14">
        <v>26.0</v>
      </c>
      <c r="L3976" s="7"/>
      <c r="M3976" s="7"/>
      <c r="N3976" s="7"/>
      <c r="O3976" s="7"/>
      <c r="P3976" s="7"/>
      <c r="Q3976" s="7"/>
      <c r="R3976" s="7"/>
      <c r="S3976" s="7"/>
      <c r="T3976" s="7"/>
      <c r="U3976" s="7"/>
      <c r="V3976" s="7"/>
      <c r="W3976" s="7"/>
      <c r="X3976" s="7"/>
      <c r="Y3976" s="7"/>
    </row>
    <row r="3977">
      <c r="A3977" s="14" t="s">
        <v>14073</v>
      </c>
      <c r="B3977" s="17" t="s">
        <v>14074</v>
      </c>
      <c r="C3977" s="17" t="s">
        <v>14075</v>
      </c>
      <c r="D3977" s="19" t="s">
        <v>14076</v>
      </c>
      <c r="E3977" s="20" t="s">
        <v>53</v>
      </c>
      <c r="F3977" s="27">
        <v>30272.0</v>
      </c>
      <c r="G3977" s="14">
        <v>43.0</v>
      </c>
      <c r="H3977" s="23" t="s">
        <v>26</v>
      </c>
      <c r="I3977" s="24" t="s">
        <v>33</v>
      </c>
      <c r="J3977" s="19" t="s">
        <v>362</v>
      </c>
      <c r="K3977" s="14">
        <v>14.0</v>
      </c>
      <c r="L3977" s="7"/>
      <c r="M3977" s="7"/>
      <c r="N3977" s="7"/>
      <c r="O3977" s="7"/>
      <c r="P3977" s="7"/>
      <c r="Q3977" s="7"/>
      <c r="R3977" s="7"/>
      <c r="S3977" s="7"/>
      <c r="T3977" s="7"/>
      <c r="U3977" s="7"/>
      <c r="V3977" s="7"/>
      <c r="W3977" s="7"/>
      <c r="X3977" s="7"/>
      <c r="Y3977" s="7"/>
    </row>
    <row r="3978">
      <c r="A3978" s="14" t="s">
        <v>14077</v>
      </c>
      <c r="B3978" s="17" t="s">
        <v>14074</v>
      </c>
      <c r="C3978" s="17" t="s">
        <v>14078</v>
      </c>
      <c r="D3978" s="19" t="s">
        <v>14079</v>
      </c>
      <c r="E3978" s="20" t="s">
        <v>769</v>
      </c>
      <c r="F3978" s="27">
        <v>33563.0</v>
      </c>
      <c r="G3978" s="14">
        <v>34.0</v>
      </c>
      <c r="H3978" s="23" t="s">
        <v>26</v>
      </c>
      <c r="I3978" s="24" t="s">
        <v>27</v>
      </c>
      <c r="J3978" s="19" t="s">
        <v>362</v>
      </c>
      <c r="K3978" s="14">
        <v>14.0</v>
      </c>
      <c r="L3978" s="7"/>
      <c r="M3978" s="7"/>
      <c r="N3978" s="7"/>
      <c r="O3978" s="7"/>
      <c r="P3978" s="7"/>
      <c r="Q3978" s="7"/>
      <c r="R3978" s="7"/>
      <c r="S3978" s="7"/>
      <c r="T3978" s="7"/>
      <c r="U3978" s="7"/>
      <c r="V3978" s="7"/>
      <c r="W3978" s="7"/>
      <c r="X3978" s="7"/>
      <c r="Y3978" s="7"/>
    </row>
    <row r="3979">
      <c r="A3979" s="14" t="s">
        <v>14080</v>
      </c>
      <c r="B3979" s="17" t="s">
        <v>14081</v>
      </c>
      <c r="C3979" s="17" t="s">
        <v>14082</v>
      </c>
      <c r="D3979" s="19" t="s">
        <v>14083</v>
      </c>
      <c r="E3979" s="20" t="s">
        <v>67</v>
      </c>
      <c r="F3979" s="21">
        <v>36582.0</v>
      </c>
      <c r="G3979" s="14">
        <v>26.0</v>
      </c>
      <c r="H3979" s="23" t="s">
        <v>100</v>
      </c>
      <c r="I3979" s="24" t="s">
        <v>33</v>
      </c>
      <c r="J3979" s="19" t="s">
        <v>68</v>
      </c>
      <c r="K3979" s="14">
        <v>32.0</v>
      </c>
      <c r="L3979" s="7"/>
      <c r="M3979" s="7"/>
      <c r="N3979" s="7"/>
      <c r="O3979" s="7"/>
      <c r="P3979" s="7"/>
      <c r="Q3979" s="7"/>
      <c r="R3979" s="7"/>
      <c r="S3979" s="7"/>
      <c r="T3979" s="7"/>
      <c r="U3979" s="7"/>
      <c r="V3979" s="7"/>
      <c r="W3979" s="7"/>
      <c r="X3979" s="7"/>
      <c r="Y3979" s="7"/>
    </row>
    <row r="3980">
      <c r="A3980" s="14" t="s">
        <v>14084</v>
      </c>
      <c r="B3980" s="17" t="s">
        <v>14081</v>
      </c>
      <c r="C3980" s="17" t="s">
        <v>14085</v>
      </c>
      <c r="D3980" s="19" t="s">
        <v>8387</v>
      </c>
      <c r="E3980" s="20" t="s">
        <v>67</v>
      </c>
      <c r="F3980" s="21">
        <v>24573.0</v>
      </c>
      <c r="G3980" s="14">
        <v>59.0</v>
      </c>
      <c r="H3980" s="23" t="s">
        <v>26</v>
      </c>
      <c r="I3980" s="24" t="s">
        <v>27</v>
      </c>
      <c r="J3980" s="19" t="s">
        <v>68</v>
      </c>
      <c r="K3980" s="14">
        <v>32.0</v>
      </c>
      <c r="L3980" s="7"/>
      <c r="M3980" s="7"/>
      <c r="N3980" s="7"/>
      <c r="O3980" s="7"/>
      <c r="P3980" s="7"/>
      <c r="Q3980" s="7"/>
      <c r="R3980" s="7"/>
      <c r="S3980" s="7"/>
      <c r="T3980" s="7"/>
      <c r="U3980" s="7"/>
      <c r="V3980" s="7"/>
      <c r="W3980" s="7"/>
      <c r="X3980" s="7"/>
      <c r="Y3980" s="7"/>
    </row>
    <row r="3981">
      <c r="A3981" s="14" t="s">
        <v>14086</v>
      </c>
      <c r="B3981" s="17" t="s">
        <v>14087</v>
      </c>
      <c r="C3981" s="17" t="s">
        <v>14088</v>
      </c>
      <c r="D3981" s="19" t="s">
        <v>14089</v>
      </c>
      <c r="E3981" s="20" t="s">
        <v>654</v>
      </c>
      <c r="F3981" s="21">
        <v>28198.0</v>
      </c>
      <c r="G3981" s="14">
        <v>49.0</v>
      </c>
      <c r="H3981" s="23" t="s">
        <v>26</v>
      </c>
      <c r="I3981" s="24" t="s">
        <v>33</v>
      </c>
      <c r="J3981" s="19" t="s">
        <v>68</v>
      </c>
      <c r="K3981" s="14">
        <v>28.0</v>
      </c>
      <c r="L3981" s="7"/>
      <c r="M3981" s="7"/>
      <c r="N3981" s="7"/>
      <c r="O3981" s="7"/>
      <c r="P3981" s="7"/>
      <c r="Q3981" s="7"/>
      <c r="R3981" s="7"/>
      <c r="S3981" s="7"/>
      <c r="T3981" s="7"/>
      <c r="U3981" s="7"/>
      <c r="V3981" s="7"/>
      <c r="W3981" s="7"/>
      <c r="X3981" s="7"/>
      <c r="Y3981" s="7"/>
    </row>
    <row r="3982">
      <c r="A3982" s="14" t="s">
        <v>14090</v>
      </c>
      <c r="B3982" s="17" t="s">
        <v>14087</v>
      </c>
      <c r="C3982" s="17" t="s">
        <v>14091</v>
      </c>
      <c r="D3982" s="19" t="s">
        <v>14092</v>
      </c>
      <c r="E3982" s="20" t="s">
        <v>2980</v>
      </c>
      <c r="F3982" s="21">
        <v>30779.0</v>
      </c>
      <c r="G3982" s="14">
        <v>42.0</v>
      </c>
      <c r="H3982" s="23" t="s">
        <v>26</v>
      </c>
      <c r="I3982" s="24" t="s">
        <v>27</v>
      </c>
      <c r="J3982" s="19" t="s">
        <v>68</v>
      </c>
      <c r="K3982" s="14">
        <v>28.0</v>
      </c>
      <c r="L3982" s="7"/>
      <c r="M3982" s="7"/>
      <c r="N3982" s="7"/>
      <c r="O3982" s="7"/>
      <c r="P3982" s="7"/>
      <c r="Q3982" s="7"/>
      <c r="R3982" s="7"/>
      <c r="S3982" s="7"/>
      <c r="T3982" s="7"/>
      <c r="U3982" s="7"/>
      <c r="V3982" s="7"/>
      <c r="W3982" s="7"/>
      <c r="X3982" s="7"/>
      <c r="Y3982" s="7"/>
    </row>
    <row r="3983">
      <c r="A3983" s="14" t="s">
        <v>14093</v>
      </c>
      <c r="B3983" s="17" t="s">
        <v>14094</v>
      </c>
      <c r="C3983" s="17" t="s">
        <v>14095</v>
      </c>
      <c r="D3983" s="19" t="s">
        <v>14096</v>
      </c>
      <c r="E3983" s="20" t="s">
        <v>104</v>
      </c>
      <c r="F3983" s="21">
        <v>36077.0</v>
      </c>
      <c r="G3983" s="14">
        <v>27.0</v>
      </c>
      <c r="H3983" s="23" t="s">
        <v>26</v>
      </c>
      <c r="I3983" s="24" t="s">
        <v>33</v>
      </c>
      <c r="J3983" s="19" t="s">
        <v>282</v>
      </c>
      <c r="K3983" s="14">
        <v>11.0</v>
      </c>
      <c r="L3983" s="7"/>
      <c r="M3983" s="7"/>
      <c r="N3983" s="7"/>
      <c r="O3983" s="7"/>
      <c r="P3983" s="7"/>
      <c r="Q3983" s="7"/>
      <c r="R3983" s="7"/>
      <c r="S3983" s="7"/>
      <c r="T3983" s="7"/>
      <c r="U3983" s="7"/>
      <c r="V3983" s="7"/>
      <c r="W3983" s="7"/>
      <c r="X3983" s="7"/>
      <c r="Y3983" s="7"/>
    </row>
    <row r="3984">
      <c r="A3984" s="14" t="s">
        <v>14097</v>
      </c>
      <c r="B3984" s="17" t="s">
        <v>14094</v>
      </c>
      <c r="C3984" s="17" t="s">
        <v>14098</v>
      </c>
      <c r="D3984" s="19" t="s">
        <v>14099</v>
      </c>
      <c r="E3984" s="20" t="s">
        <v>14100</v>
      </c>
      <c r="F3984" s="21">
        <v>36251.0</v>
      </c>
      <c r="G3984" s="14">
        <v>27.0</v>
      </c>
      <c r="H3984" s="23" t="s">
        <v>26</v>
      </c>
      <c r="I3984" s="24" t="s">
        <v>27</v>
      </c>
      <c r="J3984" s="19" t="s">
        <v>282</v>
      </c>
      <c r="K3984" s="14">
        <v>11.0</v>
      </c>
      <c r="L3984" s="7"/>
      <c r="M3984" s="7"/>
      <c r="N3984" s="7"/>
      <c r="O3984" s="7"/>
      <c r="P3984" s="7"/>
      <c r="Q3984" s="7"/>
      <c r="R3984" s="7"/>
      <c r="S3984" s="7"/>
      <c r="T3984" s="7"/>
      <c r="U3984" s="7"/>
      <c r="V3984" s="7"/>
      <c r="W3984" s="7"/>
      <c r="X3984" s="7"/>
      <c r="Y3984" s="7"/>
    </row>
    <row r="3985">
      <c r="A3985" s="14" t="s">
        <v>14101</v>
      </c>
      <c r="B3985" s="17" t="s">
        <v>14102</v>
      </c>
      <c r="C3985" s="17" t="s">
        <v>14103</v>
      </c>
      <c r="D3985" s="19" t="s">
        <v>14104</v>
      </c>
      <c r="E3985" s="20" t="s">
        <v>104</v>
      </c>
      <c r="F3985" s="21">
        <v>36248.0</v>
      </c>
      <c r="G3985" s="14">
        <v>27.0</v>
      </c>
      <c r="H3985" s="23" t="s">
        <v>100</v>
      </c>
      <c r="I3985" s="24" t="s">
        <v>33</v>
      </c>
      <c r="J3985" s="19" t="s">
        <v>726</v>
      </c>
      <c r="K3985" s="14">
        <v>16.0</v>
      </c>
      <c r="L3985" s="7"/>
      <c r="M3985" s="7"/>
      <c r="N3985" s="7"/>
      <c r="O3985" s="7"/>
      <c r="P3985" s="7"/>
      <c r="Q3985" s="7"/>
      <c r="R3985" s="7"/>
      <c r="S3985" s="7"/>
      <c r="T3985" s="7"/>
      <c r="U3985" s="7"/>
      <c r="V3985" s="7"/>
      <c r="W3985" s="7"/>
      <c r="X3985" s="7"/>
      <c r="Y3985" s="7"/>
    </row>
    <row r="3986">
      <c r="A3986" s="14" t="s">
        <v>14105</v>
      </c>
      <c r="B3986" s="17" t="s">
        <v>14102</v>
      </c>
      <c r="C3986" s="17" t="s">
        <v>14106</v>
      </c>
      <c r="D3986" s="19" t="s">
        <v>1549</v>
      </c>
      <c r="E3986" s="20" t="s">
        <v>1049</v>
      </c>
      <c r="F3986" s="21">
        <v>26041.0</v>
      </c>
      <c r="G3986" s="14">
        <v>55.0</v>
      </c>
      <c r="H3986" s="23" t="s">
        <v>27</v>
      </c>
      <c r="I3986" s="24" t="s">
        <v>27</v>
      </c>
      <c r="J3986" s="19" t="s">
        <v>726</v>
      </c>
      <c r="K3986" s="14">
        <v>16.0</v>
      </c>
      <c r="L3986" s="7"/>
      <c r="M3986" s="7"/>
      <c r="N3986" s="7"/>
      <c r="O3986" s="7"/>
      <c r="P3986" s="7"/>
      <c r="Q3986" s="7"/>
      <c r="R3986" s="7"/>
      <c r="S3986" s="7"/>
      <c r="T3986" s="7"/>
      <c r="U3986" s="7"/>
      <c r="V3986" s="7"/>
      <c r="W3986" s="7"/>
      <c r="X3986" s="7"/>
      <c r="Y3986" s="7"/>
    </row>
    <row r="3987">
      <c r="A3987" s="14" t="s">
        <v>14107</v>
      </c>
      <c r="B3987" s="17" t="s">
        <v>14108</v>
      </c>
      <c r="C3987" s="17" t="s">
        <v>14109</v>
      </c>
      <c r="D3987" s="19" t="s">
        <v>11547</v>
      </c>
      <c r="E3987" s="20" t="s">
        <v>1816</v>
      </c>
      <c r="F3987" s="21">
        <v>22799.0</v>
      </c>
      <c r="G3987" s="14">
        <v>64.0</v>
      </c>
      <c r="H3987" s="23" t="s">
        <v>27</v>
      </c>
      <c r="I3987" s="24" t="s">
        <v>27</v>
      </c>
      <c r="J3987" s="19" t="s">
        <v>68</v>
      </c>
      <c r="K3987" s="14">
        <v>28.0</v>
      </c>
      <c r="L3987" s="7"/>
      <c r="M3987" s="7"/>
      <c r="N3987" s="7"/>
      <c r="O3987" s="7"/>
      <c r="P3987" s="7"/>
      <c r="Q3987" s="7"/>
      <c r="R3987" s="7"/>
      <c r="S3987" s="7"/>
      <c r="T3987" s="7"/>
      <c r="U3987" s="7"/>
      <c r="V3987" s="7"/>
      <c r="W3987" s="7"/>
      <c r="X3987" s="7"/>
      <c r="Y3987" s="7"/>
    </row>
    <row r="3988">
      <c r="A3988" s="14" t="s">
        <v>14110</v>
      </c>
      <c r="B3988" s="17" t="s">
        <v>14111</v>
      </c>
      <c r="C3988" s="17" t="s">
        <v>14112</v>
      </c>
      <c r="D3988" s="19" t="s">
        <v>14113</v>
      </c>
      <c r="E3988" s="20" t="s">
        <v>14114</v>
      </c>
      <c r="F3988" s="21">
        <v>28612.0</v>
      </c>
      <c r="G3988" s="14">
        <v>48.0</v>
      </c>
      <c r="H3988" s="23" t="s">
        <v>26</v>
      </c>
      <c r="I3988" s="24" t="s">
        <v>27</v>
      </c>
      <c r="J3988" s="19" t="s">
        <v>156</v>
      </c>
      <c r="K3988" s="14">
        <v>28.0</v>
      </c>
      <c r="L3988" s="7"/>
      <c r="M3988" s="7"/>
      <c r="N3988" s="7"/>
      <c r="O3988" s="7"/>
      <c r="P3988" s="7"/>
      <c r="Q3988" s="7"/>
      <c r="R3988" s="7"/>
      <c r="S3988" s="7"/>
      <c r="T3988" s="7"/>
      <c r="U3988" s="7"/>
      <c r="V3988" s="7"/>
      <c r="W3988" s="7"/>
      <c r="X3988" s="7"/>
      <c r="Y3988" s="7"/>
    </row>
    <row r="3989">
      <c r="A3989" s="14" t="s">
        <v>14115</v>
      </c>
      <c r="B3989" s="17" t="s">
        <v>14111</v>
      </c>
      <c r="C3989" s="17" t="s">
        <v>14116</v>
      </c>
      <c r="D3989" s="19" t="s">
        <v>14117</v>
      </c>
      <c r="E3989" s="20" t="s">
        <v>14118</v>
      </c>
      <c r="F3989" s="21">
        <v>29316.0</v>
      </c>
      <c r="G3989" s="14">
        <v>46.0</v>
      </c>
      <c r="H3989" s="23" t="s">
        <v>26</v>
      </c>
      <c r="I3989" s="24" t="s">
        <v>33</v>
      </c>
      <c r="J3989" s="19" t="s">
        <v>156</v>
      </c>
      <c r="K3989" s="14">
        <v>28.0</v>
      </c>
      <c r="L3989" s="7"/>
      <c r="M3989" s="7"/>
      <c r="N3989" s="7"/>
      <c r="O3989" s="7"/>
      <c r="P3989" s="7"/>
      <c r="Q3989" s="7"/>
      <c r="R3989" s="7"/>
      <c r="S3989" s="7"/>
      <c r="T3989" s="7"/>
      <c r="U3989" s="7"/>
      <c r="V3989" s="7"/>
      <c r="W3989" s="7"/>
      <c r="X3989" s="7"/>
      <c r="Y3989" s="7"/>
    </row>
    <row r="3990">
      <c r="A3990" s="14" t="s">
        <v>14119</v>
      </c>
      <c r="B3990" s="17" t="s">
        <v>14120</v>
      </c>
      <c r="C3990" s="17" t="s">
        <v>14121</v>
      </c>
      <c r="D3990" s="19" t="s">
        <v>957</v>
      </c>
      <c r="E3990" s="20" t="s">
        <v>14122</v>
      </c>
      <c r="F3990" s="27">
        <v>22929.0</v>
      </c>
      <c r="G3990" s="14">
        <v>63.0</v>
      </c>
      <c r="H3990" s="23" t="s">
        <v>26</v>
      </c>
      <c r="I3990" s="24" t="s">
        <v>33</v>
      </c>
      <c r="J3990" s="19" t="s">
        <v>14123</v>
      </c>
      <c r="K3990" s="14">
        <v>10.0</v>
      </c>
      <c r="L3990" s="7"/>
      <c r="M3990" s="7"/>
      <c r="N3990" s="7"/>
      <c r="O3990" s="7"/>
      <c r="P3990" s="7"/>
      <c r="Q3990" s="7"/>
      <c r="R3990" s="7"/>
      <c r="S3990" s="7"/>
      <c r="T3990" s="7"/>
      <c r="U3990" s="7"/>
      <c r="V3990" s="7"/>
      <c r="W3990" s="7"/>
      <c r="X3990" s="7"/>
      <c r="Y3990" s="7"/>
    </row>
    <row r="3991">
      <c r="A3991" s="14" t="s">
        <v>14124</v>
      </c>
      <c r="B3991" s="17" t="s">
        <v>14120</v>
      </c>
      <c r="C3991" s="17" t="s">
        <v>14125</v>
      </c>
      <c r="D3991" s="19" t="s">
        <v>6699</v>
      </c>
      <c r="E3991" s="20" t="s">
        <v>14126</v>
      </c>
      <c r="F3991" s="27">
        <v>24405.0</v>
      </c>
      <c r="G3991" s="14">
        <v>59.0</v>
      </c>
      <c r="H3991" s="23" t="s">
        <v>26</v>
      </c>
      <c r="I3991" s="24" t="s">
        <v>27</v>
      </c>
      <c r="J3991" s="19" t="s">
        <v>14123</v>
      </c>
      <c r="K3991" s="14">
        <v>10.0</v>
      </c>
      <c r="L3991" s="7"/>
      <c r="M3991" s="7"/>
      <c r="N3991" s="7"/>
      <c r="O3991" s="7"/>
      <c r="P3991" s="7"/>
      <c r="Q3991" s="7"/>
      <c r="R3991" s="7"/>
      <c r="S3991" s="7"/>
      <c r="T3991" s="7"/>
      <c r="U3991" s="7"/>
      <c r="V3991" s="7"/>
      <c r="W3991" s="7"/>
      <c r="X3991" s="7"/>
      <c r="Y3991" s="7"/>
    </row>
    <row r="3992">
      <c r="A3992" s="14" t="s">
        <v>14127</v>
      </c>
      <c r="B3992" s="17" t="s">
        <v>14128</v>
      </c>
      <c r="C3992" s="17" t="s">
        <v>14129</v>
      </c>
      <c r="D3992" s="19" t="s">
        <v>14130</v>
      </c>
      <c r="E3992" s="20" t="s">
        <v>654</v>
      </c>
      <c r="F3992" s="21">
        <v>21663.0</v>
      </c>
      <c r="G3992" s="14">
        <v>67.0</v>
      </c>
      <c r="H3992" s="23" t="s">
        <v>27</v>
      </c>
      <c r="I3992" s="24" t="s">
        <v>27</v>
      </c>
      <c r="J3992" s="19" t="s">
        <v>58</v>
      </c>
      <c r="K3992" s="14">
        <v>9.0</v>
      </c>
      <c r="L3992" s="7"/>
      <c r="M3992" s="7"/>
      <c r="N3992" s="7"/>
      <c r="O3992" s="7"/>
      <c r="P3992" s="7"/>
      <c r="Q3992" s="7"/>
      <c r="R3992" s="7"/>
      <c r="S3992" s="7"/>
      <c r="T3992" s="7"/>
      <c r="U3992" s="7"/>
      <c r="V3992" s="7"/>
      <c r="W3992" s="7"/>
      <c r="X3992" s="7"/>
      <c r="Y3992" s="7"/>
    </row>
    <row r="3993">
      <c r="A3993" s="14" t="s">
        <v>14131</v>
      </c>
      <c r="B3993" s="17" t="s">
        <v>14132</v>
      </c>
      <c r="C3993" s="17" t="s">
        <v>14133</v>
      </c>
      <c r="D3993" s="19" t="s">
        <v>14134</v>
      </c>
      <c r="E3993" s="20" t="s">
        <v>104</v>
      </c>
      <c r="F3993" s="21">
        <v>33460.0</v>
      </c>
      <c r="G3993" s="14">
        <v>35.0</v>
      </c>
      <c r="H3993" s="23" t="s">
        <v>26</v>
      </c>
      <c r="I3993" s="24" t="s">
        <v>33</v>
      </c>
      <c r="J3993" s="19" t="s">
        <v>14135</v>
      </c>
      <c r="K3993" s="14">
        <v>33.0</v>
      </c>
      <c r="L3993" s="7"/>
      <c r="M3993" s="7"/>
      <c r="N3993" s="7"/>
      <c r="O3993" s="7"/>
      <c r="P3993" s="7"/>
      <c r="Q3993" s="7"/>
      <c r="R3993" s="7"/>
      <c r="S3993" s="7"/>
      <c r="T3993" s="7"/>
      <c r="U3993" s="7"/>
      <c r="V3993" s="7"/>
      <c r="W3993" s="7"/>
      <c r="X3993" s="7"/>
      <c r="Y3993" s="7"/>
    </row>
    <row r="3994">
      <c r="A3994" s="14" t="s">
        <v>14136</v>
      </c>
      <c r="B3994" s="17" t="s">
        <v>14132</v>
      </c>
      <c r="C3994" s="17" t="s">
        <v>14137</v>
      </c>
      <c r="D3994" s="19" t="s">
        <v>2644</v>
      </c>
      <c r="E3994" s="20" t="s">
        <v>104</v>
      </c>
      <c r="F3994" s="21">
        <v>34953.0</v>
      </c>
      <c r="G3994" s="14">
        <v>30.0</v>
      </c>
      <c r="H3994" s="23" t="s">
        <v>26</v>
      </c>
      <c r="I3994" s="24" t="s">
        <v>27</v>
      </c>
      <c r="J3994" s="19" t="s">
        <v>14135</v>
      </c>
      <c r="K3994" s="14">
        <v>33.0</v>
      </c>
      <c r="L3994" s="7"/>
      <c r="M3994" s="7"/>
      <c r="N3994" s="7"/>
      <c r="O3994" s="7"/>
      <c r="P3994" s="7"/>
      <c r="Q3994" s="7"/>
      <c r="R3994" s="7"/>
      <c r="S3994" s="7"/>
      <c r="T3994" s="7"/>
      <c r="U3994" s="7"/>
      <c r="V3994" s="7"/>
      <c r="W3994" s="7"/>
      <c r="X3994" s="7"/>
      <c r="Y3994" s="7"/>
    </row>
    <row r="3995">
      <c r="A3995" s="14" t="s">
        <v>14138</v>
      </c>
      <c r="B3995" s="17" t="s">
        <v>14139</v>
      </c>
      <c r="C3995" s="17" t="s">
        <v>14140</v>
      </c>
      <c r="D3995" s="19" t="s">
        <v>14141</v>
      </c>
      <c r="E3995" s="20" t="s">
        <v>337</v>
      </c>
      <c r="F3995" s="21">
        <v>37337.0</v>
      </c>
      <c r="G3995" s="14">
        <v>24.0</v>
      </c>
      <c r="H3995" s="23" t="s">
        <v>100</v>
      </c>
      <c r="I3995" s="24" t="s">
        <v>33</v>
      </c>
      <c r="J3995" s="19" t="s">
        <v>95</v>
      </c>
      <c r="K3995" s="14">
        <v>15.0</v>
      </c>
      <c r="L3995" s="7"/>
      <c r="M3995" s="7"/>
      <c r="N3995" s="7"/>
      <c r="O3995" s="7"/>
      <c r="P3995" s="7"/>
      <c r="Q3995" s="7"/>
      <c r="R3995" s="7"/>
      <c r="S3995" s="7"/>
      <c r="T3995" s="7"/>
      <c r="U3995" s="7"/>
      <c r="V3995" s="7"/>
      <c r="W3995" s="7"/>
      <c r="X3995" s="7"/>
      <c r="Y3995" s="7"/>
    </row>
    <row r="3996">
      <c r="A3996" s="14" t="s">
        <v>14142</v>
      </c>
      <c r="B3996" s="17" t="s">
        <v>14139</v>
      </c>
      <c r="C3996" s="17" t="s">
        <v>14143</v>
      </c>
      <c r="D3996" s="19" t="s">
        <v>14144</v>
      </c>
      <c r="E3996" s="20" t="s">
        <v>654</v>
      </c>
      <c r="F3996" s="21">
        <v>28877.0</v>
      </c>
      <c r="G3996" s="14">
        <v>47.0</v>
      </c>
      <c r="H3996" s="23" t="s">
        <v>26</v>
      </c>
      <c r="I3996" s="24" t="s">
        <v>27</v>
      </c>
      <c r="J3996" s="19" t="s">
        <v>95</v>
      </c>
      <c r="K3996" s="14">
        <v>15.0</v>
      </c>
      <c r="L3996" s="7"/>
      <c r="M3996" s="7"/>
      <c r="N3996" s="7"/>
      <c r="O3996" s="7"/>
      <c r="P3996" s="7"/>
      <c r="Q3996" s="7"/>
      <c r="R3996" s="7"/>
      <c r="S3996" s="7"/>
      <c r="T3996" s="7"/>
      <c r="U3996" s="7"/>
      <c r="V3996" s="7"/>
      <c r="W3996" s="7"/>
      <c r="X3996" s="7"/>
      <c r="Y3996" s="7"/>
    </row>
    <row r="3997">
      <c r="A3997" s="14" t="s">
        <v>14145</v>
      </c>
      <c r="B3997" s="17" t="s">
        <v>14139</v>
      </c>
      <c r="C3997" s="17" t="s">
        <v>14146</v>
      </c>
      <c r="D3997" s="19" t="s">
        <v>14147</v>
      </c>
      <c r="E3997" s="20" t="s">
        <v>654</v>
      </c>
      <c r="F3997" s="21">
        <v>27561.0</v>
      </c>
      <c r="G3997" s="14">
        <v>51.0</v>
      </c>
      <c r="H3997" s="23" t="s">
        <v>26</v>
      </c>
      <c r="I3997" s="24" t="s">
        <v>33</v>
      </c>
      <c r="J3997" s="19" t="s">
        <v>95</v>
      </c>
      <c r="K3997" s="14">
        <v>15.0</v>
      </c>
      <c r="L3997" s="7"/>
      <c r="M3997" s="7"/>
      <c r="N3997" s="7"/>
      <c r="O3997" s="7"/>
      <c r="P3997" s="7"/>
      <c r="Q3997" s="7"/>
      <c r="R3997" s="7"/>
      <c r="S3997" s="7"/>
      <c r="T3997" s="7"/>
      <c r="U3997" s="7"/>
      <c r="V3997" s="7"/>
      <c r="W3997" s="7"/>
      <c r="X3997" s="7"/>
      <c r="Y3997" s="7"/>
    </row>
    <row r="3998">
      <c r="A3998" s="14" t="s">
        <v>14148</v>
      </c>
      <c r="B3998" s="17" t="s">
        <v>14139</v>
      </c>
      <c r="C3998" s="17" t="s">
        <v>14149</v>
      </c>
      <c r="D3998" s="19" t="s">
        <v>14150</v>
      </c>
      <c r="E3998" s="20" t="s">
        <v>104</v>
      </c>
      <c r="F3998" s="21">
        <v>37689.0</v>
      </c>
      <c r="G3998" s="14">
        <v>23.0</v>
      </c>
      <c r="H3998" s="23" t="s">
        <v>100</v>
      </c>
      <c r="I3998" s="24" t="s">
        <v>33</v>
      </c>
      <c r="J3998" s="19" t="s">
        <v>95</v>
      </c>
      <c r="K3998" s="14">
        <v>15.0</v>
      </c>
      <c r="L3998" s="7"/>
      <c r="M3998" s="7"/>
      <c r="N3998" s="7"/>
      <c r="O3998" s="7"/>
      <c r="P3998" s="7"/>
      <c r="Q3998" s="7"/>
      <c r="R3998" s="7"/>
      <c r="S3998" s="7"/>
      <c r="T3998" s="7"/>
      <c r="U3998" s="7"/>
      <c r="V3998" s="7"/>
      <c r="W3998" s="7"/>
      <c r="X3998" s="7"/>
      <c r="Y3998" s="7"/>
    </row>
    <row r="3999">
      <c r="A3999" s="14" t="s">
        <v>14152</v>
      </c>
      <c r="B3999" s="17" t="s">
        <v>14153</v>
      </c>
      <c r="C3999" s="17" t="s">
        <v>14154</v>
      </c>
      <c r="D3999" s="19" t="s">
        <v>14155</v>
      </c>
      <c r="E3999" s="20" t="s">
        <v>274</v>
      </c>
      <c r="F3999" s="21">
        <v>34081.0</v>
      </c>
      <c r="G3999" s="14">
        <v>33.0</v>
      </c>
      <c r="H3999" s="23" t="s">
        <v>26</v>
      </c>
      <c r="I3999" s="24" t="s">
        <v>27</v>
      </c>
      <c r="J3999" s="19" t="s">
        <v>58</v>
      </c>
      <c r="K3999" s="14">
        <v>5.0</v>
      </c>
      <c r="L3999" s="7"/>
      <c r="M3999" s="7"/>
      <c r="N3999" s="7"/>
      <c r="O3999" s="7"/>
      <c r="P3999" s="7"/>
      <c r="Q3999" s="7"/>
      <c r="R3999" s="7"/>
      <c r="S3999" s="7"/>
      <c r="T3999" s="7"/>
      <c r="U3999" s="7"/>
      <c r="V3999" s="7"/>
      <c r="W3999" s="7"/>
      <c r="X3999" s="7"/>
      <c r="Y3999" s="7"/>
    </row>
    <row r="4000">
      <c r="A4000" s="14" t="s">
        <v>14156</v>
      </c>
      <c r="B4000" s="17" t="s">
        <v>14157</v>
      </c>
      <c r="C4000" s="17" t="s">
        <v>14158</v>
      </c>
      <c r="D4000" s="19" t="s">
        <v>14159</v>
      </c>
      <c r="E4000" s="20" t="s">
        <v>104</v>
      </c>
      <c r="F4000" s="21">
        <v>36836.0</v>
      </c>
      <c r="G4000" s="14">
        <v>25.0</v>
      </c>
      <c r="H4000" s="23" t="s">
        <v>26</v>
      </c>
      <c r="I4000" s="24" t="s">
        <v>27</v>
      </c>
      <c r="J4000" s="19" t="s">
        <v>282</v>
      </c>
      <c r="K4000" s="14">
        <v>16.0</v>
      </c>
      <c r="L4000" s="7"/>
      <c r="M4000" s="7"/>
      <c r="N4000" s="7"/>
      <c r="O4000" s="7"/>
      <c r="P4000" s="7"/>
      <c r="Q4000" s="7"/>
      <c r="R4000" s="7"/>
      <c r="S4000" s="7"/>
      <c r="T4000" s="7"/>
      <c r="U4000" s="7"/>
      <c r="V4000" s="7"/>
      <c r="W4000" s="7"/>
      <c r="X4000" s="7"/>
      <c r="Y4000" s="7"/>
    </row>
    <row r="4001">
      <c r="A4001" s="14" t="s">
        <v>14160</v>
      </c>
      <c r="B4001" s="17" t="s">
        <v>14161</v>
      </c>
      <c r="C4001" s="17" t="s">
        <v>14162</v>
      </c>
      <c r="D4001" s="19" t="s">
        <v>14163</v>
      </c>
      <c r="E4001" s="20" t="s">
        <v>429</v>
      </c>
      <c r="F4001" s="27">
        <v>27319.0</v>
      </c>
      <c r="G4001" s="14">
        <v>51.0</v>
      </c>
      <c r="H4001" s="23" t="s">
        <v>27</v>
      </c>
      <c r="I4001" s="24" t="s">
        <v>27</v>
      </c>
      <c r="J4001" s="19" t="s">
        <v>282</v>
      </c>
      <c r="K4001" s="14">
        <v>11.0</v>
      </c>
      <c r="L4001" s="7"/>
      <c r="M4001" s="7"/>
      <c r="N4001" s="7"/>
      <c r="O4001" s="7"/>
      <c r="P4001" s="7"/>
      <c r="Q4001" s="7"/>
      <c r="R4001" s="7"/>
      <c r="S4001" s="7"/>
      <c r="T4001" s="7"/>
      <c r="U4001" s="7"/>
      <c r="V4001" s="7"/>
      <c r="W4001" s="7"/>
      <c r="X4001" s="7"/>
      <c r="Y4001" s="7"/>
    </row>
    <row r="4002">
      <c r="A4002" s="14" t="s">
        <v>14164</v>
      </c>
      <c r="B4002" s="17" t="s">
        <v>14165</v>
      </c>
      <c r="C4002" s="17" t="s">
        <v>14166</v>
      </c>
      <c r="D4002" s="19" t="s">
        <v>14167</v>
      </c>
      <c r="E4002" s="20" t="s">
        <v>274</v>
      </c>
      <c r="F4002" s="27">
        <v>38276.0</v>
      </c>
      <c r="G4002" s="14">
        <v>21.0</v>
      </c>
      <c r="H4002" s="23" t="s">
        <v>100</v>
      </c>
      <c r="I4002" s="24" t="s">
        <v>27</v>
      </c>
      <c r="J4002" s="19" t="s">
        <v>53</v>
      </c>
      <c r="K4002" s="14">
        <v>3.0</v>
      </c>
      <c r="L4002" s="7"/>
      <c r="M4002" s="7"/>
      <c r="N4002" s="7"/>
      <c r="O4002" s="7"/>
      <c r="P4002" s="7"/>
      <c r="Q4002" s="7"/>
      <c r="R4002" s="7"/>
      <c r="S4002" s="7"/>
      <c r="T4002" s="7"/>
      <c r="U4002" s="7"/>
      <c r="V4002" s="7"/>
      <c r="W4002" s="7"/>
      <c r="X4002" s="7"/>
      <c r="Y4002" s="7"/>
    </row>
    <row r="4003">
      <c r="A4003" s="14" t="s">
        <v>14168</v>
      </c>
      <c r="B4003" s="17" t="s">
        <v>14165</v>
      </c>
      <c r="C4003" s="17" t="s">
        <v>14169</v>
      </c>
      <c r="D4003" s="19" t="s">
        <v>14170</v>
      </c>
      <c r="E4003" s="20" t="s">
        <v>1038</v>
      </c>
      <c r="F4003" s="21">
        <v>33355.0</v>
      </c>
      <c r="G4003" s="14">
        <v>35.0</v>
      </c>
      <c r="H4003" s="23" t="s">
        <v>100</v>
      </c>
      <c r="I4003" s="24" t="s">
        <v>33</v>
      </c>
      <c r="J4003" s="19" t="s">
        <v>53</v>
      </c>
      <c r="K4003" s="14">
        <v>3.0</v>
      </c>
      <c r="L4003" s="7"/>
      <c r="M4003" s="7"/>
      <c r="N4003" s="7"/>
      <c r="O4003" s="7"/>
      <c r="P4003" s="7"/>
      <c r="Q4003" s="7"/>
      <c r="R4003" s="7"/>
      <c r="S4003" s="7"/>
      <c r="T4003" s="7"/>
      <c r="U4003" s="7"/>
      <c r="V4003" s="7"/>
      <c r="W4003" s="7"/>
      <c r="X4003" s="7"/>
      <c r="Y4003" s="7"/>
    </row>
    <row r="4004">
      <c r="A4004" s="14" t="s">
        <v>14171</v>
      </c>
      <c r="B4004" s="17" t="s">
        <v>14172</v>
      </c>
      <c r="C4004" s="17" t="s">
        <v>14173</v>
      </c>
      <c r="D4004" s="19" t="s">
        <v>14174</v>
      </c>
      <c r="E4004" s="20" t="s">
        <v>14175</v>
      </c>
      <c r="F4004" s="27">
        <v>29947.0</v>
      </c>
      <c r="G4004" s="14">
        <v>44.0</v>
      </c>
      <c r="H4004" s="23" t="s">
        <v>26</v>
      </c>
      <c r="I4004" s="24" t="s">
        <v>33</v>
      </c>
      <c r="J4004" s="19" t="s">
        <v>282</v>
      </c>
      <c r="K4004" s="14">
        <v>18.0</v>
      </c>
      <c r="L4004" s="7"/>
      <c r="M4004" s="7"/>
      <c r="N4004" s="7"/>
      <c r="O4004" s="7"/>
      <c r="P4004" s="7"/>
      <c r="Q4004" s="7"/>
      <c r="R4004" s="7"/>
      <c r="S4004" s="7"/>
      <c r="T4004" s="7"/>
      <c r="U4004" s="7"/>
      <c r="V4004" s="7"/>
      <c r="W4004" s="7"/>
      <c r="X4004" s="7"/>
      <c r="Y4004" s="7"/>
    </row>
    <row r="4005">
      <c r="A4005" s="14" t="s">
        <v>14176</v>
      </c>
      <c r="B4005" s="17" t="s">
        <v>14172</v>
      </c>
      <c r="C4005" s="17" t="s">
        <v>14177</v>
      </c>
      <c r="D4005" s="19" t="s">
        <v>14178</v>
      </c>
      <c r="E4005" s="20" t="s">
        <v>274</v>
      </c>
      <c r="F4005" s="21">
        <v>29295.0</v>
      </c>
      <c r="G4005" s="14">
        <v>46.0</v>
      </c>
      <c r="H4005" s="23" t="s">
        <v>26</v>
      </c>
      <c r="I4005" s="24" t="s">
        <v>27</v>
      </c>
      <c r="J4005" s="19" t="s">
        <v>282</v>
      </c>
      <c r="K4005" s="14">
        <v>18.0</v>
      </c>
      <c r="L4005" s="7"/>
      <c r="M4005" s="7"/>
      <c r="N4005" s="7"/>
      <c r="O4005" s="7"/>
      <c r="P4005" s="7"/>
      <c r="Q4005" s="7"/>
      <c r="R4005" s="7"/>
      <c r="S4005" s="7"/>
      <c r="T4005" s="7"/>
      <c r="U4005" s="7"/>
      <c r="V4005" s="7"/>
      <c r="W4005" s="7"/>
      <c r="X4005" s="7"/>
      <c r="Y4005" s="7"/>
    </row>
    <row r="4006">
      <c r="A4006" s="14" t="s">
        <v>14179</v>
      </c>
      <c r="B4006" s="17" t="s">
        <v>14180</v>
      </c>
      <c r="C4006" s="17" t="s">
        <v>14181</v>
      </c>
      <c r="D4006" s="19" t="s">
        <v>14182</v>
      </c>
      <c r="E4006" s="20" t="s">
        <v>544</v>
      </c>
      <c r="F4006" s="27">
        <v>28422.0</v>
      </c>
      <c r="G4006" s="14">
        <v>48.0</v>
      </c>
      <c r="H4006" s="23" t="s">
        <v>26</v>
      </c>
      <c r="I4006" s="24" t="s">
        <v>33</v>
      </c>
      <c r="J4006" s="19" t="s">
        <v>53</v>
      </c>
      <c r="K4006" s="14">
        <v>36.0</v>
      </c>
      <c r="L4006" s="7"/>
      <c r="M4006" s="7"/>
      <c r="N4006" s="7"/>
      <c r="O4006" s="7"/>
      <c r="P4006" s="7"/>
      <c r="Q4006" s="7"/>
      <c r="R4006" s="7"/>
      <c r="S4006" s="7"/>
      <c r="T4006" s="7"/>
      <c r="U4006" s="7"/>
      <c r="V4006" s="7"/>
      <c r="W4006" s="7"/>
      <c r="X4006" s="7"/>
      <c r="Y4006" s="7"/>
    </row>
    <row r="4007">
      <c r="A4007" s="14" t="s">
        <v>14183</v>
      </c>
      <c r="B4007" s="17" t="s">
        <v>14180</v>
      </c>
      <c r="C4007" s="17" t="s">
        <v>14184</v>
      </c>
      <c r="D4007" s="19" t="s">
        <v>14185</v>
      </c>
      <c r="E4007" s="20" t="s">
        <v>544</v>
      </c>
      <c r="F4007" s="27">
        <v>39001.0</v>
      </c>
      <c r="G4007" s="14">
        <v>19.0</v>
      </c>
      <c r="H4007" s="23" t="s">
        <v>100</v>
      </c>
      <c r="I4007" s="24" t="s">
        <v>33</v>
      </c>
      <c r="J4007" s="19" t="s">
        <v>53</v>
      </c>
      <c r="K4007" s="14">
        <v>36.0</v>
      </c>
      <c r="L4007" s="7"/>
      <c r="M4007" s="7"/>
      <c r="N4007" s="7"/>
      <c r="O4007" s="7"/>
      <c r="P4007" s="7"/>
      <c r="Q4007" s="7"/>
      <c r="R4007" s="7"/>
      <c r="S4007" s="7"/>
      <c r="T4007" s="7"/>
      <c r="U4007" s="7"/>
      <c r="V4007" s="7"/>
      <c r="W4007" s="7"/>
      <c r="X4007" s="7"/>
      <c r="Y4007" s="7"/>
    </row>
    <row r="4008">
      <c r="A4008" s="14" t="s">
        <v>14186</v>
      </c>
      <c r="B4008" s="17" t="s">
        <v>14180</v>
      </c>
      <c r="C4008" s="17" t="s">
        <v>14187</v>
      </c>
      <c r="D4008" s="19" t="s">
        <v>14188</v>
      </c>
      <c r="E4008" s="20" t="s">
        <v>138</v>
      </c>
      <c r="F4008" s="27">
        <v>37557.0</v>
      </c>
      <c r="G4008" s="14">
        <v>23.0</v>
      </c>
      <c r="H4008" s="23" t="s">
        <v>100</v>
      </c>
      <c r="I4008" s="24" t="s">
        <v>27</v>
      </c>
      <c r="J4008" s="19" t="s">
        <v>53</v>
      </c>
      <c r="K4008" s="14">
        <v>36.0</v>
      </c>
      <c r="L4008" s="7"/>
      <c r="M4008" s="7"/>
      <c r="N4008" s="7"/>
      <c r="O4008" s="7"/>
      <c r="P4008" s="7"/>
      <c r="Q4008" s="7"/>
      <c r="R4008" s="7"/>
      <c r="S4008" s="7"/>
      <c r="T4008" s="7"/>
      <c r="U4008" s="7"/>
      <c r="V4008" s="7"/>
      <c r="W4008" s="7"/>
      <c r="X4008" s="7"/>
      <c r="Y4008" s="7"/>
    </row>
    <row r="4009">
      <c r="A4009" s="14" t="s">
        <v>14189</v>
      </c>
      <c r="B4009" s="17" t="s">
        <v>14180</v>
      </c>
      <c r="C4009" s="17" t="s">
        <v>14190</v>
      </c>
      <c r="D4009" s="19" t="s">
        <v>14191</v>
      </c>
      <c r="E4009" s="20" t="s">
        <v>544</v>
      </c>
      <c r="F4009" s="21">
        <v>28352.0</v>
      </c>
      <c r="G4009" s="14">
        <v>49.0</v>
      </c>
      <c r="H4009" s="23" t="s">
        <v>26</v>
      </c>
      <c r="I4009" s="24" t="s">
        <v>27</v>
      </c>
      <c r="J4009" s="19" t="s">
        <v>53</v>
      </c>
      <c r="K4009" s="14">
        <v>36.0</v>
      </c>
      <c r="L4009" s="7"/>
      <c r="M4009" s="7"/>
      <c r="N4009" s="7"/>
      <c r="O4009" s="7"/>
      <c r="P4009" s="7"/>
      <c r="Q4009" s="7"/>
      <c r="R4009" s="7"/>
      <c r="S4009" s="7"/>
      <c r="T4009" s="7"/>
      <c r="U4009" s="7"/>
      <c r="V4009" s="7"/>
      <c r="W4009" s="7"/>
      <c r="X4009" s="7"/>
      <c r="Y4009" s="7"/>
    </row>
    <row r="4010">
      <c r="A4010" s="14" t="s">
        <v>14192</v>
      </c>
      <c r="B4010" s="17" t="s">
        <v>14193</v>
      </c>
      <c r="C4010" s="17" t="s">
        <v>14194</v>
      </c>
      <c r="D4010" s="19" t="s">
        <v>14195</v>
      </c>
      <c r="E4010" s="20" t="s">
        <v>104</v>
      </c>
      <c r="F4010" s="21">
        <v>33336.0</v>
      </c>
      <c r="G4010" s="14">
        <v>35.0</v>
      </c>
      <c r="H4010" s="23" t="s">
        <v>26</v>
      </c>
      <c r="I4010" s="24" t="s">
        <v>27</v>
      </c>
      <c r="J4010" s="19" t="s">
        <v>7557</v>
      </c>
      <c r="K4010" s="14">
        <v>5.0</v>
      </c>
      <c r="L4010" s="7"/>
      <c r="M4010" s="7"/>
      <c r="N4010" s="7"/>
      <c r="O4010" s="7"/>
      <c r="P4010" s="7"/>
      <c r="Q4010" s="7"/>
      <c r="R4010" s="7"/>
      <c r="S4010" s="7"/>
      <c r="T4010" s="7"/>
      <c r="U4010" s="7"/>
      <c r="V4010" s="7"/>
      <c r="W4010" s="7"/>
      <c r="X4010" s="7"/>
      <c r="Y4010" s="7"/>
    </row>
    <row r="4011">
      <c r="A4011" s="14" t="s">
        <v>14196</v>
      </c>
      <c r="B4011" s="17" t="s">
        <v>14193</v>
      </c>
      <c r="C4011" s="17" t="s">
        <v>14197</v>
      </c>
      <c r="D4011" s="19" t="s">
        <v>14198</v>
      </c>
      <c r="E4011" s="20" t="s">
        <v>104</v>
      </c>
      <c r="F4011" s="21">
        <v>31859.0</v>
      </c>
      <c r="G4011" s="14">
        <v>39.0</v>
      </c>
      <c r="H4011" s="23" t="s">
        <v>26</v>
      </c>
      <c r="I4011" s="24" t="s">
        <v>33</v>
      </c>
      <c r="J4011" s="19" t="s">
        <v>7557</v>
      </c>
      <c r="K4011" s="14">
        <v>5.0</v>
      </c>
      <c r="L4011" s="7"/>
      <c r="M4011" s="7"/>
      <c r="N4011" s="7"/>
      <c r="O4011" s="7"/>
      <c r="P4011" s="7"/>
      <c r="Q4011" s="7"/>
      <c r="R4011" s="7"/>
      <c r="S4011" s="7"/>
      <c r="T4011" s="7"/>
      <c r="U4011" s="7"/>
      <c r="V4011" s="7"/>
      <c r="W4011" s="7"/>
      <c r="X4011" s="7"/>
      <c r="Y4011" s="7"/>
    </row>
    <row r="4012">
      <c r="A4012" s="14" t="s">
        <v>14199</v>
      </c>
      <c r="B4012" s="17" t="s">
        <v>14200</v>
      </c>
      <c r="C4012" s="17" t="s">
        <v>14201</v>
      </c>
      <c r="D4012" s="19" t="s">
        <v>14202</v>
      </c>
      <c r="E4012" s="20" t="s">
        <v>654</v>
      </c>
      <c r="F4012" s="21">
        <v>19484.0</v>
      </c>
      <c r="G4012" s="14">
        <v>73.0</v>
      </c>
      <c r="H4012" s="23" t="s">
        <v>27</v>
      </c>
      <c r="I4012" s="24" t="s">
        <v>27</v>
      </c>
      <c r="J4012" s="19" t="s">
        <v>206</v>
      </c>
      <c r="K4012" s="14">
        <v>3.0</v>
      </c>
      <c r="L4012" s="7"/>
      <c r="M4012" s="7"/>
      <c r="N4012" s="7"/>
      <c r="O4012" s="7"/>
      <c r="P4012" s="7"/>
      <c r="Q4012" s="7"/>
      <c r="R4012" s="7"/>
      <c r="S4012" s="7"/>
      <c r="T4012" s="7"/>
      <c r="U4012" s="7"/>
      <c r="V4012" s="7"/>
      <c r="W4012" s="7"/>
      <c r="X4012" s="7"/>
      <c r="Y4012" s="7"/>
    </row>
    <row r="4013">
      <c r="A4013" s="14" t="s">
        <v>14203</v>
      </c>
      <c r="B4013" s="17" t="s">
        <v>14200</v>
      </c>
      <c r="C4013" s="17" t="s">
        <v>14204</v>
      </c>
      <c r="D4013" s="19" t="s">
        <v>14205</v>
      </c>
      <c r="E4013" s="20" t="s">
        <v>104</v>
      </c>
      <c r="F4013" s="21">
        <v>34703.0</v>
      </c>
      <c r="G4013" s="14">
        <v>31.0</v>
      </c>
      <c r="H4013" s="23" t="s">
        <v>100</v>
      </c>
      <c r="I4013" s="24" t="s">
        <v>33</v>
      </c>
      <c r="J4013" s="19" t="s">
        <v>206</v>
      </c>
      <c r="K4013" s="14">
        <v>3.0</v>
      </c>
      <c r="L4013" s="7"/>
      <c r="M4013" s="7"/>
      <c r="N4013" s="7"/>
      <c r="O4013" s="7"/>
      <c r="P4013" s="7"/>
      <c r="Q4013" s="7"/>
      <c r="R4013" s="7"/>
      <c r="S4013" s="7"/>
      <c r="T4013" s="7"/>
      <c r="U4013" s="7"/>
      <c r="V4013" s="7"/>
      <c r="W4013" s="7"/>
      <c r="X4013" s="7"/>
      <c r="Y4013" s="7"/>
    </row>
    <row r="4014">
      <c r="A4014" s="14" t="s">
        <v>14206</v>
      </c>
      <c r="B4014" s="17" t="s">
        <v>14207</v>
      </c>
      <c r="C4014" s="17" t="s">
        <v>14208</v>
      </c>
      <c r="D4014" s="19" t="s">
        <v>14209</v>
      </c>
      <c r="E4014" s="20" t="s">
        <v>2038</v>
      </c>
      <c r="F4014" s="21">
        <v>33915.0</v>
      </c>
      <c r="G4014" s="14">
        <v>33.0</v>
      </c>
      <c r="H4014" s="23" t="s">
        <v>26</v>
      </c>
      <c r="I4014" s="24" t="s">
        <v>33</v>
      </c>
      <c r="J4014" s="19" t="s">
        <v>517</v>
      </c>
      <c r="K4014" s="14">
        <v>9.0</v>
      </c>
      <c r="L4014" s="7"/>
      <c r="M4014" s="7"/>
      <c r="N4014" s="7"/>
      <c r="O4014" s="7"/>
      <c r="P4014" s="7"/>
      <c r="Q4014" s="7"/>
      <c r="R4014" s="7"/>
      <c r="S4014" s="7"/>
      <c r="T4014" s="7"/>
      <c r="U4014" s="7"/>
      <c r="V4014" s="7"/>
      <c r="W4014" s="7"/>
      <c r="X4014" s="7"/>
      <c r="Y4014" s="7"/>
    </row>
    <row r="4015">
      <c r="A4015" s="14" t="s">
        <v>14210</v>
      </c>
      <c r="B4015" s="17" t="s">
        <v>14207</v>
      </c>
      <c r="C4015" s="17" t="s">
        <v>14211</v>
      </c>
      <c r="D4015" s="19" t="s">
        <v>14212</v>
      </c>
      <c r="E4015" s="20" t="s">
        <v>195</v>
      </c>
      <c r="F4015" s="21">
        <v>34194.0</v>
      </c>
      <c r="G4015" s="14">
        <v>33.0</v>
      </c>
      <c r="H4015" s="23" t="s">
        <v>26</v>
      </c>
      <c r="I4015" s="24" t="s">
        <v>27</v>
      </c>
      <c r="J4015" s="19" t="s">
        <v>517</v>
      </c>
      <c r="K4015" s="14">
        <v>9.0</v>
      </c>
      <c r="L4015" s="7"/>
      <c r="M4015" s="7"/>
      <c r="N4015" s="7"/>
      <c r="O4015" s="7"/>
      <c r="P4015" s="7"/>
      <c r="Q4015" s="7"/>
      <c r="R4015" s="7"/>
      <c r="S4015" s="7"/>
      <c r="T4015" s="7"/>
      <c r="U4015" s="7"/>
      <c r="V4015" s="7"/>
      <c r="W4015" s="7"/>
      <c r="X4015" s="7"/>
      <c r="Y4015" s="7"/>
    </row>
    <row r="4016">
      <c r="A4016" s="14" t="s">
        <v>14213</v>
      </c>
      <c r="B4016" s="17" t="s">
        <v>14214</v>
      </c>
      <c r="C4016" s="17" t="s">
        <v>14215</v>
      </c>
      <c r="D4016" s="19" t="s">
        <v>14216</v>
      </c>
      <c r="E4016" s="20" t="s">
        <v>104</v>
      </c>
      <c r="F4016" s="21">
        <v>34023.0</v>
      </c>
      <c r="G4016" s="14">
        <v>33.0</v>
      </c>
      <c r="H4016" s="23" t="s">
        <v>26</v>
      </c>
      <c r="I4016" s="24" t="s">
        <v>27</v>
      </c>
      <c r="J4016" s="19" t="s">
        <v>282</v>
      </c>
      <c r="K4016" s="14">
        <v>16.0</v>
      </c>
      <c r="L4016" s="7"/>
      <c r="M4016" s="7"/>
      <c r="N4016" s="7"/>
      <c r="O4016" s="7"/>
      <c r="P4016" s="7"/>
      <c r="Q4016" s="7"/>
      <c r="R4016" s="7"/>
      <c r="S4016" s="7"/>
      <c r="T4016" s="7"/>
      <c r="U4016" s="7"/>
      <c r="V4016" s="7"/>
      <c r="W4016" s="7"/>
      <c r="X4016" s="7"/>
      <c r="Y4016" s="7"/>
    </row>
    <row r="4017">
      <c r="A4017" s="14" t="s">
        <v>14217</v>
      </c>
      <c r="B4017" s="17" t="s">
        <v>14214</v>
      </c>
      <c r="C4017" s="17" t="s">
        <v>14218</v>
      </c>
      <c r="D4017" s="19" t="s">
        <v>14219</v>
      </c>
      <c r="E4017" s="20" t="s">
        <v>104</v>
      </c>
      <c r="F4017" s="21">
        <v>33640.0</v>
      </c>
      <c r="G4017" s="14">
        <v>34.0</v>
      </c>
      <c r="H4017" s="23" t="s">
        <v>26</v>
      </c>
      <c r="I4017" s="24" t="s">
        <v>33</v>
      </c>
      <c r="J4017" s="19" t="s">
        <v>282</v>
      </c>
      <c r="K4017" s="14">
        <v>16.0</v>
      </c>
      <c r="L4017" s="7"/>
      <c r="M4017" s="7"/>
      <c r="N4017" s="7"/>
      <c r="O4017" s="7"/>
      <c r="P4017" s="7"/>
      <c r="Q4017" s="7"/>
      <c r="R4017" s="7"/>
      <c r="S4017" s="7"/>
      <c r="T4017" s="7"/>
      <c r="U4017" s="7"/>
      <c r="V4017" s="7"/>
      <c r="W4017" s="7"/>
      <c r="X4017" s="7"/>
      <c r="Y4017" s="7"/>
    </row>
    <row r="4018">
      <c r="A4018" s="14" t="s">
        <v>14220</v>
      </c>
      <c r="B4018" s="17" t="s">
        <v>14221</v>
      </c>
      <c r="C4018" s="17" t="s">
        <v>14222</v>
      </c>
      <c r="D4018" s="19" t="s">
        <v>14223</v>
      </c>
      <c r="E4018" s="20" t="s">
        <v>195</v>
      </c>
      <c r="F4018" s="21">
        <v>21228.0</v>
      </c>
      <c r="G4018" s="14">
        <v>68.0</v>
      </c>
      <c r="H4018" s="23" t="s">
        <v>26</v>
      </c>
      <c r="I4018" s="24" t="s">
        <v>33</v>
      </c>
      <c r="J4018" s="19" t="s">
        <v>146</v>
      </c>
      <c r="K4018" s="14">
        <v>10.0</v>
      </c>
      <c r="L4018" s="7"/>
      <c r="M4018" s="7"/>
      <c r="N4018" s="7"/>
      <c r="O4018" s="7"/>
      <c r="P4018" s="7"/>
      <c r="Q4018" s="7"/>
      <c r="R4018" s="7"/>
      <c r="S4018" s="7"/>
      <c r="T4018" s="7"/>
      <c r="U4018" s="7"/>
      <c r="V4018" s="7"/>
      <c r="W4018" s="7"/>
      <c r="X4018" s="7"/>
      <c r="Y4018" s="7"/>
    </row>
    <row r="4019">
      <c r="A4019" s="14" t="s">
        <v>14224</v>
      </c>
      <c r="B4019" s="17" t="s">
        <v>14221</v>
      </c>
      <c r="C4019" s="17" t="s">
        <v>14225</v>
      </c>
      <c r="D4019" s="19" t="s">
        <v>14226</v>
      </c>
      <c r="E4019" s="20" t="s">
        <v>650</v>
      </c>
      <c r="F4019" s="21">
        <v>22479.0</v>
      </c>
      <c r="G4019" s="14">
        <v>65.0</v>
      </c>
      <c r="H4019" s="23" t="s">
        <v>26</v>
      </c>
      <c r="I4019" s="24" t="s">
        <v>27</v>
      </c>
      <c r="J4019" s="19" t="s">
        <v>146</v>
      </c>
      <c r="K4019" s="14">
        <v>10.0</v>
      </c>
      <c r="L4019" s="7"/>
      <c r="M4019" s="7"/>
      <c r="N4019" s="7"/>
      <c r="O4019" s="7"/>
      <c r="P4019" s="7"/>
      <c r="Q4019" s="7"/>
      <c r="R4019" s="7"/>
      <c r="S4019" s="7"/>
      <c r="T4019" s="7"/>
      <c r="U4019" s="7"/>
      <c r="V4019" s="7"/>
      <c r="W4019" s="7"/>
      <c r="X4019" s="7"/>
      <c r="Y4019" s="7"/>
    </row>
    <row r="4020">
      <c r="A4020" s="14" t="s">
        <v>14227</v>
      </c>
      <c r="B4020" s="17" t="s">
        <v>14228</v>
      </c>
      <c r="C4020" s="17" t="s">
        <v>14229</v>
      </c>
      <c r="D4020" s="19" t="s">
        <v>14230</v>
      </c>
      <c r="E4020" s="20" t="s">
        <v>104</v>
      </c>
      <c r="F4020" s="21">
        <v>38383.0</v>
      </c>
      <c r="G4020" s="14">
        <v>21.0</v>
      </c>
      <c r="H4020" s="23" t="s">
        <v>26</v>
      </c>
      <c r="I4020" s="24" t="s">
        <v>27</v>
      </c>
      <c r="J4020" s="19" t="s">
        <v>53</v>
      </c>
      <c r="K4020" s="14">
        <v>1.0</v>
      </c>
      <c r="L4020" s="7"/>
      <c r="M4020" s="7"/>
      <c r="N4020" s="7"/>
      <c r="O4020" s="7"/>
      <c r="P4020" s="7"/>
      <c r="Q4020" s="7"/>
      <c r="R4020" s="7"/>
      <c r="S4020" s="7"/>
      <c r="T4020" s="7"/>
      <c r="U4020" s="7"/>
      <c r="V4020" s="7"/>
      <c r="W4020" s="7"/>
      <c r="X4020" s="7"/>
      <c r="Y4020" s="7"/>
    </row>
    <row r="4021">
      <c r="A4021" s="14" t="s">
        <v>14231</v>
      </c>
      <c r="B4021" s="17" t="s">
        <v>14228</v>
      </c>
      <c r="C4021" s="17" t="s">
        <v>14232</v>
      </c>
      <c r="D4021" s="19" t="s">
        <v>14233</v>
      </c>
      <c r="E4021" s="20" t="s">
        <v>2680</v>
      </c>
      <c r="F4021" s="27">
        <v>37207.0</v>
      </c>
      <c r="G4021" s="14">
        <v>24.0</v>
      </c>
      <c r="H4021" s="23" t="s">
        <v>26</v>
      </c>
      <c r="I4021" s="24" t="s">
        <v>33</v>
      </c>
      <c r="J4021" s="19" t="s">
        <v>53</v>
      </c>
      <c r="K4021" s="14">
        <v>1.0</v>
      </c>
      <c r="L4021" s="7"/>
      <c r="M4021" s="7"/>
      <c r="N4021" s="7"/>
      <c r="O4021" s="7"/>
      <c r="P4021" s="7"/>
      <c r="Q4021" s="7"/>
      <c r="R4021" s="7"/>
      <c r="S4021" s="7"/>
      <c r="T4021" s="7"/>
      <c r="U4021" s="7"/>
      <c r="V4021" s="7"/>
      <c r="W4021" s="7"/>
      <c r="X4021" s="7"/>
      <c r="Y4021" s="7"/>
    </row>
    <row r="4022">
      <c r="A4022" s="14" t="s">
        <v>14234</v>
      </c>
      <c r="B4022" s="17" t="s">
        <v>14235</v>
      </c>
      <c r="C4022" s="17" t="s">
        <v>14236</v>
      </c>
      <c r="D4022" s="19" t="s">
        <v>14237</v>
      </c>
      <c r="E4022" s="20" t="s">
        <v>85</v>
      </c>
      <c r="F4022" s="21">
        <v>29925.0</v>
      </c>
      <c r="G4022" s="14">
        <v>44.0</v>
      </c>
      <c r="H4022" s="23" t="s">
        <v>26</v>
      </c>
      <c r="I4022" s="24" t="s">
        <v>27</v>
      </c>
      <c r="J4022" s="19" t="s">
        <v>58</v>
      </c>
      <c r="K4022" s="14">
        <v>9.0</v>
      </c>
      <c r="L4022" s="7"/>
      <c r="M4022" s="7"/>
      <c r="N4022" s="7"/>
      <c r="O4022" s="7"/>
      <c r="P4022" s="7"/>
      <c r="Q4022" s="7"/>
      <c r="R4022" s="7"/>
      <c r="S4022" s="7"/>
      <c r="T4022" s="7"/>
      <c r="U4022" s="7"/>
      <c r="V4022" s="7"/>
      <c r="W4022" s="7"/>
      <c r="X4022" s="7"/>
      <c r="Y4022" s="7"/>
    </row>
    <row r="4023">
      <c r="A4023" s="14" t="s">
        <v>14238</v>
      </c>
      <c r="B4023" s="17" t="s">
        <v>14235</v>
      </c>
      <c r="C4023" s="17" t="s">
        <v>14239</v>
      </c>
      <c r="D4023" s="19" t="s">
        <v>14240</v>
      </c>
      <c r="E4023" s="20" t="s">
        <v>187</v>
      </c>
      <c r="F4023" s="27">
        <v>38678.0</v>
      </c>
      <c r="G4023" s="14">
        <v>20.0</v>
      </c>
      <c r="H4023" s="23" t="s">
        <v>100</v>
      </c>
      <c r="I4023" s="24" t="s">
        <v>27</v>
      </c>
      <c r="J4023" s="19" t="s">
        <v>58</v>
      </c>
      <c r="K4023" s="14">
        <v>9.0</v>
      </c>
      <c r="L4023" s="7"/>
      <c r="M4023" s="7"/>
      <c r="N4023" s="7"/>
      <c r="O4023" s="7"/>
      <c r="P4023" s="7"/>
      <c r="Q4023" s="7"/>
      <c r="R4023" s="7"/>
      <c r="S4023" s="7"/>
      <c r="T4023" s="7"/>
      <c r="U4023" s="7"/>
      <c r="V4023" s="7"/>
      <c r="W4023" s="7"/>
      <c r="X4023" s="7"/>
      <c r="Y4023" s="7"/>
    </row>
    <row r="4024">
      <c r="A4024" s="14" t="s">
        <v>14241</v>
      </c>
      <c r="B4024" s="17" t="s">
        <v>14235</v>
      </c>
      <c r="C4024" s="17" t="s">
        <v>14242</v>
      </c>
      <c r="D4024" s="19" t="s">
        <v>14243</v>
      </c>
      <c r="E4024" s="20" t="s">
        <v>14244</v>
      </c>
      <c r="F4024" s="21">
        <v>29281.0</v>
      </c>
      <c r="G4024" s="14">
        <v>46.0</v>
      </c>
      <c r="H4024" s="23" t="s">
        <v>26</v>
      </c>
      <c r="I4024" s="24" t="s">
        <v>33</v>
      </c>
      <c r="J4024" s="19" t="s">
        <v>58</v>
      </c>
      <c r="K4024" s="14">
        <v>9.0</v>
      </c>
      <c r="L4024" s="7"/>
      <c r="M4024" s="7"/>
      <c r="N4024" s="7"/>
      <c r="O4024" s="7"/>
      <c r="P4024" s="7"/>
      <c r="Q4024" s="7"/>
      <c r="R4024" s="7"/>
      <c r="S4024" s="7"/>
      <c r="T4024" s="7"/>
      <c r="U4024" s="7"/>
      <c r="V4024" s="7"/>
      <c r="W4024" s="7"/>
      <c r="X4024" s="7"/>
      <c r="Y4024" s="7"/>
    </row>
    <row r="4025">
      <c r="A4025" s="14" t="s">
        <v>14245</v>
      </c>
      <c r="B4025" s="17" t="s">
        <v>14246</v>
      </c>
      <c r="C4025" s="17" t="s">
        <v>14247</v>
      </c>
      <c r="D4025" s="19" t="s">
        <v>14248</v>
      </c>
      <c r="E4025" s="20" t="s">
        <v>104</v>
      </c>
      <c r="F4025" s="21">
        <v>33828.0</v>
      </c>
      <c r="G4025" s="14">
        <v>34.0</v>
      </c>
      <c r="H4025" s="23" t="s">
        <v>26</v>
      </c>
      <c r="I4025" s="24" t="s">
        <v>27</v>
      </c>
      <c r="J4025" s="19" t="s">
        <v>362</v>
      </c>
      <c r="K4025" s="14">
        <v>27.0</v>
      </c>
      <c r="L4025" s="7"/>
      <c r="M4025" s="7"/>
      <c r="N4025" s="7"/>
      <c r="O4025" s="7"/>
      <c r="P4025" s="7"/>
      <c r="Q4025" s="7"/>
      <c r="R4025" s="7"/>
      <c r="S4025" s="7"/>
      <c r="T4025" s="7"/>
      <c r="U4025" s="7"/>
      <c r="V4025" s="7"/>
      <c r="W4025" s="7"/>
      <c r="X4025" s="7"/>
      <c r="Y4025" s="7"/>
    </row>
    <row r="4026">
      <c r="A4026" s="14" t="s">
        <v>14249</v>
      </c>
      <c r="B4026" s="17" t="s">
        <v>14246</v>
      </c>
      <c r="C4026" s="17" t="s">
        <v>14250</v>
      </c>
      <c r="D4026" s="19" t="s">
        <v>14251</v>
      </c>
      <c r="E4026" s="20" t="s">
        <v>104</v>
      </c>
      <c r="F4026" s="21">
        <v>33320.0</v>
      </c>
      <c r="G4026" s="14">
        <v>35.0</v>
      </c>
      <c r="H4026" s="23" t="s">
        <v>26</v>
      </c>
      <c r="I4026" s="24" t="s">
        <v>33</v>
      </c>
      <c r="J4026" s="19" t="s">
        <v>362</v>
      </c>
      <c r="K4026" s="14">
        <v>27.0</v>
      </c>
      <c r="L4026" s="7"/>
      <c r="M4026" s="7"/>
      <c r="N4026" s="7"/>
      <c r="O4026" s="7"/>
      <c r="P4026" s="7"/>
      <c r="Q4026" s="7"/>
      <c r="R4026" s="7"/>
      <c r="S4026" s="7"/>
      <c r="T4026" s="7"/>
      <c r="U4026" s="7"/>
      <c r="V4026" s="7"/>
      <c r="W4026" s="7"/>
      <c r="X4026" s="7"/>
      <c r="Y4026" s="7"/>
    </row>
    <row r="4027">
      <c r="A4027" s="14" t="s">
        <v>14252</v>
      </c>
      <c r="B4027" s="17" t="s">
        <v>14253</v>
      </c>
      <c r="C4027" s="17" t="s">
        <v>14254</v>
      </c>
      <c r="D4027" s="19" t="s">
        <v>14255</v>
      </c>
      <c r="E4027" s="20" t="s">
        <v>104</v>
      </c>
      <c r="F4027" s="27">
        <v>37615.0</v>
      </c>
      <c r="G4027" s="14">
        <v>23.0</v>
      </c>
      <c r="H4027" s="23" t="s">
        <v>100</v>
      </c>
      <c r="I4027" s="24" t="s">
        <v>27</v>
      </c>
      <c r="J4027" s="19" t="s">
        <v>68</v>
      </c>
      <c r="K4027" s="14">
        <v>28.0</v>
      </c>
      <c r="L4027" s="7"/>
      <c r="M4027" s="7"/>
      <c r="N4027" s="7"/>
      <c r="O4027" s="7"/>
      <c r="P4027" s="7"/>
      <c r="Q4027" s="7"/>
      <c r="R4027" s="7"/>
      <c r="S4027" s="7"/>
      <c r="T4027" s="7"/>
      <c r="U4027" s="7"/>
      <c r="V4027" s="7"/>
      <c r="W4027" s="7"/>
      <c r="X4027" s="7"/>
      <c r="Y4027" s="7"/>
    </row>
    <row r="4028">
      <c r="A4028" s="14" t="s">
        <v>14256</v>
      </c>
      <c r="B4028" s="17" t="s">
        <v>14253</v>
      </c>
      <c r="C4028" s="17" t="s">
        <v>14257</v>
      </c>
      <c r="D4028" s="19" t="s">
        <v>5454</v>
      </c>
      <c r="E4028" s="20" t="s">
        <v>654</v>
      </c>
      <c r="F4028" s="21">
        <v>28691.0</v>
      </c>
      <c r="G4028" s="14">
        <v>48.0</v>
      </c>
      <c r="H4028" s="23" t="s">
        <v>26</v>
      </c>
      <c r="I4028" s="24" t="s">
        <v>33</v>
      </c>
      <c r="J4028" s="19" t="s">
        <v>68</v>
      </c>
      <c r="K4028" s="14">
        <v>28.0</v>
      </c>
      <c r="L4028" s="7"/>
      <c r="M4028" s="7"/>
      <c r="N4028" s="7"/>
      <c r="O4028" s="7"/>
      <c r="P4028" s="7"/>
      <c r="Q4028" s="7"/>
      <c r="R4028" s="7"/>
      <c r="S4028" s="7"/>
      <c r="T4028" s="7"/>
      <c r="U4028" s="7"/>
      <c r="V4028" s="7"/>
      <c r="W4028" s="7"/>
      <c r="X4028" s="7"/>
      <c r="Y4028" s="7"/>
    </row>
    <row r="4029">
      <c r="A4029" s="14" t="s">
        <v>14258</v>
      </c>
      <c r="B4029" s="17" t="s">
        <v>14253</v>
      </c>
      <c r="C4029" s="17" t="s">
        <v>14259</v>
      </c>
      <c r="D4029" s="19" t="s">
        <v>14260</v>
      </c>
      <c r="E4029" s="20" t="s">
        <v>210</v>
      </c>
      <c r="F4029" s="21">
        <v>28856.0</v>
      </c>
      <c r="G4029" s="14">
        <v>47.0</v>
      </c>
      <c r="H4029" s="23" t="s">
        <v>26</v>
      </c>
      <c r="I4029" s="24" t="s">
        <v>27</v>
      </c>
      <c r="J4029" s="19" t="s">
        <v>68</v>
      </c>
      <c r="K4029" s="14">
        <v>28.0</v>
      </c>
      <c r="L4029" s="7"/>
      <c r="M4029" s="7"/>
      <c r="N4029" s="7"/>
      <c r="O4029" s="7"/>
      <c r="P4029" s="7"/>
      <c r="Q4029" s="7"/>
      <c r="R4029" s="7"/>
      <c r="S4029" s="7"/>
      <c r="T4029" s="7"/>
      <c r="U4029" s="7"/>
      <c r="V4029" s="7"/>
      <c r="W4029" s="7"/>
      <c r="X4029" s="7"/>
      <c r="Y4029" s="7"/>
    </row>
    <row r="4030">
      <c r="A4030" s="14" t="s">
        <v>14261</v>
      </c>
      <c r="B4030" s="17" t="s">
        <v>14262</v>
      </c>
      <c r="C4030" s="17" t="s">
        <v>14263</v>
      </c>
      <c r="D4030" s="19" t="s">
        <v>14264</v>
      </c>
      <c r="E4030" s="20" t="s">
        <v>67</v>
      </c>
      <c r="F4030" s="21">
        <v>31083.0</v>
      </c>
      <c r="G4030" s="14">
        <v>41.0</v>
      </c>
      <c r="H4030" s="23" t="s">
        <v>26</v>
      </c>
      <c r="I4030" s="24" t="s">
        <v>33</v>
      </c>
      <c r="J4030" s="19" t="s">
        <v>68</v>
      </c>
      <c r="K4030" s="14">
        <v>32.0</v>
      </c>
      <c r="L4030" s="7"/>
      <c r="M4030" s="7"/>
      <c r="N4030" s="7"/>
      <c r="O4030" s="7"/>
      <c r="P4030" s="7"/>
      <c r="Q4030" s="7"/>
      <c r="R4030" s="7"/>
      <c r="S4030" s="7"/>
      <c r="T4030" s="7"/>
      <c r="U4030" s="7"/>
      <c r="V4030" s="7"/>
      <c r="W4030" s="7"/>
      <c r="X4030" s="7"/>
      <c r="Y4030" s="7"/>
    </row>
    <row r="4031">
      <c r="A4031" s="14" t="s">
        <v>14265</v>
      </c>
      <c r="B4031" s="17" t="s">
        <v>14266</v>
      </c>
      <c r="C4031" s="17" t="s">
        <v>14267</v>
      </c>
      <c r="D4031" s="19" t="s">
        <v>14268</v>
      </c>
      <c r="E4031" s="20" t="s">
        <v>14269</v>
      </c>
      <c r="F4031" s="21">
        <v>32152.0</v>
      </c>
      <c r="G4031" s="14">
        <v>38.0</v>
      </c>
      <c r="H4031" s="23" t="s">
        <v>26</v>
      </c>
      <c r="I4031" s="24" t="s">
        <v>33</v>
      </c>
      <c r="J4031" s="19" t="s">
        <v>53</v>
      </c>
      <c r="K4031" s="14">
        <v>25.0</v>
      </c>
      <c r="L4031" s="7"/>
      <c r="M4031" s="7"/>
      <c r="N4031" s="7"/>
      <c r="O4031" s="7"/>
      <c r="P4031" s="7"/>
      <c r="Q4031" s="7"/>
      <c r="R4031" s="7"/>
      <c r="S4031" s="7"/>
      <c r="T4031" s="7"/>
      <c r="U4031" s="7"/>
      <c r="V4031" s="7"/>
      <c r="W4031" s="7"/>
      <c r="X4031" s="7"/>
      <c r="Y4031" s="7"/>
    </row>
    <row r="4032">
      <c r="A4032" s="14" t="s">
        <v>14270</v>
      </c>
      <c r="B4032" s="17" t="s">
        <v>14266</v>
      </c>
      <c r="C4032" s="17" t="s">
        <v>14271</v>
      </c>
      <c r="D4032" s="19" t="s">
        <v>14272</v>
      </c>
      <c r="E4032" s="20" t="s">
        <v>14273</v>
      </c>
      <c r="F4032" s="21">
        <v>34250.0</v>
      </c>
      <c r="G4032" s="14">
        <v>32.0</v>
      </c>
      <c r="H4032" s="23" t="s">
        <v>26</v>
      </c>
      <c r="I4032" s="24" t="s">
        <v>27</v>
      </c>
      <c r="J4032" s="19" t="s">
        <v>53</v>
      </c>
      <c r="K4032" s="14">
        <v>25.0</v>
      </c>
      <c r="L4032" s="7"/>
      <c r="M4032" s="7"/>
      <c r="N4032" s="7"/>
      <c r="O4032" s="7"/>
      <c r="P4032" s="7"/>
      <c r="Q4032" s="7"/>
      <c r="R4032" s="7"/>
      <c r="S4032" s="7"/>
      <c r="T4032" s="7"/>
      <c r="U4032" s="7"/>
      <c r="V4032" s="7"/>
      <c r="W4032" s="7"/>
      <c r="X4032" s="7"/>
      <c r="Y4032" s="7"/>
    </row>
    <row r="4033">
      <c r="A4033" s="14" t="s">
        <v>14274</v>
      </c>
      <c r="B4033" s="17" t="s">
        <v>14275</v>
      </c>
      <c r="C4033" s="17" t="s">
        <v>14276</v>
      </c>
      <c r="D4033" s="19" t="s">
        <v>14277</v>
      </c>
      <c r="E4033" s="20" t="s">
        <v>624</v>
      </c>
      <c r="F4033" s="21">
        <v>28260.0</v>
      </c>
      <c r="G4033" s="14">
        <v>49.0</v>
      </c>
      <c r="H4033" s="23" t="s">
        <v>26</v>
      </c>
      <c r="I4033" s="24" t="s">
        <v>33</v>
      </c>
      <c r="J4033" s="19" t="s">
        <v>53</v>
      </c>
      <c r="K4033" s="14">
        <v>10.0</v>
      </c>
      <c r="L4033" s="7"/>
      <c r="M4033" s="7"/>
      <c r="N4033" s="7"/>
      <c r="O4033" s="7"/>
      <c r="P4033" s="7"/>
      <c r="Q4033" s="7"/>
      <c r="R4033" s="7"/>
      <c r="S4033" s="7"/>
      <c r="T4033" s="7"/>
      <c r="U4033" s="7"/>
      <c r="V4033" s="7"/>
      <c r="W4033" s="7"/>
      <c r="X4033" s="7"/>
      <c r="Y4033" s="7"/>
    </row>
    <row r="4034">
      <c r="A4034" s="14" t="s">
        <v>14278</v>
      </c>
      <c r="B4034" s="17" t="s">
        <v>14275</v>
      </c>
      <c r="C4034" s="17" t="s">
        <v>14279</v>
      </c>
      <c r="D4034" s="19" t="s">
        <v>14280</v>
      </c>
      <c r="E4034" s="20" t="s">
        <v>104</v>
      </c>
      <c r="F4034" s="21">
        <v>38879.0</v>
      </c>
      <c r="G4034" s="14">
        <v>20.0</v>
      </c>
      <c r="H4034" s="23" t="s">
        <v>100</v>
      </c>
      <c r="I4034" s="24" t="s">
        <v>33</v>
      </c>
      <c r="J4034" s="19" t="s">
        <v>53</v>
      </c>
      <c r="K4034" s="14">
        <v>10.0</v>
      </c>
      <c r="L4034" s="7"/>
      <c r="M4034" s="7"/>
      <c r="N4034" s="7"/>
      <c r="O4034" s="7"/>
      <c r="P4034" s="7"/>
      <c r="Q4034" s="7"/>
      <c r="R4034" s="7"/>
      <c r="S4034" s="7"/>
      <c r="T4034" s="7"/>
      <c r="U4034" s="7"/>
      <c r="V4034" s="7"/>
      <c r="W4034" s="7"/>
      <c r="X4034" s="7"/>
      <c r="Y4034" s="7"/>
    </row>
    <row r="4035">
      <c r="A4035" s="14" t="s">
        <v>14281</v>
      </c>
      <c r="B4035" s="17" t="s">
        <v>14275</v>
      </c>
      <c r="C4035" s="17" t="s">
        <v>14282</v>
      </c>
      <c r="D4035" s="19" t="s">
        <v>14283</v>
      </c>
      <c r="E4035" s="20" t="s">
        <v>104</v>
      </c>
      <c r="F4035" s="21">
        <v>30568.0</v>
      </c>
      <c r="G4035" s="14">
        <v>42.0</v>
      </c>
      <c r="H4035" s="23" t="s">
        <v>26</v>
      </c>
      <c r="I4035" s="24" t="s">
        <v>27</v>
      </c>
      <c r="J4035" s="19" t="s">
        <v>53</v>
      </c>
      <c r="K4035" s="14">
        <v>10.0</v>
      </c>
      <c r="L4035" s="7"/>
      <c r="M4035" s="7"/>
      <c r="N4035" s="7"/>
      <c r="O4035" s="7"/>
      <c r="P4035" s="7"/>
      <c r="Q4035" s="7"/>
      <c r="R4035" s="7"/>
      <c r="S4035" s="7"/>
      <c r="T4035" s="7"/>
      <c r="U4035" s="7"/>
      <c r="V4035" s="7"/>
      <c r="W4035" s="7"/>
      <c r="X4035" s="7"/>
      <c r="Y4035" s="7"/>
    </row>
    <row r="4036">
      <c r="A4036" s="14" t="s">
        <v>14284</v>
      </c>
      <c r="B4036" s="17" t="s">
        <v>14275</v>
      </c>
      <c r="C4036" s="17" t="s">
        <v>14285</v>
      </c>
      <c r="D4036" s="19" t="s">
        <v>14286</v>
      </c>
      <c r="E4036" s="20" t="s">
        <v>104</v>
      </c>
      <c r="F4036" s="27">
        <v>37547.0</v>
      </c>
      <c r="G4036" s="14">
        <v>23.0</v>
      </c>
      <c r="H4036" s="23" t="s">
        <v>100</v>
      </c>
      <c r="I4036" s="24" t="s">
        <v>33</v>
      </c>
      <c r="J4036" s="19" t="s">
        <v>53</v>
      </c>
      <c r="K4036" s="14">
        <v>10.0</v>
      </c>
      <c r="L4036" s="7"/>
      <c r="M4036" s="7"/>
      <c r="N4036" s="7"/>
      <c r="O4036" s="7"/>
      <c r="P4036" s="7"/>
      <c r="Q4036" s="7"/>
      <c r="R4036" s="7"/>
      <c r="S4036" s="7"/>
      <c r="T4036" s="7"/>
      <c r="U4036" s="7"/>
      <c r="V4036" s="7"/>
      <c r="W4036" s="7"/>
      <c r="X4036" s="7"/>
      <c r="Y4036" s="7"/>
    </row>
    <row r="4037">
      <c r="A4037" s="14" t="s">
        <v>14287</v>
      </c>
      <c r="B4037" s="17" t="s">
        <v>14288</v>
      </c>
      <c r="C4037" s="17" t="s">
        <v>14289</v>
      </c>
      <c r="D4037" s="19" t="s">
        <v>7001</v>
      </c>
      <c r="E4037" s="20" t="s">
        <v>138</v>
      </c>
      <c r="F4037" s="27">
        <v>36872.0</v>
      </c>
      <c r="G4037" s="14">
        <v>25.0</v>
      </c>
      <c r="H4037" s="23" t="s">
        <v>100</v>
      </c>
      <c r="I4037" s="24" t="s">
        <v>33</v>
      </c>
      <c r="J4037" s="19" t="s">
        <v>68</v>
      </c>
      <c r="K4037" s="14">
        <v>32.0</v>
      </c>
      <c r="L4037" s="7"/>
      <c r="M4037" s="7"/>
      <c r="N4037" s="7"/>
      <c r="O4037" s="7"/>
      <c r="P4037" s="7"/>
      <c r="Q4037" s="7"/>
      <c r="R4037" s="7"/>
      <c r="S4037" s="7"/>
      <c r="T4037" s="7"/>
      <c r="U4037" s="7"/>
      <c r="V4037" s="7"/>
      <c r="W4037" s="7"/>
      <c r="X4037" s="7"/>
      <c r="Y4037" s="7"/>
    </row>
    <row r="4038">
      <c r="A4038" s="14" t="s">
        <v>14290</v>
      </c>
      <c r="B4038" s="17" t="s">
        <v>14288</v>
      </c>
      <c r="C4038" s="17" t="s">
        <v>14291</v>
      </c>
      <c r="D4038" s="19" t="s">
        <v>14292</v>
      </c>
      <c r="E4038" s="20" t="s">
        <v>1038</v>
      </c>
      <c r="F4038" s="27">
        <v>27382.0</v>
      </c>
      <c r="G4038" s="14">
        <v>51.0</v>
      </c>
      <c r="H4038" s="23" t="s">
        <v>26</v>
      </c>
      <c r="I4038" s="24" t="s">
        <v>33</v>
      </c>
      <c r="J4038" s="19" t="s">
        <v>68</v>
      </c>
      <c r="K4038" s="14">
        <v>32.0</v>
      </c>
      <c r="L4038" s="7"/>
      <c r="M4038" s="7"/>
      <c r="N4038" s="7"/>
      <c r="O4038" s="7"/>
      <c r="P4038" s="7"/>
      <c r="Q4038" s="7"/>
      <c r="R4038" s="7"/>
      <c r="S4038" s="7"/>
      <c r="T4038" s="7"/>
      <c r="U4038" s="7"/>
      <c r="V4038" s="7"/>
      <c r="W4038" s="7"/>
      <c r="X4038" s="7"/>
      <c r="Y4038" s="7"/>
    </row>
    <row r="4039">
      <c r="A4039" s="14" t="s">
        <v>14293</v>
      </c>
      <c r="B4039" s="17" t="s">
        <v>14288</v>
      </c>
      <c r="C4039" s="17" t="s">
        <v>14294</v>
      </c>
      <c r="D4039" s="19" t="s">
        <v>14295</v>
      </c>
      <c r="E4039" s="20" t="s">
        <v>2079</v>
      </c>
      <c r="F4039" s="27">
        <v>27741.0</v>
      </c>
      <c r="G4039" s="14">
        <v>50.0</v>
      </c>
      <c r="H4039" s="23" t="s">
        <v>26</v>
      </c>
      <c r="I4039" s="24" t="s">
        <v>27</v>
      </c>
      <c r="J4039" s="19" t="s">
        <v>68</v>
      </c>
      <c r="K4039" s="14">
        <v>32.0</v>
      </c>
      <c r="L4039" s="7"/>
      <c r="M4039" s="7"/>
      <c r="N4039" s="7"/>
      <c r="O4039" s="7"/>
      <c r="P4039" s="7"/>
      <c r="Q4039" s="7"/>
      <c r="R4039" s="7"/>
      <c r="S4039" s="7"/>
      <c r="T4039" s="7"/>
      <c r="U4039" s="7"/>
      <c r="V4039" s="7"/>
      <c r="W4039" s="7"/>
      <c r="X4039" s="7"/>
      <c r="Y4039" s="7"/>
    </row>
    <row r="4040">
      <c r="A4040" s="14" t="s">
        <v>14296</v>
      </c>
      <c r="B4040" s="17" t="s">
        <v>14297</v>
      </c>
      <c r="C4040" s="17" t="s">
        <v>14298</v>
      </c>
      <c r="D4040" s="19" t="s">
        <v>14299</v>
      </c>
      <c r="E4040" s="20" t="s">
        <v>7240</v>
      </c>
      <c r="F4040" s="21">
        <v>18278.0</v>
      </c>
      <c r="G4040" s="14">
        <v>76.0</v>
      </c>
      <c r="H4040" s="23" t="s">
        <v>26</v>
      </c>
      <c r="I4040" s="24" t="s">
        <v>33</v>
      </c>
      <c r="J4040" s="19" t="s">
        <v>14300</v>
      </c>
      <c r="K4040" s="14">
        <v>32.0</v>
      </c>
      <c r="L4040" s="7"/>
      <c r="M4040" s="7"/>
      <c r="N4040" s="7"/>
      <c r="O4040" s="7"/>
      <c r="P4040" s="7"/>
      <c r="Q4040" s="7"/>
      <c r="R4040" s="7"/>
      <c r="S4040" s="7"/>
      <c r="T4040" s="7"/>
      <c r="U4040" s="7"/>
      <c r="V4040" s="7"/>
      <c r="W4040" s="7"/>
      <c r="X4040" s="7"/>
      <c r="Y4040" s="7"/>
    </row>
    <row r="4041">
      <c r="A4041" s="14" t="s">
        <v>14301</v>
      </c>
      <c r="B4041" s="17" t="s">
        <v>14297</v>
      </c>
      <c r="C4041" s="17" t="s">
        <v>14302</v>
      </c>
      <c r="D4041" s="19" t="s">
        <v>14303</v>
      </c>
      <c r="E4041" s="20" t="s">
        <v>1816</v>
      </c>
      <c r="F4041" s="21">
        <v>18271.0</v>
      </c>
      <c r="G4041" s="14">
        <v>76.0</v>
      </c>
      <c r="H4041" s="23" t="s">
        <v>26</v>
      </c>
      <c r="I4041" s="24" t="s">
        <v>27</v>
      </c>
      <c r="J4041" s="19" t="s">
        <v>14300</v>
      </c>
      <c r="K4041" s="14">
        <v>32.0</v>
      </c>
      <c r="L4041" s="7"/>
      <c r="M4041" s="7"/>
      <c r="N4041" s="7"/>
      <c r="O4041" s="7"/>
      <c r="P4041" s="7"/>
      <c r="Q4041" s="7"/>
      <c r="R4041" s="7"/>
      <c r="S4041" s="7"/>
      <c r="T4041" s="7"/>
      <c r="U4041" s="7"/>
      <c r="V4041" s="7"/>
      <c r="W4041" s="7"/>
      <c r="X4041" s="7"/>
      <c r="Y4041" s="7"/>
    </row>
    <row r="4042">
      <c r="A4042" s="14" t="s">
        <v>14304</v>
      </c>
      <c r="B4042" s="17" t="s">
        <v>14305</v>
      </c>
      <c r="C4042" s="17" t="s">
        <v>14306</v>
      </c>
      <c r="D4042" s="19" t="s">
        <v>14307</v>
      </c>
      <c r="E4042" s="20" t="s">
        <v>219</v>
      </c>
      <c r="F4042" s="21">
        <v>28897.0</v>
      </c>
      <c r="G4042" s="14">
        <v>47.0</v>
      </c>
      <c r="H4042" s="23" t="s">
        <v>26</v>
      </c>
      <c r="I4042" s="24" t="s">
        <v>33</v>
      </c>
      <c r="J4042" s="19" t="s">
        <v>146</v>
      </c>
      <c r="K4042" s="14">
        <v>3.0</v>
      </c>
      <c r="L4042" s="7"/>
      <c r="M4042" s="7"/>
      <c r="N4042" s="7"/>
      <c r="O4042" s="7"/>
      <c r="P4042" s="7"/>
      <c r="Q4042" s="7"/>
      <c r="R4042" s="7"/>
      <c r="S4042" s="7"/>
      <c r="T4042" s="7"/>
      <c r="U4042" s="7"/>
      <c r="V4042" s="7"/>
      <c r="W4042" s="7"/>
      <c r="X4042" s="7"/>
      <c r="Y4042" s="7"/>
    </row>
    <row r="4043">
      <c r="A4043" s="14" t="s">
        <v>14308</v>
      </c>
      <c r="B4043" s="17" t="s">
        <v>14305</v>
      </c>
      <c r="C4043" s="17" t="s">
        <v>14309</v>
      </c>
      <c r="D4043" s="19" t="s">
        <v>14310</v>
      </c>
      <c r="E4043" s="20" t="s">
        <v>14311</v>
      </c>
      <c r="F4043" s="21">
        <v>38440.0</v>
      </c>
      <c r="G4043" s="14">
        <v>21.0</v>
      </c>
      <c r="H4043" s="23" t="s">
        <v>100</v>
      </c>
      <c r="I4043" s="24" t="s">
        <v>33</v>
      </c>
      <c r="J4043" s="19" t="s">
        <v>146</v>
      </c>
      <c r="K4043" s="14">
        <v>3.0</v>
      </c>
      <c r="L4043" s="7"/>
      <c r="M4043" s="7"/>
      <c r="N4043" s="7"/>
      <c r="O4043" s="7"/>
      <c r="P4043" s="7"/>
      <c r="Q4043" s="7"/>
      <c r="R4043" s="7"/>
      <c r="S4043" s="7"/>
      <c r="T4043" s="7"/>
      <c r="U4043" s="7"/>
      <c r="V4043" s="7"/>
      <c r="W4043" s="7"/>
      <c r="X4043" s="7"/>
      <c r="Y4043" s="7"/>
    </row>
    <row r="4044">
      <c r="A4044" s="14" t="s">
        <v>14312</v>
      </c>
      <c r="B4044" s="17" t="s">
        <v>14305</v>
      </c>
      <c r="C4044" s="17" t="s">
        <v>14313</v>
      </c>
      <c r="D4044" s="19" t="s">
        <v>14314</v>
      </c>
      <c r="E4044" s="20" t="s">
        <v>666</v>
      </c>
      <c r="F4044" s="21">
        <v>26424.0</v>
      </c>
      <c r="G4044" s="14">
        <v>54.0</v>
      </c>
      <c r="H4044" s="23" t="s">
        <v>26</v>
      </c>
      <c r="I4044" s="24" t="s">
        <v>27</v>
      </c>
      <c r="J4044" s="19" t="s">
        <v>146</v>
      </c>
      <c r="K4044" s="14">
        <v>3.0</v>
      </c>
      <c r="L4044" s="7"/>
      <c r="M4044" s="7"/>
      <c r="N4044" s="7"/>
      <c r="O4044" s="7"/>
      <c r="P4044" s="7"/>
      <c r="Q4044" s="7"/>
      <c r="R4044" s="7"/>
      <c r="S4044" s="7"/>
      <c r="T4044" s="7"/>
      <c r="U4044" s="7"/>
      <c r="V4044" s="7"/>
      <c r="W4044" s="7"/>
      <c r="X4044" s="7"/>
      <c r="Y4044" s="7"/>
    </row>
    <row r="4045">
      <c r="A4045" s="14" t="s">
        <v>14315</v>
      </c>
      <c r="B4045" s="17" t="s">
        <v>14316</v>
      </c>
      <c r="C4045" s="17" t="s">
        <v>14317</v>
      </c>
      <c r="D4045" s="19" t="s">
        <v>14318</v>
      </c>
      <c r="E4045" s="20" t="s">
        <v>14319</v>
      </c>
      <c r="F4045" s="21">
        <v>34031.0</v>
      </c>
      <c r="G4045" s="14">
        <v>33.0</v>
      </c>
      <c r="H4045" s="23" t="s">
        <v>26</v>
      </c>
      <c r="I4045" s="24" t="s">
        <v>27</v>
      </c>
      <c r="J4045" s="19" t="s">
        <v>58</v>
      </c>
      <c r="K4045" s="14">
        <v>36.0</v>
      </c>
      <c r="L4045" s="7"/>
      <c r="M4045" s="7"/>
      <c r="N4045" s="7"/>
      <c r="O4045" s="7"/>
      <c r="P4045" s="7"/>
      <c r="Q4045" s="7"/>
      <c r="R4045" s="7"/>
      <c r="S4045" s="7"/>
      <c r="T4045" s="7"/>
      <c r="U4045" s="7"/>
      <c r="V4045" s="7"/>
      <c r="W4045" s="7"/>
      <c r="X4045" s="7"/>
      <c r="Y4045" s="7"/>
    </row>
    <row r="4046">
      <c r="A4046" s="14" t="s">
        <v>14320</v>
      </c>
      <c r="B4046" s="17" t="s">
        <v>14316</v>
      </c>
      <c r="C4046" s="17" t="s">
        <v>14321</v>
      </c>
      <c r="D4046" s="19" t="s">
        <v>14322</v>
      </c>
      <c r="E4046" s="20" t="s">
        <v>1830</v>
      </c>
      <c r="F4046" s="21">
        <v>33740.0</v>
      </c>
      <c r="G4046" s="14">
        <v>34.0</v>
      </c>
      <c r="H4046" s="23" t="s">
        <v>26</v>
      </c>
      <c r="I4046" s="24" t="s">
        <v>33</v>
      </c>
      <c r="J4046" s="19" t="s">
        <v>58</v>
      </c>
      <c r="K4046" s="14">
        <v>36.0</v>
      </c>
      <c r="L4046" s="7"/>
      <c r="M4046" s="7"/>
      <c r="N4046" s="7"/>
      <c r="O4046" s="7"/>
      <c r="P4046" s="7"/>
      <c r="Q4046" s="7"/>
      <c r="R4046" s="7"/>
      <c r="S4046" s="7"/>
      <c r="T4046" s="7"/>
      <c r="U4046" s="7"/>
      <c r="V4046" s="7"/>
      <c r="W4046" s="7"/>
      <c r="X4046" s="7"/>
      <c r="Y4046" s="7"/>
    </row>
    <row r="4047">
      <c r="A4047" s="14" t="s">
        <v>14323</v>
      </c>
      <c r="B4047" s="17" t="s">
        <v>14324</v>
      </c>
      <c r="C4047" s="17" t="s">
        <v>14325</v>
      </c>
      <c r="D4047" s="19" t="s">
        <v>14326</v>
      </c>
      <c r="E4047" s="20" t="s">
        <v>195</v>
      </c>
      <c r="F4047" s="21">
        <v>35315.0</v>
      </c>
      <c r="G4047" s="14">
        <v>29.0</v>
      </c>
      <c r="H4047" s="23" t="s">
        <v>100</v>
      </c>
      <c r="I4047" s="24" t="s">
        <v>33</v>
      </c>
      <c r="J4047" s="19" t="s">
        <v>156</v>
      </c>
      <c r="K4047" s="14">
        <v>29.0</v>
      </c>
      <c r="L4047" s="7"/>
      <c r="M4047" s="7"/>
      <c r="N4047" s="7"/>
      <c r="O4047" s="7"/>
      <c r="P4047" s="7"/>
      <c r="Q4047" s="7"/>
      <c r="R4047" s="7"/>
      <c r="S4047" s="7"/>
      <c r="T4047" s="7"/>
      <c r="U4047" s="7"/>
      <c r="V4047" s="7"/>
      <c r="W4047" s="7"/>
      <c r="X4047" s="7"/>
      <c r="Y4047" s="7"/>
    </row>
    <row r="4048">
      <c r="A4048" s="14" t="s">
        <v>14327</v>
      </c>
      <c r="B4048" s="17" t="s">
        <v>14328</v>
      </c>
      <c r="C4048" s="17" t="s">
        <v>14329</v>
      </c>
      <c r="D4048" s="19" t="s">
        <v>14330</v>
      </c>
      <c r="E4048" s="20" t="s">
        <v>195</v>
      </c>
      <c r="F4048" s="21">
        <v>31498.0</v>
      </c>
      <c r="G4048" s="14">
        <v>40.0</v>
      </c>
      <c r="H4048" s="23" t="s">
        <v>26</v>
      </c>
      <c r="I4048" s="24" t="s">
        <v>33</v>
      </c>
      <c r="J4048" s="19" t="s">
        <v>68</v>
      </c>
      <c r="K4048" s="14">
        <v>28.0</v>
      </c>
      <c r="L4048" s="7"/>
      <c r="M4048" s="7"/>
      <c r="N4048" s="7"/>
      <c r="O4048" s="7"/>
      <c r="P4048" s="7"/>
      <c r="Q4048" s="7"/>
      <c r="R4048" s="7"/>
      <c r="S4048" s="7"/>
      <c r="T4048" s="7"/>
      <c r="U4048" s="7"/>
      <c r="V4048" s="7"/>
      <c r="W4048" s="7"/>
      <c r="X4048" s="7"/>
      <c r="Y4048" s="7"/>
    </row>
    <row r="4049">
      <c r="A4049" s="14" t="s">
        <v>14331</v>
      </c>
      <c r="B4049" s="17" t="s">
        <v>14332</v>
      </c>
      <c r="C4049" s="17" t="s">
        <v>14333</v>
      </c>
      <c r="D4049" s="19" t="s">
        <v>14334</v>
      </c>
      <c r="E4049" s="20" t="s">
        <v>14335</v>
      </c>
      <c r="F4049" s="21">
        <v>36252.0</v>
      </c>
      <c r="G4049" s="14">
        <v>27.0</v>
      </c>
      <c r="H4049" s="23" t="s">
        <v>26</v>
      </c>
      <c r="I4049" s="24" t="s">
        <v>27</v>
      </c>
      <c r="J4049" s="19" t="s">
        <v>2620</v>
      </c>
      <c r="K4049" s="14">
        <v>20.0</v>
      </c>
      <c r="L4049" s="7"/>
      <c r="M4049" s="7"/>
      <c r="N4049" s="7"/>
      <c r="O4049" s="7"/>
      <c r="P4049" s="7"/>
      <c r="Q4049" s="7"/>
      <c r="R4049" s="7"/>
      <c r="S4049" s="7"/>
      <c r="T4049" s="7"/>
      <c r="U4049" s="7"/>
      <c r="V4049" s="7"/>
      <c r="W4049" s="7"/>
      <c r="X4049" s="7"/>
      <c r="Y4049" s="7"/>
    </row>
    <row r="4050">
      <c r="A4050" s="14" t="s">
        <v>14336</v>
      </c>
      <c r="B4050" s="17" t="s">
        <v>14332</v>
      </c>
      <c r="C4050" s="17" t="s">
        <v>14337</v>
      </c>
      <c r="D4050" s="19" t="s">
        <v>14338</v>
      </c>
      <c r="E4050" s="20" t="s">
        <v>2672</v>
      </c>
      <c r="F4050" s="21">
        <v>32760.0</v>
      </c>
      <c r="G4050" s="14">
        <v>36.0</v>
      </c>
      <c r="H4050" s="23" t="s">
        <v>26</v>
      </c>
      <c r="I4050" s="24" t="s">
        <v>33</v>
      </c>
      <c r="J4050" s="19" t="s">
        <v>2620</v>
      </c>
      <c r="K4050" s="14">
        <v>20.0</v>
      </c>
      <c r="L4050" s="7"/>
      <c r="M4050" s="7"/>
      <c r="N4050" s="7"/>
      <c r="O4050" s="7"/>
      <c r="P4050" s="7"/>
      <c r="Q4050" s="7"/>
      <c r="R4050" s="7"/>
      <c r="S4050" s="7"/>
      <c r="T4050" s="7"/>
      <c r="U4050" s="7"/>
      <c r="V4050" s="7"/>
      <c r="W4050" s="7"/>
      <c r="X4050" s="7"/>
      <c r="Y4050" s="7"/>
    </row>
    <row r="4051">
      <c r="A4051" s="14" t="s">
        <v>14339</v>
      </c>
      <c r="B4051" s="17" t="s">
        <v>14340</v>
      </c>
      <c r="C4051" s="17" t="s">
        <v>14341</v>
      </c>
      <c r="D4051" s="19" t="s">
        <v>14342</v>
      </c>
      <c r="E4051" s="20" t="s">
        <v>14343</v>
      </c>
      <c r="F4051" s="27">
        <v>30983.0</v>
      </c>
      <c r="G4051" s="14">
        <v>41.0</v>
      </c>
      <c r="H4051" s="23" t="s">
        <v>26</v>
      </c>
      <c r="I4051" s="24" t="s">
        <v>33</v>
      </c>
      <c r="J4051" s="19" t="s">
        <v>2196</v>
      </c>
      <c r="K4051" s="14">
        <v>15.0</v>
      </c>
      <c r="L4051" s="7"/>
      <c r="M4051" s="7"/>
      <c r="N4051" s="7"/>
      <c r="O4051" s="7"/>
      <c r="P4051" s="7"/>
      <c r="Q4051" s="7"/>
      <c r="R4051" s="7"/>
      <c r="S4051" s="7"/>
      <c r="T4051" s="7"/>
      <c r="U4051" s="7"/>
      <c r="V4051" s="7"/>
      <c r="W4051" s="7"/>
      <c r="X4051" s="7"/>
      <c r="Y4051" s="7"/>
    </row>
    <row r="4052">
      <c r="A4052" s="14" t="s">
        <v>14344</v>
      </c>
      <c r="B4052" s="17" t="s">
        <v>14340</v>
      </c>
      <c r="C4052" s="17" t="s">
        <v>14345</v>
      </c>
      <c r="D4052" s="19" t="s">
        <v>14346</v>
      </c>
      <c r="E4052" s="20" t="s">
        <v>14347</v>
      </c>
      <c r="F4052" s="27">
        <v>31406.0</v>
      </c>
      <c r="G4052" s="14">
        <v>40.0</v>
      </c>
      <c r="H4052" s="23" t="s">
        <v>26</v>
      </c>
      <c r="I4052" s="24" t="s">
        <v>27</v>
      </c>
      <c r="J4052" s="19" t="s">
        <v>2196</v>
      </c>
      <c r="K4052" s="14">
        <v>15.0</v>
      </c>
      <c r="L4052" s="7"/>
      <c r="M4052" s="7"/>
      <c r="N4052" s="7"/>
      <c r="O4052" s="7"/>
      <c r="P4052" s="7"/>
      <c r="Q4052" s="7"/>
      <c r="R4052" s="7"/>
      <c r="S4052" s="7"/>
      <c r="T4052" s="7"/>
      <c r="U4052" s="7"/>
      <c r="V4052" s="7"/>
      <c r="W4052" s="7"/>
      <c r="X4052" s="7"/>
      <c r="Y4052" s="7"/>
    </row>
    <row r="4053">
      <c r="A4053" s="14" t="s">
        <v>14348</v>
      </c>
      <c r="B4053" s="17" t="s">
        <v>14349</v>
      </c>
      <c r="C4053" s="17" t="s">
        <v>14350</v>
      </c>
      <c r="D4053" s="19" t="s">
        <v>14351</v>
      </c>
      <c r="E4053" s="20" t="s">
        <v>2672</v>
      </c>
      <c r="F4053" s="21">
        <v>36921.0</v>
      </c>
      <c r="G4053" s="14">
        <v>25.0</v>
      </c>
      <c r="H4053" s="23" t="s">
        <v>26</v>
      </c>
      <c r="I4053" s="24" t="s">
        <v>27</v>
      </c>
      <c r="J4053" s="19" t="s">
        <v>53</v>
      </c>
      <c r="K4053" s="14">
        <v>1.0</v>
      </c>
      <c r="L4053" s="7"/>
      <c r="M4053" s="7"/>
      <c r="N4053" s="7"/>
      <c r="O4053" s="7"/>
      <c r="P4053" s="7"/>
      <c r="Q4053" s="7"/>
      <c r="R4053" s="7"/>
      <c r="S4053" s="7"/>
      <c r="T4053" s="7"/>
      <c r="U4053" s="7"/>
      <c r="V4053" s="7"/>
      <c r="W4053" s="7"/>
      <c r="X4053" s="7"/>
      <c r="Y4053" s="7"/>
    </row>
    <row r="4054">
      <c r="A4054" s="14" t="s">
        <v>14352</v>
      </c>
      <c r="B4054" s="17" t="s">
        <v>14349</v>
      </c>
      <c r="C4054" s="17" t="s">
        <v>14353</v>
      </c>
      <c r="D4054" s="19" t="s">
        <v>14354</v>
      </c>
      <c r="E4054" s="20" t="s">
        <v>14355</v>
      </c>
      <c r="F4054" s="21">
        <v>35586.0</v>
      </c>
      <c r="G4054" s="14">
        <v>29.0</v>
      </c>
      <c r="H4054" s="23" t="s">
        <v>26</v>
      </c>
      <c r="I4054" s="24" t="s">
        <v>33</v>
      </c>
      <c r="J4054" s="19" t="s">
        <v>53</v>
      </c>
      <c r="K4054" s="14">
        <v>1.0</v>
      </c>
      <c r="L4054" s="7"/>
      <c r="M4054" s="7"/>
      <c r="N4054" s="7"/>
      <c r="O4054" s="7"/>
      <c r="P4054" s="7"/>
      <c r="Q4054" s="7"/>
      <c r="R4054" s="7"/>
      <c r="S4054" s="7"/>
      <c r="T4054" s="7"/>
      <c r="U4054" s="7"/>
      <c r="V4054" s="7"/>
      <c r="W4054" s="7"/>
      <c r="X4054" s="7"/>
      <c r="Y4054" s="7"/>
    </row>
    <row r="4055">
      <c r="A4055" s="14" t="s">
        <v>14356</v>
      </c>
      <c r="B4055" s="17" t="s">
        <v>14357</v>
      </c>
      <c r="C4055" s="17" t="s">
        <v>14358</v>
      </c>
      <c r="D4055" s="19" t="s">
        <v>14359</v>
      </c>
      <c r="E4055" s="20" t="s">
        <v>544</v>
      </c>
      <c r="F4055" s="27">
        <v>20738.0</v>
      </c>
      <c r="G4055" s="14">
        <v>69.0</v>
      </c>
      <c r="H4055" s="23" t="s">
        <v>26</v>
      </c>
      <c r="I4055" s="24" t="s">
        <v>27</v>
      </c>
      <c r="J4055" s="19" t="s">
        <v>156</v>
      </c>
      <c r="K4055" s="14">
        <v>32.0</v>
      </c>
      <c r="L4055" s="7"/>
      <c r="M4055" s="7"/>
      <c r="N4055" s="7"/>
      <c r="O4055" s="7"/>
      <c r="P4055" s="7"/>
      <c r="Q4055" s="7"/>
      <c r="R4055" s="7"/>
      <c r="S4055" s="7"/>
      <c r="T4055" s="7"/>
      <c r="U4055" s="7"/>
      <c r="V4055" s="7"/>
      <c r="W4055" s="7"/>
      <c r="X4055" s="7"/>
      <c r="Y4055" s="7"/>
    </row>
    <row r="4056">
      <c r="A4056" s="14" t="s">
        <v>14360</v>
      </c>
      <c r="B4056" s="17" t="s">
        <v>14361</v>
      </c>
      <c r="C4056" s="17" t="s">
        <v>14362</v>
      </c>
      <c r="D4056" s="19" t="s">
        <v>14363</v>
      </c>
      <c r="E4056" s="20" t="s">
        <v>4976</v>
      </c>
      <c r="F4056" s="27">
        <v>30649.0</v>
      </c>
      <c r="G4056" s="14">
        <v>42.0</v>
      </c>
      <c r="H4056" s="23" t="s">
        <v>26</v>
      </c>
      <c r="I4056" s="24" t="s">
        <v>33</v>
      </c>
      <c r="J4056" s="19" t="s">
        <v>58</v>
      </c>
      <c r="K4056" s="14">
        <v>9.0</v>
      </c>
      <c r="L4056" s="7"/>
      <c r="M4056" s="7"/>
      <c r="N4056" s="7"/>
      <c r="O4056" s="7"/>
      <c r="P4056" s="7"/>
      <c r="Q4056" s="7"/>
      <c r="R4056" s="7"/>
      <c r="S4056" s="7"/>
      <c r="T4056" s="7"/>
      <c r="U4056" s="7"/>
      <c r="V4056" s="7"/>
      <c r="W4056" s="7"/>
      <c r="X4056" s="7"/>
      <c r="Y4056" s="7"/>
    </row>
    <row r="4057">
      <c r="A4057" s="14" t="s">
        <v>14364</v>
      </c>
      <c r="B4057" s="17" t="s">
        <v>14361</v>
      </c>
      <c r="C4057" s="17" t="s">
        <v>14365</v>
      </c>
      <c r="D4057" s="19" t="s">
        <v>14366</v>
      </c>
      <c r="E4057" s="20" t="s">
        <v>4976</v>
      </c>
      <c r="F4057" s="21">
        <v>34440.0</v>
      </c>
      <c r="G4057" s="14">
        <v>32.0</v>
      </c>
      <c r="H4057" s="23" t="s">
        <v>26</v>
      </c>
      <c r="I4057" s="24" t="s">
        <v>27</v>
      </c>
      <c r="J4057" s="19" t="s">
        <v>58</v>
      </c>
      <c r="K4057" s="14">
        <v>9.0</v>
      </c>
      <c r="L4057" s="7"/>
      <c r="M4057" s="7"/>
      <c r="N4057" s="7"/>
      <c r="O4057" s="7"/>
      <c r="P4057" s="7"/>
      <c r="Q4057" s="7"/>
      <c r="R4057" s="7"/>
      <c r="S4057" s="7"/>
      <c r="T4057" s="7"/>
      <c r="U4057" s="7"/>
      <c r="V4057" s="7"/>
      <c r="W4057" s="7"/>
      <c r="X4057" s="7"/>
      <c r="Y4057" s="7"/>
    </row>
    <row r="4058">
      <c r="A4058" s="14" t="s">
        <v>14367</v>
      </c>
      <c r="B4058" s="17" t="s">
        <v>14368</v>
      </c>
      <c r="C4058" s="17" t="s">
        <v>14369</v>
      </c>
      <c r="D4058" s="19" t="s">
        <v>14370</v>
      </c>
      <c r="E4058" s="20" t="s">
        <v>14371</v>
      </c>
      <c r="F4058" s="21">
        <v>20271.0</v>
      </c>
      <c r="G4058" s="14">
        <v>71.0</v>
      </c>
      <c r="H4058" s="23" t="s">
        <v>26</v>
      </c>
      <c r="I4058" s="24" t="s">
        <v>33</v>
      </c>
      <c r="J4058" s="19" t="s">
        <v>328</v>
      </c>
      <c r="K4058" s="14">
        <v>20.0</v>
      </c>
      <c r="L4058" s="7"/>
      <c r="M4058" s="7"/>
      <c r="N4058" s="7"/>
      <c r="O4058" s="7"/>
      <c r="P4058" s="7"/>
      <c r="Q4058" s="7"/>
      <c r="R4058" s="7"/>
      <c r="S4058" s="7"/>
      <c r="T4058" s="7"/>
      <c r="U4058" s="7"/>
      <c r="V4058" s="7"/>
      <c r="W4058" s="7"/>
      <c r="X4058" s="7"/>
      <c r="Y4058" s="7"/>
    </row>
    <row r="4059">
      <c r="A4059" s="14" t="s">
        <v>14372</v>
      </c>
      <c r="B4059" s="17" t="s">
        <v>14368</v>
      </c>
      <c r="C4059" s="17" t="s">
        <v>14373</v>
      </c>
      <c r="D4059" s="19" t="s">
        <v>14374</v>
      </c>
      <c r="E4059" s="20" t="s">
        <v>429</v>
      </c>
      <c r="F4059" s="21">
        <v>26881.0</v>
      </c>
      <c r="G4059" s="14">
        <v>53.0</v>
      </c>
      <c r="H4059" s="23" t="s">
        <v>26</v>
      </c>
      <c r="I4059" s="24" t="s">
        <v>27</v>
      </c>
      <c r="J4059" s="19" t="s">
        <v>328</v>
      </c>
      <c r="K4059" s="14">
        <v>20.0</v>
      </c>
      <c r="L4059" s="7"/>
      <c r="M4059" s="7"/>
      <c r="N4059" s="7"/>
      <c r="O4059" s="7"/>
      <c r="P4059" s="7"/>
      <c r="Q4059" s="7"/>
      <c r="R4059" s="7"/>
      <c r="S4059" s="7"/>
      <c r="T4059" s="7"/>
      <c r="U4059" s="7"/>
      <c r="V4059" s="7"/>
      <c r="W4059" s="7"/>
      <c r="X4059" s="7"/>
      <c r="Y4059" s="7"/>
    </row>
    <row r="4060">
      <c r="A4060" s="14" t="s">
        <v>14375</v>
      </c>
      <c r="B4060" s="17" t="s">
        <v>14368</v>
      </c>
      <c r="C4060" s="17" t="s">
        <v>14376</v>
      </c>
      <c r="D4060" s="19" t="s">
        <v>14377</v>
      </c>
      <c r="E4060" s="20" t="s">
        <v>138</v>
      </c>
      <c r="F4060" s="21">
        <v>39053.0</v>
      </c>
      <c r="G4060" s="14">
        <v>19.0</v>
      </c>
      <c r="H4060" s="23" t="s">
        <v>100</v>
      </c>
      <c r="I4060" s="24" t="s">
        <v>33</v>
      </c>
      <c r="J4060" s="19" t="s">
        <v>328</v>
      </c>
      <c r="K4060" s="14">
        <v>20.0</v>
      </c>
      <c r="L4060" s="7"/>
      <c r="M4060" s="7"/>
      <c r="N4060" s="7"/>
      <c r="O4060" s="7"/>
      <c r="P4060" s="7"/>
      <c r="Q4060" s="7"/>
      <c r="R4060" s="7"/>
      <c r="S4060" s="7"/>
      <c r="T4060" s="7"/>
      <c r="U4060" s="7"/>
      <c r="V4060" s="7"/>
      <c r="W4060" s="7"/>
      <c r="X4060" s="7"/>
      <c r="Y4060" s="7"/>
    </row>
    <row r="4061">
      <c r="A4061" s="14" t="s">
        <v>14378</v>
      </c>
      <c r="B4061" s="17" t="s">
        <v>14379</v>
      </c>
      <c r="C4061" s="17" t="s">
        <v>14380</v>
      </c>
      <c r="D4061" s="19" t="s">
        <v>14381</v>
      </c>
      <c r="E4061" s="20" t="s">
        <v>7471</v>
      </c>
      <c r="F4061" s="21">
        <v>37165.0</v>
      </c>
      <c r="G4061" s="14">
        <v>24.0</v>
      </c>
      <c r="H4061" s="23" t="s">
        <v>100</v>
      </c>
      <c r="I4061" s="24" t="s">
        <v>33</v>
      </c>
      <c r="J4061" s="19" t="s">
        <v>156</v>
      </c>
      <c r="K4061" s="14">
        <v>29.0</v>
      </c>
      <c r="L4061" s="7"/>
      <c r="M4061" s="7"/>
      <c r="N4061" s="7"/>
      <c r="O4061" s="7"/>
      <c r="P4061" s="7"/>
      <c r="Q4061" s="7"/>
      <c r="R4061" s="7"/>
      <c r="S4061" s="7"/>
      <c r="T4061" s="7"/>
      <c r="U4061" s="7"/>
      <c r="V4061" s="7"/>
      <c r="W4061" s="7"/>
      <c r="X4061" s="7"/>
      <c r="Y4061" s="7"/>
    </row>
    <row r="4062">
      <c r="A4062" s="14" t="s">
        <v>14382</v>
      </c>
      <c r="B4062" s="17" t="s">
        <v>14379</v>
      </c>
      <c r="C4062" s="17" t="s">
        <v>14383</v>
      </c>
      <c r="D4062" s="19" t="s">
        <v>14384</v>
      </c>
      <c r="E4062" s="20" t="s">
        <v>9953</v>
      </c>
      <c r="F4062" s="21">
        <v>29355.0</v>
      </c>
      <c r="G4062" s="14">
        <v>46.0</v>
      </c>
      <c r="H4062" s="23" t="s">
        <v>26</v>
      </c>
      <c r="I4062" s="24" t="s">
        <v>27</v>
      </c>
      <c r="J4062" s="19" t="s">
        <v>156</v>
      </c>
      <c r="K4062" s="14">
        <v>29.0</v>
      </c>
      <c r="L4062" s="7"/>
      <c r="M4062" s="7"/>
      <c r="N4062" s="7"/>
      <c r="O4062" s="7"/>
      <c r="P4062" s="7"/>
      <c r="Q4062" s="7"/>
      <c r="R4062" s="7"/>
      <c r="S4062" s="7"/>
      <c r="T4062" s="7"/>
      <c r="U4062" s="7"/>
      <c r="V4062" s="7"/>
      <c r="W4062" s="7"/>
      <c r="X4062" s="7"/>
      <c r="Y4062" s="7"/>
    </row>
    <row r="4063">
      <c r="A4063" s="14" t="s">
        <v>14385</v>
      </c>
      <c r="B4063" s="17" t="s">
        <v>14379</v>
      </c>
      <c r="C4063" s="17" t="s">
        <v>14386</v>
      </c>
      <c r="D4063" s="19" t="s">
        <v>9426</v>
      </c>
      <c r="E4063" s="20" t="s">
        <v>9953</v>
      </c>
      <c r="F4063" s="21">
        <v>26012.0</v>
      </c>
      <c r="G4063" s="14">
        <v>55.0</v>
      </c>
      <c r="H4063" s="23" t="s">
        <v>26</v>
      </c>
      <c r="I4063" s="24" t="s">
        <v>33</v>
      </c>
      <c r="J4063" s="19" t="s">
        <v>156</v>
      </c>
      <c r="K4063" s="14">
        <v>29.0</v>
      </c>
      <c r="L4063" s="7"/>
      <c r="M4063" s="7"/>
      <c r="N4063" s="7"/>
      <c r="O4063" s="7"/>
      <c r="P4063" s="7"/>
      <c r="Q4063" s="7"/>
      <c r="R4063" s="7"/>
      <c r="S4063" s="7"/>
      <c r="T4063" s="7"/>
      <c r="U4063" s="7"/>
      <c r="V4063" s="7"/>
      <c r="W4063" s="7"/>
      <c r="X4063" s="7"/>
      <c r="Y4063" s="7"/>
    </row>
    <row r="4064">
      <c r="A4064" s="14" t="s">
        <v>14387</v>
      </c>
      <c r="B4064" s="17" t="s">
        <v>14388</v>
      </c>
      <c r="C4064" s="17" t="s">
        <v>14389</v>
      </c>
      <c r="D4064" s="19" t="s">
        <v>14390</v>
      </c>
      <c r="E4064" s="20" t="s">
        <v>4437</v>
      </c>
      <c r="F4064" s="21">
        <v>32568.0</v>
      </c>
      <c r="G4064" s="14">
        <v>37.0</v>
      </c>
      <c r="H4064" s="23" t="s">
        <v>26</v>
      </c>
      <c r="I4064" s="24" t="s">
        <v>33</v>
      </c>
      <c r="J4064" s="19" t="s">
        <v>146</v>
      </c>
      <c r="K4064" s="14">
        <v>5.0</v>
      </c>
      <c r="L4064" s="7"/>
      <c r="M4064" s="7"/>
      <c r="N4064" s="7"/>
      <c r="O4064" s="7"/>
      <c r="P4064" s="7"/>
      <c r="Q4064" s="7"/>
      <c r="R4064" s="7"/>
      <c r="S4064" s="7"/>
      <c r="T4064" s="7"/>
      <c r="U4064" s="7"/>
      <c r="V4064" s="7"/>
      <c r="W4064" s="7"/>
      <c r="X4064" s="7"/>
      <c r="Y4064" s="7"/>
    </row>
    <row r="4065">
      <c r="A4065" s="14" t="s">
        <v>14391</v>
      </c>
      <c r="B4065" s="17" t="s">
        <v>14388</v>
      </c>
      <c r="C4065" s="17" t="s">
        <v>14392</v>
      </c>
      <c r="D4065" s="19" t="s">
        <v>14393</v>
      </c>
      <c r="E4065" s="20" t="s">
        <v>769</v>
      </c>
      <c r="F4065" s="21">
        <v>32904.0</v>
      </c>
      <c r="G4065" s="14">
        <v>36.0</v>
      </c>
      <c r="H4065" s="23" t="s">
        <v>26</v>
      </c>
      <c r="I4065" s="24" t="s">
        <v>27</v>
      </c>
      <c r="J4065" s="19" t="s">
        <v>146</v>
      </c>
      <c r="K4065" s="14">
        <v>5.0</v>
      </c>
      <c r="L4065" s="7"/>
      <c r="M4065" s="7"/>
      <c r="N4065" s="7"/>
      <c r="O4065" s="7"/>
      <c r="P4065" s="7"/>
      <c r="Q4065" s="7"/>
      <c r="R4065" s="7"/>
      <c r="S4065" s="7"/>
      <c r="T4065" s="7"/>
      <c r="U4065" s="7"/>
      <c r="V4065" s="7"/>
      <c r="W4065" s="7"/>
      <c r="X4065" s="7"/>
      <c r="Y4065" s="7"/>
    </row>
    <row r="4066">
      <c r="A4066" s="14" t="s">
        <v>14394</v>
      </c>
      <c r="B4066" s="17" t="s">
        <v>14395</v>
      </c>
      <c r="C4066" s="17" t="s">
        <v>14396</v>
      </c>
      <c r="D4066" s="19" t="s">
        <v>14397</v>
      </c>
      <c r="E4066" s="20" t="s">
        <v>53</v>
      </c>
      <c r="F4066" s="21">
        <v>31440.0</v>
      </c>
      <c r="G4066" s="14">
        <v>40.0</v>
      </c>
      <c r="H4066" s="23" t="s">
        <v>26</v>
      </c>
      <c r="I4066" s="24" t="s">
        <v>27</v>
      </c>
      <c r="J4066" s="19" t="s">
        <v>39</v>
      </c>
      <c r="K4066" s="14">
        <v>14.0</v>
      </c>
      <c r="L4066" s="7"/>
      <c r="M4066" s="7"/>
      <c r="N4066" s="7"/>
      <c r="O4066" s="7"/>
      <c r="P4066" s="7"/>
      <c r="Q4066" s="7"/>
      <c r="R4066" s="7"/>
      <c r="S4066" s="7"/>
      <c r="T4066" s="7"/>
      <c r="U4066" s="7"/>
      <c r="V4066" s="7"/>
      <c r="W4066" s="7"/>
      <c r="X4066" s="7"/>
      <c r="Y4066" s="7"/>
    </row>
    <row r="4067">
      <c r="A4067" s="14" t="s">
        <v>14398</v>
      </c>
      <c r="B4067" s="17" t="s">
        <v>14395</v>
      </c>
      <c r="C4067" s="17" t="s">
        <v>14399</v>
      </c>
      <c r="D4067" s="19" t="s">
        <v>14400</v>
      </c>
      <c r="E4067" s="20" t="s">
        <v>2509</v>
      </c>
      <c r="F4067" s="21">
        <v>31440.0</v>
      </c>
      <c r="G4067" s="14">
        <v>40.0</v>
      </c>
      <c r="H4067" s="23" t="s">
        <v>26</v>
      </c>
      <c r="I4067" s="24" t="s">
        <v>33</v>
      </c>
      <c r="J4067" s="19" t="s">
        <v>39</v>
      </c>
      <c r="K4067" s="14">
        <v>14.0</v>
      </c>
      <c r="L4067" s="7"/>
      <c r="M4067" s="7"/>
      <c r="N4067" s="7"/>
      <c r="O4067" s="7"/>
      <c r="P4067" s="7"/>
      <c r="Q4067" s="7"/>
      <c r="R4067" s="7"/>
      <c r="S4067" s="7"/>
      <c r="T4067" s="7"/>
      <c r="U4067" s="7"/>
      <c r="V4067" s="7"/>
      <c r="W4067" s="7"/>
      <c r="X4067" s="7"/>
      <c r="Y4067" s="7"/>
    </row>
    <row r="4068">
      <c r="A4068" s="14" t="s">
        <v>14401</v>
      </c>
      <c r="B4068" s="17" t="s">
        <v>14402</v>
      </c>
      <c r="C4068" s="17" t="s">
        <v>14403</v>
      </c>
      <c r="D4068" s="19" t="s">
        <v>14404</v>
      </c>
      <c r="E4068" s="20" t="s">
        <v>4976</v>
      </c>
      <c r="F4068" s="21">
        <v>27214.0</v>
      </c>
      <c r="G4068" s="14">
        <v>52.0</v>
      </c>
      <c r="H4068" s="23" t="s">
        <v>26</v>
      </c>
      <c r="I4068" s="24" t="s">
        <v>27</v>
      </c>
      <c r="J4068" s="19" t="s">
        <v>53</v>
      </c>
      <c r="K4068" s="14">
        <v>9.0</v>
      </c>
      <c r="L4068" s="7"/>
      <c r="M4068" s="7"/>
      <c r="N4068" s="7"/>
      <c r="O4068" s="7"/>
      <c r="P4068" s="7"/>
      <c r="Q4068" s="7"/>
      <c r="R4068" s="7"/>
      <c r="S4068" s="7"/>
      <c r="T4068" s="7"/>
      <c r="U4068" s="7"/>
      <c r="V4068" s="7"/>
      <c r="W4068" s="7"/>
      <c r="X4068" s="7"/>
      <c r="Y4068" s="7"/>
    </row>
    <row r="4069">
      <c r="A4069" s="14" t="s">
        <v>14405</v>
      </c>
      <c r="B4069" s="17" t="s">
        <v>14402</v>
      </c>
      <c r="C4069" s="17" t="s">
        <v>14406</v>
      </c>
      <c r="D4069" s="19" t="s">
        <v>14407</v>
      </c>
      <c r="E4069" s="20" t="s">
        <v>4976</v>
      </c>
      <c r="F4069" s="21">
        <v>23743.0</v>
      </c>
      <c r="G4069" s="14">
        <v>61.0</v>
      </c>
      <c r="H4069" s="23" t="s">
        <v>26</v>
      </c>
      <c r="I4069" s="24" t="s">
        <v>33</v>
      </c>
      <c r="J4069" s="19" t="s">
        <v>53</v>
      </c>
      <c r="K4069" s="14">
        <v>9.0</v>
      </c>
      <c r="L4069" s="7"/>
      <c r="M4069" s="7"/>
      <c r="N4069" s="7"/>
      <c r="O4069" s="7"/>
      <c r="P4069" s="7"/>
      <c r="Q4069" s="7"/>
      <c r="R4069" s="7"/>
      <c r="S4069" s="7"/>
      <c r="T4069" s="7"/>
      <c r="U4069" s="7"/>
      <c r="V4069" s="7"/>
      <c r="W4069" s="7"/>
      <c r="X4069" s="7"/>
      <c r="Y4069" s="7"/>
    </row>
    <row r="4070">
      <c r="A4070" s="14" t="s">
        <v>14408</v>
      </c>
      <c r="B4070" s="17" t="s">
        <v>14409</v>
      </c>
      <c r="C4070" s="17" t="s">
        <v>14410</v>
      </c>
      <c r="D4070" s="19" t="s">
        <v>14411</v>
      </c>
      <c r="E4070" s="20" t="s">
        <v>53</v>
      </c>
      <c r="F4070" s="21">
        <v>35504.0</v>
      </c>
      <c r="G4070" s="14">
        <v>29.0</v>
      </c>
      <c r="H4070" s="23" t="s">
        <v>100</v>
      </c>
      <c r="I4070" s="24" t="s">
        <v>27</v>
      </c>
      <c r="J4070" s="19" t="s">
        <v>53</v>
      </c>
      <c r="K4070" s="14">
        <v>10.0</v>
      </c>
      <c r="L4070" s="7"/>
      <c r="M4070" s="7"/>
      <c r="N4070" s="7"/>
      <c r="O4070" s="7"/>
      <c r="P4070" s="7"/>
      <c r="Q4070" s="7"/>
      <c r="R4070" s="7"/>
      <c r="S4070" s="7"/>
      <c r="T4070" s="7"/>
      <c r="U4070" s="7"/>
      <c r="V4070" s="7"/>
      <c r="W4070" s="7"/>
      <c r="X4070" s="7"/>
      <c r="Y4070" s="7"/>
    </row>
    <row r="4071">
      <c r="A4071" s="14" t="s">
        <v>14412</v>
      </c>
      <c r="B4071" s="17" t="s">
        <v>14409</v>
      </c>
      <c r="C4071" s="17" t="s">
        <v>14413</v>
      </c>
      <c r="D4071" s="19" t="s">
        <v>14414</v>
      </c>
      <c r="E4071" s="20" t="s">
        <v>337</v>
      </c>
      <c r="F4071" s="21">
        <v>34280.0</v>
      </c>
      <c r="G4071" s="14">
        <v>32.0</v>
      </c>
      <c r="H4071" s="23" t="s">
        <v>100</v>
      </c>
      <c r="I4071" s="24" t="s">
        <v>33</v>
      </c>
      <c r="J4071" s="19" t="s">
        <v>53</v>
      </c>
      <c r="K4071" s="14">
        <v>10.0</v>
      </c>
      <c r="L4071" s="7"/>
      <c r="M4071" s="7"/>
      <c r="N4071" s="7"/>
      <c r="O4071" s="7"/>
      <c r="P4071" s="7"/>
      <c r="Q4071" s="7"/>
      <c r="R4071" s="7"/>
      <c r="S4071" s="7"/>
      <c r="T4071" s="7"/>
      <c r="U4071" s="7"/>
      <c r="V4071" s="7"/>
      <c r="W4071" s="7"/>
      <c r="X4071" s="7"/>
      <c r="Y4071" s="7"/>
    </row>
    <row r="4072">
      <c r="A4072" s="14" t="s">
        <v>14415</v>
      </c>
      <c r="B4072" s="17" t="s">
        <v>14409</v>
      </c>
      <c r="C4072" s="17" t="s">
        <v>14416</v>
      </c>
      <c r="D4072" s="19" t="s">
        <v>14417</v>
      </c>
      <c r="E4072" s="20" t="s">
        <v>14418</v>
      </c>
      <c r="F4072" s="21">
        <v>21885.0</v>
      </c>
      <c r="G4072" s="14">
        <v>66.0</v>
      </c>
      <c r="H4072" s="23" t="s">
        <v>26</v>
      </c>
      <c r="I4072" s="24" t="s">
        <v>33</v>
      </c>
      <c r="J4072" s="19" t="s">
        <v>53</v>
      </c>
      <c r="K4072" s="14">
        <v>10.0</v>
      </c>
      <c r="L4072" s="7"/>
      <c r="M4072" s="7"/>
      <c r="N4072" s="7"/>
      <c r="O4072" s="7"/>
      <c r="P4072" s="7"/>
      <c r="Q4072" s="7"/>
      <c r="R4072" s="7"/>
      <c r="S4072" s="7"/>
      <c r="T4072" s="7"/>
      <c r="U4072" s="7"/>
      <c r="V4072" s="7"/>
      <c r="W4072" s="7"/>
      <c r="X4072" s="7"/>
      <c r="Y4072" s="7"/>
    </row>
    <row r="4073">
      <c r="A4073" s="14" t="s">
        <v>14419</v>
      </c>
      <c r="B4073" s="17" t="s">
        <v>14409</v>
      </c>
      <c r="C4073" s="17" t="s">
        <v>14420</v>
      </c>
      <c r="D4073" s="19" t="s">
        <v>14421</v>
      </c>
      <c r="E4073" s="20" t="s">
        <v>53</v>
      </c>
      <c r="F4073" s="27">
        <v>37253.0</v>
      </c>
      <c r="G4073" s="14">
        <v>24.0</v>
      </c>
      <c r="H4073" s="23" t="s">
        <v>100</v>
      </c>
      <c r="I4073" s="24" t="s">
        <v>27</v>
      </c>
      <c r="J4073" s="19" t="s">
        <v>53</v>
      </c>
      <c r="K4073" s="14">
        <v>10.0</v>
      </c>
      <c r="L4073" s="7"/>
      <c r="M4073" s="7"/>
      <c r="N4073" s="7"/>
      <c r="O4073" s="7"/>
      <c r="P4073" s="7"/>
      <c r="Q4073" s="7"/>
      <c r="R4073" s="7"/>
      <c r="S4073" s="7"/>
      <c r="T4073" s="7"/>
      <c r="U4073" s="7"/>
      <c r="V4073" s="7"/>
      <c r="W4073" s="7"/>
      <c r="X4073" s="7"/>
      <c r="Y4073" s="7"/>
    </row>
    <row r="4074">
      <c r="A4074" s="14" t="s">
        <v>14422</v>
      </c>
      <c r="B4074" s="17" t="s">
        <v>14409</v>
      </c>
      <c r="C4074" s="17" t="s">
        <v>14423</v>
      </c>
      <c r="D4074" s="19" t="s">
        <v>14424</v>
      </c>
      <c r="E4074" s="20" t="s">
        <v>605</v>
      </c>
      <c r="F4074" s="21">
        <v>26788.0</v>
      </c>
      <c r="G4074" s="14">
        <v>53.0</v>
      </c>
      <c r="H4074" s="23" t="s">
        <v>26</v>
      </c>
      <c r="I4074" s="24" t="s">
        <v>27</v>
      </c>
      <c r="J4074" s="19" t="s">
        <v>53</v>
      </c>
      <c r="K4074" s="14">
        <v>10.0</v>
      </c>
      <c r="L4074" s="7"/>
      <c r="M4074" s="7"/>
      <c r="N4074" s="7"/>
      <c r="O4074" s="7"/>
      <c r="P4074" s="7"/>
      <c r="Q4074" s="7"/>
      <c r="R4074" s="7"/>
      <c r="S4074" s="7"/>
      <c r="T4074" s="7"/>
      <c r="U4074" s="7"/>
      <c r="V4074" s="7"/>
      <c r="W4074" s="7"/>
      <c r="X4074" s="7"/>
      <c r="Y4074" s="7"/>
    </row>
  </sheetData>
  <hyperlinks>
    <hyperlink r:id="rId1" ref="D1335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3" width="15.88"/>
    <col customWidth="1" min="4" max="4" width="29.0"/>
    <col customWidth="1" min="5" max="5" width="22.38"/>
    <col customWidth="1" min="6" max="6" width="11.0"/>
    <col customWidth="1" min="7" max="7" width="4.0"/>
    <col customWidth="1" min="8" max="8" width="7.88"/>
    <col customWidth="1" min="9" max="9" width="3.13"/>
    <col customWidth="1" min="10" max="10" width="32.38"/>
    <col customWidth="1" min="11" max="11" width="7.13"/>
    <col customWidth="1" min="12" max="12" width="9.13"/>
    <col customWidth="1" min="13" max="13" width="22.38"/>
    <col customWidth="1" min="14" max="14" width="3.75"/>
  </cols>
  <sheetData>
    <row r="1">
      <c r="A1" s="2" t="s">
        <v>1</v>
      </c>
      <c r="B1" s="4" t="s">
        <v>2</v>
      </c>
      <c r="C1" s="4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5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8" t="s">
        <v>13</v>
      </c>
      <c r="N1" s="9" t="s">
        <v>14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>
      <c r="A2" s="14" t="s">
        <v>18</v>
      </c>
      <c r="B2" s="17" t="s">
        <v>20</v>
      </c>
      <c r="C2" s="17" t="s">
        <v>22</v>
      </c>
      <c r="D2" s="19" t="s">
        <v>23</v>
      </c>
      <c r="E2" s="20" t="s">
        <v>25</v>
      </c>
      <c r="F2" s="21">
        <v>30433.0</v>
      </c>
      <c r="G2" s="14">
        <f t="shared" ref="G2:G4075" si="1">DATEDIF(F2, DATE(2026, 10, 29), "Y")</f>
        <v>43</v>
      </c>
      <c r="H2" s="23" t="s">
        <v>26</v>
      </c>
      <c r="I2" s="24" t="s">
        <v>27</v>
      </c>
      <c r="J2" s="19" t="s">
        <v>28</v>
      </c>
      <c r="K2" s="14">
        <v>12.0</v>
      </c>
      <c r="L2" s="14">
        <v>5.0</v>
      </c>
      <c r="M2" s="25"/>
      <c r="N2" s="26" t="s">
        <v>21</v>
      </c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>
      <c r="A3" s="14" t="s">
        <v>29</v>
      </c>
      <c r="B3" s="17" t="s">
        <v>20</v>
      </c>
      <c r="C3" s="17" t="s">
        <v>30</v>
      </c>
      <c r="D3" s="19" t="s">
        <v>31</v>
      </c>
      <c r="E3" s="20" t="s">
        <v>32</v>
      </c>
      <c r="F3" s="21">
        <v>27550.0</v>
      </c>
      <c r="G3" s="14">
        <f t="shared" si="1"/>
        <v>51</v>
      </c>
      <c r="H3" s="23" t="s">
        <v>26</v>
      </c>
      <c r="I3" s="24" t="s">
        <v>33</v>
      </c>
      <c r="J3" s="19" t="s">
        <v>28</v>
      </c>
      <c r="K3" s="14">
        <v>12.0</v>
      </c>
      <c r="L3" s="14">
        <v>5.0</v>
      </c>
      <c r="M3" s="25"/>
      <c r="N3" s="26" t="s">
        <v>21</v>
      </c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>
      <c r="A4" s="14" t="s">
        <v>34</v>
      </c>
      <c r="B4" s="17" t="s">
        <v>35</v>
      </c>
      <c r="C4" s="17" t="s">
        <v>36</v>
      </c>
      <c r="D4" s="19" t="s">
        <v>37</v>
      </c>
      <c r="E4" s="20" t="s">
        <v>38</v>
      </c>
      <c r="F4" s="21">
        <v>32090.0</v>
      </c>
      <c r="G4" s="14">
        <f t="shared" si="1"/>
        <v>38</v>
      </c>
      <c r="H4" s="23" t="s">
        <v>26</v>
      </c>
      <c r="I4" s="24" t="s">
        <v>33</v>
      </c>
      <c r="J4" s="19" t="s">
        <v>39</v>
      </c>
      <c r="K4" s="14">
        <v>11.0</v>
      </c>
      <c r="L4" s="14">
        <v>5.0</v>
      </c>
      <c r="M4" s="25"/>
      <c r="N4" s="26" t="s">
        <v>21</v>
      </c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>
      <c r="A5" s="14" t="s">
        <v>40</v>
      </c>
      <c r="B5" s="17" t="s">
        <v>35</v>
      </c>
      <c r="C5" s="17" t="s">
        <v>41</v>
      </c>
      <c r="D5" s="19" t="s">
        <v>42</v>
      </c>
      <c r="E5" s="20" t="s">
        <v>43</v>
      </c>
      <c r="F5" s="21">
        <v>34516.0</v>
      </c>
      <c r="G5" s="14">
        <f t="shared" si="1"/>
        <v>32</v>
      </c>
      <c r="H5" s="23" t="s">
        <v>26</v>
      </c>
      <c r="I5" s="24" t="s">
        <v>27</v>
      </c>
      <c r="J5" s="19" t="s">
        <v>39</v>
      </c>
      <c r="K5" s="14">
        <v>11.0</v>
      </c>
      <c r="L5" s="14">
        <v>5.0</v>
      </c>
      <c r="M5" s="25"/>
      <c r="N5" s="26" t="s">
        <v>21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>
      <c r="A6" s="14" t="s">
        <v>44</v>
      </c>
      <c r="B6" s="17" t="s">
        <v>45</v>
      </c>
      <c r="C6" s="17" t="s">
        <v>46</v>
      </c>
      <c r="D6" s="19" t="s">
        <v>47</v>
      </c>
      <c r="E6" s="20" t="s">
        <v>48</v>
      </c>
      <c r="F6" s="27">
        <v>33969.0</v>
      </c>
      <c r="G6" s="14">
        <f t="shared" si="1"/>
        <v>33</v>
      </c>
      <c r="H6" s="23" t="s">
        <v>26</v>
      </c>
      <c r="I6" s="24" t="s">
        <v>33</v>
      </c>
      <c r="J6" s="19" t="s">
        <v>49</v>
      </c>
      <c r="K6" s="14">
        <v>29.0</v>
      </c>
      <c r="L6" s="14">
        <v>0.0</v>
      </c>
      <c r="M6" s="25"/>
      <c r="N6" s="26" t="s">
        <v>21</v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>
      <c r="A7" s="14" t="s">
        <v>50</v>
      </c>
      <c r="B7" s="17" t="s">
        <v>45</v>
      </c>
      <c r="C7" s="17" t="s">
        <v>51</v>
      </c>
      <c r="D7" s="19" t="s">
        <v>52</v>
      </c>
      <c r="E7" s="20" t="s">
        <v>53</v>
      </c>
      <c r="F7" s="27">
        <v>33963.0</v>
      </c>
      <c r="G7" s="14">
        <f t="shared" si="1"/>
        <v>33</v>
      </c>
      <c r="H7" s="23" t="s">
        <v>26</v>
      </c>
      <c r="I7" s="24" t="s">
        <v>27</v>
      </c>
      <c r="J7" s="19" t="s">
        <v>49</v>
      </c>
      <c r="K7" s="14">
        <v>29.0</v>
      </c>
      <c r="L7" s="14">
        <v>0.0</v>
      </c>
      <c r="M7" s="25"/>
      <c r="N7" s="26" t="s">
        <v>21</v>
      </c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>
      <c r="A8" s="14" t="s">
        <v>54</v>
      </c>
      <c r="B8" s="17" t="s">
        <v>55</v>
      </c>
      <c r="C8" s="17" t="s">
        <v>56</v>
      </c>
      <c r="D8" s="19" t="s">
        <v>57</v>
      </c>
      <c r="E8" s="20" t="s">
        <v>53</v>
      </c>
      <c r="F8" s="27">
        <v>34690.0</v>
      </c>
      <c r="G8" s="14">
        <f t="shared" si="1"/>
        <v>31</v>
      </c>
      <c r="H8" s="23" t="s">
        <v>26</v>
      </c>
      <c r="I8" s="24" t="s">
        <v>27</v>
      </c>
      <c r="J8" s="19" t="s">
        <v>58</v>
      </c>
      <c r="K8" s="14">
        <v>9.0</v>
      </c>
      <c r="L8" s="14">
        <v>5.0</v>
      </c>
      <c r="M8" s="25"/>
      <c r="N8" s="26" t="s">
        <v>21</v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>
      <c r="A9" s="14" t="s">
        <v>59</v>
      </c>
      <c r="B9" s="17" t="s">
        <v>55</v>
      </c>
      <c r="C9" s="17" t="s">
        <v>60</v>
      </c>
      <c r="D9" s="19" t="s">
        <v>61</v>
      </c>
      <c r="E9" s="20" t="s">
        <v>62</v>
      </c>
      <c r="F9" s="27">
        <v>33593.0</v>
      </c>
      <c r="G9" s="14">
        <f t="shared" si="1"/>
        <v>34</v>
      </c>
      <c r="H9" s="23" t="s">
        <v>26</v>
      </c>
      <c r="I9" s="24" t="s">
        <v>33</v>
      </c>
      <c r="J9" s="19" t="s">
        <v>58</v>
      </c>
      <c r="K9" s="14">
        <v>9.0</v>
      </c>
      <c r="L9" s="14">
        <v>5.0</v>
      </c>
      <c r="M9" s="25"/>
      <c r="N9" s="26" t="s">
        <v>21</v>
      </c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>
      <c r="A10" s="14" t="s">
        <v>63</v>
      </c>
      <c r="B10" s="17" t="s">
        <v>64</v>
      </c>
      <c r="C10" s="17" t="s">
        <v>65</v>
      </c>
      <c r="D10" s="19" t="s">
        <v>66</v>
      </c>
      <c r="E10" s="20" t="s">
        <v>67</v>
      </c>
      <c r="F10" s="21">
        <v>28095.0</v>
      </c>
      <c r="G10" s="14">
        <f t="shared" si="1"/>
        <v>49</v>
      </c>
      <c r="H10" s="23" t="s">
        <v>26</v>
      </c>
      <c r="I10" s="24" t="s">
        <v>33</v>
      </c>
      <c r="J10" s="19" t="s">
        <v>68</v>
      </c>
      <c r="K10" s="14">
        <v>35.0</v>
      </c>
      <c r="L10" s="14">
        <v>0.0</v>
      </c>
      <c r="M10" s="25"/>
      <c r="N10" s="26" t="s">
        <v>21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>
      <c r="A11" s="14" t="s">
        <v>69</v>
      </c>
      <c r="B11" s="17" t="s">
        <v>64</v>
      </c>
      <c r="C11" s="17" t="s">
        <v>70</v>
      </c>
      <c r="D11" s="19" t="s">
        <v>71</v>
      </c>
      <c r="E11" s="20" t="s">
        <v>72</v>
      </c>
      <c r="F11" s="21">
        <v>34094.0</v>
      </c>
      <c r="G11" s="14">
        <f t="shared" si="1"/>
        <v>33</v>
      </c>
      <c r="H11" s="23" t="s">
        <v>26</v>
      </c>
      <c r="I11" s="24" t="s">
        <v>27</v>
      </c>
      <c r="J11" s="19" t="s">
        <v>68</v>
      </c>
      <c r="K11" s="14">
        <v>35.0</v>
      </c>
      <c r="L11" s="14">
        <v>0.0</v>
      </c>
      <c r="M11" s="25"/>
      <c r="N11" s="26" t="s">
        <v>21</v>
      </c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>
      <c r="A12" s="14" t="s">
        <v>73</v>
      </c>
      <c r="B12" s="17" t="s">
        <v>74</v>
      </c>
      <c r="C12" s="17" t="s">
        <v>75</v>
      </c>
      <c r="D12" s="19" t="s">
        <v>76</v>
      </c>
      <c r="E12" s="20" t="s">
        <v>77</v>
      </c>
      <c r="F12" s="21">
        <v>33208.0</v>
      </c>
      <c r="G12" s="14">
        <f t="shared" si="1"/>
        <v>35</v>
      </c>
      <c r="H12" s="23" t="s">
        <v>26</v>
      </c>
      <c r="I12" s="24" t="s">
        <v>33</v>
      </c>
      <c r="J12" s="19" t="s">
        <v>68</v>
      </c>
      <c r="K12" s="14">
        <v>34.0</v>
      </c>
      <c r="L12" s="14">
        <v>0.0</v>
      </c>
      <c r="M12" s="25"/>
      <c r="N12" s="26" t="s">
        <v>21</v>
      </c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>
      <c r="A13" s="14" t="s">
        <v>78</v>
      </c>
      <c r="B13" s="17" t="s">
        <v>74</v>
      </c>
      <c r="C13" s="17" t="s">
        <v>79</v>
      </c>
      <c r="D13" s="19" t="s">
        <v>80</v>
      </c>
      <c r="E13" s="20" t="s">
        <v>53</v>
      </c>
      <c r="F13" s="21">
        <v>35768.0</v>
      </c>
      <c r="G13" s="14">
        <f t="shared" si="1"/>
        <v>28</v>
      </c>
      <c r="H13" s="23" t="s">
        <v>26</v>
      </c>
      <c r="I13" s="24" t="s">
        <v>27</v>
      </c>
      <c r="J13" s="19" t="s">
        <v>68</v>
      </c>
      <c r="K13" s="14">
        <v>34.0</v>
      </c>
      <c r="L13" s="14">
        <v>0.0</v>
      </c>
      <c r="M13" s="25"/>
      <c r="N13" s="26" t="s">
        <v>21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>
      <c r="A14" s="14" t="s">
        <v>81</v>
      </c>
      <c r="B14" s="17" t="s">
        <v>82</v>
      </c>
      <c r="C14" s="17" t="s">
        <v>83</v>
      </c>
      <c r="D14" s="19" t="s">
        <v>84</v>
      </c>
      <c r="E14" s="20" t="s">
        <v>85</v>
      </c>
      <c r="F14" s="21">
        <v>35688.0</v>
      </c>
      <c r="G14" s="14">
        <f t="shared" si="1"/>
        <v>29</v>
      </c>
      <c r="H14" s="23" t="s">
        <v>26</v>
      </c>
      <c r="I14" s="24" t="s">
        <v>33</v>
      </c>
      <c r="J14" s="19" t="s">
        <v>53</v>
      </c>
      <c r="K14" s="14">
        <v>4.0</v>
      </c>
      <c r="L14" s="14">
        <v>5.0</v>
      </c>
      <c r="M14" s="25"/>
      <c r="N14" s="26" t="s">
        <v>21</v>
      </c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>
      <c r="A15" s="14" t="s">
        <v>86</v>
      </c>
      <c r="B15" s="17" t="s">
        <v>82</v>
      </c>
      <c r="C15" s="17" t="s">
        <v>87</v>
      </c>
      <c r="D15" s="19" t="s">
        <v>88</v>
      </c>
      <c r="E15" s="20" t="s">
        <v>89</v>
      </c>
      <c r="F15" s="21">
        <v>34785.0</v>
      </c>
      <c r="G15" s="14">
        <f t="shared" si="1"/>
        <v>31</v>
      </c>
      <c r="H15" s="23" t="s">
        <v>26</v>
      </c>
      <c r="I15" s="24" t="s">
        <v>27</v>
      </c>
      <c r="J15" s="19" t="s">
        <v>53</v>
      </c>
      <c r="K15" s="14">
        <v>4.0</v>
      </c>
      <c r="L15" s="14">
        <v>5.0</v>
      </c>
      <c r="M15" s="25"/>
      <c r="N15" s="26" t="s">
        <v>21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>
      <c r="A16" s="14" t="s">
        <v>90</v>
      </c>
      <c r="B16" s="17" t="s">
        <v>91</v>
      </c>
      <c r="C16" s="17" t="s">
        <v>92</v>
      </c>
      <c r="D16" s="19" t="s">
        <v>93</v>
      </c>
      <c r="E16" s="20" t="s">
        <v>94</v>
      </c>
      <c r="F16" s="21">
        <v>25818.0</v>
      </c>
      <c r="G16" s="14">
        <f t="shared" si="1"/>
        <v>56</v>
      </c>
      <c r="H16" s="23" t="s">
        <v>26</v>
      </c>
      <c r="I16" s="24" t="s">
        <v>33</v>
      </c>
      <c r="J16" s="19" t="s">
        <v>95</v>
      </c>
      <c r="K16" s="14">
        <v>16.0</v>
      </c>
      <c r="L16" s="14">
        <v>0.0</v>
      </c>
      <c r="M16" s="25"/>
      <c r="N16" s="26" t="s">
        <v>21</v>
      </c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>
      <c r="A17" s="14" t="s">
        <v>96</v>
      </c>
      <c r="B17" s="17" t="s">
        <v>91</v>
      </c>
      <c r="C17" s="17" t="s">
        <v>97</v>
      </c>
      <c r="D17" s="19" t="s">
        <v>98</v>
      </c>
      <c r="E17" s="20" t="s">
        <v>99</v>
      </c>
      <c r="F17" s="21">
        <v>39283.0</v>
      </c>
      <c r="G17" s="14">
        <f t="shared" si="1"/>
        <v>19</v>
      </c>
      <c r="H17" s="23" t="s">
        <v>100</v>
      </c>
      <c r="I17" s="24" t="s">
        <v>33</v>
      </c>
      <c r="J17" s="19" t="s">
        <v>95</v>
      </c>
      <c r="K17" s="14">
        <v>16.0</v>
      </c>
      <c r="L17" s="14">
        <v>0.0</v>
      </c>
      <c r="M17" s="25"/>
      <c r="N17" s="26" t="s">
        <v>21</v>
      </c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>
      <c r="A18" s="14" t="s">
        <v>101</v>
      </c>
      <c r="B18" s="17" t="s">
        <v>91</v>
      </c>
      <c r="C18" s="17" t="s">
        <v>102</v>
      </c>
      <c r="D18" s="19" t="s">
        <v>103</v>
      </c>
      <c r="E18" s="20" t="s">
        <v>104</v>
      </c>
      <c r="F18" s="21">
        <v>29842.0</v>
      </c>
      <c r="G18" s="14">
        <f t="shared" si="1"/>
        <v>45</v>
      </c>
      <c r="H18" s="23" t="s">
        <v>26</v>
      </c>
      <c r="I18" s="24" t="s">
        <v>27</v>
      </c>
      <c r="J18" s="19" t="s">
        <v>95</v>
      </c>
      <c r="K18" s="14">
        <v>16.0</v>
      </c>
      <c r="L18" s="14">
        <v>0.0</v>
      </c>
      <c r="M18" s="25"/>
      <c r="N18" s="26" t="s">
        <v>21</v>
      </c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>
      <c r="A19" s="14" t="s">
        <v>105</v>
      </c>
      <c r="B19" s="17" t="s">
        <v>91</v>
      </c>
      <c r="C19" s="17" t="s">
        <v>106</v>
      </c>
      <c r="D19" s="19" t="s">
        <v>107</v>
      </c>
      <c r="E19" s="20" t="s">
        <v>104</v>
      </c>
      <c r="F19" s="21">
        <v>37927.0</v>
      </c>
      <c r="G19" s="14">
        <f t="shared" si="1"/>
        <v>22</v>
      </c>
      <c r="H19" s="23" t="s">
        <v>100</v>
      </c>
      <c r="I19" s="24" t="s">
        <v>27</v>
      </c>
      <c r="J19" s="19" t="s">
        <v>95</v>
      </c>
      <c r="K19" s="14">
        <v>16.0</v>
      </c>
      <c r="L19" s="14">
        <v>0.0</v>
      </c>
      <c r="M19" s="25"/>
      <c r="N19" s="26" t="s">
        <v>21</v>
      </c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>
      <c r="A20" s="14" t="s">
        <v>108</v>
      </c>
      <c r="B20" s="17" t="s">
        <v>109</v>
      </c>
      <c r="C20" s="17" t="s">
        <v>110</v>
      </c>
      <c r="D20" s="19" t="s">
        <v>111</v>
      </c>
      <c r="E20" s="20" t="s">
        <v>112</v>
      </c>
      <c r="F20" s="27">
        <v>36517.0</v>
      </c>
      <c r="G20" s="14">
        <f t="shared" si="1"/>
        <v>26</v>
      </c>
      <c r="H20" s="23" t="s">
        <v>100</v>
      </c>
      <c r="I20" s="24" t="s">
        <v>33</v>
      </c>
      <c r="J20" s="19" t="s">
        <v>113</v>
      </c>
      <c r="K20" s="14">
        <v>19.0</v>
      </c>
      <c r="L20" s="14">
        <v>0.0</v>
      </c>
      <c r="M20" s="25"/>
      <c r="N20" s="26" t="s">
        <v>21</v>
      </c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>
      <c r="A21" s="14" t="s">
        <v>114</v>
      </c>
      <c r="B21" s="17" t="s">
        <v>109</v>
      </c>
      <c r="C21" s="17" t="s">
        <v>115</v>
      </c>
      <c r="D21" s="19" t="s">
        <v>116</v>
      </c>
      <c r="E21" s="20" t="s">
        <v>112</v>
      </c>
      <c r="F21" s="21">
        <v>25569.0</v>
      </c>
      <c r="G21" s="14">
        <f t="shared" si="1"/>
        <v>56</v>
      </c>
      <c r="H21" s="23" t="s">
        <v>27</v>
      </c>
      <c r="I21" s="24" t="s">
        <v>27</v>
      </c>
      <c r="J21" s="19" t="s">
        <v>113</v>
      </c>
      <c r="K21" s="14">
        <v>19.0</v>
      </c>
      <c r="L21" s="14">
        <v>0.0</v>
      </c>
      <c r="M21" s="25"/>
      <c r="N21" s="26" t="s">
        <v>21</v>
      </c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>
      <c r="A22" s="14" t="s">
        <v>117</v>
      </c>
      <c r="B22" s="17" t="s">
        <v>118</v>
      </c>
      <c r="C22" s="17" t="s">
        <v>119</v>
      </c>
      <c r="D22" s="19" t="s">
        <v>120</v>
      </c>
      <c r="E22" s="20" t="s">
        <v>104</v>
      </c>
      <c r="F22" s="21">
        <v>28205.0</v>
      </c>
      <c r="G22" s="14">
        <f t="shared" si="1"/>
        <v>49</v>
      </c>
      <c r="H22" s="23" t="s">
        <v>26</v>
      </c>
      <c r="I22" s="24" t="s">
        <v>33</v>
      </c>
      <c r="J22" s="19" t="s">
        <v>58</v>
      </c>
      <c r="K22" s="14">
        <v>3.0</v>
      </c>
      <c r="L22" s="14">
        <v>0.0</v>
      </c>
      <c r="M22" s="25"/>
      <c r="N22" s="26" t="s">
        <v>21</v>
      </c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>
      <c r="A23" s="14" t="s">
        <v>121</v>
      </c>
      <c r="B23" s="17" t="s">
        <v>118</v>
      </c>
      <c r="C23" s="17" t="s">
        <v>122</v>
      </c>
      <c r="D23" s="19" t="s">
        <v>123</v>
      </c>
      <c r="E23" s="20" t="s">
        <v>124</v>
      </c>
      <c r="F23" s="21">
        <v>30112.0</v>
      </c>
      <c r="G23" s="14">
        <f t="shared" si="1"/>
        <v>44</v>
      </c>
      <c r="H23" s="23" t="s">
        <v>26</v>
      </c>
      <c r="I23" s="24" t="s">
        <v>27</v>
      </c>
      <c r="J23" s="19" t="s">
        <v>58</v>
      </c>
      <c r="K23" s="14">
        <v>3.0</v>
      </c>
      <c r="L23" s="14">
        <v>0.0</v>
      </c>
      <c r="M23" s="25"/>
      <c r="N23" s="26" t="s">
        <v>21</v>
      </c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>
      <c r="A24" s="14" t="s">
        <v>125</v>
      </c>
      <c r="B24" s="17" t="s">
        <v>126</v>
      </c>
      <c r="C24" s="17" t="s">
        <v>127</v>
      </c>
      <c r="D24" s="19" t="s">
        <v>128</v>
      </c>
      <c r="E24" s="20" t="s">
        <v>129</v>
      </c>
      <c r="F24" s="21">
        <v>26524.0</v>
      </c>
      <c r="G24" s="14">
        <f t="shared" si="1"/>
        <v>54</v>
      </c>
      <c r="H24" s="23" t="s">
        <v>26</v>
      </c>
      <c r="I24" s="24" t="s">
        <v>33</v>
      </c>
      <c r="J24" s="19" t="s">
        <v>53</v>
      </c>
      <c r="K24" s="14">
        <v>10.0</v>
      </c>
      <c r="L24" s="14">
        <v>0.0</v>
      </c>
      <c r="M24" s="25"/>
      <c r="N24" s="26" t="s">
        <v>21</v>
      </c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>
      <c r="A25" s="14" t="s">
        <v>130</v>
      </c>
      <c r="B25" s="17" t="s">
        <v>126</v>
      </c>
      <c r="C25" s="17" t="s">
        <v>131</v>
      </c>
      <c r="D25" s="19" t="s">
        <v>132</v>
      </c>
      <c r="E25" s="20" t="s">
        <v>133</v>
      </c>
      <c r="F25" s="21">
        <v>29648.0</v>
      </c>
      <c r="G25" s="14">
        <f t="shared" si="1"/>
        <v>45</v>
      </c>
      <c r="H25" s="23" t="s">
        <v>26</v>
      </c>
      <c r="I25" s="24" t="s">
        <v>27</v>
      </c>
      <c r="J25" s="19" t="s">
        <v>58</v>
      </c>
      <c r="K25" s="14">
        <v>10.0</v>
      </c>
      <c r="L25" s="14">
        <v>0.0</v>
      </c>
      <c r="M25" s="25"/>
      <c r="N25" s="26" t="s">
        <v>21</v>
      </c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>
      <c r="A26" s="14" t="s">
        <v>134</v>
      </c>
      <c r="B26" s="17" t="s">
        <v>135</v>
      </c>
      <c r="C26" s="17" t="s">
        <v>136</v>
      </c>
      <c r="D26" s="19" t="s">
        <v>137</v>
      </c>
      <c r="E26" s="20" t="s">
        <v>138</v>
      </c>
      <c r="F26" s="27">
        <v>30249.0</v>
      </c>
      <c r="G26" s="14">
        <f t="shared" si="1"/>
        <v>44</v>
      </c>
      <c r="H26" s="23" t="s">
        <v>26</v>
      </c>
      <c r="I26" s="24" t="s">
        <v>33</v>
      </c>
      <c r="J26" s="19" t="s">
        <v>68</v>
      </c>
      <c r="K26" s="14">
        <v>29.0</v>
      </c>
      <c r="L26" s="14">
        <v>0.0</v>
      </c>
      <c r="M26" s="25"/>
      <c r="N26" s="26" t="s">
        <v>21</v>
      </c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>
      <c r="A27" s="14" t="s">
        <v>139</v>
      </c>
      <c r="B27" s="17" t="s">
        <v>135</v>
      </c>
      <c r="C27" s="17" t="s">
        <v>140</v>
      </c>
      <c r="D27" s="19" t="s">
        <v>141</v>
      </c>
      <c r="E27" s="20" t="s">
        <v>104</v>
      </c>
      <c r="F27" s="21">
        <v>30893.0</v>
      </c>
      <c r="G27" s="14">
        <f t="shared" si="1"/>
        <v>42</v>
      </c>
      <c r="H27" s="23" t="s">
        <v>26</v>
      </c>
      <c r="I27" s="24" t="s">
        <v>27</v>
      </c>
      <c r="J27" s="19" t="s">
        <v>68</v>
      </c>
      <c r="K27" s="14">
        <v>29.0</v>
      </c>
      <c r="L27" s="14">
        <v>0.0</v>
      </c>
      <c r="M27" s="25"/>
      <c r="N27" s="26" t="s">
        <v>21</v>
      </c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>
      <c r="A28" s="14" t="s">
        <v>142</v>
      </c>
      <c r="B28" s="17" t="s">
        <v>143</v>
      </c>
      <c r="C28" s="17" t="s">
        <v>144</v>
      </c>
      <c r="D28" s="19" t="s">
        <v>145</v>
      </c>
      <c r="E28" s="20" t="s">
        <v>138</v>
      </c>
      <c r="F28" s="21">
        <v>34724.0</v>
      </c>
      <c r="G28" s="14">
        <f t="shared" si="1"/>
        <v>31</v>
      </c>
      <c r="H28" s="23" t="s">
        <v>26</v>
      </c>
      <c r="I28" s="24" t="s">
        <v>33</v>
      </c>
      <c r="J28" s="19" t="s">
        <v>146</v>
      </c>
      <c r="K28" s="14">
        <v>22.0</v>
      </c>
      <c r="L28" s="14">
        <v>0.0</v>
      </c>
      <c r="M28" s="25"/>
      <c r="N28" s="26" t="s">
        <v>21</v>
      </c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>
      <c r="A29" s="14" t="s">
        <v>147</v>
      </c>
      <c r="B29" s="17" t="s">
        <v>143</v>
      </c>
      <c r="C29" s="17" t="s">
        <v>148</v>
      </c>
      <c r="D29" s="19" t="s">
        <v>149</v>
      </c>
      <c r="E29" s="20" t="s">
        <v>150</v>
      </c>
      <c r="F29" s="21">
        <v>35266.0</v>
      </c>
      <c r="G29" s="14">
        <f t="shared" si="1"/>
        <v>30</v>
      </c>
      <c r="H29" s="23" t="s">
        <v>26</v>
      </c>
      <c r="I29" s="24" t="s">
        <v>27</v>
      </c>
      <c r="J29" s="19" t="s">
        <v>146</v>
      </c>
      <c r="K29" s="14">
        <v>22.0</v>
      </c>
      <c r="L29" s="14">
        <v>0.0</v>
      </c>
      <c r="M29" s="25"/>
      <c r="N29" s="26" t="s">
        <v>21</v>
      </c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>
      <c r="A30" s="14" t="s">
        <v>151</v>
      </c>
      <c r="B30" s="17" t="s">
        <v>152</v>
      </c>
      <c r="C30" s="17" t="s">
        <v>153</v>
      </c>
      <c r="D30" s="19" t="s">
        <v>154</v>
      </c>
      <c r="E30" s="20" t="s">
        <v>155</v>
      </c>
      <c r="F30" s="27">
        <v>34287.0</v>
      </c>
      <c r="G30" s="14">
        <f t="shared" si="1"/>
        <v>32</v>
      </c>
      <c r="H30" s="23" t="s">
        <v>26</v>
      </c>
      <c r="I30" s="24" t="s">
        <v>33</v>
      </c>
      <c r="J30" s="19" t="s">
        <v>156</v>
      </c>
      <c r="K30" s="14">
        <v>30.0</v>
      </c>
      <c r="L30" s="14">
        <v>5.0</v>
      </c>
      <c r="M30" s="28" t="s">
        <v>157</v>
      </c>
      <c r="N30" s="26" t="s">
        <v>21</v>
      </c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>
      <c r="A31" s="14" t="s">
        <v>158</v>
      </c>
      <c r="B31" s="17" t="s">
        <v>152</v>
      </c>
      <c r="C31" s="17" t="s">
        <v>159</v>
      </c>
      <c r="D31" s="19" t="s">
        <v>160</v>
      </c>
      <c r="E31" s="20" t="s">
        <v>138</v>
      </c>
      <c r="F31" s="21">
        <v>39333.0</v>
      </c>
      <c r="G31" s="14">
        <f t="shared" si="1"/>
        <v>19</v>
      </c>
      <c r="H31" s="23" t="s">
        <v>100</v>
      </c>
      <c r="I31" s="24" t="s">
        <v>33</v>
      </c>
      <c r="J31" s="19" t="s">
        <v>156</v>
      </c>
      <c r="K31" s="14">
        <v>30.0</v>
      </c>
      <c r="L31" s="14">
        <v>0.0</v>
      </c>
      <c r="M31" s="25"/>
      <c r="N31" s="26" t="s">
        <v>21</v>
      </c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>
      <c r="A32" s="14" t="s">
        <v>161</v>
      </c>
      <c r="B32" s="17" t="s">
        <v>152</v>
      </c>
      <c r="C32" s="17" t="s">
        <v>162</v>
      </c>
      <c r="D32" s="19" t="s">
        <v>163</v>
      </c>
      <c r="E32" s="20" t="s">
        <v>104</v>
      </c>
      <c r="F32" s="21">
        <v>29046.0</v>
      </c>
      <c r="G32" s="14">
        <f t="shared" si="1"/>
        <v>47</v>
      </c>
      <c r="H32" s="23" t="s">
        <v>26</v>
      </c>
      <c r="I32" s="24" t="s">
        <v>27</v>
      </c>
      <c r="J32" s="19" t="s">
        <v>156</v>
      </c>
      <c r="K32" s="14">
        <v>30.0</v>
      </c>
      <c r="L32" s="14">
        <v>0.0</v>
      </c>
      <c r="M32" s="25"/>
      <c r="N32" s="26" t="s">
        <v>21</v>
      </c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>
      <c r="A33" s="14" t="s">
        <v>164</v>
      </c>
      <c r="B33" s="17" t="s">
        <v>165</v>
      </c>
      <c r="C33" s="17" t="s">
        <v>166</v>
      </c>
      <c r="D33" s="19" t="s">
        <v>167</v>
      </c>
      <c r="E33" s="20" t="s">
        <v>155</v>
      </c>
      <c r="F33" s="21">
        <v>32652.0</v>
      </c>
      <c r="G33" s="14">
        <f t="shared" si="1"/>
        <v>37</v>
      </c>
      <c r="H33" s="23" t="s">
        <v>26</v>
      </c>
      <c r="I33" s="24" t="s">
        <v>27</v>
      </c>
      <c r="J33" s="19" t="s">
        <v>168</v>
      </c>
      <c r="K33" s="14">
        <v>11.0</v>
      </c>
      <c r="L33" s="14">
        <v>0.0</v>
      </c>
      <c r="M33" s="25"/>
      <c r="N33" s="26" t="s">
        <v>21</v>
      </c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>
      <c r="A34" s="14" t="s">
        <v>169</v>
      </c>
      <c r="B34" s="17" t="s">
        <v>165</v>
      </c>
      <c r="C34" s="17" t="s">
        <v>170</v>
      </c>
      <c r="D34" s="19" t="s">
        <v>171</v>
      </c>
      <c r="E34" s="20" t="s">
        <v>53</v>
      </c>
      <c r="F34" s="21">
        <v>32732.0</v>
      </c>
      <c r="G34" s="14">
        <f t="shared" si="1"/>
        <v>37</v>
      </c>
      <c r="H34" s="23" t="s">
        <v>26</v>
      </c>
      <c r="I34" s="24" t="s">
        <v>33</v>
      </c>
      <c r="J34" s="19" t="s">
        <v>168</v>
      </c>
      <c r="K34" s="14">
        <v>11.0</v>
      </c>
      <c r="L34" s="14">
        <v>0.0</v>
      </c>
      <c r="M34" s="25"/>
      <c r="N34" s="26" t="s">
        <v>21</v>
      </c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>
      <c r="A35" s="14" t="s">
        <v>172</v>
      </c>
      <c r="B35" s="17" t="s">
        <v>173</v>
      </c>
      <c r="C35" s="17" t="s">
        <v>174</v>
      </c>
      <c r="D35" s="19" t="s">
        <v>175</v>
      </c>
      <c r="E35" s="20" t="s">
        <v>176</v>
      </c>
      <c r="F35" s="27">
        <v>27713.0</v>
      </c>
      <c r="G35" s="14">
        <f t="shared" si="1"/>
        <v>50</v>
      </c>
      <c r="H35" s="23" t="s">
        <v>26</v>
      </c>
      <c r="I35" s="24" t="s">
        <v>27</v>
      </c>
      <c r="J35" s="19" t="s">
        <v>68</v>
      </c>
      <c r="K35" s="14">
        <v>29.0</v>
      </c>
      <c r="L35" s="14">
        <v>0.0</v>
      </c>
      <c r="M35" s="25"/>
      <c r="N35" s="26" t="s">
        <v>21</v>
      </c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>
      <c r="A36" s="14" t="s">
        <v>182</v>
      </c>
      <c r="B36" s="17" t="s">
        <v>173</v>
      </c>
      <c r="C36" s="17" t="s">
        <v>184</v>
      </c>
      <c r="D36" s="19" t="s">
        <v>186</v>
      </c>
      <c r="E36" s="20" t="s">
        <v>187</v>
      </c>
      <c r="F36" s="21">
        <v>28576.0</v>
      </c>
      <c r="G36" s="14">
        <f t="shared" si="1"/>
        <v>48</v>
      </c>
      <c r="H36" s="23" t="s">
        <v>26</v>
      </c>
      <c r="I36" s="24" t="s">
        <v>33</v>
      </c>
      <c r="J36" s="19" t="s">
        <v>68</v>
      </c>
      <c r="K36" s="14">
        <v>29.0</v>
      </c>
      <c r="L36" s="14">
        <v>0.0</v>
      </c>
      <c r="M36" s="25"/>
      <c r="N36" s="26" t="s">
        <v>21</v>
      </c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>
      <c r="A37" s="14" t="s">
        <v>192</v>
      </c>
      <c r="B37" s="17" t="s">
        <v>173</v>
      </c>
      <c r="C37" s="17" t="s">
        <v>193</v>
      </c>
      <c r="D37" s="19" t="s">
        <v>194</v>
      </c>
      <c r="E37" s="20" t="s">
        <v>195</v>
      </c>
      <c r="F37" s="21">
        <v>29733.0</v>
      </c>
      <c r="G37" s="14">
        <f t="shared" si="1"/>
        <v>45</v>
      </c>
      <c r="H37" s="23" t="s">
        <v>100</v>
      </c>
      <c r="I37" s="24" t="s">
        <v>33</v>
      </c>
      <c r="J37" s="19" t="s">
        <v>68</v>
      </c>
      <c r="K37" s="14">
        <v>29.0</v>
      </c>
      <c r="L37" s="14">
        <v>0.0</v>
      </c>
      <c r="M37" s="25"/>
      <c r="N37" s="26" t="s">
        <v>21</v>
      </c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>
      <c r="A38" s="14" t="s">
        <v>196</v>
      </c>
      <c r="B38" s="17" t="s">
        <v>173</v>
      </c>
      <c r="C38" s="17" t="s">
        <v>197</v>
      </c>
      <c r="D38" s="19" t="s">
        <v>198</v>
      </c>
      <c r="E38" s="20" t="s">
        <v>138</v>
      </c>
      <c r="F38" s="21">
        <v>37201.0</v>
      </c>
      <c r="G38" s="14">
        <f t="shared" si="1"/>
        <v>24</v>
      </c>
      <c r="H38" s="23" t="s">
        <v>100</v>
      </c>
      <c r="I38" s="24" t="s">
        <v>27</v>
      </c>
      <c r="J38" s="19" t="s">
        <v>68</v>
      </c>
      <c r="K38" s="14">
        <v>29.0</v>
      </c>
      <c r="L38" s="14">
        <v>0.0</v>
      </c>
      <c r="M38" s="25"/>
      <c r="N38" s="26" t="s">
        <v>21</v>
      </c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>
      <c r="A39" s="14" t="s">
        <v>199</v>
      </c>
      <c r="B39" s="17" t="s">
        <v>173</v>
      </c>
      <c r="C39" s="17" t="s">
        <v>200</v>
      </c>
      <c r="D39" s="19" t="s">
        <v>201</v>
      </c>
      <c r="E39" s="20" t="s">
        <v>138</v>
      </c>
      <c r="F39" s="21">
        <v>38211.0</v>
      </c>
      <c r="G39" s="14">
        <f t="shared" si="1"/>
        <v>22</v>
      </c>
      <c r="H39" s="23" t="s">
        <v>100</v>
      </c>
      <c r="I39" s="24" t="s">
        <v>27</v>
      </c>
      <c r="J39" s="19" t="s">
        <v>68</v>
      </c>
      <c r="K39" s="14">
        <v>29.0</v>
      </c>
      <c r="L39" s="14">
        <v>0.0</v>
      </c>
      <c r="M39" s="25"/>
      <c r="N39" s="26" t="s">
        <v>21</v>
      </c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>
      <c r="A40" s="14" t="s">
        <v>202</v>
      </c>
      <c r="B40" s="17" t="s">
        <v>203</v>
      </c>
      <c r="C40" s="17" t="s">
        <v>204</v>
      </c>
      <c r="D40" s="19" t="s">
        <v>205</v>
      </c>
      <c r="E40" s="20" t="s">
        <v>104</v>
      </c>
      <c r="F40" s="21">
        <v>34021.0</v>
      </c>
      <c r="G40" s="14">
        <f t="shared" si="1"/>
        <v>33</v>
      </c>
      <c r="H40" s="23" t="s">
        <v>26</v>
      </c>
      <c r="I40" s="24" t="s">
        <v>33</v>
      </c>
      <c r="J40" s="19" t="s">
        <v>206</v>
      </c>
      <c r="K40" s="14">
        <v>4.0</v>
      </c>
      <c r="L40" s="14">
        <v>5.0</v>
      </c>
      <c r="M40" s="25"/>
      <c r="N40" s="26" t="s">
        <v>21</v>
      </c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>
      <c r="A41" s="14" t="s">
        <v>207</v>
      </c>
      <c r="B41" s="17" t="s">
        <v>203</v>
      </c>
      <c r="C41" s="17" t="s">
        <v>208</v>
      </c>
      <c r="D41" s="19" t="s">
        <v>209</v>
      </c>
      <c r="E41" s="20" t="s">
        <v>210</v>
      </c>
      <c r="F41" s="21">
        <v>34865.0</v>
      </c>
      <c r="G41" s="14">
        <f t="shared" si="1"/>
        <v>31</v>
      </c>
      <c r="H41" s="23" t="s">
        <v>26</v>
      </c>
      <c r="I41" s="24" t="s">
        <v>27</v>
      </c>
      <c r="J41" s="19" t="s">
        <v>206</v>
      </c>
      <c r="K41" s="14">
        <v>4.0</v>
      </c>
      <c r="L41" s="14">
        <v>5.0</v>
      </c>
      <c r="M41" s="25"/>
      <c r="N41" s="26" t="s">
        <v>21</v>
      </c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>
      <c r="A42" s="14" t="s">
        <v>211</v>
      </c>
      <c r="B42" s="17" t="s">
        <v>212</v>
      </c>
      <c r="C42" s="17" t="s">
        <v>213</v>
      </c>
      <c r="D42" s="19" t="s">
        <v>214</v>
      </c>
      <c r="E42" s="20" t="s">
        <v>215</v>
      </c>
      <c r="F42" s="21">
        <v>39056.0</v>
      </c>
      <c r="G42" s="14">
        <f t="shared" si="1"/>
        <v>19</v>
      </c>
      <c r="H42" s="23" t="s">
        <v>100</v>
      </c>
      <c r="I42" s="24" t="s">
        <v>27</v>
      </c>
      <c r="J42" s="19" t="s">
        <v>146</v>
      </c>
      <c r="K42" s="14">
        <v>10.0</v>
      </c>
      <c r="L42" s="14">
        <v>0.0</v>
      </c>
      <c r="M42" s="25"/>
      <c r="N42" s="26" t="s">
        <v>21</v>
      </c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>
      <c r="A43" s="14" t="s">
        <v>216</v>
      </c>
      <c r="B43" s="17" t="s">
        <v>212</v>
      </c>
      <c r="C43" s="17" t="s">
        <v>217</v>
      </c>
      <c r="D43" s="19" t="s">
        <v>218</v>
      </c>
      <c r="E43" s="20" t="s">
        <v>219</v>
      </c>
      <c r="F43" s="21">
        <v>31238.0</v>
      </c>
      <c r="G43" s="14">
        <f t="shared" si="1"/>
        <v>41</v>
      </c>
      <c r="H43" s="23" t="s">
        <v>26</v>
      </c>
      <c r="I43" s="24" t="s">
        <v>27</v>
      </c>
      <c r="J43" s="19" t="s">
        <v>146</v>
      </c>
      <c r="K43" s="14">
        <v>10.0</v>
      </c>
      <c r="L43" s="14">
        <v>0.0</v>
      </c>
      <c r="M43" s="25"/>
      <c r="N43" s="26" t="s">
        <v>21</v>
      </c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>
      <c r="A44" s="14" t="s">
        <v>220</v>
      </c>
      <c r="B44" s="17" t="s">
        <v>212</v>
      </c>
      <c r="C44" s="17" t="s">
        <v>221</v>
      </c>
      <c r="D44" s="19" t="s">
        <v>222</v>
      </c>
      <c r="E44" s="20" t="s">
        <v>215</v>
      </c>
      <c r="F44" s="21">
        <v>31670.0</v>
      </c>
      <c r="G44" s="14">
        <f t="shared" si="1"/>
        <v>40</v>
      </c>
      <c r="H44" s="23" t="s">
        <v>26</v>
      </c>
      <c r="I44" s="24" t="s">
        <v>33</v>
      </c>
      <c r="J44" s="19" t="s">
        <v>146</v>
      </c>
      <c r="K44" s="14">
        <v>10.0</v>
      </c>
      <c r="L44" s="14">
        <v>0.0</v>
      </c>
      <c r="M44" s="25"/>
      <c r="N44" s="26" t="s">
        <v>21</v>
      </c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>
      <c r="A45" s="14" t="s">
        <v>223</v>
      </c>
      <c r="B45" s="17" t="s">
        <v>224</v>
      </c>
      <c r="C45" s="17" t="s">
        <v>225</v>
      </c>
      <c r="D45" s="19" t="s">
        <v>226</v>
      </c>
      <c r="E45" s="20" t="s">
        <v>227</v>
      </c>
      <c r="F45" s="21">
        <v>32145.0</v>
      </c>
      <c r="G45" s="14">
        <f t="shared" si="1"/>
        <v>38</v>
      </c>
      <c r="H45" s="23" t="s">
        <v>26</v>
      </c>
      <c r="I45" s="24" t="s">
        <v>27</v>
      </c>
      <c r="J45" s="19" t="s">
        <v>104</v>
      </c>
      <c r="K45" s="14">
        <v>3.0</v>
      </c>
      <c r="L45" s="14">
        <v>0.0</v>
      </c>
      <c r="M45" s="25"/>
      <c r="N45" s="26" t="s">
        <v>21</v>
      </c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>
      <c r="A46" s="14" t="s">
        <v>228</v>
      </c>
      <c r="B46" s="17" t="s">
        <v>224</v>
      </c>
      <c r="C46" s="17" t="s">
        <v>229</v>
      </c>
      <c r="D46" s="19" t="s">
        <v>230</v>
      </c>
      <c r="E46" s="20" t="s">
        <v>231</v>
      </c>
      <c r="F46" s="27">
        <v>30284.0</v>
      </c>
      <c r="G46" s="14">
        <f t="shared" si="1"/>
        <v>43</v>
      </c>
      <c r="H46" s="23" t="s">
        <v>26</v>
      </c>
      <c r="I46" s="24" t="s">
        <v>33</v>
      </c>
      <c r="J46" s="19" t="s">
        <v>104</v>
      </c>
      <c r="K46" s="14">
        <v>3.0</v>
      </c>
      <c r="L46" s="14">
        <v>0.0</v>
      </c>
      <c r="M46" s="25"/>
      <c r="N46" s="26" t="s">
        <v>21</v>
      </c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>
      <c r="A47" s="14" t="s">
        <v>232</v>
      </c>
      <c r="B47" s="17" t="s">
        <v>233</v>
      </c>
      <c r="C47" s="17" t="s">
        <v>234</v>
      </c>
      <c r="D47" s="19" t="s">
        <v>235</v>
      </c>
      <c r="E47" s="20" t="s">
        <v>138</v>
      </c>
      <c r="F47" s="21">
        <v>36396.0</v>
      </c>
      <c r="G47" s="14">
        <f t="shared" si="1"/>
        <v>27</v>
      </c>
      <c r="H47" s="23" t="s">
        <v>26</v>
      </c>
      <c r="I47" s="24" t="s">
        <v>27</v>
      </c>
      <c r="J47" s="19" t="s">
        <v>68</v>
      </c>
      <c r="K47" s="14">
        <v>34.0</v>
      </c>
      <c r="L47" s="14">
        <v>7.0</v>
      </c>
      <c r="M47" s="25"/>
      <c r="N47" s="26" t="s">
        <v>21</v>
      </c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>
      <c r="A48" s="14" t="s">
        <v>236</v>
      </c>
      <c r="B48" s="17" t="s">
        <v>237</v>
      </c>
      <c r="C48" s="17" t="s">
        <v>238</v>
      </c>
      <c r="D48" s="19" t="s">
        <v>239</v>
      </c>
      <c r="E48" s="20" t="s">
        <v>240</v>
      </c>
      <c r="F48" s="21">
        <v>31649.0</v>
      </c>
      <c r="G48" s="14">
        <f t="shared" si="1"/>
        <v>40</v>
      </c>
      <c r="H48" s="23" t="s">
        <v>27</v>
      </c>
      <c r="I48" s="24" t="s">
        <v>33</v>
      </c>
      <c r="J48" s="19" t="s">
        <v>241</v>
      </c>
      <c r="K48" s="14">
        <v>30.0</v>
      </c>
      <c r="L48" s="14">
        <v>8.0</v>
      </c>
      <c r="M48" s="25"/>
      <c r="N48" s="26" t="s">
        <v>21</v>
      </c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>
      <c r="A49" s="14" t="s">
        <v>242</v>
      </c>
      <c r="B49" s="17" t="s">
        <v>243</v>
      </c>
      <c r="C49" s="17" t="s">
        <v>244</v>
      </c>
      <c r="D49" s="19" t="s">
        <v>245</v>
      </c>
      <c r="E49" s="20" t="s">
        <v>53</v>
      </c>
      <c r="F49" s="21">
        <v>35598.0</v>
      </c>
      <c r="G49" s="14">
        <f t="shared" si="1"/>
        <v>29</v>
      </c>
      <c r="H49" s="23" t="s">
        <v>26</v>
      </c>
      <c r="I49" s="24" t="s">
        <v>27</v>
      </c>
      <c r="J49" s="19" t="s">
        <v>53</v>
      </c>
      <c r="K49" s="14">
        <v>17.0</v>
      </c>
      <c r="L49" s="14">
        <v>0.0</v>
      </c>
      <c r="M49" s="25"/>
      <c r="N49" s="26" t="s">
        <v>21</v>
      </c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>
      <c r="A50" s="14" t="s">
        <v>246</v>
      </c>
      <c r="B50" s="17" t="s">
        <v>243</v>
      </c>
      <c r="C50" s="17" t="s">
        <v>247</v>
      </c>
      <c r="D50" s="19" t="s">
        <v>248</v>
      </c>
      <c r="E50" s="20" t="s">
        <v>240</v>
      </c>
      <c r="F50" s="21">
        <v>33624.0</v>
      </c>
      <c r="G50" s="14">
        <f t="shared" si="1"/>
        <v>34</v>
      </c>
      <c r="H50" s="23" t="s">
        <v>26</v>
      </c>
      <c r="I50" s="24" t="s">
        <v>33</v>
      </c>
      <c r="J50" s="19" t="s">
        <v>53</v>
      </c>
      <c r="K50" s="14">
        <v>17.0</v>
      </c>
      <c r="L50" s="14">
        <v>0.0</v>
      </c>
      <c r="M50" s="25"/>
      <c r="N50" s="26" t="s">
        <v>21</v>
      </c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>
      <c r="A51" s="14" t="s">
        <v>251</v>
      </c>
      <c r="B51" s="17" t="s">
        <v>252</v>
      </c>
      <c r="C51" s="17" t="s">
        <v>254</v>
      </c>
      <c r="D51" s="19" t="s">
        <v>255</v>
      </c>
      <c r="E51" s="20" t="s">
        <v>256</v>
      </c>
      <c r="F51" s="21">
        <v>28954.0</v>
      </c>
      <c r="G51" s="14">
        <f t="shared" si="1"/>
        <v>47</v>
      </c>
      <c r="H51" s="23" t="s">
        <v>26</v>
      </c>
      <c r="I51" s="24" t="s">
        <v>33</v>
      </c>
      <c r="J51" s="19" t="s">
        <v>257</v>
      </c>
      <c r="K51" s="14">
        <v>25.0</v>
      </c>
      <c r="L51" s="14">
        <v>0.0</v>
      </c>
      <c r="M51" s="25"/>
      <c r="N51" s="26" t="s">
        <v>21</v>
      </c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>
      <c r="A52" s="14" t="s">
        <v>258</v>
      </c>
      <c r="B52" s="17" t="s">
        <v>252</v>
      </c>
      <c r="C52" s="17" t="s">
        <v>259</v>
      </c>
      <c r="D52" s="19" t="s">
        <v>260</v>
      </c>
      <c r="E52" s="20" t="s">
        <v>261</v>
      </c>
      <c r="F52" s="21">
        <v>32217.0</v>
      </c>
      <c r="G52" s="14">
        <f t="shared" si="1"/>
        <v>38</v>
      </c>
      <c r="H52" s="23" t="s">
        <v>26</v>
      </c>
      <c r="I52" s="24" t="s">
        <v>27</v>
      </c>
      <c r="J52" s="19" t="s">
        <v>257</v>
      </c>
      <c r="K52" s="14">
        <v>25.0</v>
      </c>
      <c r="L52" s="14" t="s">
        <v>266</v>
      </c>
      <c r="M52" s="25"/>
      <c r="N52" s="26" t="s">
        <v>21</v>
      </c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>
      <c r="A53" s="14" t="s">
        <v>262</v>
      </c>
      <c r="B53" s="17" t="s">
        <v>263</v>
      </c>
      <c r="C53" s="17" t="s">
        <v>264</v>
      </c>
      <c r="D53" s="19" t="s">
        <v>265</v>
      </c>
      <c r="E53" s="20" t="s">
        <v>53</v>
      </c>
      <c r="F53" s="21">
        <v>34038.0</v>
      </c>
      <c r="G53" s="14">
        <f t="shared" si="1"/>
        <v>33</v>
      </c>
      <c r="H53" s="23" t="s">
        <v>26</v>
      </c>
      <c r="I53" s="24" t="s">
        <v>27</v>
      </c>
      <c r="J53" s="19" t="s">
        <v>146</v>
      </c>
      <c r="K53" s="14">
        <v>9.0</v>
      </c>
      <c r="L53" s="14">
        <v>0.0</v>
      </c>
      <c r="M53" s="25"/>
      <c r="N53" s="26" t="s">
        <v>21</v>
      </c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>
      <c r="A54" s="14" t="s">
        <v>267</v>
      </c>
      <c r="B54" s="17" t="s">
        <v>263</v>
      </c>
      <c r="C54" s="17" t="s">
        <v>268</v>
      </c>
      <c r="D54" s="19" t="s">
        <v>269</v>
      </c>
      <c r="E54" s="20" t="s">
        <v>138</v>
      </c>
      <c r="F54" s="21">
        <v>32940.0</v>
      </c>
      <c r="G54" s="14">
        <f t="shared" si="1"/>
        <v>36</v>
      </c>
      <c r="H54" s="23" t="s">
        <v>26</v>
      </c>
      <c r="I54" s="24" t="s">
        <v>33</v>
      </c>
      <c r="J54" s="19" t="s">
        <v>146</v>
      </c>
      <c r="K54" s="14">
        <v>9.0</v>
      </c>
      <c r="L54" s="14">
        <v>0.0</v>
      </c>
      <c r="M54" s="25"/>
      <c r="N54" s="26" t="s">
        <v>21</v>
      </c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>
      <c r="A55" s="14" t="s">
        <v>270</v>
      </c>
      <c r="B55" s="32" t="s">
        <v>276</v>
      </c>
      <c r="C55" s="17" t="s">
        <v>272</v>
      </c>
      <c r="D55" s="19" t="s">
        <v>273</v>
      </c>
      <c r="E55" s="20" t="s">
        <v>274</v>
      </c>
      <c r="F55" s="21">
        <v>33547.0</v>
      </c>
      <c r="G55" s="14">
        <f t="shared" si="1"/>
        <v>34</v>
      </c>
      <c r="H55" s="23" t="s">
        <v>27</v>
      </c>
      <c r="I55" s="24" t="s">
        <v>27</v>
      </c>
      <c r="J55" s="19" t="s">
        <v>275</v>
      </c>
      <c r="K55" s="14">
        <v>10.0</v>
      </c>
      <c r="L55" s="14">
        <v>0.0</v>
      </c>
      <c r="M55" s="25"/>
      <c r="N55" s="26" t="s">
        <v>21</v>
      </c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>
      <c r="A56" s="14" t="s">
        <v>277</v>
      </c>
      <c r="B56" s="17" t="s">
        <v>278</v>
      </c>
      <c r="C56" s="17" t="s">
        <v>279</v>
      </c>
      <c r="D56" s="19" t="s">
        <v>280</v>
      </c>
      <c r="E56" s="20" t="s">
        <v>281</v>
      </c>
      <c r="F56" s="27">
        <v>39043.0</v>
      </c>
      <c r="G56" s="14">
        <f t="shared" si="1"/>
        <v>19</v>
      </c>
      <c r="H56" s="23" t="s">
        <v>100</v>
      </c>
      <c r="I56" s="24" t="s">
        <v>27</v>
      </c>
      <c r="J56" s="19" t="s">
        <v>282</v>
      </c>
      <c r="K56" s="14">
        <v>16.0</v>
      </c>
      <c r="L56" s="14">
        <v>0.0</v>
      </c>
      <c r="M56" s="25"/>
      <c r="N56" s="26" t="s">
        <v>21</v>
      </c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>
      <c r="A57" s="14" t="s">
        <v>284</v>
      </c>
      <c r="B57" s="17" t="s">
        <v>278</v>
      </c>
      <c r="C57" s="17" t="s">
        <v>285</v>
      </c>
      <c r="D57" s="19" t="s">
        <v>286</v>
      </c>
      <c r="E57" s="20" t="s">
        <v>138</v>
      </c>
      <c r="F57" s="27">
        <v>29185.0</v>
      </c>
      <c r="G57" s="14">
        <f t="shared" si="1"/>
        <v>46</v>
      </c>
      <c r="H57" s="23" t="s">
        <v>26</v>
      </c>
      <c r="I57" s="24" t="s">
        <v>27</v>
      </c>
      <c r="J57" s="19" t="s">
        <v>282</v>
      </c>
      <c r="K57" s="14">
        <v>16.0</v>
      </c>
      <c r="L57" s="14">
        <v>0.0</v>
      </c>
      <c r="M57" s="25"/>
      <c r="N57" s="26" t="s">
        <v>21</v>
      </c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>
      <c r="A58" s="14" t="s">
        <v>287</v>
      </c>
      <c r="B58" s="17" t="s">
        <v>278</v>
      </c>
      <c r="C58" s="17" t="s">
        <v>288</v>
      </c>
      <c r="D58" s="19" t="s">
        <v>289</v>
      </c>
      <c r="E58" s="20" t="s">
        <v>290</v>
      </c>
      <c r="F58" s="21">
        <v>26734.0</v>
      </c>
      <c r="G58" s="14">
        <f t="shared" si="1"/>
        <v>53</v>
      </c>
      <c r="H58" s="23" t="s">
        <v>26</v>
      </c>
      <c r="I58" s="24" t="s">
        <v>33</v>
      </c>
      <c r="J58" s="19" t="s">
        <v>282</v>
      </c>
      <c r="K58" s="14">
        <v>16.0</v>
      </c>
      <c r="L58" s="14">
        <v>0.0</v>
      </c>
      <c r="M58" s="25"/>
      <c r="N58" s="26" t="s">
        <v>21</v>
      </c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>
      <c r="A59" s="14" t="s">
        <v>291</v>
      </c>
      <c r="B59" s="17" t="s">
        <v>292</v>
      </c>
      <c r="C59" s="17" t="s">
        <v>293</v>
      </c>
      <c r="D59" s="19" t="s">
        <v>294</v>
      </c>
      <c r="E59" s="20" t="s">
        <v>295</v>
      </c>
      <c r="F59" s="21">
        <v>33839.0</v>
      </c>
      <c r="G59" s="14">
        <f t="shared" si="1"/>
        <v>34</v>
      </c>
      <c r="H59" s="23" t="s">
        <v>26</v>
      </c>
      <c r="I59" s="24" t="s">
        <v>33</v>
      </c>
      <c r="J59" s="19" t="s">
        <v>95</v>
      </c>
      <c r="K59" s="14">
        <v>11.0</v>
      </c>
      <c r="L59" s="14">
        <v>0.0</v>
      </c>
      <c r="M59" s="25"/>
      <c r="N59" s="26" t="s">
        <v>21</v>
      </c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>
      <c r="A60" s="14" t="s">
        <v>296</v>
      </c>
      <c r="B60" s="17" t="s">
        <v>292</v>
      </c>
      <c r="C60" s="17" t="s">
        <v>297</v>
      </c>
      <c r="D60" s="19" t="s">
        <v>298</v>
      </c>
      <c r="E60" s="20" t="s">
        <v>104</v>
      </c>
      <c r="F60" s="21">
        <v>35297.0</v>
      </c>
      <c r="G60" s="14">
        <f t="shared" si="1"/>
        <v>30</v>
      </c>
      <c r="H60" s="23" t="s">
        <v>26</v>
      </c>
      <c r="I60" s="24" t="s">
        <v>27</v>
      </c>
      <c r="J60" s="19" t="s">
        <v>95</v>
      </c>
      <c r="K60" s="14">
        <v>11.0</v>
      </c>
      <c r="L60" s="14">
        <v>0.0</v>
      </c>
      <c r="M60" s="25"/>
      <c r="N60" s="26" t="s">
        <v>21</v>
      </c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>
      <c r="A61" s="14" t="s">
        <v>299</v>
      </c>
      <c r="B61" s="17" t="s">
        <v>300</v>
      </c>
      <c r="C61" s="17" t="s">
        <v>301</v>
      </c>
      <c r="D61" s="19" t="s">
        <v>302</v>
      </c>
      <c r="E61" s="20" t="s">
        <v>303</v>
      </c>
      <c r="F61" s="21">
        <v>25791.0</v>
      </c>
      <c r="G61" s="14">
        <f t="shared" si="1"/>
        <v>56</v>
      </c>
      <c r="H61" s="23" t="s">
        <v>26</v>
      </c>
      <c r="I61" s="24" t="s">
        <v>33</v>
      </c>
      <c r="J61" s="19" t="s">
        <v>95</v>
      </c>
      <c r="K61" s="14">
        <v>13.0</v>
      </c>
      <c r="L61" s="14">
        <v>8.0</v>
      </c>
      <c r="M61" s="28" t="s">
        <v>304</v>
      </c>
      <c r="N61" s="26" t="s">
        <v>21</v>
      </c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>
      <c r="A62" s="14" t="s">
        <v>305</v>
      </c>
      <c r="B62" s="17" t="s">
        <v>300</v>
      </c>
      <c r="C62" s="17" t="s">
        <v>306</v>
      </c>
      <c r="D62" s="19" t="s">
        <v>307</v>
      </c>
      <c r="E62" s="20" t="s">
        <v>210</v>
      </c>
      <c r="F62" s="21">
        <v>28298.0</v>
      </c>
      <c r="G62" s="14">
        <f t="shared" si="1"/>
        <v>49</v>
      </c>
      <c r="H62" s="23" t="s">
        <v>26</v>
      </c>
      <c r="I62" s="24" t="s">
        <v>27</v>
      </c>
      <c r="J62" s="19" t="s">
        <v>95</v>
      </c>
      <c r="K62" s="14">
        <v>13.0</v>
      </c>
      <c r="L62" s="14">
        <v>8.0</v>
      </c>
      <c r="M62" s="28" t="s">
        <v>304</v>
      </c>
      <c r="N62" s="26" t="s">
        <v>21</v>
      </c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>
      <c r="A63" s="14" t="s">
        <v>308</v>
      </c>
      <c r="B63" s="17" t="s">
        <v>309</v>
      </c>
      <c r="C63" s="17" t="s">
        <v>310</v>
      </c>
      <c r="D63" s="19" t="s">
        <v>311</v>
      </c>
      <c r="E63" s="20" t="s">
        <v>210</v>
      </c>
      <c r="F63" s="21">
        <v>34573.0</v>
      </c>
      <c r="G63" s="14">
        <f t="shared" si="1"/>
        <v>32</v>
      </c>
      <c r="H63" s="23" t="s">
        <v>26</v>
      </c>
      <c r="I63" s="24" t="s">
        <v>33</v>
      </c>
      <c r="J63" s="19" t="s">
        <v>68</v>
      </c>
      <c r="K63" s="14">
        <v>35.0</v>
      </c>
      <c r="L63" s="14">
        <v>0.0</v>
      </c>
      <c r="M63" s="25"/>
      <c r="N63" s="26" t="s">
        <v>21</v>
      </c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>
      <c r="A64" s="14" t="s">
        <v>312</v>
      </c>
      <c r="B64" s="17" t="s">
        <v>309</v>
      </c>
      <c r="C64" s="17" t="s">
        <v>313</v>
      </c>
      <c r="D64" s="19" t="s">
        <v>314</v>
      </c>
      <c r="E64" s="20" t="s">
        <v>104</v>
      </c>
      <c r="F64" s="21">
        <v>34469.0</v>
      </c>
      <c r="G64" s="14">
        <f t="shared" si="1"/>
        <v>32</v>
      </c>
      <c r="H64" s="23" t="s">
        <v>26</v>
      </c>
      <c r="I64" s="24" t="s">
        <v>27</v>
      </c>
      <c r="J64" s="19" t="s">
        <v>68</v>
      </c>
      <c r="K64" s="14">
        <v>35.0</v>
      </c>
      <c r="L64" s="14">
        <v>0.0</v>
      </c>
      <c r="M64" s="25"/>
      <c r="N64" s="26" t="s">
        <v>21</v>
      </c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>
      <c r="A65" s="14" t="s">
        <v>315</v>
      </c>
      <c r="B65" s="17" t="s">
        <v>316</v>
      </c>
      <c r="C65" s="17" t="s">
        <v>317</v>
      </c>
      <c r="D65" s="19" t="s">
        <v>318</v>
      </c>
      <c r="E65" s="20" t="s">
        <v>319</v>
      </c>
      <c r="F65" s="21">
        <v>31634.0</v>
      </c>
      <c r="G65" s="14">
        <f t="shared" si="1"/>
        <v>40</v>
      </c>
      <c r="H65" s="23" t="s">
        <v>26</v>
      </c>
      <c r="I65" s="24" t="s">
        <v>33</v>
      </c>
      <c r="J65" s="19" t="s">
        <v>320</v>
      </c>
      <c r="K65" s="14">
        <v>28.0</v>
      </c>
      <c r="L65" s="14">
        <v>0.0</v>
      </c>
      <c r="M65" s="25"/>
      <c r="N65" s="26" t="s">
        <v>21</v>
      </c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>
      <c r="A66" s="14" t="s">
        <v>321</v>
      </c>
      <c r="B66" s="17" t="s">
        <v>316</v>
      </c>
      <c r="C66" s="17" t="s">
        <v>322</v>
      </c>
      <c r="D66" s="19" t="s">
        <v>323</v>
      </c>
      <c r="E66" s="20" t="s">
        <v>104</v>
      </c>
      <c r="F66" s="27">
        <v>34299.0</v>
      </c>
      <c r="G66" s="14">
        <f t="shared" si="1"/>
        <v>32</v>
      </c>
      <c r="H66" s="23" t="s">
        <v>26</v>
      </c>
      <c r="I66" s="24" t="s">
        <v>27</v>
      </c>
      <c r="J66" s="19" t="s">
        <v>320</v>
      </c>
      <c r="K66" s="14">
        <v>28.0</v>
      </c>
      <c r="L66" s="14">
        <v>0.0</v>
      </c>
      <c r="M66" s="25"/>
      <c r="N66" s="26" t="s">
        <v>21</v>
      </c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>
      <c r="A67" s="14" t="s">
        <v>324</v>
      </c>
      <c r="B67" s="17" t="s">
        <v>325</v>
      </c>
      <c r="C67" s="17" t="s">
        <v>326</v>
      </c>
      <c r="D67" s="19" t="s">
        <v>327</v>
      </c>
      <c r="E67" s="20" t="s">
        <v>104</v>
      </c>
      <c r="F67" s="21">
        <v>36691.0</v>
      </c>
      <c r="G67" s="14">
        <f t="shared" si="1"/>
        <v>26</v>
      </c>
      <c r="H67" s="23" t="s">
        <v>26</v>
      </c>
      <c r="I67" s="24" t="s">
        <v>27</v>
      </c>
      <c r="J67" s="19" t="s">
        <v>328</v>
      </c>
      <c r="K67" s="14">
        <v>21.0</v>
      </c>
      <c r="L67" s="14">
        <v>0.0</v>
      </c>
      <c r="M67" s="25"/>
      <c r="N67" s="26" t="s">
        <v>21</v>
      </c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>
      <c r="A68" s="14" t="s">
        <v>329</v>
      </c>
      <c r="B68" s="17" t="s">
        <v>325</v>
      </c>
      <c r="C68" s="17" t="s">
        <v>330</v>
      </c>
      <c r="D68" s="19" t="s">
        <v>331</v>
      </c>
      <c r="E68" s="20" t="s">
        <v>332</v>
      </c>
      <c r="F68" s="21">
        <v>32949.0</v>
      </c>
      <c r="G68" s="14">
        <f t="shared" si="1"/>
        <v>36</v>
      </c>
      <c r="H68" s="23" t="s">
        <v>26</v>
      </c>
      <c r="I68" s="24" t="s">
        <v>33</v>
      </c>
      <c r="J68" s="19" t="s">
        <v>328</v>
      </c>
      <c r="K68" s="14">
        <v>21.0</v>
      </c>
      <c r="L68" s="14">
        <v>0.0</v>
      </c>
      <c r="M68" s="25"/>
      <c r="N68" s="26" t="s">
        <v>21</v>
      </c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>
      <c r="A69" s="14" t="s">
        <v>333</v>
      </c>
      <c r="B69" s="17" t="s">
        <v>334</v>
      </c>
      <c r="C69" s="17" t="s">
        <v>335</v>
      </c>
      <c r="D69" s="19" t="s">
        <v>336</v>
      </c>
      <c r="E69" s="20" t="s">
        <v>337</v>
      </c>
      <c r="F69" s="21">
        <v>36406.0</v>
      </c>
      <c r="G69" s="14">
        <f t="shared" si="1"/>
        <v>27</v>
      </c>
      <c r="H69" s="23" t="s">
        <v>26</v>
      </c>
      <c r="I69" s="24" t="s">
        <v>33</v>
      </c>
      <c r="J69" s="19" t="s">
        <v>95</v>
      </c>
      <c r="K69" s="14">
        <v>25.0</v>
      </c>
      <c r="L69" s="14">
        <v>0.0</v>
      </c>
      <c r="M69" s="25"/>
      <c r="N69" s="26" t="s">
        <v>21</v>
      </c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>
      <c r="A70" s="14" t="s">
        <v>338</v>
      </c>
      <c r="B70" s="17" t="s">
        <v>334</v>
      </c>
      <c r="C70" s="17" t="s">
        <v>339</v>
      </c>
      <c r="D70" s="19" t="s">
        <v>340</v>
      </c>
      <c r="E70" s="20" t="s">
        <v>138</v>
      </c>
      <c r="F70" s="21">
        <v>36808.0</v>
      </c>
      <c r="G70" s="14">
        <f t="shared" si="1"/>
        <v>26</v>
      </c>
      <c r="H70" s="23" t="s">
        <v>26</v>
      </c>
      <c r="I70" s="24" t="s">
        <v>27</v>
      </c>
      <c r="J70" s="19" t="s">
        <v>95</v>
      </c>
      <c r="K70" s="14">
        <v>25.0</v>
      </c>
      <c r="L70" s="14">
        <v>0.0</v>
      </c>
      <c r="M70" s="25"/>
      <c r="N70" s="26" t="s">
        <v>21</v>
      </c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>
      <c r="A71" s="14" t="s">
        <v>341</v>
      </c>
      <c r="B71" s="17" t="s">
        <v>342</v>
      </c>
      <c r="C71" s="17" t="s">
        <v>343</v>
      </c>
      <c r="D71" s="19" t="s">
        <v>344</v>
      </c>
      <c r="E71" s="20" t="s">
        <v>104</v>
      </c>
      <c r="F71" s="21">
        <v>30415.0</v>
      </c>
      <c r="G71" s="14">
        <f t="shared" si="1"/>
        <v>43</v>
      </c>
      <c r="H71" s="23" t="s">
        <v>27</v>
      </c>
      <c r="I71" s="24" t="s">
        <v>33</v>
      </c>
      <c r="J71" s="19" t="s">
        <v>58</v>
      </c>
      <c r="K71" s="14">
        <v>9.0</v>
      </c>
      <c r="L71" s="14">
        <v>0.0</v>
      </c>
      <c r="M71" s="25"/>
      <c r="N71" s="26" t="s">
        <v>21</v>
      </c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>
      <c r="A72" s="14" t="s">
        <v>354</v>
      </c>
      <c r="B72" s="17" t="s">
        <v>355</v>
      </c>
      <c r="C72" s="17" t="s">
        <v>356</v>
      </c>
      <c r="D72" s="19" t="s">
        <v>357</v>
      </c>
      <c r="E72" s="20" t="s">
        <v>240</v>
      </c>
      <c r="F72" s="21">
        <v>29564.0</v>
      </c>
      <c r="G72" s="14">
        <f t="shared" si="1"/>
        <v>45</v>
      </c>
      <c r="H72" s="23" t="s">
        <v>26</v>
      </c>
      <c r="I72" s="24" t="s">
        <v>33</v>
      </c>
      <c r="J72" s="19" t="s">
        <v>328</v>
      </c>
      <c r="K72" s="14">
        <v>25.0</v>
      </c>
      <c r="L72" s="14">
        <v>0.0</v>
      </c>
      <c r="M72" s="25"/>
      <c r="N72" s="26" t="s">
        <v>21</v>
      </c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>
      <c r="A73" s="14" t="s">
        <v>359</v>
      </c>
      <c r="B73" s="17" t="s">
        <v>355</v>
      </c>
      <c r="C73" s="17" t="s">
        <v>360</v>
      </c>
      <c r="D73" s="19" t="s">
        <v>361</v>
      </c>
      <c r="E73" s="20" t="s">
        <v>104</v>
      </c>
      <c r="F73" s="21">
        <v>29560.0</v>
      </c>
      <c r="G73" s="14">
        <f t="shared" si="1"/>
        <v>45</v>
      </c>
      <c r="H73" s="23" t="s">
        <v>26</v>
      </c>
      <c r="I73" s="24" t="s">
        <v>27</v>
      </c>
      <c r="J73" s="19" t="s">
        <v>362</v>
      </c>
      <c r="K73" s="14">
        <v>25.0</v>
      </c>
      <c r="L73" s="14">
        <v>0.0</v>
      </c>
      <c r="M73" s="25"/>
      <c r="N73" s="26" t="s">
        <v>21</v>
      </c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>
      <c r="A74" s="14" t="s">
        <v>364</v>
      </c>
      <c r="B74" s="17" t="s">
        <v>365</v>
      </c>
      <c r="C74" s="17" t="s">
        <v>366</v>
      </c>
      <c r="D74" s="19" t="s">
        <v>367</v>
      </c>
      <c r="E74" s="20" t="s">
        <v>53</v>
      </c>
      <c r="F74" s="21">
        <v>36987.0</v>
      </c>
      <c r="G74" s="14">
        <f t="shared" si="1"/>
        <v>25</v>
      </c>
      <c r="H74" s="23" t="s">
        <v>26</v>
      </c>
      <c r="I74" s="24" t="s">
        <v>27</v>
      </c>
      <c r="J74" s="19" t="s">
        <v>58</v>
      </c>
      <c r="K74" s="14">
        <v>36.0</v>
      </c>
      <c r="L74" s="14">
        <v>0.0</v>
      </c>
      <c r="M74" s="28" t="s">
        <v>368</v>
      </c>
      <c r="N74" s="26" t="s">
        <v>21</v>
      </c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>
      <c r="A75" s="14" t="s">
        <v>369</v>
      </c>
      <c r="B75" s="17" t="s">
        <v>365</v>
      </c>
      <c r="C75" s="17" t="s">
        <v>370</v>
      </c>
      <c r="D75" s="19" t="s">
        <v>371</v>
      </c>
      <c r="E75" s="20" t="s">
        <v>372</v>
      </c>
      <c r="F75" s="21">
        <v>36104.0</v>
      </c>
      <c r="G75" s="14">
        <f t="shared" si="1"/>
        <v>27</v>
      </c>
      <c r="H75" s="23" t="s">
        <v>26</v>
      </c>
      <c r="I75" s="24" t="s">
        <v>33</v>
      </c>
      <c r="J75" s="19" t="s">
        <v>58</v>
      </c>
      <c r="K75" s="14">
        <v>36.0</v>
      </c>
      <c r="L75" s="14">
        <v>0.0</v>
      </c>
      <c r="M75" s="28" t="s">
        <v>368</v>
      </c>
      <c r="N75" s="26" t="s">
        <v>21</v>
      </c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>
      <c r="A76" s="14" t="s">
        <v>373</v>
      </c>
      <c r="B76" s="17" t="s">
        <v>374</v>
      </c>
      <c r="C76" s="17" t="s">
        <v>375</v>
      </c>
      <c r="D76" s="19" t="s">
        <v>376</v>
      </c>
      <c r="E76" s="20" t="s">
        <v>104</v>
      </c>
      <c r="F76" s="21">
        <v>30776.0</v>
      </c>
      <c r="G76" s="14">
        <f t="shared" si="1"/>
        <v>42</v>
      </c>
      <c r="H76" s="23" t="s">
        <v>26</v>
      </c>
      <c r="I76" s="24" t="s">
        <v>27</v>
      </c>
      <c r="J76" s="19" t="s">
        <v>53</v>
      </c>
      <c r="K76" s="14">
        <v>20.0</v>
      </c>
      <c r="L76" s="14">
        <v>0.0</v>
      </c>
      <c r="M76" s="25"/>
      <c r="N76" s="26" t="s">
        <v>21</v>
      </c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>
      <c r="A77" s="14" t="s">
        <v>377</v>
      </c>
      <c r="B77" s="17" t="s">
        <v>374</v>
      </c>
      <c r="C77" s="17" t="s">
        <v>378</v>
      </c>
      <c r="D77" s="19" t="s">
        <v>379</v>
      </c>
      <c r="E77" s="20" t="s">
        <v>53</v>
      </c>
      <c r="F77" s="21">
        <v>37674.0</v>
      </c>
      <c r="G77" s="14">
        <f t="shared" si="1"/>
        <v>23</v>
      </c>
      <c r="H77" s="23" t="s">
        <v>100</v>
      </c>
      <c r="I77" s="24" t="s">
        <v>27</v>
      </c>
      <c r="J77" s="19" t="s">
        <v>53</v>
      </c>
      <c r="K77" s="14">
        <v>20.0</v>
      </c>
      <c r="L77" s="14">
        <v>0.0</v>
      </c>
      <c r="M77" s="25"/>
      <c r="N77" s="26" t="s">
        <v>21</v>
      </c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>
      <c r="A78" s="14" t="s">
        <v>380</v>
      </c>
      <c r="B78" s="17" t="s">
        <v>374</v>
      </c>
      <c r="C78" s="17" t="s">
        <v>381</v>
      </c>
      <c r="D78" s="19" t="s">
        <v>382</v>
      </c>
      <c r="E78" s="20" t="s">
        <v>104</v>
      </c>
      <c r="F78" s="21">
        <v>29315.0</v>
      </c>
      <c r="G78" s="14">
        <f t="shared" si="1"/>
        <v>46</v>
      </c>
      <c r="H78" s="23" t="s">
        <v>26</v>
      </c>
      <c r="I78" s="24" t="s">
        <v>33</v>
      </c>
      <c r="J78" s="19" t="s">
        <v>53</v>
      </c>
      <c r="K78" s="14">
        <v>20.0</v>
      </c>
      <c r="L78" s="14">
        <v>0.0</v>
      </c>
      <c r="M78" s="25"/>
      <c r="N78" s="26" t="s">
        <v>21</v>
      </c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>
      <c r="A79" s="14" t="s">
        <v>383</v>
      </c>
      <c r="B79" s="17" t="s">
        <v>384</v>
      </c>
      <c r="C79" s="17" t="s">
        <v>385</v>
      </c>
      <c r="D79" s="19" t="s">
        <v>386</v>
      </c>
      <c r="E79" s="20" t="s">
        <v>219</v>
      </c>
      <c r="F79" s="27">
        <v>25558.0</v>
      </c>
      <c r="G79" s="14">
        <f t="shared" si="1"/>
        <v>56</v>
      </c>
      <c r="H79" s="23" t="s">
        <v>26</v>
      </c>
      <c r="I79" s="24" t="s">
        <v>27</v>
      </c>
      <c r="J79" s="19" t="s">
        <v>68</v>
      </c>
      <c r="K79" s="14">
        <v>32.0</v>
      </c>
      <c r="L79" s="14">
        <v>5.0</v>
      </c>
      <c r="M79" s="25"/>
      <c r="N79" s="26" t="s">
        <v>21</v>
      </c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>
      <c r="A80" s="14" t="s">
        <v>387</v>
      </c>
      <c r="B80" s="17" t="s">
        <v>388</v>
      </c>
      <c r="C80" s="17" t="s">
        <v>389</v>
      </c>
      <c r="D80" s="19" t="s">
        <v>390</v>
      </c>
      <c r="E80" s="20" t="s">
        <v>391</v>
      </c>
      <c r="F80" s="21">
        <v>38019.0</v>
      </c>
      <c r="G80" s="14">
        <f t="shared" si="1"/>
        <v>22</v>
      </c>
      <c r="H80" s="23" t="s">
        <v>100</v>
      </c>
      <c r="I80" s="24" t="s">
        <v>33</v>
      </c>
      <c r="J80" s="19" t="s">
        <v>328</v>
      </c>
      <c r="K80" s="14">
        <v>31.0</v>
      </c>
      <c r="L80" s="14">
        <v>0.0</v>
      </c>
      <c r="M80" s="25"/>
      <c r="N80" s="26" t="s">
        <v>21</v>
      </c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>
      <c r="A81" s="14" t="s">
        <v>392</v>
      </c>
      <c r="B81" s="17" t="s">
        <v>388</v>
      </c>
      <c r="C81" s="17" t="s">
        <v>393</v>
      </c>
      <c r="D81" s="19" t="s">
        <v>394</v>
      </c>
      <c r="E81" s="20" t="s">
        <v>104</v>
      </c>
      <c r="F81" s="21">
        <v>29403.0</v>
      </c>
      <c r="G81" s="14">
        <f t="shared" si="1"/>
        <v>46</v>
      </c>
      <c r="H81" s="23" t="s">
        <v>26</v>
      </c>
      <c r="I81" s="24" t="s">
        <v>27</v>
      </c>
      <c r="J81" s="19" t="s">
        <v>328</v>
      </c>
      <c r="K81" s="14">
        <v>31.0</v>
      </c>
      <c r="L81" s="14">
        <v>0.0</v>
      </c>
      <c r="M81" s="25"/>
      <c r="N81" s="26" t="s">
        <v>21</v>
      </c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>
      <c r="A82" s="14" t="s">
        <v>395</v>
      </c>
      <c r="B82" s="17" t="s">
        <v>388</v>
      </c>
      <c r="C82" s="17" t="s">
        <v>396</v>
      </c>
      <c r="D82" s="19" t="s">
        <v>397</v>
      </c>
      <c r="E82" s="20" t="s">
        <v>290</v>
      </c>
      <c r="F82" s="27">
        <v>26228.0</v>
      </c>
      <c r="G82" s="14">
        <f t="shared" si="1"/>
        <v>55</v>
      </c>
      <c r="H82" s="23" t="s">
        <v>26</v>
      </c>
      <c r="I82" s="24" t="s">
        <v>33</v>
      </c>
      <c r="J82" s="19" t="s">
        <v>328</v>
      </c>
      <c r="K82" s="14">
        <v>31.0</v>
      </c>
      <c r="L82" s="14">
        <v>5.0</v>
      </c>
      <c r="M82" s="28" t="s">
        <v>398</v>
      </c>
      <c r="N82" s="26" t="s">
        <v>21</v>
      </c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>
      <c r="A83" s="14" t="s">
        <v>399</v>
      </c>
      <c r="B83" s="17" t="s">
        <v>400</v>
      </c>
      <c r="C83" s="17" t="s">
        <v>401</v>
      </c>
      <c r="D83" s="19" t="s">
        <v>402</v>
      </c>
      <c r="E83" s="20" t="s">
        <v>403</v>
      </c>
      <c r="F83" s="21">
        <v>29414.0</v>
      </c>
      <c r="G83" s="14">
        <f t="shared" si="1"/>
        <v>46</v>
      </c>
      <c r="H83" s="23" t="s">
        <v>26</v>
      </c>
      <c r="I83" s="24" t="s">
        <v>33</v>
      </c>
      <c r="J83" s="19" t="s">
        <v>53</v>
      </c>
      <c r="K83" s="14">
        <v>19.0</v>
      </c>
      <c r="L83" s="14">
        <v>0.0</v>
      </c>
      <c r="M83" s="25"/>
      <c r="N83" s="26" t="s">
        <v>21</v>
      </c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>
      <c r="A84" s="14" t="s">
        <v>404</v>
      </c>
      <c r="B84" s="17" t="s">
        <v>400</v>
      </c>
      <c r="C84" s="17" t="s">
        <v>405</v>
      </c>
      <c r="D84" s="19" t="s">
        <v>406</v>
      </c>
      <c r="E84" s="20" t="s">
        <v>104</v>
      </c>
      <c r="F84" s="21">
        <v>31384.0</v>
      </c>
      <c r="G84" s="14">
        <f t="shared" si="1"/>
        <v>40</v>
      </c>
      <c r="H84" s="23" t="s">
        <v>26</v>
      </c>
      <c r="I84" s="24" t="s">
        <v>27</v>
      </c>
      <c r="J84" s="19" t="s">
        <v>53</v>
      </c>
      <c r="K84" s="14">
        <v>19.0</v>
      </c>
      <c r="L84" s="14">
        <v>0.0</v>
      </c>
      <c r="M84" s="25"/>
      <c r="N84" s="26" t="s">
        <v>21</v>
      </c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>
      <c r="A85" s="14" t="s">
        <v>407</v>
      </c>
      <c r="B85" s="17" t="s">
        <v>400</v>
      </c>
      <c r="C85" s="17" t="s">
        <v>408</v>
      </c>
      <c r="D85" s="19" t="s">
        <v>409</v>
      </c>
      <c r="E85" s="20" t="s">
        <v>195</v>
      </c>
      <c r="F85" s="21">
        <v>39214.0</v>
      </c>
      <c r="G85" s="14">
        <f t="shared" si="1"/>
        <v>19</v>
      </c>
      <c r="H85" s="23" t="s">
        <v>100</v>
      </c>
      <c r="I85" s="24" t="s">
        <v>33</v>
      </c>
      <c r="J85" s="19" t="s">
        <v>53</v>
      </c>
      <c r="K85" s="14">
        <v>19.0</v>
      </c>
      <c r="L85" s="14">
        <v>0.0</v>
      </c>
      <c r="M85" s="25"/>
      <c r="N85" s="26" t="s">
        <v>21</v>
      </c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>
      <c r="A86" s="14" t="s">
        <v>410</v>
      </c>
      <c r="B86" s="17" t="s">
        <v>411</v>
      </c>
      <c r="C86" s="17" t="s">
        <v>412</v>
      </c>
      <c r="D86" s="19" t="s">
        <v>413</v>
      </c>
      <c r="E86" s="20" t="s">
        <v>138</v>
      </c>
      <c r="F86" s="21">
        <v>37844.0</v>
      </c>
      <c r="G86" s="14">
        <f t="shared" si="1"/>
        <v>23</v>
      </c>
      <c r="H86" s="23" t="s">
        <v>26</v>
      </c>
      <c r="I86" s="24" t="s">
        <v>27</v>
      </c>
      <c r="J86" s="19" t="s">
        <v>156</v>
      </c>
      <c r="K86" s="14">
        <v>35.0</v>
      </c>
      <c r="L86" s="14">
        <v>0.0</v>
      </c>
      <c r="M86" s="25"/>
      <c r="N86" s="26" t="s">
        <v>21</v>
      </c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>
      <c r="A87" s="14" t="s">
        <v>414</v>
      </c>
      <c r="B87" s="17" t="s">
        <v>411</v>
      </c>
      <c r="C87" s="17" t="s">
        <v>415</v>
      </c>
      <c r="D87" s="19" t="s">
        <v>416</v>
      </c>
      <c r="E87" s="20" t="s">
        <v>219</v>
      </c>
      <c r="F87" s="21">
        <v>34589.0</v>
      </c>
      <c r="G87" s="14">
        <f t="shared" si="1"/>
        <v>32</v>
      </c>
      <c r="H87" s="23" t="s">
        <v>26</v>
      </c>
      <c r="I87" s="24" t="s">
        <v>33</v>
      </c>
      <c r="J87" s="19" t="s">
        <v>156</v>
      </c>
      <c r="K87" s="14">
        <v>35.0</v>
      </c>
      <c r="L87" s="14">
        <v>0.0</v>
      </c>
      <c r="M87" s="25"/>
      <c r="N87" s="26" t="s">
        <v>21</v>
      </c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>
      <c r="A88" s="14" t="s">
        <v>417</v>
      </c>
      <c r="B88" s="17" t="s">
        <v>418</v>
      </c>
      <c r="C88" s="17" t="s">
        <v>419</v>
      </c>
      <c r="D88" s="19" t="s">
        <v>420</v>
      </c>
      <c r="E88" s="20" t="s">
        <v>421</v>
      </c>
      <c r="F88" s="21">
        <v>35182.0</v>
      </c>
      <c r="G88" s="14">
        <f t="shared" si="1"/>
        <v>30</v>
      </c>
      <c r="H88" s="23" t="s">
        <v>26</v>
      </c>
      <c r="I88" s="24" t="s">
        <v>27</v>
      </c>
      <c r="J88" s="19" t="s">
        <v>282</v>
      </c>
      <c r="K88" s="14">
        <v>18.0</v>
      </c>
      <c r="L88" s="14">
        <v>0.0</v>
      </c>
      <c r="M88" s="25"/>
      <c r="N88" s="26" t="s">
        <v>21</v>
      </c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>
      <c r="A89" s="14" t="s">
        <v>422</v>
      </c>
      <c r="B89" s="17" t="s">
        <v>418</v>
      </c>
      <c r="C89" s="17" t="s">
        <v>423</v>
      </c>
      <c r="D89" s="19" t="s">
        <v>424</v>
      </c>
      <c r="E89" s="20" t="s">
        <v>53</v>
      </c>
      <c r="F89" s="27">
        <v>34268.0</v>
      </c>
      <c r="G89" s="14">
        <f t="shared" si="1"/>
        <v>33</v>
      </c>
      <c r="H89" s="23" t="s">
        <v>26</v>
      </c>
      <c r="I89" s="24" t="s">
        <v>33</v>
      </c>
      <c r="J89" s="19" t="s">
        <v>282</v>
      </c>
      <c r="K89" s="14">
        <v>18.0</v>
      </c>
      <c r="L89" s="14">
        <v>0.0</v>
      </c>
      <c r="M89" s="25"/>
      <c r="N89" s="26" t="s">
        <v>21</v>
      </c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>
      <c r="A90" s="14" t="s">
        <v>425</v>
      </c>
      <c r="B90" s="17" t="s">
        <v>426</v>
      </c>
      <c r="C90" s="17" t="s">
        <v>427</v>
      </c>
      <c r="D90" s="19" t="s">
        <v>428</v>
      </c>
      <c r="E90" s="20" t="s">
        <v>429</v>
      </c>
      <c r="F90" s="21">
        <v>25736.0</v>
      </c>
      <c r="G90" s="14">
        <f t="shared" si="1"/>
        <v>56</v>
      </c>
      <c r="H90" s="23" t="s">
        <v>26</v>
      </c>
      <c r="I90" s="24" t="s">
        <v>33</v>
      </c>
      <c r="J90" s="19" t="s">
        <v>58</v>
      </c>
      <c r="K90" s="14">
        <v>36.0</v>
      </c>
      <c r="L90" s="14">
        <v>0.0</v>
      </c>
      <c r="M90" s="28" t="s">
        <v>368</v>
      </c>
      <c r="N90" s="26" t="s">
        <v>21</v>
      </c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>
      <c r="A91" s="14" t="s">
        <v>431</v>
      </c>
      <c r="B91" s="17" t="s">
        <v>426</v>
      </c>
      <c r="C91" s="17" t="s">
        <v>432</v>
      </c>
      <c r="D91" s="19" t="s">
        <v>433</v>
      </c>
      <c r="E91" s="20" t="s">
        <v>434</v>
      </c>
      <c r="F91" s="21">
        <v>23471.0</v>
      </c>
      <c r="G91" s="14">
        <f t="shared" si="1"/>
        <v>62</v>
      </c>
      <c r="H91" s="23" t="s">
        <v>27</v>
      </c>
      <c r="I91" s="24" t="s">
        <v>27</v>
      </c>
      <c r="J91" s="19" t="s">
        <v>58</v>
      </c>
      <c r="K91" s="14">
        <v>36.0</v>
      </c>
      <c r="L91" s="14">
        <v>0.0</v>
      </c>
      <c r="M91" s="28" t="s">
        <v>368</v>
      </c>
      <c r="N91" s="26" t="s">
        <v>21</v>
      </c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>
      <c r="A92" s="14" t="s">
        <v>435</v>
      </c>
      <c r="B92" s="17" t="s">
        <v>436</v>
      </c>
      <c r="C92" s="17" t="s">
        <v>437</v>
      </c>
      <c r="D92" s="19" t="s">
        <v>438</v>
      </c>
      <c r="E92" s="20" t="s">
        <v>240</v>
      </c>
      <c r="F92" s="27">
        <v>33570.0</v>
      </c>
      <c r="G92" s="14">
        <f t="shared" si="1"/>
        <v>34</v>
      </c>
      <c r="H92" s="23" t="s">
        <v>26</v>
      </c>
      <c r="I92" s="24" t="s">
        <v>33</v>
      </c>
      <c r="J92" s="19" t="s">
        <v>53</v>
      </c>
      <c r="K92" s="14">
        <v>28.0</v>
      </c>
      <c r="L92" s="14">
        <v>0.0</v>
      </c>
      <c r="M92" s="25"/>
      <c r="N92" s="26" t="s">
        <v>21</v>
      </c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>
      <c r="A93" s="14" t="s">
        <v>439</v>
      </c>
      <c r="B93" s="17" t="s">
        <v>436</v>
      </c>
      <c r="C93" s="17" t="s">
        <v>440</v>
      </c>
      <c r="D93" s="19" t="s">
        <v>441</v>
      </c>
      <c r="E93" s="20" t="s">
        <v>53</v>
      </c>
      <c r="F93" s="21">
        <v>33347.0</v>
      </c>
      <c r="G93" s="14">
        <f t="shared" si="1"/>
        <v>35</v>
      </c>
      <c r="H93" s="23" t="s">
        <v>26</v>
      </c>
      <c r="I93" s="24" t="s">
        <v>27</v>
      </c>
      <c r="J93" s="19" t="s">
        <v>53</v>
      </c>
      <c r="K93" s="14">
        <v>28.0</v>
      </c>
      <c r="L93" s="14">
        <v>0.0</v>
      </c>
      <c r="M93" s="25"/>
      <c r="N93" s="26" t="s">
        <v>21</v>
      </c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>
      <c r="A94" s="14" t="s">
        <v>442</v>
      </c>
      <c r="B94" s="17" t="s">
        <v>443</v>
      </c>
      <c r="C94" s="17" t="s">
        <v>444</v>
      </c>
      <c r="D94" s="19" t="s">
        <v>445</v>
      </c>
      <c r="E94" s="20" t="s">
        <v>104</v>
      </c>
      <c r="F94" s="21">
        <v>33132.0</v>
      </c>
      <c r="G94" s="14">
        <f t="shared" si="1"/>
        <v>36</v>
      </c>
      <c r="H94" s="23" t="s">
        <v>26</v>
      </c>
      <c r="I94" s="24" t="s">
        <v>33</v>
      </c>
      <c r="J94" s="19" t="s">
        <v>446</v>
      </c>
      <c r="K94" s="14">
        <v>31.0</v>
      </c>
      <c r="L94" s="14">
        <v>0.0</v>
      </c>
      <c r="M94" s="25"/>
      <c r="N94" s="26" t="s">
        <v>21</v>
      </c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>
      <c r="A95" s="14" t="s">
        <v>447</v>
      </c>
      <c r="B95" s="17" t="s">
        <v>443</v>
      </c>
      <c r="C95" s="17" t="s">
        <v>448</v>
      </c>
      <c r="D95" s="19" t="s">
        <v>449</v>
      </c>
      <c r="E95" s="20" t="s">
        <v>391</v>
      </c>
      <c r="F95" s="21">
        <v>35076.0</v>
      </c>
      <c r="G95" s="14">
        <f t="shared" si="1"/>
        <v>30</v>
      </c>
      <c r="H95" s="23" t="s">
        <v>26</v>
      </c>
      <c r="I95" s="24" t="s">
        <v>27</v>
      </c>
      <c r="J95" s="19" t="s">
        <v>446</v>
      </c>
      <c r="K95" s="14">
        <v>31.0</v>
      </c>
      <c r="L95" s="14">
        <v>0.0</v>
      </c>
      <c r="M95" s="25"/>
      <c r="N95" s="26" t="s">
        <v>21</v>
      </c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>
      <c r="A96" s="14" t="s">
        <v>450</v>
      </c>
      <c r="B96" s="17" t="s">
        <v>451</v>
      </c>
      <c r="C96" s="17" t="s">
        <v>452</v>
      </c>
      <c r="D96" s="19" t="s">
        <v>453</v>
      </c>
      <c r="E96" s="20" t="s">
        <v>150</v>
      </c>
      <c r="F96" s="21">
        <v>34049.0</v>
      </c>
      <c r="G96" s="14">
        <f t="shared" si="1"/>
        <v>33</v>
      </c>
      <c r="H96" s="23" t="s">
        <v>26</v>
      </c>
      <c r="I96" s="24" t="s">
        <v>33</v>
      </c>
      <c r="J96" s="19" t="s">
        <v>68</v>
      </c>
      <c r="K96" s="14">
        <v>28.0</v>
      </c>
      <c r="L96" s="14">
        <v>0.0</v>
      </c>
      <c r="M96" s="25"/>
      <c r="N96" s="26" t="s">
        <v>21</v>
      </c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>
      <c r="A97" s="14" t="s">
        <v>454</v>
      </c>
      <c r="B97" s="17" t="s">
        <v>451</v>
      </c>
      <c r="C97" s="17" t="s">
        <v>455</v>
      </c>
      <c r="D97" s="19" t="s">
        <v>456</v>
      </c>
      <c r="E97" s="20" t="s">
        <v>53</v>
      </c>
      <c r="F97" s="27">
        <v>33160.0</v>
      </c>
      <c r="G97" s="14">
        <f t="shared" si="1"/>
        <v>36</v>
      </c>
      <c r="H97" s="23" t="s">
        <v>26</v>
      </c>
      <c r="I97" s="24" t="s">
        <v>27</v>
      </c>
      <c r="J97" s="19" t="s">
        <v>68</v>
      </c>
      <c r="K97" s="14">
        <v>28.0</v>
      </c>
      <c r="L97" s="14">
        <v>0.0</v>
      </c>
      <c r="M97" s="25"/>
      <c r="N97" s="26" t="s">
        <v>21</v>
      </c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>
      <c r="A98" s="14" t="s">
        <v>457</v>
      </c>
      <c r="B98" s="17" t="s">
        <v>458</v>
      </c>
      <c r="C98" s="17" t="s">
        <v>459</v>
      </c>
      <c r="D98" s="19" t="s">
        <v>460</v>
      </c>
      <c r="E98" s="20" t="s">
        <v>461</v>
      </c>
      <c r="F98" s="21">
        <v>33741.0</v>
      </c>
      <c r="G98" s="14">
        <f t="shared" si="1"/>
        <v>34</v>
      </c>
      <c r="H98" s="23" t="s">
        <v>26</v>
      </c>
      <c r="I98" s="24" t="s">
        <v>33</v>
      </c>
      <c r="J98" s="19" t="s">
        <v>282</v>
      </c>
      <c r="K98" s="14">
        <v>12.0</v>
      </c>
      <c r="L98" s="14">
        <v>0.0</v>
      </c>
      <c r="M98" s="25"/>
      <c r="N98" s="26" t="s">
        <v>21</v>
      </c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>
      <c r="A99" s="14" t="s">
        <v>462</v>
      </c>
      <c r="B99" s="17" t="s">
        <v>458</v>
      </c>
      <c r="C99" s="17" t="s">
        <v>463</v>
      </c>
      <c r="D99" s="19" t="s">
        <v>464</v>
      </c>
      <c r="E99" s="20" t="s">
        <v>210</v>
      </c>
      <c r="F99" s="21">
        <v>30142.0</v>
      </c>
      <c r="G99" s="14">
        <f t="shared" si="1"/>
        <v>44</v>
      </c>
      <c r="H99" s="23" t="s">
        <v>26</v>
      </c>
      <c r="I99" s="24" t="s">
        <v>27</v>
      </c>
      <c r="J99" s="19" t="s">
        <v>282</v>
      </c>
      <c r="K99" s="14">
        <v>12.0</v>
      </c>
      <c r="L99" s="14">
        <v>0.0</v>
      </c>
      <c r="M99" s="25"/>
      <c r="N99" s="26" t="s">
        <v>21</v>
      </c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>
      <c r="A100" s="14" t="s">
        <v>465</v>
      </c>
      <c r="B100" s="17" t="s">
        <v>458</v>
      </c>
      <c r="C100" s="17" t="s">
        <v>466</v>
      </c>
      <c r="D100" s="19" t="s">
        <v>467</v>
      </c>
      <c r="E100" s="20" t="s">
        <v>104</v>
      </c>
      <c r="F100" s="21">
        <v>38405.0</v>
      </c>
      <c r="G100" s="14">
        <f t="shared" si="1"/>
        <v>21</v>
      </c>
      <c r="H100" s="23" t="s">
        <v>100</v>
      </c>
      <c r="I100" s="24" t="s">
        <v>27</v>
      </c>
      <c r="J100" s="19" t="s">
        <v>282</v>
      </c>
      <c r="K100" s="14">
        <v>12.0</v>
      </c>
      <c r="L100" s="14">
        <v>0.0</v>
      </c>
      <c r="M100" s="25"/>
      <c r="N100" s="26" t="s">
        <v>21</v>
      </c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>
      <c r="A101" s="14" t="s">
        <v>468</v>
      </c>
      <c r="B101" s="17" t="s">
        <v>469</v>
      </c>
      <c r="C101" s="17" t="s">
        <v>470</v>
      </c>
      <c r="D101" s="19" t="s">
        <v>471</v>
      </c>
      <c r="E101" s="20" t="s">
        <v>104</v>
      </c>
      <c r="F101" s="21">
        <v>33493.0</v>
      </c>
      <c r="G101" s="14">
        <f t="shared" si="1"/>
        <v>35</v>
      </c>
      <c r="H101" s="23" t="s">
        <v>26</v>
      </c>
      <c r="I101" s="24" t="s">
        <v>33</v>
      </c>
      <c r="J101" s="19" t="s">
        <v>472</v>
      </c>
      <c r="K101" s="14">
        <v>21.0</v>
      </c>
      <c r="L101" s="14">
        <v>0.0</v>
      </c>
      <c r="M101" s="25"/>
      <c r="N101" s="26" t="s">
        <v>21</v>
      </c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>
      <c r="A102" s="14" t="s">
        <v>473</v>
      </c>
      <c r="B102" s="17" t="s">
        <v>469</v>
      </c>
      <c r="C102" s="17" t="s">
        <v>474</v>
      </c>
      <c r="D102" s="19" t="s">
        <v>475</v>
      </c>
      <c r="E102" s="20" t="s">
        <v>104</v>
      </c>
      <c r="F102" s="21">
        <v>33055.0</v>
      </c>
      <c r="G102" s="14">
        <f t="shared" si="1"/>
        <v>36</v>
      </c>
      <c r="H102" s="23" t="s">
        <v>26</v>
      </c>
      <c r="I102" s="24" t="s">
        <v>27</v>
      </c>
      <c r="J102" s="19" t="s">
        <v>472</v>
      </c>
      <c r="K102" s="14">
        <v>21.0</v>
      </c>
      <c r="L102" s="14">
        <v>0.0</v>
      </c>
      <c r="M102" s="25"/>
      <c r="N102" s="26" t="s">
        <v>21</v>
      </c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>
      <c r="A103" s="14" t="s">
        <v>476</v>
      </c>
      <c r="B103" s="17" t="s">
        <v>477</v>
      </c>
      <c r="C103" s="17" t="s">
        <v>478</v>
      </c>
      <c r="D103" s="19" t="s">
        <v>479</v>
      </c>
      <c r="E103" s="20" t="s">
        <v>480</v>
      </c>
      <c r="F103" s="21">
        <v>31283.0</v>
      </c>
      <c r="G103" s="14">
        <f t="shared" si="1"/>
        <v>41</v>
      </c>
      <c r="H103" s="23" t="s">
        <v>26</v>
      </c>
      <c r="I103" s="24" t="s">
        <v>33</v>
      </c>
      <c r="J103" s="19" t="s">
        <v>362</v>
      </c>
      <c r="K103" s="14">
        <v>26.0</v>
      </c>
      <c r="L103" s="14">
        <v>0.0</v>
      </c>
      <c r="M103" s="25"/>
      <c r="N103" s="26" t="s">
        <v>21</v>
      </c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>
      <c r="A104" s="14" t="s">
        <v>481</v>
      </c>
      <c r="B104" s="17" t="s">
        <v>477</v>
      </c>
      <c r="C104" s="17" t="s">
        <v>482</v>
      </c>
      <c r="D104" s="19" t="s">
        <v>483</v>
      </c>
      <c r="E104" s="20" t="s">
        <v>104</v>
      </c>
      <c r="F104" s="21">
        <v>31503.0</v>
      </c>
      <c r="G104" s="14">
        <f t="shared" si="1"/>
        <v>40</v>
      </c>
      <c r="H104" s="23" t="s">
        <v>26</v>
      </c>
      <c r="I104" s="24" t="s">
        <v>27</v>
      </c>
      <c r="J104" s="19" t="s">
        <v>362</v>
      </c>
      <c r="K104" s="14">
        <v>26.0</v>
      </c>
      <c r="L104" s="14">
        <v>0.0</v>
      </c>
      <c r="M104" s="25"/>
      <c r="N104" s="26" t="s">
        <v>21</v>
      </c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>
      <c r="A105" s="14" t="s">
        <v>484</v>
      </c>
      <c r="B105" s="17" t="s">
        <v>477</v>
      </c>
      <c r="C105" s="17" t="s">
        <v>485</v>
      </c>
      <c r="D105" s="19" t="s">
        <v>386</v>
      </c>
      <c r="E105" s="20" t="s">
        <v>486</v>
      </c>
      <c r="F105" s="21">
        <v>21195.0</v>
      </c>
      <c r="G105" s="14">
        <f t="shared" si="1"/>
        <v>68</v>
      </c>
      <c r="H105" s="23" t="s">
        <v>27</v>
      </c>
      <c r="I105" s="24" t="s">
        <v>27</v>
      </c>
      <c r="J105" s="19" t="s">
        <v>362</v>
      </c>
      <c r="K105" s="14">
        <v>26.0</v>
      </c>
      <c r="L105" s="14">
        <v>0.0</v>
      </c>
      <c r="M105" s="25"/>
      <c r="N105" s="26" t="s">
        <v>21</v>
      </c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>
      <c r="A106" s="14" t="s">
        <v>487</v>
      </c>
      <c r="B106" s="17" t="s">
        <v>488</v>
      </c>
      <c r="C106" s="17" t="s">
        <v>489</v>
      </c>
      <c r="D106" s="19" t="s">
        <v>490</v>
      </c>
      <c r="E106" s="20" t="s">
        <v>491</v>
      </c>
      <c r="F106" s="21">
        <v>33348.0</v>
      </c>
      <c r="G106" s="14">
        <f t="shared" si="1"/>
        <v>35</v>
      </c>
      <c r="H106" s="23" t="s">
        <v>26</v>
      </c>
      <c r="I106" s="24" t="s">
        <v>33</v>
      </c>
      <c r="J106" s="19" t="s">
        <v>282</v>
      </c>
      <c r="K106" s="14">
        <v>13.0</v>
      </c>
      <c r="L106" s="14">
        <v>0.0</v>
      </c>
      <c r="M106" s="25"/>
      <c r="N106" s="26" t="s">
        <v>21</v>
      </c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>
      <c r="A107" s="14" t="s">
        <v>492</v>
      </c>
      <c r="B107" s="17" t="s">
        <v>488</v>
      </c>
      <c r="C107" s="17" t="s">
        <v>493</v>
      </c>
      <c r="D107" s="19" t="s">
        <v>494</v>
      </c>
      <c r="E107" s="20" t="s">
        <v>337</v>
      </c>
      <c r="F107" s="21">
        <v>34479.0</v>
      </c>
      <c r="G107" s="14">
        <f t="shared" si="1"/>
        <v>32</v>
      </c>
      <c r="H107" s="23" t="s">
        <v>26</v>
      </c>
      <c r="I107" s="24" t="s">
        <v>27</v>
      </c>
      <c r="J107" s="19" t="s">
        <v>282</v>
      </c>
      <c r="K107" s="14">
        <v>13.0</v>
      </c>
      <c r="L107" s="14">
        <v>0.0</v>
      </c>
      <c r="M107" s="25"/>
      <c r="N107" s="26" t="s">
        <v>21</v>
      </c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>
      <c r="A108" s="14" t="s">
        <v>495</v>
      </c>
      <c r="B108" s="17" t="s">
        <v>496</v>
      </c>
      <c r="C108" s="17" t="s">
        <v>497</v>
      </c>
      <c r="D108" s="19" t="s">
        <v>498</v>
      </c>
      <c r="E108" s="20" t="s">
        <v>53</v>
      </c>
      <c r="F108" s="21">
        <v>33709.0</v>
      </c>
      <c r="G108" s="14">
        <f t="shared" si="1"/>
        <v>34</v>
      </c>
      <c r="H108" s="23" t="s">
        <v>26</v>
      </c>
      <c r="I108" s="24" t="s">
        <v>27</v>
      </c>
      <c r="J108" s="19" t="s">
        <v>257</v>
      </c>
      <c r="K108" s="14">
        <v>29.0</v>
      </c>
      <c r="L108" s="14">
        <v>0.0</v>
      </c>
      <c r="M108" s="25"/>
      <c r="N108" s="26" t="s">
        <v>21</v>
      </c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>
      <c r="A109" s="14" t="s">
        <v>499</v>
      </c>
      <c r="B109" s="17" t="s">
        <v>496</v>
      </c>
      <c r="C109" s="17" t="s">
        <v>500</v>
      </c>
      <c r="D109" s="19" t="s">
        <v>501</v>
      </c>
      <c r="E109" s="20" t="s">
        <v>502</v>
      </c>
      <c r="F109" s="27">
        <v>33567.0</v>
      </c>
      <c r="G109" s="14">
        <f t="shared" si="1"/>
        <v>34</v>
      </c>
      <c r="H109" s="23" t="s">
        <v>26</v>
      </c>
      <c r="I109" s="24" t="s">
        <v>33</v>
      </c>
      <c r="J109" s="19" t="s">
        <v>257</v>
      </c>
      <c r="K109" s="14">
        <v>29.0</v>
      </c>
      <c r="L109" s="14">
        <v>0.0</v>
      </c>
      <c r="M109" s="25"/>
      <c r="N109" s="26" t="s">
        <v>21</v>
      </c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>
      <c r="A110" s="14" t="s">
        <v>503</v>
      </c>
      <c r="B110" s="17" t="s">
        <v>504</v>
      </c>
      <c r="C110" s="17" t="s">
        <v>505</v>
      </c>
      <c r="D110" s="19" t="s">
        <v>506</v>
      </c>
      <c r="E110" s="20" t="s">
        <v>104</v>
      </c>
      <c r="F110" s="21">
        <v>38806.0</v>
      </c>
      <c r="G110" s="14">
        <f t="shared" si="1"/>
        <v>20</v>
      </c>
      <c r="H110" s="23" t="s">
        <v>100</v>
      </c>
      <c r="I110" s="24" t="s">
        <v>27</v>
      </c>
      <c r="J110" s="19" t="s">
        <v>282</v>
      </c>
      <c r="K110" s="14">
        <v>12.0</v>
      </c>
      <c r="L110" s="14">
        <v>0.0</v>
      </c>
      <c r="M110" s="25"/>
      <c r="N110" s="26" t="s">
        <v>21</v>
      </c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>
      <c r="A111" s="14" t="s">
        <v>507</v>
      </c>
      <c r="B111" s="17" t="s">
        <v>504</v>
      </c>
      <c r="C111" s="17" t="s">
        <v>508</v>
      </c>
      <c r="D111" s="19" t="s">
        <v>509</v>
      </c>
      <c r="E111" s="20" t="s">
        <v>53</v>
      </c>
      <c r="F111" s="21">
        <v>31207.0</v>
      </c>
      <c r="G111" s="14">
        <f t="shared" si="1"/>
        <v>41</v>
      </c>
      <c r="H111" s="23" t="s">
        <v>26</v>
      </c>
      <c r="I111" s="24" t="s">
        <v>33</v>
      </c>
      <c r="J111" s="19" t="s">
        <v>282</v>
      </c>
      <c r="K111" s="14">
        <v>12.0</v>
      </c>
      <c r="L111" s="14">
        <v>0.0</v>
      </c>
      <c r="M111" s="25"/>
      <c r="N111" s="26" t="s">
        <v>21</v>
      </c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>
      <c r="A112" s="14" t="s">
        <v>510</v>
      </c>
      <c r="B112" s="17" t="s">
        <v>504</v>
      </c>
      <c r="C112" s="17" t="s">
        <v>511</v>
      </c>
      <c r="D112" s="19" t="s">
        <v>512</v>
      </c>
      <c r="E112" s="20" t="s">
        <v>53</v>
      </c>
      <c r="F112" s="21">
        <v>31303.0</v>
      </c>
      <c r="G112" s="14">
        <f t="shared" si="1"/>
        <v>41</v>
      </c>
      <c r="H112" s="23" t="s">
        <v>26</v>
      </c>
      <c r="I112" s="24" t="s">
        <v>27</v>
      </c>
      <c r="J112" s="19" t="s">
        <v>282</v>
      </c>
      <c r="K112" s="14">
        <v>12.0</v>
      </c>
      <c r="L112" s="14">
        <v>0.0</v>
      </c>
      <c r="M112" s="25"/>
      <c r="N112" s="26" t="s">
        <v>21</v>
      </c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>
      <c r="A113" s="14" t="s">
        <v>513</v>
      </c>
      <c r="B113" s="17" t="s">
        <v>514</v>
      </c>
      <c r="C113" s="17" t="s">
        <v>515</v>
      </c>
      <c r="D113" s="19" t="s">
        <v>516</v>
      </c>
      <c r="E113" s="20" t="s">
        <v>210</v>
      </c>
      <c r="F113" s="21">
        <v>33376.0</v>
      </c>
      <c r="G113" s="14">
        <f t="shared" si="1"/>
        <v>35</v>
      </c>
      <c r="H113" s="23" t="s">
        <v>26</v>
      </c>
      <c r="I113" s="24" t="s">
        <v>33</v>
      </c>
      <c r="J113" s="19" t="s">
        <v>517</v>
      </c>
      <c r="K113" s="14">
        <v>8.0</v>
      </c>
      <c r="L113" s="14">
        <v>0.0</v>
      </c>
      <c r="M113" s="25"/>
      <c r="N113" s="26" t="s">
        <v>21</v>
      </c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>
      <c r="A114" s="14" t="s">
        <v>518</v>
      </c>
      <c r="B114" s="17" t="s">
        <v>514</v>
      </c>
      <c r="C114" s="17" t="s">
        <v>519</v>
      </c>
      <c r="D114" s="19" t="s">
        <v>520</v>
      </c>
      <c r="E114" s="20" t="s">
        <v>53</v>
      </c>
      <c r="F114" s="21">
        <v>35116.0</v>
      </c>
      <c r="G114" s="14">
        <f t="shared" si="1"/>
        <v>30</v>
      </c>
      <c r="H114" s="23" t="s">
        <v>26</v>
      </c>
      <c r="I114" s="24" t="s">
        <v>27</v>
      </c>
      <c r="J114" s="19" t="s">
        <v>517</v>
      </c>
      <c r="K114" s="14">
        <v>8.0</v>
      </c>
      <c r="L114" s="14">
        <v>0.0</v>
      </c>
      <c r="M114" s="25"/>
      <c r="N114" s="26" t="s">
        <v>21</v>
      </c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>
      <c r="A115" s="14" t="s">
        <v>521</v>
      </c>
      <c r="B115" s="17" t="s">
        <v>522</v>
      </c>
      <c r="C115" s="17" t="s">
        <v>523</v>
      </c>
      <c r="D115" s="19" t="s">
        <v>524</v>
      </c>
      <c r="E115" s="20" t="s">
        <v>525</v>
      </c>
      <c r="F115" s="21">
        <v>34496.0</v>
      </c>
      <c r="G115" s="14">
        <f t="shared" si="1"/>
        <v>32</v>
      </c>
      <c r="H115" s="23" t="s">
        <v>100</v>
      </c>
      <c r="I115" s="24" t="s">
        <v>33</v>
      </c>
      <c r="J115" s="19" t="s">
        <v>58</v>
      </c>
      <c r="K115" s="14">
        <v>9.0</v>
      </c>
      <c r="L115" s="14">
        <v>0.0</v>
      </c>
      <c r="M115" s="25"/>
      <c r="N115" s="26" t="s">
        <v>21</v>
      </c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>
      <c r="A116" s="14" t="s">
        <v>526</v>
      </c>
      <c r="B116" s="17" t="s">
        <v>522</v>
      </c>
      <c r="C116" s="17" t="s">
        <v>527</v>
      </c>
      <c r="D116" s="19" t="s">
        <v>528</v>
      </c>
      <c r="E116" s="20" t="s">
        <v>53</v>
      </c>
      <c r="F116" s="21">
        <v>36465.0</v>
      </c>
      <c r="G116" s="14">
        <f t="shared" si="1"/>
        <v>26</v>
      </c>
      <c r="H116" s="23" t="s">
        <v>26</v>
      </c>
      <c r="I116" s="24" t="s">
        <v>27</v>
      </c>
      <c r="J116" s="19" t="s">
        <v>58</v>
      </c>
      <c r="K116" s="14">
        <v>9.0</v>
      </c>
      <c r="L116" s="14">
        <v>0.0</v>
      </c>
      <c r="M116" s="25"/>
      <c r="N116" s="26" t="s">
        <v>21</v>
      </c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>
      <c r="A117" s="14" t="s">
        <v>529</v>
      </c>
      <c r="B117" s="17" t="s">
        <v>530</v>
      </c>
      <c r="C117" s="17" t="s">
        <v>531</v>
      </c>
      <c r="D117" s="19" t="s">
        <v>532</v>
      </c>
      <c r="E117" s="20" t="s">
        <v>104</v>
      </c>
      <c r="F117" s="21">
        <v>31855.0</v>
      </c>
      <c r="G117" s="14">
        <f t="shared" si="1"/>
        <v>39</v>
      </c>
      <c r="H117" s="23" t="s">
        <v>26</v>
      </c>
      <c r="I117" s="24" t="s">
        <v>27</v>
      </c>
      <c r="J117" s="19" t="s">
        <v>206</v>
      </c>
      <c r="K117" s="14">
        <v>4.0</v>
      </c>
      <c r="L117" s="14">
        <v>0.0</v>
      </c>
      <c r="M117" s="25"/>
      <c r="N117" s="26" t="s">
        <v>21</v>
      </c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>
      <c r="A118" s="14" t="s">
        <v>533</v>
      </c>
      <c r="B118" s="17" t="s">
        <v>530</v>
      </c>
      <c r="C118" s="17" t="s">
        <v>534</v>
      </c>
      <c r="D118" s="19" t="s">
        <v>535</v>
      </c>
      <c r="E118" s="20" t="s">
        <v>536</v>
      </c>
      <c r="F118" s="21">
        <v>32249.0</v>
      </c>
      <c r="G118" s="14">
        <f t="shared" si="1"/>
        <v>38</v>
      </c>
      <c r="H118" s="23" t="s">
        <v>26</v>
      </c>
      <c r="I118" s="24" t="s">
        <v>33</v>
      </c>
      <c r="J118" s="19" t="s">
        <v>206</v>
      </c>
      <c r="K118" s="14">
        <v>4.0</v>
      </c>
      <c r="L118" s="14">
        <v>0.0</v>
      </c>
      <c r="M118" s="25"/>
      <c r="N118" s="26" t="s">
        <v>21</v>
      </c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>
      <c r="A119" s="14" t="s">
        <v>537</v>
      </c>
      <c r="B119" s="17" t="s">
        <v>538</v>
      </c>
      <c r="C119" s="17" t="s">
        <v>539</v>
      </c>
      <c r="D119" s="19" t="s">
        <v>540</v>
      </c>
      <c r="E119" s="20" t="s">
        <v>434</v>
      </c>
      <c r="F119" s="21">
        <v>27033.0</v>
      </c>
      <c r="G119" s="14">
        <f t="shared" si="1"/>
        <v>52</v>
      </c>
      <c r="H119" s="23" t="s">
        <v>26</v>
      </c>
      <c r="I119" s="24" t="s">
        <v>33</v>
      </c>
      <c r="J119" s="19" t="s">
        <v>58</v>
      </c>
      <c r="K119" s="14">
        <v>7.0</v>
      </c>
      <c r="L119" s="14">
        <v>0.0</v>
      </c>
      <c r="M119" s="25"/>
      <c r="N119" s="26" t="s">
        <v>21</v>
      </c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>
      <c r="A120" s="14" t="s">
        <v>541</v>
      </c>
      <c r="B120" s="17" t="s">
        <v>538</v>
      </c>
      <c r="C120" s="17" t="s">
        <v>542</v>
      </c>
      <c r="D120" s="19" t="s">
        <v>543</v>
      </c>
      <c r="E120" s="20" t="s">
        <v>544</v>
      </c>
      <c r="F120" s="21">
        <v>27546.0</v>
      </c>
      <c r="G120" s="14">
        <f t="shared" si="1"/>
        <v>51</v>
      </c>
      <c r="H120" s="23" t="s">
        <v>26</v>
      </c>
      <c r="I120" s="24" t="s">
        <v>27</v>
      </c>
      <c r="J120" s="19" t="s">
        <v>58</v>
      </c>
      <c r="K120" s="14">
        <v>7.0</v>
      </c>
      <c r="L120" s="14">
        <v>0.0</v>
      </c>
      <c r="M120" s="25"/>
      <c r="N120" s="26" t="s">
        <v>21</v>
      </c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>
      <c r="A121" s="14" t="s">
        <v>545</v>
      </c>
      <c r="B121" s="17" t="s">
        <v>546</v>
      </c>
      <c r="C121" s="17" t="s">
        <v>547</v>
      </c>
      <c r="D121" s="19" t="s">
        <v>548</v>
      </c>
      <c r="E121" s="20" t="s">
        <v>138</v>
      </c>
      <c r="F121" s="21">
        <v>39335.0</v>
      </c>
      <c r="G121" s="14">
        <f t="shared" si="1"/>
        <v>19</v>
      </c>
      <c r="H121" s="23" t="s">
        <v>100</v>
      </c>
      <c r="I121" s="24" t="s">
        <v>27</v>
      </c>
      <c r="J121" s="19" t="s">
        <v>517</v>
      </c>
      <c r="K121" s="14">
        <v>8.0</v>
      </c>
      <c r="L121" s="14">
        <v>0.0</v>
      </c>
      <c r="M121" s="25"/>
      <c r="N121" s="26" t="s">
        <v>21</v>
      </c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>
      <c r="A122" s="14" t="s">
        <v>549</v>
      </c>
      <c r="B122" s="17" t="s">
        <v>546</v>
      </c>
      <c r="C122" s="17" t="s">
        <v>550</v>
      </c>
      <c r="D122" s="19" t="s">
        <v>551</v>
      </c>
      <c r="E122" s="20" t="s">
        <v>219</v>
      </c>
      <c r="F122" s="27">
        <v>22930.0</v>
      </c>
      <c r="G122" s="14">
        <f t="shared" si="1"/>
        <v>64</v>
      </c>
      <c r="H122" s="23" t="s">
        <v>26</v>
      </c>
      <c r="I122" s="24" t="s">
        <v>33</v>
      </c>
      <c r="J122" s="19" t="s">
        <v>517</v>
      </c>
      <c r="K122" s="14">
        <v>8.0</v>
      </c>
      <c r="L122" s="14">
        <v>0.0</v>
      </c>
      <c r="M122" s="25"/>
      <c r="N122" s="26" t="s">
        <v>21</v>
      </c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>
      <c r="A123" s="14" t="s">
        <v>552</v>
      </c>
      <c r="B123" s="17" t="s">
        <v>546</v>
      </c>
      <c r="C123" s="17" t="s">
        <v>553</v>
      </c>
      <c r="D123" s="19" t="s">
        <v>554</v>
      </c>
      <c r="E123" s="20" t="s">
        <v>434</v>
      </c>
      <c r="F123" s="27">
        <v>26583.0</v>
      </c>
      <c r="G123" s="14">
        <f t="shared" si="1"/>
        <v>54</v>
      </c>
      <c r="H123" s="23" t="s">
        <v>26</v>
      </c>
      <c r="I123" s="24" t="s">
        <v>27</v>
      </c>
      <c r="J123" s="19" t="s">
        <v>517</v>
      </c>
      <c r="K123" s="14">
        <v>7.0</v>
      </c>
      <c r="L123" s="14">
        <v>0.0</v>
      </c>
      <c r="M123" s="25"/>
      <c r="N123" s="26" t="s">
        <v>21</v>
      </c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>
      <c r="A124" s="14" t="s">
        <v>555</v>
      </c>
      <c r="B124" s="17" t="s">
        <v>556</v>
      </c>
      <c r="C124" s="17" t="s">
        <v>557</v>
      </c>
      <c r="D124" s="19" t="s">
        <v>558</v>
      </c>
      <c r="E124" s="20" t="s">
        <v>138</v>
      </c>
      <c r="F124" s="21">
        <v>38806.0</v>
      </c>
      <c r="G124" s="14">
        <f t="shared" si="1"/>
        <v>20</v>
      </c>
      <c r="H124" s="23" t="s">
        <v>100</v>
      </c>
      <c r="I124" s="24" t="s">
        <v>27</v>
      </c>
      <c r="J124" s="19" t="s">
        <v>58</v>
      </c>
      <c r="K124" s="14">
        <v>7.0</v>
      </c>
      <c r="L124" s="14">
        <v>0.0</v>
      </c>
      <c r="M124" s="25"/>
      <c r="N124" s="26" t="s">
        <v>21</v>
      </c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>
      <c r="A125" s="14" t="s">
        <v>559</v>
      </c>
      <c r="B125" s="17" t="s">
        <v>556</v>
      </c>
      <c r="C125" s="17" t="s">
        <v>560</v>
      </c>
      <c r="D125" s="19" t="s">
        <v>561</v>
      </c>
      <c r="E125" s="20" t="s">
        <v>104</v>
      </c>
      <c r="F125" s="21">
        <v>28675.0</v>
      </c>
      <c r="G125" s="14">
        <f t="shared" si="1"/>
        <v>48</v>
      </c>
      <c r="H125" s="23" t="s">
        <v>26</v>
      </c>
      <c r="I125" s="24" t="s">
        <v>33</v>
      </c>
      <c r="J125" s="19" t="s">
        <v>58</v>
      </c>
      <c r="K125" s="14">
        <v>7.0</v>
      </c>
      <c r="L125" s="14">
        <v>0.0</v>
      </c>
      <c r="M125" s="25"/>
      <c r="N125" s="26" t="s">
        <v>21</v>
      </c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>
      <c r="A126" s="14" t="s">
        <v>562</v>
      </c>
      <c r="B126" s="17" t="s">
        <v>556</v>
      </c>
      <c r="C126" s="17" t="s">
        <v>563</v>
      </c>
      <c r="D126" s="19" t="s">
        <v>564</v>
      </c>
      <c r="E126" s="20" t="s">
        <v>231</v>
      </c>
      <c r="F126" s="21">
        <v>29423.0</v>
      </c>
      <c r="G126" s="14">
        <f t="shared" si="1"/>
        <v>46</v>
      </c>
      <c r="H126" s="23" t="s">
        <v>26</v>
      </c>
      <c r="I126" s="24" t="s">
        <v>27</v>
      </c>
      <c r="J126" s="19" t="s">
        <v>58</v>
      </c>
      <c r="K126" s="14">
        <v>7.0</v>
      </c>
      <c r="L126" s="14">
        <v>0.0</v>
      </c>
      <c r="M126" s="25"/>
      <c r="N126" s="26" t="s">
        <v>21</v>
      </c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>
      <c r="A127" s="14" t="s">
        <v>565</v>
      </c>
      <c r="B127" s="17" t="s">
        <v>566</v>
      </c>
      <c r="C127" s="17" t="s">
        <v>567</v>
      </c>
      <c r="D127" s="19" t="s">
        <v>568</v>
      </c>
      <c r="E127" s="20" t="s">
        <v>569</v>
      </c>
      <c r="F127" s="27">
        <v>38714.0</v>
      </c>
      <c r="G127" s="14">
        <f t="shared" si="1"/>
        <v>20</v>
      </c>
      <c r="H127" s="23" t="s">
        <v>100</v>
      </c>
      <c r="I127" s="24" t="s">
        <v>27</v>
      </c>
      <c r="J127" s="19" t="s">
        <v>58</v>
      </c>
      <c r="K127" s="14">
        <v>36.0</v>
      </c>
      <c r="L127" s="14">
        <v>0.0</v>
      </c>
      <c r="M127" s="25"/>
      <c r="N127" s="26" t="s">
        <v>21</v>
      </c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>
      <c r="A128" s="14" t="s">
        <v>570</v>
      </c>
      <c r="B128" s="17" t="s">
        <v>566</v>
      </c>
      <c r="C128" s="17" t="s">
        <v>571</v>
      </c>
      <c r="D128" s="19" t="s">
        <v>572</v>
      </c>
      <c r="E128" s="20" t="s">
        <v>104</v>
      </c>
      <c r="F128" s="21">
        <v>29085.0</v>
      </c>
      <c r="G128" s="14">
        <f t="shared" si="1"/>
        <v>47</v>
      </c>
      <c r="H128" s="23" t="s">
        <v>26</v>
      </c>
      <c r="I128" s="24" t="s">
        <v>33</v>
      </c>
      <c r="J128" s="19" t="s">
        <v>58</v>
      </c>
      <c r="K128" s="14">
        <v>36.0</v>
      </c>
      <c r="L128" s="14">
        <v>0.0</v>
      </c>
      <c r="M128" s="25"/>
      <c r="N128" s="26" t="s">
        <v>21</v>
      </c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>
      <c r="A129" s="14" t="s">
        <v>573</v>
      </c>
      <c r="B129" s="17" t="s">
        <v>566</v>
      </c>
      <c r="C129" s="17" t="s">
        <v>574</v>
      </c>
      <c r="D129" s="19" t="s">
        <v>575</v>
      </c>
      <c r="E129" s="20" t="s">
        <v>104</v>
      </c>
      <c r="F129" s="27">
        <v>31334.0</v>
      </c>
      <c r="G129" s="14">
        <f t="shared" si="1"/>
        <v>41</v>
      </c>
      <c r="H129" s="23" t="s">
        <v>26</v>
      </c>
      <c r="I129" s="24" t="s">
        <v>27</v>
      </c>
      <c r="J129" s="19" t="s">
        <v>58</v>
      </c>
      <c r="K129" s="14">
        <v>36.0</v>
      </c>
      <c r="L129" s="14">
        <v>0.0</v>
      </c>
      <c r="M129" s="25"/>
      <c r="N129" s="26" t="s">
        <v>21</v>
      </c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>
      <c r="A130" s="14" t="s">
        <v>576</v>
      </c>
      <c r="B130" s="17" t="s">
        <v>577</v>
      </c>
      <c r="C130" s="17" t="s">
        <v>578</v>
      </c>
      <c r="D130" s="19" t="s">
        <v>579</v>
      </c>
      <c r="E130" s="20" t="s">
        <v>104</v>
      </c>
      <c r="F130" s="21">
        <v>39221.0</v>
      </c>
      <c r="G130" s="14">
        <f t="shared" si="1"/>
        <v>19</v>
      </c>
      <c r="H130" s="23" t="s">
        <v>100</v>
      </c>
      <c r="I130" s="24" t="s">
        <v>27</v>
      </c>
      <c r="J130" s="19" t="s">
        <v>58</v>
      </c>
      <c r="K130" s="14">
        <v>8.0</v>
      </c>
      <c r="L130" s="14">
        <v>0.0</v>
      </c>
      <c r="M130" s="25"/>
      <c r="N130" s="26" t="s">
        <v>21</v>
      </c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>
      <c r="A131" s="14" t="s">
        <v>580</v>
      </c>
      <c r="B131" s="17" t="s">
        <v>577</v>
      </c>
      <c r="C131" s="17" t="s">
        <v>581</v>
      </c>
      <c r="D131" s="19" t="s">
        <v>582</v>
      </c>
      <c r="E131" s="20" t="s">
        <v>53</v>
      </c>
      <c r="F131" s="27">
        <v>35764.0</v>
      </c>
      <c r="G131" s="14">
        <f t="shared" si="1"/>
        <v>28</v>
      </c>
      <c r="H131" s="23" t="s">
        <v>100</v>
      </c>
      <c r="I131" s="24" t="s">
        <v>33</v>
      </c>
      <c r="J131" s="19" t="s">
        <v>58</v>
      </c>
      <c r="K131" s="14">
        <v>8.0</v>
      </c>
      <c r="L131" s="14">
        <v>0.0</v>
      </c>
      <c r="M131" s="25"/>
      <c r="N131" s="26" t="s">
        <v>21</v>
      </c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>
      <c r="A132" s="14" t="s">
        <v>583</v>
      </c>
      <c r="B132" s="17" t="s">
        <v>577</v>
      </c>
      <c r="C132" s="17" t="s">
        <v>584</v>
      </c>
      <c r="D132" s="19" t="s">
        <v>585</v>
      </c>
      <c r="E132" s="20" t="s">
        <v>104</v>
      </c>
      <c r="F132" s="21">
        <v>36683.0</v>
      </c>
      <c r="G132" s="14">
        <f t="shared" si="1"/>
        <v>26</v>
      </c>
      <c r="H132" s="23" t="s">
        <v>100</v>
      </c>
      <c r="I132" s="24" t="s">
        <v>33</v>
      </c>
      <c r="J132" s="19" t="s">
        <v>58</v>
      </c>
      <c r="K132" s="14">
        <v>8.0</v>
      </c>
      <c r="L132" s="14">
        <v>0.0</v>
      </c>
      <c r="M132" s="25"/>
      <c r="N132" s="26" t="s">
        <v>21</v>
      </c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>
      <c r="A133" s="14" t="s">
        <v>586</v>
      </c>
      <c r="B133" s="17" t="s">
        <v>577</v>
      </c>
      <c r="C133" s="17" t="s">
        <v>587</v>
      </c>
      <c r="D133" s="19" t="s">
        <v>588</v>
      </c>
      <c r="E133" s="20" t="s">
        <v>434</v>
      </c>
      <c r="F133" s="21">
        <v>25579.0</v>
      </c>
      <c r="G133" s="14">
        <f t="shared" si="1"/>
        <v>56</v>
      </c>
      <c r="H133" s="23" t="s">
        <v>26</v>
      </c>
      <c r="I133" s="24" t="s">
        <v>27</v>
      </c>
      <c r="J133" s="19" t="s">
        <v>58</v>
      </c>
      <c r="K133" s="14">
        <v>8.0</v>
      </c>
      <c r="L133" s="14">
        <v>0.0</v>
      </c>
      <c r="M133" s="25"/>
      <c r="N133" s="26" t="s">
        <v>21</v>
      </c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>
      <c r="A134" s="14" t="s">
        <v>589</v>
      </c>
      <c r="B134" s="17" t="s">
        <v>577</v>
      </c>
      <c r="C134" s="17" t="s">
        <v>590</v>
      </c>
      <c r="D134" s="19" t="s">
        <v>591</v>
      </c>
      <c r="E134" s="20" t="s">
        <v>592</v>
      </c>
      <c r="F134" s="21">
        <v>24738.0</v>
      </c>
      <c r="G134" s="14">
        <f t="shared" si="1"/>
        <v>59</v>
      </c>
      <c r="H134" s="23" t="s">
        <v>26</v>
      </c>
      <c r="I134" s="24" t="s">
        <v>33</v>
      </c>
      <c r="J134" s="19" t="s">
        <v>58</v>
      </c>
      <c r="K134" s="14">
        <v>8.0</v>
      </c>
      <c r="L134" s="14">
        <v>0.0</v>
      </c>
      <c r="M134" s="25"/>
      <c r="N134" s="26" t="s">
        <v>21</v>
      </c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>
      <c r="A135" s="14" t="s">
        <v>593</v>
      </c>
      <c r="B135" s="17" t="s">
        <v>594</v>
      </c>
      <c r="C135" s="17" t="s">
        <v>595</v>
      </c>
      <c r="D135" s="19" t="s">
        <v>596</v>
      </c>
      <c r="E135" s="20" t="s">
        <v>104</v>
      </c>
      <c r="F135" s="21">
        <v>34876.0</v>
      </c>
      <c r="G135" s="14">
        <f t="shared" si="1"/>
        <v>31</v>
      </c>
      <c r="H135" s="23" t="s">
        <v>26</v>
      </c>
      <c r="I135" s="24" t="s">
        <v>27</v>
      </c>
      <c r="J135" s="19" t="s">
        <v>597</v>
      </c>
      <c r="K135" s="14">
        <v>19.0</v>
      </c>
      <c r="L135" s="14">
        <v>0.0</v>
      </c>
      <c r="M135" s="25"/>
      <c r="N135" s="26" t="s">
        <v>21</v>
      </c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>
      <c r="A136" s="14" t="s">
        <v>598</v>
      </c>
      <c r="B136" s="17" t="s">
        <v>594</v>
      </c>
      <c r="C136" s="17" t="s">
        <v>599</v>
      </c>
      <c r="D136" s="19" t="s">
        <v>600</v>
      </c>
      <c r="E136" s="20" t="s">
        <v>104</v>
      </c>
      <c r="F136" s="21">
        <v>32205.0</v>
      </c>
      <c r="G136" s="14">
        <f t="shared" si="1"/>
        <v>38</v>
      </c>
      <c r="H136" s="23" t="s">
        <v>26</v>
      </c>
      <c r="I136" s="24" t="s">
        <v>33</v>
      </c>
      <c r="J136" s="19" t="s">
        <v>597</v>
      </c>
      <c r="K136" s="14">
        <v>19.0</v>
      </c>
      <c r="L136" s="14">
        <v>0.0</v>
      </c>
      <c r="M136" s="25"/>
      <c r="N136" s="26" t="s">
        <v>21</v>
      </c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>
      <c r="A137" s="14" t="s">
        <v>601</v>
      </c>
      <c r="B137" s="17" t="s">
        <v>602</v>
      </c>
      <c r="C137" s="17" t="s">
        <v>603</v>
      </c>
      <c r="D137" s="19" t="s">
        <v>604</v>
      </c>
      <c r="E137" s="20" t="s">
        <v>605</v>
      </c>
      <c r="F137" s="21">
        <v>20326.0</v>
      </c>
      <c r="G137" s="14">
        <f t="shared" si="1"/>
        <v>71</v>
      </c>
      <c r="H137" s="23" t="s">
        <v>27</v>
      </c>
      <c r="I137" s="24" t="s">
        <v>27</v>
      </c>
      <c r="J137" s="19" t="s">
        <v>68</v>
      </c>
      <c r="K137" s="14">
        <v>31.0</v>
      </c>
      <c r="L137" s="14">
        <v>0.0</v>
      </c>
      <c r="M137" s="25"/>
      <c r="N137" s="26" t="s">
        <v>21</v>
      </c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>
      <c r="A138" s="14" t="s">
        <v>606</v>
      </c>
      <c r="B138" s="17" t="s">
        <v>607</v>
      </c>
      <c r="C138" s="17" t="s">
        <v>608</v>
      </c>
      <c r="D138" s="19" t="s">
        <v>609</v>
      </c>
      <c r="E138" s="20" t="s">
        <v>138</v>
      </c>
      <c r="F138" s="21">
        <v>34780.0</v>
      </c>
      <c r="G138" s="14">
        <f t="shared" si="1"/>
        <v>31</v>
      </c>
      <c r="H138" s="23" t="s">
        <v>26</v>
      </c>
      <c r="I138" s="24" t="s">
        <v>33</v>
      </c>
      <c r="J138" s="19" t="s">
        <v>68</v>
      </c>
      <c r="K138" s="14">
        <v>35.0</v>
      </c>
      <c r="L138" s="14">
        <v>0.0</v>
      </c>
      <c r="M138" s="25"/>
      <c r="N138" s="26" t="s">
        <v>21</v>
      </c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>
      <c r="A139" s="14" t="s">
        <v>610</v>
      </c>
      <c r="B139" s="17" t="s">
        <v>607</v>
      </c>
      <c r="C139" s="17" t="s">
        <v>611</v>
      </c>
      <c r="D139" s="19" t="s">
        <v>612</v>
      </c>
      <c r="E139" s="20" t="s">
        <v>613</v>
      </c>
      <c r="F139" s="21">
        <v>36303.0</v>
      </c>
      <c r="G139" s="14">
        <f t="shared" si="1"/>
        <v>27</v>
      </c>
      <c r="H139" s="23" t="s">
        <v>26</v>
      </c>
      <c r="I139" s="24" t="s">
        <v>27</v>
      </c>
      <c r="J139" s="19" t="s">
        <v>68</v>
      </c>
      <c r="K139" s="14">
        <v>35.0</v>
      </c>
      <c r="L139" s="14">
        <v>0.0</v>
      </c>
      <c r="M139" s="25"/>
      <c r="N139" s="26" t="s">
        <v>21</v>
      </c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>
      <c r="A140" s="14" t="s">
        <v>614</v>
      </c>
      <c r="B140" s="17" t="s">
        <v>615</v>
      </c>
      <c r="C140" s="17" t="s">
        <v>616</v>
      </c>
      <c r="D140" s="19" t="s">
        <v>617</v>
      </c>
      <c r="E140" s="20" t="s">
        <v>53</v>
      </c>
      <c r="F140" s="21">
        <v>35371.0</v>
      </c>
      <c r="G140" s="14">
        <f t="shared" si="1"/>
        <v>29</v>
      </c>
      <c r="H140" s="23" t="s">
        <v>100</v>
      </c>
      <c r="I140" s="24" t="s">
        <v>33</v>
      </c>
      <c r="J140" s="19" t="s">
        <v>362</v>
      </c>
      <c r="K140" s="14">
        <v>27.0</v>
      </c>
      <c r="L140" s="14">
        <v>0.0</v>
      </c>
      <c r="M140" s="25"/>
      <c r="N140" s="26" t="s">
        <v>21</v>
      </c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>
      <c r="A141" s="14" t="s">
        <v>618</v>
      </c>
      <c r="B141" s="17" t="s">
        <v>615</v>
      </c>
      <c r="C141" s="17" t="s">
        <v>619</v>
      </c>
      <c r="D141" s="19" t="s">
        <v>620</v>
      </c>
      <c r="E141" s="20" t="s">
        <v>138</v>
      </c>
      <c r="F141" s="21">
        <v>39203.0</v>
      </c>
      <c r="G141" s="14">
        <f t="shared" si="1"/>
        <v>19</v>
      </c>
      <c r="H141" s="23" t="s">
        <v>100</v>
      </c>
      <c r="I141" s="24" t="s">
        <v>33</v>
      </c>
      <c r="J141" s="19" t="s">
        <v>362</v>
      </c>
      <c r="K141" s="14">
        <v>27.0</v>
      </c>
      <c r="L141" s="14">
        <v>0.0</v>
      </c>
      <c r="M141" s="25"/>
      <c r="N141" s="26" t="s">
        <v>21</v>
      </c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>
      <c r="A142" s="14" t="s">
        <v>621</v>
      </c>
      <c r="B142" s="17" t="s">
        <v>615</v>
      </c>
      <c r="C142" s="17" t="s">
        <v>622</v>
      </c>
      <c r="D142" s="19" t="s">
        <v>623</v>
      </c>
      <c r="E142" s="20" t="s">
        <v>624</v>
      </c>
      <c r="F142" s="21">
        <v>22041.0</v>
      </c>
      <c r="G142" s="14">
        <f t="shared" si="1"/>
        <v>66</v>
      </c>
      <c r="H142" s="23" t="s">
        <v>27</v>
      </c>
      <c r="I142" s="24" t="s">
        <v>27</v>
      </c>
      <c r="J142" s="19" t="s">
        <v>362</v>
      </c>
      <c r="K142" s="14">
        <v>27.0</v>
      </c>
      <c r="L142" s="14">
        <v>0.0</v>
      </c>
      <c r="M142" s="25"/>
      <c r="N142" s="26" t="s">
        <v>21</v>
      </c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>
      <c r="A143" s="14" t="s">
        <v>625</v>
      </c>
      <c r="B143" s="17" t="s">
        <v>615</v>
      </c>
      <c r="C143" s="17" t="s">
        <v>626</v>
      </c>
      <c r="D143" s="19" t="s">
        <v>627</v>
      </c>
      <c r="E143" s="20" t="s">
        <v>104</v>
      </c>
      <c r="F143" s="21">
        <v>37753.0</v>
      </c>
      <c r="G143" s="14">
        <f t="shared" si="1"/>
        <v>23</v>
      </c>
      <c r="H143" s="23" t="s">
        <v>100</v>
      </c>
      <c r="I143" s="24" t="s">
        <v>33</v>
      </c>
      <c r="J143" s="19" t="s">
        <v>362</v>
      </c>
      <c r="K143" s="14">
        <v>27.0</v>
      </c>
      <c r="L143" s="14">
        <v>0.0</v>
      </c>
      <c r="M143" s="25"/>
      <c r="N143" s="26" t="s">
        <v>21</v>
      </c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>
      <c r="A144" s="14" t="s">
        <v>628</v>
      </c>
      <c r="B144" s="17" t="s">
        <v>629</v>
      </c>
      <c r="C144" s="17" t="s">
        <v>630</v>
      </c>
      <c r="D144" s="19" t="s">
        <v>631</v>
      </c>
      <c r="E144" s="20" t="s">
        <v>632</v>
      </c>
      <c r="F144" s="21">
        <v>23812.0</v>
      </c>
      <c r="G144" s="14">
        <f t="shared" si="1"/>
        <v>61</v>
      </c>
      <c r="H144" s="23" t="s">
        <v>26</v>
      </c>
      <c r="I144" s="24" t="s">
        <v>33</v>
      </c>
      <c r="J144" s="19" t="s">
        <v>282</v>
      </c>
      <c r="K144" s="14">
        <v>36.0</v>
      </c>
      <c r="L144" s="14">
        <v>0.0</v>
      </c>
      <c r="M144" s="25"/>
      <c r="N144" s="26" t="s">
        <v>21</v>
      </c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>
      <c r="A145" s="14" t="s">
        <v>633</v>
      </c>
      <c r="B145" s="17" t="s">
        <v>634</v>
      </c>
      <c r="C145" s="17" t="s">
        <v>635</v>
      </c>
      <c r="D145" s="19" t="s">
        <v>636</v>
      </c>
      <c r="E145" s="20" t="s">
        <v>104</v>
      </c>
      <c r="F145" s="21">
        <v>30622.0</v>
      </c>
      <c r="G145" s="14">
        <f t="shared" si="1"/>
        <v>42</v>
      </c>
      <c r="H145" s="23" t="s">
        <v>26</v>
      </c>
      <c r="I145" s="24" t="s">
        <v>33</v>
      </c>
      <c r="J145" s="19" t="s">
        <v>517</v>
      </c>
      <c r="K145" s="14">
        <v>9.0</v>
      </c>
      <c r="L145" s="14">
        <v>0.0</v>
      </c>
      <c r="M145" s="25"/>
      <c r="N145" s="26" t="s">
        <v>21</v>
      </c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>
      <c r="A146" s="14" t="s">
        <v>637</v>
      </c>
      <c r="B146" s="17" t="s">
        <v>634</v>
      </c>
      <c r="C146" s="17" t="s">
        <v>638</v>
      </c>
      <c r="D146" s="19" t="s">
        <v>639</v>
      </c>
      <c r="E146" s="20" t="s">
        <v>53</v>
      </c>
      <c r="F146" s="21">
        <v>39126.0</v>
      </c>
      <c r="G146" s="14">
        <f t="shared" si="1"/>
        <v>19</v>
      </c>
      <c r="H146" s="23" t="s">
        <v>100</v>
      </c>
      <c r="I146" s="24" t="s">
        <v>27</v>
      </c>
      <c r="J146" s="19" t="s">
        <v>58</v>
      </c>
      <c r="K146" s="14">
        <v>9.0</v>
      </c>
      <c r="L146" s="14">
        <v>0.0</v>
      </c>
      <c r="M146" s="25"/>
      <c r="N146" s="26" t="s">
        <v>21</v>
      </c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>
      <c r="A147" s="14" t="s">
        <v>640</v>
      </c>
      <c r="B147" s="17" t="s">
        <v>634</v>
      </c>
      <c r="C147" s="17" t="s">
        <v>641</v>
      </c>
      <c r="D147" s="19" t="s">
        <v>642</v>
      </c>
      <c r="E147" s="20" t="s">
        <v>53</v>
      </c>
      <c r="F147" s="21">
        <v>31545.0</v>
      </c>
      <c r="G147" s="14">
        <f t="shared" si="1"/>
        <v>40</v>
      </c>
      <c r="H147" s="23" t="s">
        <v>26</v>
      </c>
      <c r="I147" s="24" t="s">
        <v>27</v>
      </c>
      <c r="J147" s="19" t="s">
        <v>58</v>
      </c>
      <c r="K147" s="14">
        <v>9.0</v>
      </c>
      <c r="L147" s="14">
        <v>0.0</v>
      </c>
      <c r="M147" s="25"/>
      <c r="N147" s="26" t="s">
        <v>21</v>
      </c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>
      <c r="A148" s="14" t="s">
        <v>643</v>
      </c>
      <c r="B148" s="17" t="s">
        <v>644</v>
      </c>
      <c r="C148" s="17" t="s">
        <v>645</v>
      </c>
      <c r="D148" s="19" t="s">
        <v>646</v>
      </c>
      <c r="E148" s="20" t="s">
        <v>104</v>
      </c>
      <c r="F148" s="21">
        <v>37362.0</v>
      </c>
      <c r="G148" s="14">
        <f t="shared" si="1"/>
        <v>24</v>
      </c>
      <c r="H148" s="23" t="s">
        <v>100</v>
      </c>
      <c r="I148" s="24" t="s">
        <v>33</v>
      </c>
      <c r="J148" s="19" t="s">
        <v>328</v>
      </c>
      <c r="K148" s="14">
        <v>23.0</v>
      </c>
      <c r="L148" s="14">
        <v>0.0</v>
      </c>
      <c r="M148" s="25"/>
      <c r="N148" s="26" t="s">
        <v>21</v>
      </c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>
      <c r="A149" s="14" t="s">
        <v>647</v>
      </c>
      <c r="B149" s="17" t="s">
        <v>644</v>
      </c>
      <c r="C149" s="17" t="s">
        <v>648</v>
      </c>
      <c r="D149" s="19" t="s">
        <v>649</v>
      </c>
      <c r="E149" s="20" t="s">
        <v>650</v>
      </c>
      <c r="F149" s="21">
        <v>25262.0</v>
      </c>
      <c r="G149" s="14">
        <f t="shared" si="1"/>
        <v>57</v>
      </c>
      <c r="H149" s="23" t="s">
        <v>26</v>
      </c>
      <c r="I149" s="24" t="s">
        <v>33</v>
      </c>
      <c r="J149" s="19" t="s">
        <v>328</v>
      </c>
      <c r="K149" s="14">
        <v>23.0</v>
      </c>
      <c r="L149" s="14">
        <v>0.0</v>
      </c>
      <c r="M149" s="25"/>
      <c r="N149" s="26" t="s">
        <v>21</v>
      </c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>
      <c r="A150" s="14" t="s">
        <v>651</v>
      </c>
      <c r="B150" s="17" t="s">
        <v>644</v>
      </c>
      <c r="C150" s="17" t="s">
        <v>652</v>
      </c>
      <c r="D150" s="19" t="s">
        <v>653</v>
      </c>
      <c r="E150" s="20" t="s">
        <v>654</v>
      </c>
      <c r="F150" s="21">
        <v>26437.0</v>
      </c>
      <c r="G150" s="14">
        <f t="shared" si="1"/>
        <v>54</v>
      </c>
      <c r="H150" s="23" t="s">
        <v>26</v>
      </c>
      <c r="I150" s="24" t="s">
        <v>27</v>
      </c>
      <c r="J150" s="19" t="s">
        <v>328</v>
      </c>
      <c r="K150" s="14">
        <v>23.0</v>
      </c>
      <c r="L150" s="14">
        <v>0.0</v>
      </c>
      <c r="M150" s="25"/>
      <c r="N150" s="26" t="s">
        <v>21</v>
      </c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>
      <c r="A151" s="14" t="s">
        <v>655</v>
      </c>
      <c r="B151" s="17" t="s">
        <v>662</v>
      </c>
      <c r="C151" s="17" t="s">
        <v>657</v>
      </c>
      <c r="D151" s="19" t="s">
        <v>658</v>
      </c>
      <c r="E151" s="20" t="s">
        <v>337</v>
      </c>
      <c r="F151" s="21">
        <v>36268.0</v>
      </c>
      <c r="G151" s="14">
        <f t="shared" si="1"/>
        <v>27</v>
      </c>
      <c r="H151" s="23" t="s">
        <v>26</v>
      </c>
      <c r="I151" s="24" t="s">
        <v>33</v>
      </c>
      <c r="J151" s="19" t="s">
        <v>58</v>
      </c>
      <c r="K151" s="14">
        <v>16.0</v>
      </c>
      <c r="L151" s="14">
        <v>0.0</v>
      </c>
      <c r="M151" s="25"/>
      <c r="N151" s="26" t="s">
        <v>21</v>
      </c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>
      <c r="A152" s="14" t="s">
        <v>659</v>
      </c>
      <c r="B152" s="17" t="s">
        <v>656</v>
      </c>
      <c r="C152" s="17" t="s">
        <v>660</v>
      </c>
      <c r="D152" s="19" t="s">
        <v>661</v>
      </c>
      <c r="E152" s="20" t="s">
        <v>195</v>
      </c>
      <c r="F152" s="21">
        <v>28315.0</v>
      </c>
      <c r="G152" s="14">
        <f t="shared" si="1"/>
        <v>49</v>
      </c>
      <c r="H152" s="23" t="s">
        <v>26</v>
      </c>
      <c r="I152" s="24" t="s">
        <v>27</v>
      </c>
      <c r="J152" s="19" t="s">
        <v>58</v>
      </c>
      <c r="K152" s="14">
        <v>8.0</v>
      </c>
      <c r="L152" s="14">
        <v>0.0</v>
      </c>
      <c r="M152" s="25"/>
      <c r="N152" s="26" t="s">
        <v>21</v>
      </c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>
      <c r="A153" s="14" t="s">
        <v>663</v>
      </c>
      <c r="B153" s="17" t="s">
        <v>656</v>
      </c>
      <c r="C153" s="17" t="s">
        <v>664</v>
      </c>
      <c r="D153" s="19" t="s">
        <v>665</v>
      </c>
      <c r="E153" s="20" t="s">
        <v>666</v>
      </c>
      <c r="F153" s="21">
        <v>26433.0</v>
      </c>
      <c r="G153" s="14">
        <f t="shared" si="1"/>
        <v>54</v>
      </c>
      <c r="H153" s="23" t="s">
        <v>26</v>
      </c>
      <c r="I153" s="24" t="s">
        <v>33</v>
      </c>
      <c r="J153" s="19" t="s">
        <v>58</v>
      </c>
      <c r="K153" s="14">
        <v>8.0</v>
      </c>
      <c r="L153" s="14">
        <v>0.0</v>
      </c>
      <c r="M153" s="25"/>
      <c r="N153" s="26" t="s">
        <v>21</v>
      </c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>
      <c r="A154" s="14" t="s">
        <v>667</v>
      </c>
      <c r="B154" s="17" t="s">
        <v>668</v>
      </c>
      <c r="C154" s="17" t="s">
        <v>669</v>
      </c>
      <c r="D154" s="19" t="s">
        <v>670</v>
      </c>
      <c r="E154" s="20" t="s">
        <v>671</v>
      </c>
      <c r="F154" s="21">
        <v>28219.0</v>
      </c>
      <c r="G154" s="14">
        <f t="shared" si="1"/>
        <v>49</v>
      </c>
      <c r="H154" s="23" t="s">
        <v>26</v>
      </c>
      <c r="I154" s="24" t="s">
        <v>27</v>
      </c>
      <c r="J154" s="19" t="s">
        <v>146</v>
      </c>
      <c r="K154" s="14">
        <v>5.0</v>
      </c>
      <c r="L154" s="14">
        <v>0.0</v>
      </c>
      <c r="M154" s="25"/>
      <c r="N154" s="26" t="s">
        <v>21</v>
      </c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>
      <c r="A155" s="14" t="s">
        <v>672</v>
      </c>
      <c r="B155" s="17" t="s">
        <v>668</v>
      </c>
      <c r="C155" s="17" t="s">
        <v>673</v>
      </c>
      <c r="D155" s="19" t="s">
        <v>674</v>
      </c>
      <c r="E155" s="20" t="s">
        <v>290</v>
      </c>
      <c r="F155" s="21">
        <v>25821.0</v>
      </c>
      <c r="G155" s="14">
        <f t="shared" si="1"/>
        <v>56</v>
      </c>
      <c r="H155" s="23" t="s">
        <v>26</v>
      </c>
      <c r="I155" s="24" t="s">
        <v>33</v>
      </c>
      <c r="J155" s="19" t="s">
        <v>146</v>
      </c>
      <c r="K155" s="14">
        <v>5.0</v>
      </c>
      <c r="L155" s="14">
        <v>0.0</v>
      </c>
      <c r="M155" s="25"/>
      <c r="N155" s="26" t="s">
        <v>21</v>
      </c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>
      <c r="A156" s="14" t="s">
        <v>675</v>
      </c>
      <c r="B156" s="17" t="s">
        <v>668</v>
      </c>
      <c r="C156" s="17" t="s">
        <v>676</v>
      </c>
      <c r="D156" s="19" t="s">
        <v>677</v>
      </c>
      <c r="E156" s="20" t="s">
        <v>195</v>
      </c>
      <c r="F156" s="27">
        <v>37904.0</v>
      </c>
      <c r="G156" s="14">
        <f t="shared" si="1"/>
        <v>23</v>
      </c>
      <c r="H156" s="23" t="s">
        <v>100</v>
      </c>
      <c r="I156" s="24" t="s">
        <v>33</v>
      </c>
      <c r="J156" s="19" t="s">
        <v>58</v>
      </c>
      <c r="K156" s="14">
        <v>5.0</v>
      </c>
      <c r="L156" s="14">
        <v>0.0</v>
      </c>
      <c r="M156" s="25"/>
      <c r="N156" s="26" t="s">
        <v>21</v>
      </c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>
      <c r="A157" s="14" t="s">
        <v>678</v>
      </c>
      <c r="B157" s="17" t="s">
        <v>679</v>
      </c>
      <c r="C157" s="17" t="s">
        <v>680</v>
      </c>
      <c r="D157" s="19" t="s">
        <v>681</v>
      </c>
      <c r="E157" s="20" t="s">
        <v>104</v>
      </c>
      <c r="F157" s="21">
        <v>38819.0</v>
      </c>
      <c r="G157" s="14">
        <f t="shared" si="1"/>
        <v>20</v>
      </c>
      <c r="H157" s="23" t="s">
        <v>100</v>
      </c>
      <c r="I157" s="24" t="s">
        <v>33</v>
      </c>
      <c r="J157" s="19" t="s">
        <v>146</v>
      </c>
      <c r="K157" s="14">
        <v>9.0</v>
      </c>
      <c r="L157" s="14">
        <v>0.0</v>
      </c>
      <c r="M157" s="25"/>
      <c r="N157" s="26" t="s">
        <v>21</v>
      </c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>
      <c r="A158" s="14" t="s">
        <v>682</v>
      </c>
      <c r="B158" s="17" t="s">
        <v>679</v>
      </c>
      <c r="C158" s="17" t="s">
        <v>683</v>
      </c>
      <c r="D158" s="19" t="s">
        <v>684</v>
      </c>
      <c r="E158" s="20" t="s">
        <v>104</v>
      </c>
      <c r="F158" s="21">
        <v>29101.0</v>
      </c>
      <c r="G158" s="14">
        <f t="shared" si="1"/>
        <v>47</v>
      </c>
      <c r="H158" s="23" t="s">
        <v>26</v>
      </c>
      <c r="I158" s="24" t="s">
        <v>33</v>
      </c>
      <c r="J158" s="19" t="s">
        <v>146</v>
      </c>
      <c r="K158" s="14">
        <v>9.0</v>
      </c>
      <c r="L158" s="14">
        <v>0.0</v>
      </c>
      <c r="M158" s="25"/>
      <c r="N158" s="26" t="s">
        <v>21</v>
      </c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>
      <c r="A159" s="14" t="s">
        <v>685</v>
      </c>
      <c r="B159" s="17" t="s">
        <v>679</v>
      </c>
      <c r="C159" s="17" t="s">
        <v>686</v>
      </c>
      <c r="D159" s="19" t="s">
        <v>687</v>
      </c>
      <c r="E159" s="20" t="s">
        <v>104</v>
      </c>
      <c r="F159" s="21">
        <v>29383.0</v>
      </c>
      <c r="G159" s="14">
        <f t="shared" si="1"/>
        <v>46</v>
      </c>
      <c r="H159" s="23" t="s">
        <v>26</v>
      </c>
      <c r="I159" s="24" t="s">
        <v>27</v>
      </c>
      <c r="J159" s="19" t="s">
        <v>146</v>
      </c>
      <c r="K159" s="14">
        <v>9.0</v>
      </c>
      <c r="L159" s="14">
        <v>0.0</v>
      </c>
      <c r="M159" s="25"/>
      <c r="N159" s="26" t="s">
        <v>21</v>
      </c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>
      <c r="A160" s="14" t="s">
        <v>688</v>
      </c>
      <c r="B160" s="17" t="s">
        <v>689</v>
      </c>
      <c r="C160" s="17" t="s">
        <v>690</v>
      </c>
      <c r="D160" s="19" t="s">
        <v>691</v>
      </c>
      <c r="E160" s="20" t="s">
        <v>544</v>
      </c>
      <c r="F160" s="21">
        <v>22103.0</v>
      </c>
      <c r="G160" s="14">
        <f t="shared" si="1"/>
        <v>66</v>
      </c>
      <c r="H160" s="23" t="s">
        <v>26</v>
      </c>
      <c r="I160" s="24" t="s">
        <v>27</v>
      </c>
      <c r="J160" s="19" t="s">
        <v>146</v>
      </c>
      <c r="K160" s="14">
        <v>5.0</v>
      </c>
      <c r="L160" s="14">
        <v>0.0</v>
      </c>
      <c r="M160" s="25"/>
      <c r="N160" s="26" t="s">
        <v>21</v>
      </c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>
      <c r="A161" s="14" t="s">
        <v>692</v>
      </c>
      <c r="B161" s="17" t="s">
        <v>693</v>
      </c>
      <c r="C161" s="17" t="s">
        <v>694</v>
      </c>
      <c r="D161" s="19" t="s">
        <v>695</v>
      </c>
      <c r="E161" s="20" t="s">
        <v>104</v>
      </c>
      <c r="F161" s="21">
        <v>39276.0</v>
      </c>
      <c r="G161" s="14">
        <f t="shared" si="1"/>
        <v>19</v>
      </c>
      <c r="H161" s="23" t="s">
        <v>100</v>
      </c>
      <c r="I161" s="24" t="s">
        <v>27</v>
      </c>
      <c r="J161" s="19" t="s">
        <v>58</v>
      </c>
      <c r="K161" s="14">
        <v>6.0</v>
      </c>
      <c r="L161" s="14">
        <v>0.0</v>
      </c>
      <c r="M161" s="25"/>
      <c r="N161" s="26" t="s">
        <v>21</v>
      </c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>
      <c r="A162" s="14" t="s">
        <v>696</v>
      </c>
      <c r="B162" s="17" t="s">
        <v>693</v>
      </c>
      <c r="C162" s="17" t="s">
        <v>697</v>
      </c>
      <c r="D162" s="19" t="s">
        <v>698</v>
      </c>
      <c r="E162" s="20" t="s">
        <v>104</v>
      </c>
      <c r="F162" s="21">
        <v>27959.0</v>
      </c>
      <c r="G162" s="14">
        <f t="shared" si="1"/>
        <v>50</v>
      </c>
      <c r="H162" s="23" t="s">
        <v>26</v>
      </c>
      <c r="I162" s="24" t="s">
        <v>33</v>
      </c>
      <c r="J162" s="19" t="s">
        <v>146</v>
      </c>
      <c r="K162" s="14">
        <v>6.0</v>
      </c>
      <c r="L162" s="14">
        <v>0.0</v>
      </c>
      <c r="M162" s="25"/>
      <c r="N162" s="26" t="s">
        <v>21</v>
      </c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>
      <c r="A163" s="14" t="s">
        <v>699</v>
      </c>
      <c r="B163" s="17" t="s">
        <v>693</v>
      </c>
      <c r="C163" s="17" t="s">
        <v>700</v>
      </c>
      <c r="D163" s="19" t="s">
        <v>701</v>
      </c>
      <c r="E163" s="20" t="s">
        <v>702</v>
      </c>
      <c r="F163" s="21">
        <v>28714.0</v>
      </c>
      <c r="G163" s="14">
        <f t="shared" si="1"/>
        <v>48</v>
      </c>
      <c r="H163" s="23" t="s">
        <v>26</v>
      </c>
      <c r="I163" s="24" t="s">
        <v>27</v>
      </c>
      <c r="J163" s="19" t="s">
        <v>146</v>
      </c>
      <c r="K163" s="14">
        <v>6.0</v>
      </c>
      <c r="L163" s="14">
        <v>0.0</v>
      </c>
      <c r="M163" s="25"/>
      <c r="N163" s="26" t="s">
        <v>21</v>
      </c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>
      <c r="A164" s="14" t="s">
        <v>703</v>
      </c>
      <c r="B164" s="17" t="s">
        <v>704</v>
      </c>
      <c r="C164" s="17" t="s">
        <v>705</v>
      </c>
      <c r="D164" s="19" t="s">
        <v>706</v>
      </c>
      <c r="E164" s="20" t="s">
        <v>53</v>
      </c>
      <c r="F164" s="21">
        <v>38168.0</v>
      </c>
      <c r="G164" s="14">
        <f t="shared" si="1"/>
        <v>22</v>
      </c>
      <c r="H164" s="23" t="s">
        <v>100</v>
      </c>
      <c r="I164" s="24" t="s">
        <v>33</v>
      </c>
      <c r="J164" s="19" t="s">
        <v>146</v>
      </c>
      <c r="K164" s="14">
        <v>5.0</v>
      </c>
      <c r="L164" s="14">
        <v>0.0</v>
      </c>
      <c r="M164" s="25"/>
      <c r="N164" s="26" t="s">
        <v>21</v>
      </c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>
      <c r="A165" s="14" t="s">
        <v>707</v>
      </c>
      <c r="B165" s="17" t="s">
        <v>704</v>
      </c>
      <c r="C165" s="17" t="s">
        <v>708</v>
      </c>
      <c r="D165" s="19" t="s">
        <v>709</v>
      </c>
      <c r="E165" s="20" t="s">
        <v>544</v>
      </c>
      <c r="F165" s="21">
        <v>27655.0</v>
      </c>
      <c r="G165" s="14">
        <f t="shared" si="1"/>
        <v>51</v>
      </c>
      <c r="H165" s="23" t="s">
        <v>26</v>
      </c>
      <c r="I165" s="24" t="s">
        <v>27</v>
      </c>
      <c r="J165" s="19" t="s">
        <v>146</v>
      </c>
      <c r="K165" s="14">
        <v>5.0</v>
      </c>
      <c r="L165" s="14">
        <v>0.0</v>
      </c>
      <c r="M165" s="25"/>
      <c r="N165" s="26" t="s">
        <v>21</v>
      </c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>
      <c r="A166" s="14" t="s">
        <v>710</v>
      </c>
      <c r="B166" s="17" t="s">
        <v>704</v>
      </c>
      <c r="C166" s="17" t="s">
        <v>711</v>
      </c>
      <c r="D166" s="19" t="s">
        <v>712</v>
      </c>
      <c r="E166" s="20" t="s">
        <v>290</v>
      </c>
      <c r="F166" s="21">
        <v>26529.0</v>
      </c>
      <c r="G166" s="14">
        <f t="shared" si="1"/>
        <v>54</v>
      </c>
      <c r="H166" s="23" t="s">
        <v>26</v>
      </c>
      <c r="I166" s="24" t="s">
        <v>33</v>
      </c>
      <c r="J166" s="19" t="s">
        <v>146</v>
      </c>
      <c r="K166" s="14">
        <v>5.0</v>
      </c>
      <c r="L166" s="14">
        <v>0.0</v>
      </c>
      <c r="M166" s="25"/>
      <c r="N166" s="26" t="s">
        <v>21</v>
      </c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>
      <c r="A167" s="14" t="s">
        <v>713</v>
      </c>
      <c r="B167" s="17" t="s">
        <v>714</v>
      </c>
      <c r="C167" s="17" t="s">
        <v>715</v>
      </c>
      <c r="D167" s="19" t="s">
        <v>716</v>
      </c>
      <c r="E167" s="20" t="s">
        <v>717</v>
      </c>
      <c r="F167" s="21">
        <v>27896.0</v>
      </c>
      <c r="G167" s="14">
        <f t="shared" si="1"/>
        <v>50</v>
      </c>
      <c r="H167" s="23" t="s">
        <v>26</v>
      </c>
      <c r="I167" s="24" t="s">
        <v>27</v>
      </c>
      <c r="J167" s="19" t="s">
        <v>146</v>
      </c>
      <c r="K167" s="14">
        <v>13.0</v>
      </c>
      <c r="L167" s="14">
        <v>0.0</v>
      </c>
      <c r="M167" s="25"/>
      <c r="N167" s="26" t="s">
        <v>21</v>
      </c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>
      <c r="A168" s="14" t="s">
        <v>718</v>
      </c>
      <c r="B168" s="17" t="s">
        <v>714</v>
      </c>
      <c r="C168" s="17" t="s">
        <v>719</v>
      </c>
      <c r="D168" s="19" t="s">
        <v>720</v>
      </c>
      <c r="E168" s="20" t="s">
        <v>721</v>
      </c>
      <c r="F168" s="21">
        <v>25795.0</v>
      </c>
      <c r="G168" s="14">
        <f t="shared" si="1"/>
        <v>56</v>
      </c>
      <c r="H168" s="23" t="s">
        <v>26</v>
      </c>
      <c r="I168" s="24" t="s">
        <v>33</v>
      </c>
      <c r="J168" s="19" t="s">
        <v>146</v>
      </c>
      <c r="K168" s="14">
        <v>13.0</v>
      </c>
      <c r="L168" s="14">
        <v>0.0</v>
      </c>
      <c r="M168" s="25"/>
      <c r="N168" s="26" t="s">
        <v>21</v>
      </c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>
      <c r="A169" s="14" t="s">
        <v>722</v>
      </c>
      <c r="B169" s="17" t="s">
        <v>723</v>
      </c>
      <c r="C169" s="17" t="s">
        <v>724</v>
      </c>
      <c r="D169" s="19" t="s">
        <v>725</v>
      </c>
      <c r="E169" s="20" t="s">
        <v>53</v>
      </c>
      <c r="F169" s="27">
        <v>39063.0</v>
      </c>
      <c r="G169" s="14">
        <f t="shared" si="1"/>
        <v>19</v>
      </c>
      <c r="H169" s="23" t="s">
        <v>100</v>
      </c>
      <c r="I169" s="24" t="s">
        <v>27</v>
      </c>
      <c r="J169" s="19" t="s">
        <v>726</v>
      </c>
      <c r="K169" s="14">
        <v>13.0</v>
      </c>
      <c r="L169" s="14">
        <v>0.0</v>
      </c>
      <c r="M169" s="25"/>
      <c r="N169" s="26" t="s">
        <v>21</v>
      </c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>
      <c r="A170" s="14" t="s">
        <v>727</v>
      </c>
      <c r="B170" s="17" t="s">
        <v>723</v>
      </c>
      <c r="C170" s="17" t="s">
        <v>728</v>
      </c>
      <c r="D170" s="19" t="s">
        <v>729</v>
      </c>
      <c r="E170" s="20" t="s">
        <v>429</v>
      </c>
      <c r="F170" s="21">
        <v>26086.0</v>
      </c>
      <c r="G170" s="14">
        <f t="shared" si="1"/>
        <v>55</v>
      </c>
      <c r="H170" s="23" t="s">
        <v>26</v>
      </c>
      <c r="I170" s="24" t="s">
        <v>33</v>
      </c>
      <c r="J170" s="19" t="s">
        <v>726</v>
      </c>
      <c r="K170" s="14">
        <v>13.0</v>
      </c>
      <c r="L170" s="14">
        <v>0.0</v>
      </c>
      <c r="M170" s="25"/>
      <c r="N170" s="26" t="s">
        <v>21</v>
      </c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>
      <c r="A171" s="14" t="s">
        <v>730</v>
      </c>
      <c r="B171" s="17" t="s">
        <v>723</v>
      </c>
      <c r="C171" s="17" t="s">
        <v>731</v>
      </c>
      <c r="D171" s="19" t="s">
        <v>732</v>
      </c>
      <c r="E171" s="20" t="s">
        <v>138</v>
      </c>
      <c r="F171" s="21">
        <v>27459.0</v>
      </c>
      <c r="G171" s="14">
        <f t="shared" si="1"/>
        <v>51</v>
      </c>
      <c r="H171" s="23" t="s">
        <v>26</v>
      </c>
      <c r="I171" s="24" t="s">
        <v>27</v>
      </c>
      <c r="J171" s="19" t="s">
        <v>726</v>
      </c>
      <c r="K171" s="14">
        <v>13.0</v>
      </c>
      <c r="L171" s="14">
        <v>0.0</v>
      </c>
      <c r="M171" s="25"/>
      <c r="N171" s="26" t="s">
        <v>21</v>
      </c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>
      <c r="A172" s="14" t="s">
        <v>733</v>
      </c>
      <c r="B172" s="17" t="s">
        <v>723</v>
      </c>
      <c r="C172" s="17" t="s">
        <v>734</v>
      </c>
      <c r="D172" s="19" t="s">
        <v>735</v>
      </c>
      <c r="E172" s="20" t="s">
        <v>736</v>
      </c>
      <c r="F172" s="21">
        <v>37286.0</v>
      </c>
      <c r="G172" s="14">
        <f t="shared" si="1"/>
        <v>24</v>
      </c>
      <c r="H172" s="23" t="s">
        <v>100</v>
      </c>
      <c r="I172" s="24" t="s">
        <v>27</v>
      </c>
      <c r="J172" s="19" t="s">
        <v>726</v>
      </c>
      <c r="K172" s="14">
        <v>13.0</v>
      </c>
      <c r="L172" s="14">
        <v>0.0</v>
      </c>
      <c r="M172" s="25"/>
      <c r="N172" s="26" t="s">
        <v>21</v>
      </c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>
      <c r="A173" s="14" t="s">
        <v>737</v>
      </c>
      <c r="B173" s="17" t="s">
        <v>738</v>
      </c>
      <c r="C173" s="17" t="s">
        <v>739</v>
      </c>
      <c r="D173" s="19" t="s">
        <v>740</v>
      </c>
      <c r="E173" s="20" t="s">
        <v>741</v>
      </c>
      <c r="F173" s="27">
        <v>26224.0</v>
      </c>
      <c r="G173" s="14">
        <f t="shared" si="1"/>
        <v>55</v>
      </c>
      <c r="H173" s="23" t="s">
        <v>26</v>
      </c>
      <c r="I173" s="24" t="s">
        <v>27</v>
      </c>
      <c r="J173" s="19" t="s">
        <v>58</v>
      </c>
      <c r="K173" s="14">
        <v>9.0</v>
      </c>
      <c r="L173" s="14">
        <v>0.0</v>
      </c>
      <c r="M173" s="25"/>
      <c r="N173" s="26" t="s">
        <v>21</v>
      </c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>
      <c r="A174" s="14" t="s">
        <v>742</v>
      </c>
      <c r="B174" s="17" t="s">
        <v>738</v>
      </c>
      <c r="C174" s="17" t="s">
        <v>743</v>
      </c>
      <c r="D174" s="19" t="s">
        <v>744</v>
      </c>
      <c r="E174" s="20" t="s">
        <v>654</v>
      </c>
      <c r="F174" s="21">
        <v>24136.0</v>
      </c>
      <c r="G174" s="14">
        <f t="shared" si="1"/>
        <v>60</v>
      </c>
      <c r="H174" s="23" t="s">
        <v>26</v>
      </c>
      <c r="I174" s="24" t="s">
        <v>33</v>
      </c>
      <c r="J174" s="19" t="s">
        <v>58</v>
      </c>
      <c r="K174" s="14">
        <v>9.0</v>
      </c>
      <c r="L174" s="14">
        <v>1.0</v>
      </c>
      <c r="M174" s="25"/>
      <c r="N174" s="26" t="s">
        <v>21</v>
      </c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>
      <c r="A175" s="14" t="s">
        <v>745</v>
      </c>
      <c r="B175" s="17" t="s">
        <v>746</v>
      </c>
      <c r="C175" s="17" t="s">
        <v>747</v>
      </c>
      <c r="D175" s="19" t="s">
        <v>748</v>
      </c>
      <c r="E175" s="20" t="s">
        <v>749</v>
      </c>
      <c r="F175" s="21">
        <v>26474.0</v>
      </c>
      <c r="G175" s="14">
        <f t="shared" si="1"/>
        <v>54</v>
      </c>
      <c r="H175" s="23" t="s">
        <v>26</v>
      </c>
      <c r="I175" s="24" t="s">
        <v>33</v>
      </c>
      <c r="J175" s="19" t="s">
        <v>146</v>
      </c>
      <c r="K175" s="14">
        <v>9.0</v>
      </c>
      <c r="L175" s="14">
        <v>0.0</v>
      </c>
      <c r="M175" s="25"/>
      <c r="N175" s="26" t="s">
        <v>21</v>
      </c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>
      <c r="A176" s="14" t="s">
        <v>750</v>
      </c>
      <c r="B176" s="17" t="s">
        <v>746</v>
      </c>
      <c r="C176" s="17" t="s">
        <v>751</v>
      </c>
      <c r="D176" s="19" t="s">
        <v>752</v>
      </c>
      <c r="E176" s="20" t="s">
        <v>104</v>
      </c>
      <c r="F176" s="21">
        <v>28378.0</v>
      </c>
      <c r="G176" s="14">
        <f t="shared" si="1"/>
        <v>49</v>
      </c>
      <c r="H176" s="23" t="s">
        <v>26</v>
      </c>
      <c r="I176" s="24" t="s">
        <v>27</v>
      </c>
      <c r="J176" s="19" t="s">
        <v>146</v>
      </c>
      <c r="K176" s="14">
        <v>9.0</v>
      </c>
      <c r="L176" s="14">
        <v>0.0</v>
      </c>
      <c r="M176" s="25"/>
      <c r="N176" s="26" t="s">
        <v>21</v>
      </c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>
      <c r="A177" s="14" t="s">
        <v>753</v>
      </c>
      <c r="B177" s="17" t="s">
        <v>754</v>
      </c>
      <c r="C177" s="17" t="s">
        <v>755</v>
      </c>
      <c r="D177" s="19" t="s">
        <v>756</v>
      </c>
      <c r="E177" s="20" t="s">
        <v>104</v>
      </c>
      <c r="F177" s="21">
        <v>38354.0</v>
      </c>
      <c r="G177" s="14">
        <f t="shared" si="1"/>
        <v>21</v>
      </c>
      <c r="H177" s="23" t="s">
        <v>100</v>
      </c>
      <c r="I177" s="24" t="s">
        <v>27</v>
      </c>
      <c r="J177" s="19" t="s">
        <v>757</v>
      </c>
      <c r="K177" s="14">
        <v>10.0</v>
      </c>
      <c r="L177" s="14">
        <v>0.0</v>
      </c>
      <c r="M177" s="25"/>
      <c r="N177" s="26" t="s">
        <v>21</v>
      </c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>
      <c r="A178" s="14" t="s">
        <v>758</v>
      </c>
      <c r="B178" s="17" t="s">
        <v>754</v>
      </c>
      <c r="C178" s="17" t="s">
        <v>759</v>
      </c>
      <c r="D178" s="19" t="s">
        <v>760</v>
      </c>
      <c r="E178" s="20" t="s">
        <v>702</v>
      </c>
      <c r="F178" s="21">
        <v>27937.0</v>
      </c>
      <c r="G178" s="14">
        <f t="shared" si="1"/>
        <v>50</v>
      </c>
      <c r="H178" s="23" t="s">
        <v>26</v>
      </c>
      <c r="I178" s="24" t="s">
        <v>27</v>
      </c>
      <c r="J178" s="19" t="s">
        <v>757</v>
      </c>
      <c r="K178" s="14">
        <v>10.0</v>
      </c>
      <c r="L178" s="14">
        <v>0.0</v>
      </c>
      <c r="M178" s="25"/>
      <c r="N178" s="26" t="s">
        <v>21</v>
      </c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>
      <c r="A179" s="14" t="s">
        <v>761</v>
      </c>
      <c r="B179" s="17" t="s">
        <v>754</v>
      </c>
      <c r="C179" s="17" t="s">
        <v>762</v>
      </c>
      <c r="D179" s="19" t="s">
        <v>763</v>
      </c>
      <c r="E179" s="20" t="s">
        <v>764</v>
      </c>
      <c r="F179" s="21">
        <v>26824.0</v>
      </c>
      <c r="G179" s="14">
        <f t="shared" si="1"/>
        <v>53</v>
      </c>
      <c r="H179" s="23" t="s">
        <v>26</v>
      </c>
      <c r="I179" s="24" t="s">
        <v>33</v>
      </c>
      <c r="J179" s="19" t="s">
        <v>757</v>
      </c>
      <c r="K179" s="14">
        <v>10.0</v>
      </c>
      <c r="L179" s="14">
        <v>0.0</v>
      </c>
      <c r="M179" s="25"/>
      <c r="N179" s="26" t="s">
        <v>21</v>
      </c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>
      <c r="A180" s="14" t="s">
        <v>765</v>
      </c>
      <c r="B180" s="17" t="s">
        <v>766</v>
      </c>
      <c r="C180" s="17" t="s">
        <v>767</v>
      </c>
      <c r="D180" s="19" t="s">
        <v>768</v>
      </c>
      <c r="E180" s="20" t="s">
        <v>769</v>
      </c>
      <c r="F180" s="21">
        <v>37676.0</v>
      </c>
      <c r="G180" s="14">
        <f t="shared" si="1"/>
        <v>23</v>
      </c>
      <c r="H180" s="23" t="s">
        <v>100</v>
      </c>
      <c r="I180" s="24" t="s">
        <v>27</v>
      </c>
      <c r="J180" s="19" t="s">
        <v>68</v>
      </c>
      <c r="K180" s="14">
        <v>29.0</v>
      </c>
      <c r="L180" s="14">
        <v>0.0</v>
      </c>
      <c r="M180" s="25"/>
      <c r="N180" s="26" t="s">
        <v>21</v>
      </c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>
      <c r="A181" s="14" t="s">
        <v>770</v>
      </c>
      <c r="B181" s="17" t="s">
        <v>766</v>
      </c>
      <c r="C181" s="17" t="s">
        <v>771</v>
      </c>
      <c r="D181" s="19" t="s">
        <v>772</v>
      </c>
      <c r="E181" s="20" t="s">
        <v>210</v>
      </c>
      <c r="F181" s="21">
        <v>27871.0</v>
      </c>
      <c r="G181" s="14">
        <f t="shared" si="1"/>
        <v>50</v>
      </c>
      <c r="H181" s="23" t="s">
        <v>26</v>
      </c>
      <c r="I181" s="24" t="s">
        <v>33</v>
      </c>
      <c r="J181" s="19" t="s">
        <v>68</v>
      </c>
      <c r="K181" s="14">
        <v>29.0</v>
      </c>
      <c r="L181" s="14">
        <v>5.0</v>
      </c>
      <c r="M181" s="25"/>
      <c r="N181" s="26" t="s">
        <v>21</v>
      </c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>
      <c r="A182" s="14" t="s">
        <v>773</v>
      </c>
      <c r="B182" s="17" t="s">
        <v>766</v>
      </c>
      <c r="C182" s="17" t="s">
        <v>774</v>
      </c>
      <c r="D182" s="19" t="s">
        <v>775</v>
      </c>
      <c r="E182" s="20" t="s">
        <v>104</v>
      </c>
      <c r="F182" s="27">
        <v>39010.0</v>
      </c>
      <c r="G182" s="14">
        <f t="shared" si="1"/>
        <v>20</v>
      </c>
      <c r="H182" s="23" t="s">
        <v>100</v>
      </c>
      <c r="I182" s="24" t="s">
        <v>27</v>
      </c>
      <c r="J182" s="19" t="s">
        <v>68</v>
      </c>
      <c r="K182" s="14">
        <v>29.0</v>
      </c>
      <c r="L182" s="14">
        <v>0.0</v>
      </c>
      <c r="M182" s="25"/>
      <c r="N182" s="26" t="s">
        <v>21</v>
      </c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>
      <c r="A183" s="14" t="s">
        <v>776</v>
      </c>
      <c r="B183" s="17" t="s">
        <v>766</v>
      </c>
      <c r="C183" s="17" t="s">
        <v>777</v>
      </c>
      <c r="D183" s="19" t="s">
        <v>778</v>
      </c>
      <c r="E183" s="20" t="s">
        <v>104</v>
      </c>
      <c r="F183" s="21">
        <v>29443.0</v>
      </c>
      <c r="G183" s="14">
        <f t="shared" si="1"/>
        <v>46</v>
      </c>
      <c r="H183" s="23" t="s">
        <v>26</v>
      </c>
      <c r="I183" s="24" t="s">
        <v>27</v>
      </c>
      <c r="J183" s="19" t="s">
        <v>68</v>
      </c>
      <c r="K183" s="14">
        <v>29.0</v>
      </c>
      <c r="L183" s="14">
        <v>0.0</v>
      </c>
      <c r="M183" s="25"/>
      <c r="N183" s="26" t="s">
        <v>21</v>
      </c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>
      <c r="A184" s="14" t="s">
        <v>779</v>
      </c>
      <c r="B184" s="17" t="s">
        <v>780</v>
      </c>
      <c r="C184" s="17" t="s">
        <v>781</v>
      </c>
      <c r="D184" s="19" t="s">
        <v>782</v>
      </c>
      <c r="E184" s="20" t="s">
        <v>53</v>
      </c>
      <c r="F184" s="21">
        <v>36049.0</v>
      </c>
      <c r="G184" s="14">
        <f t="shared" si="1"/>
        <v>28</v>
      </c>
      <c r="H184" s="23" t="s">
        <v>26</v>
      </c>
      <c r="I184" s="24" t="s">
        <v>27</v>
      </c>
      <c r="J184" s="19" t="s">
        <v>783</v>
      </c>
      <c r="K184" s="14">
        <v>20.0</v>
      </c>
      <c r="L184" s="14">
        <v>0.0</v>
      </c>
      <c r="M184" s="25"/>
      <c r="N184" s="26" t="s">
        <v>21</v>
      </c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>
      <c r="A185" s="14" t="s">
        <v>784</v>
      </c>
      <c r="B185" s="17" t="s">
        <v>780</v>
      </c>
      <c r="C185" s="17" t="s">
        <v>785</v>
      </c>
      <c r="D185" s="19" t="s">
        <v>786</v>
      </c>
      <c r="E185" s="20" t="s">
        <v>210</v>
      </c>
      <c r="F185" s="21">
        <v>32564.0</v>
      </c>
      <c r="G185" s="14">
        <f t="shared" si="1"/>
        <v>37</v>
      </c>
      <c r="H185" s="23" t="s">
        <v>26</v>
      </c>
      <c r="I185" s="24" t="s">
        <v>33</v>
      </c>
      <c r="J185" s="19" t="s">
        <v>783</v>
      </c>
      <c r="K185" s="14">
        <v>20.0</v>
      </c>
      <c r="L185" s="14">
        <v>0.0</v>
      </c>
      <c r="M185" s="25"/>
      <c r="N185" s="26" t="s">
        <v>21</v>
      </c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>
      <c r="A186" s="14" t="s">
        <v>787</v>
      </c>
      <c r="B186" s="17" t="s">
        <v>788</v>
      </c>
      <c r="C186" s="17" t="s">
        <v>789</v>
      </c>
      <c r="D186" s="19" t="s">
        <v>790</v>
      </c>
      <c r="E186" s="20" t="s">
        <v>403</v>
      </c>
      <c r="F186" s="21">
        <v>29363.0</v>
      </c>
      <c r="G186" s="14">
        <f t="shared" si="1"/>
        <v>46</v>
      </c>
      <c r="H186" s="23" t="s">
        <v>26</v>
      </c>
      <c r="I186" s="24" t="s">
        <v>33</v>
      </c>
      <c r="J186" s="19" t="s">
        <v>68</v>
      </c>
      <c r="K186" s="14">
        <v>35.0</v>
      </c>
      <c r="L186" s="14">
        <v>0.0</v>
      </c>
      <c r="M186" s="25"/>
      <c r="N186" s="26" t="s">
        <v>21</v>
      </c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>
      <c r="A187" s="14" t="s">
        <v>791</v>
      </c>
      <c r="B187" s="17" t="s">
        <v>788</v>
      </c>
      <c r="C187" s="17" t="s">
        <v>792</v>
      </c>
      <c r="D187" s="19" t="s">
        <v>793</v>
      </c>
      <c r="E187" s="20" t="s">
        <v>104</v>
      </c>
      <c r="F187" s="21">
        <v>32781.0</v>
      </c>
      <c r="G187" s="14">
        <f t="shared" si="1"/>
        <v>37</v>
      </c>
      <c r="H187" s="23" t="s">
        <v>26</v>
      </c>
      <c r="I187" s="24" t="s">
        <v>27</v>
      </c>
      <c r="J187" s="19" t="s">
        <v>68</v>
      </c>
      <c r="K187" s="14">
        <v>35.0</v>
      </c>
      <c r="L187" s="14">
        <v>0.0</v>
      </c>
      <c r="M187" s="25"/>
      <c r="N187" s="26" t="s">
        <v>21</v>
      </c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>
      <c r="A188" s="14" t="s">
        <v>794</v>
      </c>
      <c r="B188" s="17" t="s">
        <v>795</v>
      </c>
      <c r="C188" s="17" t="s">
        <v>796</v>
      </c>
      <c r="D188" s="19" t="s">
        <v>797</v>
      </c>
      <c r="E188" s="20" t="s">
        <v>798</v>
      </c>
      <c r="F188" s="21">
        <v>21858.0</v>
      </c>
      <c r="G188" s="14">
        <f t="shared" si="1"/>
        <v>66</v>
      </c>
      <c r="H188" s="23" t="s">
        <v>26</v>
      </c>
      <c r="I188" s="24" t="s">
        <v>33</v>
      </c>
      <c r="J188" s="19" t="s">
        <v>206</v>
      </c>
      <c r="K188" s="14">
        <v>10.0</v>
      </c>
      <c r="L188" s="14">
        <v>0.0</v>
      </c>
      <c r="M188" s="25"/>
      <c r="N188" s="26" t="s">
        <v>21</v>
      </c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>
      <c r="A189" s="14" t="s">
        <v>799</v>
      </c>
      <c r="B189" s="17" t="s">
        <v>795</v>
      </c>
      <c r="C189" s="17" t="s">
        <v>800</v>
      </c>
      <c r="D189" s="19" t="s">
        <v>801</v>
      </c>
      <c r="E189" s="20" t="s">
        <v>802</v>
      </c>
      <c r="F189" s="27">
        <v>21894.0</v>
      </c>
      <c r="G189" s="14">
        <f t="shared" si="1"/>
        <v>66</v>
      </c>
      <c r="H189" s="23" t="s">
        <v>26</v>
      </c>
      <c r="I189" s="24" t="s">
        <v>27</v>
      </c>
      <c r="J189" s="19" t="s">
        <v>206</v>
      </c>
      <c r="K189" s="14">
        <v>10.0</v>
      </c>
      <c r="L189" s="14">
        <v>0.0</v>
      </c>
      <c r="M189" s="25"/>
      <c r="N189" s="26" t="s">
        <v>21</v>
      </c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>
      <c r="A190" s="14" t="s">
        <v>803</v>
      </c>
      <c r="B190" s="17" t="s">
        <v>804</v>
      </c>
      <c r="C190" s="17" t="s">
        <v>805</v>
      </c>
      <c r="D190" s="19" t="s">
        <v>806</v>
      </c>
      <c r="E190" s="20" t="s">
        <v>210</v>
      </c>
      <c r="F190" s="21">
        <v>33068.0</v>
      </c>
      <c r="G190" s="14">
        <f t="shared" si="1"/>
        <v>36</v>
      </c>
      <c r="H190" s="23" t="s">
        <v>26</v>
      </c>
      <c r="I190" s="24" t="s">
        <v>27</v>
      </c>
      <c r="J190" s="19" t="s">
        <v>68</v>
      </c>
      <c r="K190" s="14">
        <v>32.0</v>
      </c>
      <c r="L190" s="14">
        <v>0.0</v>
      </c>
      <c r="M190" s="25"/>
      <c r="N190" s="26" t="s">
        <v>21</v>
      </c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>
      <c r="A191" s="14" t="s">
        <v>807</v>
      </c>
      <c r="B191" s="17" t="s">
        <v>804</v>
      </c>
      <c r="C191" s="17" t="s">
        <v>808</v>
      </c>
      <c r="D191" s="19" t="s">
        <v>809</v>
      </c>
      <c r="E191" s="20" t="s">
        <v>210</v>
      </c>
      <c r="F191" s="21">
        <v>30046.0</v>
      </c>
      <c r="G191" s="14">
        <f t="shared" si="1"/>
        <v>44</v>
      </c>
      <c r="H191" s="23" t="s">
        <v>26</v>
      </c>
      <c r="I191" s="24" t="s">
        <v>33</v>
      </c>
      <c r="J191" s="19" t="s">
        <v>68</v>
      </c>
      <c r="K191" s="14">
        <v>32.0</v>
      </c>
      <c r="L191" s="14">
        <v>0.0</v>
      </c>
      <c r="M191" s="25"/>
      <c r="N191" s="26" t="s">
        <v>21</v>
      </c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>
      <c r="A192" s="14" t="s">
        <v>810</v>
      </c>
      <c r="B192" s="17" t="s">
        <v>811</v>
      </c>
      <c r="C192" s="17" t="s">
        <v>812</v>
      </c>
      <c r="D192" s="19" t="s">
        <v>813</v>
      </c>
      <c r="E192" s="20" t="s">
        <v>814</v>
      </c>
      <c r="F192" s="21">
        <v>35307.0</v>
      </c>
      <c r="G192" s="14">
        <f t="shared" si="1"/>
        <v>30</v>
      </c>
      <c r="H192" s="23" t="s">
        <v>26</v>
      </c>
      <c r="I192" s="24" t="s">
        <v>27</v>
      </c>
      <c r="J192" s="19" t="s">
        <v>53</v>
      </c>
      <c r="K192" s="14">
        <v>8.0</v>
      </c>
      <c r="L192" s="14">
        <v>0.0</v>
      </c>
      <c r="M192" s="25"/>
      <c r="N192" s="26" t="s">
        <v>21</v>
      </c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>
      <c r="A193" s="14" t="s">
        <v>815</v>
      </c>
      <c r="B193" s="17" t="s">
        <v>811</v>
      </c>
      <c r="C193" s="17" t="s">
        <v>816</v>
      </c>
      <c r="D193" s="19" t="s">
        <v>817</v>
      </c>
      <c r="E193" s="20" t="s">
        <v>104</v>
      </c>
      <c r="F193" s="21">
        <v>35596.0</v>
      </c>
      <c r="G193" s="14">
        <f t="shared" si="1"/>
        <v>29</v>
      </c>
      <c r="H193" s="23" t="s">
        <v>26</v>
      </c>
      <c r="I193" s="24" t="s">
        <v>33</v>
      </c>
      <c r="J193" s="19" t="s">
        <v>53</v>
      </c>
      <c r="K193" s="14">
        <v>8.0</v>
      </c>
      <c r="L193" s="14">
        <v>0.0</v>
      </c>
      <c r="M193" s="25"/>
      <c r="N193" s="26" t="s">
        <v>21</v>
      </c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>
      <c r="A194" s="14" t="s">
        <v>818</v>
      </c>
      <c r="B194" s="17" t="s">
        <v>819</v>
      </c>
      <c r="C194" s="17" t="s">
        <v>820</v>
      </c>
      <c r="D194" s="19" t="s">
        <v>821</v>
      </c>
      <c r="E194" s="20" t="s">
        <v>822</v>
      </c>
      <c r="F194" s="21">
        <v>26826.0</v>
      </c>
      <c r="G194" s="14">
        <f t="shared" si="1"/>
        <v>53</v>
      </c>
      <c r="H194" s="23" t="s">
        <v>26</v>
      </c>
      <c r="I194" s="24" t="s">
        <v>33</v>
      </c>
      <c r="J194" s="19" t="s">
        <v>68</v>
      </c>
      <c r="K194" s="14">
        <v>28.0</v>
      </c>
      <c r="L194" s="14">
        <v>0.0</v>
      </c>
      <c r="M194" s="25"/>
      <c r="N194" s="26" t="s">
        <v>21</v>
      </c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>
      <c r="A195" s="14" t="s">
        <v>823</v>
      </c>
      <c r="B195" s="17" t="s">
        <v>819</v>
      </c>
      <c r="C195" s="17" t="s">
        <v>824</v>
      </c>
      <c r="D195" s="19" t="s">
        <v>825</v>
      </c>
      <c r="E195" s="20" t="s">
        <v>502</v>
      </c>
      <c r="F195" s="27">
        <v>29947.0</v>
      </c>
      <c r="G195" s="14">
        <f t="shared" si="1"/>
        <v>44</v>
      </c>
      <c r="H195" s="23" t="s">
        <v>26</v>
      </c>
      <c r="I195" s="24" t="s">
        <v>27</v>
      </c>
      <c r="J195" s="19" t="s">
        <v>68</v>
      </c>
      <c r="K195" s="14">
        <v>28.0</v>
      </c>
      <c r="L195" s="14">
        <v>0.0</v>
      </c>
      <c r="M195" s="25"/>
      <c r="N195" s="26" t="s">
        <v>21</v>
      </c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>
      <c r="A196" s="14" t="s">
        <v>826</v>
      </c>
      <c r="B196" s="17" t="s">
        <v>819</v>
      </c>
      <c r="C196" s="17" t="s">
        <v>827</v>
      </c>
      <c r="D196" s="19" t="s">
        <v>828</v>
      </c>
      <c r="E196" s="20" t="s">
        <v>502</v>
      </c>
      <c r="F196" s="21">
        <v>38793.0</v>
      </c>
      <c r="G196" s="14">
        <f t="shared" si="1"/>
        <v>20</v>
      </c>
      <c r="H196" s="23" t="s">
        <v>100</v>
      </c>
      <c r="I196" s="24" t="s">
        <v>33</v>
      </c>
      <c r="J196" s="19" t="s">
        <v>68</v>
      </c>
      <c r="K196" s="14">
        <v>28.0</v>
      </c>
      <c r="L196" s="14">
        <v>0.0</v>
      </c>
      <c r="M196" s="25"/>
      <c r="N196" s="26" t="s">
        <v>21</v>
      </c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>
      <c r="A197" s="14" t="s">
        <v>829</v>
      </c>
      <c r="B197" s="17" t="s">
        <v>830</v>
      </c>
      <c r="C197" s="17" t="s">
        <v>831</v>
      </c>
      <c r="D197" s="19" t="s">
        <v>832</v>
      </c>
      <c r="E197" s="20" t="s">
        <v>104</v>
      </c>
      <c r="F197" s="21">
        <v>39210.0</v>
      </c>
      <c r="G197" s="14">
        <f t="shared" si="1"/>
        <v>19</v>
      </c>
      <c r="H197" s="23" t="s">
        <v>100</v>
      </c>
      <c r="I197" s="24" t="s">
        <v>27</v>
      </c>
      <c r="J197" s="19" t="s">
        <v>257</v>
      </c>
      <c r="K197" s="14">
        <v>7.0</v>
      </c>
      <c r="L197" s="14">
        <v>0.0</v>
      </c>
      <c r="M197" s="25"/>
      <c r="N197" s="26" t="s">
        <v>21</v>
      </c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>
      <c r="A198" s="14" t="s">
        <v>833</v>
      </c>
      <c r="B198" s="17" t="s">
        <v>830</v>
      </c>
      <c r="C198" s="17" t="s">
        <v>834</v>
      </c>
      <c r="D198" s="19" t="s">
        <v>835</v>
      </c>
      <c r="E198" s="20" t="s">
        <v>836</v>
      </c>
      <c r="F198" s="21">
        <v>29739.0</v>
      </c>
      <c r="G198" s="14">
        <f t="shared" si="1"/>
        <v>45</v>
      </c>
      <c r="H198" s="23" t="s">
        <v>26</v>
      </c>
      <c r="I198" s="24" t="s">
        <v>27</v>
      </c>
      <c r="J198" s="19" t="s">
        <v>257</v>
      </c>
      <c r="K198" s="14">
        <v>7.0</v>
      </c>
      <c r="L198" s="14">
        <v>1.0</v>
      </c>
      <c r="M198" s="25"/>
      <c r="N198" s="26" t="s">
        <v>21</v>
      </c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>
      <c r="A199" s="14" t="s">
        <v>837</v>
      </c>
      <c r="B199" s="17" t="s">
        <v>830</v>
      </c>
      <c r="C199" s="17" t="s">
        <v>838</v>
      </c>
      <c r="D199" s="19" t="s">
        <v>839</v>
      </c>
      <c r="E199" s="20" t="s">
        <v>274</v>
      </c>
      <c r="F199" s="21">
        <v>36274.0</v>
      </c>
      <c r="G199" s="14">
        <f t="shared" si="1"/>
        <v>27</v>
      </c>
      <c r="H199" s="23" t="s">
        <v>26</v>
      </c>
      <c r="I199" s="24" t="s">
        <v>33</v>
      </c>
      <c r="J199" s="19" t="s">
        <v>257</v>
      </c>
      <c r="K199" s="14">
        <v>7.0</v>
      </c>
      <c r="L199" s="14">
        <v>5.0</v>
      </c>
      <c r="M199" s="25"/>
      <c r="N199" s="26" t="s">
        <v>21</v>
      </c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>
      <c r="A200" s="14" t="s">
        <v>840</v>
      </c>
      <c r="B200" s="17" t="s">
        <v>830</v>
      </c>
      <c r="C200" s="17" t="s">
        <v>841</v>
      </c>
      <c r="D200" s="19" t="s">
        <v>842</v>
      </c>
      <c r="E200" s="20" t="s">
        <v>290</v>
      </c>
      <c r="F200" s="21">
        <v>25797.0</v>
      </c>
      <c r="G200" s="14">
        <f t="shared" si="1"/>
        <v>56</v>
      </c>
      <c r="H200" s="23" t="s">
        <v>26</v>
      </c>
      <c r="I200" s="24" t="s">
        <v>33</v>
      </c>
      <c r="J200" s="19" t="s">
        <v>257</v>
      </c>
      <c r="K200" s="14">
        <v>7.0</v>
      </c>
      <c r="L200" s="14">
        <v>0.0</v>
      </c>
      <c r="M200" s="25"/>
      <c r="N200" s="26" t="s">
        <v>21</v>
      </c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>
      <c r="A201" s="14" t="s">
        <v>843</v>
      </c>
      <c r="B201" s="17" t="s">
        <v>830</v>
      </c>
      <c r="C201" s="17" t="s">
        <v>844</v>
      </c>
      <c r="D201" s="19" t="s">
        <v>845</v>
      </c>
      <c r="E201" s="20" t="s">
        <v>846</v>
      </c>
      <c r="F201" s="21">
        <v>37472.0</v>
      </c>
      <c r="G201" s="14">
        <f t="shared" si="1"/>
        <v>24</v>
      </c>
      <c r="H201" s="23" t="s">
        <v>100</v>
      </c>
      <c r="I201" s="24" t="s">
        <v>33</v>
      </c>
      <c r="J201" s="19" t="s">
        <v>257</v>
      </c>
      <c r="K201" s="14">
        <v>7.0</v>
      </c>
      <c r="L201" s="14">
        <v>0.0</v>
      </c>
      <c r="M201" s="25"/>
      <c r="N201" s="26" t="s">
        <v>21</v>
      </c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>
      <c r="A202" s="14" t="s">
        <v>847</v>
      </c>
      <c r="B202" s="17" t="s">
        <v>830</v>
      </c>
      <c r="C202" s="17" t="s">
        <v>848</v>
      </c>
      <c r="D202" s="19" t="s">
        <v>849</v>
      </c>
      <c r="E202" s="20" t="s">
        <v>104</v>
      </c>
      <c r="F202" s="21">
        <v>38293.0</v>
      </c>
      <c r="G202" s="14">
        <f t="shared" si="1"/>
        <v>21</v>
      </c>
      <c r="H202" s="23" t="s">
        <v>100</v>
      </c>
      <c r="I202" s="24" t="s">
        <v>27</v>
      </c>
      <c r="J202" s="19" t="s">
        <v>257</v>
      </c>
      <c r="K202" s="14">
        <v>7.0</v>
      </c>
      <c r="L202" s="14">
        <v>0.0</v>
      </c>
      <c r="M202" s="25"/>
      <c r="N202" s="26" t="s">
        <v>21</v>
      </c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>
      <c r="A203" s="14" t="s">
        <v>850</v>
      </c>
      <c r="B203" s="17" t="s">
        <v>851</v>
      </c>
      <c r="C203" s="17" t="s">
        <v>852</v>
      </c>
      <c r="D203" s="19" t="s">
        <v>853</v>
      </c>
      <c r="E203" s="20" t="s">
        <v>67</v>
      </c>
      <c r="F203" s="21">
        <v>22170.0</v>
      </c>
      <c r="G203" s="14">
        <f t="shared" si="1"/>
        <v>66</v>
      </c>
      <c r="H203" s="23" t="s">
        <v>27</v>
      </c>
      <c r="I203" s="24" t="s">
        <v>27</v>
      </c>
      <c r="J203" s="19" t="s">
        <v>53</v>
      </c>
      <c r="K203" s="14">
        <v>32.0</v>
      </c>
      <c r="L203" s="14">
        <v>0.0</v>
      </c>
      <c r="M203" s="25"/>
      <c r="N203" s="26" t="s">
        <v>21</v>
      </c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>
      <c r="A204" s="14" t="s">
        <v>854</v>
      </c>
      <c r="B204" s="17" t="s">
        <v>855</v>
      </c>
      <c r="C204" s="17" t="s">
        <v>856</v>
      </c>
      <c r="D204" s="19" t="s">
        <v>857</v>
      </c>
      <c r="E204" s="20" t="s">
        <v>858</v>
      </c>
      <c r="F204" s="21">
        <v>38856.0</v>
      </c>
      <c r="G204" s="14">
        <f t="shared" si="1"/>
        <v>20</v>
      </c>
      <c r="H204" s="23" t="s">
        <v>100</v>
      </c>
      <c r="I204" s="24" t="s">
        <v>33</v>
      </c>
      <c r="J204" s="19" t="s">
        <v>53</v>
      </c>
      <c r="K204" s="14">
        <v>17.0</v>
      </c>
      <c r="L204" s="14">
        <v>0.0</v>
      </c>
      <c r="M204" s="25"/>
      <c r="N204" s="26" t="s">
        <v>21</v>
      </c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>
      <c r="A205" s="14" t="s">
        <v>859</v>
      </c>
      <c r="B205" s="17" t="s">
        <v>855</v>
      </c>
      <c r="C205" s="17" t="s">
        <v>860</v>
      </c>
      <c r="D205" s="19" t="s">
        <v>861</v>
      </c>
      <c r="E205" s="20" t="s">
        <v>544</v>
      </c>
      <c r="F205" s="21">
        <v>23407.0</v>
      </c>
      <c r="G205" s="14">
        <f t="shared" si="1"/>
        <v>62</v>
      </c>
      <c r="H205" s="23" t="s">
        <v>27</v>
      </c>
      <c r="I205" s="24" t="s">
        <v>27</v>
      </c>
      <c r="J205" s="19" t="s">
        <v>53</v>
      </c>
      <c r="K205" s="14">
        <v>17.0</v>
      </c>
      <c r="L205" s="14">
        <v>0.0</v>
      </c>
      <c r="M205" s="25"/>
      <c r="N205" s="26" t="s">
        <v>21</v>
      </c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>
      <c r="A206" s="14" t="s">
        <v>862</v>
      </c>
      <c r="B206" s="17" t="s">
        <v>863</v>
      </c>
      <c r="C206" s="17" t="s">
        <v>864</v>
      </c>
      <c r="D206" s="19" t="s">
        <v>865</v>
      </c>
      <c r="E206" s="20" t="s">
        <v>666</v>
      </c>
      <c r="F206" s="21">
        <v>25028.0</v>
      </c>
      <c r="G206" s="14">
        <f t="shared" si="1"/>
        <v>58</v>
      </c>
      <c r="H206" s="23" t="s">
        <v>26</v>
      </c>
      <c r="I206" s="24" t="s">
        <v>33</v>
      </c>
      <c r="J206" s="19" t="s">
        <v>146</v>
      </c>
      <c r="K206" s="14">
        <v>3.0</v>
      </c>
      <c r="L206" s="14">
        <v>0.0</v>
      </c>
      <c r="M206" s="25"/>
      <c r="N206" s="26" t="s">
        <v>21</v>
      </c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>
      <c r="A207" s="14" t="s">
        <v>866</v>
      </c>
      <c r="B207" s="17" t="s">
        <v>863</v>
      </c>
      <c r="C207" s="17" t="s">
        <v>867</v>
      </c>
      <c r="D207" s="19" t="s">
        <v>868</v>
      </c>
      <c r="E207" s="20" t="s">
        <v>53</v>
      </c>
      <c r="F207" s="21">
        <v>37451.0</v>
      </c>
      <c r="G207" s="14">
        <f t="shared" si="1"/>
        <v>24</v>
      </c>
      <c r="H207" s="23" t="s">
        <v>100</v>
      </c>
      <c r="I207" s="24" t="s">
        <v>33</v>
      </c>
      <c r="J207" s="19" t="s">
        <v>146</v>
      </c>
      <c r="K207" s="14">
        <v>3.0</v>
      </c>
      <c r="L207" s="14">
        <v>0.0</v>
      </c>
      <c r="M207" s="25"/>
      <c r="N207" s="26" t="s">
        <v>21</v>
      </c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>
      <c r="A208" s="14" t="s">
        <v>869</v>
      </c>
      <c r="B208" s="17" t="s">
        <v>863</v>
      </c>
      <c r="C208" s="17" t="s">
        <v>870</v>
      </c>
      <c r="D208" s="19" t="s">
        <v>871</v>
      </c>
      <c r="E208" s="20" t="s">
        <v>666</v>
      </c>
      <c r="F208" s="21">
        <v>25829.0</v>
      </c>
      <c r="G208" s="14">
        <f t="shared" si="1"/>
        <v>56</v>
      </c>
      <c r="H208" s="23" t="s">
        <v>26</v>
      </c>
      <c r="I208" s="24" t="s">
        <v>27</v>
      </c>
      <c r="J208" s="19" t="s">
        <v>146</v>
      </c>
      <c r="K208" s="14">
        <v>3.0</v>
      </c>
      <c r="L208" s="14">
        <v>0.0</v>
      </c>
      <c r="M208" s="25"/>
      <c r="N208" s="26" t="s">
        <v>21</v>
      </c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>
      <c r="A209" s="14" t="s">
        <v>872</v>
      </c>
      <c r="B209" s="17" t="s">
        <v>873</v>
      </c>
      <c r="C209" s="17" t="s">
        <v>874</v>
      </c>
      <c r="D209" s="19" t="s">
        <v>875</v>
      </c>
      <c r="E209" s="20" t="s">
        <v>876</v>
      </c>
      <c r="F209" s="21">
        <v>38242.0</v>
      </c>
      <c r="G209" s="14">
        <f t="shared" si="1"/>
        <v>22</v>
      </c>
      <c r="H209" s="23" t="s">
        <v>100</v>
      </c>
      <c r="I209" s="24" t="s">
        <v>27</v>
      </c>
      <c r="J209" s="19" t="s">
        <v>146</v>
      </c>
      <c r="K209" s="14">
        <v>3.0</v>
      </c>
      <c r="L209" s="14">
        <v>0.0</v>
      </c>
      <c r="M209" s="25"/>
      <c r="N209" s="26" t="s">
        <v>21</v>
      </c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>
      <c r="A210" s="14" t="s">
        <v>877</v>
      </c>
      <c r="B210" s="17" t="s">
        <v>873</v>
      </c>
      <c r="C210" s="17" t="s">
        <v>878</v>
      </c>
      <c r="D210" s="19" t="s">
        <v>879</v>
      </c>
      <c r="E210" s="20" t="s">
        <v>880</v>
      </c>
      <c r="F210" s="21">
        <v>23712.0</v>
      </c>
      <c r="G210" s="14">
        <f t="shared" si="1"/>
        <v>61</v>
      </c>
      <c r="H210" s="23" t="s">
        <v>26</v>
      </c>
      <c r="I210" s="24" t="s">
        <v>33</v>
      </c>
      <c r="J210" s="19" t="s">
        <v>146</v>
      </c>
      <c r="K210" s="14">
        <v>3.0</v>
      </c>
      <c r="L210" s="14">
        <v>0.0</v>
      </c>
      <c r="M210" s="25"/>
      <c r="N210" s="26" t="s">
        <v>21</v>
      </c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>
      <c r="A211" s="14" t="s">
        <v>881</v>
      </c>
      <c r="B211" s="17" t="s">
        <v>873</v>
      </c>
      <c r="C211" s="17" t="s">
        <v>882</v>
      </c>
      <c r="D211" s="19" t="s">
        <v>883</v>
      </c>
      <c r="E211" s="20" t="s">
        <v>880</v>
      </c>
      <c r="F211" s="21">
        <v>25064.0</v>
      </c>
      <c r="G211" s="14">
        <f t="shared" si="1"/>
        <v>58</v>
      </c>
      <c r="H211" s="23" t="s">
        <v>26</v>
      </c>
      <c r="I211" s="24" t="s">
        <v>27</v>
      </c>
      <c r="J211" s="19" t="s">
        <v>146</v>
      </c>
      <c r="K211" s="14">
        <v>3.0</v>
      </c>
      <c r="L211" s="14">
        <v>0.0</v>
      </c>
      <c r="M211" s="25"/>
      <c r="N211" s="26" t="s">
        <v>21</v>
      </c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>
      <c r="A212" s="14" t="s">
        <v>884</v>
      </c>
      <c r="B212" s="17" t="s">
        <v>885</v>
      </c>
      <c r="C212" s="17" t="s">
        <v>886</v>
      </c>
      <c r="D212" s="19" t="s">
        <v>887</v>
      </c>
      <c r="E212" s="20" t="s">
        <v>654</v>
      </c>
      <c r="F212" s="21">
        <v>21681.0</v>
      </c>
      <c r="G212" s="14">
        <f t="shared" si="1"/>
        <v>67</v>
      </c>
      <c r="H212" s="23" t="s">
        <v>26</v>
      </c>
      <c r="I212" s="24" t="s">
        <v>33</v>
      </c>
      <c r="J212" s="19" t="s">
        <v>328</v>
      </c>
      <c r="K212" s="14">
        <v>20.0</v>
      </c>
      <c r="L212" s="14">
        <v>0.0</v>
      </c>
      <c r="M212" s="25"/>
      <c r="N212" s="26" t="s">
        <v>21</v>
      </c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>
      <c r="A213" s="14" t="s">
        <v>888</v>
      </c>
      <c r="B213" s="17" t="s">
        <v>885</v>
      </c>
      <c r="C213" s="17" t="s">
        <v>889</v>
      </c>
      <c r="D213" s="19" t="s">
        <v>661</v>
      </c>
      <c r="E213" s="20" t="s">
        <v>890</v>
      </c>
      <c r="F213" s="21">
        <v>24839.0</v>
      </c>
      <c r="G213" s="14">
        <f t="shared" si="1"/>
        <v>58</v>
      </c>
      <c r="H213" s="23" t="s">
        <v>26</v>
      </c>
      <c r="I213" s="24" t="s">
        <v>27</v>
      </c>
      <c r="J213" s="19" t="s">
        <v>328</v>
      </c>
      <c r="K213" s="14">
        <v>20.0</v>
      </c>
      <c r="L213" s="14">
        <v>0.0</v>
      </c>
      <c r="M213" s="25"/>
      <c r="N213" s="26" t="s">
        <v>21</v>
      </c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>
      <c r="A214" s="14" t="s">
        <v>891</v>
      </c>
      <c r="B214" s="17" t="s">
        <v>892</v>
      </c>
      <c r="C214" s="17" t="s">
        <v>893</v>
      </c>
      <c r="D214" s="19" t="s">
        <v>894</v>
      </c>
      <c r="E214" s="20" t="s">
        <v>104</v>
      </c>
      <c r="F214" s="27">
        <v>39033.0</v>
      </c>
      <c r="G214" s="14">
        <f t="shared" si="1"/>
        <v>19</v>
      </c>
      <c r="H214" s="23" t="s">
        <v>100</v>
      </c>
      <c r="I214" s="24" t="s">
        <v>27</v>
      </c>
      <c r="J214" s="19" t="s">
        <v>895</v>
      </c>
      <c r="K214" s="14">
        <v>21.0</v>
      </c>
      <c r="L214" s="14">
        <v>0.0</v>
      </c>
      <c r="M214" s="25"/>
      <c r="N214" s="26" t="s">
        <v>21</v>
      </c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>
      <c r="A215" s="14" t="s">
        <v>896</v>
      </c>
      <c r="B215" s="17" t="s">
        <v>892</v>
      </c>
      <c r="C215" s="17" t="s">
        <v>897</v>
      </c>
      <c r="D215" s="19" t="s">
        <v>898</v>
      </c>
      <c r="E215" s="20" t="s">
        <v>654</v>
      </c>
      <c r="F215" s="21">
        <v>22098.0</v>
      </c>
      <c r="G215" s="14">
        <f t="shared" si="1"/>
        <v>66</v>
      </c>
      <c r="H215" s="23" t="s">
        <v>26</v>
      </c>
      <c r="I215" s="24" t="s">
        <v>27</v>
      </c>
      <c r="J215" s="19" t="s">
        <v>895</v>
      </c>
      <c r="K215" s="14">
        <v>21.0</v>
      </c>
      <c r="L215" s="14">
        <v>0.0</v>
      </c>
      <c r="M215" s="25"/>
      <c r="N215" s="26" t="s">
        <v>21</v>
      </c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>
      <c r="A216" s="14" t="s">
        <v>899</v>
      </c>
      <c r="B216" s="17" t="s">
        <v>892</v>
      </c>
      <c r="C216" s="17" t="s">
        <v>900</v>
      </c>
      <c r="D216" s="19" t="s">
        <v>901</v>
      </c>
      <c r="E216" s="20" t="s">
        <v>654</v>
      </c>
      <c r="F216" s="21">
        <v>20271.0</v>
      </c>
      <c r="G216" s="14">
        <f t="shared" si="1"/>
        <v>71</v>
      </c>
      <c r="H216" s="23" t="s">
        <v>26</v>
      </c>
      <c r="I216" s="24" t="s">
        <v>33</v>
      </c>
      <c r="J216" s="19" t="s">
        <v>895</v>
      </c>
      <c r="K216" s="14">
        <v>21.0</v>
      </c>
      <c r="L216" s="14">
        <v>0.0</v>
      </c>
      <c r="M216" s="25"/>
      <c r="N216" s="26" t="s">
        <v>21</v>
      </c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>
      <c r="A217" s="14" t="s">
        <v>902</v>
      </c>
      <c r="B217" s="17" t="s">
        <v>903</v>
      </c>
      <c r="C217" s="17" t="s">
        <v>904</v>
      </c>
      <c r="D217" s="19" t="s">
        <v>905</v>
      </c>
      <c r="E217" s="20" t="s">
        <v>632</v>
      </c>
      <c r="F217" s="21">
        <v>19469.0</v>
      </c>
      <c r="G217" s="14">
        <f t="shared" si="1"/>
        <v>73</v>
      </c>
      <c r="H217" s="23" t="s">
        <v>26</v>
      </c>
      <c r="I217" s="24" t="s">
        <v>33</v>
      </c>
      <c r="J217" s="19" t="s">
        <v>328</v>
      </c>
      <c r="K217" s="14">
        <v>22.0</v>
      </c>
      <c r="L217" s="14">
        <v>0.0</v>
      </c>
      <c r="M217" s="25"/>
      <c r="N217" s="26" t="s">
        <v>21</v>
      </c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>
      <c r="A218" s="14" t="s">
        <v>906</v>
      </c>
      <c r="B218" s="17" t="s">
        <v>903</v>
      </c>
      <c r="C218" s="17" t="s">
        <v>907</v>
      </c>
      <c r="D218" s="19" t="s">
        <v>908</v>
      </c>
      <c r="E218" s="20" t="s">
        <v>632</v>
      </c>
      <c r="F218" s="21">
        <v>22408.0</v>
      </c>
      <c r="G218" s="14">
        <f t="shared" si="1"/>
        <v>65</v>
      </c>
      <c r="H218" s="23" t="s">
        <v>26</v>
      </c>
      <c r="I218" s="24" t="s">
        <v>27</v>
      </c>
      <c r="J218" s="19" t="s">
        <v>328</v>
      </c>
      <c r="K218" s="14">
        <v>22.0</v>
      </c>
      <c r="L218" s="14">
        <v>0.0</v>
      </c>
      <c r="M218" s="25"/>
      <c r="N218" s="26" t="s">
        <v>21</v>
      </c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>
      <c r="A219" s="14" t="s">
        <v>909</v>
      </c>
      <c r="B219" s="17" t="s">
        <v>910</v>
      </c>
      <c r="C219" s="17" t="s">
        <v>911</v>
      </c>
      <c r="D219" s="19" t="s">
        <v>912</v>
      </c>
      <c r="E219" s="20" t="s">
        <v>104</v>
      </c>
      <c r="F219" s="27">
        <v>34263.0</v>
      </c>
      <c r="G219" s="14">
        <f t="shared" si="1"/>
        <v>33</v>
      </c>
      <c r="H219" s="23" t="s">
        <v>26</v>
      </c>
      <c r="I219" s="24" t="s">
        <v>27</v>
      </c>
      <c r="J219" s="19" t="s">
        <v>53</v>
      </c>
      <c r="K219" s="14">
        <v>15.0</v>
      </c>
      <c r="L219" s="14">
        <v>0.0</v>
      </c>
      <c r="M219" s="25"/>
      <c r="N219" s="26" t="s">
        <v>21</v>
      </c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>
      <c r="A220" s="14" t="s">
        <v>913</v>
      </c>
      <c r="B220" s="17" t="s">
        <v>910</v>
      </c>
      <c r="C220" s="17" t="s">
        <v>914</v>
      </c>
      <c r="D220" s="19" t="s">
        <v>915</v>
      </c>
      <c r="E220" s="20" t="s">
        <v>53</v>
      </c>
      <c r="F220" s="21">
        <v>32891.0</v>
      </c>
      <c r="G220" s="14">
        <f t="shared" si="1"/>
        <v>36</v>
      </c>
      <c r="H220" s="23" t="s">
        <v>26</v>
      </c>
      <c r="I220" s="24" t="s">
        <v>33</v>
      </c>
      <c r="J220" s="19" t="s">
        <v>53</v>
      </c>
      <c r="K220" s="14">
        <v>15.0</v>
      </c>
      <c r="L220" s="14">
        <v>0.0</v>
      </c>
      <c r="M220" s="25"/>
      <c r="N220" s="26" t="s">
        <v>21</v>
      </c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>
      <c r="A221" s="14" t="s">
        <v>916</v>
      </c>
      <c r="B221" s="17" t="s">
        <v>917</v>
      </c>
      <c r="C221" s="17" t="s">
        <v>918</v>
      </c>
      <c r="D221" s="19" t="s">
        <v>919</v>
      </c>
      <c r="E221" s="20" t="s">
        <v>187</v>
      </c>
      <c r="F221" s="27">
        <v>34692.0</v>
      </c>
      <c r="G221" s="14">
        <f t="shared" si="1"/>
        <v>31</v>
      </c>
      <c r="H221" s="23" t="s">
        <v>26</v>
      </c>
      <c r="I221" s="24" t="s">
        <v>33</v>
      </c>
      <c r="J221" s="19" t="s">
        <v>257</v>
      </c>
      <c r="K221" s="14">
        <v>9.0</v>
      </c>
      <c r="L221" s="14">
        <v>0.0</v>
      </c>
      <c r="M221" s="25"/>
      <c r="N221" s="26" t="s">
        <v>21</v>
      </c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>
      <c r="A222" s="14" t="s">
        <v>920</v>
      </c>
      <c r="B222" s="17" t="s">
        <v>917</v>
      </c>
      <c r="C222" s="17" t="s">
        <v>921</v>
      </c>
      <c r="D222" s="19" t="s">
        <v>922</v>
      </c>
      <c r="E222" s="20" t="s">
        <v>923</v>
      </c>
      <c r="F222" s="21">
        <v>35531.0</v>
      </c>
      <c r="G222" s="14">
        <f t="shared" si="1"/>
        <v>29</v>
      </c>
      <c r="H222" s="23" t="s">
        <v>26</v>
      </c>
      <c r="I222" s="24" t="s">
        <v>27</v>
      </c>
      <c r="J222" s="19" t="s">
        <v>257</v>
      </c>
      <c r="K222" s="14">
        <v>9.0</v>
      </c>
      <c r="L222" s="14">
        <v>0.0</v>
      </c>
      <c r="M222" s="25"/>
      <c r="N222" s="26" t="s">
        <v>21</v>
      </c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>
      <c r="A223" s="14" t="s">
        <v>924</v>
      </c>
      <c r="B223" s="17" t="s">
        <v>925</v>
      </c>
      <c r="C223" s="17" t="s">
        <v>926</v>
      </c>
      <c r="D223" s="19" t="s">
        <v>927</v>
      </c>
      <c r="E223" s="20" t="s">
        <v>104</v>
      </c>
      <c r="F223" s="27">
        <v>35721.0</v>
      </c>
      <c r="G223" s="14">
        <f t="shared" si="1"/>
        <v>29</v>
      </c>
      <c r="H223" s="23" t="s">
        <v>27</v>
      </c>
      <c r="I223" s="24" t="s">
        <v>33</v>
      </c>
      <c r="J223" s="19" t="s">
        <v>68</v>
      </c>
      <c r="K223" s="14">
        <v>30.0</v>
      </c>
      <c r="L223" s="14">
        <v>0.0</v>
      </c>
      <c r="M223" s="25"/>
      <c r="N223" s="26" t="s">
        <v>21</v>
      </c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>
      <c r="A224" s="14" t="s">
        <v>928</v>
      </c>
      <c r="B224" s="17" t="s">
        <v>929</v>
      </c>
      <c r="C224" s="17" t="s">
        <v>930</v>
      </c>
      <c r="D224" s="19" t="s">
        <v>931</v>
      </c>
      <c r="E224" s="20" t="s">
        <v>650</v>
      </c>
      <c r="F224" s="21">
        <v>24305.0</v>
      </c>
      <c r="G224" s="14">
        <f t="shared" si="1"/>
        <v>60</v>
      </c>
      <c r="H224" s="23" t="s">
        <v>26</v>
      </c>
      <c r="I224" s="24" t="s">
        <v>33</v>
      </c>
      <c r="J224" s="19" t="s">
        <v>257</v>
      </c>
      <c r="K224" s="14">
        <v>36.0</v>
      </c>
      <c r="L224" s="14">
        <v>0.0</v>
      </c>
      <c r="M224" s="28" t="s">
        <v>947</v>
      </c>
      <c r="N224" s="26" t="s">
        <v>21</v>
      </c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>
      <c r="A225" s="14" t="s">
        <v>932</v>
      </c>
      <c r="B225" s="17" t="s">
        <v>929</v>
      </c>
      <c r="C225" s="17" t="s">
        <v>933</v>
      </c>
      <c r="D225" s="19" t="s">
        <v>934</v>
      </c>
      <c r="E225" s="20" t="s">
        <v>104</v>
      </c>
      <c r="F225" s="21">
        <v>29419.0</v>
      </c>
      <c r="G225" s="14">
        <f t="shared" si="1"/>
        <v>46</v>
      </c>
      <c r="H225" s="23" t="s">
        <v>26</v>
      </c>
      <c r="I225" s="24" t="s">
        <v>27</v>
      </c>
      <c r="J225" s="19" t="s">
        <v>257</v>
      </c>
      <c r="K225" s="14">
        <v>36.0</v>
      </c>
      <c r="L225" s="14">
        <v>0.0</v>
      </c>
      <c r="M225" s="28" t="s">
        <v>947</v>
      </c>
      <c r="N225" s="26" t="s">
        <v>21</v>
      </c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>
      <c r="A226" s="14" t="s">
        <v>935</v>
      </c>
      <c r="B226" s="17" t="s">
        <v>936</v>
      </c>
      <c r="C226" s="17" t="s">
        <v>937</v>
      </c>
      <c r="D226" s="19" t="s">
        <v>938</v>
      </c>
      <c r="E226" s="20" t="s">
        <v>650</v>
      </c>
      <c r="F226" s="21">
        <v>23940.0</v>
      </c>
      <c r="G226" s="14">
        <f t="shared" si="1"/>
        <v>61</v>
      </c>
      <c r="H226" s="23" t="s">
        <v>26</v>
      </c>
      <c r="I226" s="24" t="s">
        <v>33</v>
      </c>
      <c r="J226" s="19" t="s">
        <v>939</v>
      </c>
      <c r="K226" s="14">
        <v>7.0</v>
      </c>
      <c r="L226" s="14">
        <v>0.0</v>
      </c>
      <c r="M226" s="25"/>
      <c r="N226" s="26" t="s">
        <v>21</v>
      </c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>
      <c r="A227" s="14" t="s">
        <v>940</v>
      </c>
      <c r="B227" s="17" t="s">
        <v>936</v>
      </c>
      <c r="C227" s="17" t="s">
        <v>941</v>
      </c>
      <c r="D227" s="19" t="s">
        <v>942</v>
      </c>
      <c r="E227" s="20" t="s">
        <v>650</v>
      </c>
      <c r="F227" s="21">
        <v>26862.0</v>
      </c>
      <c r="G227" s="14">
        <f t="shared" si="1"/>
        <v>53</v>
      </c>
      <c r="H227" s="23" t="s">
        <v>26</v>
      </c>
      <c r="I227" s="24" t="s">
        <v>27</v>
      </c>
      <c r="J227" s="19" t="s">
        <v>939</v>
      </c>
      <c r="K227" s="14">
        <v>7.0</v>
      </c>
      <c r="L227" s="14">
        <v>0.0</v>
      </c>
      <c r="M227" s="25"/>
      <c r="N227" s="26" t="s">
        <v>21</v>
      </c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>
      <c r="A228" s="14" t="s">
        <v>943</v>
      </c>
      <c r="B228" s="17" t="s">
        <v>944</v>
      </c>
      <c r="C228" s="17" t="s">
        <v>945</v>
      </c>
      <c r="D228" s="19" t="s">
        <v>946</v>
      </c>
      <c r="E228" s="20" t="s">
        <v>290</v>
      </c>
      <c r="F228" s="21">
        <v>17000.0</v>
      </c>
      <c r="G228" s="14">
        <f t="shared" si="1"/>
        <v>80</v>
      </c>
      <c r="H228" s="23" t="s">
        <v>26</v>
      </c>
      <c r="I228" s="24" t="s">
        <v>33</v>
      </c>
      <c r="J228" s="19" t="s">
        <v>939</v>
      </c>
      <c r="K228" s="14">
        <v>7.0</v>
      </c>
      <c r="L228" s="14">
        <v>0.0</v>
      </c>
      <c r="M228" s="25"/>
      <c r="N228" s="26" t="s">
        <v>21</v>
      </c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>
      <c r="A229" s="14" t="s">
        <v>948</v>
      </c>
      <c r="B229" s="17" t="s">
        <v>944</v>
      </c>
      <c r="C229" s="17" t="s">
        <v>949</v>
      </c>
      <c r="D229" s="19" t="s">
        <v>950</v>
      </c>
      <c r="E229" s="20" t="s">
        <v>290</v>
      </c>
      <c r="F229" s="21">
        <v>19557.0</v>
      </c>
      <c r="G229" s="14">
        <f t="shared" si="1"/>
        <v>73</v>
      </c>
      <c r="H229" s="23" t="s">
        <v>26</v>
      </c>
      <c r="I229" s="24" t="s">
        <v>27</v>
      </c>
      <c r="J229" s="19" t="s">
        <v>939</v>
      </c>
      <c r="K229" s="14">
        <v>7.0</v>
      </c>
      <c r="L229" s="14">
        <v>0.0</v>
      </c>
      <c r="M229" s="25"/>
      <c r="N229" s="26" t="s">
        <v>21</v>
      </c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>
      <c r="A230" s="14" t="s">
        <v>951</v>
      </c>
      <c r="B230" s="17" t="s">
        <v>952</v>
      </c>
      <c r="C230" s="17" t="s">
        <v>953</v>
      </c>
      <c r="D230" s="19" t="s">
        <v>954</v>
      </c>
      <c r="E230" s="20" t="s">
        <v>104</v>
      </c>
      <c r="F230" s="21">
        <v>38035.0</v>
      </c>
      <c r="G230" s="14">
        <f t="shared" si="1"/>
        <v>22</v>
      </c>
      <c r="H230" s="23" t="s">
        <v>100</v>
      </c>
      <c r="I230" s="24" t="s">
        <v>27</v>
      </c>
      <c r="J230" s="19" t="s">
        <v>939</v>
      </c>
      <c r="K230" s="14">
        <v>7.0</v>
      </c>
      <c r="L230" s="14">
        <v>0.0</v>
      </c>
      <c r="M230" s="25"/>
      <c r="N230" s="26" t="s">
        <v>21</v>
      </c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>
      <c r="A231" s="14" t="s">
        <v>955</v>
      </c>
      <c r="B231" s="17" t="s">
        <v>952</v>
      </c>
      <c r="C231" s="17" t="s">
        <v>956</v>
      </c>
      <c r="D231" s="19" t="s">
        <v>957</v>
      </c>
      <c r="E231" s="20" t="s">
        <v>104</v>
      </c>
      <c r="F231" s="21">
        <v>28617.0</v>
      </c>
      <c r="G231" s="14">
        <f t="shared" si="1"/>
        <v>48</v>
      </c>
      <c r="H231" s="23" t="s">
        <v>26</v>
      </c>
      <c r="I231" s="24" t="s">
        <v>33</v>
      </c>
      <c r="J231" s="19" t="s">
        <v>939</v>
      </c>
      <c r="K231" s="14">
        <v>7.0</v>
      </c>
      <c r="L231" s="14">
        <v>0.0</v>
      </c>
      <c r="M231" s="25"/>
      <c r="N231" s="26" t="s">
        <v>21</v>
      </c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>
      <c r="A232" s="14" t="s">
        <v>958</v>
      </c>
      <c r="B232" s="17" t="s">
        <v>952</v>
      </c>
      <c r="C232" s="17" t="s">
        <v>959</v>
      </c>
      <c r="D232" s="19" t="s">
        <v>960</v>
      </c>
      <c r="E232" s="20" t="s">
        <v>104</v>
      </c>
      <c r="F232" s="21">
        <v>30104.0</v>
      </c>
      <c r="G232" s="14">
        <f t="shared" si="1"/>
        <v>44</v>
      </c>
      <c r="H232" s="23" t="s">
        <v>26</v>
      </c>
      <c r="I232" s="24" t="s">
        <v>27</v>
      </c>
      <c r="J232" s="19" t="s">
        <v>939</v>
      </c>
      <c r="K232" s="14">
        <v>7.0</v>
      </c>
      <c r="L232" s="14">
        <v>0.0</v>
      </c>
      <c r="M232" s="25"/>
      <c r="N232" s="26" t="s">
        <v>21</v>
      </c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>
      <c r="A233" s="14" t="s">
        <v>961</v>
      </c>
      <c r="B233" s="17" t="s">
        <v>962</v>
      </c>
      <c r="C233" s="17" t="s">
        <v>963</v>
      </c>
      <c r="D233" s="19" t="s">
        <v>964</v>
      </c>
      <c r="E233" s="20" t="s">
        <v>965</v>
      </c>
      <c r="F233" s="21">
        <v>29082.0</v>
      </c>
      <c r="G233" s="14">
        <f t="shared" si="1"/>
        <v>47</v>
      </c>
      <c r="H233" s="23" t="s">
        <v>27</v>
      </c>
      <c r="I233" s="24" t="s">
        <v>27</v>
      </c>
      <c r="J233" s="19" t="s">
        <v>966</v>
      </c>
      <c r="K233" s="14">
        <v>17.0</v>
      </c>
      <c r="L233" s="14">
        <v>0.0</v>
      </c>
      <c r="M233" s="25"/>
      <c r="N233" s="26" t="s">
        <v>21</v>
      </c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>
      <c r="A234" s="14" t="s">
        <v>967</v>
      </c>
      <c r="B234" s="17" t="s">
        <v>962</v>
      </c>
      <c r="C234" s="17" t="s">
        <v>968</v>
      </c>
      <c r="D234" s="19" t="s">
        <v>969</v>
      </c>
      <c r="E234" s="20" t="s">
        <v>104</v>
      </c>
      <c r="F234" s="21">
        <v>38734.0</v>
      </c>
      <c r="G234" s="14">
        <f t="shared" si="1"/>
        <v>20</v>
      </c>
      <c r="H234" s="23" t="s">
        <v>100</v>
      </c>
      <c r="I234" s="24" t="s">
        <v>27</v>
      </c>
      <c r="J234" s="19" t="s">
        <v>966</v>
      </c>
      <c r="K234" s="14">
        <v>17.0</v>
      </c>
      <c r="L234" s="14">
        <v>0.0</v>
      </c>
      <c r="M234" s="25"/>
      <c r="N234" s="26" t="s">
        <v>21</v>
      </c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>
      <c r="A235" s="14" t="s">
        <v>970</v>
      </c>
      <c r="B235" s="17" t="s">
        <v>971</v>
      </c>
      <c r="C235" s="17" t="s">
        <v>972</v>
      </c>
      <c r="D235" s="19" t="s">
        <v>460</v>
      </c>
      <c r="E235" s="20" t="s">
        <v>104</v>
      </c>
      <c r="F235" s="27">
        <v>32426.0</v>
      </c>
      <c r="G235" s="14">
        <f t="shared" si="1"/>
        <v>38</v>
      </c>
      <c r="H235" s="23" t="s">
        <v>26</v>
      </c>
      <c r="I235" s="24" t="s">
        <v>33</v>
      </c>
      <c r="J235" s="19" t="s">
        <v>282</v>
      </c>
      <c r="K235" s="14">
        <v>11.0</v>
      </c>
      <c r="L235" s="14">
        <v>0.0</v>
      </c>
      <c r="M235" s="25"/>
      <c r="N235" s="26" t="s">
        <v>21</v>
      </c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>
      <c r="A236" s="14" t="s">
        <v>973</v>
      </c>
      <c r="B236" s="17" t="s">
        <v>971</v>
      </c>
      <c r="C236" s="17" t="s">
        <v>974</v>
      </c>
      <c r="D236" s="19" t="s">
        <v>975</v>
      </c>
      <c r="E236" s="20" t="s">
        <v>104</v>
      </c>
      <c r="F236" s="21">
        <v>34168.0</v>
      </c>
      <c r="G236" s="14">
        <f t="shared" si="1"/>
        <v>33</v>
      </c>
      <c r="H236" s="23" t="s">
        <v>26</v>
      </c>
      <c r="I236" s="24" t="s">
        <v>27</v>
      </c>
      <c r="J236" s="19" t="s">
        <v>282</v>
      </c>
      <c r="K236" s="14">
        <v>11.0</v>
      </c>
      <c r="L236" s="14">
        <v>0.0</v>
      </c>
      <c r="M236" s="25"/>
      <c r="N236" s="26" t="s">
        <v>21</v>
      </c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>
      <c r="A237" s="14" t="s">
        <v>976</v>
      </c>
      <c r="B237" s="17" t="s">
        <v>977</v>
      </c>
      <c r="C237" s="17" t="s">
        <v>978</v>
      </c>
      <c r="D237" s="19" t="s">
        <v>979</v>
      </c>
      <c r="E237" s="20" t="s">
        <v>749</v>
      </c>
      <c r="F237" s="27">
        <v>24104.0</v>
      </c>
      <c r="G237" s="14">
        <f t="shared" si="1"/>
        <v>60</v>
      </c>
      <c r="H237" s="23" t="s">
        <v>27</v>
      </c>
      <c r="I237" s="24" t="s">
        <v>27</v>
      </c>
      <c r="J237" s="19" t="s">
        <v>58</v>
      </c>
      <c r="K237" s="14">
        <v>8.0</v>
      </c>
      <c r="L237" s="14">
        <v>0.0</v>
      </c>
      <c r="M237" s="25"/>
      <c r="N237" s="26" t="s">
        <v>21</v>
      </c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>
      <c r="A238" s="14" t="s">
        <v>980</v>
      </c>
      <c r="B238" s="17" t="s">
        <v>981</v>
      </c>
      <c r="C238" s="17" t="s">
        <v>982</v>
      </c>
      <c r="D238" s="19" t="s">
        <v>983</v>
      </c>
      <c r="E238" s="20" t="s">
        <v>984</v>
      </c>
      <c r="F238" s="27">
        <v>14896.0</v>
      </c>
      <c r="G238" s="14">
        <f t="shared" si="1"/>
        <v>86</v>
      </c>
      <c r="H238" s="23" t="s">
        <v>27</v>
      </c>
      <c r="I238" s="24" t="s">
        <v>33</v>
      </c>
      <c r="J238" s="19" t="s">
        <v>58</v>
      </c>
      <c r="K238" s="14">
        <v>8.0</v>
      </c>
      <c r="L238" s="14">
        <v>0.0</v>
      </c>
      <c r="M238" s="25"/>
      <c r="N238" s="26" t="s">
        <v>21</v>
      </c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>
      <c r="A239" s="14" t="s">
        <v>985</v>
      </c>
      <c r="B239" s="17" t="s">
        <v>986</v>
      </c>
      <c r="C239" s="17" t="s">
        <v>987</v>
      </c>
      <c r="D239" s="19" t="s">
        <v>988</v>
      </c>
      <c r="E239" s="20" t="s">
        <v>104</v>
      </c>
      <c r="F239" s="27">
        <v>31742.0</v>
      </c>
      <c r="G239" s="14">
        <f t="shared" si="1"/>
        <v>39</v>
      </c>
      <c r="H239" s="23" t="s">
        <v>26</v>
      </c>
      <c r="I239" s="24" t="s">
        <v>27</v>
      </c>
      <c r="J239" s="19" t="s">
        <v>989</v>
      </c>
      <c r="K239" s="14">
        <v>1.0</v>
      </c>
      <c r="L239" s="14">
        <v>0.0</v>
      </c>
      <c r="M239" s="25"/>
      <c r="N239" s="26" t="s">
        <v>21</v>
      </c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>
      <c r="A240" s="14" t="s">
        <v>990</v>
      </c>
      <c r="B240" s="17" t="s">
        <v>986</v>
      </c>
      <c r="C240" s="17" t="s">
        <v>991</v>
      </c>
      <c r="D240" s="19" t="s">
        <v>992</v>
      </c>
      <c r="E240" s="20" t="s">
        <v>993</v>
      </c>
      <c r="F240" s="21">
        <v>30055.0</v>
      </c>
      <c r="G240" s="14">
        <f t="shared" si="1"/>
        <v>44</v>
      </c>
      <c r="H240" s="23" t="s">
        <v>26</v>
      </c>
      <c r="I240" s="24" t="s">
        <v>33</v>
      </c>
      <c r="J240" s="19" t="s">
        <v>989</v>
      </c>
      <c r="K240" s="14">
        <v>1.0</v>
      </c>
      <c r="L240" s="14">
        <v>0.0</v>
      </c>
      <c r="M240" s="25"/>
      <c r="N240" s="26" t="s">
        <v>21</v>
      </c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>
      <c r="A241" s="14" t="s">
        <v>994</v>
      </c>
      <c r="B241" s="17" t="s">
        <v>986</v>
      </c>
      <c r="C241" s="17" t="s">
        <v>995</v>
      </c>
      <c r="D241" s="19" t="s">
        <v>996</v>
      </c>
      <c r="E241" s="20" t="s">
        <v>993</v>
      </c>
      <c r="F241" s="21">
        <v>38996.0</v>
      </c>
      <c r="G241" s="14">
        <f t="shared" si="1"/>
        <v>20</v>
      </c>
      <c r="H241" s="23" t="s">
        <v>100</v>
      </c>
      <c r="I241" s="24" t="s">
        <v>27</v>
      </c>
      <c r="J241" s="19" t="s">
        <v>989</v>
      </c>
      <c r="K241" s="14">
        <v>1.0</v>
      </c>
      <c r="L241" s="14">
        <v>0.0</v>
      </c>
      <c r="M241" s="25"/>
      <c r="N241" s="26" t="s">
        <v>21</v>
      </c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>
      <c r="A242" s="14" t="s">
        <v>997</v>
      </c>
      <c r="B242" s="17" t="s">
        <v>986</v>
      </c>
      <c r="C242" s="17" t="s">
        <v>998</v>
      </c>
      <c r="D242" s="19" t="s">
        <v>999</v>
      </c>
      <c r="E242" s="20" t="s">
        <v>993</v>
      </c>
      <c r="F242" s="21">
        <v>38996.0</v>
      </c>
      <c r="G242" s="14">
        <f t="shared" si="1"/>
        <v>20</v>
      </c>
      <c r="H242" s="23" t="s">
        <v>100</v>
      </c>
      <c r="I242" s="24" t="s">
        <v>33</v>
      </c>
      <c r="J242" s="19" t="s">
        <v>989</v>
      </c>
      <c r="K242" s="14">
        <v>1.0</v>
      </c>
      <c r="L242" s="14">
        <v>0.0</v>
      </c>
      <c r="M242" s="25"/>
      <c r="N242" s="26" t="s">
        <v>21</v>
      </c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>
      <c r="A243" s="14" t="s">
        <v>1000</v>
      </c>
      <c r="B243" s="17" t="s">
        <v>1001</v>
      </c>
      <c r="C243" s="17" t="s">
        <v>1002</v>
      </c>
      <c r="D243" s="19" t="s">
        <v>1003</v>
      </c>
      <c r="E243" s="20" t="s">
        <v>434</v>
      </c>
      <c r="F243" s="21">
        <v>32368.0</v>
      </c>
      <c r="G243" s="14">
        <f t="shared" si="1"/>
        <v>38</v>
      </c>
      <c r="H243" s="23" t="s">
        <v>26</v>
      </c>
      <c r="I243" s="24" t="s">
        <v>33</v>
      </c>
      <c r="J243" s="19" t="s">
        <v>1004</v>
      </c>
      <c r="K243" s="14">
        <v>28.0</v>
      </c>
      <c r="L243" s="14">
        <v>0.0</v>
      </c>
      <c r="M243" s="25"/>
      <c r="N243" s="26" t="s">
        <v>21</v>
      </c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>
      <c r="A244" s="14" t="s">
        <v>1005</v>
      </c>
      <c r="B244" s="17" t="s">
        <v>1001</v>
      </c>
      <c r="C244" s="17" t="s">
        <v>1006</v>
      </c>
      <c r="D244" s="19" t="s">
        <v>1007</v>
      </c>
      <c r="E244" s="20" t="s">
        <v>104</v>
      </c>
      <c r="F244" s="21">
        <v>33756.0</v>
      </c>
      <c r="G244" s="14">
        <f t="shared" si="1"/>
        <v>34</v>
      </c>
      <c r="H244" s="23" t="s">
        <v>26</v>
      </c>
      <c r="I244" s="24" t="s">
        <v>27</v>
      </c>
      <c r="J244" s="19" t="s">
        <v>1004</v>
      </c>
      <c r="K244" s="14">
        <v>28.0</v>
      </c>
      <c r="L244" s="14">
        <v>0.0</v>
      </c>
      <c r="M244" s="25"/>
      <c r="N244" s="26" t="s">
        <v>21</v>
      </c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>
      <c r="A245" s="14" t="s">
        <v>1008</v>
      </c>
      <c r="B245" s="17" t="s">
        <v>1009</v>
      </c>
      <c r="C245" s="17" t="s">
        <v>1010</v>
      </c>
      <c r="D245" s="19" t="s">
        <v>1011</v>
      </c>
      <c r="E245" s="20" t="s">
        <v>53</v>
      </c>
      <c r="F245" s="27">
        <v>38288.0</v>
      </c>
      <c r="G245" s="14">
        <f t="shared" si="1"/>
        <v>22</v>
      </c>
      <c r="H245" s="23" t="s">
        <v>100</v>
      </c>
      <c r="I245" s="24" t="s">
        <v>27</v>
      </c>
      <c r="J245" s="19" t="s">
        <v>517</v>
      </c>
      <c r="K245" s="14">
        <v>8.0</v>
      </c>
      <c r="L245" s="14">
        <v>5.0</v>
      </c>
      <c r="M245" s="25"/>
      <c r="N245" s="26" t="s">
        <v>21</v>
      </c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>
      <c r="A246" s="14" t="s">
        <v>1012</v>
      </c>
      <c r="B246" s="17" t="s">
        <v>1009</v>
      </c>
      <c r="C246" s="17" t="s">
        <v>1013</v>
      </c>
      <c r="D246" s="19" t="s">
        <v>1014</v>
      </c>
      <c r="E246" s="20" t="s">
        <v>195</v>
      </c>
      <c r="F246" s="21">
        <v>26063.0</v>
      </c>
      <c r="G246" s="14">
        <f t="shared" si="1"/>
        <v>55</v>
      </c>
      <c r="H246" s="23" t="s">
        <v>26</v>
      </c>
      <c r="I246" s="24" t="s">
        <v>33</v>
      </c>
      <c r="J246" s="19" t="s">
        <v>517</v>
      </c>
      <c r="K246" s="14">
        <v>8.0</v>
      </c>
      <c r="L246" s="14">
        <v>0.0</v>
      </c>
      <c r="M246" s="25"/>
      <c r="N246" s="26" t="s">
        <v>21</v>
      </c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>
      <c r="A247" s="14" t="s">
        <v>1015</v>
      </c>
      <c r="B247" s="17" t="s">
        <v>1009</v>
      </c>
      <c r="C247" s="17" t="s">
        <v>1016</v>
      </c>
      <c r="D247" s="19" t="s">
        <v>1017</v>
      </c>
      <c r="E247" s="20" t="s">
        <v>104</v>
      </c>
      <c r="F247" s="21">
        <v>29738.0</v>
      </c>
      <c r="G247" s="14">
        <f t="shared" si="1"/>
        <v>45</v>
      </c>
      <c r="H247" s="23" t="s">
        <v>26</v>
      </c>
      <c r="I247" s="24" t="s">
        <v>27</v>
      </c>
      <c r="J247" s="19" t="s">
        <v>517</v>
      </c>
      <c r="K247" s="14">
        <v>8.0</v>
      </c>
      <c r="L247" s="14">
        <v>0.0</v>
      </c>
      <c r="M247" s="25"/>
      <c r="N247" s="26" t="s">
        <v>21</v>
      </c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>
      <c r="A248" s="14" t="s">
        <v>1018</v>
      </c>
      <c r="B248" s="17" t="s">
        <v>1019</v>
      </c>
      <c r="C248" s="17" t="s">
        <v>1020</v>
      </c>
      <c r="D248" s="19" t="s">
        <v>1021</v>
      </c>
      <c r="E248" s="20" t="s">
        <v>104</v>
      </c>
      <c r="F248" s="21">
        <v>30410.0</v>
      </c>
      <c r="G248" s="14">
        <f t="shared" si="1"/>
        <v>43</v>
      </c>
      <c r="H248" s="23" t="s">
        <v>26</v>
      </c>
      <c r="I248" s="24" t="s">
        <v>33</v>
      </c>
      <c r="J248" s="19" t="s">
        <v>53</v>
      </c>
      <c r="K248" s="14">
        <v>28.0</v>
      </c>
      <c r="L248" s="14">
        <v>0.0</v>
      </c>
      <c r="M248" s="25"/>
      <c r="N248" s="26" t="s">
        <v>21</v>
      </c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>
      <c r="A249" s="14" t="s">
        <v>1022</v>
      </c>
      <c r="B249" s="17" t="s">
        <v>1019</v>
      </c>
      <c r="C249" s="17" t="s">
        <v>1023</v>
      </c>
      <c r="D249" s="19" t="s">
        <v>1024</v>
      </c>
      <c r="E249" s="20" t="s">
        <v>176</v>
      </c>
      <c r="F249" s="27">
        <v>32131.0</v>
      </c>
      <c r="G249" s="14">
        <f t="shared" si="1"/>
        <v>38</v>
      </c>
      <c r="H249" s="23" t="s">
        <v>26</v>
      </c>
      <c r="I249" s="24" t="s">
        <v>27</v>
      </c>
      <c r="J249" s="19" t="s">
        <v>53</v>
      </c>
      <c r="K249" s="14">
        <v>28.0</v>
      </c>
      <c r="L249" s="14">
        <v>0.0</v>
      </c>
      <c r="M249" s="25"/>
      <c r="N249" s="26" t="s">
        <v>21</v>
      </c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>
      <c r="A250" s="14" t="s">
        <v>1025</v>
      </c>
      <c r="B250" s="17" t="s">
        <v>1026</v>
      </c>
      <c r="C250" s="17" t="s">
        <v>1027</v>
      </c>
      <c r="D250" s="19" t="s">
        <v>1028</v>
      </c>
      <c r="E250" s="20" t="s">
        <v>104</v>
      </c>
      <c r="F250" s="21">
        <v>36551.0</v>
      </c>
      <c r="G250" s="14">
        <f t="shared" si="1"/>
        <v>26</v>
      </c>
      <c r="H250" s="23" t="s">
        <v>100</v>
      </c>
      <c r="I250" s="24" t="s">
        <v>33</v>
      </c>
      <c r="J250" s="19" t="s">
        <v>146</v>
      </c>
      <c r="K250" s="14">
        <v>3.0</v>
      </c>
      <c r="L250" s="14">
        <v>0.0</v>
      </c>
      <c r="M250" s="25"/>
      <c r="N250" s="26" t="s">
        <v>21</v>
      </c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>
      <c r="A251" s="14" t="s">
        <v>1029</v>
      </c>
      <c r="B251" s="17" t="s">
        <v>1026</v>
      </c>
      <c r="C251" s="17" t="s">
        <v>1030</v>
      </c>
      <c r="D251" s="19" t="s">
        <v>1031</v>
      </c>
      <c r="E251" s="20" t="s">
        <v>104</v>
      </c>
      <c r="F251" s="21">
        <v>37093.0</v>
      </c>
      <c r="G251" s="14">
        <f t="shared" si="1"/>
        <v>25</v>
      </c>
      <c r="H251" s="23" t="s">
        <v>100</v>
      </c>
      <c r="I251" s="24" t="s">
        <v>33</v>
      </c>
      <c r="J251" s="19" t="s">
        <v>146</v>
      </c>
      <c r="K251" s="14">
        <v>3.0</v>
      </c>
      <c r="L251" s="14">
        <v>0.0</v>
      </c>
      <c r="M251" s="25"/>
      <c r="N251" s="26" t="s">
        <v>21</v>
      </c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>
      <c r="A252" s="14" t="s">
        <v>1032</v>
      </c>
      <c r="B252" s="17" t="s">
        <v>1026</v>
      </c>
      <c r="C252" s="17" t="s">
        <v>1033</v>
      </c>
      <c r="D252" s="19" t="s">
        <v>1034</v>
      </c>
      <c r="E252" s="20" t="s">
        <v>624</v>
      </c>
      <c r="F252" s="21">
        <v>22118.0</v>
      </c>
      <c r="G252" s="14">
        <f t="shared" si="1"/>
        <v>66</v>
      </c>
      <c r="H252" s="23" t="s">
        <v>26</v>
      </c>
      <c r="I252" s="24" t="s">
        <v>33</v>
      </c>
      <c r="J252" s="19" t="s">
        <v>146</v>
      </c>
      <c r="K252" s="14">
        <v>3.0</v>
      </c>
      <c r="L252" s="14">
        <v>0.0</v>
      </c>
      <c r="M252" s="25"/>
      <c r="N252" s="26" t="s">
        <v>21</v>
      </c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>
      <c r="A253" s="14" t="s">
        <v>1035</v>
      </c>
      <c r="B253" s="17" t="s">
        <v>1026</v>
      </c>
      <c r="C253" s="17" t="s">
        <v>1036</v>
      </c>
      <c r="D253" s="19" t="s">
        <v>1037</v>
      </c>
      <c r="E253" s="20" t="s">
        <v>1038</v>
      </c>
      <c r="F253" s="21">
        <v>24658.0</v>
      </c>
      <c r="G253" s="14">
        <f t="shared" si="1"/>
        <v>59</v>
      </c>
      <c r="H253" s="23" t="s">
        <v>26</v>
      </c>
      <c r="I253" s="24" t="s">
        <v>27</v>
      </c>
      <c r="J253" s="19" t="s">
        <v>146</v>
      </c>
      <c r="K253" s="14">
        <v>3.0</v>
      </c>
      <c r="L253" s="14">
        <v>0.0</v>
      </c>
      <c r="M253" s="25"/>
      <c r="N253" s="26" t="s">
        <v>21</v>
      </c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>
      <c r="A254" s="14" t="s">
        <v>1039</v>
      </c>
      <c r="B254" s="17" t="s">
        <v>1040</v>
      </c>
      <c r="C254" s="17" t="s">
        <v>1041</v>
      </c>
      <c r="D254" s="19" t="s">
        <v>1042</v>
      </c>
      <c r="E254" s="20" t="s">
        <v>210</v>
      </c>
      <c r="F254" s="21">
        <v>25434.0</v>
      </c>
      <c r="G254" s="14">
        <f t="shared" si="1"/>
        <v>57</v>
      </c>
      <c r="H254" s="23" t="s">
        <v>26</v>
      </c>
      <c r="I254" s="24" t="s">
        <v>33</v>
      </c>
      <c r="J254" s="19" t="s">
        <v>39</v>
      </c>
      <c r="K254" s="14">
        <v>17.0</v>
      </c>
      <c r="L254" s="14">
        <v>0.0</v>
      </c>
      <c r="M254" s="25"/>
      <c r="N254" s="26" t="s">
        <v>21</v>
      </c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>
      <c r="A255" s="14" t="s">
        <v>1043</v>
      </c>
      <c r="B255" s="17" t="s">
        <v>1040</v>
      </c>
      <c r="C255" s="17" t="s">
        <v>1044</v>
      </c>
      <c r="D255" s="19" t="s">
        <v>1045</v>
      </c>
      <c r="E255" s="20" t="s">
        <v>337</v>
      </c>
      <c r="F255" s="21">
        <v>38261.0</v>
      </c>
      <c r="G255" s="14">
        <f t="shared" si="1"/>
        <v>22</v>
      </c>
      <c r="H255" s="23" t="s">
        <v>100</v>
      </c>
      <c r="I255" s="24" t="s">
        <v>33</v>
      </c>
      <c r="J255" s="19" t="s">
        <v>39</v>
      </c>
      <c r="K255" s="14">
        <v>17.0</v>
      </c>
      <c r="L255" s="14">
        <v>0.0</v>
      </c>
      <c r="M255" s="25"/>
      <c r="N255" s="26" t="s">
        <v>21</v>
      </c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>
      <c r="A256" s="14" t="s">
        <v>1046</v>
      </c>
      <c r="B256" s="17" t="s">
        <v>1040</v>
      </c>
      <c r="C256" s="17" t="s">
        <v>1047</v>
      </c>
      <c r="D256" s="19" t="s">
        <v>1048</v>
      </c>
      <c r="E256" s="20" t="s">
        <v>1049</v>
      </c>
      <c r="F256" s="21">
        <v>25792.0</v>
      </c>
      <c r="G256" s="14">
        <f t="shared" si="1"/>
        <v>56</v>
      </c>
      <c r="H256" s="23" t="s">
        <v>26</v>
      </c>
      <c r="I256" s="24" t="s">
        <v>27</v>
      </c>
      <c r="J256" s="19" t="s">
        <v>39</v>
      </c>
      <c r="K256" s="14">
        <v>17.0</v>
      </c>
      <c r="L256" s="14">
        <v>0.0</v>
      </c>
      <c r="M256" s="25"/>
      <c r="N256" s="26" t="s">
        <v>21</v>
      </c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>
      <c r="A257" s="14" t="s">
        <v>1050</v>
      </c>
      <c r="B257" s="17" t="s">
        <v>1051</v>
      </c>
      <c r="C257" s="17" t="s">
        <v>1052</v>
      </c>
      <c r="D257" s="19" t="s">
        <v>1053</v>
      </c>
      <c r="E257" s="20" t="s">
        <v>1054</v>
      </c>
      <c r="F257" s="27">
        <v>27312.0</v>
      </c>
      <c r="G257" s="14">
        <f t="shared" si="1"/>
        <v>52</v>
      </c>
      <c r="H257" s="23" t="s">
        <v>26</v>
      </c>
      <c r="I257" s="24" t="s">
        <v>27</v>
      </c>
      <c r="J257" s="19" t="s">
        <v>95</v>
      </c>
      <c r="K257" s="14">
        <v>17.0</v>
      </c>
      <c r="L257" s="14">
        <v>0.0</v>
      </c>
      <c r="M257" s="25"/>
      <c r="N257" s="26" t="s">
        <v>21</v>
      </c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>
      <c r="A258" s="14" t="s">
        <v>1055</v>
      </c>
      <c r="B258" s="17" t="s">
        <v>1051</v>
      </c>
      <c r="C258" s="17" t="s">
        <v>1056</v>
      </c>
      <c r="D258" s="19" t="s">
        <v>1057</v>
      </c>
      <c r="E258" s="20" t="s">
        <v>1058</v>
      </c>
      <c r="F258" s="21">
        <v>23992.0</v>
      </c>
      <c r="G258" s="14">
        <f t="shared" si="1"/>
        <v>61</v>
      </c>
      <c r="H258" s="23" t="s">
        <v>26</v>
      </c>
      <c r="I258" s="24" t="s">
        <v>33</v>
      </c>
      <c r="J258" s="19" t="s">
        <v>95</v>
      </c>
      <c r="K258" s="14">
        <v>17.0</v>
      </c>
      <c r="L258" s="14">
        <v>0.0</v>
      </c>
      <c r="M258" s="25"/>
      <c r="N258" s="26" t="s">
        <v>21</v>
      </c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>
      <c r="A259" s="14" t="s">
        <v>1059</v>
      </c>
      <c r="B259" s="17" t="s">
        <v>1051</v>
      </c>
      <c r="C259" s="17" t="s">
        <v>1060</v>
      </c>
      <c r="D259" s="19" t="s">
        <v>1061</v>
      </c>
      <c r="E259" s="20" t="s">
        <v>104</v>
      </c>
      <c r="F259" s="21">
        <v>38171.0</v>
      </c>
      <c r="G259" s="14">
        <f t="shared" si="1"/>
        <v>22</v>
      </c>
      <c r="H259" s="23" t="s">
        <v>100</v>
      </c>
      <c r="I259" s="24" t="s">
        <v>27</v>
      </c>
      <c r="J259" s="19" t="s">
        <v>95</v>
      </c>
      <c r="K259" s="14">
        <v>17.0</v>
      </c>
      <c r="L259" s="14">
        <v>0.0</v>
      </c>
      <c r="M259" s="25"/>
      <c r="N259" s="26" t="s">
        <v>21</v>
      </c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>
      <c r="A260" s="14" t="s">
        <v>1062</v>
      </c>
      <c r="B260" s="17" t="s">
        <v>1051</v>
      </c>
      <c r="C260" s="17" t="s">
        <v>1063</v>
      </c>
      <c r="D260" s="19" t="s">
        <v>1064</v>
      </c>
      <c r="E260" s="20" t="s">
        <v>1054</v>
      </c>
      <c r="F260" s="27">
        <v>34617.0</v>
      </c>
      <c r="G260" s="14">
        <f t="shared" si="1"/>
        <v>32</v>
      </c>
      <c r="H260" s="23" t="s">
        <v>100</v>
      </c>
      <c r="I260" s="24" t="s">
        <v>33</v>
      </c>
      <c r="J260" s="19" t="s">
        <v>95</v>
      </c>
      <c r="K260" s="14">
        <v>17.0</v>
      </c>
      <c r="L260" s="14">
        <v>0.0</v>
      </c>
      <c r="M260" s="25"/>
      <c r="N260" s="26" t="s">
        <v>21</v>
      </c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>
      <c r="A261" s="14" t="s">
        <v>1065</v>
      </c>
      <c r="B261" s="17" t="s">
        <v>1066</v>
      </c>
      <c r="C261" s="17" t="s">
        <v>1067</v>
      </c>
      <c r="D261" s="19" t="s">
        <v>1068</v>
      </c>
      <c r="E261" s="20" t="s">
        <v>337</v>
      </c>
      <c r="F261" s="21">
        <v>31995.0</v>
      </c>
      <c r="G261" s="14">
        <f t="shared" si="1"/>
        <v>39</v>
      </c>
      <c r="H261" s="23" t="s">
        <v>26</v>
      </c>
      <c r="I261" s="24" t="s">
        <v>27</v>
      </c>
      <c r="J261" s="19" t="s">
        <v>1069</v>
      </c>
      <c r="K261" s="14">
        <v>3.0</v>
      </c>
      <c r="L261" s="14">
        <v>0.0</v>
      </c>
      <c r="M261" s="25"/>
      <c r="N261" s="26" t="s">
        <v>21</v>
      </c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>
      <c r="A262" s="14" t="s">
        <v>1070</v>
      </c>
      <c r="B262" s="17" t="s">
        <v>1066</v>
      </c>
      <c r="C262" s="17" t="s">
        <v>1071</v>
      </c>
      <c r="D262" s="19" t="s">
        <v>1072</v>
      </c>
      <c r="E262" s="20" t="s">
        <v>1073</v>
      </c>
      <c r="F262" s="21">
        <v>30870.0</v>
      </c>
      <c r="G262" s="14">
        <f t="shared" si="1"/>
        <v>42</v>
      </c>
      <c r="H262" s="23" t="s">
        <v>26</v>
      </c>
      <c r="I262" s="24" t="s">
        <v>33</v>
      </c>
      <c r="J262" s="19" t="s">
        <v>1069</v>
      </c>
      <c r="K262" s="14">
        <v>3.0</v>
      </c>
      <c r="L262" s="14">
        <v>0.0</v>
      </c>
      <c r="M262" s="25"/>
      <c r="N262" s="26" t="s">
        <v>21</v>
      </c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>
      <c r="A263" s="14" t="s">
        <v>1074</v>
      </c>
      <c r="B263" s="17" t="s">
        <v>1075</v>
      </c>
      <c r="C263" s="17" t="s">
        <v>1076</v>
      </c>
      <c r="D263" s="19" t="s">
        <v>1077</v>
      </c>
      <c r="E263" s="20" t="s">
        <v>53</v>
      </c>
      <c r="F263" s="21">
        <v>28941.0</v>
      </c>
      <c r="G263" s="14">
        <f t="shared" si="1"/>
        <v>47</v>
      </c>
      <c r="H263" s="23" t="s">
        <v>26</v>
      </c>
      <c r="I263" s="24" t="s">
        <v>33</v>
      </c>
      <c r="J263" s="19" t="s">
        <v>53</v>
      </c>
      <c r="K263" s="14">
        <v>1.0</v>
      </c>
      <c r="L263" s="14">
        <v>0.0</v>
      </c>
      <c r="M263" s="25"/>
      <c r="N263" s="26" t="s">
        <v>21</v>
      </c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>
      <c r="A264" s="14" t="s">
        <v>1078</v>
      </c>
      <c r="B264" s="17" t="s">
        <v>1075</v>
      </c>
      <c r="C264" s="17" t="s">
        <v>1079</v>
      </c>
      <c r="D264" s="19" t="s">
        <v>1080</v>
      </c>
      <c r="E264" s="20" t="s">
        <v>53</v>
      </c>
      <c r="F264" s="21">
        <v>38869.0</v>
      </c>
      <c r="G264" s="14">
        <f t="shared" si="1"/>
        <v>20</v>
      </c>
      <c r="H264" s="23" t="s">
        <v>100</v>
      </c>
      <c r="I264" s="24" t="s">
        <v>33</v>
      </c>
      <c r="J264" s="19" t="s">
        <v>53</v>
      </c>
      <c r="K264" s="14">
        <v>1.0</v>
      </c>
      <c r="L264" s="14">
        <v>0.0</v>
      </c>
      <c r="M264" s="25"/>
      <c r="N264" s="26" t="s">
        <v>21</v>
      </c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>
      <c r="A265" s="14" t="s">
        <v>1081</v>
      </c>
      <c r="B265" s="17" t="s">
        <v>1075</v>
      </c>
      <c r="C265" s="17" t="s">
        <v>1082</v>
      </c>
      <c r="D265" s="19" t="s">
        <v>1083</v>
      </c>
      <c r="E265" s="20" t="s">
        <v>1084</v>
      </c>
      <c r="F265" s="21">
        <v>32247.0</v>
      </c>
      <c r="G265" s="14">
        <f t="shared" si="1"/>
        <v>38</v>
      </c>
      <c r="H265" s="23" t="s">
        <v>26</v>
      </c>
      <c r="I265" s="24" t="s">
        <v>27</v>
      </c>
      <c r="J265" s="19" t="s">
        <v>53</v>
      </c>
      <c r="K265" s="14">
        <v>1.0</v>
      </c>
      <c r="L265" s="14">
        <v>0.0</v>
      </c>
      <c r="M265" s="25"/>
      <c r="N265" s="26" t="s">
        <v>21</v>
      </c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>
      <c r="A266" s="14" t="s">
        <v>1085</v>
      </c>
      <c r="B266" s="17" t="s">
        <v>1086</v>
      </c>
      <c r="C266" s="17" t="s">
        <v>1087</v>
      </c>
      <c r="D266" s="19" t="s">
        <v>1088</v>
      </c>
      <c r="E266" s="20" t="s">
        <v>605</v>
      </c>
      <c r="F266" s="27">
        <v>27726.0</v>
      </c>
      <c r="G266" s="14">
        <f t="shared" si="1"/>
        <v>50</v>
      </c>
      <c r="H266" s="23" t="s">
        <v>26</v>
      </c>
      <c r="I266" s="24" t="s">
        <v>33</v>
      </c>
      <c r="J266" s="19" t="s">
        <v>757</v>
      </c>
      <c r="K266" s="14">
        <v>2.0</v>
      </c>
      <c r="L266" s="14">
        <v>0.0</v>
      </c>
      <c r="M266" s="25"/>
      <c r="N266" s="26" t="s">
        <v>21</v>
      </c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>
      <c r="A267" s="14" t="s">
        <v>1089</v>
      </c>
      <c r="B267" s="17" t="s">
        <v>1086</v>
      </c>
      <c r="C267" s="17" t="s">
        <v>1090</v>
      </c>
      <c r="D267" s="19" t="s">
        <v>1091</v>
      </c>
      <c r="E267" s="20" t="s">
        <v>138</v>
      </c>
      <c r="F267" s="21">
        <v>39132.0</v>
      </c>
      <c r="G267" s="14">
        <f t="shared" si="1"/>
        <v>19</v>
      </c>
      <c r="H267" s="23" t="s">
        <v>100</v>
      </c>
      <c r="I267" s="24" t="s">
        <v>27</v>
      </c>
      <c r="J267" s="19" t="s">
        <v>53</v>
      </c>
      <c r="K267" s="14">
        <v>2.0</v>
      </c>
      <c r="L267" s="14">
        <v>0.0</v>
      </c>
      <c r="M267" s="25"/>
      <c r="N267" s="26" t="s">
        <v>21</v>
      </c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>
      <c r="A268" s="14" t="s">
        <v>1092</v>
      </c>
      <c r="B268" s="17" t="s">
        <v>1086</v>
      </c>
      <c r="C268" s="17" t="s">
        <v>1093</v>
      </c>
      <c r="D268" s="19" t="s">
        <v>1094</v>
      </c>
      <c r="E268" s="20" t="s">
        <v>1095</v>
      </c>
      <c r="F268" s="21">
        <v>29966.0</v>
      </c>
      <c r="G268" s="14">
        <f t="shared" si="1"/>
        <v>44</v>
      </c>
      <c r="H268" s="23" t="s">
        <v>26</v>
      </c>
      <c r="I268" s="24" t="s">
        <v>27</v>
      </c>
      <c r="J268" s="19" t="s">
        <v>757</v>
      </c>
      <c r="K268" s="14">
        <v>2.0</v>
      </c>
      <c r="L268" s="14">
        <v>0.0</v>
      </c>
      <c r="M268" s="25"/>
      <c r="N268" s="26" t="s">
        <v>21</v>
      </c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>
      <c r="A269" s="14" t="s">
        <v>1096</v>
      </c>
      <c r="B269" s="17" t="s">
        <v>1097</v>
      </c>
      <c r="C269" s="17" t="s">
        <v>1098</v>
      </c>
      <c r="D269" s="19" t="s">
        <v>1099</v>
      </c>
      <c r="E269" s="20" t="s">
        <v>53</v>
      </c>
      <c r="F269" s="27">
        <v>29537.0</v>
      </c>
      <c r="G269" s="14">
        <f t="shared" si="1"/>
        <v>45</v>
      </c>
      <c r="H269" s="23" t="s">
        <v>26</v>
      </c>
      <c r="I269" s="24" t="s">
        <v>27</v>
      </c>
      <c r="J269" s="19" t="s">
        <v>53</v>
      </c>
      <c r="K269" s="14">
        <v>8.0</v>
      </c>
      <c r="L269" s="14">
        <v>0.0</v>
      </c>
      <c r="M269" s="25"/>
      <c r="N269" s="26" t="s">
        <v>21</v>
      </c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>
      <c r="A270" s="14" t="s">
        <v>1100</v>
      </c>
      <c r="B270" s="17" t="s">
        <v>1097</v>
      </c>
      <c r="C270" s="17" t="s">
        <v>1101</v>
      </c>
      <c r="D270" s="19" t="s">
        <v>1102</v>
      </c>
      <c r="E270" s="20" t="s">
        <v>53</v>
      </c>
      <c r="F270" s="21">
        <v>29168.0</v>
      </c>
      <c r="G270" s="14">
        <f t="shared" si="1"/>
        <v>46</v>
      </c>
      <c r="H270" s="23" t="s">
        <v>26</v>
      </c>
      <c r="I270" s="24" t="s">
        <v>33</v>
      </c>
      <c r="J270" s="19" t="s">
        <v>53</v>
      </c>
      <c r="K270" s="14">
        <v>8.0</v>
      </c>
      <c r="L270" s="14">
        <v>0.0</v>
      </c>
      <c r="M270" s="25"/>
      <c r="N270" s="26" t="s">
        <v>21</v>
      </c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>
      <c r="A271" s="14" t="s">
        <v>1103</v>
      </c>
      <c r="B271" s="17" t="s">
        <v>1097</v>
      </c>
      <c r="C271" s="38" t="s">
        <v>1129</v>
      </c>
      <c r="D271" s="19" t="s">
        <v>1105</v>
      </c>
      <c r="E271" s="20" t="s">
        <v>53</v>
      </c>
      <c r="F271" s="27">
        <v>37580.0</v>
      </c>
      <c r="G271" s="14">
        <f t="shared" si="1"/>
        <v>23</v>
      </c>
      <c r="H271" s="23" t="s">
        <v>100</v>
      </c>
      <c r="I271" s="24" t="s">
        <v>27</v>
      </c>
      <c r="J271" s="19" t="s">
        <v>53</v>
      </c>
      <c r="K271" s="14">
        <v>8.0</v>
      </c>
      <c r="L271" s="14">
        <v>0.0</v>
      </c>
      <c r="M271" s="25"/>
      <c r="N271" s="26" t="s">
        <v>21</v>
      </c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>
      <c r="A272" s="14" t="s">
        <v>1106</v>
      </c>
      <c r="B272" s="17" t="s">
        <v>1107</v>
      </c>
      <c r="C272" s="17" t="s">
        <v>1108</v>
      </c>
      <c r="D272" s="19" t="s">
        <v>1109</v>
      </c>
      <c r="E272" s="20" t="s">
        <v>53</v>
      </c>
      <c r="F272" s="21">
        <v>32230.0</v>
      </c>
      <c r="G272" s="14">
        <f t="shared" si="1"/>
        <v>38</v>
      </c>
      <c r="H272" s="23" t="s">
        <v>26</v>
      </c>
      <c r="I272" s="24" t="s">
        <v>27</v>
      </c>
      <c r="J272" s="19" t="s">
        <v>282</v>
      </c>
      <c r="K272" s="14">
        <v>15.0</v>
      </c>
      <c r="L272" s="14">
        <v>0.0</v>
      </c>
      <c r="M272" s="25"/>
      <c r="N272" s="26" t="s">
        <v>21</v>
      </c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>
      <c r="A273" s="14" t="s">
        <v>1110</v>
      </c>
      <c r="B273" s="17" t="s">
        <v>1107</v>
      </c>
      <c r="C273" s="17" t="s">
        <v>1111</v>
      </c>
      <c r="D273" s="19" t="s">
        <v>1112</v>
      </c>
      <c r="E273" s="20" t="s">
        <v>880</v>
      </c>
      <c r="F273" s="21">
        <v>31143.0</v>
      </c>
      <c r="G273" s="14">
        <f t="shared" si="1"/>
        <v>41</v>
      </c>
      <c r="H273" s="23" t="s">
        <v>26</v>
      </c>
      <c r="I273" s="24" t="s">
        <v>33</v>
      </c>
      <c r="J273" s="19" t="s">
        <v>282</v>
      </c>
      <c r="K273" s="14">
        <v>15.0</v>
      </c>
      <c r="L273" s="14">
        <v>0.0</v>
      </c>
      <c r="M273" s="25"/>
      <c r="N273" s="26" t="s">
        <v>21</v>
      </c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>
      <c r="A274" s="14" t="s">
        <v>1113</v>
      </c>
      <c r="B274" s="17" t="s">
        <v>1114</v>
      </c>
      <c r="C274" s="17" t="s">
        <v>1115</v>
      </c>
      <c r="D274" s="19" t="s">
        <v>1116</v>
      </c>
      <c r="E274" s="20" t="s">
        <v>434</v>
      </c>
      <c r="F274" s="21">
        <v>22741.0</v>
      </c>
      <c r="G274" s="14">
        <f t="shared" si="1"/>
        <v>64</v>
      </c>
      <c r="H274" s="23" t="s">
        <v>27</v>
      </c>
      <c r="I274" s="24" t="s">
        <v>27</v>
      </c>
      <c r="J274" s="19" t="s">
        <v>146</v>
      </c>
      <c r="K274" s="14">
        <v>2.0</v>
      </c>
      <c r="L274" s="14">
        <v>0.0</v>
      </c>
      <c r="M274" s="25"/>
      <c r="N274" s="26" t="s">
        <v>21</v>
      </c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>
      <c r="A275" s="14" t="s">
        <v>1117</v>
      </c>
      <c r="B275" s="17" t="s">
        <v>1118</v>
      </c>
      <c r="C275" s="17" t="s">
        <v>1119</v>
      </c>
      <c r="D275" s="19" t="s">
        <v>1120</v>
      </c>
      <c r="E275" s="20" t="s">
        <v>104</v>
      </c>
      <c r="F275" s="21">
        <v>37127.0</v>
      </c>
      <c r="G275" s="14">
        <f t="shared" si="1"/>
        <v>25</v>
      </c>
      <c r="H275" s="23" t="s">
        <v>100</v>
      </c>
      <c r="I275" s="24" t="s">
        <v>33</v>
      </c>
      <c r="J275" s="19" t="s">
        <v>362</v>
      </c>
      <c r="K275" s="14">
        <v>25.0</v>
      </c>
      <c r="L275" s="14">
        <v>0.0</v>
      </c>
      <c r="M275" s="25"/>
      <c r="N275" s="26" t="s">
        <v>21</v>
      </c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>
      <c r="A276" s="14" t="s">
        <v>1121</v>
      </c>
      <c r="B276" s="17" t="s">
        <v>1118</v>
      </c>
      <c r="C276" s="17" t="s">
        <v>1122</v>
      </c>
      <c r="D276" s="19" t="s">
        <v>1123</v>
      </c>
      <c r="E276" s="20" t="s">
        <v>1124</v>
      </c>
      <c r="F276" s="27">
        <v>27317.0</v>
      </c>
      <c r="G276" s="14">
        <f t="shared" si="1"/>
        <v>52</v>
      </c>
      <c r="H276" s="23" t="s">
        <v>26</v>
      </c>
      <c r="I276" s="24" t="s">
        <v>33</v>
      </c>
      <c r="J276" s="19" t="s">
        <v>362</v>
      </c>
      <c r="K276" s="14">
        <v>25.0</v>
      </c>
      <c r="L276" s="14">
        <v>0.0</v>
      </c>
      <c r="M276" s="25"/>
      <c r="N276" s="26" t="s">
        <v>21</v>
      </c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>
      <c r="A277" s="14" t="s">
        <v>1125</v>
      </c>
      <c r="B277" s="17" t="s">
        <v>1118</v>
      </c>
      <c r="C277" s="17" t="s">
        <v>1126</v>
      </c>
      <c r="D277" s="19" t="s">
        <v>1127</v>
      </c>
      <c r="E277" s="20" t="s">
        <v>1128</v>
      </c>
      <c r="F277" s="21">
        <v>28380.0</v>
      </c>
      <c r="G277" s="14">
        <f t="shared" si="1"/>
        <v>49</v>
      </c>
      <c r="H277" s="23" t="s">
        <v>26</v>
      </c>
      <c r="I277" s="24" t="s">
        <v>27</v>
      </c>
      <c r="J277" s="19" t="s">
        <v>362</v>
      </c>
      <c r="K277" s="14">
        <v>25.0</v>
      </c>
      <c r="L277" s="14">
        <v>0.0</v>
      </c>
      <c r="M277" s="25"/>
      <c r="N277" s="26" t="s">
        <v>21</v>
      </c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>
      <c r="A278" s="14" t="s">
        <v>1130</v>
      </c>
      <c r="B278" s="17" t="s">
        <v>1118</v>
      </c>
      <c r="C278" s="17" t="s">
        <v>1131</v>
      </c>
      <c r="D278" s="19" t="s">
        <v>1132</v>
      </c>
      <c r="E278" s="20" t="s">
        <v>1133</v>
      </c>
      <c r="F278" s="21">
        <v>38751.0</v>
      </c>
      <c r="G278" s="14">
        <f t="shared" si="1"/>
        <v>20</v>
      </c>
      <c r="H278" s="23" t="s">
        <v>100</v>
      </c>
      <c r="I278" s="24" t="s">
        <v>27</v>
      </c>
      <c r="J278" s="19" t="s">
        <v>362</v>
      </c>
      <c r="K278" s="14">
        <v>25.0</v>
      </c>
      <c r="L278" s="14">
        <v>0.0</v>
      </c>
      <c r="M278" s="25"/>
      <c r="N278" s="26" t="s">
        <v>21</v>
      </c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>
      <c r="A279" s="14" t="s">
        <v>1134</v>
      </c>
      <c r="B279" s="17" t="s">
        <v>1135</v>
      </c>
      <c r="C279" s="17" t="s">
        <v>1136</v>
      </c>
      <c r="D279" s="19" t="s">
        <v>1137</v>
      </c>
      <c r="E279" s="20" t="s">
        <v>104</v>
      </c>
      <c r="F279" s="27">
        <v>31336.0</v>
      </c>
      <c r="G279" s="14">
        <f t="shared" si="1"/>
        <v>41</v>
      </c>
      <c r="H279" s="23" t="s">
        <v>26</v>
      </c>
      <c r="I279" s="24" t="s">
        <v>27</v>
      </c>
      <c r="J279" s="19" t="s">
        <v>53</v>
      </c>
      <c r="K279" s="14">
        <v>30.0</v>
      </c>
      <c r="L279" s="14">
        <v>0.0</v>
      </c>
      <c r="M279" s="25"/>
      <c r="N279" s="26" t="s">
        <v>21</v>
      </c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>
      <c r="A280" s="14" t="s">
        <v>1138</v>
      </c>
      <c r="B280" s="17" t="s">
        <v>1135</v>
      </c>
      <c r="C280" s="17" t="s">
        <v>1139</v>
      </c>
      <c r="D280" s="19" t="s">
        <v>1140</v>
      </c>
      <c r="E280" s="20" t="s">
        <v>104</v>
      </c>
      <c r="F280" s="21">
        <v>38089.0</v>
      </c>
      <c r="G280" s="14">
        <f t="shared" si="1"/>
        <v>22</v>
      </c>
      <c r="H280" s="23" t="s">
        <v>100</v>
      </c>
      <c r="I280" s="24" t="s">
        <v>33</v>
      </c>
      <c r="J280" s="19" t="s">
        <v>53</v>
      </c>
      <c r="K280" s="14">
        <v>30.0</v>
      </c>
      <c r="L280" s="14">
        <v>0.0</v>
      </c>
      <c r="M280" s="25"/>
      <c r="N280" s="26" t="s">
        <v>21</v>
      </c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>
      <c r="A281" s="14" t="s">
        <v>1141</v>
      </c>
      <c r="B281" s="17" t="s">
        <v>1135</v>
      </c>
      <c r="C281" s="17" t="s">
        <v>1142</v>
      </c>
      <c r="D281" s="19" t="s">
        <v>1143</v>
      </c>
      <c r="E281" s="20" t="s">
        <v>1058</v>
      </c>
      <c r="F281" s="21">
        <v>29759.0</v>
      </c>
      <c r="G281" s="14">
        <f t="shared" si="1"/>
        <v>45</v>
      </c>
      <c r="H281" s="23" t="s">
        <v>26</v>
      </c>
      <c r="I281" s="24" t="s">
        <v>33</v>
      </c>
      <c r="J281" s="19" t="s">
        <v>53</v>
      </c>
      <c r="K281" s="14">
        <v>30.0</v>
      </c>
      <c r="L281" s="14">
        <v>0.0</v>
      </c>
      <c r="M281" s="25"/>
      <c r="N281" s="26" t="s">
        <v>21</v>
      </c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>
      <c r="A282" s="14" t="s">
        <v>1144</v>
      </c>
      <c r="B282" s="17" t="s">
        <v>1145</v>
      </c>
      <c r="C282" s="17" t="s">
        <v>1146</v>
      </c>
      <c r="D282" s="19" t="s">
        <v>1147</v>
      </c>
      <c r="E282" s="20" t="s">
        <v>1148</v>
      </c>
      <c r="F282" s="21">
        <v>24639.0</v>
      </c>
      <c r="G282" s="14">
        <f t="shared" si="1"/>
        <v>59</v>
      </c>
      <c r="H282" s="23" t="s">
        <v>26</v>
      </c>
      <c r="I282" s="24" t="s">
        <v>33</v>
      </c>
      <c r="J282" s="19" t="s">
        <v>95</v>
      </c>
      <c r="K282" s="14">
        <v>13.0</v>
      </c>
      <c r="L282" s="14">
        <v>0.0</v>
      </c>
      <c r="M282" s="25"/>
      <c r="N282" s="26" t="s">
        <v>21</v>
      </c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>
      <c r="A283" s="14" t="s">
        <v>1149</v>
      </c>
      <c r="B283" s="17" t="s">
        <v>1145</v>
      </c>
      <c r="C283" s="17" t="s">
        <v>1150</v>
      </c>
      <c r="D283" s="19" t="s">
        <v>1151</v>
      </c>
      <c r="E283" s="20" t="s">
        <v>650</v>
      </c>
      <c r="F283" s="21">
        <v>26068.0</v>
      </c>
      <c r="G283" s="14">
        <f t="shared" si="1"/>
        <v>55</v>
      </c>
      <c r="H283" s="23" t="s">
        <v>26</v>
      </c>
      <c r="I283" s="24" t="s">
        <v>27</v>
      </c>
      <c r="J283" s="19" t="s">
        <v>95</v>
      </c>
      <c r="K283" s="14">
        <v>13.0</v>
      </c>
      <c r="L283" s="14">
        <v>0.0</v>
      </c>
      <c r="M283" s="25"/>
      <c r="N283" s="26" t="s">
        <v>21</v>
      </c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>
      <c r="A284" s="14" t="s">
        <v>1152</v>
      </c>
      <c r="B284" s="17" t="s">
        <v>1153</v>
      </c>
      <c r="C284" s="17" t="s">
        <v>1154</v>
      </c>
      <c r="D284" s="19" t="s">
        <v>1155</v>
      </c>
      <c r="E284" s="20" t="s">
        <v>138</v>
      </c>
      <c r="F284" s="21">
        <v>31357.0</v>
      </c>
      <c r="G284" s="14">
        <f t="shared" si="1"/>
        <v>40</v>
      </c>
      <c r="H284" s="23" t="s">
        <v>26</v>
      </c>
      <c r="I284" s="24" t="s">
        <v>27</v>
      </c>
      <c r="J284" s="19" t="s">
        <v>1156</v>
      </c>
      <c r="K284" s="14">
        <v>17.0</v>
      </c>
      <c r="L284" s="14">
        <v>0.0</v>
      </c>
      <c r="M284" s="25"/>
      <c r="N284" s="26" t="s">
        <v>21</v>
      </c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>
      <c r="A285" s="14" t="s">
        <v>1157</v>
      </c>
      <c r="B285" s="17" t="s">
        <v>1158</v>
      </c>
      <c r="C285" s="17" t="s">
        <v>1159</v>
      </c>
      <c r="D285" s="19" t="s">
        <v>1160</v>
      </c>
      <c r="E285" s="20" t="s">
        <v>274</v>
      </c>
      <c r="F285" s="21">
        <v>34867.0</v>
      </c>
      <c r="G285" s="14">
        <f t="shared" si="1"/>
        <v>31</v>
      </c>
      <c r="H285" s="23" t="s">
        <v>26</v>
      </c>
      <c r="I285" s="24" t="s">
        <v>33</v>
      </c>
      <c r="J285" s="19" t="s">
        <v>282</v>
      </c>
      <c r="K285" s="14">
        <v>11.0</v>
      </c>
      <c r="L285" s="14">
        <v>0.0</v>
      </c>
      <c r="M285" s="25"/>
      <c r="N285" s="26" t="s">
        <v>21</v>
      </c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>
      <c r="A286" s="14" t="s">
        <v>1161</v>
      </c>
      <c r="B286" s="17" t="s">
        <v>1158</v>
      </c>
      <c r="C286" s="17" t="s">
        <v>1162</v>
      </c>
      <c r="D286" s="19" t="s">
        <v>1163</v>
      </c>
      <c r="E286" s="20" t="s">
        <v>104</v>
      </c>
      <c r="F286" s="21">
        <v>34497.0</v>
      </c>
      <c r="G286" s="14">
        <f t="shared" si="1"/>
        <v>32</v>
      </c>
      <c r="H286" s="23" t="s">
        <v>26</v>
      </c>
      <c r="I286" s="24" t="s">
        <v>27</v>
      </c>
      <c r="J286" s="19" t="s">
        <v>282</v>
      </c>
      <c r="K286" s="14">
        <v>11.0</v>
      </c>
      <c r="L286" s="14">
        <v>0.0</v>
      </c>
      <c r="M286" s="25"/>
      <c r="N286" s="26" t="s">
        <v>21</v>
      </c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>
      <c r="A287" s="14" t="s">
        <v>1164</v>
      </c>
      <c r="B287" s="17" t="s">
        <v>1165</v>
      </c>
      <c r="C287" s="17" t="s">
        <v>1166</v>
      </c>
      <c r="D287" s="19" t="s">
        <v>1167</v>
      </c>
      <c r="E287" s="20" t="s">
        <v>104</v>
      </c>
      <c r="F287" s="21">
        <v>37019.0</v>
      </c>
      <c r="G287" s="14">
        <f t="shared" si="1"/>
        <v>25</v>
      </c>
      <c r="H287" s="23" t="s">
        <v>26</v>
      </c>
      <c r="I287" s="24" t="s">
        <v>33</v>
      </c>
      <c r="J287" s="19" t="s">
        <v>206</v>
      </c>
      <c r="K287" s="14">
        <v>4.0</v>
      </c>
      <c r="L287" s="14">
        <v>0.0</v>
      </c>
      <c r="M287" s="25"/>
      <c r="N287" s="26" t="s">
        <v>21</v>
      </c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>
      <c r="A288" s="14" t="s">
        <v>1168</v>
      </c>
      <c r="B288" s="17" t="s">
        <v>1165</v>
      </c>
      <c r="C288" s="17" t="s">
        <v>1169</v>
      </c>
      <c r="D288" s="19" t="s">
        <v>1170</v>
      </c>
      <c r="E288" s="20" t="s">
        <v>1171</v>
      </c>
      <c r="F288" s="21">
        <v>37513.0</v>
      </c>
      <c r="G288" s="14">
        <f t="shared" si="1"/>
        <v>24</v>
      </c>
      <c r="H288" s="23" t="s">
        <v>26</v>
      </c>
      <c r="I288" s="24" t="s">
        <v>27</v>
      </c>
      <c r="J288" s="19" t="s">
        <v>206</v>
      </c>
      <c r="K288" s="14">
        <v>4.0</v>
      </c>
      <c r="L288" s="14">
        <v>0.0</v>
      </c>
      <c r="M288" s="25"/>
      <c r="N288" s="26" t="s">
        <v>21</v>
      </c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>
      <c r="A289" s="14" t="s">
        <v>1172</v>
      </c>
      <c r="B289" s="17" t="s">
        <v>1173</v>
      </c>
      <c r="C289" s="17" t="s">
        <v>1174</v>
      </c>
      <c r="D289" s="19" t="s">
        <v>1175</v>
      </c>
      <c r="E289" s="20" t="s">
        <v>650</v>
      </c>
      <c r="F289" s="21">
        <v>29419.0</v>
      </c>
      <c r="G289" s="14">
        <f t="shared" si="1"/>
        <v>46</v>
      </c>
      <c r="H289" s="23" t="s">
        <v>26</v>
      </c>
      <c r="I289" s="24" t="s">
        <v>27</v>
      </c>
      <c r="J289" s="19" t="s">
        <v>206</v>
      </c>
      <c r="K289" s="14">
        <v>4.0</v>
      </c>
      <c r="L289" s="14">
        <v>0.0</v>
      </c>
      <c r="M289" s="25"/>
      <c r="N289" s="26" t="s">
        <v>21</v>
      </c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>
      <c r="A290" s="14" t="s">
        <v>1176</v>
      </c>
      <c r="B290" s="17" t="s">
        <v>1177</v>
      </c>
      <c r="C290" s="17" t="s">
        <v>1178</v>
      </c>
      <c r="D290" s="19" t="s">
        <v>1179</v>
      </c>
      <c r="E290" s="20" t="s">
        <v>53</v>
      </c>
      <c r="F290" s="21">
        <v>39154.0</v>
      </c>
      <c r="G290" s="14">
        <f t="shared" si="1"/>
        <v>19</v>
      </c>
      <c r="H290" s="23" t="s">
        <v>100</v>
      </c>
      <c r="I290" s="24" t="s">
        <v>27</v>
      </c>
      <c r="J290" s="19" t="s">
        <v>328</v>
      </c>
      <c r="K290" s="14">
        <v>21.0</v>
      </c>
      <c r="L290" s="14">
        <v>0.0</v>
      </c>
      <c r="M290" s="25"/>
      <c r="N290" s="26" t="s">
        <v>21</v>
      </c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>
      <c r="A291" s="14" t="s">
        <v>1180</v>
      </c>
      <c r="B291" s="17" t="s">
        <v>1177</v>
      </c>
      <c r="C291" s="17" t="s">
        <v>1181</v>
      </c>
      <c r="D291" s="19" t="s">
        <v>1182</v>
      </c>
      <c r="E291" s="20" t="s">
        <v>53</v>
      </c>
      <c r="F291" s="27">
        <v>28415.0</v>
      </c>
      <c r="G291" s="14">
        <f t="shared" si="1"/>
        <v>49</v>
      </c>
      <c r="H291" s="23" t="s">
        <v>26</v>
      </c>
      <c r="I291" s="24" t="s">
        <v>33</v>
      </c>
      <c r="J291" s="19" t="s">
        <v>328</v>
      </c>
      <c r="K291" s="14">
        <v>21.0</v>
      </c>
      <c r="L291" s="14">
        <v>0.0</v>
      </c>
      <c r="M291" s="25"/>
      <c r="N291" s="26" t="s">
        <v>21</v>
      </c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>
      <c r="A292" s="14" t="s">
        <v>1183</v>
      </c>
      <c r="B292" s="17" t="s">
        <v>1177</v>
      </c>
      <c r="C292" s="17" t="s">
        <v>1184</v>
      </c>
      <c r="D292" s="19" t="s">
        <v>1185</v>
      </c>
      <c r="E292" s="20" t="s">
        <v>53</v>
      </c>
      <c r="F292" s="27">
        <v>31340.0</v>
      </c>
      <c r="G292" s="14">
        <f t="shared" si="1"/>
        <v>41</v>
      </c>
      <c r="H292" s="23" t="s">
        <v>26</v>
      </c>
      <c r="I292" s="24" t="s">
        <v>27</v>
      </c>
      <c r="J292" s="19" t="s">
        <v>328</v>
      </c>
      <c r="K292" s="14">
        <v>21.0</v>
      </c>
      <c r="L292" s="14">
        <v>0.0</v>
      </c>
      <c r="M292" s="25"/>
      <c r="N292" s="26" t="s">
        <v>21</v>
      </c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>
      <c r="A293" s="14" t="s">
        <v>1186</v>
      </c>
      <c r="B293" s="17" t="s">
        <v>1187</v>
      </c>
      <c r="C293" s="17" t="s">
        <v>1188</v>
      </c>
      <c r="D293" s="19" t="s">
        <v>1189</v>
      </c>
      <c r="E293" s="20" t="s">
        <v>632</v>
      </c>
      <c r="F293" s="21">
        <v>31149.0</v>
      </c>
      <c r="G293" s="14">
        <f t="shared" si="1"/>
        <v>41</v>
      </c>
      <c r="H293" s="23" t="s">
        <v>27</v>
      </c>
      <c r="I293" s="24" t="s">
        <v>33</v>
      </c>
      <c r="J293" s="19" t="s">
        <v>146</v>
      </c>
      <c r="K293" s="14">
        <v>4.0</v>
      </c>
      <c r="L293" s="14">
        <v>0.0</v>
      </c>
      <c r="M293" s="25"/>
      <c r="N293" s="26" t="s">
        <v>21</v>
      </c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>
      <c r="A294" s="14" t="s">
        <v>1190</v>
      </c>
      <c r="B294" s="17" t="s">
        <v>1191</v>
      </c>
      <c r="C294" s="17" t="s">
        <v>1192</v>
      </c>
      <c r="D294" s="19" t="s">
        <v>1193</v>
      </c>
      <c r="E294" s="20" t="s">
        <v>231</v>
      </c>
      <c r="F294" s="21">
        <v>33678.0</v>
      </c>
      <c r="G294" s="14">
        <f t="shared" si="1"/>
        <v>34</v>
      </c>
      <c r="H294" s="23" t="s">
        <v>26</v>
      </c>
      <c r="I294" s="24" t="s">
        <v>33</v>
      </c>
      <c r="J294" s="19" t="s">
        <v>53</v>
      </c>
      <c r="K294" s="14">
        <v>31.0</v>
      </c>
      <c r="L294" s="14">
        <v>0.0</v>
      </c>
      <c r="M294" s="25"/>
      <c r="N294" s="26" t="s">
        <v>21</v>
      </c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>
      <c r="A295" s="14" t="s">
        <v>1194</v>
      </c>
      <c r="B295" s="17" t="s">
        <v>1191</v>
      </c>
      <c r="C295" s="17" t="s">
        <v>1195</v>
      </c>
      <c r="D295" s="19" t="s">
        <v>1196</v>
      </c>
      <c r="E295" s="20" t="s">
        <v>53</v>
      </c>
      <c r="F295" s="21">
        <v>34780.0</v>
      </c>
      <c r="G295" s="14">
        <f t="shared" si="1"/>
        <v>31</v>
      </c>
      <c r="H295" s="23" t="s">
        <v>26</v>
      </c>
      <c r="I295" s="24" t="s">
        <v>27</v>
      </c>
      <c r="J295" s="19" t="s">
        <v>53</v>
      </c>
      <c r="K295" s="14">
        <v>31.0</v>
      </c>
      <c r="L295" s="14">
        <v>0.0</v>
      </c>
      <c r="M295" s="25"/>
      <c r="N295" s="26" t="s">
        <v>21</v>
      </c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>
      <c r="A296" s="14" t="s">
        <v>1197</v>
      </c>
      <c r="B296" s="17" t="s">
        <v>1198</v>
      </c>
      <c r="C296" s="17" t="s">
        <v>1199</v>
      </c>
      <c r="D296" s="19" t="s">
        <v>1200</v>
      </c>
      <c r="E296" s="20" t="s">
        <v>337</v>
      </c>
      <c r="F296" s="21">
        <v>35534.0</v>
      </c>
      <c r="G296" s="14">
        <f t="shared" si="1"/>
        <v>29</v>
      </c>
      <c r="H296" s="23" t="s">
        <v>26</v>
      </c>
      <c r="I296" s="24" t="s">
        <v>33</v>
      </c>
      <c r="J296" s="19" t="s">
        <v>517</v>
      </c>
      <c r="K296" s="14">
        <v>7.0</v>
      </c>
      <c r="L296" s="14">
        <v>0.0</v>
      </c>
      <c r="M296" s="25"/>
      <c r="N296" s="26" t="s">
        <v>21</v>
      </c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>
      <c r="A297" s="14" t="s">
        <v>1201</v>
      </c>
      <c r="B297" s="17" t="s">
        <v>1198</v>
      </c>
      <c r="C297" s="17" t="s">
        <v>1202</v>
      </c>
      <c r="D297" s="19" t="s">
        <v>1203</v>
      </c>
      <c r="E297" s="20" t="s">
        <v>1204</v>
      </c>
      <c r="F297" s="21">
        <v>36802.0</v>
      </c>
      <c r="G297" s="14">
        <f t="shared" si="1"/>
        <v>26</v>
      </c>
      <c r="H297" s="23" t="s">
        <v>26</v>
      </c>
      <c r="I297" s="24" t="s">
        <v>27</v>
      </c>
      <c r="J297" s="19" t="s">
        <v>517</v>
      </c>
      <c r="K297" s="14">
        <v>7.0</v>
      </c>
      <c r="L297" s="14">
        <v>0.0</v>
      </c>
      <c r="M297" s="25"/>
      <c r="N297" s="26" t="s">
        <v>21</v>
      </c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>
      <c r="A298" s="14" t="s">
        <v>1205</v>
      </c>
      <c r="B298" s="17" t="s">
        <v>1206</v>
      </c>
      <c r="C298" s="17" t="s">
        <v>1207</v>
      </c>
      <c r="D298" s="19" t="s">
        <v>1208</v>
      </c>
      <c r="E298" s="20" t="s">
        <v>104</v>
      </c>
      <c r="F298" s="21">
        <v>31246.0</v>
      </c>
      <c r="G298" s="14">
        <f t="shared" si="1"/>
        <v>41</v>
      </c>
      <c r="H298" s="23" t="s">
        <v>26</v>
      </c>
      <c r="I298" s="24" t="s">
        <v>33</v>
      </c>
      <c r="J298" s="19" t="s">
        <v>282</v>
      </c>
      <c r="K298" s="14">
        <v>16.0</v>
      </c>
      <c r="L298" s="14">
        <v>0.0</v>
      </c>
      <c r="M298" s="25"/>
      <c r="N298" s="26" t="s">
        <v>21</v>
      </c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>
      <c r="A299" s="14" t="s">
        <v>1209</v>
      </c>
      <c r="B299" s="17" t="s">
        <v>1206</v>
      </c>
      <c r="C299" s="17" t="s">
        <v>1210</v>
      </c>
      <c r="D299" s="19" t="s">
        <v>1048</v>
      </c>
      <c r="E299" s="20" t="s">
        <v>1211</v>
      </c>
      <c r="F299" s="27">
        <v>33521.0</v>
      </c>
      <c r="G299" s="14">
        <f t="shared" si="1"/>
        <v>35</v>
      </c>
      <c r="H299" s="23" t="s">
        <v>26</v>
      </c>
      <c r="I299" s="24" t="s">
        <v>27</v>
      </c>
      <c r="J299" s="19" t="s">
        <v>282</v>
      </c>
      <c r="K299" s="14">
        <v>16.0</v>
      </c>
      <c r="L299" s="14">
        <v>0.0</v>
      </c>
      <c r="M299" s="25"/>
      <c r="N299" s="26" t="s">
        <v>21</v>
      </c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>
      <c r="A300" s="14" t="s">
        <v>1212</v>
      </c>
      <c r="B300" s="17" t="s">
        <v>1213</v>
      </c>
      <c r="C300" s="17" t="s">
        <v>1214</v>
      </c>
      <c r="D300" s="19" t="s">
        <v>1215</v>
      </c>
      <c r="E300" s="20" t="s">
        <v>1216</v>
      </c>
      <c r="F300" s="21">
        <v>36927.0</v>
      </c>
      <c r="G300" s="14">
        <f t="shared" si="1"/>
        <v>25</v>
      </c>
      <c r="H300" s="23" t="s">
        <v>26</v>
      </c>
      <c r="I300" s="24" t="s">
        <v>27</v>
      </c>
      <c r="J300" s="19" t="s">
        <v>206</v>
      </c>
      <c r="K300" s="14">
        <v>3.0</v>
      </c>
      <c r="L300" s="14">
        <v>0.0</v>
      </c>
      <c r="M300" s="25"/>
      <c r="N300" s="26" t="s">
        <v>21</v>
      </c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>
      <c r="A301" s="14" t="s">
        <v>1217</v>
      </c>
      <c r="B301" s="17" t="s">
        <v>1213</v>
      </c>
      <c r="C301" s="17" t="s">
        <v>1218</v>
      </c>
      <c r="D301" s="19" t="s">
        <v>1219</v>
      </c>
      <c r="E301" s="20" t="s">
        <v>53</v>
      </c>
      <c r="F301" s="27">
        <v>37237.0</v>
      </c>
      <c r="G301" s="14">
        <f t="shared" si="1"/>
        <v>24</v>
      </c>
      <c r="H301" s="23" t="s">
        <v>26</v>
      </c>
      <c r="I301" s="24" t="s">
        <v>33</v>
      </c>
      <c r="J301" s="19" t="s">
        <v>206</v>
      </c>
      <c r="K301" s="14">
        <v>3.0</v>
      </c>
      <c r="L301" s="14">
        <v>0.0</v>
      </c>
      <c r="M301" s="25"/>
      <c r="N301" s="26" t="s">
        <v>21</v>
      </c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>
      <c r="A302" s="14" t="s">
        <v>1220</v>
      </c>
      <c r="B302" s="17" t="s">
        <v>1221</v>
      </c>
      <c r="C302" s="17" t="s">
        <v>1222</v>
      </c>
      <c r="D302" s="19" t="s">
        <v>1223</v>
      </c>
      <c r="E302" s="20" t="s">
        <v>104</v>
      </c>
      <c r="F302" s="21">
        <v>36368.0</v>
      </c>
      <c r="G302" s="14">
        <f t="shared" si="1"/>
        <v>27</v>
      </c>
      <c r="H302" s="23" t="s">
        <v>26</v>
      </c>
      <c r="I302" s="24" t="s">
        <v>27</v>
      </c>
      <c r="J302" s="19" t="s">
        <v>328</v>
      </c>
      <c r="K302" s="14">
        <v>25.0</v>
      </c>
      <c r="L302" s="14">
        <v>0.0</v>
      </c>
      <c r="M302" s="25"/>
      <c r="N302" s="26" t="s">
        <v>21</v>
      </c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>
      <c r="A303" s="14" t="s">
        <v>1224</v>
      </c>
      <c r="B303" s="17" t="s">
        <v>1221</v>
      </c>
      <c r="C303" s="17" t="s">
        <v>1225</v>
      </c>
      <c r="D303" s="19" t="s">
        <v>1226</v>
      </c>
      <c r="E303" s="20" t="s">
        <v>295</v>
      </c>
      <c r="F303" s="21">
        <v>36382.0</v>
      </c>
      <c r="G303" s="14">
        <f t="shared" si="1"/>
        <v>27</v>
      </c>
      <c r="H303" s="23" t="s">
        <v>26</v>
      </c>
      <c r="I303" s="24" t="s">
        <v>33</v>
      </c>
      <c r="J303" s="19" t="s">
        <v>328</v>
      </c>
      <c r="K303" s="14">
        <v>25.0</v>
      </c>
      <c r="L303" s="14">
        <v>0.0</v>
      </c>
      <c r="M303" s="25"/>
      <c r="N303" s="26" t="s">
        <v>21</v>
      </c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>
      <c r="A304" s="14" t="s">
        <v>1227</v>
      </c>
      <c r="B304" s="17" t="s">
        <v>1228</v>
      </c>
      <c r="C304" s="17" t="s">
        <v>1229</v>
      </c>
      <c r="D304" s="19" t="s">
        <v>1230</v>
      </c>
      <c r="E304" s="20" t="s">
        <v>67</v>
      </c>
      <c r="F304" s="21">
        <v>25727.0</v>
      </c>
      <c r="G304" s="14">
        <f t="shared" si="1"/>
        <v>56</v>
      </c>
      <c r="H304" s="23" t="s">
        <v>26</v>
      </c>
      <c r="I304" s="24" t="s">
        <v>33</v>
      </c>
      <c r="J304" s="19" t="s">
        <v>362</v>
      </c>
      <c r="K304" s="14">
        <v>24.0</v>
      </c>
      <c r="L304" s="14">
        <v>0.0</v>
      </c>
      <c r="M304" s="25"/>
      <c r="N304" s="26" t="s">
        <v>21</v>
      </c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>
      <c r="A305" s="14" t="s">
        <v>1231</v>
      </c>
      <c r="B305" s="17" t="s">
        <v>1228</v>
      </c>
      <c r="C305" s="17" t="s">
        <v>1232</v>
      </c>
      <c r="D305" s="19" t="s">
        <v>1233</v>
      </c>
      <c r="E305" s="20" t="s">
        <v>138</v>
      </c>
      <c r="F305" s="21">
        <v>38044.0</v>
      </c>
      <c r="G305" s="14">
        <f t="shared" si="1"/>
        <v>22</v>
      </c>
      <c r="H305" s="23" t="s">
        <v>100</v>
      </c>
      <c r="I305" s="24" t="s">
        <v>27</v>
      </c>
      <c r="J305" s="19" t="s">
        <v>362</v>
      </c>
      <c r="K305" s="14">
        <v>24.0</v>
      </c>
      <c r="L305" s="14">
        <v>0.0</v>
      </c>
      <c r="M305" s="25"/>
      <c r="N305" s="26" t="s">
        <v>21</v>
      </c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>
      <c r="A306" s="14" t="s">
        <v>1234</v>
      </c>
      <c r="B306" s="17" t="s">
        <v>1228</v>
      </c>
      <c r="C306" s="17" t="s">
        <v>1235</v>
      </c>
      <c r="D306" s="19" t="s">
        <v>1236</v>
      </c>
      <c r="E306" s="20" t="s">
        <v>429</v>
      </c>
      <c r="F306" s="21">
        <v>27211.0</v>
      </c>
      <c r="G306" s="14">
        <f t="shared" si="1"/>
        <v>52</v>
      </c>
      <c r="H306" s="23" t="s">
        <v>26</v>
      </c>
      <c r="I306" s="24" t="s">
        <v>27</v>
      </c>
      <c r="J306" s="19" t="s">
        <v>362</v>
      </c>
      <c r="K306" s="14">
        <v>24.0</v>
      </c>
      <c r="L306" s="14">
        <v>0.0</v>
      </c>
      <c r="M306" s="25"/>
      <c r="N306" s="26" t="s">
        <v>21</v>
      </c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>
      <c r="A307" s="14" t="s">
        <v>1237</v>
      </c>
      <c r="B307" s="17" t="s">
        <v>1238</v>
      </c>
      <c r="C307" s="17" t="s">
        <v>1239</v>
      </c>
      <c r="D307" s="19" t="s">
        <v>1240</v>
      </c>
      <c r="E307" s="20" t="s">
        <v>53</v>
      </c>
      <c r="F307" s="21">
        <v>36271.0</v>
      </c>
      <c r="G307" s="14">
        <f t="shared" si="1"/>
        <v>27</v>
      </c>
      <c r="H307" s="23" t="s">
        <v>26</v>
      </c>
      <c r="I307" s="24" t="s">
        <v>33</v>
      </c>
      <c r="J307" s="19" t="s">
        <v>95</v>
      </c>
      <c r="K307" s="14">
        <v>11.0</v>
      </c>
      <c r="L307" s="14">
        <v>0.0</v>
      </c>
      <c r="M307" s="25"/>
      <c r="N307" s="26" t="s">
        <v>21</v>
      </c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>
      <c r="A308" s="14" t="s">
        <v>1241</v>
      </c>
      <c r="B308" s="17" t="s">
        <v>1238</v>
      </c>
      <c r="C308" s="17" t="s">
        <v>1242</v>
      </c>
      <c r="D308" s="19" t="s">
        <v>1243</v>
      </c>
      <c r="E308" s="20" t="s">
        <v>1244</v>
      </c>
      <c r="F308" s="21">
        <v>35560.0</v>
      </c>
      <c r="G308" s="14">
        <f t="shared" si="1"/>
        <v>29</v>
      </c>
      <c r="H308" s="23" t="s">
        <v>26</v>
      </c>
      <c r="I308" s="24" t="s">
        <v>27</v>
      </c>
      <c r="J308" s="19" t="s">
        <v>95</v>
      </c>
      <c r="K308" s="14">
        <v>11.0</v>
      </c>
      <c r="L308" s="14">
        <v>0.0</v>
      </c>
      <c r="M308" s="25"/>
      <c r="N308" s="26" t="s">
        <v>21</v>
      </c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>
      <c r="A309" s="14" t="s">
        <v>1245</v>
      </c>
      <c r="B309" s="17" t="s">
        <v>1246</v>
      </c>
      <c r="C309" s="17" t="s">
        <v>1247</v>
      </c>
      <c r="D309" s="19" t="s">
        <v>1248</v>
      </c>
      <c r="E309" s="20" t="s">
        <v>53</v>
      </c>
      <c r="F309" s="21">
        <v>34196.0</v>
      </c>
      <c r="G309" s="14">
        <f t="shared" si="1"/>
        <v>33</v>
      </c>
      <c r="H309" s="23" t="s">
        <v>26</v>
      </c>
      <c r="I309" s="24" t="s">
        <v>27</v>
      </c>
      <c r="J309" s="19" t="s">
        <v>282</v>
      </c>
      <c r="K309" s="14">
        <v>14.0</v>
      </c>
      <c r="L309" s="14">
        <v>0.0</v>
      </c>
      <c r="M309" s="25"/>
      <c r="N309" s="26" t="s">
        <v>21</v>
      </c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>
      <c r="A310" s="14" t="s">
        <v>1249</v>
      </c>
      <c r="B310" s="17" t="s">
        <v>1246</v>
      </c>
      <c r="C310" s="17" t="s">
        <v>1250</v>
      </c>
      <c r="D310" s="19" t="s">
        <v>1251</v>
      </c>
      <c r="E310" s="20" t="s">
        <v>290</v>
      </c>
      <c r="F310" s="21">
        <v>34216.0</v>
      </c>
      <c r="G310" s="14">
        <f t="shared" si="1"/>
        <v>33</v>
      </c>
      <c r="H310" s="23" t="s">
        <v>26</v>
      </c>
      <c r="I310" s="24" t="s">
        <v>33</v>
      </c>
      <c r="J310" s="19" t="s">
        <v>282</v>
      </c>
      <c r="K310" s="14">
        <v>14.0</v>
      </c>
      <c r="L310" s="14">
        <v>0.0</v>
      </c>
      <c r="M310" s="25"/>
      <c r="N310" s="26" t="s">
        <v>21</v>
      </c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>
      <c r="A311" s="14" t="s">
        <v>1252</v>
      </c>
      <c r="B311" s="17" t="s">
        <v>1253</v>
      </c>
      <c r="C311" s="17" t="s">
        <v>1254</v>
      </c>
      <c r="D311" s="19" t="s">
        <v>1255</v>
      </c>
      <c r="E311" s="20" t="s">
        <v>104</v>
      </c>
      <c r="F311" s="21">
        <v>35659.0</v>
      </c>
      <c r="G311" s="14">
        <f t="shared" si="1"/>
        <v>29</v>
      </c>
      <c r="H311" s="23" t="s">
        <v>26</v>
      </c>
      <c r="I311" s="24" t="s">
        <v>27</v>
      </c>
      <c r="J311" s="19" t="s">
        <v>68</v>
      </c>
      <c r="K311" s="14">
        <v>33.0</v>
      </c>
      <c r="L311" s="14">
        <v>0.0</v>
      </c>
      <c r="M311" s="25"/>
      <c r="N311" s="26" t="s">
        <v>21</v>
      </c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>
      <c r="A312" s="14" t="s">
        <v>1256</v>
      </c>
      <c r="B312" s="17" t="s">
        <v>1253</v>
      </c>
      <c r="C312" s="17" t="s">
        <v>1257</v>
      </c>
      <c r="D312" s="19" t="s">
        <v>1258</v>
      </c>
      <c r="E312" s="20" t="s">
        <v>104</v>
      </c>
      <c r="F312" s="21">
        <v>35837.0</v>
      </c>
      <c r="G312" s="14">
        <f t="shared" si="1"/>
        <v>28</v>
      </c>
      <c r="H312" s="23" t="s">
        <v>26</v>
      </c>
      <c r="I312" s="24" t="s">
        <v>33</v>
      </c>
      <c r="J312" s="19" t="s">
        <v>68</v>
      </c>
      <c r="K312" s="14">
        <v>33.0</v>
      </c>
      <c r="L312" s="14">
        <v>0.0</v>
      </c>
      <c r="M312" s="25"/>
      <c r="N312" s="26" t="s">
        <v>21</v>
      </c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>
      <c r="A313" s="14" t="s">
        <v>1259</v>
      </c>
      <c r="B313" s="17" t="s">
        <v>1260</v>
      </c>
      <c r="C313" s="17" t="s">
        <v>1261</v>
      </c>
      <c r="D313" s="19" t="s">
        <v>1262</v>
      </c>
      <c r="E313" s="20" t="s">
        <v>53</v>
      </c>
      <c r="F313" s="21">
        <v>36233.0</v>
      </c>
      <c r="G313" s="14">
        <f t="shared" si="1"/>
        <v>27</v>
      </c>
      <c r="H313" s="23" t="s">
        <v>100</v>
      </c>
      <c r="I313" s="24" t="s">
        <v>33</v>
      </c>
      <c r="J313" s="19" t="s">
        <v>757</v>
      </c>
      <c r="K313" s="14">
        <v>4.0</v>
      </c>
      <c r="L313" s="14">
        <v>0.0</v>
      </c>
      <c r="M313" s="25"/>
      <c r="N313" s="26" t="s">
        <v>21</v>
      </c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>
      <c r="A314" s="14" t="s">
        <v>1263</v>
      </c>
      <c r="B314" s="17" t="s">
        <v>1260</v>
      </c>
      <c r="C314" s="17" t="s">
        <v>1264</v>
      </c>
      <c r="D314" s="19" t="s">
        <v>554</v>
      </c>
      <c r="E314" s="20" t="s">
        <v>187</v>
      </c>
      <c r="F314" s="21">
        <v>30133.0</v>
      </c>
      <c r="G314" s="14">
        <f t="shared" si="1"/>
        <v>44</v>
      </c>
      <c r="H314" s="23" t="s">
        <v>27</v>
      </c>
      <c r="I314" s="24" t="s">
        <v>27</v>
      </c>
      <c r="J314" s="19" t="s">
        <v>757</v>
      </c>
      <c r="K314" s="14">
        <v>4.0</v>
      </c>
      <c r="L314" s="14">
        <v>0.0</v>
      </c>
      <c r="M314" s="25"/>
      <c r="N314" s="26" t="s">
        <v>21</v>
      </c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>
      <c r="A315" s="14" t="s">
        <v>1265</v>
      </c>
      <c r="B315" s="17" t="s">
        <v>1266</v>
      </c>
      <c r="C315" s="17" t="s">
        <v>1267</v>
      </c>
      <c r="D315" s="19" t="s">
        <v>1268</v>
      </c>
      <c r="E315" s="20" t="s">
        <v>1269</v>
      </c>
      <c r="F315" s="27">
        <v>34626.0</v>
      </c>
      <c r="G315" s="14">
        <f t="shared" si="1"/>
        <v>32</v>
      </c>
      <c r="H315" s="23" t="s">
        <v>26</v>
      </c>
      <c r="I315" s="24" t="s">
        <v>27</v>
      </c>
      <c r="J315" s="19" t="s">
        <v>53</v>
      </c>
      <c r="K315" s="14">
        <v>1.0</v>
      </c>
      <c r="L315" s="14">
        <v>0.0</v>
      </c>
      <c r="M315" s="25"/>
      <c r="N315" s="26" t="s">
        <v>21</v>
      </c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>
      <c r="A316" s="14" t="s">
        <v>1270</v>
      </c>
      <c r="B316" s="17" t="s">
        <v>1266</v>
      </c>
      <c r="C316" s="17" t="s">
        <v>1271</v>
      </c>
      <c r="D316" s="19" t="s">
        <v>1272</v>
      </c>
      <c r="E316" s="20" t="s">
        <v>104</v>
      </c>
      <c r="F316" s="21">
        <v>34387.0</v>
      </c>
      <c r="G316" s="14">
        <f t="shared" si="1"/>
        <v>32</v>
      </c>
      <c r="H316" s="23" t="s">
        <v>26</v>
      </c>
      <c r="I316" s="24" t="s">
        <v>33</v>
      </c>
      <c r="J316" s="19" t="s">
        <v>53</v>
      </c>
      <c r="K316" s="14">
        <v>1.0</v>
      </c>
      <c r="L316" s="14">
        <v>0.0</v>
      </c>
      <c r="M316" s="25"/>
      <c r="N316" s="26" t="s">
        <v>21</v>
      </c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>
      <c r="A317" s="14" t="s">
        <v>1273</v>
      </c>
      <c r="B317" s="17" t="s">
        <v>1274</v>
      </c>
      <c r="C317" s="17" t="s">
        <v>1275</v>
      </c>
      <c r="D317" s="19" t="s">
        <v>1276</v>
      </c>
      <c r="E317" s="20" t="s">
        <v>53</v>
      </c>
      <c r="F317" s="21">
        <v>37709.0</v>
      </c>
      <c r="G317" s="14">
        <f t="shared" si="1"/>
        <v>23</v>
      </c>
      <c r="H317" s="23" t="s">
        <v>100</v>
      </c>
      <c r="I317" s="24" t="s">
        <v>27</v>
      </c>
      <c r="J317" s="19" t="s">
        <v>362</v>
      </c>
      <c r="K317" s="14">
        <v>27.0</v>
      </c>
      <c r="L317" s="14">
        <v>0.0</v>
      </c>
      <c r="M317" s="25"/>
      <c r="N317" s="26" t="s">
        <v>21</v>
      </c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>
      <c r="A318" s="14" t="s">
        <v>1277</v>
      </c>
      <c r="B318" s="17" t="s">
        <v>1274</v>
      </c>
      <c r="C318" s="17" t="s">
        <v>1278</v>
      </c>
      <c r="D318" s="19" t="s">
        <v>1279</v>
      </c>
      <c r="E318" s="20" t="s">
        <v>104</v>
      </c>
      <c r="F318" s="21">
        <v>31229.0</v>
      </c>
      <c r="G318" s="14">
        <f t="shared" si="1"/>
        <v>41</v>
      </c>
      <c r="H318" s="23" t="s">
        <v>26</v>
      </c>
      <c r="I318" s="24" t="s">
        <v>27</v>
      </c>
      <c r="J318" s="19" t="s">
        <v>362</v>
      </c>
      <c r="K318" s="14">
        <v>27.0</v>
      </c>
      <c r="L318" s="14">
        <v>0.0</v>
      </c>
      <c r="M318" s="25"/>
      <c r="N318" s="26" t="s">
        <v>21</v>
      </c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>
      <c r="A319" s="14" t="s">
        <v>1280</v>
      </c>
      <c r="B319" s="17" t="s">
        <v>1274</v>
      </c>
      <c r="C319" s="17" t="s">
        <v>1281</v>
      </c>
      <c r="D319" s="19" t="s">
        <v>1282</v>
      </c>
      <c r="E319" s="20" t="s">
        <v>632</v>
      </c>
      <c r="F319" s="21">
        <v>27496.0</v>
      </c>
      <c r="G319" s="14">
        <f t="shared" si="1"/>
        <v>51</v>
      </c>
      <c r="H319" s="23" t="s">
        <v>26</v>
      </c>
      <c r="I319" s="24" t="s">
        <v>33</v>
      </c>
      <c r="J319" s="19" t="s">
        <v>362</v>
      </c>
      <c r="K319" s="14">
        <v>27.0</v>
      </c>
      <c r="L319" s="14">
        <v>0.0</v>
      </c>
      <c r="M319" s="25"/>
      <c r="N319" s="26" t="s">
        <v>21</v>
      </c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>
      <c r="A320" s="14" t="s">
        <v>1283</v>
      </c>
      <c r="B320" s="17" t="s">
        <v>1284</v>
      </c>
      <c r="C320" s="17" t="s">
        <v>1285</v>
      </c>
      <c r="D320" s="19" t="s">
        <v>1286</v>
      </c>
      <c r="E320" s="20" t="s">
        <v>434</v>
      </c>
      <c r="F320" s="27">
        <v>11307.0</v>
      </c>
      <c r="G320" s="14">
        <f t="shared" si="1"/>
        <v>95</v>
      </c>
      <c r="H320" s="23" t="s">
        <v>27</v>
      </c>
      <c r="I320" s="24" t="s">
        <v>33</v>
      </c>
      <c r="J320" s="19" t="s">
        <v>68</v>
      </c>
      <c r="K320" s="14">
        <v>35.0</v>
      </c>
      <c r="L320" s="14">
        <v>0.0</v>
      </c>
      <c r="M320" s="25"/>
      <c r="N320" s="26" t="s">
        <v>21</v>
      </c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>
      <c r="A321" s="14" t="s">
        <v>1287</v>
      </c>
      <c r="B321" s="17" t="s">
        <v>1288</v>
      </c>
      <c r="C321" s="17" t="s">
        <v>1289</v>
      </c>
      <c r="D321" s="19" t="s">
        <v>1290</v>
      </c>
      <c r="E321" s="20" t="s">
        <v>1291</v>
      </c>
      <c r="F321" s="21">
        <v>24628.0</v>
      </c>
      <c r="G321" s="14">
        <f t="shared" si="1"/>
        <v>59</v>
      </c>
      <c r="H321" s="23" t="s">
        <v>26</v>
      </c>
      <c r="I321" s="24" t="s">
        <v>27</v>
      </c>
      <c r="J321" s="19" t="s">
        <v>328</v>
      </c>
      <c r="K321" s="14">
        <v>22.0</v>
      </c>
      <c r="L321" s="14">
        <v>0.0</v>
      </c>
      <c r="M321" s="28" t="s">
        <v>1319</v>
      </c>
      <c r="N321" s="26" t="s">
        <v>21</v>
      </c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>
      <c r="A322" s="14" t="s">
        <v>1292</v>
      </c>
      <c r="B322" s="17" t="s">
        <v>1293</v>
      </c>
      <c r="C322" s="17" t="s">
        <v>1294</v>
      </c>
      <c r="D322" s="19" t="s">
        <v>1295</v>
      </c>
      <c r="E322" s="20" t="s">
        <v>1084</v>
      </c>
      <c r="F322" s="21">
        <v>31254.0</v>
      </c>
      <c r="G322" s="14">
        <f t="shared" si="1"/>
        <v>41</v>
      </c>
      <c r="H322" s="23" t="s">
        <v>26</v>
      </c>
      <c r="I322" s="24" t="s">
        <v>27</v>
      </c>
      <c r="J322" s="19" t="s">
        <v>1296</v>
      </c>
      <c r="K322" s="14">
        <v>17.0</v>
      </c>
      <c r="L322" s="14">
        <v>0.0</v>
      </c>
      <c r="M322" s="25"/>
      <c r="N322" s="26" t="s">
        <v>21</v>
      </c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>
      <c r="A323" s="14" t="s">
        <v>1297</v>
      </c>
      <c r="B323" s="17" t="s">
        <v>1293</v>
      </c>
      <c r="C323" s="17" t="s">
        <v>1298</v>
      </c>
      <c r="D323" s="19" t="s">
        <v>1299</v>
      </c>
      <c r="E323" s="20" t="s">
        <v>104</v>
      </c>
      <c r="F323" s="21">
        <v>29797.0</v>
      </c>
      <c r="G323" s="14">
        <f t="shared" si="1"/>
        <v>45</v>
      </c>
      <c r="H323" s="23" t="s">
        <v>26</v>
      </c>
      <c r="I323" s="24" t="s">
        <v>33</v>
      </c>
      <c r="J323" s="19" t="s">
        <v>1296</v>
      </c>
      <c r="K323" s="14">
        <v>17.0</v>
      </c>
      <c r="L323" s="14">
        <v>0.0</v>
      </c>
      <c r="M323" s="25"/>
      <c r="N323" s="26" t="s">
        <v>21</v>
      </c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>
      <c r="A324" s="14" t="s">
        <v>1300</v>
      </c>
      <c r="B324" s="17" t="s">
        <v>1301</v>
      </c>
      <c r="C324" s="17" t="s">
        <v>1302</v>
      </c>
      <c r="D324" s="19" t="s">
        <v>1303</v>
      </c>
      <c r="E324" s="20" t="s">
        <v>337</v>
      </c>
      <c r="F324" s="21">
        <v>37204.0</v>
      </c>
      <c r="G324" s="14">
        <f t="shared" si="1"/>
        <v>24</v>
      </c>
      <c r="H324" s="23" t="s">
        <v>26</v>
      </c>
      <c r="I324" s="24" t="s">
        <v>27</v>
      </c>
      <c r="J324" s="19" t="s">
        <v>156</v>
      </c>
      <c r="K324" s="14">
        <v>32.0</v>
      </c>
      <c r="L324" s="14">
        <v>7.0</v>
      </c>
      <c r="M324" s="28" t="s">
        <v>1330</v>
      </c>
      <c r="N324" s="26" t="s">
        <v>21</v>
      </c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>
      <c r="A325" s="14" t="s">
        <v>1304</v>
      </c>
      <c r="B325" s="17" t="s">
        <v>1301</v>
      </c>
      <c r="C325" s="17" t="s">
        <v>1305</v>
      </c>
      <c r="D325" s="19" t="s">
        <v>1048</v>
      </c>
      <c r="E325" s="20" t="s">
        <v>67</v>
      </c>
      <c r="F325" s="21">
        <v>27885.0</v>
      </c>
      <c r="G325" s="14">
        <f t="shared" si="1"/>
        <v>50</v>
      </c>
      <c r="H325" s="23" t="s">
        <v>26</v>
      </c>
      <c r="I325" s="24" t="s">
        <v>27</v>
      </c>
      <c r="J325" s="19" t="s">
        <v>156</v>
      </c>
      <c r="K325" s="14">
        <v>32.0</v>
      </c>
      <c r="L325" s="14">
        <v>0.0</v>
      </c>
      <c r="M325" s="25"/>
      <c r="N325" s="26" t="s">
        <v>21</v>
      </c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>
      <c r="A326" s="14" t="s">
        <v>1306</v>
      </c>
      <c r="B326" s="17" t="s">
        <v>1301</v>
      </c>
      <c r="C326" s="17" t="s">
        <v>1307</v>
      </c>
      <c r="D326" s="19" t="s">
        <v>1308</v>
      </c>
      <c r="E326" s="20" t="s">
        <v>67</v>
      </c>
      <c r="F326" s="21">
        <v>25692.0</v>
      </c>
      <c r="G326" s="14">
        <f t="shared" si="1"/>
        <v>56</v>
      </c>
      <c r="H326" s="23" t="s">
        <v>26</v>
      </c>
      <c r="I326" s="24" t="s">
        <v>33</v>
      </c>
      <c r="J326" s="19" t="s">
        <v>156</v>
      </c>
      <c r="K326" s="14">
        <v>32.0</v>
      </c>
      <c r="L326" s="14">
        <v>0.0</v>
      </c>
      <c r="M326" s="25"/>
      <c r="N326" s="26" t="s">
        <v>21</v>
      </c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>
      <c r="A327" s="14" t="s">
        <v>1309</v>
      </c>
      <c r="B327" s="17" t="s">
        <v>1310</v>
      </c>
      <c r="C327" s="17" t="s">
        <v>1311</v>
      </c>
      <c r="D327" s="19" t="s">
        <v>1312</v>
      </c>
      <c r="E327" s="20" t="s">
        <v>53</v>
      </c>
      <c r="F327" s="21">
        <v>35816.0</v>
      </c>
      <c r="G327" s="14">
        <f t="shared" si="1"/>
        <v>28</v>
      </c>
      <c r="H327" s="23" t="s">
        <v>100</v>
      </c>
      <c r="I327" s="24" t="s">
        <v>27</v>
      </c>
      <c r="J327" s="19" t="s">
        <v>328</v>
      </c>
      <c r="K327" s="14">
        <v>22.0</v>
      </c>
      <c r="L327" s="14">
        <v>0.0</v>
      </c>
      <c r="M327" s="25"/>
      <c r="N327" s="26" t="s">
        <v>21</v>
      </c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>
      <c r="A328" s="14" t="s">
        <v>1313</v>
      </c>
      <c r="B328" s="17" t="s">
        <v>1310</v>
      </c>
      <c r="C328" s="17" t="s">
        <v>1314</v>
      </c>
      <c r="D328" s="19" t="s">
        <v>1315</v>
      </c>
      <c r="E328" s="20" t="s">
        <v>632</v>
      </c>
      <c r="F328" s="21">
        <v>23988.0</v>
      </c>
      <c r="G328" s="14">
        <f t="shared" si="1"/>
        <v>61</v>
      </c>
      <c r="H328" s="23" t="s">
        <v>26</v>
      </c>
      <c r="I328" s="24" t="s">
        <v>33</v>
      </c>
      <c r="J328" s="19" t="s">
        <v>328</v>
      </c>
      <c r="K328" s="14">
        <v>22.0</v>
      </c>
      <c r="L328" s="14">
        <v>0.0</v>
      </c>
      <c r="M328" s="25"/>
      <c r="N328" s="26" t="s">
        <v>21</v>
      </c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>
      <c r="A329" s="14" t="s">
        <v>1316</v>
      </c>
      <c r="B329" s="17" t="s">
        <v>1310</v>
      </c>
      <c r="C329" s="17" t="s">
        <v>1317</v>
      </c>
      <c r="D329" s="19" t="s">
        <v>1318</v>
      </c>
      <c r="E329" s="20" t="s">
        <v>632</v>
      </c>
      <c r="F329" s="21">
        <v>26485.0</v>
      </c>
      <c r="G329" s="14">
        <f t="shared" si="1"/>
        <v>54</v>
      </c>
      <c r="H329" s="23" t="s">
        <v>26</v>
      </c>
      <c r="I329" s="24" t="s">
        <v>27</v>
      </c>
      <c r="J329" s="19" t="s">
        <v>328</v>
      </c>
      <c r="K329" s="14">
        <v>22.0</v>
      </c>
      <c r="L329" s="14">
        <v>0.0</v>
      </c>
      <c r="M329" s="25"/>
      <c r="N329" s="26" t="s">
        <v>21</v>
      </c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>
      <c r="A330" s="14" t="s">
        <v>1320</v>
      </c>
      <c r="B330" s="17" t="s">
        <v>1321</v>
      </c>
      <c r="C330" s="17" t="s">
        <v>1322</v>
      </c>
      <c r="D330" s="19" t="s">
        <v>1323</v>
      </c>
      <c r="E330" s="20" t="s">
        <v>104</v>
      </c>
      <c r="F330" s="21">
        <v>36293.0</v>
      </c>
      <c r="G330" s="14">
        <f t="shared" si="1"/>
        <v>27</v>
      </c>
      <c r="H330" s="23" t="s">
        <v>100</v>
      </c>
      <c r="I330" s="24" t="s">
        <v>27</v>
      </c>
      <c r="J330" s="19" t="s">
        <v>53</v>
      </c>
      <c r="K330" s="14">
        <v>22.0</v>
      </c>
      <c r="L330" s="14">
        <v>0.0</v>
      </c>
      <c r="M330" s="25"/>
      <c r="N330" s="26" t="s">
        <v>21</v>
      </c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>
      <c r="A331" s="14" t="s">
        <v>1324</v>
      </c>
      <c r="B331" s="17" t="s">
        <v>1321</v>
      </c>
      <c r="C331" s="17" t="s">
        <v>1325</v>
      </c>
      <c r="D331" s="19" t="s">
        <v>1326</v>
      </c>
      <c r="E331" s="20" t="s">
        <v>632</v>
      </c>
      <c r="F331" s="21">
        <v>23837.0</v>
      </c>
      <c r="G331" s="14">
        <f t="shared" si="1"/>
        <v>61</v>
      </c>
      <c r="H331" s="23" t="s">
        <v>26</v>
      </c>
      <c r="I331" s="24" t="s">
        <v>33</v>
      </c>
      <c r="J331" s="19" t="s">
        <v>53</v>
      </c>
      <c r="K331" s="14">
        <v>22.0</v>
      </c>
      <c r="L331" s="14">
        <v>0.0</v>
      </c>
      <c r="M331" s="25"/>
      <c r="N331" s="26" t="s">
        <v>21</v>
      </c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>
      <c r="A332" s="14" t="s">
        <v>1327</v>
      </c>
      <c r="B332" s="17" t="s">
        <v>1321</v>
      </c>
      <c r="C332" s="17" t="s">
        <v>1328</v>
      </c>
      <c r="D332" s="19" t="s">
        <v>1329</v>
      </c>
      <c r="E332" s="20" t="s">
        <v>337</v>
      </c>
      <c r="F332" s="21">
        <v>34138.0</v>
      </c>
      <c r="G332" s="14">
        <f t="shared" si="1"/>
        <v>33</v>
      </c>
      <c r="H332" s="23" t="s">
        <v>100</v>
      </c>
      <c r="I332" s="24" t="s">
        <v>33</v>
      </c>
      <c r="J332" s="19" t="s">
        <v>53</v>
      </c>
      <c r="K332" s="14">
        <v>22.0</v>
      </c>
      <c r="L332" s="14">
        <v>0.0</v>
      </c>
      <c r="M332" s="25"/>
      <c r="N332" s="26" t="s">
        <v>21</v>
      </c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>
      <c r="A333" s="14" t="s">
        <v>1331</v>
      </c>
      <c r="B333" s="17" t="s">
        <v>1321</v>
      </c>
      <c r="C333" s="17" t="s">
        <v>1332</v>
      </c>
      <c r="D333" s="19" t="s">
        <v>1333</v>
      </c>
      <c r="E333" s="20" t="s">
        <v>1291</v>
      </c>
      <c r="F333" s="21">
        <v>27198.0</v>
      </c>
      <c r="G333" s="14">
        <f t="shared" si="1"/>
        <v>52</v>
      </c>
      <c r="H333" s="23" t="s">
        <v>26</v>
      </c>
      <c r="I333" s="24" t="s">
        <v>27</v>
      </c>
      <c r="J333" s="19" t="s">
        <v>53</v>
      </c>
      <c r="K333" s="14">
        <v>22.0</v>
      </c>
      <c r="L333" s="14">
        <v>0.0</v>
      </c>
      <c r="M333" s="25"/>
      <c r="N333" s="26" t="s">
        <v>21</v>
      </c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>
      <c r="A334" s="14" t="s">
        <v>1334</v>
      </c>
      <c r="B334" s="17" t="s">
        <v>1335</v>
      </c>
      <c r="C334" s="17" t="s">
        <v>1336</v>
      </c>
      <c r="D334" s="19" t="s">
        <v>1337</v>
      </c>
      <c r="E334" s="20" t="s">
        <v>53</v>
      </c>
      <c r="F334" s="27">
        <v>34287.0</v>
      </c>
      <c r="G334" s="14">
        <f t="shared" si="1"/>
        <v>32</v>
      </c>
      <c r="H334" s="23" t="s">
        <v>26</v>
      </c>
      <c r="I334" s="24" t="s">
        <v>27</v>
      </c>
      <c r="J334" s="19" t="s">
        <v>1338</v>
      </c>
      <c r="K334" s="14">
        <v>18.0</v>
      </c>
      <c r="L334" s="14">
        <v>0.0</v>
      </c>
      <c r="M334" s="25"/>
      <c r="N334" s="26" t="s">
        <v>21</v>
      </c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>
      <c r="A335" s="14" t="s">
        <v>1339</v>
      </c>
      <c r="B335" s="17" t="s">
        <v>1335</v>
      </c>
      <c r="C335" s="17" t="s">
        <v>1340</v>
      </c>
      <c r="D335" s="19" t="s">
        <v>1341</v>
      </c>
      <c r="E335" s="20" t="s">
        <v>195</v>
      </c>
      <c r="F335" s="21">
        <v>32787.0</v>
      </c>
      <c r="G335" s="14">
        <f t="shared" si="1"/>
        <v>37</v>
      </c>
      <c r="H335" s="23" t="s">
        <v>26</v>
      </c>
      <c r="I335" s="24" t="s">
        <v>33</v>
      </c>
      <c r="J335" s="19" t="s">
        <v>1338</v>
      </c>
      <c r="K335" s="14">
        <v>18.0</v>
      </c>
      <c r="L335" s="14">
        <v>0.0</v>
      </c>
      <c r="M335" s="25"/>
      <c r="N335" s="26" t="s">
        <v>21</v>
      </c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>
      <c r="A336" s="14" t="s">
        <v>1342</v>
      </c>
      <c r="B336" s="17" t="s">
        <v>1343</v>
      </c>
      <c r="C336" s="17" t="s">
        <v>1344</v>
      </c>
      <c r="D336" s="19" t="s">
        <v>1345</v>
      </c>
      <c r="E336" s="20" t="s">
        <v>1346</v>
      </c>
      <c r="F336" s="21">
        <v>33755.0</v>
      </c>
      <c r="G336" s="14">
        <f t="shared" si="1"/>
        <v>34</v>
      </c>
      <c r="H336" s="23" t="s">
        <v>26</v>
      </c>
      <c r="I336" s="24" t="s">
        <v>27</v>
      </c>
      <c r="J336" s="19" t="s">
        <v>257</v>
      </c>
      <c r="K336" s="14">
        <v>29.0</v>
      </c>
      <c r="L336" s="14">
        <v>0.0</v>
      </c>
      <c r="M336" s="25"/>
      <c r="N336" s="26" t="s">
        <v>21</v>
      </c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>
      <c r="A337" s="14" t="s">
        <v>1347</v>
      </c>
      <c r="B337" s="17" t="s">
        <v>1343</v>
      </c>
      <c r="C337" s="17" t="s">
        <v>1348</v>
      </c>
      <c r="D337" s="19" t="s">
        <v>1349</v>
      </c>
      <c r="E337" s="20" t="s">
        <v>104</v>
      </c>
      <c r="F337" s="21">
        <v>33497.0</v>
      </c>
      <c r="G337" s="14">
        <f t="shared" si="1"/>
        <v>35</v>
      </c>
      <c r="H337" s="23" t="s">
        <v>26</v>
      </c>
      <c r="I337" s="24" t="s">
        <v>33</v>
      </c>
      <c r="J337" s="19" t="s">
        <v>257</v>
      </c>
      <c r="K337" s="14">
        <v>29.0</v>
      </c>
      <c r="L337" s="14">
        <v>0.0</v>
      </c>
      <c r="M337" s="25"/>
      <c r="N337" s="26" t="s">
        <v>21</v>
      </c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>
      <c r="A338" s="14" t="s">
        <v>1350</v>
      </c>
      <c r="B338" s="17" t="s">
        <v>1351</v>
      </c>
      <c r="C338" s="17" t="s">
        <v>1352</v>
      </c>
      <c r="D338" s="19" t="s">
        <v>1353</v>
      </c>
      <c r="E338" s="20" t="s">
        <v>112</v>
      </c>
      <c r="F338" s="21">
        <v>31513.0</v>
      </c>
      <c r="G338" s="14">
        <f t="shared" si="1"/>
        <v>40</v>
      </c>
      <c r="H338" s="23" t="s">
        <v>26</v>
      </c>
      <c r="I338" s="24" t="s">
        <v>33</v>
      </c>
      <c r="J338" s="19" t="s">
        <v>517</v>
      </c>
      <c r="K338" s="14">
        <v>9.0</v>
      </c>
      <c r="L338" s="14">
        <v>0.0</v>
      </c>
      <c r="M338" s="25"/>
      <c r="N338" s="26" t="s">
        <v>21</v>
      </c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>
      <c r="A339" s="14" t="s">
        <v>1354</v>
      </c>
      <c r="B339" s="17" t="s">
        <v>1351</v>
      </c>
      <c r="C339" s="17" t="s">
        <v>1355</v>
      </c>
      <c r="D339" s="19" t="s">
        <v>1356</v>
      </c>
      <c r="E339" s="20" t="s">
        <v>1357</v>
      </c>
      <c r="F339" s="27">
        <v>34997.0</v>
      </c>
      <c r="G339" s="14">
        <f t="shared" si="1"/>
        <v>31</v>
      </c>
      <c r="H339" s="23" t="s">
        <v>26</v>
      </c>
      <c r="I339" s="24" t="s">
        <v>27</v>
      </c>
      <c r="J339" s="19" t="s">
        <v>517</v>
      </c>
      <c r="K339" s="14">
        <v>9.0</v>
      </c>
      <c r="L339" s="14">
        <v>0.0</v>
      </c>
      <c r="M339" s="25"/>
      <c r="N339" s="26" t="s">
        <v>21</v>
      </c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>
      <c r="A340" s="14" t="s">
        <v>1358</v>
      </c>
      <c r="B340" s="17" t="s">
        <v>1359</v>
      </c>
      <c r="C340" s="17" t="s">
        <v>1360</v>
      </c>
      <c r="D340" s="19" t="s">
        <v>1361</v>
      </c>
      <c r="E340" s="20" t="s">
        <v>1362</v>
      </c>
      <c r="F340" s="21">
        <v>35458.0</v>
      </c>
      <c r="G340" s="14">
        <f t="shared" si="1"/>
        <v>29</v>
      </c>
      <c r="H340" s="23" t="s">
        <v>26</v>
      </c>
      <c r="I340" s="24" t="s">
        <v>33</v>
      </c>
      <c r="J340" s="19" t="s">
        <v>783</v>
      </c>
      <c r="K340" s="14">
        <v>20.0</v>
      </c>
      <c r="L340" s="14">
        <v>0.0</v>
      </c>
      <c r="M340" s="25"/>
      <c r="N340" s="26" t="s">
        <v>21</v>
      </c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>
      <c r="A341" s="14" t="s">
        <v>1363</v>
      </c>
      <c r="B341" s="17" t="s">
        <v>1359</v>
      </c>
      <c r="C341" s="17" t="s">
        <v>1364</v>
      </c>
      <c r="D341" s="19" t="s">
        <v>1365</v>
      </c>
      <c r="E341" s="20" t="s">
        <v>104</v>
      </c>
      <c r="F341" s="21">
        <v>33770.0</v>
      </c>
      <c r="G341" s="14">
        <f t="shared" si="1"/>
        <v>34</v>
      </c>
      <c r="H341" s="23" t="s">
        <v>26</v>
      </c>
      <c r="I341" s="24" t="s">
        <v>27</v>
      </c>
      <c r="J341" s="19" t="s">
        <v>783</v>
      </c>
      <c r="K341" s="14">
        <v>20.0</v>
      </c>
      <c r="L341" s="14">
        <v>0.0</v>
      </c>
      <c r="M341" s="25"/>
      <c r="N341" s="26" t="s">
        <v>21</v>
      </c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>
      <c r="A342" s="14" t="s">
        <v>1366</v>
      </c>
      <c r="B342" s="17" t="s">
        <v>1367</v>
      </c>
      <c r="C342" s="17" t="s">
        <v>1368</v>
      </c>
      <c r="D342" s="19" t="s">
        <v>1369</v>
      </c>
      <c r="E342" s="20" t="s">
        <v>1370</v>
      </c>
      <c r="F342" s="21">
        <v>34893.0</v>
      </c>
      <c r="G342" s="14">
        <f t="shared" si="1"/>
        <v>31</v>
      </c>
      <c r="H342" s="23" t="s">
        <v>26</v>
      </c>
      <c r="I342" s="24" t="s">
        <v>27</v>
      </c>
      <c r="J342" s="19" t="s">
        <v>68</v>
      </c>
      <c r="K342" s="14">
        <v>33.0</v>
      </c>
      <c r="L342" s="14">
        <v>0.0</v>
      </c>
      <c r="M342" s="25"/>
      <c r="N342" s="26" t="s">
        <v>21</v>
      </c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>
      <c r="A343" s="14" t="s">
        <v>1371</v>
      </c>
      <c r="B343" s="17" t="s">
        <v>1367</v>
      </c>
      <c r="C343" s="17" t="s">
        <v>1372</v>
      </c>
      <c r="D343" s="19" t="s">
        <v>1373</v>
      </c>
      <c r="E343" s="20" t="s">
        <v>104</v>
      </c>
      <c r="F343" s="21">
        <v>34930.0</v>
      </c>
      <c r="G343" s="14">
        <f t="shared" si="1"/>
        <v>31</v>
      </c>
      <c r="H343" s="23" t="s">
        <v>26</v>
      </c>
      <c r="I343" s="24" t="s">
        <v>33</v>
      </c>
      <c r="J343" s="19" t="s">
        <v>68</v>
      </c>
      <c r="K343" s="14">
        <v>33.0</v>
      </c>
      <c r="L343" s="14">
        <v>0.0</v>
      </c>
      <c r="M343" s="25"/>
      <c r="N343" s="26" t="s">
        <v>21</v>
      </c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>
      <c r="A344" s="14" t="s">
        <v>1374</v>
      </c>
      <c r="B344" s="17" t="s">
        <v>1375</v>
      </c>
      <c r="C344" s="17" t="s">
        <v>1376</v>
      </c>
      <c r="D344" s="19" t="s">
        <v>1377</v>
      </c>
      <c r="E344" s="20" t="s">
        <v>104</v>
      </c>
      <c r="F344" s="27">
        <v>35018.0</v>
      </c>
      <c r="G344" s="14">
        <f t="shared" si="1"/>
        <v>30</v>
      </c>
      <c r="H344" s="23" t="s">
        <v>26</v>
      </c>
      <c r="I344" s="24" t="s">
        <v>33</v>
      </c>
      <c r="J344" s="19" t="s">
        <v>68</v>
      </c>
      <c r="K344" s="14">
        <v>34.0</v>
      </c>
      <c r="L344" s="14">
        <v>0.0</v>
      </c>
      <c r="M344" s="25"/>
      <c r="N344" s="26" t="s">
        <v>21</v>
      </c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>
      <c r="A345" s="14" t="s">
        <v>1378</v>
      </c>
      <c r="B345" s="17" t="s">
        <v>1375</v>
      </c>
      <c r="C345" s="17" t="s">
        <v>1379</v>
      </c>
      <c r="D345" s="19" t="s">
        <v>1380</v>
      </c>
      <c r="E345" s="20" t="s">
        <v>1381</v>
      </c>
      <c r="F345" s="21">
        <v>36421.0</v>
      </c>
      <c r="G345" s="14">
        <f t="shared" si="1"/>
        <v>27</v>
      </c>
      <c r="H345" s="23" t="s">
        <v>26</v>
      </c>
      <c r="I345" s="24" t="s">
        <v>27</v>
      </c>
      <c r="J345" s="19" t="s">
        <v>68</v>
      </c>
      <c r="K345" s="14">
        <v>34.0</v>
      </c>
      <c r="L345" s="14">
        <v>0.0</v>
      </c>
      <c r="M345" s="25"/>
      <c r="N345" s="26" t="s">
        <v>21</v>
      </c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>
      <c r="A346" s="14" t="s">
        <v>1382</v>
      </c>
      <c r="B346" s="17" t="s">
        <v>1383</v>
      </c>
      <c r="C346" s="17" t="s">
        <v>1384</v>
      </c>
      <c r="D346" s="19" t="s">
        <v>1385</v>
      </c>
      <c r="E346" s="20" t="s">
        <v>1386</v>
      </c>
      <c r="F346" s="21">
        <v>29291.0</v>
      </c>
      <c r="G346" s="14">
        <f t="shared" si="1"/>
        <v>46</v>
      </c>
      <c r="H346" s="23" t="s">
        <v>26</v>
      </c>
      <c r="I346" s="24" t="s">
        <v>27</v>
      </c>
      <c r="J346" s="19" t="s">
        <v>1387</v>
      </c>
      <c r="K346" s="14">
        <v>6.0</v>
      </c>
      <c r="L346" s="14">
        <v>0.0</v>
      </c>
      <c r="M346" s="25"/>
      <c r="N346" s="26" t="s">
        <v>21</v>
      </c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>
      <c r="A347" s="14" t="s">
        <v>1388</v>
      </c>
      <c r="B347" s="17" t="s">
        <v>1383</v>
      </c>
      <c r="C347" s="17" t="s">
        <v>1389</v>
      </c>
      <c r="D347" s="19" t="s">
        <v>1390</v>
      </c>
      <c r="E347" s="20" t="s">
        <v>104</v>
      </c>
      <c r="F347" s="21">
        <v>29261.0</v>
      </c>
      <c r="G347" s="14">
        <f t="shared" si="1"/>
        <v>46</v>
      </c>
      <c r="H347" s="23" t="s">
        <v>26</v>
      </c>
      <c r="I347" s="24" t="s">
        <v>33</v>
      </c>
      <c r="J347" s="19" t="s">
        <v>1387</v>
      </c>
      <c r="K347" s="14">
        <v>6.0</v>
      </c>
      <c r="L347" s="14">
        <v>0.0</v>
      </c>
      <c r="M347" s="25"/>
      <c r="N347" s="26" t="s">
        <v>21</v>
      </c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>
      <c r="A348" s="14" t="s">
        <v>1391</v>
      </c>
      <c r="B348" s="17" t="s">
        <v>1383</v>
      </c>
      <c r="C348" s="17" t="s">
        <v>1392</v>
      </c>
      <c r="D348" s="19" t="s">
        <v>1393</v>
      </c>
      <c r="E348" s="20" t="s">
        <v>104</v>
      </c>
      <c r="F348" s="21">
        <v>35999.0</v>
      </c>
      <c r="G348" s="14">
        <f t="shared" si="1"/>
        <v>28</v>
      </c>
      <c r="H348" s="23" t="s">
        <v>100</v>
      </c>
      <c r="I348" s="24" t="s">
        <v>27</v>
      </c>
      <c r="J348" s="19" t="s">
        <v>1387</v>
      </c>
      <c r="K348" s="14">
        <v>6.0</v>
      </c>
      <c r="L348" s="14">
        <v>5.0</v>
      </c>
      <c r="M348" s="25"/>
      <c r="N348" s="26" t="s">
        <v>21</v>
      </c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>
      <c r="A349" s="14" t="s">
        <v>1394</v>
      </c>
      <c r="B349" s="38" t="s">
        <v>1421</v>
      </c>
      <c r="C349" s="17" t="s">
        <v>1396</v>
      </c>
      <c r="D349" s="19" t="s">
        <v>1397</v>
      </c>
      <c r="E349" s="20" t="s">
        <v>219</v>
      </c>
      <c r="F349" s="21">
        <v>31828.0</v>
      </c>
      <c r="G349" s="14">
        <f t="shared" si="1"/>
        <v>39</v>
      </c>
      <c r="H349" s="23" t="s">
        <v>26</v>
      </c>
      <c r="I349" s="24" t="s">
        <v>27</v>
      </c>
      <c r="J349" s="19" t="s">
        <v>68</v>
      </c>
      <c r="K349" s="14">
        <v>34.0</v>
      </c>
      <c r="L349" s="14">
        <v>0.0</v>
      </c>
      <c r="M349" s="28" t="s">
        <v>1425</v>
      </c>
      <c r="N349" s="26" t="s">
        <v>21</v>
      </c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>
      <c r="A350" s="14" t="s">
        <v>1398</v>
      </c>
      <c r="B350" s="17" t="s">
        <v>1399</v>
      </c>
      <c r="C350" s="17" t="s">
        <v>1400</v>
      </c>
      <c r="D350" s="19" t="s">
        <v>1401</v>
      </c>
      <c r="E350" s="20" t="s">
        <v>104</v>
      </c>
      <c r="F350" s="21">
        <v>37811.0</v>
      </c>
      <c r="G350" s="14">
        <f t="shared" si="1"/>
        <v>23</v>
      </c>
      <c r="H350" s="23" t="s">
        <v>100</v>
      </c>
      <c r="I350" s="24" t="s">
        <v>27</v>
      </c>
      <c r="J350" s="19" t="s">
        <v>146</v>
      </c>
      <c r="K350" s="14">
        <v>19.0</v>
      </c>
      <c r="L350" s="14">
        <v>0.0</v>
      </c>
      <c r="M350" s="25"/>
      <c r="N350" s="26" t="s">
        <v>21</v>
      </c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>
      <c r="A351" s="14" t="s">
        <v>1402</v>
      </c>
      <c r="B351" s="17" t="s">
        <v>1399</v>
      </c>
      <c r="C351" s="17" t="s">
        <v>1403</v>
      </c>
      <c r="D351" s="19" t="s">
        <v>1404</v>
      </c>
      <c r="E351" s="20" t="s">
        <v>104</v>
      </c>
      <c r="F351" s="21">
        <v>28709.0</v>
      </c>
      <c r="G351" s="14">
        <f t="shared" si="1"/>
        <v>48</v>
      </c>
      <c r="H351" s="23" t="s">
        <v>26</v>
      </c>
      <c r="I351" s="24" t="s">
        <v>27</v>
      </c>
      <c r="J351" s="19" t="s">
        <v>146</v>
      </c>
      <c r="K351" s="14">
        <v>19.0</v>
      </c>
      <c r="L351" s="14">
        <v>0.0</v>
      </c>
      <c r="M351" s="25"/>
      <c r="N351" s="26" t="s">
        <v>21</v>
      </c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>
      <c r="A352" s="14" t="s">
        <v>1405</v>
      </c>
      <c r="B352" s="17" t="s">
        <v>1399</v>
      </c>
      <c r="C352" s="17" t="s">
        <v>1406</v>
      </c>
      <c r="D352" s="19" t="s">
        <v>1407</v>
      </c>
      <c r="E352" s="20" t="s">
        <v>1408</v>
      </c>
      <c r="F352" s="21">
        <v>27730.0</v>
      </c>
      <c r="G352" s="14">
        <f t="shared" si="1"/>
        <v>50</v>
      </c>
      <c r="H352" s="23" t="s">
        <v>26</v>
      </c>
      <c r="I352" s="24" t="s">
        <v>33</v>
      </c>
      <c r="J352" s="19" t="s">
        <v>146</v>
      </c>
      <c r="K352" s="14">
        <v>19.0</v>
      </c>
      <c r="L352" s="14">
        <v>0.0</v>
      </c>
      <c r="M352" s="25"/>
      <c r="N352" s="26" t="s">
        <v>21</v>
      </c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>
      <c r="A353" s="14" t="s">
        <v>1409</v>
      </c>
      <c r="B353" s="17" t="s">
        <v>1410</v>
      </c>
      <c r="C353" s="17" t="s">
        <v>1411</v>
      </c>
      <c r="D353" s="19" t="s">
        <v>1412</v>
      </c>
      <c r="E353" s="20" t="s">
        <v>1413</v>
      </c>
      <c r="F353" s="21">
        <v>21555.0</v>
      </c>
      <c r="G353" s="14">
        <f t="shared" si="1"/>
        <v>67</v>
      </c>
      <c r="H353" s="23" t="s">
        <v>26</v>
      </c>
      <c r="I353" s="24" t="s">
        <v>27</v>
      </c>
      <c r="J353" s="19" t="s">
        <v>146</v>
      </c>
      <c r="K353" s="14">
        <v>10.0</v>
      </c>
      <c r="L353" s="14">
        <v>0.0</v>
      </c>
      <c r="M353" s="25"/>
      <c r="N353" s="26" t="s">
        <v>21</v>
      </c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>
      <c r="A354" s="14" t="s">
        <v>1414</v>
      </c>
      <c r="B354" s="17" t="s">
        <v>1410</v>
      </c>
      <c r="C354" s="17" t="s">
        <v>1415</v>
      </c>
      <c r="D354" s="19" t="s">
        <v>1416</v>
      </c>
      <c r="E354" s="20" t="s">
        <v>1413</v>
      </c>
      <c r="F354" s="21">
        <v>20151.0</v>
      </c>
      <c r="G354" s="14">
        <f t="shared" si="1"/>
        <v>71</v>
      </c>
      <c r="H354" s="23" t="s">
        <v>26</v>
      </c>
      <c r="I354" s="24" t="s">
        <v>33</v>
      </c>
      <c r="J354" s="19" t="s">
        <v>146</v>
      </c>
      <c r="K354" s="14">
        <v>10.0</v>
      </c>
      <c r="L354" s="14">
        <v>0.0</v>
      </c>
      <c r="M354" s="25"/>
      <c r="N354" s="26" t="s">
        <v>21</v>
      </c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>
      <c r="A355" s="14" t="s">
        <v>1417</v>
      </c>
      <c r="B355" s="17" t="s">
        <v>1418</v>
      </c>
      <c r="C355" s="17" t="s">
        <v>1419</v>
      </c>
      <c r="D355" s="19" t="s">
        <v>1420</v>
      </c>
      <c r="E355" s="20" t="s">
        <v>632</v>
      </c>
      <c r="F355" s="27">
        <v>24468.0</v>
      </c>
      <c r="G355" s="14">
        <f t="shared" si="1"/>
        <v>59</v>
      </c>
      <c r="H355" s="23" t="s">
        <v>26</v>
      </c>
      <c r="I355" s="24" t="s">
        <v>33</v>
      </c>
      <c r="J355" s="19" t="s">
        <v>58</v>
      </c>
      <c r="K355" s="14">
        <v>8.0</v>
      </c>
      <c r="L355" s="14">
        <v>0.0</v>
      </c>
      <c r="M355" s="25"/>
      <c r="N355" s="26" t="s">
        <v>21</v>
      </c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>
      <c r="A356" s="14" t="s">
        <v>1422</v>
      </c>
      <c r="B356" s="17" t="s">
        <v>1418</v>
      </c>
      <c r="C356" s="17" t="s">
        <v>1423</v>
      </c>
      <c r="D356" s="19" t="s">
        <v>1424</v>
      </c>
      <c r="E356" s="20" t="s">
        <v>632</v>
      </c>
      <c r="F356" s="21">
        <v>22350.0</v>
      </c>
      <c r="G356" s="14">
        <f t="shared" si="1"/>
        <v>65</v>
      </c>
      <c r="H356" s="23" t="s">
        <v>27</v>
      </c>
      <c r="I356" s="24" t="s">
        <v>27</v>
      </c>
      <c r="J356" s="19" t="s">
        <v>58</v>
      </c>
      <c r="K356" s="14">
        <v>8.0</v>
      </c>
      <c r="L356" s="14">
        <v>0.0</v>
      </c>
      <c r="M356" s="25"/>
      <c r="N356" s="26" t="s">
        <v>21</v>
      </c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>
      <c r="A357" s="14" t="s">
        <v>1426</v>
      </c>
      <c r="B357" s="17" t="s">
        <v>1418</v>
      </c>
      <c r="C357" s="17" t="s">
        <v>1427</v>
      </c>
      <c r="D357" s="19" t="s">
        <v>1428</v>
      </c>
      <c r="E357" s="20" t="s">
        <v>1429</v>
      </c>
      <c r="F357" s="21">
        <v>24994.0</v>
      </c>
      <c r="G357" s="14">
        <f t="shared" si="1"/>
        <v>58</v>
      </c>
      <c r="H357" s="23" t="s">
        <v>26</v>
      </c>
      <c r="I357" s="24" t="s">
        <v>27</v>
      </c>
      <c r="J357" s="19" t="s">
        <v>58</v>
      </c>
      <c r="K357" s="14">
        <v>8.0</v>
      </c>
      <c r="L357" s="14">
        <v>0.0</v>
      </c>
      <c r="M357" s="25"/>
      <c r="N357" s="26" t="s">
        <v>21</v>
      </c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>
      <c r="A358" s="14" t="s">
        <v>1430</v>
      </c>
      <c r="B358" s="17" t="s">
        <v>1418</v>
      </c>
      <c r="C358" s="17" t="s">
        <v>1431</v>
      </c>
      <c r="D358" s="19" t="s">
        <v>1432</v>
      </c>
      <c r="E358" s="20" t="s">
        <v>53</v>
      </c>
      <c r="F358" s="21">
        <v>37440.0</v>
      </c>
      <c r="G358" s="14">
        <f t="shared" si="1"/>
        <v>24</v>
      </c>
      <c r="H358" s="23" t="s">
        <v>100</v>
      </c>
      <c r="I358" s="24" t="s">
        <v>27</v>
      </c>
      <c r="J358" s="19" t="s">
        <v>58</v>
      </c>
      <c r="K358" s="14">
        <v>8.0</v>
      </c>
      <c r="L358" s="14">
        <v>0.0</v>
      </c>
      <c r="M358" s="25"/>
      <c r="N358" s="26" t="s">
        <v>21</v>
      </c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>
      <c r="A359" s="14" t="s">
        <v>1433</v>
      </c>
      <c r="B359" s="17" t="s">
        <v>1434</v>
      </c>
      <c r="C359" s="17" t="s">
        <v>1435</v>
      </c>
      <c r="D359" s="19" t="s">
        <v>1436</v>
      </c>
      <c r="E359" s="20" t="s">
        <v>624</v>
      </c>
      <c r="F359" s="21">
        <v>30332.0</v>
      </c>
      <c r="G359" s="14">
        <f t="shared" si="1"/>
        <v>43</v>
      </c>
      <c r="H359" s="23" t="s">
        <v>26</v>
      </c>
      <c r="I359" s="24" t="s">
        <v>33</v>
      </c>
      <c r="J359" s="19" t="s">
        <v>1437</v>
      </c>
      <c r="K359" s="14">
        <v>28.0</v>
      </c>
      <c r="L359" s="14">
        <v>0.0</v>
      </c>
      <c r="M359" s="25"/>
      <c r="N359" s="26" t="s">
        <v>21</v>
      </c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>
      <c r="A360" s="14" t="s">
        <v>1438</v>
      </c>
      <c r="B360" s="17" t="s">
        <v>1434</v>
      </c>
      <c r="C360" s="17" t="s">
        <v>1439</v>
      </c>
      <c r="D360" s="19" t="s">
        <v>1440</v>
      </c>
      <c r="E360" s="20" t="s">
        <v>104</v>
      </c>
      <c r="F360" s="21">
        <v>28962.0</v>
      </c>
      <c r="G360" s="14">
        <f t="shared" si="1"/>
        <v>47</v>
      </c>
      <c r="H360" s="23" t="s">
        <v>26</v>
      </c>
      <c r="I360" s="24" t="s">
        <v>27</v>
      </c>
      <c r="J360" s="19" t="s">
        <v>1437</v>
      </c>
      <c r="K360" s="14">
        <v>28.0</v>
      </c>
      <c r="L360" s="14">
        <v>0.0</v>
      </c>
      <c r="M360" s="25"/>
      <c r="N360" s="26" t="s">
        <v>21</v>
      </c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>
      <c r="A361" s="14" t="s">
        <v>1441</v>
      </c>
      <c r="B361" s="17" t="s">
        <v>1434</v>
      </c>
      <c r="C361" s="17" t="s">
        <v>1442</v>
      </c>
      <c r="D361" s="19" t="s">
        <v>1443</v>
      </c>
      <c r="E361" s="20" t="s">
        <v>104</v>
      </c>
      <c r="F361" s="21">
        <v>37825.0</v>
      </c>
      <c r="G361" s="14">
        <f t="shared" si="1"/>
        <v>23</v>
      </c>
      <c r="H361" s="23" t="s">
        <v>100</v>
      </c>
      <c r="I361" s="24" t="s">
        <v>27</v>
      </c>
      <c r="J361" s="19" t="s">
        <v>1437</v>
      </c>
      <c r="K361" s="14">
        <v>28.0</v>
      </c>
      <c r="L361" s="14">
        <v>0.0</v>
      </c>
      <c r="M361" s="25"/>
      <c r="N361" s="26" t="s">
        <v>21</v>
      </c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>
      <c r="A362" s="14" t="s">
        <v>1444</v>
      </c>
      <c r="B362" s="17" t="s">
        <v>1445</v>
      </c>
      <c r="C362" s="17" t="s">
        <v>1446</v>
      </c>
      <c r="D362" s="19" t="s">
        <v>1447</v>
      </c>
      <c r="E362" s="20" t="s">
        <v>434</v>
      </c>
      <c r="F362" s="21">
        <v>28391.0</v>
      </c>
      <c r="G362" s="14">
        <f t="shared" si="1"/>
        <v>49</v>
      </c>
      <c r="H362" s="23" t="s">
        <v>26</v>
      </c>
      <c r="I362" s="24" t="s">
        <v>33</v>
      </c>
      <c r="J362" s="19" t="s">
        <v>206</v>
      </c>
      <c r="K362" s="14">
        <v>1.0</v>
      </c>
      <c r="L362" s="14">
        <v>0.0</v>
      </c>
      <c r="M362" s="25"/>
      <c r="N362" s="26" t="s">
        <v>21</v>
      </c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>
      <c r="A363" s="14" t="s">
        <v>1477</v>
      </c>
      <c r="B363" s="17" t="s">
        <v>1445</v>
      </c>
      <c r="C363" s="17" t="s">
        <v>1479</v>
      </c>
      <c r="D363" s="19" t="s">
        <v>1481</v>
      </c>
      <c r="E363" s="20" t="s">
        <v>1482</v>
      </c>
      <c r="F363" s="21">
        <v>35223.0</v>
      </c>
      <c r="G363" s="14">
        <f t="shared" si="1"/>
        <v>30</v>
      </c>
      <c r="H363" s="23" t="s">
        <v>26</v>
      </c>
      <c r="I363" s="24" t="s">
        <v>33</v>
      </c>
      <c r="J363" s="19" t="s">
        <v>206</v>
      </c>
      <c r="K363" s="14">
        <v>1.0</v>
      </c>
      <c r="L363" s="14">
        <v>5.0</v>
      </c>
      <c r="M363" s="28" t="s">
        <v>1483</v>
      </c>
      <c r="N363" s="26" t="s">
        <v>21</v>
      </c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>
      <c r="A364" s="14" t="s">
        <v>1448</v>
      </c>
      <c r="B364" s="17" t="s">
        <v>1445</v>
      </c>
      <c r="C364" s="17" t="s">
        <v>1449</v>
      </c>
      <c r="D364" s="19" t="s">
        <v>1450</v>
      </c>
      <c r="E364" s="20" t="s">
        <v>434</v>
      </c>
      <c r="F364" s="27">
        <v>26599.0</v>
      </c>
      <c r="G364" s="14">
        <f t="shared" si="1"/>
        <v>54</v>
      </c>
      <c r="H364" s="23" t="s">
        <v>26</v>
      </c>
      <c r="I364" s="24" t="s">
        <v>27</v>
      </c>
      <c r="J364" s="19" t="s">
        <v>206</v>
      </c>
      <c r="K364" s="14">
        <v>1.0</v>
      </c>
      <c r="L364" s="14">
        <v>0.0</v>
      </c>
      <c r="M364" s="25"/>
      <c r="N364" s="26" t="s">
        <v>21</v>
      </c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>
      <c r="A365" s="14" t="s">
        <v>1451</v>
      </c>
      <c r="B365" s="17" t="s">
        <v>1452</v>
      </c>
      <c r="C365" s="17" t="s">
        <v>1453</v>
      </c>
      <c r="D365" s="19" t="s">
        <v>1454</v>
      </c>
      <c r="E365" s="20" t="s">
        <v>138</v>
      </c>
      <c r="F365" s="21">
        <v>36865.0</v>
      </c>
      <c r="G365" s="14">
        <f t="shared" si="1"/>
        <v>25</v>
      </c>
      <c r="H365" s="23" t="s">
        <v>100</v>
      </c>
      <c r="I365" s="24" t="s">
        <v>33</v>
      </c>
      <c r="J365" s="19" t="s">
        <v>53</v>
      </c>
      <c r="K365" s="14">
        <v>6.0</v>
      </c>
      <c r="L365" s="14">
        <v>0.0</v>
      </c>
      <c r="M365" s="25"/>
      <c r="N365" s="26" t="s">
        <v>21</v>
      </c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>
      <c r="A366" s="14" t="s">
        <v>1455</v>
      </c>
      <c r="B366" s="17" t="s">
        <v>1452</v>
      </c>
      <c r="C366" s="17" t="s">
        <v>1456</v>
      </c>
      <c r="D366" s="19" t="s">
        <v>1457</v>
      </c>
      <c r="E366" s="20" t="s">
        <v>434</v>
      </c>
      <c r="F366" s="21">
        <v>27649.0</v>
      </c>
      <c r="G366" s="14">
        <f t="shared" si="1"/>
        <v>51</v>
      </c>
      <c r="H366" s="23" t="s">
        <v>26</v>
      </c>
      <c r="I366" s="24" t="s">
        <v>27</v>
      </c>
      <c r="J366" s="19" t="s">
        <v>53</v>
      </c>
      <c r="K366" s="14">
        <v>6.0</v>
      </c>
      <c r="L366" s="14">
        <v>0.0</v>
      </c>
      <c r="M366" s="25"/>
      <c r="N366" s="26" t="s">
        <v>21</v>
      </c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>
      <c r="A367" s="14" t="s">
        <v>1458</v>
      </c>
      <c r="B367" s="17" t="s">
        <v>1452</v>
      </c>
      <c r="C367" s="17" t="s">
        <v>1459</v>
      </c>
      <c r="D367" s="19" t="s">
        <v>1460</v>
      </c>
      <c r="E367" s="20" t="s">
        <v>890</v>
      </c>
      <c r="F367" s="27">
        <v>23728.0</v>
      </c>
      <c r="G367" s="14">
        <f t="shared" si="1"/>
        <v>61</v>
      </c>
      <c r="H367" s="23" t="s">
        <v>26</v>
      </c>
      <c r="I367" s="24" t="s">
        <v>33</v>
      </c>
      <c r="J367" s="19" t="s">
        <v>53</v>
      </c>
      <c r="K367" s="14">
        <v>6.0</v>
      </c>
      <c r="L367" s="14">
        <v>0.0</v>
      </c>
      <c r="M367" s="25"/>
      <c r="N367" s="26" t="s">
        <v>21</v>
      </c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>
      <c r="A368" s="14" t="s">
        <v>1461</v>
      </c>
      <c r="B368" s="17" t="s">
        <v>1452</v>
      </c>
      <c r="C368" s="17" t="s">
        <v>1462</v>
      </c>
      <c r="D368" s="19" t="s">
        <v>1463</v>
      </c>
      <c r="E368" s="20" t="s">
        <v>53</v>
      </c>
      <c r="F368" s="21">
        <v>35505.0</v>
      </c>
      <c r="G368" s="14">
        <f t="shared" si="1"/>
        <v>29</v>
      </c>
      <c r="H368" s="23" t="s">
        <v>100</v>
      </c>
      <c r="I368" s="24" t="s">
        <v>33</v>
      </c>
      <c r="J368" s="19" t="s">
        <v>53</v>
      </c>
      <c r="K368" s="14">
        <v>6.0</v>
      </c>
      <c r="L368" s="14">
        <v>0.0</v>
      </c>
      <c r="M368" s="25"/>
      <c r="N368" s="26" t="s">
        <v>21</v>
      </c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>
      <c r="A369" s="14" t="s">
        <v>1464</v>
      </c>
      <c r="B369" s="17" t="s">
        <v>1465</v>
      </c>
      <c r="C369" s="17" t="s">
        <v>1466</v>
      </c>
      <c r="D369" s="19" t="s">
        <v>1467</v>
      </c>
      <c r="E369" s="20" t="s">
        <v>1468</v>
      </c>
      <c r="F369" s="21">
        <v>31292.0</v>
      </c>
      <c r="G369" s="14">
        <f t="shared" si="1"/>
        <v>41</v>
      </c>
      <c r="H369" s="23" t="s">
        <v>26</v>
      </c>
      <c r="I369" s="24" t="s">
        <v>33</v>
      </c>
      <c r="J369" s="19" t="s">
        <v>53</v>
      </c>
      <c r="K369" s="14">
        <v>2.0</v>
      </c>
      <c r="L369" s="14">
        <v>0.0</v>
      </c>
      <c r="M369" s="25"/>
      <c r="N369" s="26" t="s">
        <v>21</v>
      </c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>
      <c r="A370" s="14" t="s">
        <v>1469</v>
      </c>
      <c r="B370" s="17" t="s">
        <v>1465</v>
      </c>
      <c r="C370" s="17" t="s">
        <v>1470</v>
      </c>
      <c r="D370" s="19" t="s">
        <v>1471</v>
      </c>
      <c r="E370" s="20" t="s">
        <v>1269</v>
      </c>
      <c r="F370" s="21">
        <v>30133.0</v>
      </c>
      <c r="G370" s="14">
        <f t="shared" si="1"/>
        <v>44</v>
      </c>
      <c r="H370" s="23" t="s">
        <v>26</v>
      </c>
      <c r="I370" s="24" t="s">
        <v>27</v>
      </c>
      <c r="J370" s="19" t="s">
        <v>53</v>
      </c>
      <c r="K370" s="14">
        <v>2.0</v>
      </c>
      <c r="L370" s="14">
        <v>0.0</v>
      </c>
      <c r="M370" s="25"/>
      <c r="N370" s="26" t="s">
        <v>21</v>
      </c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>
      <c r="A371" s="14" t="s">
        <v>1472</v>
      </c>
      <c r="B371" s="17" t="s">
        <v>1473</v>
      </c>
      <c r="C371" s="17" t="s">
        <v>1474</v>
      </c>
      <c r="D371" s="19" t="s">
        <v>1475</v>
      </c>
      <c r="E371" s="20" t="s">
        <v>104</v>
      </c>
      <c r="F371" s="21">
        <v>30471.0</v>
      </c>
      <c r="G371" s="14">
        <f t="shared" si="1"/>
        <v>43</v>
      </c>
      <c r="H371" s="23" t="s">
        <v>26</v>
      </c>
      <c r="I371" s="24" t="s">
        <v>27</v>
      </c>
      <c r="J371" s="19" t="s">
        <v>53</v>
      </c>
      <c r="K371" s="14">
        <v>16.0</v>
      </c>
      <c r="L371" s="14">
        <v>0.0</v>
      </c>
      <c r="M371" s="25"/>
      <c r="N371" s="26" t="s">
        <v>21</v>
      </c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>
      <c r="A372" s="14" t="s">
        <v>1476</v>
      </c>
      <c r="B372" s="17" t="s">
        <v>1473</v>
      </c>
      <c r="C372" s="17" t="s">
        <v>1478</v>
      </c>
      <c r="D372" s="19" t="s">
        <v>1480</v>
      </c>
      <c r="E372" s="20" t="s">
        <v>104</v>
      </c>
      <c r="F372" s="21">
        <v>30233.0</v>
      </c>
      <c r="G372" s="14">
        <f t="shared" si="1"/>
        <v>44</v>
      </c>
      <c r="H372" s="23" t="s">
        <v>26</v>
      </c>
      <c r="I372" s="24" t="s">
        <v>33</v>
      </c>
      <c r="J372" s="19" t="s">
        <v>53</v>
      </c>
      <c r="K372" s="14">
        <v>16.0</v>
      </c>
      <c r="L372" s="14">
        <v>0.0</v>
      </c>
      <c r="M372" s="25"/>
      <c r="N372" s="26" t="s">
        <v>21</v>
      </c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>
      <c r="A373" s="14" t="s">
        <v>1484</v>
      </c>
      <c r="B373" s="17" t="s">
        <v>1485</v>
      </c>
      <c r="C373" s="17" t="s">
        <v>1486</v>
      </c>
      <c r="D373" s="19" t="s">
        <v>1487</v>
      </c>
      <c r="E373" s="20" t="s">
        <v>104</v>
      </c>
      <c r="F373" s="21">
        <v>26481.0</v>
      </c>
      <c r="G373" s="14">
        <f t="shared" si="1"/>
        <v>54</v>
      </c>
      <c r="H373" s="23" t="s">
        <v>26</v>
      </c>
      <c r="I373" s="24" t="s">
        <v>33</v>
      </c>
      <c r="J373" s="19" t="s">
        <v>517</v>
      </c>
      <c r="K373" s="14">
        <v>36.0</v>
      </c>
      <c r="L373" s="14">
        <v>0.0</v>
      </c>
      <c r="M373" s="25"/>
      <c r="N373" s="26" t="s">
        <v>21</v>
      </c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>
      <c r="A374" s="14" t="s">
        <v>1488</v>
      </c>
      <c r="B374" s="17" t="s">
        <v>1485</v>
      </c>
      <c r="C374" s="17" t="s">
        <v>1489</v>
      </c>
      <c r="D374" s="19" t="s">
        <v>1490</v>
      </c>
      <c r="E374" s="20" t="s">
        <v>104</v>
      </c>
      <c r="F374" s="27">
        <v>32123.0</v>
      </c>
      <c r="G374" s="14">
        <f t="shared" si="1"/>
        <v>38</v>
      </c>
      <c r="H374" s="23" t="s">
        <v>26</v>
      </c>
      <c r="I374" s="24" t="s">
        <v>27</v>
      </c>
      <c r="J374" s="19" t="s">
        <v>517</v>
      </c>
      <c r="K374" s="14">
        <v>36.0</v>
      </c>
      <c r="L374" s="14">
        <v>0.0</v>
      </c>
      <c r="M374" s="25"/>
      <c r="N374" s="26" t="s">
        <v>21</v>
      </c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>
      <c r="A375" s="14" t="s">
        <v>1491</v>
      </c>
      <c r="B375" s="17" t="s">
        <v>1492</v>
      </c>
      <c r="C375" s="17" t="s">
        <v>1493</v>
      </c>
      <c r="D375" s="19" t="s">
        <v>1494</v>
      </c>
      <c r="E375" s="20" t="s">
        <v>654</v>
      </c>
      <c r="F375" s="21">
        <v>23879.0</v>
      </c>
      <c r="G375" s="14">
        <f t="shared" si="1"/>
        <v>61</v>
      </c>
      <c r="H375" s="23" t="s">
        <v>26</v>
      </c>
      <c r="I375" s="24" t="s">
        <v>27</v>
      </c>
      <c r="J375" s="19" t="s">
        <v>517</v>
      </c>
      <c r="K375" s="14">
        <v>5.0</v>
      </c>
      <c r="L375" s="14">
        <v>0.0</v>
      </c>
      <c r="M375" s="25"/>
      <c r="N375" s="26" t="s">
        <v>21</v>
      </c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>
      <c r="A376" s="14" t="s">
        <v>1495</v>
      </c>
      <c r="B376" s="17" t="s">
        <v>1492</v>
      </c>
      <c r="C376" s="17" t="s">
        <v>1496</v>
      </c>
      <c r="D376" s="19" t="s">
        <v>1497</v>
      </c>
      <c r="E376" s="20" t="s">
        <v>67</v>
      </c>
      <c r="F376" s="27">
        <v>21182.0</v>
      </c>
      <c r="G376" s="14">
        <f t="shared" si="1"/>
        <v>68</v>
      </c>
      <c r="H376" s="23" t="s">
        <v>26</v>
      </c>
      <c r="I376" s="24" t="s">
        <v>33</v>
      </c>
      <c r="J376" s="19" t="s">
        <v>517</v>
      </c>
      <c r="K376" s="14">
        <v>5.0</v>
      </c>
      <c r="L376" s="14">
        <v>0.0</v>
      </c>
      <c r="M376" s="25"/>
      <c r="N376" s="26" t="s">
        <v>21</v>
      </c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>
      <c r="A377" s="14" t="s">
        <v>1498</v>
      </c>
      <c r="B377" s="17" t="s">
        <v>1492</v>
      </c>
      <c r="C377" s="17" t="s">
        <v>1499</v>
      </c>
      <c r="D377" s="19" t="s">
        <v>1500</v>
      </c>
      <c r="E377" s="20" t="s">
        <v>654</v>
      </c>
      <c r="F377" s="21">
        <v>17604.0</v>
      </c>
      <c r="G377" s="14">
        <f t="shared" si="1"/>
        <v>78</v>
      </c>
      <c r="H377" s="23" t="s">
        <v>27</v>
      </c>
      <c r="I377" s="24" t="s">
        <v>27</v>
      </c>
      <c r="J377" s="19" t="s">
        <v>517</v>
      </c>
      <c r="K377" s="14">
        <v>5.0</v>
      </c>
      <c r="L377" s="14">
        <v>0.0</v>
      </c>
      <c r="M377" s="25"/>
      <c r="N377" s="26" t="s">
        <v>21</v>
      </c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>
      <c r="A378" s="14" t="s">
        <v>1501</v>
      </c>
      <c r="B378" s="17" t="s">
        <v>1502</v>
      </c>
      <c r="C378" s="17" t="s">
        <v>1503</v>
      </c>
      <c r="D378" s="19" t="s">
        <v>1504</v>
      </c>
      <c r="E378" s="20" t="s">
        <v>632</v>
      </c>
      <c r="F378" s="21">
        <v>23272.0</v>
      </c>
      <c r="G378" s="14">
        <f t="shared" si="1"/>
        <v>63</v>
      </c>
      <c r="H378" s="23" t="s">
        <v>26</v>
      </c>
      <c r="I378" s="24" t="s">
        <v>33</v>
      </c>
      <c r="J378" s="19" t="s">
        <v>757</v>
      </c>
      <c r="K378" s="14">
        <v>10.0</v>
      </c>
      <c r="L378" s="14">
        <v>0.0</v>
      </c>
      <c r="M378" s="25"/>
      <c r="N378" s="26" t="s">
        <v>21</v>
      </c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>
      <c r="A379" s="14" t="s">
        <v>1505</v>
      </c>
      <c r="B379" s="17" t="s">
        <v>1502</v>
      </c>
      <c r="C379" s="17" t="s">
        <v>1506</v>
      </c>
      <c r="D379" s="19" t="s">
        <v>1507</v>
      </c>
      <c r="E379" s="20" t="s">
        <v>53</v>
      </c>
      <c r="F379" s="21">
        <v>35249.0</v>
      </c>
      <c r="G379" s="14">
        <f t="shared" si="1"/>
        <v>30</v>
      </c>
      <c r="H379" s="23" t="s">
        <v>100</v>
      </c>
      <c r="I379" s="24" t="s">
        <v>33</v>
      </c>
      <c r="J379" s="19" t="s">
        <v>757</v>
      </c>
      <c r="K379" s="14">
        <v>10.0</v>
      </c>
      <c r="L379" s="14">
        <v>5.0</v>
      </c>
      <c r="M379" s="25"/>
      <c r="N379" s="26" t="s">
        <v>21</v>
      </c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>
      <c r="A380" s="14" t="s">
        <v>1508</v>
      </c>
      <c r="B380" s="17" t="s">
        <v>1502</v>
      </c>
      <c r="C380" s="17" t="s">
        <v>1509</v>
      </c>
      <c r="D380" s="19" t="s">
        <v>1510</v>
      </c>
      <c r="E380" s="20" t="s">
        <v>290</v>
      </c>
      <c r="F380" s="21">
        <v>25097.0</v>
      </c>
      <c r="G380" s="14">
        <f t="shared" si="1"/>
        <v>58</v>
      </c>
      <c r="H380" s="23" t="s">
        <v>26</v>
      </c>
      <c r="I380" s="24" t="s">
        <v>27</v>
      </c>
      <c r="J380" s="19" t="s">
        <v>757</v>
      </c>
      <c r="K380" s="14">
        <v>10.0</v>
      </c>
      <c r="L380" s="14">
        <v>0.0</v>
      </c>
      <c r="M380" s="25"/>
      <c r="N380" s="26" t="s">
        <v>21</v>
      </c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>
      <c r="A381" s="39" t="s">
        <v>1511</v>
      </c>
      <c r="B381" s="17" t="s">
        <v>1512</v>
      </c>
      <c r="C381" s="17" t="s">
        <v>1576</v>
      </c>
      <c r="D381" s="19" t="s">
        <v>1577</v>
      </c>
      <c r="E381" s="20" t="s">
        <v>1578</v>
      </c>
      <c r="F381" s="21">
        <v>38757.0</v>
      </c>
      <c r="G381" s="14">
        <f t="shared" si="1"/>
        <v>20</v>
      </c>
      <c r="H381" s="23" t="s">
        <v>26</v>
      </c>
      <c r="I381" s="24" t="s">
        <v>27</v>
      </c>
      <c r="J381" s="40" t="s">
        <v>1579</v>
      </c>
      <c r="K381" s="14">
        <v>32.0</v>
      </c>
      <c r="L381" s="14">
        <v>0.0</v>
      </c>
      <c r="M381" s="25"/>
      <c r="N381" s="26" t="s">
        <v>21</v>
      </c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>
      <c r="A382" s="39" t="s">
        <v>1516</v>
      </c>
      <c r="B382" s="17" t="s">
        <v>1512</v>
      </c>
      <c r="C382" s="17" t="s">
        <v>1517</v>
      </c>
      <c r="D382" s="19" t="s">
        <v>1518</v>
      </c>
      <c r="E382" s="20" t="s">
        <v>1519</v>
      </c>
      <c r="F382" s="21">
        <v>31917.0</v>
      </c>
      <c r="G382" s="14">
        <f t="shared" si="1"/>
        <v>39</v>
      </c>
      <c r="H382" s="23" t="s">
        <v>26</v>
      </c>
      <c r="I382" s="24" t="s">
        <v>27</v>
      </c>
      <c r="J382" s="19" t="s">
        <v>282</v>
      </c>
      <c r="K382" s="14">
        <v>16.0</v>
      </c>
      <c r="L382" s="14">
        <v>0.0</v>
      </c>
      <c r="M382" s="25"/>
      <c r="N382" s="26" t="s">
        <v>21</v>
      </c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>
      <c r="A383" s="39" t="s">
        <v>1520</v>
      </c>
      <c r="B383" s="17" t="s">
        <v>1521</v>
      </c>
      <c r="C383" s="17" t="s">
        <v>1522</v>
      </c>
      <c r="D383" s="19" t="s">
        <v>1523</v>
      </c>
      <c r="E383" s="20" t="s">
        <v>632</v>
      </c>
      <c r="F383" s="21">
        <v>37325.0</v>
      </c>
      <c r="G383" s="14">
        <f t="shared" si="1"/>
        <v>24</v>
      </c>
      <c r="H383" s="23" t="s">
        <v>100</v>
      </c>
      <c r="I383" s="24" t="s">
        <v>33</v>
      </c>
      <c r="J383" s="19" t="s">
        <v>362</v>
      </c>
      <c r="K383" s="14">
        <v>23.0</v>
      </c>
      <c r="L383" s="14">
        <v>0.0</v>
      </c>
      <c r="M383" s="25"/>
      <c r="N383" s="26" t="s">
        <v>21</v>
      </c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>
      <c r="A384" s="39" t="s">
        <v>1524</v>
      </c>
      <c r="B384" s="17" t="s">
        <v>1521</v>
      </c>
      <c r="C384" s="17" t="s">
        <v>1525</v>
      </c>
      <c r="D384" s="19" t="s">
        <v>1526</v>
      </c>
      <c r="E384" s="20" t="s">
        <v>53</v>
      </c>
      <c r="F384" s="21">
        <v>38199.0</v>
      </c>
      <c r="G384" s="14">
        <f t="shared" si="1"/>
        <v>22</v>
      </c>
      <c r="H384" s="23" t="s">
        <v>100</v>
      </c>
      <c r="I384" s="24" t="s">
        <v>27</v>
      </c>
      <c r="J384" s="19" t="s">
        <v>362</v>
      </c>
      <c r="K384" s="14">
        <v>23.0</v>
      </c>
      <c r="L384" s="14">
        <v>0.0</v>
      </c>
      <c r="M384" s="25"/>
      <c r="N384" s="26" t="s">
        <v>21</v>
      </c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>
      <c r="A385" s="39" t="s">
        <v>1527</v>
      </c>
      <c r="B385" s="17" t="s">
        <v>1521</v>
      </c>
      <c r="C385" s="17" t="s">
        <v>1528</v>
      </c>
      <c r="D385" s="19" t="s">
        <v>1529</v>
      </c>
      <c r="E385" s="20" t="s">
        <v>104</v>
      </c>
      <c r="F385" s="21">
        <v>29842.0</v>
      </c>
      <c r="G385" s="14">
        <f t="shared" si="1"/>
        <v>45</v>
      </c>
      <c r="H385" s="23" t="s">
        <v>27</v>
      </c>
      <c r="I385" s="24" t="s">
        <v>27</v>
      </c>
      <c r="J385" s="19" t="s">
        <v>362</v>
      </c>
      <c r="K385" s="14">
        <v>23.0</v>
      </c>
      <c r="L385" s="14">
        <v>0.0</v>
      </c>
      <c r="M385" s="25"/>
      <c r="N385" s="26" t="s">
        <v>21</v>
      </c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>
      <c r="A386" s="14" t="s">
        <v>1530</v>
      </c>
      <c r="B386" s="17" t="s">
        <v>1531</v>
      </c>
      <c r="C386" s="17" t="s">
        <v>1532</v>
      </c>
      <c r="D386" s="19" t="s">
        <v>1533</v>
      </c>
      <c r="E386" s="20" t="s">
        <v>104</v>
      </c>
      <c r="F386" s="21">
        <v>39258.0</v>
      </c>
      <c r="G386" s="14">
        <f t="shared" si="1"/>
        <v>19</v>
      </c>
      <c r="H386" s="23" t="s">
        <v>100</v>
      </c>
      <c r="I386" s="24" t="s">
        <v>27</v>
      </c>
      <c r="J386" s="19" t="s">
        <v>58</v>
      </c>
      <c r="K386" s="14">
        <v>7.0</v>
      </c>
      <c r="L386" s="14">
        <v>0.0</v>
      </c>
      <c r="M386" s="25"/>
      <c r="N386" s="26" t="s">
        <v>21</v>
      </c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>
      <c r="A387" s="14" t="s">
        <v>1534</v>
      </c>
      <c r="B387" s="17" t="s">
        <v>1531</v>
      </c>
      <c r="C387" s="17" t="s">
        <v>1535</v>
      </c>
      <c r="D387" s="19" t="s">
        <v>1536</v>
      </c>
      <c r="E387" s="20" t="s">
        <v>624</v>
      </c>
      <c r="F387" s="21">
        <v>23377.0</v>
      </c>
      <c r="G387" s="14">
        <f t="shared" si="1"/>
        <v>62</v>
      </c>
      <c r="H387" s="23" t="s">
        <v>26</v>
      </c>
      <c r="I387" s="24" t="s">
        <v>33</v>
      </c>
      <c r="J387" s="19" t="s">
        <v>58</v>
      </c>
      <c r="K387" s="14">
        <v>7.0</v>
      </c>
      <c r="L387" s="14">
        <v>0.0</v>
      </c>
      <c r="M387" s="25"/>
      <c r="N387" s="26" t="s">
        <v>21</v>
      </c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>
      <c r="A388" s="14" t="s">
        <v>1537</v>
      </c>
      <c r="B388" s="17" t="s">
        <v>1531</v>
      </c>
      <c r="C388" s="17" t="s">
        <v>1538</v>
      </c>
      <c r="D388" s="19" t="s">
        <v>1539</v>
      </c>
      <c r="E388" s="20" t="s">
        <v>434</v>
      </c>
      <c r="F388" s="21">
        <v>26401.0</v>
      </c>
      <c r="G388" s="14">
        <f t="shared" si="1"/>
        <v>54</v>
      </c>
      <c r="H388" s="23" t="s">
        <v>26</v>
      </c>
      <c r="I388" s="24" t="s">
        <v>27</v>
      </c>
      <c r="J388" s="19" t="s">
        <v>58</v>
      </c>
      <c r="K388" s="14">
        <v>7.0</v>
      </c>
      <c r="L388" s="14">
        <v>0.0</v>
      </c>
      <c r="M388" s="25"/>
      <c r="N388" s="26" t="s">
        <v>21</v>
      </c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>
      <c r="A389" s="14" t="s">
        <v>1540</v>
      </c>
      <c r="B389" s="17" t="s">
        <v>1541</v>
      </c>
      <c r="C389" s="17" t="s">
        <v>1542</v>
      </c>
      <c r="D389" s="19" t="s">
        <v>1543</v>
      </c>
      <c r="E389" s="20" t="s">
        <v>104</v>
      </c>
      <c r="F389" s="21">
        <v>27559.0</v>
      </c>
      <c r="G389" s="14">
        <f t="shared" si="1"/>
        <v>51</v>
      </c>
      <c r="H389" s="23" t="s">
        <v>26</v>
      </c>
      <c r="I389" s="24" t="s">
        <v>33</v>
      </c>
      <c r="J389" s="19" t="s">
        <v>53</v>
      </c>
      <c r="K389" s="14">
        <v>11.0</v>
      </c>
      <c r="L389" s="14">
        <v>0.0</v>
      </c>
      <c r="M389" s="25"/>
      <c r="N389" s="26" t="s">
        <v>21</v>
      </c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>
      <c r="A390" s="14" t="s">
        <v>1544</v>
      </c>
      <c r="B390" s="17" t="s">
        <v>1541</v>
      </c>
      <c r="C390" s="17" t="s">
        <v>1545</v>
      </c>
      <c r="D390" s="19" t="s">
        <v>1546</v>
      </c>
      <c r="E390" s="20" t="s">
        <v>104</v>
      </c>
      <c r="F390" s="21">
        <v>38970.0</v>
      </c>
      <c r="G390" s="14">
        <f t="shared" si="1"/>
        <v>20</v>
      </c>
      <c r="H390" s="23" t="s">
        <v>26</v>
      </c>
      <c r="I390" s="24" t="s">
        <v>27</v>
      </c>
      <c r="J390" s="19" t="s">
        <v>53</v>
      </c>
      <c r="K390" s="14">
        <v>11.0</v>
      </c>
      <c r="L390" s="14">
        <v>0.0</v>
      </c>
      <c r="M390" s="25"/>
      <c r="N390" s="26" t="s">
        <v>21</v>
      </c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>
      <c r="A391" s="14" t="s">
        <v>1547</v>
      </c>
      <c r="B391" s="17" t="s">
        <v>1541</v>
      </c>
      <c r="C391" s="17" t="s">
        <v>1548</v>
      </c>
      <c r="D391" s="19" t="s">
        <v>1549</v>
      </c>
      <c r="E391" s="20" t="s">
        <v>1550</v>
      </c>
      <c r="F391" s="21">
        <v>28545.0</v>
      </c>
      <c r="G391" s="14">
        <f t="shared" si="1"/>
        <v>48</v>
      </c>
      <c r="H391" s="23" t="s">
        <v>26</v>
      </c>
      <c r="I391" s="24" t="s">
        <v>27</v>
      </c>
      <c r="J391" s="19" t="s">
        <v>282</v>
      </c>
      <c r="K391" s="14">
        <v>11.0</v>
      </c>
      <c r="L391" s="14">
        <v>0.0</v>
      </c>
      <c r="M391" s="25"/>
      <c r="N391" s="26" t="s">
        <v>21</v>
      </c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>
      <c r="A392" s="14" t="s">
        <v>1551</v>
      </c>
      <c r="B392" s="17" t="s">
        <v>1541</v>
      </c>
      <c r="C392" s="17" t="s">
        <v>1552</v>
      </c>
      <c r="D392" s="19" t="s">
        <v>1553</v>
      </c>
      <c r="E392" s="20" t="s">
        <v>104</v>
      </c>
      <c r="F392" s="21">
        <v>36419.0</v>
      </c>
      <c r="G392" s="14">
        <f t="shared" si="1"/>
        <v>27</v>
      </c>
      <c r="H392" s="23" t="s">
        <v>100</v>
      </c>
      <c r="I392" s="24" t="s">
        <v>33</v>
      </c>
      <c r="J392" s="19" t="s">
        <v>53</v>
      </c>
      <c r="K392" s="14">
        <v>11.0</v>
      </c>
      <c r="L392" s="14">
        <v>0.0</v>
      </c>
      <c r="M392" s="25"/>
      <c r="N392" s="26" t="s">
        <v>21</v>
      </c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>
      <c r="A393" s="14" t="s">
        <v>1554</v>
      </c>
      <c r="B393" s="17" t="s">
        <v>1555</v>
      </c>
      <c r="C393" s="17" t="s">
        <v>1556</v>
      </c>
      <c r="D393" s="19" t="s">
        <v>1557</v>
      </c>
      <c r="E393" s="20" t="s">
        <v>632</v>
      </c>
      <c r="F393" s="21">
        <v>21380.0</v>
      </c>
      <c r="G393" s="14">
        <f t="shared" si="1"/>
        <v>68</v>
      </c>
      <c r="H393" s="23" t="s">
        <v>27</v>
      </c>
      <c r="I393" s="24" t="s">
        <v>33</v>
      </c>
      <c r="J393" s="19" t="s">
        <v>328</v>
      </c>
      <c r="K393" s="14">
        <v>27.0</v>
      </c>
      <c r="L393" s="14">
        <v>0.0</v>
      </c>
      <c r="M393" s="25"/>
      <c r="N393" s="26" t="s">
        <v>21</v>
      </c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>
      <c r="A394" s="14" t="s">
        <v>1558</v>
      </c>
      <c r="B394" s="17" t="s">
        <v>1559</v>
      </c>
      <c r="C394" s="17" t="s">
        <v>1560</v>
      </c>
      <c r="D394" s="19" t="s">
        <v>1561</v>
      </c>
      <c r="E394" s="20" t="s">
        <v>104</v>
      </c>
      <c r="F394" s="21">
        <v>31666.0</v>
      </c>
      <c r="G394" s="14">
        <f t="shared" si="1"/>
        <v>40</v>
      </c>
      <c r="H394" s="23" t="s">
        <v>26</v>
      </c>
      <c r="I394" s="24" t="s">
        <v>33</v>
      </c>
      <c r="J394" s="19" t="s">
        <v>39</v>
      </c>
      <c r="K394" s="14">
        <v>16.0</v>
      </c>
      <c r="L394" s="14">
        <v>0.0</v>
      </c>
      <c r="M394" s="25"/>
      <c r="N394" s="26" t="s">
        <v>21</v>
      </c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>
      <c r="A395" s="14" t="s">
        <v>1562</v>
      </c>
      <c r="B395" s="17" t="s">
        <v>1559</v>
      </c>
      <c r="C395" s="17" t="s">
        <v>1563</v>
      </c>
      <c r="D395" s="19" t="s">
        <v>1564</v>
      </c>
      <c r="E395" s="20" t="s">
        <v>138</v>
      </c>
      <c r="F395" s="27">
        <v>35062.0</v>
      </c>
      <c r="G395" s="14">
        <f t="shared" si="1"/>
        <v>30</v>
      </c>
      <c r="H395" s="23" t="s">
        <v>26</v>
      </c>
      <c r="I395" s="24" t="s">
        <v>27</v>
      </c>
      <c r="J395" s="19" t="s">
        <v>39</v>
      </c>
      <c r="K395" s="14">
        <v>16.0</v>
      </c>
      <c r="L395" s="14">
        <v>0.0</v>
      </c>
      <c r="M395" s="25"/>
      <c r="N395" s="26" t="s">
        <v>21</v>
      </c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>
      <c r="A396" s="14" t="s">
        <v>1565</v>
      </c>
      <c r="B396" s="17" t="s">
        <v>1566</v>
      </c>
      <c r="C396" s="17" t="s">
        <v>1567</v>
      </c>
      <c r="D396" s="19" t="s">
        <v>1568</v>
      </c>
      <c r="E396" s="20" t="s">
        <v>1569</v>
      </c>
      <c r="F396" s="21">
        <v>28157.0</v>
      </c>
      <c r="G396" s="14">
        <f t="shared" si="1"/>
        <v>49</v>
      </c>
      <c r="H396" s="23" t="s">
        <v>26</v>
      </c>
      <c r="I396" s="24" t="s">
        <v>33</v>
      </c>
      <c r="J396" s="19" t="s">
        <v>328</v>
      </c>
      <c r="K396" s="14">
        <v>26.0</v>
      </c>
      <c r="L396" s="14">
        <v>0.0</v>
      </c>
      <c r="M396" s="25"/>
      <c r="N396" s="26" t="s">
        <v>21</v>
      </c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>
      <c r="A397" s="14" t="s">
        <v>1570</v>
      </c>
      <c r="B397" s="17" t="s">
        <v>1566</v>
      </c>
      <c r="C397" s="17" t="s">
        <v>1571</v>
      </c>
      <c r="D397" s="19" t="s">
        <v>1572</v>
      </c>
      <c r="E397" s="20" t="s">
        <v>104</v>
      </c>
      <c r="F397" s="21">
        <v>29137.0</v>
      </c>
      <c r="G397" s="14">
        <f t="shared" si="1"/>
        <v>47</v>
      </c>
      <c r="H397" s="23" t="s">
        <v>26</v>
      </c>
      <c r="I397" s="24" t="s">
        <v>27</v>
      </c>
      <c r="J397" s="19" t="s">
        <v>328</v>
      </c>
      <c r="K397" s="14">
        <v>26.0</v>
      </c>
      <c r="L397" s="14">
        <v>0.0</v>
      </c>
      <c r="M397" s="25"/>
      <c r="N397" s="26" t="s">
        <v>21</v>
      </c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>
      <c r="A398" s="14" t="s">
        <v>1573</v>
      </c>
      <c r="B398" s="17" t="s">
        <v>1566</v>
      </c>
      <c r="C398" s="17" t="s">
        <v>1574</v>
      </c>
      <c r="D398" s="19" t="s">
        <v>1575</v>
      </c>
      <c r="E398" s="20" t="s">
        <v>195</v>
      </c>
      <c r="F398" s="21">
        <v>37313.0</v>
      </c>
      <c r="G398" s="14">
        <f t="shared" si="1"/>
        <v>24</v>
      </c>
      <c r="H398" s="23" t="s">
        <v>100</v>
      </c>
      <c r="I398" s="24" t="s">
        <v>33</v>
      </c>
      <c r="J398" s="19" t="s">
        <v>328</v>
      </c>
      <c r="K398" s="14">
        <v>26.0</v>
      </c>
      <c r="L398" s="14">
        <v>0.0</v>
      </c>
      <c r="M398" s="25"/>
      <c r="N398" s="26" t="s">
        <v>21</v>
      </c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>
      <c r="A399" s="14" t="s">
        <v>1580</v>
      </c>
      <c r="B399" s="17" t="s">
        <v>1581</v>
      </c>
      <c r="C399" s="17" t="s">
        <v>1582</v>
      </c>
      <c r="D399" s="19" t="s">
        <v>1583</v>
      </c>
      <c r="E399" s="20" t="s">
        <v>337</v>
      </c>
      <c r="F399" s="21">
        <v>37854.0</v>
      </c>
      <c r="G399" s="14">
        <f t="shared" si="1"/>
        <v>23</v>
      </c>
      <c r="H399" s="23" t="s">
        <v>100</v>
      </c>
      <c r="I399" s="24" t="s">
        <v>27</v>
      </c>
      <c r="J399" s="19" t="s">
        <v>282</v>
      </c>
      <c r="K399" s="14">
        <v>15.0</v>
      </c>
      <c r="L399" s="14">
        <v>0.0</v>
      </c>
      <c r="M399" s="25"/>
      <c r="N399" s="26" t="s">
        <v>21</v>
      </c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>
      <c r="A400" s="14" t="s">
        <v>1584</v>
      </c>
      <c r="B400" s="17" t="s">
        <v>1581</v>
      </c>
      <c r="C400" s="17" t="s">
        <v>1585</v>
      </c>
      <c r="D400" s="19" t="s">
        <v>1586</v>
      </c>
      <c r="E400" s="20" t="s">
        <v>1587</v>
      </c>
      <c r="F400" s="27">
        <v>36853.0</v>
      </c>
      <c r="G400" s="14">
        <f t="shared" si="1"/>
        <v>25</v>
      </c>
      <c r="H400" s="23" t="s">
        <v>100</v>
      </c>
      <c r="I400" s="24" t="s">
        <v>27</v>
      </c>
      <c r="J400" s="19" t="s">
        <v>282</v>
      </c>
      <c r="K400" s="14">
        <v>15.0</v>
      </c>
      <c r="L400" s="14">
        <v>0.0</v>
      </c>
      <c r="M400" s="25"/>
      <c r="N400" s="26" t="s">
        <v>21</v>
      </c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>
      <c r="A401" s="14" t="s">
        <v>1588</v>
      </c>
      <c r="B401" s="17" t="s">
        <v>1581</v>
      </c>
      <c r="C401" s="17" t="s">
        <v>1589</v>
      </c>
      <c r="D401" s="19" t="s">
        <v>1590</v>
      </c>
      <c r="E401" s="20" t="s">
        <v>1049</v>
      </c>
      <c r="F401" s="21">
        <v>24221.0</v>
      </c>
      <c r="G401" s="14">
        <f t="shared" si="1"/>
        <v>60</v>
      </c>
      <c r="H401" s="23" t="s">
        <v>27</v>
      </c>
      <c r="I401" s="24" t="s">
        <v>33</v>
      </c>
      <c r="J401" s="19" t="s">
        <v>282</v>
      </c>
      <c r="K401" s="14">
        <v>15.0</v>
      </c>
      <c r="L401" s="14">
        <v>0.0</v>
      </c>
      <c r="M401" s="25"/>
      <c r="N401" s="26" t="s">
        <v>21</v>
      </c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>
      <c r="A402" s="14" t="s">
        <v>1591</v>
      </c>
      <c r="B402" s="17" t="s">
        <v>1592</v>
      </c>
      <c r="C402" s="17" t="s">
        <v>1593</v>
      </c>
      <c r="D402" s="19" t="s">
        <v>1594</v>
      </c>
      <c r="E402" s="20" t="s">
        <v>880</v>
      </c>
      <c r="F402" s="21">
        <v>24876.0</v>
      </c>
      <c r="G402" s="14">
        <f t="shared" si="1"/>
        <v>58</v>
      </c>
      <c r="H402" s="23" t="s">
        <v>26</v>
      </c>
      <c r="I402" s="24" t="s">
        <v>33</v>
      </c>
      <c r="J402" s="19" t="s">
        <v>328</v>
      </c>
      <c r="K402" s="14">
        <v>23.0</v>
      </c>
      <c r="L402" s="14">
        <v>0.0</v>
      </c>
      <c r="M402" s="25"/>
      <c r="N402" s="26" t="s">
        <v>21</v>
      </c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>
      <c r="A403" s="14" t="s">
        <v>1595</v>
      </c>
      <c r="B403" s="17" t="s">
        <v>1592</v>
      </c>
      <c r="C403" s="17" t="s">
        <v>1596</v>
      </c>
      <c r="D403" s="19" t="s">
        <v>1597</v>
      </c>
      <c r="E403" s="20" t="s">
        <v>632</v>
      </c>
      <c r="F403" s="27">
        <v>26978.0</v>
      </c>
      <c r="G403" s="14">
        <f t="shared" si="1"/>
        <v>52</v>
      </c>
      <c r="H403" s="23" t="s">
        <v>26</v>
      </c>
      <c r="I403" s="24" t="s">
        <v>27</v>
      </c>
      <c r="J403" s="19" t="s">
        <v>328</v>
      </c>
      <c r="K403" s="14">
        <v>23.0</v>
      </c>
      <c r="L403" s="14">
        <v>0.0</v>
      </c>
      <c r="M403" s="25"/>
      <c r="N403" s="26" t="s">
        <v>21</v>
      </c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>
      <c r="A404" s="14" t="s">
        <v>1598</v>
      </c>
      <c r="B404" s="17" t="s">
        <v>1599</v>
      </c>
      <c r="C404" s="17" t="s">
        <v>1600</v>
      </c>
      <c r="D404" s="19" t="s">
        <v>1601</v>
      </c>
      <c r="E404" s="20" t="s">
        <v>632</v>
      </c>
      <c r="F404" s="21">
        <v>23507.0</v>
      </c>
      <c r="G404" s="14">
        <f t="shared" si="1"/>
        <v>62</v>
      </c>
      <c r="H404" s="23" t="s">
        <v>26</v>
      </c>
      <c r="I404" s="24" t="s">
        <v>33</v>
      </c>
      <c r="J404" s="19" t="s">
        <v>328</v>
      </c>
      <c r="K404" s="14">
        <v>23.0</v>
      </c>
      <c r="L404" s="14">
        <v>1.0</v>
      </c>
      <c r="M404" s="25"/>
      <c r="N404" s="26" t="s">
        <v>21</v>
      </c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>
      <c r="A405" s="14" t="s">
        <v>1602</v>
      </c>
      <c r="B405" s="17" t="s">
        <v>1599</v>
      </c>
      <c r="C405" s="17" t="s">
        <v>1603</v>
      </c>
      <c r="D405" s="19" t="s">
        <v>1604</v>
      </c>
      <c r="E405" s="20" t="s">
        <v>632</v>
      </c>
      <c r="F405" s="21">
        <v>23898.0</v>
      </c>
      <c r="G405" s="14">
        <f t="shared" si="1"/>
        <v>61</v>
      </c>
      <c r="H405" s="23" t="s">
        <v>26</v>
      </c>
      <c r="I405" s="24" t="s">
        <v>27</v>
      </c>
      <c r="J405" s="19" t="s">
        <v>328</v>
      </c>
      <c r="K405" s="14">
        <v>23.0</v>
      </c>
      <c r="L405" s="14">
        <v>0.0</v>
      </c>
      <c r="M405" s="25"/>
      <c r="N405" s="26" t="s">
        <v>21</v>
      </c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>
      <c r="A406" s="14" t="s">
        <v>1605</v>
      </c>
      <c r="B406" s="17" t="s">
        <v>1606</v>
      </c>
      <c r="C406" s="17" t="s">
        <v>1607</v>
      </c>
      <c r="D406" s="19" t="s">
        <v>1608</v>
      </c>
      <c r="E406" s="20" t="s">
        <v>53</v>
      </c>
      <c r="F406" s="21">
        <v>38216.0</v>
      </c>
      <c r="G406" s="14">
        <f t="shared" si="1"/>
        <v>22</v>
      </c>
      <c r="H406" s="23" t="s">
        <v>100</v>
      </c>
      <c r="I406" s="24" t="s">
        <v>27</v>
      </c>
      <c r="J406" s="19" t="s">
        <v>146</v>
      </c>
      <c r="K406" s="14">
        <v>3.0</v>
      </c>
      <c r="L406" s="14">
        <v>0.0</v>
      </c>
      <c r="M406" s="25"/>
      <c r="N406" s="26" t="s">
        <v>21</v>
      </c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>
      <c r="A407" s="14" t="s">
        <v>1609</v>
      </c>
      <c r="B407" s="17" t="s">
        <v>1606</v>
      </c>
      <c r="C407" s="17" t="s">
        <v>1610</v>
      </c>
      <c r="D407" s="19" t="s">
        <v>1611</v>
      </c>
      <c r="E407" s="20" t="s">
        <v>880</v>
      </c>
      <c r="F407" s="21">
        <v>24940.0</v>
      </c>
      <c r="G407" s="14">
        <f t="shared" si="1"/>
        <v>58</v>
      </c>
      <c r="H407" s="23" t="s">
        <v>26</v>
      </c>
      <c r="I407" s="24" t="s">
        <v>33</v>
      </c>
      <c r="J407" s="19" t="s">
        <v>146</v>
      </c>
      <c r="K407" s="14">
        <v>3.0</v>
      </c>
      <c r="L407" s="14">
        <v>0.0</v>
      </c>
      <c r="M407" s="25"/>
      <c r="N407" s="26" t="s">
        <v>21</v>
      </c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>
      <c r="A408" s="14" t="s">
        <v>1612</v>
      </c>
      <c r="B408" s="17" t="s">
        <v>1606</v>
      </c>
      <c r="C408" s="17" t="s">
        <v>1613</v>
      </c>
      <c r="D408" s="19" t="s">
        <v>1614</v>
      </c>
      <c r="E408" s="20" t="s">
        <v>632</v>
      </c>
      <c r="F408" s="21">
        <v>26161.0</v>
      </c>
      <c r="G408" s="14">
        <f t="shared" si="1"/>
        <v>55</v>
      </c>
      <c r="H408" s="23" t="s">
        <v>26</v>
      </c>
      <c r="I408" s="24" t="s">
        <v>27</v>
      </c>
      <c r="J408" s="19" t="s">
        <v>146</v>
      </c>
      <c r="K408" s="14">
        <v>3.0</v>
      </c>
      <c r="L408" s="14">
        <v>0.0</v>
      </c>
      <c r="M408" s="25"/>
      <c r="N408" s="26" t="s">
        <v>21</v>
      </c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>
      <c r="A409" s="14" t="s">
        <v>1615</v>
      </c>
      <c r="B409" s="17" t="s">
        <v>1606</v>
      </c>
      <c r="C409" s="17" t="s">
        <v>1616</v>
      </c>
      <c r="D409" s="19" t="s">
        <v>1617</v>
      </c>
      <c r="E409" s="20" t="s">
        <v>104</v>
      </c>
      <c r="F409" s="27">
        <v>35391.0</v>
      </c>
      <c r="G409" s="14">
        <f t="shared" si="1"/>
        <v>29</v>
      </c>
      <c r="H409" s="23" t="s">
        <v>100</v>
      </c>
      <c r="I409" s="24" t="s">
        <v>33</v>
      </c>
      <c r="J409" s="19" t="s">
        <v>146</v>
      </c>
      <c r="K409" s="14">
        <v>3.0</v>
      </c>
      <c r="L409" s="14">
        <v>0.0</v>
      </c>
      <c r="M409" s="25"/>
      <c r="N409" s="26" t="s">
        <v>21</v>
      </c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>
      <c r="A410" s="14" t="s">
        <v>1618</v>
      </c>
      <c r="B410" s="17" t="s">
        <v>1619</v>
      </c>
      <c r="C410" s="17" t="s">
        <v>1620</v>
      </c>
      <c r="D410" s="19" t="s">
        <v>1621</v>
      </c>
      <c r="E410" s="20" t="s">
        <v>1622</v>
      </c>
      <c r="F410" s="21">
        <v>33180.0</v>
      </c>
      <c r="G410" s="14">
        <f t="shared" si="1"/>
        <v>35</v>
      </c>
      <c r="H410" s="23" t="s">
        <v>26</v>
      </c>
      <c r="I410" s="24" t="s">
        <v>33</v>
      </c>
      <c r="J410" s="19" t="s">
        <v>726</v>
      </c>
      <c r="K410" s="14">
        <v>16.0</v>
      </c>
      <c r="L410" s="14">
        <v>5.0</v>
      </c>
      <c r="M410" s="28" t="s">
        <v>1690</v>
      </c>
      <c r="N410" s="26" t="s">
        <v>21</v>
      </c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>
      <c r="A411" s="14" t="s">
        <v>1623</v>
      </c>
      <c r="B411" s="17" t="s">
        <v>1619</v>
      </c>
      <c r="C411" s="17" t="s">
        <v>1624</v>
      </c>
      <c r="D411" s="19" t="s">
        <v>1625</v>
      </c>
      <c r="E411" s="20" t="s">
        <v>1626</v>
      </c>
      <c r="F411" s="21">
        <v>34790.0</v>
      </c>
      <c r="G411" s="14">
        <f t="shared" si="1"/>
        <v>31</v>
      </c>
      <c r="H411" s="23" t="s">
        <v>26</v>
      </c>
      <c r="I411" s="24" t="s">
        <v>27</v>
      </c>
      <c r="J411" s="19" t="s">
        <v>726</v>
      </c>
      <c r="K411" s="14">
        <v>16.0</v>
      </c>
      <c r="L411" s="14">
        <v>0.0</v>
      </c>
      <c r="M411" s="25"/>
      <c r="N411" s="26" t="s">
        <v>21</v>
      </c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>
      <c r="A412" s="14" t="s">
        <v>1627</v>
      </c>
      <c r="B412" s="17" t="s">
        <v>1628</v>
      </c>
      <c r="C412" s="17" t="s">
        <v>1629</v>
      </c>
      <c r="D412" s="19" t="s">
        <v>1630</v>
      </c>
      <c r="E412" s="20" t="s">
        <v>138</v>
      </c>
      <c r="F412" s="21">
        <v>35704.0</v>
      </c>
      <c r="G412" s="14">
        <f t="shared" si="1"/>
        <v>29</v>
      </c>
      <c r="H412" s="23" t="s">
        <v>26</v>
      </c>
      <c r="I412" s="24" t="s">
        <v>27</v>
      </c>
      <c r="J412" s="19" t="s">
        <v>1631</v>
      </c>
      <c r="K412" s="14">
        <v>3.0</v>
      </c>
      <c r="L412" s="14">
        <v>0.0</v>
      </c>
      <c r="M412" s="25"/>
      <c r="N412" s="26" t="s">
        <v>21</v>
      </c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>
      <c r="A413" s="14" t="s">
        <v>1632</v>
      </c>
      <c r="B413" s="17" t="s">
        <v>1628</v>
      </c>
      <c r="C413" s="17" t="s">
        <v>1633</v>
      </c>
      <c r="D413" s="19" t="s">
        <v>1634</v>
      </c>
      <c r="E413" s="20" t="s">
        <v>138</v>
      </c>
      <c r="F413" s="21">
        <v>36614.0</v>
      </c>
      <c r="G413" s="14">
        <f t="shared" si="1"/>
        <v>26</v>
      </c>
      <c r="H413" s="23" t="s">
        <v>26</v>
      </c>
      <c r="I413" s="24" t="s">
        <v>33</v>
      </c>
      <c r="J413" s="19" t="s">
        <v>1631</v>
      </c>
      <c r="K413" s="14">
        <v>3.0</v>
      </c>
      <c r="L413" s="14">
        <v>0.0</v>
      </c>
      <c r="M413" s="25"/>
      <c r="N413" s="26" t="s">
        <v>21</v>
      </c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>
      <c r="A414" s="14" t="s">
        <v>1635</v>
      </c>
      <c r="B414" s="17" t="s">
        <v>1636</v>
      </c>
      <c r="C414" s="17" t="s">
        <v>1637</v>
      </c>
      <c r="D414" s="19" t="s">
        <v>1638</v>
      </c>
      <c r="E414" s="20" t="s">
        <v>1639</v>
      </c>
      <c r="F414" s="21">
        <v>31570.0</v>
      </c>
      <c r="G414" s="14">
        <f t="shared" si="1"/>
        <v>40</v>
      </c>
      <c r="H414" s="23" t="s">
        <v>26</v>
      </c>
      <c r="I414" s="24" t="s">
        <v>27</v>
      </c>
      <c r="J414" s="19" t="s">
        <v>68</v>
      </c>
      <c r="K414" s="14">
        <v>29.0</v>
      </c>
      <c r="L414" s="14">
        <v>0.0</v>
      </c>
      <c r="M414" s="25"/>
      <c r="N414" s="26" t="s">
        <v>21</v>
      </c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>
      <c r="A415" s="14" t="s">
        <v>1640</v>
      </c>
      <c r="B415" s="17" t="s">
        <v>1636</v>
      </c>
      <c r="C415" s="17" t="s">
        <v>1641</v>
      </c>
      <c r="D415" s="19" t="s">
        <v>1642</v>
      </c>
      <c r="E415" s="20" t="s">
        <v>1643</v>
      </c>
      <c r="F415" s="21">
        <v>30547.0</v>
      </c>
      <c r="G415" s="14">
        <f t="shared" si="1"/>
        <v>43</v>
      </c>
      <c r="H415" s="23" t="s">
        <v>26</v>
      </c>
      <c r="I415" s="24" t="s">
        <v>33</v>
      </c>
      <c r="J415" s="19" t="s">
        <v>68</v>
      </c>
      <c r="K415" s="14">
        <v>29.0</v>
      </c>
      <c r="L415" s="14">
        <v>0.0</v>
      </c>
      <c r="M415" s="25"/>
      <c r="N415" s="26" t="s">
        <v>21</v>
      </c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>
      <c r="A416" s="14" t="s">
        <v>1644</v>
      </c>
      <c r="B416" s="17" t="s">
        <v>1645</v>
      </c>
      <c r="C416" s="17" t="s">
        <v>1646</v>
      </c>
      <c r="D416" s="19" t="s">
        <v>1647</v>
      </c>
      <c r="E416" s="20" t="s">
        <v>1648</v>
      </c>
      <c r="F416" s="27">
        <v>26226.0</v>
      </c>
      <c r="G416" s="14">
        <f t="shared" si="1"/>
        <v>55</v>
      </c>
      <c r="H416" s="23" t="s">
        <v>26</v>
      </c>
      <c r="I416" s="24" t="s">
        <v>33</v>
      </c>
      <c r="J416" s="19" t="s">
        <v>282</v>
      </c>
      <c r="K416" s="14">
        <v>10.0</v>
      </c>
      <c r="L416" s="14">
        <v>0.0</v>
      </c>
      <c r="M416" s="25"/>
      <c r="N416" s="26" t="s">
        <v>21</v>
      </c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>
      <c r="A417" s="14" t="s">
        <v>1649</v>
      </c>
      <c r="B417" s="17" t="s">
        <v>1645</v>
      </c>
      <c r="C417" s="17" t="s">
        <v>1650</v>
      </c>
      <c r="D417" s="19" t="s">
        <v>1651</v>
      </c>
      <c r="E417" s="20" t="s">
        <v>1652</v>
      </c>
      <c r="F417" s="21">
        <v>27780.0</v>
      </c>
      <c r="G417" s="14">
        <f t="shared" si="1"/>
        <v>50</v>
      </c>
      <c r="H417" s="23" t="s">
        <v>26</v>
      </c>
      <c r="I417" s="24" t="s">
        <v>27</v>
      </c>
      <c r="J417" s="19" t="s">
        <v>282</v>
      </c>
      <c r="K417" s="14">
        <v>10.0</v>
      </c>
      <c r="L417" s="14">
        <v>0.0</v>
      </c>
      <c r="M417" s="25"/>
      <c r="N417" s="26" t="s">
        <v>21</v>
      </c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>
      <c r="A418" s="14" t="s">
        <v>1653</v>
      </c>
      <c r="B418" s="17" t="s">
        <v>1654</v>
      </c>
      <c r="C418" s="17" t="s">
        <v>1655</v>
      </c>
      <c r="D418" s="19" t="s">
        <v>1656</v>
      </c>
      <c r="E418" s="20" t="s">
        <v>112</v>
      </c>
      <c r="F418" s="21">
        <v>22828.0</v>
      </c>
      <c r="G418" s="14">
        <f t="shared" si="1"/>
        <v>64</v>
      </c>
      <c r="H418" s="23" t="s">
        <v>27</v>
      </c>
      <c r="I418" s="24" t="s">
        <v>33</v>
      </c>
      <c r="J418" s="19" t="s">
        <v>53</v>
      </c>
      <c r="K418" s="14">
        <v>19.0</v>
      </c>
      <c r="L418" s="14">
        <v>0.0</v>
      </c>
      <c r="M418" s="25"/>
      <c r="N418" s="26" t="s">
        <v>21</v>
      </c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>
      <c r="A419" s="14" t="s">
        <v>1657</v>
      </c>
      <c r="B419" s="17" t="s">
        <v>1658</v>
      </c>
      <c r="C419" s="17" t="s">
        <v>1659</v>
      </c>
      <c r="D419" s="19" t="s">
        <v>1660</v>
      </c>
      <c r="E419" s="20" t="s">
        <v>104</v>
      </c>
      <c r="F419" s="27">
        <v>36489.0</v>
      </c>
      <c r="G419" s="14">
        <f t="shared" si="1"/>
        <v>26</v>
      </c>
      <c r="H419" s="23" t="s">
        <v>100</v>
      </c>
      <c r="I419" s="24" t="s">
        <v>27</v>
      </c>
      <c r="J419" s="19" t="s">
        <v>53</v>
      </c>
      <c r="K419" s="14">
        <v>19.0</v>
      </c>
      <c r="L419" s="14">
        <v>0.0</v>
      </c>
      <c r="M419" s="25"/>
      <c r="N419" s="26" t="s">
        <v>21</v>
      </c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>
      <c r="A420" s="14" t="s">
        <v>1661</v>
      </c>
      <c r="B420" s="17" t="s">
        <v>1658</v>
      </c>
      <c r="C420" s="17" t="s">
        <v>1662</v>
      </c>
      <c r="D420" s="19" t="s">
        <v>1663</v>
      </c>
      <c r="E420" s="20" t="s">
        <v>112</v>
      </c>
      <c r="F420" s="21">
        <v>26464.0</v>
      </c>
      <c r="G420" s="14">
        <f t="shared" si="1"/>
        <v>54</v>
      </c>
      <c r="H420" s="23" t="s">
        <v>26</v>
      </c>
      <c r="I420" s="24" t="s">
        <v>33</v>
      </c>
      <c r="J420" s="19" t="s">
        <v>53</v>
      </c>
      <c r="K420" s="14">
        <v>19.0</v>
      </c>
      <c r="L420" s="14">
        <v>0.0</v>
      </c>
      <c r="M420" s="25"/>
      <c r="N420" s="26" t="s">
        <v>21</v>
      </c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>
      <c r="A421" s="14" t="s">
        <v>1664</v>
      </c>
      <c r="B421" s="17" t="s">
        <v>1658</v>
      </c>
      <c r="C421" s="17" t="s">
        <v>1665</v>
      </c>
      <c r="D421" s="19" t="s">
        <v>1666</v>
      </c>
      <c r="E421" s="20" t="s">
        <v>112</v>
      </c>
      <c r="F421" s="27">
        <v>29138.0</v>
      </c>
      <c r="G421" s="14">
        <f t="shared" si="1"/>
        <v>47</v>
      </c>
      <c r="H421" s="23" t="s">
        <v>26</v>
      </c>
      <c r="I421" s="24" t="s">
        <v>27</v>
      </c>
      <c r="J421" s="19" t="s">
        <v>53</v>
      </c>
      <c r="K421" s="14">
        <v>19.0</v>
      </c>
      <c r="L421" s="14">
        <v>0.0</v>
      </c>
      <c r="M421" s="25"/>
      <c r="N421" s="26" t="s">
        <v>21</v>
      </c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>
      <c r="A422" s="14" t="s">
        <v>1667</v>
      </c>
      <c r="B422" s="17" t="s">
        <v>1668</v>
      </c>
      <c r="C422" s="17" t="s">
        <v>1669</v>
      </c>
      <c r="D422" s="19" t="s">
        <v>1670</v>
      </c>
      <c r="E422" s="20" t="s">
        <v>138</v>
      </c>
      <c r="F422" s="21">
        <v>37879.0</v>
      </c>
      <c r="G422" s="14">
        <f t="shared" si="1"/>
        <v>23</v>
      </c>
      <c r="H422" s="23" t="s">
        <v>100</v>
      </c>
      <c r="I422" s="24" t="s">
        <v>33</v>
      </c>
      <c r="J422" s="19" t="s">
        <v>726</v>
      </c>
      <c r="K422" s="14">
        <v>11.0</v>
      </c>
      <c r="L422" s="14">
        <v>0.0</v>
      </c>
      <c r="M422" s="25"/>
      <c r="N422" s="26" t="s">
        <v>21</v>
      </c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>
      <c r="A423" s="14" t="s">
        <v>1671</v>
      </c>
      <c r="B423" s="17" t="s">
        <v>1668</v>
      </c>
      <c r="C423" s="17" t="s">
        <v>1672</v>
      </c>
      <c r="D423" s="19" t="s">
        <v>1673</v>
      </c>
      <c r="E423" s="20" t="s">
        <v>654</v>
      </c>
      <c r="F423" s="21">
        <v>26501.0</v>
      </c>
      <c r="G423" s="14">
        <f t="shared" si="1"/>
        <v>54</v>
      </c>
      <c r="H423" s="23" t="s">
        <v>26</v>
      </c>
      <c r="I423" s="24" t="s">
        <v>33</v>
      </c>
      <c r="J423" s="19" t="s">
        <v>726</v>
      </c>
      <c r="K423" s="14">
        <v>11.0</v>
      </c>
      <c r="L423" s="14">
        <v>0.0</v>
      </c>
      <c r="M423" s="25"/>
      <c r="N423" s="26" t="s">
        <v>21</v>
      </c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>
      <c r="A424" s="14" t="s">
        <v>1674</v>
      </c>
      <c r="B424" s="17" t="s">
        <v>1668</v>
      </c>
      <c r="C424" s="17" t="s">
        <v>1675</v>
      </c>
      <c r="D424" s="19" t="s">
        <v>1048</v>
      </c>
      <c r="E424" s="20" t="s">
        <v>104</v>
      </c>
      <c r="F424" s="21">
        <v>29134.0</v>
      </c>
      <c r="G424" s="14">
        <f t="shared" si="1"/>
        <v>47</v>
      </c>
      <c r="H424" s="23" t="s">
        <v>26</v>
      </c>
      <c r="I424" s="24" t="s">
        <v>27</v>
      </c>
      <c r="J424" s="19" t="s">
        <v>726</v>
      </c>
      <c r="K424" s="14">
        <v>11.0</v>
      </c>
      <c r="L424" s="14">
        <v>0.0</v>
      </c>
      <c r="M424" s="25"/>
      <c r="N424" s="26" t="s">
        <v>21</v>
      </c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>
      <c r="A425" s="14" t="s">
        <v>1758</v>
      </c>
      <c r="B425" s="38" t="s">
        <v>1759</v>
      </c>
      <c r="C425" s="17" t="s">
        <v>1760</v>
      </c>
      <c r="D425" s="19" t="s">
        <v>1761</v>
      </c>
      <c r="E425" s="20" t="s">
        <v>104</v>
      </c>
      <c r="F425" s="27">
        <v>35002.0</v>
      </c>
      <c r="G425" s="14">
        <f t="shared" si="1"/>
        <v>30</v>
      </c>
      <c r="H425" s="23" t="s">
        <v>100</v>
      </c>
      <c r="I425" s="24" t="s">
        <v>33</v>
      </c>
      <c r="J425" s="19" t="s">
        <v>58</v>
      </c>
      <c r="K425" s="14">
        <v>10.0</v>
      </c>
      <c r="L425" s="14">
        <v>0.0</v>
      </c>
      <c r="M425" s="25"/>
      <c r="N425" s="26" t="s">
        <v>21</v>
      </c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>
      <c r="A426" s="14" t="s">
        <v>1676</v>
      </c>
      <c r="B426" s="38" t="s">
        <v>1759</v>
      </c>
      <c r="C426" s="17" t="s">
        <v>1678</v>
      </c>
      <c r="D426" s="19" t="s">
        <v>1679</v>
      </c>
      <c r="E426" s="20" t="s">
        <v>53</v>
      </c>
      <c r="F426" s="21">
        <v>35474.0</v>
      </c>
      <c r="G426" s="14">
        <f t="shared" si="1"/>
        <v>29</v>
      </c>
      <c r="H426" s="23" t="s">
        <v>100</v>
      </c>
      <c r="I426" s="24" t="s">
        <v>27</v>
      </c>
      <c r="J426" s="19" t="s">
        <v>206</v>
      </c>
      <c r="K426" s="14">
        <v>10.0</v>
      </c>
      <c r="L426" s="14">
        <v>0.0</v>
      </c>
      <c r="M426" s="25"/>
      <c r="N426" s="26" t="s">
        <v>21</v>
      </c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>
      <c r="A427" s="14" t="s">
        <v>1680</v>
      </c>
      <c r="B427" s="17" t="s">
        <v>1677</v>
      </c>
      <c r="C427" s="17" t="s">
        <v>1681</v>
      </c>
      <c r="D427" s="19" t="s">
        <v>1682</v>
      </c>
      <c r="E427" s="20" t="s">
        <v>650</v>
      </c>
      <c r="F427" s="21">
        <v>27227.0</v>
      </c>
      <c r="G427" s="14">
        <f t="shared" si="1"/>
        <v>52</v>
      </c>
      <c r="H427" s="23" t="s">
        <v>26</v>
      </c>
      <c r="I427" s="24" t="s">
        <v>27</v>
      </c>
      <c r="J427" s="19" t="s">
        <v>206</v>
      </c>
      <c r="K427" s="14">
        <v>10.0</v>
      </c>
      <c r="L427" s="14">
        <v>0.0</v>
      </c>
      <c r="M427" s="25"/>
      <c r="N427" s="26" t="s">
        <v>21</v>
      </c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>
      <c r="A428" s="14" t="s">
        <v>1683</v>
      </c>
      <c r="B428" s="17" t="s">
        <v>1677</v>
      </c>
      <c r="C428" s="17" t="s">
        <v>1684</v>
      </c>
      <c r="D428" s="19" t="s">
        <v>1685</v>
      </c>
      <c r="E428" s="20" t="s">
        <v>210</v>
      </c>
      <c r="F428" s="21">
        <v>25663.0</v>
      </c>
      <c r="G428" s="14">
        <f t="shared" si="1"/>
        <v>56</v>
      </c>
      <c r="H428" s="23" t="s">
        <v>26</v>
      </c>
      <c r="I428" s="24" t="s">
        <v>33</v>
      </c>
      <c r="J428" s="19" t="s">
        <v>206</v>
      </c>
      <c r="K428" s="14">
        <v>10.0</v>
      </c>
      <c r="L428" s="14">
        <v>0.0</v>
      </c>
      <c r="M428" s="25"/>
      <c r="N428" s="26" t="s">
        <v>21</v>
      </c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>
      <c r="A429" s="14" t="s">
        <v>1686</v>
      </c>
      <c r="B429" s="17" t="s">
        <v>1687</v>
      </c>
      <c r="C429" s="17" t="s">
        <v>1688</v>
      </c>
      <c r="D429" s="19" t="s">
        <v>1689</v>
      </c>
      <c r="E429" s="20" t="s">
        <v>150</v>
      </c>
      <c r="F429" s="27">
        <v>36885.0</v>
      </c>
      <c r="G429" s="14">
        <f t="shared" si="1"/>
        <v>25</v>
      </c>
      <c r="H429" s="23" t="s">
        <v>26</v>
      </c>
      <c r="I429" s="24" t="s">
        <v>33</v>
      </c>
      <c r="J429" s="19" t="s">
        <v>146</v>
      </c>
      <c r="K429" s="14">
        <v>2.0</v>
      </c>
      <c r="L429" s="14">
        <v>0.0</v>
      </c>
      <c r="M429" s="25"/>
      <c r="N429" s="26" t="s">
        <v>21</v>
      </c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>
      <c r="A430" s="14" t="s">
        <v>1691</v>
      </c>
      <c r="B430" s="17" t="s">
        <v>1687</v>
      </c>
      <c r="C430" s="17" t="s">
        <v>1692</v>
      </c>
      <c r="D430" s="19" t="s">
        <v>1693</v>
      </c>
      <c r="E430" s="20" t="s">
        <v>1639</v>
      </c>
      <c r="F430" s="21">
        <v>37670.0</v>
      </c>
      <c r="G430" s="14">
        <f t="shared" si="1"/>
        <v>23</v>
      </c>
      <c r="H430" s="23" t="s">
        <v>26</v>
      </c>
      <c r="I430" s="24" t="s">
        <v>27</v>
      </c>
      <c r="J430" s="19" t="s">
        <v>146</v>
      </c>
      <c r="K430" s="14">
        <v>2.0</v>
      </c>
      <c r="L430" s="14">
        <v>0.0</v>
      </c>
      <c r="M430" s="25"/>
      <c r="N430" s="26" t="s">
        <v>21</v>
      </c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>
      <c r="A431" s="14" t="s">
        <v>1694</v>
      </c>
      <c r="B431" s="17" t="s">
        <v>1695</v>
      </c>
      <c r="C431" s="17" t="s">
        <v>1696</v>
      </c>
      <c r="D431" s="19" t="s">
        <v>1697</v>
      </c>
      <c r="E431" s="20" t="s">
        <v>104</v>
      </c>
      <c r="F431" s="21">
        <v>30869.0</v>
      </c>
      <c r="G431" s="14">
        <f t="shared" si="1"/>
        <v>42</v>
      </c>
      <c r="H431" s="23" t="s">
        <v>26</v>
      </c>
      <c r="I431" s="24" t="s">
        <v>27</v>
      </c>
      <c r="J431" s="19" t="s">
        <v>53</v>
      </c>
      <c r="K431" s="14">
        <v>10.0</v>
      </c>
      <c r="L431" s="14">
        <v>0.0</v>
      </c>
      <c r="M431" s="25"/>
      <c r="N431" s="26" t="s">
        <v>21</v>
      </c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>
      <c r="A432" s="14" t="s">
        <v>1698</v>
      </c>
      <c r="B432" s="17" t="s">
        <v>1695</v>
      </c>
      <c r="C432" s="17" t="s">
        <v>1699</v>
      </c>
      <c r="D432" s="19" t="s">
        <v>1700</v>
      </c>
      <c r="E432" s="20" t="s">
        <v>104</v>
      </c>
      <c r="F432" s="21">
        <v>37520.0</v>
      </c>
      <c r="G432" s="14">
        <f t="shared" si="1"/>
        <v>24</v>
      </c>
      <c r="H432" s="23" t="s">
        <v>100</v>
      </c>
      <c r="I432" s="24" t="s">
        <v>33</v>
      </c>
      <c r="J432" s="19" t="s">
        <v>53</v>
      </c>
      <c r="K432" s="14">
        <v>10.0</v>
      </c>
      <c r="L432" s="14">
        <v>0.0</v>
      </c>
      <c r="M432" s="25"/>
      <c r="N432" s="26" t="s">
        <v>21</v>
      </c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>
      <c r="A433" s="14" t="s">
        <v>1701</v>
      </c>
      <c r="B433" s="17" t="s">
        <v>1702</v>
      </c>
      <c r="C433" s="17" t="s">
        <v>1703</v>
      </c>
      <c r="D433" s="19" t="s">
        <v>1704</v>
      </c>
      <c r="E433" s="20" t="s">
        <v>654</v>
      </c>
      <c r="F433" s="21">
        <v>22463.0</v>
      </c>
      <c r="G433" s="14">
        <f t="shared" si="1"/>
        <v>65</v>
      </c>
      <c r="H433" s="23" t="s">
        <v>26</v>
      </c>
      <c r="I433" s="24" t="s">
        <v>33</v>
      </c>
      <c r="J433" s="19" t="s">
        <v>328</v>
      </c>
      <c r="K433" s="14">
        <v>19.0</v>
      </c>
      <c r="L433" s="14">
        <v>0.0</v>
      </c>
      <c r="M433" s="25"/>
      <c r="N433" s="26" t="s">
        <v>21</v>
      </c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>
      <c r="A434" s="14" t="s">
        <v>1705</v>
      </c>
      <c r="B434" s="17" t="s">
        <v>1702</v>
      </c>
      <c r="C434" s="17" t="s">
        <v>1706</v>
      </c>
      <c r="D434" s="19" t="s">
        <v>1707</v>
      </c>
      <c r="E434" s="20" t="s">
        <v>654</v>
      </c>
      <c r="F434" s="21">
        <v>26481.0</v>
      </c>
      <c r="G434" s="14">
        <f t="shared" si="1"/>
        <v>54</v>
      </c>
      <c r="H434" s="23" t="s">
        <v>26</v>
      </c>
      <c r="I434" s="24" t="s">
        <v>27</v>
      </c>
      <c r="J434" s="19" t="s">
        <v>328</v>
      </c>
      <c r="K434" s="14">
        <v>19.0</v>
      </c>
      <c r="L434" s="14">
        <v>0.0</v>
      </c>
      <c r="M434" s="25"/>
      <c r="N434" s="26" t="s">
        <v>21</v>
      </c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>
      <c r="A435" s="14" t="s">
        <v>1708</v>
      </c>
      <c r="B435" s="17" t="s">
        <v>1709</v>
      </c>
      <c r="C435" s="17" t="s">
        <v>1710</v>
      </c>
      <c r="D435" s="19" t="s">
        <v>386</v>
      </c>
      <c r="E435" s="20" t="s">
        <v>1049</v>
      </c>
      <c r="F435" s="21">
        <v>17751.0</v>
      </c>
      <c r="G435" s="14">
        <f t="shared" si="1"/>
        <v>78</v>
      </c>
      <c r="H435" s="23" t="s">
        <v>27</v>
      </c>
      <c r="I435" s="24" t="s">
        <v>27</v>
      </c>
      <c r="J435" s="19" t="s">
        <v>53</v>
      </c>
      <c r="K435" s="14">
        <v>16.0</v>
      </c>
      <c r="L435" s="14">
        <v>0.0</v>
      </c>
      <c r="M435" s="25"/>
      <c r="N435" s="26" t="s">
        <v>21</v>
      </c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>
      <c r="A436" s="14" t="s">
        <v>1711</v>
      </c>
      <c r="B436" s="17" t="s">
        <v>1709</v>
      </c>
      <c r="C436" s="17" t="s">
        <v>1712</v>
      </c>
      <c r="D436" s="19" t="s">
        <v>1713</v>
      </c>
      <c r="E436" s="20" t="s">
        <v>104</v>
      </c>
      <c r="F436" s="21">
        <v>31237.0</v>
      </c>
      <c r="G436" s="14">
        <f t="shared" si="1"/>
        <v>41</v>
      </c>
      <c r="H436" s="23" t="s">
        <v>100</v>
      </c>
      <c r="I436" s="24" t="s">
        <v>33</v>
      </c>
      <c r="J436" s="19" t="s">
        <v>53</v>
      </c>
      <c r="K436" s="14">
        <v>17.0</v>
      </c>
      <c r="L436" s="14">
        <v>5.0</v>
      </c>
      <c r="M436" s="25"/>
      <c r="N436" s="26" t="s">
        <v>21</v>
      </c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>
      <c r="A437" s="14" t="s">
        <v>1714</v>
      </c>
      <c r="B437" s="17" t="s">
        <v>1715</v>
      </c>
      <c r="C437" s="17" t="s">
        <v>1716</v>
      </c>
      <c r="D437" s="19" t="s">
        <v>1717</v>
      </c>
      <c r="E437" s="20" t="s">
        <v>104</v>
      </c>
      <c r="F437" s="21">
        <v>28205.0</v>
      </c>
      <c r="G437" s="14">
        <f t="shared" si="1"/>
        <v>49</v>
      </c>
      <c r="H437" s="23" t="s">
        <v>27</v>
      </c>
      <c r="I437" s="24" t="s">
        <v>27</v>
      </c>
      <c r="J437" s="19" t="s">
        <v>53</v>
      </c>
      <c r="K437" s="14">
        <v>17.0</v>
      </c>
      <c r="L437" s="14">
        <v>0.0</v>
      </c>
      <c r="M437" s="25"/>
      <c r="N437" s="26" t="s">
        <v>21</v>
      </c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>
      <c r="A438" s="14" t="s">
        <v>1718</v>
      </c>
      <c r="B438" s="17" t="s">
        <v>1715</v>
      </c>
      <c r="C438" s="17" t="s">
        <v>1719</v>
      </c>
      <c r="D438" s="19" t="s">
        <v>1720</v>
      </c>
      <c r="E438" s="20" t="s">
        <v>104</v>
      </c>
      <c r="F438" s="21">
        <v>39197.0</v>
      </c>
      <c r="G438" s="14">
        <f t="shared" si="1"/>
        <v>19</v>
      </c>
      <c r="H438" s="23" t="s">
        <v>100</v>
      </c>
      <c r="I438" s="24" t="s">
        <v>27</v>
      </c>
      <c r="J438" s="19" t="s">
        <v>53</v>
      </c>
      <c r="K438" s="14">
        <v>17.0</v>
      </c>
      <c r="L438" s="14">
        <v>0.0</v>
      </c>
      <c r="M438" s="25"/>
      <c r="N438" s="26" t="s">
        <v>21</v>
      </c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>
      <c r="A439" s="14" t="s">
        <v>1721</v>
      </c>
      <c r="B439" s="17" t="s">
        <v>1722</v>
      </c>
      <c r="C439" s="17" t="s">
        <v>1723</v>
      </c>
      <c r="D439" s="19" t="s">
        <v>1724</v>
      </c>
      <c r="E439" s="20" t="s">
        <v>1725</v>
      </c>
      <c r="F439" s="27">
        <v>29949.0</v>
      </c>
      <c r="G439" s="14">
        <f t="shared" si="1"/>
        <v>44</v>
      </c>
      <c r="H439" s="23" t="s">
        <v>26</v>
      </c>
      <c r="I439" s="24" t="s">
        <v>27</v>
      </c>
      <c r="J439" s="19" t="s">
        <v>168</v>
      </c>
      <c r="K439" s="14">
        <v>18.0</v>
      </c>
      <c r="L439" s="14">
        <v>0.0</v>
      </c>
      <c r="M439" s="25"/>
      <c r="N439" s="26" t="s">
        <v>21</v>
      </c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>
      <c r="A440" s="14" t="s">
        <v>1726</v>
      </c>
      <c r="B440" s="17" t="s">
        <v>1722</v>
      </c>
      <c r="C440" s="17" t="s">
        <v>1727</v>
      </c>
      <c r="D440" s="19" t="s">
        <v>1728</v>
      </c>
      <c r="E440" s="20" t="s">
        <v>104</v>
      </c>
      <c r="F440" s="21">
        <v>28355.0</v>
      </c>
      <c r="G440" s="14">
        <f t="shared" si="1"/>
        <v>49</v>
      </c>
      <c r="H440" s="23" t="s">
        <v>26</v>
      </c>
      <c r="I440" s="24" t="s">
        <v>33</v>
      </c>
      <c r="J440" s="19" t="s">
        <v>168</v>
      </c>
      <c r="K440" s="14">
        <v>18.0</v>
      </c>
      <c r="L440" s="14">
        <v>0.0</v>
      </c>
      <c r="M440" s="25"/>
      <c r="N440" s="26" t="s">
        <v>21</v>
      </c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>
      <c r="A441" s="14" t="s">
        <v>1729</v>
      </c>
      <c r="B441" s="17" t="s">
        <v>1730</v>
      </c>
      <c r="C441" s="17" t="s">
        <v>1731</v>
      </c>
      <c r="D441" s="19" t="s">
        <v>1732</v>
      </c>
      <c r="E441" s="20" t="s">
        <v>1733</v>
      </c>
      <c r="F441" s="27">
        <v>34269.0</v>
      </c>
      <c r="G441" s="14">
        <f t="shared" si="1"/>
        <v>33</v>
      </c>
      <c r="H441" s="23" t="s">
        <v>26</v>
      </c>
      <c r="I441" s="24" t="s">
        <v>33</v>
      </c>
      <c r="J441" s="19" t="s">
        <v>53</v>
      </c>
      <c r="K441" s="14">
        <v>7.0</v>
      </c>
      <c r="L441" s="14">
        <v>0.0</v>
      </c>
      <c r="M441" s="25"/>
      <c r="N441" s="26" t="s">
        <v>21</v>
      </c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>
      <c r="A442" s="14" t="s">
        <v>1734</v>
      </c>
      <c r="B442" s="17" t="s">
        <v>1730</v>
      </c>
      <c r="C442" s="17" t="s">
        <v>1735</v>
      </c>
      <c r="D442" s="19" t="s">
        <v>1736</v>
      </c>
      <c r="E442" s="20" t="s">
        <v>104</v>
      </c>
      <c r="F442" s="21">
        <v>35462.0</v>
      </c>
      <c r="G442" s="14">
        <f t="shared" si="1"/>
        <v>29</v>
      </c>
      <c r="H442" s="23" t="s">
        <v>26</v>
      </c>
      <c r="I442" s="24" t="s">
        <v>27</v>
      </c>
      <c r="J442" s="19" t="s">
        <v>53</v>
      </c>
      <c r="K442" s="14">
        <v>7.0</v>
      </c>
      <c r="L442" s="14">
        <v>0.0</v>
      </c>
      <c r="M442" s="25"/>
      <c r="N442" s="26" t="s">
        <v>21</v>
      </c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>
      <c r="A443" s="14" t="s">
        <v>1737</v>
      </c>
      <c r="B443" s="17" t="s">
        <v>1738</v>
      </c>
      <c r="C443" s="17" t="s">
        <v>1739</v>
      </c>
      <c r="D443" s="19" t="s">
        <v>1740</v>
      </c>
      <c r="E443" s="20" t="s">
        <v>1741</v>
      </c>
      <c r="F443" s="21">
        <v>28390.0</v>
      </c>
      <c r="G443" s="14">
        <f t="shared" si="1"/>
        <v>49</v>
      </c>
      <c r="H443" s="23" t="s">
        <v>27</v>
      </c>
      <c r="I443" s="24" t="s">
        <v>27</v>
      </c>
      <c r="J443" s="19" t="s">
        <v>53</v>
      </c>
      <c r="K443" s="14">
        <v>29.0</v>
      </c>
      <c r="L443" s="14">
        <v>0.0</v>
      </c>
      <c r="M443" s="25"/>
      <c r="N443" s="26" t="s">
        <v>21</v>
      </c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>
      <c r="A444" s="14" t="s">
        <v>1742</v>
      </c>
      <c r="B444" s="17" t="s">
        <v>1743</v>
      </c>
      <c r="C444" s="17" t="s">
        <v>1744</v>
      </c>
      <c r="D444" s="19" t="s">
        <v>1745</v>
      </c>
      <c r="E444" s="20" t="s">
        <v>67</v>
      </c>
      <c r="F444" s="21">
        <v>28879.0</v>
      </c>
      <c r="G444" s="14">
        <f t="shared" si="1"/>
        <v>47</v>
      </c>
      <c r="H444" s="23" t="s">
        <v>26</v>
      </c>
      <c r="I444" s="24" t="s">
        <v>33</v>
      </c>
      <c r="J444" s="19" t="s">
        <v>146</v>
      </c>
      <c r="K444" s="14">
        <v>3.0</v>
      </c>
      <c r="L444" s="14">
        <v>5.0</v>
      </c>
      <c r="M444" s="28" t="s">
        <v>1831</v>
      </c>
      <c r="N444" s="26" t="s">
        <v>21</v>
      </c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>
      <c r="A445" s="14" t="s">
        <v>1746</v>
      </c>
      <c r="B445" s="17" t="s">
        <v>1743</v>
      </c>
      <c r="C445" s="17" t="s">
        <v>1747</v>
      </c>
      <c r="D445" s="19" t="s">
        <v>1748</v>
      </c>
      <c r="E445" s="20" t="s">
        <v>1749</v>
      </c>
      <c r="F445" s="21">
        <v>34783.0</v>
      </c>
      <c r="G445" s="14">
        <f t="shared" si="1"/>
        <v>31</v>
      </c>
      <c r="H445" s="23" t="s">
        <v>26</v>
      </c>
      <c r="I445" s="24" t="s">
        <v>27</v>
      </c>
      <c r="J445" s="19" t="s">
        <v>146</v>
      </c>
      <c r="K445" s="14">
        <v>3.0</v>
      </c>
      <c r="L445" s="14">
        <v>5.0</v>
      </c>
      <c r="M445" s="28" t="s">
        <v>1831</v>
      </c>
      <c r="N445" s="26" t="s">
        <v>21</v>
      </c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>
      <c r="A446" s="14" t="s">
        <v>1750</v>
      </c>
      <c r="B446" s="17" t="s">
        <v>1751</v>
      </c>
      <c r="C446" s="17" t="s">
        <v>1752</v>
      </c>
      <c r="D446" s="19" t="s">
        <v>1753</v>
      </c>
      <c r="E446" s="20" t="s">
        <v>104</v>
      </c>
      <c r="F446" s="21">
        <v>31754.0</v>
      </c>
      <c r="G446" s="14">
        <f t="shared" si="1"/>
        <v>39</v>
      </c>
      <c r="H446" s="23" t="s">
        <v>26</v>
      </c>
      <c r="I446" s="24" t="s">
        <v>33</v>
      </c>
      <c r="J446" s="19" t="s">
        <v>68</v>
      </c>
      <c r="K446" s="14">
        <v>31.0</v>
      </c>
      <c r="L446" s="14">
        <v>0.0</v>
      </c>
      <c r="M446" s="25"/>
      <c r="N446" s="26" t="s">
        <v>21</v>
      </c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>
      <c r="A447" s="14" t="s">
        <v>1754</v>
      </c>
      <c r="B447" s="17" t="s">
        <v>1755</v>
      </c>
      <c r="C447" s="17" t="s">
        <v>1756</v>
      </c>
      <c r="D447" s="19" t="s">
        <v>1757</v>
      </c>
      <c r="E447" s="20" t="s">
        <v>104</v>
      </c>
      <c r="F447" s="21">
        <v>34643.0</v>
      </c>
      <c r="G447" s="14">
        <f t="shared" si="1"/>
        <v>31</v>
      </c>
      <c r="H447" s="23" t="s">
        <v>27</v>
      </c>
      <c r="I447" s="24" t="s">
        <v>27</v>
      </c>
      <c r="J447" s="19" t="s">
        <v>68</v>
      </c>
      <c r="K447" s="14">
        <v>34.0</v>
      </c>
      <c r="L447" s="14">
        <v>0.0</v>
      </c>
      <c r="M447" s="25"/>
      <c r="N447" s="26" t="s">
        <v>21</v>
      </c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>
      <c r="A448" s="14" t="s">
        <v>1762</v>
      </c>
      <c r="B448" s="17" t="s">
        <v>1763</v>
      </c>
      <c r="C448" s="17" t="s">
        <v>1764</v>
      </c>
      <c r="D448" s="19" t="s">
        <v>1765</v>
      </c>
      <c r="E448" s="20" t="s">
        <v>1766</v>
      </c>
      <c r="F448" s="21">
        <v>36165.0</v>
      </c>
      <c r="G448" s="14">
        <f t="shared" si="1"/>
        <v>27</v>
      </c>
      <c r="H448" s="23" t="s">
        <v>100</v>
      </c>
      <c r="I448" s="24" t="s">
        <v>33</v>
      </c>
      <c r="J448" s="19" t="s">
        <v>146</v>
      </c>
      <c r="K448" s="14">
        <v>5.0</v>
      </c>
      <c r="L448" s="14">
        <v>0.0</v>
      </c>
      <c r="M448" s="25"/>
      <c r="N448" s="26" t="s">
        <v>21</v>
      </c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>
      <c r="A449" s="14" t="s">
        <v>1767</v>
      </c>
      <c r="B449" s="17" t="s">
        <v>1763</v>
      </c>
      <c r="C449" s="17" t="s">
        <v>1768</v>
      </c>
      <c r="D449" s="19" t="s">
        <v>1769</v>
      </c>
      <c r="E449" s="20" t="s">
        <v>544</v>
      </c>
      <c r="F449" s="21">
        <v>26422.0</v>
      </c>
      <c r="G449" s="14">
        <f t="shared" si="1"/>
        <v>54</v>
      </c>
      <c r="H449" s="23" t="s">
        <v>26</v>
      </c>
      <c r="I449" s="24" t="s">
        <v>27</v>
      </c>
      <c r="J449" s="19" t="s">
        <v>146</v>
      </c>
      <c r="K449" s="14">
        <v>5.0</v>
      </c>
      <c r="L449" s="14">
        <v>0.0</v>
      </c>
      <c r="M449" s="25"/>
      <c r="N449" s="26" t="s">
        <v>21</v>
      </c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>
      <c r="A450" s="14" t="s">
        <v>1770</v>
      </c>
      <c r="B450" s="17" t="s">
        <v>1763</v>
      </c>
      <c r="C450" s="17" t="s">
        <v>1771</v>
      </c>
      <c r="D450" s="19" t="s">
        <v>1772</v>
      </c>
      <c r="E450" s="20" t="s">
        <v>1773</v>
      </c>
      <c r="F450" s="21">
        <v>24108.0</v>
      </c>
      <c r="G450" s="14">
        <f t="shared" si="1"/>
        <v>60</v>
      </c>
      <c r="H450" s="23" t="s">
        <v>26</v>
      </c>
      <c r="I450" s="24" t="s">
        <v>33</v>
      </c>
      <c r="J450" s="19" t="s">
        <v>146</v>
      </c>
      <c r="K450" s="14">
        <v>5.0</v>
      </c>
      <c r="L450" s="14">
        <v>0.0</v>
      </c>
      <c r="M450" s="25"/>
      <c r="N450" s="26" t="s">
        <v>21</v>
      </c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>
      <c r="A451" s="14" t="s">
        <v>1774</v>
      </c>
      <c r="B451" s="17" t="s">
        <v>1775</v>
      </c>
      <c r="C451" s="17" t="s">
        <v>1776</v>
      </c>
      <c r="D451" s="19" t="s">
        <v>1777</v>
      </c>
      <c r="E451" s="20" t="s">
        <v>1778</v>
      </c>
      <c r="F451" s="21">
        <v>38142.0</v>
      </c>
      <c r="G451" s="14">
        <f t="shared" si="1"/>
        <v>22</v>
      </c>
      <c r="H451" s="23" t="s">
        <v>100</v>
      </c>
      <c r="I451" s="24" t="s">
        <v>27</v>
      </c>
      <c r="J451" s="19" t="s">
        <v>146</v>
      </c>
      <c r="K451" s="14">
        <v>2.0</v>
      </c>
      <c r="L451" s="14">
        <v>0.0</v>
      </c>
      <c r="M451" s="25"/>
      <c r="N451" s="26" t="s">
        <v>21</v>
      </c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>
      <c r="A452" s="14" t="s">
        <v>1779</v>
      </c>
      <c r="B452" s="17" t="s">
        <v>1775</v>
      </c>
      <c r="C452" s="17" t="s">
        <v>1780</v>
      </c>
      <c r="D452" s="19" t="s">
        <v>1781</v>
      </c>
      <c r="E452" s="20" t="s">
        <v>1782</v>
      </c>
      <c r="F452" s="21">
        <v>27666.0</v>
      </c>
      <c r="G452" s="14">
        <f t="shared" si="1"/>
        <v>51</v>
      </c>
      <c r="H452" s="23" t="s">
        <v>26</v>
      </c>
      <c r="I452" s="24" t="s">
        <v>27</v>
      </c>
      <c r="J452" s="19" t="s">
        <v>146</v>
      </c>
      <c r="K452" s="14">
        <v>2.0</v>
      </c>
      <c r="L452" s="14">
        <v>0.0</v>
      </c>
      <c r="M452" s="25"/>
      <c r="N452" s="26" t="s">
        <v>21</v>
      </c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>
      <c r="A453" s="14" t="s">
        <v>1783</v>
      </c>
      <c r="B453" s="17" t="s">
        <v>1775</v>
      </c>
      <c r="C453" s="17" t="s">
        <v>1784</v>
      </c>
      <c r="D453" s="19" t="s">
        <v>1785</v>
      </c>
      <c r="E453" s="20" t="s">
        <v>1786</v>
      </c>
      <c r="F453" s="21">
        <v>26354.0</v>
      </c>
      <c r="G453" s="14">
        <f t="shared" si="1"/>
        <v>54</v>
      </c>
      <c r="H453" s="23" t="s">
        <v>26</v>
      </c>
      <c r="I453" s="24" t="s">
        <v>33</v>
      </c>
      <c r="J453" s="19" t="s">
        <v>146</v>
      </c>
      <c r="K453" s="14">
        <v>2.0</v>
      </c>
      <c r="L453" s="14">
        <v>0.0</v>
      </c>
      <c r="M453" s="25"/>
      <c r="N453" s="26" t="s">
        <v>21</v>
      </c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>
      <c r="A454" s="14" t="s">
        <v>1787</v>
      </c>
      <c r="B454" s="17" t="s">
        <v>1788</v>
      </c>
      <c r="C454" s="17" t="s">
        <v>1789</v>
      </c>
      <c r="D454" s="19" t="s">
        <v>1790</v>
      </c>
      <c r="E454" s="20" t="s">
        <v>1791</v>
      </c>
      <c r="F454" s="21">
        <v>33881.0</v>
      </c>
      <c r="G454" s="14">
        <f t="shared" si="1"/>
        <v>34</v>
      </c>
      <c r="H454" s="23" t="s">
        <v>26</v>
      </c>
      <c r="I454" s="24" t="s">
        <v>27</v>
      </c>
      <c r="J454" s="19" t="s">
        <v>726</v>
      </c>
      <c r="K454" s="14">
        <v>14.0</v>
      </c>
      <c r="L454" s="14">
        <v>0.0</v>
      </c>
      <c r="M454" s="25"/>
      <c r="N454" s="26" t="s">
        <v>21</v>
      </c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>
      <c r="A455" s="14" t="s">
        <v>1792</v>
      </c>
      <c r="B455" s="17" t="s">
        <v>1788</v>
      </c>
      <c r="C455" s="17" t="s">
        <v>1793</v>
      </c>
      <c r="D455" s="19" t="s">
        <v>1794</v>
      </c>
      <c r="E455" s="20" t="s">
        <v>67</v>
      </c>
      <c r="F455" s="21">
        <v>34977.0</v>
      </c>
      <c r="G455" s="14">
        <f t="shared" si="1"/>
        <v>31</v>
      </c>
      <c r="H455" s="23" t="s">
        <v>26</v>
      </c>
      <c r="I455" s="24" t="s">
        <v>33</v>
      </c>
      <c r="J455" s="19" t="s">
        <v>726</v>
      </c>
      <c r="K455" s="14">
        <v>14.0</v>
      </c>
      <c r="L455" s="14">
        <v>0.0</v>
      </c>
      <c r="M455" s="25"/>
      <c r="N455" s="26" t="s">
        <v>21</v>
      </c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>
      <c r="A456" s="14" t="s">
        <v>1795</v>
      </c>
      <c r="B456" s="17" t="s">
        <v>1796</v>
      </c>
      <c r="C456" s="17" t="s">
        <v>1797</v>
      </c>
      <c r="D456" s="19" t="s">
        <v>1798</v>
      </c>
      <c r="E456" s="20" t="s">
        <v>53</v>
      </c>
      <c r="F456" s="21">
        <v>36609.0</v>
      </c>
      <c r="G456" s="14">
        <f t="shared" si="1"/>
        <v>26</v>
      </c>
      <c r="H456" s="23" t="s">
        <v>26</v>
      </c>
      <c r="I456" s="24" t="s">
        <v>27</v>
      </c>
      <c r="J456" s="19" t="s">
        <v>328</v>
      </c>
      <c r="K456" s="14">
        <v>23.0</v>
      </c>
      <c r="L456" s="14">
        <v>0.0</v>
      </c>
      <c r="M456" s="25"/>
      <c r="N456" s="26" t="s">
        <v>21</v>
      </c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>
      <c r="A457" s="14" t="s">
        <v>1799</v>
      </c>
      <c r="B457" s="17" t="s">
        <v>1796</v>
      </c>
      <c r="C457" s="17" t="s">
        <v>1800</v>
      </c>
      <c r="D457" s="19" t="s">
        <v>1801</v>
      </c>
      <c r="E457" s="20" t="s">
        <v>104</v>
      </c>
      <c r="F457" s="21">
        <v>36249.0</v>
      </c>
      <c r="G457" s="14">
        <f t="shared" si="1"/>
        <v>27</v>
      </c>
      <c r="H457" s="23" t="s">
        <v>26</v>
      </c>
      <c r="I457" s="24" t="s">
        <v>33</v>
      </c>
      <c r="J457" s="19" t="s">
        <v>328</v>
      </c>
      <c r="K457" s="14">
        <v>23.0</v>
      </c>
      <c r="L457" s="14">
        <v>5.0</v>
      </c>
      <c r="M457" s="25"/>
      <c r="N457" s="26" t="s">
        <v>21</v>
      </c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>
      <c r="A458" s="14" t="s">
        <v>1802</v>
      </c>
      <c r="B458" s="17" t="s">
        <v>1803</v>
      </c>
      <c r="C458" s="17" t="s">
        <v>1804</v>
      </c>
      <c r="D458" s="19" t="s">
        <v>1805</v>
      </c>
      <c r="E458" s="20" t="s">
        <v>104</v>
      </c>
      <c r="F458" s="27">
        <v>29139.0</v>
      </c>
      <c r="G458" s="14">
        <f t="shared" si="1"/>
        <v>47</v>
      </c>
      <c r="H458" s="23" t="s">
        <v>26</v>
      </c>
      <c r="I458" s="24" t="s">
        <v>33</v>
      </c>
      <c r="J458" s="19" t="s">
        <v>1437</v>
      </c>
      <c r="K458" s="14">
        <v>30.0</v>
      </c>
      <c r="L458" s="14">
        <v>0.0</v>
      </c>
      <c r="M458" s="25"/>
      <c r="N458" s="26" t="s">
        <v>21</v>
      </c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>
      <c r="A459" s="14" t="s">
        <v>1806</v>
      </c>
      <c r="B459" s="17" t="s">
        <v>1803</v>
      </c>
      <c r="C459" s="17" t="s">
        <v>1807</v>
      </c>
      <c r="D459" s="19" t="s">
        <v>1808</v>
      </c>
      <c r="E459" s="20" t="s">
        <v>138</v>
      </c>
      <c r="F459" s="21">
        <v>38628.0</v>
      </c>
      <c r="G459" s="14">
        <f t="shared" si="1"/>
        <v>21</v>
      </c>
      <c r="H459" s="23" t="s">
        <v>100</v>
      </c>
      <c r="I459" s="24" t="s">
        <v>33</v>
      </c>
      <c r="J459" s="19" t="s">
        <v>1437</v>
      </c>
      <c r="K459" s="14">
        <v>30.0</v>
      </c>
      <c r="L459" s="14">
        <v>0.0</v>
      </c>
      <c r="M459" s="25"/>
      <c r="N459" s="26" t="s">
        <v>21</v>
      </c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>
      <c r="A460" s="14" t="s">
        <v>1809</v>
      </c>
      <c r="B460" s="17" t="s">
        <v>1803</v>
      </c>
      <c r="C460" s="17" t="s">
        <v>1810</v>
      </c>
      <c r="D460" s="19" t="s">
        <v>1811</v>
      </c>
      <c r="E460" s="20" t="s">
        <v>104</v>
      </c>
      <c r="F460" s="21">
        <v>29649.0</v>
      </c>
      <c r="G460" s="14">
        <f t="shared" si="1"/>
        <v>45</v>
      </c>
      <c r="H460" s="23" t="s">
        <v>26</v>
      </c>
      <c r="I460" s="24" t="s">
        <v>27</v>
      </c>
      <c r="J460" s="19" t="s">
        <v>1437</v>
      </c>
      <c r="K460" s="14">
        <v>30.0</v>
      </c>
      <c r="L460" s="14">
        <v>0.0</v>
      </c>
      <c r="M460" s="25"/>
      <c r="N460" s="26" t="s">
        <v>21</v>
      </c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>
      <c r="A461" s="14" t="s">
        <v>1812</v>
      </c>
      <c r="B461" s="17" t="s">
        <v>1813</v>
      </c>
      <c r="C461" s="17" t="s">
        <v>1814</v>
      </c>
      <c r="D461" s="19" t="s">
        <v>1815</v>
      </c>
      <c r="E461" s="20" t="s">
        <v>1816</v>
      </c>
      <c r="F461" s="21">
        <v>24181.0</v>
      </c>
      <c r="G461" s="14">
        <f t="shared" si="1"/>
        <v>60</v>
      </c>
      <c r="H461" s="23" t="s">
        <v>26</v>
      </c>
      <c r="I461" s="24" t="s">
        <v>27</v>
      </c>
      <c r="J461" s="19" t="s">
        <v>68</v>
      </c>
      <c r="K461" s="14">
        <v>29.0</v>
      </c>
      <c r="L461" s="14">
        <v>0.0</v>
      </c>
      <c r="M461" s="25"/>
      <c r="N461" s="26" t="s">
        <v>21</v>
      </c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>
      <c r="A462" s="14" t="s">
        <v>1817</v>
      </c>
      <c r="B462" s="17" t="s">
        <v>1813</v>
      </c>
      <c r="C462" s="17" t="s">
        <v>1818</v>
      </c>
      <c r="D462" s="19" t="s">
        <v>1819</v>
      </c>
      <c r="E462" s="20" t="s">
        <v>53</v>
      </c>
      <c r="F462" s="21">
        <v>34896.0</v>
      </c>
      <c r="G462" s="14">
        <f t="shared" si="1"/>
        <v>31</v>
      </c>
      <c r="H462" s="23" t="s">
        <v>100</v>
      </c>
      <c r="I462" s="24" t="s">
        <v>33</v>
      </c>
      <c r="J462" s="19" t="s">
        <v>68</v>
      </c>
      <c r="K462" s="14">
        <v>29.0</v>
      </c>
      <c r="L462" s="14">
        <v>0.0</v>
      </c>
      <c r="M462" s="25"/>
      <c r="N462" s="26" t="s">
        <v>21</v>
      </c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>
      <c r="A463" s="14" t="s">
        <v>1820</v>
      </c>
      <c r="B463" s="17" t="s">
        <v>1813</v>
      </c>
      <c r="C463" s="17" t="s">
        <v>1821</v>
      </c>
      <c r="D463" s="19" t="s">
        <v>1822</v>
      </c>
      <c r="E463" s="20" t="s">
        <v>1049</v>
      </c>
      <c r="F463" s="21">
        <v>23193.0</v>
      </c>
      <c r="G463" s="14">
        <f t="shared" si="1"/>
        <v>63</v>
      </c>
      <c r="H463" s="23" t="s">
        <v>26</v>
      </c>
      <c r="I463" s="24" t="s">
        <v>33</v>
      </c>
      <c r="J463" s="19" t="s">
        <v>68</v>
      </c>
      <c r="K463" s="14">
        <v>29.0</v>
      </c>
      <c r="L463" s="14">
        <v>0.0</v>
      </c>
      <c r="M463" s="25"/>
      <c r="N463" s="26" t="s">
        <v>21</v>
      </c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>
      <c r="A464" s="14" t="s">
        <v>1823</v>
      </c>
      <c r="B464" s="17" t="s">
        <v>1824</v>
      </c>
      <c r="C464" s="17" t="s">
        <v>1825</v>
      </c>
      <c r="D464" s="19" t="s">
        <v>1193</v>
      </c>
      <c r="E464" s="20" t="s">
        <v>1826</v>
      </c>
      <c r="F464" s="21">
        <v>31285.0</v>
      </c>
      <c r="G464" s="14">
        <f t="shared" si="1"/>
        <v>41</v>
      </c>
      <c r="H464" s="23" t="s">
        <v>26</v>
      </c>
      <c r="I464" s="24" t="s">
        <v>33</v>
      </c>
      <c r="J464" s="19" t="s">
        <v>517</v>
      </c>
      <c r="K464" s="14">
        <v>9.0</v>
      </c>
      <c r="L464" s="14">
        <v>0.0</v>
      </c>
      <c r="M464" s="25"/>
      <c r="N464" s="26" t="s">
        <v>21</v>
      </c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>
      <c r="A465" s="14" t="s">
        <v>1827</v>
      </c>
      <c r="B465" s="17" t="s">
        <v>1824</v>
      </c>
      <c r="C465" s="17" t="s">
        <v>1828</v>
      </c>
      <c r="D465" s="19" t="s">
        <v>1829</v>
      </c>
      <c r="E465" s="20" t="s">
        <v>1830</v>
      </c>
      <c r="F465" s="21">
        <v>31594.0</v>
      </c>
      <c r="G465" s="14">
        <f t="shared" si="1"/>
        <v>40</v>
      </c>
      <c r="H465" s="23" t="s">
        <v>26</v>
      </c>
      <c r="I465" s="24" t="s">
        <v>27</v>
      </c>
      <c r="J465" s="19" t="s">
        <v>517</v>
      </c>
      <c r="K465" s="14">
        <v>9.0</v>
      </c>
      <c r="L465" s="14">
        <v>0.0</v>
      </c>
      <c r="M465" s="25"/>
      <c r="N465" s="26" t="s">
        <v>21</v>
      </c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>
      <c r="A466" s="14" t="s">
        <v>1832</v>
      </c>
      <c r="B466" s="17" t="s">
        <v>1824</v>
      </c>
      <c r="C466" s="17" t="s">
        <v>1833</v>
      </c>
      <c r="D466" s="19" t="s">
        <v>1834</v>
      </c>
      <c r="E466" s="20" t="s">
        <v>138</v>
      </c>
      <c r="F466" s="21">
        <v>38780.0</v>
      </c>
      <c r="G466" s="14">
        <f t="shared" si="1"/>
        <v>20</v>
      </c>
      <c r="H466" s="23" t="s">
        <v>100</v>
      </c>
      <c r="I466" s="24" t="s">
        <v>27</v>
      </c>
      <c r="J466" s="19" t="s">
        <v>517</v>
      </c>
      <c r="K466" s="14">
        <v>9.0</v>
      </c>
      <c r="L466" s="14">
        <v>0.0</v>
      </c>
      <c r="M466" s="25"/>
      <c r="N466" s="26" t="s">
        <v>21</v>
      </c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>
      <c r="A467" s="14" t="s">
        <v>1835</v>
      </c>
      <c r="B467" s="17" t="s">
        <v>1836</v>
      </c>
      <c r="C467" s="17" t="s">
        <v>1837</v>
      </c>
      <c r="D467" s="19" t="s">
        <v>1838</v>
      </c>
      <c r="E467" s="20" t="s">
        <v>138</v>
      </c>
      <c r="F467" s="21">
        <v>36439.0</v>
      </c>
      <c r="G467" s="14">
        <f t="shared" si="1"/>
        <v>27</v>
      </c>
      <c r="H467" s="23" t="s">
        <v>26</v>
      </c>
      <c r="I467" s="24" t="s">
        <v>27</v>
      </c>
      <c r="J467" s="19" t="s">
        <v>104</v>
      </c>
      <c r="K467" s="14">
        <v>24.0</v>
      </c>
      <c r="L467" s="14">
        <v>0.0</v>
      </c>
      <c r="M467" s="25"/>
      <c r="N467" s="26" t="s">
        <v>21</v>
      </c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>
      <c r="A468" s="14" t="s">
        <v>1839</v>
      </c>
      <c r="B468" s="17" t="s">
        <v>1836</v>
      </c>
      <c r="C468" s="17" t="s">
        <v>1840</v>
      </c>
      <c r="D468" s="19" t="s">
        <v>1841</v>
      </c>
      <c r="E468" s="20" t="s">
        <v>104</v>
      </c>
      <c r="F468" s="21">
        <v>35103.0</v>
      </c>
      <c r="G468" s="14">
        <f t="shared" si="1"/>
        <v>30</v>
      </c>
      <c r="H468" s="23" t="s">
        <v>26</v>
      </c>
      <c r="I468" s="24" t="s">
        <v>33</v>
      </c>
      <c r="J468" s="19" t="s">
        <v>104</v>
      </c>
      <c r="K468" s="14">
        <v>24.0</v>
      </c>
      <c r="L468" s="14">
        <v>0.0</v>
      </c>
      <c r="M468" s="25"/>
      <c r="N468" s="26" t="s">
        <v>21</v>
      </c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>
      <c r="A469" s="14" t="s">
        <v>1842</v>
      </c>
      <c r="B469" s="17" t="s">
        <v>1843</v>
      </c>
      <c r="C469" s="17" t="s">
        <v>1844</v>
      </c>
      <c r="D469" s="19" t="s">
        <v>1845</v>
      </c>
      <c r="E469" s="20" t="s">
        <v>1846</v>
      </c>
      <c r="F469" s="27">
        <v>22960.0</v>
      </c>
      <c r="G469" s="14">
        <f t="shared" si="1"/>
        <v>63</v>
      </c>
      <c r="H469" s="23" t="s">
        <v>26</v>
      </c>
      <c r="I469" s="24" t="s">
        <v>33</v>
      </c>
      <c r="J469" s="19" t="s">
        <v>68</v>
      </c>
      <c r="K469" s="14">
        <v>31.0</v>
      </c>
      <c r="L469" s="14">
        <v>0.0</v>
      </c>
      <c r="M469" s="25"/>
      <c r="N469" s="26" t="s">
        <v>21</v>
      </c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>
      <c r="A470" s="14" t="s">
        <v>1847</v>
      </c>
      <c r="B470" s="17" t="s">
        <v>1843</v>
      </c>
      <c r="C470" s="17" t="s">
        <v>1848</v>
      </c>
      <c r="D470" s="19" t="s">
        <v>1849</v>
      </c>
      <c r="E470" s="20" t="s">
        <v>1850</v>
      </c>
      <c r="F470" s="21">
        <v>27133.0</v>
      </c>
      <c r="G470" s="14">
        <f t="shared" si="1"/>
        <v>52</v>
      </c>
      <c r="H470" s="23" t="s">
        <v>26</v>
      </c>
      <c r="I470" s="24" t="s">
        <v>27</v>
      </c>
      <c r="J470" s="19" t="s">
        <v>68</v>
      </c>
      <c r="K470" s="14">
        <v>31.0</v>
      </c>
      <c r="L470" s="14">
        <v>0.0</v>
      </c>
      <c r="M470" s="25"/>
      <c r="N470" s="26" t="s">
        <v>21</v>
      </c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>
      <c r="A471" s="14" t="s">
        <v>1851</v>
      </c>
      <c r="B471" s="17" t="s">
        <v>1843</v>
      </c>
      <c r="C471" s="17" t="s">
        <v>1852</v>
      </c>
      <c r="D471" s="19" t="s">
        <v>1853</v>
      </c>
      <c r="E471" s="20" t="s">
        <v>1854</v>
      </c>
      <c r="F471" s="21">
        <v>38811.0</v>
      </c>
      <c r="G471" s="14">
        <f t="shared" si="1"/>
        <v>20</v>
      </c>
      <c r="H471" s="23" t="s">
        <v>100</v>
      </c>
      <c r="I471" s="24" t="s">
        <v>33</v>
      </c>
      <c r="J471" s="19" t="s">
        <v>68</v>
      </c>
      <c r="K471" s="14">
        <v>31.0</v>
      </c>
      <c r="L471" s="14">
        <v>0.0</v>
      </c>
      <c r="M471" s="25"/>
      <c r="N471" s="26" t="s">
        <v>21</v>
      </c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>
      <c r="A472" s="14" t="s">
        <v>1855</v>
      </c>
      <c r="B472" s="17" t="s">
        <v>1856</v>
      </c>
      <c r="C472" s="17" t="s">
        <v>1857</v>
      </c>
      <c r="D472" s="19" t="s">
        <v>1858</v>
      </c>
      <c r="E472" s="20" t="s">
        <v>219</v>
      </c>
      <c r="F472" s="21">
        <v>29994.0</v>
      </c>
      <c r="G472" s="14">
        <f t="shared" si="1"/>
        <v>44</v>
      </c>
      <c r="H472" s="23" t="s">
        <v>26</v>
      </c>
      <c r="I472" s="24" t="s">
        <v>33</v>
      </c>
      <c r="J472" s="19" t="s">
        <v>53</v>
      </c>
      <c r="K472" s="14">
        <v>17.0</v>
      </c>
      <c r="L472" s="14">
        <v>0.0</v>
      </c>
      <c r="M472" s="25"/>
      <c r="N472" s="26" t="s">
        <v>21</v>
      </c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>
      <c r="A473" s="14" t="s">
        <v>1859</v>
      </c>
      <c r="B473" s="17" t="s">
        <v>1856</v>
      </c>
      <c r="C473" s="17" t="s">
        <v>1860</v>
      </c>
      <c r="D473" s="19" t="s">
        <v>1861</v>
      </c>
      <c r="E473" s="20" t="s">
        <v>104</v>
      </c>
      <c r="F473" s="21">
        <v>30809.0</v>
      </c>
      <c r="G473" s="14">
        <f t="shared" si="1"/>
        <v>42</v>
      </c>
      <c r="H473" s="23" t="s">
        <v>26</v>
      </c>
      <c r="I473" s="24" t="s">
        <v>27</v>
      </c>
      <c r="J473" s="19" t="s">
        <v>53</v>
      </c>
      <c r="K473" s="14">
        <v>17.0</v>
      </c>
      <c r="L473" s="14">
        <v>0.0</v>
      </c>
      <c r="M473" s="25"/>
      <c r="N473" s="26" t="s">
        <v>21</v>
      </c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>
      <c r="A474" s="14" t="s">
        <v>1862</v>
      </c>
      <c r="B474" s="17" t="s">
        <v>1863</v>
      </c>
      <c r="C474" s="17" t="s">
        <v>1864</v>
      </c>
      <c r="D474" s="19" t="s">
        <v>1865</v>
      </c>
      <c r="E474" s="20" t="s">
        <v>104</v>
      </c>
      <c r="F474" s="21">
        <v>29619.0</v>
      </c>
      <c r="G474" s="14">
        <f t="shared" si="1"/>
        <v>45</v>
      </c>
      <c r="H474" s="23" t="s">
        <v>26</v>
      </c>
      <c r="I474" s="24" t="s">
        <v>33</v>
      </c>
      <c r="J474" s="19" t="s">
        <v>1866</v>
      </c>
      <c r="K474" s="14">
        <v>27.0</v>
      </c>
      <c r="L474" s="14">
        <v>0.0</v>
      </c>
      <c r="M474" s="25"/>
      <c r="N474" s="26" t="s">
        <v>21</v>
      </c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>
      <c r="A475" s="14" t="s">
        <v>1867</v>
      </c>
      <c r="B475" s="17" t="s">
        <v>1863</v>
      </c>
      <c r="C475" s="17" t="s">
        <v>1868</v>
      </c>
      <c r="D475" s="19" t="s">
        <v>1869</v>
      </c>
      <c r="E475" s="20" t="s">
        <v>1870</v>
      </c>
      <c r="F475" s="21">
        <v>38920.0</v>
      </c>
      <c r="G475" s="14">
        <f t="shared" si="1"/>
        <v>20</v>
      </c>
      <c r="H475" s="23" t="s">
        <v>100</v>
      </c>
      <c r="I475" s="24" t="s">
        <v>27</v>
      </c>
      <c r="J475" s="19" t="s">
        <v>1866</v>
      </c>
      <c r="K475" s="14">
        <v>27.0</v>
      </c>
      <c r="L475" s="14">
        <v>0.0</v>
      </c>
      <c r="M475" s="25"/>
      <c r="N475" s="26" t="s">
        <v>21</v>
      </c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>
      <c r="A476" s="14" t="s">
        <v>1871</v>
      </c>
      <c r="B476" s="17" t="s">
        <v>1863</v>
      </c>
      <c r="C476" s="17" t="s">
        <v>1872</v>
      </c>
      <c r="D476" s="19" t="s">
        <v>1873</v>
      </c>
      <c r="E476" s="20" t="s">
        <v>104</v>
      </c>
      <c r="F476" s="27">
        <v>29908.0</v>
      </c>
      <c r="G476" s="14">
        <f t="shared" si="1"/>
        <v>44</v>
      </c>
      <c r="H476" s="23" t="s">
        <v>26</v>
      </c>
      <c r="I476" s="24" t="s">
        <v>27</v>
      </c>
      <c r="J476" s="19" t="s">
        <v>1874</v>
      </c>
      <c r="K476" s="14">
        <v>27.0</v>
      </c>
      <c r="L476" s="14">
        <v>0.0</v>
      </c>
      <c r="M476" s="25"/>
      <c r="N476" s="26" t="s">
        <v>21</v>
      </c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>
      <c r="A477" s="14" t="s">
        <v>1875</v>
      </c>
      <c r="B477" s="17" t="s">
        <v>1876</v>
      </c>
      <c r="C477" s="17" t="s">
        <v>1877</v>
      </c>
      <c r="D477" s="19" t="s">
        <v>1878</v>
      </c>
      <c r="E477" s="20" t="s">
        <v>632</v>
      </c>
      <c r="F477" s="21">
        <v>35938.0</v>
      </c>
      <c r="G477" s="14">
        <f t="shared" si="1"/>
        <v>28</v>
      </c>
      <c r="H477" s="23" t="s">
        <v>100</v>
      </c>
      <c r="I477" s="24" t="s">
        <v>33</v>
      </c>
      <c r="J477" s="19" t="s">
        <v>1879</v>
      </c>
      <c r="K477" s="14">
        <v>24.0</v>
      </c>
      <c r="L477" s="14">
        <v>0.0</v>
      </c>
      <c r="M477" s="25"/>
      <c r="N477" s="26" t="s">
        <v>21</v>
      </c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>
      <c r="A478" s="14" t="s">
        <v>1880</v>
      </c>
      <c r="B478" s="17" t="s">
        <v>1876</v>
      </c>
      <c r="C478" s="17" t="s">
        <v>1881</v>
      </c>
      <c r="D478" s="19" t="s">
        <v>1882</v>
      </c>
      <c r="E478" s="20" t="s">
        <v>632</v>
      </c>
      <c r="F478" s="27">
        <v>23726.0</v>
      </c>
      <c r="G478" s="14">
        <f t="shared" si="1"/>
        <v>61</v>
      </c>
      <c r="H478" s="23" t="s">
        <v>26</v>
      </c>
      <c r="I478" s="24" t="s">
        <v>33</v>
      </c>
      <c r="J478" s="19" t="s">
        <v>328</v>
      </c>
      <c r="K478" s="14">
        <v>24.0</v>
      </c>
      <c r="L478" s="14">
        <v>0.0</v>
      </c>
      <c r="M478" s="25"/>
      <c r="N478" s="26" t="s">
        <v>21</v>
      </c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>
      <c r="A479" s="14" t="s">
        <v>1883</v>
      </c>
      <c r="B479" s="17" t="s">
        <v>1876</v>
      </c>
      <c r="C479" s="17" t="s">
        <v>1884</v>
      </c>
      <c r="D479" s="19" t="s">
        <v>1885</v>
      </c>
      <c r="E479" s="20" t="s">
        <v>880</v>
      </c>
      <c r="F479" s="21">
        <v>26917.0</v>
      </c>
      <c r="G479" s="14">
        <f t="shared" si="1"/>
        <v>53</v>
      </c>
      <c r="H479" s="23" t="s">
        <v>26</v>
      </c>
      <c r="I479" s="24" t="s">
        <v>27</v>
      </c>
      <c r="J479" s="19" t="s">
        <v>1879</v>
      </c>
      <c r="K479" s="14">
        <v>24.0</v>
      </c>
      <c r="L479" s="14">
        <v>0.0</v>
      </c>
      <c r="M479" s="25"/>
      <c r="N479" s="26" t="s">
        <v>21</v>
      </c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>
      <c r="A480" s="14" t="s">
        <v>1886</v>
      </c>
      <c r="B480" s="17" t="s">
        <v>1887</v>
      </c>
      <c r="C480" s="17" t="s">
        <v>1888</v>
      </c>
      <c r="D480" s="19" t="s">
        <v>1889</v>
      </c>
      <c r="E480" s="20" t="s">
        <v>231</v>
      </c>
      <c r="F480" s="21">
        <v>35215.0</v>
      </c>
      <c r="G480" s="14">
        <f t="shared" si="1"/>
        <v>30</v>
      </c>
      <c r="H480" s="23" t="s">
        <v>26</v>
      </c>
      <c r="I480" s="24" t="s">
        <v>33</v>
      </c>
      <c r="J480" s="19" t="s">
        <v>282</v>
      </c>
      <c r="K480" s="14">
        <v>23.0</v>
      </c>
      <c r="L480" s="14">
        <v>0.0</v>
      </c>
      <c r="M480" s="25"/>
      <c r="N480" s="26" t="s">
        <v>21</v>
      </c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>
      <c r="A481" s="14" t="s">
        <v>1890</v>
      </c>
      <c r="B481" s="17" t="s">
        <v>1887</v>
      </c>
      <c r="C481" s="17" t="s">
        <v>1891</v>
      </c>
      <c r="D481" s="19" t="s">
        <v>1892</v>
      </c>
      <c r="E481" s="20" t="s">
        <v>104</v>
      </c>
      <c r="F481" s="21">
        <v>37028.0</v>
      </c>
      <c r="G481" s="14">
        <f t="shared" si="1"/>
        <v>25</v>
      </c>
      <c r="H481" s="23" t="s">
        <v>26</v>
      </c>
      <c r="I481" s="24" t="s">
        <v>27</v>
      </c>
      <c r="J481" s="19" t="s">
        <v>282</v>
      </c>
      <c r="K481" s="14">
        <v>23.0</v>
      </c>
      <c r="L481" s="14">
        <v>0.0</v>
      </c>
      <c r="M481" s="25"/>
      <c r="N481" s="26" t="s">
        <v>21</v>
      </c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>
      <c r="A482" s="14" t="s">
        <v>1893</v>
      </c>
      <c r="B482" s="17" t="s">
        <v>1894</v>
      </c>
      <c r="C482" s="17" t="s">
        <v>1895</v>
      </c>
      <c r="D482" s="19" t="s">
        <v>1896</v>
      </c>
      <c r="E482" s="20" t="s">
        <v>210</v>
      </c>
      <c r="F482" s="21">
        <v>26528.0</v>
      </c>
      <c r="G482" s="14">
        <f t="shared" si="1"/>
        <v>54</v>
      </c>
      <c r="H482" s="23" t="s">
        <v>26</v>
      </c>
      <c r="I482" s="24" t="s">
        <v>27</v>
      </c>
      <c r="J482" s="19" t="s">
        <v>95</v>
      </c>
      <c r="K482" s="14">
        <v>11.0</v>
      </c>
      <c r="L482" s="14">
        <v>0.0</v>
      </c>
      <c r="M482" s="25"/>
      <c r="N482" s="26" t="s">
        <v>21</v>
      </c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>
      <c r="A483" s="14" t="s">
        <v>1897</v>
      </c>
      <c r="B483" s="17" t="s">
        <v>1894</v>
      </c>
      <c r="C483" s="17" t="s">
        <v>1898</v>
      </c>
      <c r="D483" s="19" t="s">
        <v>1899</v>
      </c>
      <c r="E483" s="20" t="s">
        <v>53</v>
      </c>
      <c r="F483" s="21">
        <v>34457.0</v>
      </c>
      <c r="G483" s="14">
        <f t="shared" si="1"/>
        <v>32</v>
      </c>
      <c r="H483" s="23" t="s">
        <v>100</v>
      </c>
      <c r="I483" s="24" t="s">
        <v>33</v>
      </c>
      <c r="J483" s="19" t="s">
        <v>95</v>
      </c>
      <c r="K483" s="14">
        <v>11.0</v>
      </c>
      <c r="L483" s="14">
        <v>0.0</v>
      </c>
      <c r="M483" s="25"/>
      <c r="N483" s="26" t="s">
        <v>21</v>
      </c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>
      <c r="A484" s="14" t="s">
        <v>1900</v>
      </c>
      <c r="B484" s="17" t="s">
        <v>1894</v>
      </c>
      <c r="C484" s="17" t="s">
        <v>1901</v>
      </c>
      <c r="D484" s="19" t="s">
        <v>1902</v>
      </c>
      <c r="E484" s="20" t="s">
        <v>1903</v>
      </c>
      <c r="F484" s="27">
        <v>24824.0</v>
      </c>
      <c r="G484" s="14">
        <f t="shared" si="1"/>
        <v>58</v>
      </c>
      <c r="H484" s="23" t="s">
        <v>26</v>
      </c>
      <c r="I484" s="24" t="s">
        <v>33</v>
      </c>
      <c r="J484" s="19" t="s">
        <v>95</v>
      </c>
      <c r="K484" s="14">
        <v>11.0</v>
      </c>
      <c r="L484" s="14">
        <v>0.0</v>
      </c>
      <c r="M484" s="25"/>
      <c r="N484" s="26" t="s">
        <v>21</v>
      </c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>
      <c r="A485" s="14" t="s">
        <v>1904</v>
      </c>
      <c r="B485" s="17" t="s">
        <v>1905</v>
      </c>
      <c r="C485" s="17" t="s">
        <v>1906</v>
      </c>
      <c r="D485" s="19" t="s">
        <v>1907</v>
      </c>
      <c r="E485" s="20" t="s">
        <v>1908</v>
      </c>
      <c r="F485" s="21">
        <v>25388.0</v>
      </c>
      <c r="G485" s="14">
        <f t="shared" si="1"/>
        <v>57</v>
      </c>
      <c r="H485" s="23" t="s">
        <v>26</v>
      </c>
      <c r="I485" s="24" t="s">
        <v>33</v>
      </c>
      <c r="J485" s="19" t="s">
        <v>726</v>
      </c>
      <c r="K485" s="14">
        <v>11.0</v>
      </c>
      <c r="L485" s="14">
        <v>0.0</v>
      </c>
      <c r="M485" s="25"/>
      <c r="N485" s="26" t="s">
        <v>21</v>
      </c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>
      <c r="A486" s="14" t="s">
        <v>1909</v>
      </c>
      <c r="B486" s="17" t="s">
        <v>1905</v>
      </c>
      <c r="C486" s="17" t="s">
        <v>1910</v>
      </c>
      <c r="D486" s="19" t="s">
        <v>1048</v>
      </c>
      <c r="E486" s="20" t="s">
        <v>429</v>
      </c>
      <c r="F486" s="21">
        <v>27549.0</v>
      </c>
      <c r="G486" s="14">
        <f t="shared" si="1"/>
        <v>51</v>
      </c>
      <c r="H486" s="23" t="s">
        <v>26</v>
      </c>
      <c r="I486" s="24" t="s">
        <v>27</v>
      </c>
      <c r="J486" s="19" t="s">
        <v>726</v>
      </c>
      <c r="K486" s="14">
        <v>11.0</v>
      </c>
      <c r="L486" s="14">
        <v>0.0</v>
      </c>
      <c r="M486" s="25"/>
      <c r="N486" s="26" t="s">
        <v>21</v>
      </c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>
      <c r="A487" s="14" t="s">
        <v>1911</v>
      </c>
      <c r="B487" s="17" t="s">
        <v>1912</v>
      </c>
      <c r="C487" s="17" t="s">
        <v>1913</v>
      </c>
      <c r="D487" s="19" t="s">
        <v>1914</v>
      </c>
      <c r="E487" s="20" t="s">
        <v>624</v>
      </c>
      <c r="F487" s="21">
        <v>23941.0</v>
      </c>
      <c r="G487" s="14">
        <f t="shared" si="1"/>
        <v>61</v>
      </c>
      <c r="H487" s="23" t="s">
        <v>26</v>
      </c>
      <c r="I487" s="24" t="s">
        <v>27</v>
      </c>
      <c r="J487" s="19" t="s">
        <v>1915</v>
      </c>
      <c r="K487" s="14">
        <v>11.0</v>
      </c>
      <c r="L487" s="14">
        <v>0.0</v>
      </c>
      <c r="M487" s="25"/>
      <c r="N487" s="26" t="s">
        <v>21</v>
      </c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>
      <c r="A488" s="14" t="s">
        <v>1916</v>
      </c>
      <c r="B488" s="17" t="s">
        <v>1917</v>
      </c>
      <c r="C488" s="17" t="s">
        <v>1918</v>
      </c>
      <c r="D488" s="19" t="s">
        <v>1919</v>
      </c>
      <c r="E488" s="20" t="s">
        <v>53</v>
      </c>
      <c r="F488" s="21">
        <v>38389.0</v>
      </c>
      <c r="G488" s="14">
        <f t="shared" si="1"/>
        <v>21</v>
      </c>
      <c r="H488" s="23" t="s">
        <v>100</v>
      </c>
      <c r="I488" s="24" t="s">
        <v>33</v>
      </c>
      <c r="J488" s="19" t="s">
        <v>1915</v>
      </c>
      <c r="K488" s="14">
        <v>11.0</v>
      </c>
      <c r="L488" s="14">
        <v>0.0</v>
      </c>
      <c r="M488" s="25"/>
      <c r="N488" s="26" t="s">
        <v>21</v>
      </c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>
      <c r="A489" s="14" t="s">
        <v>1920</v>
      </c>
      <c r="B489" s="17" t="s">
        <v>1917</v>
      </c>
      <c r="C489" s="17" t="s">
        <v>1921</v>
      </c>
      <c r="D489" s="19" t="s">
        <v>1922</v>
      </c>
      <c r="E489" s="20" t="s">
        <v>195</v>
      </c>
      <c r="F489" s="21">
        <v>35684.0</v>
      </c>
      <c r="G489" s="14">
        <f t="shared" si="1"/>
        <v>29</v>
      </c>
      <c r="H489" s="23" t="s">
        <v>100</v>
      </c>
      <c r="I489" s="24" t="s">
        <v>33</v>
      </c>
      <c r="J489" s="19" t="s">
        <v>1915</v>
      </c>
      <c r="K489" s="14">
        <v>11.0</v>
      </c>
      <c r="L489" s="14">
        <v>0.0</v>
      </c>
      <c r="M489" s="25"/>
      <c r="N489" s="26" t="s">
        <v>21</v>
      </c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>
      <c r="A490" s="14" t="s">
        <v>1923</v>
      </c>
      <c r="B490" s="17" t="s">
        <v>1917</v>
      </c>
      <c r="C490" s="17" t="s">
        <v>1924</v>
      </c>
      <c r="D490" s="19" t="s">
        <v>1925</v>
      </c>
      <c r="E490" s="20" t="s">
        <v>210</v>
      </c>
      <c r="F490" s="21">
        <v>27621.0</v>
      </c>
      <c r="G490" s="14">
        <f t="shared" si="1"/>
        <v>51</v>
      </c>
      <c r="H490" s="23" t="s">
        <v>26</v>
      </c>
      <c r="I490" s="24" t="s">
        <v>27</v>
      </c>
      <c r="J490" s="19" t="s">
        <v>146</v>
      </c>
      <c r="K490" s="14">
        <v>11.0</v>
      </c>
      <c r="L490" s="14">
        <v>0.0</v>
      </c>
      <c r="M490" s="25"/>
      <c r="N490" s="26" t="s">
        <v>21</v>
      </c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>
      <c r="A491" s="14" t="s">
        <v>1926</v>
      </c>
      <c r="B491" s="17" t="s">
        <v>1917</v>
      </c>
      <c r="C491" s="17" t="s">
        <v>1927</v>
      </c>
      <c r="D491" s="19" t="s">
        <v>1928</v>
      </c>
      <c r="E491" s="20" t="s">
        <v>1929</v>
      </c>
      <c r="F491" s="21">
        <v>26461.0</v>
      </c>
      <c r="G491" s="14">
        <f t="shared" si="1"/>
        <v>54</v>
      </c>
      <c r="H491" s="23" t="s">
        <v>26</v>
      </c>
      <c r="I491" s="24" t="s">
        <v>33</v>
      </c>
      <c r="J491" s="19" t="s">
        <v>1915</v>
      </c>
      <c r="K491" s="14">
        <v>11.0</v>
      </c>
      <c r="L491" s="14">
        <v>0.0</v>
      </c>
      <c r="M491" s="25"/>
      <c r="N491" s="26" t="s">
        <v>21</v>
      </c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>
      <c r="A492" s="14" t="s">
        <v>1930</v>
      </c>
      <c r="B492" s="17" t="s">
        <v>1931</v>
      </c>
      <c r="C492" s="17" t="s">
        <v>1932</v>
      </c>
      <c r="D492" s="19" t="s">
        <v>1933</v>
      </c>
      <c r="E492" s="20" t="s">
        <v>1934</v>
      </c>
      <c r="F492" s="21">
        <v>25359.0</v>
      </c>
      <c r="G492" s="14">
        <f t="shared" si="1"/>
        <v>57</v>
      </c>
      <c r="H492" s="23" t="s">
        <v>26</v>
      </c>
      <c r="I492" s="24" t="s">
        <v>33</v>
      </c>
      <c r="J492" s="19" t="s">
        <v>282</v>
      </c>
      <c r="K492" s="14">
        <v>11.0</v>
      </c>
      <c r="L492" s="14">
        <v>0.0</v>
      </c>
      <c r="M492" s="25"/>
      <c r="N492" s="26" t="s">
        <v>21</v>
      </c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>
      <c r="A493" s="14" t="s">
        <v>1935</v>
      </c>
      <c r="B493" s="17" t="s">
        <v>1931</v>
      </c>
      <c r="C493" s="17" t="s">
        <v>1936</v>
      </c>
      <c r="D493" s="19" t="s">
        <v>2024</v>
      </c>
      <c r="E493" s="20" t="s">
        <v>231</v>
      </c>
      <c r="F493" s="21">
        <v>26831.0</v>
      </c>
      <c r="G493" s="14">
        <f t="shared" si="1"/>
        <v>53</v>
      </c>
      <c r="H493" s="23" t="s">
        <v>26</v>
      </c>
      <c r="I493" s="24" t="s">
        <v>27</v>
      </c>
      <c r="J493" s="19" t="s">
        <v>282</v>
      </c>
      <c r="K493" s="14">
        <v>11.0</v>
      </c>
      <c r="L493" s="14">
        <v>0.0</v>
      </c>
      <c r="M493" s="25"/>
      <c r="N493" s="26" t="s">
        <v>21</v>
      </c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>
      <c r="A494" s="14" t="s">
        <v>1938</v>
      </c>
      <c r="B494" s="17" t="s">
        <v>1939</v>
      </c>
      <c r="C494" s="17" t="s">
        <v>1940</v>
      </c>
      <c r="D494" s="19" t="s">
        <v>1941</v>
      </c>
      <c r="E494" s="20" t="s">
        <v>104</v>
      </c>
      <c r="F494" s="21">
        <v>33546.0</v>
      </c>
      <c r="G494" s="14">
        <f t="shared" si="1"/>
        <v>34</v>
      </c>
      <c r="H494" s="23" t="s">
        <v>100</v>
      </c>
      <c r="I494" s="24" t="s">
        <v>27</v>
      </c>
      <c r="J494" s="19" t="s">
        <v>1915</v>
      </c>
      <c r="K494" s="14">
        <v>11.0</v>
      </c>
      <c r="L494" s="14">
        <v>0.0</v>
      </c>
      <c r="M494" s="25"/>
      <c r="N494" s="26" t="s">
        <v>21</v>
      </c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>
      <c r="A495" s="14" t="s">
        <v>1942</v>
      </c>
      <c r="B495" s="17" t="s">
        <v>1939</v>
      </c>
      <c r="C495" s="17" t="s">
        <v>1943</v>
      </c>
      <c r="D495" s="19" t="s">
        <v>1944</v>
      </c>
      <c r="E495" s="20" t="s">
        <v>1550</v>
      </c>
      <c r="F495" s="21">
        <v>27040.0</v>
      </c>
      <c r="G495" s="14">
        <f t="shared" si="1"/>
        <v>52</v>
      </c>
      <c r="H495" s="23" t="s">
        <v>26</v>
      </c>
      <c r="I495" s="24" t="s">
        <v>27</v>
      </c>
      <c r="J495" s="19" t="s">
        <v>1915</v>
      </c>
      <c r="K495" s="14">
        <v>11.0</v>
      </c>
      <c r="L495" s="14">
        <v>0.0</v>
      </c>
      <c r="M495" s="25"/>
      <c r="N495" s="26" t="s">
        <v>21</v>
      </c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>
      <c r="A496" s="14" t="s">
        <v>1945</v>
      </c>
      <c r="B496" s="17" t="s">
        <v>1939</v>
      </c>
      <c r="C496" s="17" t="s">
        <v>1946</v>
      </c>
      <c r="D496" s="19" t="s">
        <v>1947</v>
      </c>
      <c r="E496" s="20" t="s">
        <v>1903</v>
      </c>
      <c r="F496" s="21">
        <v>24504.0</v>
      </c>
      <c r="G496" s="14">
        <f t="shared" si="1"/>
        <v>59</v>
      </c>
      <c r="H496" s="23" t="s">
        <v>26</v>
      </c>
      <c r="I496" s="24" t="s">
        <v>33</v>
      </c>
      <c r="J496" s="19" t="s">
        <v>1915</v>
      </c>
      <c r="K496" s="14">
        <v>11.0</v>
      </c>
      <c r="L496" s="14">
        <v>0.0</v>
      </c>
      <c r="M496" s="25"/>
      <c r="N496" s="26" t="s">
        <v>21</v>
      </c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>
      <c r="A497" s="14" t="s">
        <v>1948</v>
      </c>
      <c r="B497" s="17" t="s">
        <v>1949</v>
      </c>
      <c r="C497" s="17" t="s">
        <v>1950</v>
      </c>
      <c r="D497" s="19" t="s">
        <v>1951</v>
      </c>
      <c r="E497" s="20" t="s">
        <v>650</v>
      </c>
      <c r="F497" s="21">
        <v>23575.0</v>
      </c>
      <c r="G497" s="14">
        <f t="shared" si="1"/>
        <v>62</v>
      </c>
      <c r="H497" s="23" t="s">
        <v>26</v>
      </c>
      <c r="I497" s="24" t="s">
        <v>27</v>
      </c>
      <c r="J497" s="19" t="s">
        <v>1952</v>
      </c>
      <c r="K497" s="14">
        <v>36.0</v>
      </c>
      <c r="L497" s="14">
        <v>0.0</v>
      </c>
      <c r="M497" s="25"/>
      <c r="N497" s="26" t="s">
        <v>21</v>
      </c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>
      <c r="A498" s="14" t="s">
        <v>1953</v>
      </c>
      <c r="B498" s="17" t="s">
        <v>1949</v>
      </c>
      <c r="C498" s="17" t="s">
        <v>1954</v>
      </c>
      <c r="D498" s="19" t="s">
        <v>1955</v>
      </c>
      <c r="E498" s="20" t="s">
        <v>1903</v>
      </c>
      <c r="F498" s="21">
        <v>22754.0</v>
      </c>
      <c r="G498" s="14">
        <f t="shared" si="1"/>
        <v>64</v>
      </c>
      <c r="H498" s="23" t="s">
        <v>26</v>
      </c>
      <c r="I498" s="24" t="s">
        <v>33</v>
      </c>
      <c r="J498" s="19" t="s">
        <v>1952</v>
      </c>
      <c r="K498" s="14">
        <v>36.0</v>
      </c>
      <c r="L498" s="14">
        <v>0.0</v>
      </c>
      <c r="M498" s="25"/>
      <c r="N498" s="26" t="s">
        <v>21</v>
      </c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>
      <c r="A499" s="14" t="s">
        <v>1956</v>
      </c>
      <c r="B499" s="17" t="s">
        <v>1957</v>
      </c>
      <c r="C499" s="17" t="s">
        <v>1958</v>
      </c>
      <c r="D499" s="19" t="s">
        <v>1959</v>
      </c>
      <c r="E499" s="20" t="s">
        <v>1370</v>
      </c>
      <c r="F499" s="21">
        <v>16205.0</v>
      </c>
      <c r="G499" s="14">
        <f t="shared" si="1"/>
        <v>82</v>
      </c>
      <c r="H499" s="23" t="s">
        <v>26</v>
      </c>
      <c r="I499" s="24" t="s">
        <v>33</v>
      </c>
      <c r="J499" s="19" t="s">
        <v>1960</v>
      </c>
      <c r="K499" s="14">
        <v>11.0</v>
      </c>
      <c r="L499" s="14">
        <v>1.0</v>
      </c>
      <c r="M499" s="25"/>
      <c r="N499" s="26" t="s">
        <v>21</v>
      </c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>
      <c r="A500" s="14" t="s">
        <v>1961</v>
      </c>
      <c r="B500" s="17" t="s">
        <v>1957</v>
      </c>
      <c r="C500" s="17" t="s">
        <v>1962</v>
      </c>
      <c r="D500" s="19" t="s">
        <v>1963</v>
      </c>
      <c r="E500" s="20" t="s">
        <v>1370</v>
      </c>
      <c r="F500" s="27">
        <v>22947.0</v>
      </c>
      <c r="G500" s="14">
        <f t="shared" si="1"/>
        <v>64</v>
      </c>
      <c r="H500" s="23" t="s">
        <v>26</v>
      </c>
      <c r="I500" s="24" t="s">
        <v>27</v>
      </c>
      <c r="J500" s="19" t="s">
        <v>1960</v>
      </c>
      <c r="K500" s="14">
        <v>11.0</v>
      </c>
      <c r="L500" s="14">
        <v>0.0</v>
      </c>
      <c r="M500" s="25"/>
      <c r="N500" s="26" t="s">
        <v>21</v>
      </c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>
      <c r="A501" s="14" t="s">
        <v>1964</v>
      </c>
      <c r="B501" s="17" t="s">
        <v>1957</v>
      </c>
      <c r="C501" s="17" t="s">
        <v>1965</v>
      </c>
      <c r="D501" s="19" t="s">
        <v>1966</v>
      </c>
      <c r="E501" s="20" t="s">
        <v>104</v>
      </c>
      <c r="F501" s="21">
        <v>37019.0</v>
      </c>
      <c r="G501" s="14">
        <f t="shared" si="1"/>
        <v>25</v>
      </c>
      <c r="H501" s="23" t="s">
        <v>100</v>
      </c>
      <c r="I501" s="24" t="s">
        <v>33</v>
      </c>
      <c r="J501" s="19" t="s">
        <v>1960</v>
      </c>
      <c r="K501" s="14">
        <v>11.0</v>
      </c>
      <c r="L501" s="14">
        <v>0.0</v>
      </c>
      <c r="M501" s="25"/>
      <c r="N501" s="26" t="s">
        <v>21</v>
      </c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>
      <c r="A502" s="14" t="s">
        <v>1967</v>
      </c>
      <c r="B502" s="17" t="s">
        <v>1968</v>
      </c>
      <c r="C502" s="17" t="s">
        <v>1969</v>
      </c>
      <c r="D502" s="19" t="s">
        <v>1970</v>
      </c>
      <c r="E502" s="20" t="s">
        <v>104</v>
      </c>
      <c r="F502" s="21">
        <v>29264.0</v>
      </c>
      <c r="G502" s="14">
        <f t="shared" si="1"/>
        <v>46</v>
      </c>
      <c r="H502" s="23" t="s">
        <v>26</v>
      </c>
      <c r="I502" s="24" t="s">
        <v>27</v>
      </c>
      <c r="J502" s="19" t="s">
        <v>1915</v>
      </c>
      <c r="K502" s="14">
        <v>11.0</v>
      </c>
      <c r="L502" s="14">
        <v>0.0</v>
      </c>
      <c r="M502" s="25"/>
      <c r="N502" s="26" t="s">
        <v>21</v>
      </c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>
      <c r="A503" s="14" t="s">
        <v>1971</v>
      </c>
      <c r="B503" s="17" t="s">
        <v>1968</v>
      </c>
      <c r="C503" s="17" t="s">
        <v>1972</v>
      </c>
      <c r="D503" s="19" t="s">
        <v>1973</v>
      </c>
      <c r="E503" s="20" t="s">
        <v>1049</v>
      </c>
      <c r="F503" s="21">
        <v>27410.0</v>
      </c>
      <c r="G503" s="14">
        <f t="shared" si="1"/>
        <v>51</v>
      </c>
      <c r="H503" s="23" t="s">
        <v>26</v>
      </c>
      <c r="I503" s="24" t="s">
        <v>33</v>
      </c>
      <c r="J503" s="19" t="s">
        <v>1915</v>
      </c>
      <c r="K503" s="14">
        <v>11.0</v>
      </c>
      <c r="L503" s="14">
        <v>0.0</v>
      </c>
      <c r="M503" s="25"/>
      <c r="N503" s="26" t="s">
        <v>21</v>
      </c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>
      <c r="A504" s="14" t="s">
        <v>1974</v>
      </c>
      <c r="B504" s="17" t="s">
        <v>1968</v>
      </c>
      <c r="C504" s="17" t="s">
        <v>1975</v>
      </c>
      <c r="D504" s="19" t="s">
        <v>1976</v>
      </c>
      <c r="E504" s="20" t="s">
        <v>337</v>
      </c>
      <c r="F504" s="21">
        <v>37686.0</v>
      </c>
      <c r="G504" s="14">
        <f t="shared" si="1"/>
        <v>23</v>
      </c>
      <c r="H504" s="23" t="s">
        <v>100</v>
      </c>
      <c r="I504" s="24" t="s">
        <v>33</v>
      </c>
      <c r="J504" s="19" t="s">
        <v>1915</v>
      </c>
      <c r="K504" s="14">
        <v>11.0</v>
      </c>
      <c r="L504" s="14">
        <v>0.0</v>
      </c>
      <c r="M504" s="25"/>
      <c r="N504" s="26" t="s">
        <v>21</v>
      </c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>
      <c r="A505" s="14" t="s">
        <v>1977</v>
      </c>
      <c r="B505" s="17" t="s">
        <v>1968</v>
      </c>
      <c r="C505" s="17" t="s">
        <v>1978</v>
      </c>
      <c r="D505" s="19" t="s">
        <v>1979</v>
      </c>
      <c r="E505" s="20" t="s">
        <v>53</v>
      </c>
      <c r="F505" s="21">
        <v>38790.0</v>
      </c>
      <c r="G505" s="14">
        <f t="shared" si="1"/>
        <v>20</v>
      </c>
      <c r="H505" s="23" t="s">
        <v>100</v>
      </c>
      <c r="I505" s="24" t="s">
        <v>33</v>
      </c>
      <c r="J505" s="19" t="s">
        <v>1915</v>
      </c>
      <c r="K505" s="14">
        <v>11.0</v>
      </c>
      <c r="L505" s="14">
        <v>0.0</v>
      </c>
      <c r="M505" s="25"/>
      <c r="N505" s="26" t="s">
        <v>21</v>
      </c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>
      <c r="A506" s="14" t="s">
        <v>1980</v>
      </c>
      <c r="B506" s="17" t="s">
        <v>1981</v>
      </c>
      <c r="C506" s="17" t="s">
        <v>1982</v>
      </c>
      <c r="D506" s="19" t="s">
        <v>1983</v>
      </c>
      <c r="E506" s="20" t="s">
        <v>104</v>
      </c>
      <c r="F506" s="27">
        <v>31408.0</v>
      </c>
      <c r="G506" s="14">
        <f t="shared" si="1"/>
        <v>40</v>
      </c>
      <c r="H506" s="23" t="s">
        <v>26</v>
      </c>
      <c r="I506" s="24" t="s">
        <v>27</v>
      </c>
      <c r="J506" s="19" t="s">
        <v>53</v>
      </c>
      <c r="K506" s="14">
        <v>30.0</v>
      </c>
      <c r="L506" s="14">
        <v>0.0</v>
      </c>
      <c r="M506" s="25"/>
      <c r="N506" s="26" t="s">
        <v>21</v>
      </c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>
      <c r="A507" s="14" t="s">
        <v>1984</v>
      </c>
      <c r="B507" s="17" t="s">
        <v>1981</v>
      </c>
      <c r="C507" s="17" t="s">
        <v>1985</v>
      </c>
      <c r="D507" s="19" t="s">
        <v>1986</v>
      </c>
      <c r="E507" s="20" t="s">
        <v>104</v>
      </c>
      <c r="F507" s="21">
        <v>30434.0</v>
      </c>
      <c r="G507" s="14">
        <f t="shared" si="1"/>
        <v>43</v>
      </c>
      <c r="H507" s="23" t="s">
        <v>26</v>
      </c>
      <c r="I507" s="24" t="s">
        <v>33</v>
      </c>
      <c r="J507" s="19" t="s">
        <v>53</v>
      </c>
      <c r="K507" s="14">
        <v>30.0</v>
      </c>
      <c r="L507" s="14">
        <v>0.0</v>
      </c>
      <c r="M507" s="25"/>
      <c r="N507" s="26" t="s">
        <v>21</v>
      </c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>
      <c r="A508" s="14" t="s">
        <v>1987</v>
      </c>
      <c r="B508" s="17" t="s">
        <v>1988</v>
      </c>
      <c r="C508" s="17" t="s">
        <v>1989</v>
      </c>
      <c r="D508" s="19" t="s">
        <v>1990</v>
      </c>
      <c r="E508" s="20" t="s">
        <v>337</v>
      </c>
      <c r="F508" s="27">
        <v>38273.0</v>
      </c>
      <c r="G508" s="14">
        <f t="shared" si="1"/>
        <v>22</v>
      </c>
      <c r="H508" s="23" t="s">
        <v>100</v>
      </c>
      <c r="I508" s="24" t="s">
        <v>27</v>
      </c>
      <c r="J508" s="19" t="s">
        <v>156</v>
      </c>
      <c r="K508" s="14">
        <v>29.0</v>
      </c>
      <c r="L508" s="14">
        <v>0.0</v>
      </c>
      <c r="M508" s="25"/>
      <c r="N508" s="26" t="s">
        <v>21</v>
      </c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>
      <c r="A509" s="14" t="s">
        <v>1991</v>
      </c>
      <c r="B509" s="17" t="s">
        <v>1988</v>
      </c>
      <c r="C509" s="17" t="s">
        <v>1992</v>
      </c>
      <c r="D509" s="19" t="s">
        <v>1993</v>
      </c>
      <c r="E509" s="20" t="s">
        <v>1741</v>
      </c>
      <c r="F509" s="21">
        <v>26456.0</v>
      </c>
      <c r="G509" s="14">
        <f t="shared" si="1"/>
        <v>54</v>
      </c>
      <c r="H509" s="23" t="s">
        <v>26</v>
      </c>
      <c r="I509" s="24" t="s">
        <v>27</v>
      </c>
      <c r="J509" s="19" t="s">
        <v>156</v>
      </c>
      <c r="K509" s="14">
        <v>29.0</v>
      </c>
      <c r="L509" s="14">
        <v>0.0</v>
      </c>
      <c r="M509" s="25"/>
      <c r="N509" s="26" t="s">
        <v>21</v>
      </c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>
      <c r="A510" s="14" t="s">
        <v>1994</v>
      </c>
      <c r="B510" s="17" t="s">
        <v>1988</v>
      </c>
      <c r="C510" s="17" t="s">
        <v>1995</v>
      </c>
      <c r="D510" s="19" t="s">
        <v>1996</v>
      </c>
      <c r="E510" s="20" t="s">
        <v>104</v>
      </c>
      <c r="F510" s="27">
        <v>35430.0</v>
      </c>
      <c r="G510" s="14">
        <f t="shared" si="1"/>
        <v>29</v>
      </c>
      <c r="H510" s="23" t="s">
        <v>100</v>
      </c>
      <c r="I510" s="24" t="s">
        <v>33</v>
      </c>
      <c r="J510" s="19" t="s">
        <v>156</v>
      </c>
      <c r="K510" s="14">
        <v>29.0</v>
      </c>
      <c r="L510" s="14">
        <v>0.0</v>
      </c>
      <c r="M510" s="25"/>
      <c r="N510" s="26" t="s">
        <v>21</v>
      </c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>
      <c r="A511" s="14" t="s">
        <v>1997</v>
      </c>
      <c r="B511" s="17" t="s">
        <v>1988</v>
      </c>
      <c r="C511" s="17" t="s">
        <v>1998</v>
      </c>
      <c r="D511" s="19" t="s">
        <v>1999</v>
      </c>
      <c r="E511" s="20" t="s">
        <v>2000</v>
      </c>
      <c r="F511" s="21">
        <v>25443.0</v>
      </c>
      <c r="G511" s="14">
        <f t="shared" si="1"/>
        <v>57</v>
      </c>
      <c r="H511" s="23" t="s">
        <v>26</v>
      </c>
      <c r="I511" s="24" t="s">
        <v>33</v>
      </c>
      <c r="J511" s="19" t="s">
        <v>156</v>
      </c>
      <c r="K511" s="14">
        <v>29.0</v>
      </c>
      <c r="L511" s="14">
        <v>0.0</v>
      </c>
      <c r="M511" s="25"/>
      <c r="N511" s="26" t="s">
        <v>21</v>
      </c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>
      <c r="A512" s="14" t="s">
        <v>2001</v>
      </c>
      <c r="B512" s="17" t="s">
        <v>2002</v>
      </c>
      <c r="C512" s="17" t="s">
        <v>2003</v>
      </c>
      <c r="D512" s="19" t="s">
        <v>1268</v>
      </c>
      <c r="E512" s="20" t="s">
        <v>654</v>
      </c>
      <c r="F512" s="21">
        <v>25477.0</v>
      </c>
      <c r="G512" s="14">
        <f t="shared" si="1"/>
        <v>57</v>
      </c>
      <c r="H512" s="23" t="s">
        <v>26</v>
      </c>
      <c r="I512" s="24" t="s">
        <v>27</v>
      </c>
      <c r="J512" s="19" t="s">
        <v>328</v>
      </c>
      <c r="K512" s="14">
        <v>25.0</v>
      </c>
      <c r="L512" s="14">
        <v>0.0</v>
      </c>
      <c r="M512" s="25"/>
      <c r="N512" s="26" t="s">
        <v>21</v>
      </c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>
      <c r="A513" s="14" t="s">
        <v>2004</v>
      </c>
      <c r="B513" s="17" t="s">
        <v>2002</v>
      </c>
      <c r="C513" s="17" t="s">
        <v>2005</v>
      </c>
      <c r="D513" s="19" t="s">
        <v>2006</v>
      </c>
      <c r="E513" s="20" t="s">
        <v>1291</v>
      </c>
      <c r="F513" s="27">
        <v>24802.0</v>
      </c>
      <c r="G513" s="14">
        <f t="shared" si="1"/>
        <v>58</v>
      </c>
      <c r="H513" s="23" t="s">
        <v>26</v>
      </c>
      <c r="I513" s="24" t="s">
        <v>33</v>
      </c>
      <c r="J513" s="19" t="s">
        <v>156</v>
      </c>
      <c r="K513" s="14">
        <v>35.0</v>
      </c>
      <c r="L513" s="14">
        <v>0.0</v>
      </c>
      <c r="M513" s="25"/>
      <c r="N513" s="26" t="s">
        <v>21</v>
      </c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>
      <c r="A514" s="14" t="s">
        <v>2007</v>
      </c>
      <c r="B514" s="17" t="s">
        <v>2008</v>
      </c>
      <c r="C514" s="17" t="s">
        <v>2009</v>
      </c>
      <c r="D514" s="19" t="s">
        <v>2010</v>
      </c>
      <c r="E514" s="20" t="s">
        <v>104</v>
      </c>
      <c r="F514" s="21">
        <v>28551.0</v>
      </c>
      <c r="G514" s="14">
        <f t="shared" si="1"/>
        <v>48</v>
      </c>
      <c r="H514" s="23" t="s">
        <v>26</v>
      </c>
      <c r="I514" s="24" t="s">
        <v>33</v>
      </c>
      <c r="J514" s="19" t="s">
        <v>146</v>
      </c>
      <c r="K514" s="14">
        <v>10.0</v>
      </c>
      <c r="L514" s="14">
        <v>0.0</v>
      </c>
      <c r="M514" s="25"/>
      <c r="N514" s="26" t="s">
        <v>21</v>
      </c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>
      <c r="A515" s="14" t="s">
        <v>2011</v>
      </c>
      <c r="B515" s="17" t="s">
        <v>2008</v>
      </c>
      <c r="C515" s="17" t="s">
        <v>2012</v>
      </c>
      <c r="D515" s="19" t="s">
        <v>2013</v>
      </c>
      <c r="E515" s="20" t="s">
        <v>2014</v>
      </c>
      <c r="F515" s="21">
        <v>32766.0</v>
      </c>
      <c r="G515" s="14">
        <f t="shared" si="1"/>
        <v>37</v>
      </c>
      <c r="H515" s="23" t="s">
        <v>26</v>
      </c>
      <c r="I515" s="24" t="s">
        <v>27</v>
      </c>
      <c r="J515" s="19" t="s">
        <v>146</v>
      </c>
      <c r="K515" s="14">
        <v>10.0</v>
      </c>
      <c r="L515" s="14">
        <v>0.0</v>
      </c>
      <c r="M515" s="25"/>
      <c r="N515" s="26" t="s">
        <v>21</v>
      </c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>
      <c r="A516" s="14" t="s">
        <v>2015</v>
      </c>
      <c r="B516" s="17" t="s">
        <v>2016</v>
      </c>
      <c r="C516" s="17" t="s">
        <v>2017</v>
      </c>
      <c r="D516" s="19" t="s">
        <v>2018</v>
      </c>
      <c r="E516" s="20" t="s">
        <v>104</v>
      </c>
      <c r="F516" s="21">
        <v>35891.0</v>
      </c>
      <c r="G516" s="14">
        <f t="shared" si="1"/>
        <v>28</v>
      </c>
      <c r="H516" s="23" t="s">
        <v>26</v>
      </c>
      <c r="I516" s="24" t="s">
        <v>33</v>
      </c>
      <c r="J516" s="19" t="s">
        <v>2019</v>
      </c>
      <c r="K516" s="14">
        <v>5.0</v>
      </c>
      <c r="L516" s="14">
        <v>5.0</v>
      </c>
      <c r="M516" s="25"/>
      <c r="N516" s="26" t="s">
        <v>21</v>
      </c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>
      <c r="A517" s="14" t="s">
        <v>2020</v>
      </c>
      <c r="B517" s="17" t="s">
        <v>2016</v>
      </c>
      <c r="C517" s="17" t="s">
        <v>2021</v>
      </c>
      <c r="D517" s="19" t="s">
        <v>2022</v>
      </c>
      <c r="E517" s="20" t="s">
        <v>2023</v>
      </c>
      <c r="F517" s="21">
        <v>37129.0</v>
      </c>
      <c r="G517" s="14">
        <f t="shared" si="1"/>
        <v>25</v>
      </c>
      <c r="H517" s="23" t="s">
        <v>26</v>
      </c>
      <c r="I517" s="24" t="s">
        <v>27</v>
      </c>
      <c r="J517" s="19" t="s">
        <v>2019</v>
      </c>
      <c r="K517" s="14">
        <v>5.0</v>
      </c>
      <c r="L517" s="14">
        <v>5.0</v>
      </c>
      <c r="M517" s="25"/>
      <c r="N517" s="26" t="s">
        <v>21</v>
      </c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>
      <c r="A518" s="14" t="s">
        <v>2025</v>
      </c>
      <c r="B518" s="17" t="s">
        <v>2026</v>
      </c>
      <c r="C518" s="17" t="s">
        <v>2027</v>
      </c>
      <c r="D518" s="19" t="s">
        <v>2028</v>
      </c>
      <c r="E518" s="20" t="s">
        <v>2029</v>
      </c>
      <c r="F518" s="21">
        <v>29998.0</v>
      </c>
      <c r="G518" s="14">
        <f t="shared" si="1"/>
        <v>44</v>
      </c>
      <c r="H518" s="23" t="s">
        <v>26</v>
      </c>
      <c r="I518" s="24" t="s">
        <v>33</v>
      </c>
      <c r="J518" s="19" t="s">
        <v>53</v>
      </c>
      <c r="K518" s="14">
        <v>28.0</v>
      </c>
      <c r="L518" s="14">
        <v>5.0</v>
      </c>
      <c r="M518" s="25"/>
      <c r="N518" s="26" t="s">
        <v>21</v>
      </c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>
      <c r="A519" s="14" t="s">
        <v>2030</v>
      </c>
      <c r="B519" s="17" t="s">
        <v>2026</v>
      </c>
      <c r="C519" s="17" t="s">
        <v>2031</v>
      </c>
      <c r="D519" s="19" t="s">
        <v>2032</v>
      </c>
      <c r="E519" s="20" t="s">
        <v>104</v>
      </c>
      <c r="F519" s="21">
        <v>33295.0</v>
      </c>
      <c r="G519" s="14">
        <f t="shared" si="1"/>
        <v>35</v>
      </c>
      <c r="H519" s="23" t="s">
        <v>26</v>
      </c>
      <c r="I519" s="24" t="s">
        <v>27</v>
      </c>
      <c r="J519" s="19" t="s">
        <v>53</v>
      </c>
      <c r="K519" s="14">
        <v>28.0</v>
      </c>
      <c r="L519" s="14">
        <v>5.0</v>
      </c>
      <c r="M519" s="25"/>
      <c r="N519" s="26" t="s">
        <v>21</v>
      </c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>
      <c r="A520" s="14" t="s">
        <v>2033</v>
      </c>
      <c r="B520" s="17" t="s">
        <v>2034</v>
      </c>
      <c r="C520" s="17" t="s">
        <v>2035</v>
      </c>
      <c r="D520" s="19" t="s">
        <v>2036</v>
      </c>
      <c r="E520" s="20" t="s">
        <v>2037</v>
      </c>
      <c r="F520" s="27">
        <v>39384.0</v>
      </c>
      <c r="G520" s="14">
        <f t="shared" si="1"/>
        <v>19</v>
      </c>
      <c r="H520" s="23" t="s">
        <v>100</v>
      </c>
      <c r="I520" s="24" t="s">
        <v>33</v>
      </c>
      <c r="J520" s="19" t="s">
        <v>2038</v>
      </c>
      <c r="K520" s="14">
        <v>9.0</v>
      </c>
      <c r="L520" s="14">
        <v>0.0</v>
      </c>
      <c r="M520" s="25"/>
      <c r="N520" s="26" t="s">
        <v>21</v>
      </c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>
      <c r="A521" s="14" t="s">
        <v>2039</v>
      </c>
      <c r="B521" s="17" t="s">
        <v>2034</v>
      </c>
      <c r="C521" s="17" t="s">
        <v>2040</v>
      </c>
      <c r="D521" s="19" t="s">
        <v>2041</v>
      </c>
      <c r="E521" s="20" t="s">
        <v>231</v>
      </c>
      <c r="F521" s="21">
        <v>27154.0</v>
      </c>
      <c r="G521" s="14">
        <f t="shared" si="1"/>
        <v>52</v>
      </c>
      <c r="H521" s="23" t="s">
        <v>26</v>
      </c>
      <c r="I521" s="24" t="s">
        <v>33</v>
      </c>
      <c r="J521" s="19" t="s">
        <v>2038</v>
      </c>
      <c r="K521" s="14">
        <v>9.0</v>
      </c>
      <c r="L521" s="14">
        <v>0.0</v>
      </c>
      <c r="M521" s="25"/>
      <c r="N521" s="26" t="s">
        <v>21</v>
      </c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>
      <c r="A522" s="14" t="s">
        <v>2042</v>
      </c>
      <c r="B522" s="17" t="s">
        <v>2034</v>
      </c>
      <c r="C522" s="17" t="s">
        <v>2043</v>
      </c>
      <c r="D522" s="19" t="s">
        <v>2044</v>
      </c>
      <c r="E522" s="20" t="s">
        <v>231</v>
      </c>
      <c r="F522" s="21">
        <v>27619.0</v>
      </c>
      <c r="G522" s="14">
        <f t="shared" si="1"/>
        <v>51</v>
      </c>
      <c r="H522" s="23" t="s">
        <v>26</v>
      </c>
      <c r="I522" s="24" t="s">
        <v>27</v>
      </c>
      <c r="J522" s="19" t="s">
        <v>2038</v>
      </c>
      <c r="K522" s="14">
        <v>9.0</v>
      </c>
      <c r="L522" s="14">
        <v>0.0</v>
      </c>
      <c r="M522" s="25"/>
      <c r="N522" s="26" t="s">
        <v>21</v>
      </c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>
      <c r="A523" s="14" t="s">
        <v>2045</v>
      </c>
      <c r="B523" s="17" t="s">
        <v>2046</v>
      </c>
      <c r="C523" s="17" t="s">
        <v>2047</v>
      </c>
      <c r="D523" s="19" t="s">
        <v>2048</v>
      </c>
      <c r="E523" s="20" t="s">
        <v>2049</v>
      </c>
      <c r="F523" s="21">
        <v>37438.0</v>
      </c>
      <c r="G523" s="14">
        <f t="shared" si="1"/>
        <v>24</v>
      </c>
      <c r="H523" s="23" t="s">
        <v>26</v>
      </c>
      <c r="I523" s="24" t="s">
        <v>27</v>
      </c>
      <c r="J523" s="19" t="s">
        <v>446</v>
      </c>
      <c r="K523" s="14">
        <v>33.0</v>
      </c>
      <c r="L523" s="14">
        <v>0.0</v>
      </c>
      <c r="M523" s="25"/>
      <c r="N523" s="26" t="s">
        <v>21</v>
      </c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>
      <c r="A524" s="14" t="s">
        <v>2050</v>
      </c>
      <c r="B524" s="17" t="s">
        <v>2046</v>
      </c>
      <c r="C524" s="17" t="s">
        <v>2051</v>
      </c>
      <c r="D524" s="19" t="s">
        <v>2052</v>
      </c>
      <c r="E524" s="20" t="s">
        <v>104</v>
      </c>
      <c r="F524" s="21">
        <v>37063.0</v>
      </c>
      <c r="G524" s="14">
        <f t="shared" si="1"/>
        <v>25</v>
      </c>
      <c r="H524" s="23" t="s">
        <v>26</v>
      </c>
      <c r="I524" s="24" t="s">
        <v>33</v>
      </c>
      <c r="J524" s="19" t="s">
        <v>446</v>
      </c>
      <c r="K524" s="14">
        <v>33.0</v>
      </c>
      <c r="L524" s="14">
        <v>0.0</v>
      </c>
      <c r="M524" s="25"/>
      <c r="N524" s="26" t="s">
        <v>21</v>
      </c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>
      <c r="A525" s="14" t="s">
        <v>2053</v>
      </c>
      <c r="B525" s="17" t="s">
        <v>2054</v>
      </c>
      <c r="C525" s="17" t="s">
        <v>2055</v>
      </c>
      <c r="D525" s="19" t="s">
        <v>2056</v>
      </c>
      <c r="E525" s="20" t="s">
        <v>2057</v>
      </c>
      <c r="F525" s="21">
        <v>38369.0</v>
      </c>
      <c r="G525" s="14">
        <f t="shared" si="1"/>
        <v>21</v>
      </c>
      <c r="H525" s="23" t="s">
        <v>100</v>
      </c>
      <c r="I525" s="24" t="s">
        <v>27</v>
      </c>
      <c r="J525" s="19" t="s">
        <v>328</v>
      </c>
      <c r="K525" s="14">
        <v>22.0</v>
      </c>
      <c r="L525" s="14">
        <v>0.0</v>
      </c>
      <c r="M525" s="25"/>
      <c r="N525" s="26" t="s">
        <v>21</v>
      </c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>
      <c r="A526" s="14" t="s">
        <v>2058</v>
      </c>
      <c r="B526" s="17" t="s">
        <v>2054</v>
      </c>
      <c r="C526" s="17" t="s">
        <v>2059</v>
      </c>
      <c r="D526" s="19" t="s">
        <v>2060</v>
      </c>
      <c r="E526" s="20" t="s">
        <v>104</v>
      </c>
      <c r="F526" s="21">
        <v>29783.0</v>
      </c>
      <c r="G526" s="14">
        <f t="shared" si="1"/>
        <v>45</v>
      </c>
      <c r="H526" s="23" t="s">
        <v>26</v>
      </c>
      <c r="I526" s="24" t="s">
        <v>27</v>
      </c>
      <c r="J526" s="19" t="s">
        <v>328</v>
      </c>
      <c r="K526" s="14">
        <v>22.0</v>
      </c>
      <c r="L526" s="14">
        <v>0.0</v>
      </c>
      <c r="M526" s="25"/>
      <c r="N526" s="26" t="s">
        <v>21</v>
      </c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>
      <c r="A527" s="14" t="s">
        <v>2061</v>
      </c>
      <c r="B527" s="17" t="s">
        <v>2054</v>
      </c>
      <c r="C527" s="17" t="s">
        <v>2062</v>
      </c>
      <c r="D527" s="19" t="s">
        <v>1986</v>
      </c>
      <c r="E527" s="20" t="s">
        <v>187</v>
      </c>
      <c r="F527" s="21">
        <v>29046.0</v>
      </c>
      <c r="G527" s="14">
        <f t="shared" si="1"/>
        <v>47</v>
      </c>
      <c r="H527" s="23" t="s">
        <v>26</v>
      </c>
      <c r="I527" s="24" t="s">
        <v>33</v>
      </c>
      <c r="J527" s="19" t="s">
        <v>53</v>
      </c>
      <c r="K527" s="14">
        <v>22.0</v>
      </c>
      <c r="L527" s="14">
        <v>0.0</v>
      </c>
      <c r="M527" s="25"/>
      <c r="N527" s="26" t="s">
        <v>21</v>
      </c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>
      <c r="A528" s="14" t="s">
        <v>2063</v>
      </c>
      <c r="B528" s="17" t="s">
        <v>2064</v>
      </c>
      <c r="C528" s="17" t="s">
        <v>2065</v>
      </c>
      <c r="D528" s="19" t="s">
        <v>2066</v>
      </c>
      <c r="E528" s="20" t="s">
        <v>1095</v>
      </c>
      <c r="F528" s="21">
        <v>37371.0</v>
      </c>
      <c r="G528" s="14">
        <f t="shared" si="1"/>
        <v>24</v>
      </c>
      <c r="H528" s="23" t="s">
        <v>100</v>
      </c>
      <c r="I528" s="24" t="s">
        <v>33</v>
      </c>
      <c r="J528" s="19" t="s">
        <v>146</v>
      </c>
      <c r="K528" s="14">
        <v>10.0</v>
      </c>
      <c r="L528" s="14">
        <v>0.0</v>
      </c>
      <c r="M528" s="25"/>
      <c r="N528" s="26" t="s">
        <v>21</v>
      </c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>
      <c r="A529" s="14" t="s">
        <v>2067</v>
      </c>
      <c r="B529" s="17" t="s">
        <v>2064</v>
      </c>
      <c r="C529" s="17" t="s">
        <v>2068</v>
      </c>
      <c r="D529" s="19" t="s">
        <v>2069</v>
      </c>
      <c r="E529" s="20" t="s">
        <v>1095</v>
      </c>
      <c r="F529" s="21">
        <v>36051.0</v>
      </c>
      <c r="G529" s="14">
        <f t="shared" si="1"/>
        <v>28</v>
      </c>
      <c r="H529" s="23" t="s">
        <v>100</v>
      </c>
      <c r="I529" s="24" t="s">
        <v>33</v>
      </c>
      <c r="J529" s="19" t="s">
        <v>146</v>
      </c>
      <c r="K529" s="14">
        <v>10.0</v>
      </c>
      <c r="L529" s="14">
        <v>0.0</v>
      </c>
      <c r="M529" s="25"/>
      <c r="N529" s="26" t="s">
        <v>21</v>
      </c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>
      <c r="A530" s="14" t="s">
        <v>2070</v>
      </c>
      <c r="B530" s="17" t="s">
        <v>2064</v>
      </c>
      <c r="C530" s="17" t="s">
        <v>2071</v>
      </c>
      <c r="D530" s="19" t="s">
        <v>1642</v>
      </c>
      <c r="E530" s="20" t="s">
        <v>372</v>
      </c>
      <c r="F530" s="21">
        <v>26373.0</v>
      </c>
      <c r="G530" s="14">
        <f t="shared" si="1"/>
        <v>54</v>
      </c>
      <c r="H530" s="23" t="s">
        <v>26</v>
      </c>
      <c r="I530" s="24" t="s">
        <v>33</v>
      </c>
      <c r="J530" s="19" t="s">
        <v>146</v>
      </c>
      <c r="K530" s="14">
        <v>10.0</v>
      </c>
      <c r="L530" s="14">
        <v>0.0</v>
      </c>
      <c r="M530" s="25"/>
      <c r="N530" s="26" t="s">
        <v>21</v>
      </c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>
      <c r="A531" s="14" t="s">
        <v>2072</v>
      </c>
      <c r="B531" s="17" t="s">
        <v>2064</v>
      </c>
      <c r="C531" s="17" t="s">
        <v>2073</v>
      </c>
      <c r="D531" s="19" t="s">
        <v>2074</v>
      </c>
      <c r="E531" s="20" t="s">
        <v>231</v>
      </c>
      <c r="F531" s="21">
        <v>27617.0</v>
      </c>
      <c r="G531" s="14">
        <f t="shared" si="1"/>
        <v>51</v>
      </c>
      <c r="H531" s="23" t="s">
        <v>26</v>
      </c>
      <c r="I531" s="24" t="s">
        <v>27</v>
      </c>
      <c r="J531" s="19" t="s">
        <v>53</v>
      </c>
      <c r="K531" s="14">
        <v>10.0</v>
      </c>
      <c r="L531" s="14">
        <v>0.0</v>
      </c>
      <c r="M531" s="25"/>
      <c r="N531" s="26" t="s">
        <v>21</v>
      </c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>
      <c r="A532" s="14" t="s">
        <v>2075</v>
      </c>
      <c r="B532" s="17" t="s">
        <v>2076</v>
      </c>
      <c r="C532" s="17" t="s">
        <v>2077</v>
      </c>
      <c r="D532" s="19" t="s">
        <v>2078</v>
      </c>
      <c r="E532" s="20" t="s">
        <v>2079</v>
      </c>
      <c r="F532" s="21">
        <v>32117.0</v>
      </c>
      <c r="G532" s="14">
        <f t="shared" si="1"/>
        <v>38</v>
      </c>
      <c r="H532" s="23" t="s">
        <v>26</v>
      </c>
      <c r="I532" s="24" t="s">
        <v>27</v>
      </c>
      <c r="J532" s="19" t="s">
        <v>146</v>
      </c>
      <c r="K532" s="14">
        <v>5.0</v>
      </c>
      <c r="L532" s="14">
        <v>0.0</v>
      </c>
      <c r="M532" s="25"/>
      <c r="N532" s="26" t="s">
        <v>21</v>
      </c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>
      <c r="A533" s="14" t="s">
        <v>2080</v>
      </c>
      <c r="B533" s="17" t="s">
        <v>2076</v>
      </c>
      <c r="C533" s="17" t="s">
        <v>2081</v>
      </c>
      <c r="D533" s="19" t="s">
        <v>2082</v>
      </c>
      <c r="E533" s="20" t="s">
        <v>104</v>
      </c>
      <c r="F533" s="21">
        <v>28323.0</v>
      </c>
      <c r="G533" s="14">
        <f t="shared" si="1"/>
        <v>49</v>
      </c>
      <c r="H533" s="23" t="s">
        <v>26</v>
      </c>
      <c r="I533" s="24" t="s">
        <v>33</v>
      </c>
      <c r="J533" s="19" t="s">
        <v>146</v>
      </c>
      <c r="K533" s="14">
        <v>5.0</v>
      </c>
      <c r="L533" s="14">
        <v>0.0</v>
      </c>
      <c r="M533" s="25"/>
      <c r="N533" s="26" t="s">
        <v>21</v>
      </c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>
      <c r="A534" s="14" t="s">
        <v>2083</v>
      </c>
      <c r="B534" s="17" t="s">
        <v>2084</v>
      </c>
      <c r="C534" s="17" t="s">
        <v>2085</v>
      </c>
      <c r="D534" s="19" t="s">
        <v>2086</v>
      </c>
      <c r="E534" s="20" t="s">
        <v>1291</v>
      </c>
      <c r="F534" s="21">
        <v>24267.0</v>
      </c>
      <c r="G534" s="14">
        <f t="shared" si="1"/>
        <v>60</v>
      </c>
      <c r="H534" s="23" t="s">
        <v>26</v>
      </c>
      <c r="I534" s="24" t="s">
        <v>33</v>
      </c>
      <c r="J534" s="19" t="s">
        <v>257</v>
      </c>
      <c r="K534" s="14">
        <v>32.0</v>
      </c>
      <c r="L534" s="14">
        <v>0.0</v>
      </c>
      <c r="M534" s="25"/>
      <c r="N534" s="26" t="s">
        <v>21</v>
      </c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>
      <c r="A535" s="14" t="s">
        <v>2087</v>
      </c>
      <c r="B535" s="17" t="s">
        <v>2156</v>
      </c>
      <c r="C535" s="17" t="s">
        <v>2088</v>
      </c>
      <c r="D535" s="19" t="s">
        <v>2089</v>
      </c>
      <c r="E535" s="20" t="s">
        <v>53</v>
      </c>
      <c r="F535" s="21">
        <v>37838.0</v>
      </c>
      <c r="G535" s="14">
        <f t="shared" si="1"/>
        <v>23</v>
      </c>
      <c r="H535" s="23" t="s">
        <v>100</v>
      </c>
      <c r="I535" s="24" t="s">
        <v>33</v>
      </c>
      <c r="J535" s="19" t="s">
        <v>257</v>
      </c>
      <c r="K535" s="14">
        <v>32.0</v>
      </c>
      <c r="L535" s="14">
        <v>0.0</v>
      </c>
      <c r="M535" s="25"/>
      <c r="N535" s="26" t="s">
        <v>21</v>
      </c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>
      <c r="A536" s="14" t="s">
        <v>2090</v>
      </c>
      <c r="B536" s="17" t="s">
        <v>2084</v>
      </c>
      <c r="C536" s="17" t="s">
        <v>2091</v>
      </c>
      <c r="D536" s="19" t="s">
        <v>2092</v>
      </c>
      <c r="E536" s="20" t="s">
        <v>104</v>
      </c>
      <c r="F536" s="27">
        <v>38641.0</v>
      </c>
      <c r="G536" s="14">
        <f t="shared" si="1"/>
        <v>21</v>
      </c>
      <c r="H536" s="23" t="s">
        <v>100</v>
      </c>
      <c r="I536" s="24" t="s">
        <v>27</v>
      </c>
      <c r="J536" s="19" t="s">
        <v>257</v>
      </c>
      <c r="K536" s="14">
        <v>32.0</v>
      </c>
      <c r="L536" s="14">
        <v>0.0</v>
      </c>
      <c r="M536" s="25"/>
      <c r="N536" s="26" t="s">
        <v>21</v>
      </c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>
      <c r="A537" s="14" t="s">
        <v>2093</v>
      </c>
      <c r="B537" s="17" t="s">
        <v>2084</v>
      </c>
      <c r="C537" s="17" t="s">
        <v>2094</v>
      </c>
      <c r="D537" s="19" t="s">
        <v>2095</v>
      </c>
      <c r="E537" s="20" t="s">
        <v>67</v>
      </c>
      <c r="F537" s="27">
        <v>26626.0</v>
      </c>
      <c r="G537" s="14">
        <f t="shared" si="1"/>
        <v>53</v>
      </c>
      <c r="H537" s="23" t="s">
        <v>26</v>
      </c>
      <c r="I537" s="24" t="s">
        <v>27</v>
      </c>
      <c r="J537" s="19" t="s">
        <v>257</v>
      </c>
      <c r="K537" s="14">
        <v>32.0</v>
      </c>
      <c r="L537" s="14">
        <v>0.0</v>
      </c>
      <c r="M537" s="25"/>
      <c r="N537" s="26" t="s">
        <v>21</v>
      </c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>
      <c r="A538" s="14" t="s">
        <v>2096</v>
      </c>
      <c r="B538" s="17" t="s">
        <v>2097</v>
      </c>
      <c r="C538" s="17" t="s">
        <v>2098</v>
      </c>
      <c r="D538" s="19" t="s">
        <v>2099</v>
      </c>
      <c r="E538" s="20" t="s">
        <v>290</v>
      </c>
      <c r="F538" s="21">
        <v>15888.0</v>
      </c>
      <c r="G538" s="14">
        <f t="shared" si="1"/>
        <v>83</v>
      </c>
      <c r="H538" s="23" t="s">
        <v>26</v>
      </c>
      <c r="I538" s="24" t="s">
        <v>33</v>
      </c>
      <c r="J538" s="19" t="s">
        <v>257</v>
      </c>
      <c r="K538" s="14">
        <v>5.0</v>
      </c>
      <c r="L538" s="14">
        <v>0.0</v>
      </c>
      <c r="M538" s="25"/>
      <c r="N538" s="26" t="s">
        <v>21</v>
      </c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>
      <c r="A539" s="14" t="s">
        <v>2100</v>
      </c>
      <c r="B539" s="17" t="s">
        <v>2097</v>
      </c>
      <c r="C539" s="17" t="s">
        <v>2101</v>
      </c>
      <c r="D539" s="19" t="s">
        <v>2102</v>
      </c>
      <c r="E539" s="20" t="s">
        <v>544</v>
      </c>
      <c r="F539" s="21">
        <v>19791.0</v>
      </c>
      <c r="G539" s="14">
        <f t="shared" si="1"/>
        <v>72</v>
      </c>
      <c r="H539" s="23" t="s">
        <v>26</v>
      </c>
      <c r="I539" s="24" t="s">
        <v>27</v>
      </c>
      <c r="J539" s="19" t="s">
        <v>257</v>
      </c>
      <c r="K539" s="14">
        <v>5.0</v>
      </c>
      <c r="L539" s="14">
        <v>0.0</v>
      </c>
      <c r="M539" s="25"/>
      <c r="N539" s="26" t="s">
        <v>21</v>
      </c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>
      <c r="A540" s="14" t="s">
        <v>2103</v>
      </c>
      <c r="B540" s="17" t="s">
        <v>2174</v>
      </c>
      <c r="C540" s="17" t="s">
        <v>2105</v>
      </c>
      <c r="D540" s="19" t="s">
        <v>2106</v>
      </c>
      <c r="E540" s="20" t="s">
        <v>195</v>
      </c>
      <c r="F540" s="21">
        <v>36314.0</v>
      </c>
      <c r="G540" s="14">
        <f t="shared" si="1"/>
        <v>27</v>
      </c>
      <c r="H540" s="23" t="s">
        <v>100</v>
      </c>
      <c r="I540" s="24" t="s">
        <v>27</v>
      </c>
      <c r="J540" s="19" t="s">
        <v>328</v>
      </c>
      <c r="K540" s="14">
        <v>7.0</v>
      </c>
      <c r="L540" s="14">
        <v>0.0</v>
      </c>
      <c r="M540" s="25"/>
      <c r="N540" s="26" t="s">
        <v>21</v>
      </c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>
      <c r="A541" s="14" t="s">
        <v>2107</v>
      </c>
      <c r="B541" s="17" t="s">
        <v>2104</v>
      </c>
      <c r="C541" s="17" t="s">
        <v>2108</v>
      </c>
      <c r="D541" s="19" t="s">
        <v>2109</v>
      </c>
      <c r="E541" s="20" t="s">
        <v>195</v>
      </c>
      <c r="F541" s="21">
        <v>26678.0</v>
      </c>
      <c r="G541" s="14">
        <f t="shared" si="1"/>
        <v>53</v>
      </c>
      <c r="H541" s="23" t="s">
        <v>26</v>
      </c>
      <c r="I541" s="24" t="s">
        <v>27</v>
      </c>
      <c r="J541" s="19" t="s">
        <v>328</v>
      </c>
      <c r="K541" s="14">
        <v>26.0</v>
      </c>
      <c r="L541" s="14">
        <v>0.0</v>
      </c>
      <c r="M541" s="25"/>
      <c r="N541" s="26" t="s">
        <v>21</v>
      </c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>
      <c r="A542" s="14" t="s">
        <v>2110</v>
      </c>
      <c r="B542" s="17" t="s">
        <v>2104</v>
      </c>
      <c r="C542" s="17" t="s">
        <v>2111</v>
      </c>
      <c r="D542" s="19" t="s">
        <v>2112</v>
      </c>
      <c r="E542" s="20" t="s">
        <v>2113</v>
      </c>
      <c r="F542" s="21">
        <v>26092.0</v>
      </c>
      <c r="G542" s="14">
        <f t="shared" si="1"/>
        <v>55</v>
      </c>
      <c r="H542" s="23" t="s">
        <v>26</v>
      </c>
      <c r="I542" s="24" t="s">
        <v>33</v>
      </c>
      <c r="J542" s="19" t="s">
        <v>328</v>
      </c>
      <c r="K542" s="14">
        <v>26.0</v>
      </c>
      <c r="L542" s="14">
        <v>0.0</v>
      </c>
      <c r="M542" s="25"/>
      <c r="N542" s="26" t="s">
        <v>21</v>
      </c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>
      <c r="A543" s="14" t="s">
        <v>2114</v>
      </c>
      <c r="B543" s="17" t="s">
        <v>2104</v>
      </c>
      <c r="C543" s="17" t="s">
        <v>2115</v>
      </c>
      <c r="D543" s="19" t="s">
        <v>2116</v>
      </c>
      <c r="E543" s="20" t="s">
        <v>337</v>
      </c>
      <c r="F543" s="21">
        <v>37698.0</v>
      </c>
      <c r="G543" s="14">
        <f t="shared" si="1"/>
        <v>23</v>
      </c>
      <c r="H543" s="23" t="s">
        <v>100</v>
      </c>
      <c r="I543" s="24" t="s">
        <v>33</v>
      </c>
      <c r="J543" s="19" t="s">
        <v>328</v>
      </c>
      <c r="K543" s="14">
        <v>26.0</v>
      </c>
      <c r="L543" s="14">
        <v>0.0</v>
      </c>
      <c r="M543" s="25"/>
      <c r="N543" s="26" t="s">
        <v>21</v>
      </c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>
      <c r="A544" s="14" t="s">
        <v>2117</v>
      </c>
      <c r="B544" s="17" t="s">
        <v>2118</v>
      </c>
      <c r="C544" s="17" t="s">
        <v>2119</v>
      </c>
      <c r="D544" s="19" t="s">
        <v>2120</v>
      </c>
      <c r="E544" s="20" t="s">
        <v>104</v>
      </c>
      <c r="F544" s="21">
        <v>32549.0</v>
      </c>
      <c r="G544" s="14">
        <f t="shared" si="1"/>
        <v>37</v>
      </c>
      <c r="H544" s="23" t="s">
        <v>26</v>
      </c>
      <c r="I544" s="24" t="s">
        <v>27</v>
      </c>
      <c r="J544" s="19" t="s">
        <v>282</v>
      </c>
      <c r="K544" s="14">
        <v>12.0</v>
      </c>
      <c r="L544" s="14">
        <v>0.0</v>
      </c>
      <c r="M544" s="25"/>
      <c r="N544" s="26" t="s">
        <v>21</v>
      </c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>
      <c r="A545" s="14" t="s">
        <v>2121</v>
      </c>
      <c r="B545" s="17" t="s">
        <v>2118</v>
      </c>
      <c r="C545" s="17" t="s">
        <v>2122</v>
      </c>
      <c r="D545" s="19" t="s">
        <v>2123</v>
      </c>
      <c r="E545" s="20" t="s">
        <v>736</v>
      </c>
      <c r="F545" s="21">
        <v>32213.0</v>
      </c>
      <c r="G545" s="14">
        <f t="shared" si="1"/>
        <v>38</v>
      </c>
      <c r="H545" s="23" t="s">
        <v>26</v>
      </c>
      <c r="I545" s="24" t="s">
        <v>33</v>
      </c>
      <c r="J545" s="19" t="s">
        <v>39</v>
      </c>
      <c r="K545" s="14">
        <v>12.0</v>
      </c>
      <c r="L545" s="14">
        <v>0.0</v>
      </c>
      <c r="M545" s="25"/>
      <c r="N545" s="26" t="s">
        <v>21</v>
      </c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>
      <c r="A546" s="14" t="s">
        <v>2124</v>
      </c>
      <c r="B546" s="17" t="s">
        <v>2125</v>
      </c>
      <c r="C546" s="17" t="s">
        <v>2126</v>
      </c>
      <c r="D546" s="19" t="s">
        <v>2127</v>
      </c>
      <c r="E546" s="20" t="s">
        <v>53</v>
      </c>
      <c r="F546" s="21">
        <v>28312.0</v>
      </c>
      <c r="G546" s="14">
        <f t="shared" si="1"/>
        <v>49</v>
      </c>
      <c r="H546" s="23" t="s">
        <v>26</v>
      </c>
      <c r="I546" s="24" t="s">
        <v>27</v>
      </c>
      <c r="J546" s="19" t="s">
        <v>362</v>
      </c>
      <c r="K546" s="14">
        <v>25.0</v>
      </c>
      <c r="L546" s="14">
        <v>0.0</v>
      </c>
      <c r="M546" s="25"/>
      <c r="N546" s="26" t="s">
        <v>21</v>
      </c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>
      <c r="A547" s="14" t="s">
        <v>2128</v>
      </c>
      <c r="B547" s="17" t="s">
        <v>2125</v>
      </c>
      <c r="C547" s="17" t="s">
        <v>2129</v>
      </c>
      <c r="D547" s="19" t="s">
        <v>2130</v>
      </c>
      <c r="E547" s="20" t="s">
        <v>2131</v>
      </c>
      <c r="F547" s="21">
        <v>36722.0</v>
      </c>
      <c r="G547" s="14">
        <f t="shared" si="1"/>
        <v>26</v>
      </c>
      <c r="H547" s="23" t="s">
        <v>100</v>
      </c>
      <c r="I547" s="24" t="s">
        <v>27</v>
      </c>
      <c r="J547" s="19" t="s">
        <v>362</v>
      </c>
      <c r="K547" s="14">
        <v>25.0</v>
      </c>
      <c r="L547" s="14">
        <v>0.0</v>
      </c>
      <c r="M547" s="25"/>
      <c r="N547" s="26" t="s">
        <v>21</v>
      </c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>
      <c r="A548" s="14" t="s">
        <v>2132</v>
      </c>
      <c r="B548" s="17" t="s">
        <v>2125</v>
      </c>
      <c r="C548" s="17" t="s">
        <v>2133</v>
      </c>
      <c r="D548" s="19" t="s">
        <v>2134</v>
      </c>
      <c r="E548" s="20" t="s">
        <v>2135</v>
      </c>
      <c r="F548" s="27">
        <v>27750.0</v>
      </c>
      <c r="G548" s="14">
        <f t="shared" si="1"/>
        <v>50</v>
      </c>
      <c r="H548" s="23" t="s">
        <v>26</v>
      </c>
      <c r="I548" s="24" t="s">
        <v>33</v>
      </c>
      <c r="J548" s="19" t="s">
        <v>362</v>
      </c>
      <c r="K548" s="14">
        <v>25.0</v>
      </c>
      <c r="L548" s="14">
        <v>0.0</v>
      </c>
      <c r="M548" s="25"/>
      <c r="N548" s="26" t="s">
        <v>21</v>
      </c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>
      <c r="A549" s="14" t="s">
        <v>2136</v>
      </c>
      <c r="B549" s="17" t="s">
        <v>2137</v>
      </c>
      <c r="C549" s="17" t="s">
        <v>2138</v>
      </c>
      <c r="D549" s="19" t="s">
        <v>2139</v>
      </c>
      <c r="E549" s="20" t="s">
        <v>1413</v>
      </c>
      <c r="F549" s="21">
        <v>18464.0</v>
      </c>
      <c r="G549" s="14">
        <f t="shared" si="1"/>
        <v>76</v>
      </c>
      <c r="H549" s="23" t="s">
        <v>27</v>
      </c>
      <c r="I549" s="24" t="s">
        <v>27</v>
      </c>
      <c r="J549" s="19" t="s">
        <v>146</v>
      </c>
      <c r="K549" s="14">
        <v>9.0</v>
      </c>
      <c r="L549" s="14">
        <v>0.0</v>
      </c>
      <c r="M549" s="25"/>
      <c r="N549" s="26" t="s">
        <v>21</v>
      </c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>
      <c r="A550" s="14" t="s">
        <v>2140</v>
      </c>
      <c r="B550" s="17" t="s">
        <v>2141</v>
      </c>
      <c r="C550" s="17" t="s">
        <v>2142</v>
      </c>
      <c r="D550" s="19" t="s">
        <v>2143</v>
      </c>
      <c r="E550" s="20" t="s">
        <v>2144</v>
      </c>
      <c r="F550" s="27">
        <v>27377.0</v>
      </c>
      <c r="G550" s="14">
        <f t="shared" si="1"/>
        <v>51</v>
      </c>
      <c r="H550" s="23" t="s">
        <v>27</v>
      </c>
      <c r="I550" s="24" t="s">
        <v>27</v>
      </c>
      <c r="J550" s="19" t="s">
        <v>68</v>
      </c>
      <c r="K550" s="14">
        <v>33.0</v>
      </c>
      <c r="L550" s="14">
        <v>0.0</v>
      </c>
      <c r="M550" s="25"/>
      <c r="N550" s="26" t="s">
        <v>21</v>
      </c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>
      <c r="A551" s="14" t="s">
        <v>2145</v>
      </c>
      <c r="B551" s="17" t="s">
        <v>2141</v>
      </c>
      <c r="C551" s="17" t="s">
        <v>2146</v>
      </c>
      <c r="D551" s="19" t="s">
        <v>2147</v>
      </c>
      <c r="E551" s="20" t="s">
        <v>2148</v>
      </c>
      <c r="F551" s="21">
        <v>37844.0</v>
      </c>
      <c r="G551" s="14">
        <f t="shared" si="1"/>
        <v>23</v>
      </c>
      <c r="H551" s="23" t="s">
        <v>100</v>
      </c>
      <c r="I551" s="24" t="s">
        <v>33</v>
      </c>
      <c r="J551" s="19" t="s">
        <v>68</v>
      </c>
      <c r="K551" s="14">
        <v>33.0</v>
      </c>
      <c r="L551" s="14">
        <v>0.0</v>
      </c>
      <c r="M551" s="25"/>
      <c r="N551" s="26" t="s">
        <v>21</v>
      </c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>
      <c r="A552" s="14" t="s">
        <v>2149</v>
      </c>
      <c r="B552" s="17" t="s">
        <v>2150</v>
      </c>
      <c r="C552" s="17" t="s">
        <v>2151</v>
      </c>
      <c r="D552" s="19" t="s">
        <v>2152</v>
      </c>
      <c r="E552" s="20" t="s">
        <v>104</v>
      </c>
      <c r="F552" s="21">
        <v>30784.0</v>
      </c>
      <c r="G552" s="14">
        <f t="shared" si="1"/>
        <v>42</v>
      </c>
      <c r="H552" s="23" t="s">
        <v>26</v>
      </c>
      <c r="I552" s="24" t="s">
        <v>33</v>
      </c>
      <c r="J552" s="19" t="s">
        <v>146</v>
      </c>
      <c r="K552" s="14">
        <v>5.0</v>
      </c>
      <c r="L552" s="14">
        <v>0.0</v>
      </c>
      <c r="M552" s="25"/>
      <c r="N552" s="26" t="s">
        <v>21</v>
      </c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>
      <c r="A553" s="14" t="s">
        <v>2153</v>
      </c>
      <c r="B553" s="17" t="s">
        <v>2150</v>
      </c>
      <c r="C553" s="17" t="s">
        <v>2154</v>
      </c>
      <c r="D553" s="19" t="s">
        <v>2155</v>
      </c>
      <c r="E553" s="20" t="s">
        <v>104</v>
      </c>
      <c r="F553" s="21">
        <v>32615.0</v>
      </c>
      <c r="G553" s="14">
        <f t="shared" si="1"/>
        <v>37</v>
      </c>
      <c r="H553" s="23" t="s">
        <v>26</v>
      </c>
      <c r="I553" s="24" t="s">
        <v>27</v>
      </c>
      <c r="J553" s="19" t="s">
        <v>146</v>
      </c>
      <c r="K553" s="14">
        <v>5.0</v>
      </c>
      <c r="L553" s="14">
        <v>0.0</v>
      </c>
      <c r="M553" s="25"/>
      <c r="N553" s="26" t="s">
        <v>21</v>
      </c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>
      <c r="A554" s="14" t="s">
        <v>2157</v>
      </c>
      <c r="B554" s="17" t="s">
        <v>2158</v>
      </c>
      <c r="C554" s="17" t="s">
        <v>2159</v>
      </c>
      <c r="D554" s="19" t="s">
        <v>2160</v>
      </c>
      <c r="E554" s="20" t="s">
        <v>104</v>
      </c>
      <c r="F554" s="27">
        <v>35016.0</v>
      </c>
      <c r="G554" s="14">
        <f t="shared" si="1"/>
        <v>30</v>
      </c>
      <c r="H554" s="23" t="s">
        <v>26</v>
      </c>
      <c r="I554" s="24" t="s">
        <v>27</v>
      </c>
      <c r="J554" s="19" t="s">
        <v>726</v>
      </c>
      <c r="K554" s="14">
        <v>14.0</v>
      </c>
      <c r="L554" s="14">
        <v>0.0</v>
      </c>
      <c r="M554" s="25"/>
      <c r="N554" s="26" t="s">
        <v>21</v>
      </c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>
      <c r="A555" s="14" t="s">
        <v>2161</v>
      </c>
      <c r="B555" s="17" t="s">
        <v>2158</v>
      </c>
      <c r="C555" s="17" t="s">
        <v>2162</v>
      </c>
      <c r="D555" s="19" t="s">
        <v>2163</v>
      </c>
      <c r="E555" s="20" t="s">
        <v>2164</v>
      </c>
      <c r="F555" s="27">
        <v>33234.0</v>
      </c>
      <c r="G555" s="14">
        <f t="shared" si="1"/>
        <v>35</v>
      </c>
      <c r="H555" s="23" t="s">
        <v>26</v>
      </c>
      <c r="I555" s="24" t="s">
        <v>33</v>
      </c>
      <c r="J555" s="19" t="s">
        <v>726</v>
      </c>
      <c r="K555" s="14">
        <v>14.0</v>
      </c>
      <c r="L555" s="14">
        <v>0.0</v>
      </c>
      <c r="M555" s="25"/>
      <c r="N555" s="26" t="s">
        <v>21</v>
      </c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>
      <c r="A556" s="14" t="s">
        <v>2165</v>
      </c>
      <c r="B556" s="17" t="s">
        <v>2225</v>
      </c>
      <c r="C556" s="17" t="s">
        <v>2167</v>
      </c>
      <c r="D556" s="19" t="s">
        <v>2168</v>
      </c>
      <c r="E556" s="20" t="s">
        <v>231</v>
      </c>
      <c r="F556" s="21">
        <v>30502.0</v>
      </c>
      <c r="G556" s="14">
        <f t="shared" si="1"/>
        <v>43</v>
      </c>
      <c r="H556" s="23" t="s">
        <v>27</v>
      </c>
      <c r="I556" s="24" t="s">
        <v>27</v>
      </c>
      <c r="J556" s="19" t="s">
        <v>257</v>
      </c>
      <c r="K556" s="14">
        <v>8.0</v>
      </c>
      <c r="L556" s="14">
        <v>0.0</v>
      </c>
      <c r="M556" s="25"/>
      <c r="N556" s="26" t="s">
        <v>21</v>
      </c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>
      <c r="A557" s="14" t="s">
        <v>2169</v>
      </c>
      <c r="B557" s="17" t="s">
        <v>2170</v>
      </c>
      <c r="C557" s="17" t="s">
        <v>2171</v>
      </c>
      <c r="D557" s="19" t="s">
        <v>2172</v>
      </c>
      <c r="E557" s="20" t="s">
        <v>2173</v>
      </c>
      <c r="F557" s="21">
        <v>28553.0</v>
      </c>
      <c r="G557" s="14">
        <f t="shared" si="1"/>
        <v>48</v>
      </c>
      <c r="H557" s="23" t="s">
        <v>26</v>
      </c>
      <c r="I557" s="24" t="s">
        <v>33</v>
      </c>
      <c r="J557" s="19" t="s">
        <v>257</v>
      </c>
      <c r="K557" s="14">
        <v>28.0</v>
      </c>
      <c r="L557" s="14">
        <v>0.0</v>
      </c>
      <c r="M557" s="25"/>
      <c r="N557" s="26" t="s">
        <v>21</v>
      </c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>
      <c r="A558" s="14" t="s">
        <v>2175</v>
      </c>
      <c r="B558" s="17" t="s">
        <v>2170</v>
      </c>
      <c r="C558" s="17" t="s">
        <v>2176</v>
      </c>
      <c r="D558" s="19" t="s">
        <v>2177</v>
      </c>
      <c r="E558" s="20" t="s">
        <v>53</v>
      </c>
      <c r="F558" s="21">
        <v>30692.0</v>
      </c>
      <c r="G558" s="14">
        <f t="shared" si="1"/>
        <v>42</v>
      </c>
      <c r="H558" s="23" t="s">
        <v>26</v>
      </c>
      <c r="I558" s="24" t="s">
        <v>27</v>
      </c>
      <c r="J558" s="19" t="s">
        <v>257</v>
      </c>
      <c r="K558" s="14">
        <v>28.0</v>
      </c>
      <c r="L558" s="14">
        <v>0.0</v>
      </c>
      <c r="M558" s="25"/>
      <c r="N558" s="26" t="s">
        <v>21</v>
      </c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>
      <c r="A559" s="14" t="s">
        <v>2178</v>
      </c>
      <c r="B559" s="17" t="s">
        <v>2179</v>
      </c>
      <c r="C559" s="17" t="s">
        <v>2180</v>
      </c>
      <c r="D559" s="19" t="s">
        <v>2181</v>
      </c>
      <c r="E559" s="20" t="s">
        <v>104</v>
      </c>
      <c r="F559" s="21">
        <v>35222.0</v>
      </c>
      <c r="G559" s="14">
        <f t="shared" si="1"/>
        <v>30</v>
      </c>
      <c r="H559" s="23" t="s">
        <v>26</v>
      </c>
      <c r="I559" s="24" t="s">
        <v>27</v>
      </c>
      <c r="J559" s="19" t="s">
        <v>206</v>
      </c>
      <c r="K559" s="14">
        <v>1.0</v>
      </c>
      <c r="L559" s="14">
        <v>0.0</v>
      </c>
      <c r="M559" s="25"/>
      <c r="N559" s="26" t="s">
        <v>21</v>
      </c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>
      <c r="A560" s="14" t="s">
        <v>2182</v>
      </c>
      <c r="B560" s="17" t="s">
        <v>2179</v>
      </c>
      <c r="C560" s="17" t="s">
        <v>2183</v>
      </c>
      <c r="D560" s="19" t="s">
        <v>2184</v>
      </c>
      <c r="E560" s="20" t="s">
        <v>2185</v>
      </c>
      <c r="F560" s="21">
        <v>34573.0</v>
      </c>
      <c r="G560" s="14">
        <f t="shared" si="1"/>
        <v>32</v>
      </c>
      <c r="H560" s="23" t="s">
        <v>26</v>
      </c>
      <c r="I560" s="24" t="s">
        <v>33</v>
      </c>
      <c r="J560" s="19" t="s">
        <v>206</v>
      </c>
      <c r="K560" s="14">
        <v>1.0</v>
      </c>
      <c r="L560" s="14">
        <v>0.0</v>
      </c>
      <c r="M560" s="25"/>
      <c r="N560" s="26" t="s">
        <v>21</v>
      </c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>
      <c r="A561" s="14" t="s">
        <v>2186</v>
      </c>
      <c r="B561" s="17" t="s">
        <v>2187</v>
      </c>
      <c r="C561" s="17" t="s">
        <v>2188</v>
      </c>
      <c r="D561" s="19" t="s">
        <v>2189</v>
      </c>
      <c r="E561" s="20" t="s">
        <v>104</v>
      </c>
      <c r="F561" s="21">
        <v>33660.0</v>
      </c>
      <c r="G561" s="14">
        <f t="shared" si="1"/>
        <v>34</v>
      </c>
      <c r="H561" s="23" t="s">
        <v>26</v>
      </c>
      <c r="I561" s="24" t="s">
        <v>33</v>
      </c>
      <c r="J561" s="19" t="s">
        <v>53</v>
      </c>
      <c r="K561" s="14">
        <v>13.0</v>
      </c>
      <c r="L561" s="14">
        <v>0.0</v>
      </c>
      <c r="M561" s="25"/>
      <c r="N561" s="26" t="s">
        <v>21</v>
      </c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>
      <c r="A562" s="14" t="s">
        <v>2190</v>
      </c>
      <c r="B562" s="17" t="s">
        <v>2187</v>
      </c>
      <c r="C562" s="17" t="s">
        <v>2191</v>
      </c>
      <c r="D562" s="19" t="s">
        <v>2192</v>
      </c>
      <c r="E562" s="20" t="s">
        <v>104</v>
      </c>
      <c r="F562" s="21">
        <v>34382.0</v>
      </c>
      <c r="G562" s="14">
        <f t="shared" si="1"/>
        <v>32</v>
      </c>
      <c r="H562" s="23" t="s">
        <v>26</v>
      </c>
      <c r="I562" s="24" t="s">
        <v>27</v>
      </c>
      <c r="J562" s="19" t="s">
        <v>53</v>
      </c>
      <c r="K562" s="14">
        <v>13.0</v>
      </c>
      <c r="L562" s="14">
        <v>0.0</v>
      </c>
      <c r="M562" s="25"/>
      <c r="N562" s="26" t="s">
        <v>21</v>
      </c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>
      <c r="A563" s="14" t="s">
        <v>2193</v>
      </c>
      <c r="B563" s="17" t="s">
        <v>2194</v>
      </c>
      <c r="C563" s="17" t="s">
        <v>2195</v>
      </c>
      <c r="D563" s="19" t="s">
        <v>1471</v>
      </c>
      <c r="E563" s="20" t="s">
        <v>53</v>
      </c>
      <c r="F563" s="21">
        <v>28038.0</v>
      </c>
      <c r="G563" s="14">
        <f t="shared" si="1"/>
        <v>50</v>
      </c>
      <c r="H563" s="23" t="s">
        <v>26</v>
      </c>
      <c r="I563" s="24" t="s">
        <v>27</v>
      </c>
      <c r="J563" s="19" t="s">
        <v>2196</v>
      </c>
      <c r="K563" s="14">
        <v>15.0</v>
      </c>
      <c r="L563" s="14">
        <v>0.0</v>
      </c>
      <c r="M563" s="25"/>
      <c r="N563" s="26" t="s">
        <v>21</v>
      </c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>
      <c r="A564" s="14" t="s">
        <v>2197</v>
      </c>
      <c r="B564" s="17" t="s">
        <v>2194</v>
      </c>
      <c r="C564" s="17" t="s">
        <v>2198</v>
      </c>
      <c r="D564" s="19" t="s">
        <v>2199</v>
      </c>
      <c r="E564" s="20" t="s">
        <v>2200</v>
      </c>
      <c r="F564" s="21">
        <v>26894.0</v>
      </c>
      <c r="G564" s="14">
        <f t="shared" si="1"/>
        <v>53</v>
      </c>
      <c r="H564" s="23" t="s">
        <v>26</v>
      </c>
      <c r="I564" s="24" t="s">
        <v>33</v>
      </c>
      <c r="J564" s="19" t="s">
        <v>282</v>
      </c>
      <c r="K564" s="14">
        <v>15.0</v>
      </c>
      <c r="L564" s="14">
        <v>0.0</v>
      </c>
      <c r="M564" s="25"/>
      <c r="N564" s="26" t="s">
        <v>21</v>
      </c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>
      <c r="A565" s="14" t="s">
        <v>2201</v>
      </c>
      <c r="B565" s="17" t="s">
        <v>2202</v>
      </c>
      <c r="C565" s="17" t="s">
        <v>2203</v>
      </c>
      <c r="D565" s="19" t="s">
        <v>2204</v>
      </c>
      <c r="E565" s="20" t="s">
        <v>53</v>
      </c>
      <c r="F565" s="21">
        <v>33604.0</v>
      </c>
      <c r="G565" s="14">
        <f t="shared" si="1"/>
        <v>34</v>
      </c>
      <c r="H565" s="23" t="s">
        <v>100</v>
      </c>
      <c r="I565" s="24" t="s">
        <v>33</v>
      </c>
      <c r="J565" s="19" t="s">
        <v>53</v>
      </c>
      <c r="K565" s="14">
        <v>14.0</v>
      </c>
      <c r="L565" s="14">
        <v>0.0</v>
      </c>
      <c r="M565" s="25"/>
      <c r="N565" s="26" t="s">
        <v>21</v>
      </c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>
      <c r="A566" s="14" t="s">
        <v>2205</v>
      </c>
      <c r="B566" s="17" t="s">
        <v>2202</v>
      </c>
      <c r="C566" s="17" t="s">
        <v>2206</v>
      </c>
      <c r="D566" s="19" t="s">
        <v>2207</v>
      </c>
      <c r="E566" s="20" t="s">
        <v>53</v>
      </c>
      <c r="F566" s="21">
        <v>38826.0</v>
      </c>
      <c r="G566" s="14">
        <f t="shared" si="1"/>
        <v>20</v>
      </c>
      <c r="H566" s="23" t="s">
        <v>100</v>
      </c>
      <c r="I566" s="24" t="s">
        <v>27</v>
      </c>
      <c r="J566" s="19" t="s">
        <v>53</v>
      </c>
      <c r="K566" s="14">
        <v>14.0</v>
      </c>
      <c r="L566" s="14">
        <v>0.0</v>
      </c>
      <c r="M566" s="25"/>
      <c r="N566" s="26" t="s">
        <v>21</v>
      </c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>
      <c r="A567" s="14" t="s">
        <v>2208</v>
      </c>
      <c r="B567" s="17" t="s">
        <v>2202</v>
      </c>
      <c r="C567" s="17" t="s">
        <v>2209</v>
      </c>
      <c r="D567" s="19" t="s">
        <v>2210</v>
      </c>
      <c r="E567" s="20" t="s">
        <v>1038</v>
      </c>
      <c r="F567" s="21">
        <v>26299.0</v>
      </c>
      <c r="G567" s="14">
        <f t="shared" si="1"/>
        <v>54</v>
      </c>
      <c r="H567" s="23" t="s">
        <v>26</v>
      </c>
      <c r="I567" s="24" t="s">
        <v>27</v>
      </c>
      <c r="J567" s="19" t="s">
        <v>53</v>
      </c>
      <c r="K567" s="14">
        <v>14.0</v>
      </c>
      <c r="L567" s="14">
        <v>0.0</v>
      </c>
      <c r="M567" s="25"/>
      <c r="N567" s="26" t="s">
        <v>21</v>
      </c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>
      <c r="A568" s="14" t="s">
        <v>2211</v>
      </c>
      <c r="B568" s="17" t="s">
        <v>2202</v>
      </c>
      <c r="C568" s="17" t="s">
        <v>2212</v>
      </c>
      <c r="D568" s="19" t="s">
        <v>2213</v>
      </c>
      <c r="E568" s="20" t="s">
        <v>1038</v>
      </c>
      <c r="F568" s="21">
        <v>24938.0</v>
      </c>
      <c r="G568" s="14">
        <f t="shared" si="1"/>
        <v>58</v>
      </c>
      <c r="H568" s="23" t="s">
        <v>26</v>
      </c>
      <c r="I568" s="24" t="s">
        <v>33</v>
      </c>
      <c r="J568" s="19" t="s">
        <v>53</v>
      </c>
      <c r="K568" s="14">
        <v>14.0</v>
      </c>
      <c r="L568" s="14">
        <v>0.0</v>
      </c>
      <c r="M568" s="25"/>
      <c r="N568" s="26" t="s">
        <v>21</v>
      </c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>
      <c r="A569" s="14" t="s">
        <v>2214</v>
      </c>
      <c r="B569" s="17" t="s">
        <v>2215</v>
      </c>
      <c r="C569" s="17" t="s">
        <v>2216</v>
      </c>
      <c r="D569" s="19" t="s">
        <v>2217</v>
      </c>
      <c r="E569" s="20" t="s">
        <v>210</v>
      </c>
      <c r="F569" s="27">
        <v>32866.0</v>
      </c>
      <c r="G569" s="14">
        <f t="shared" si="1"/>
        <v>36</v>
      </c>
      <c r="H569" s="23" t="s">
        <v>26</v>
      </c>
      <c r="I569" s="24" t="s">
        <v>27</v>
      </c>
      <c r="J569" s="19" t="s">
        <v>53</v>
      </c>
      <c r="K569" s="14">
        <v>29.0</v>
      </c>
      <c r="L569" s="14">
        <v>0.0</v>
      </c>
      <c r="M569" s="25"/>
      <c r="N569" s="26" t="s">
        <v>21</v>
      </c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>
      <c r="A570" s="14" t="s">
        <v>2218</v>
      </c>
      <c r="B570" s="17" t="s">
        <v>2215</v>
      </c>
      <c r="C570" s="17" t="s">
        <v>2219</v>
      </c>
      <c r="D570" s="19" t="s">
        <v>2220</v>
      </c>
      <c r="E570" s="20" t="s">
        <v>53</v>
      </c>
      <c r="F570" s="21">
        <v>31164.0</v>
      </c>
      <c r="G570" s="14">
        <f t="shared" si="1"/>
        <v>41</v>
      </c>
      <c r="H570" s="23" t="s">
        <v>26</v>
      </c>
      <c r="I570" s="24" t="s">
        <v>33</v>
      </c>
      <c r="J570" s="19" t="s">
        <v>53</v>
      </c>
      <c r="K570" s="14">
        <v>29.0</v>
      </c>
      <c r="L570" s="14">
        <v>0.0</v>
      </c>
      <c r="M570" s="25"/>
      <c r="N570" s="26" t="s">
        <v>21</v>
      </c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>
      <c r="A571" s="14" t="s">
        <v>2221</v>
      </c>
      <c r="B571" s="17" t="s">
        <v>2222</v>
      </c>
      <c r="C571" s="17" t="s">
        <v>2223</v>
      </c>
      <c r="D571" s="19" t="s">
        <v>2224</v>
      </c>
      <c r="E571" s="20" t="s">
        <v>104</v>
      </c>
      <c r="F571" s="27">
        <v>29536.0</v>
      </c>
      <c r="G571" s="14">
        <f t="shared" si="1"/>
        <v>45</v>
      </c>
      <c r="H571" s="23" t="s">
        <v>26</v>
      </c>
      <c r="I571" s="24" t="s">
        <v>27</v>
      </c>
      <c r="J571" s="19" t="s">
        <v>362</v>
      </c>
      <c r="K571" s="14">
        <v>23.0</v>
      </c>
      <c r="L571" s="14">
        <v>0.0</v>
      </c>
      <c r="M571" s="25"/>
      <c r="N571" s="26" t="s">
        <v>21</v>
      </c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>
      <c r="A572" s="14" t="s">
        <v>2226</v>
      </c>
      <c r="B572" s="17" t="s">
        <v>2222</v>
      </c>
      <c r="C572" s="17" t="s">
        <v>2227</v>
      </c>
      <c r="D572" s="19" t="s">
        <v>2228</v>
      </c>
      <c r="E572" s="20" t="s">
        <v>536</v>
      </c>
      <c r="F572" s="21">
        <v>36983.0</v>
      </c>
      <c r="G572" s="14">
        <f t="shared" si="1"/>
        <v>25</v>
      </c>
      <c r="H572" s="23" t="s">
        <v>100</v>
      </c>
      <c r="I572" s="24" t="s">
        <v>27</v>
      </c>
      <c r="J572" s="19" t="s">
        <v>362</v>
      </c>
      <c r="K572" s="14">
        <v>23.0</v>
      </c>
      <c r="L572" s="14">
        <v>0.0</v>
      </c>
      <c r="M572" s="25"/>
      <c r="N572" s="26" t="s">
        <v>21</v>
      </c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>
      <c r="A573" s="14" t="s">
        <v>2229</v>
      </c>
      <c r="B573" s="17" t="s">
        <v>2222</v>
      </c>
      <c r="C573" s="17" t="s">
        <v>2230</v>
      </c>
      <c r="D573" s="19" t="s">
        <v>2231</v>
      </c>
      <c r="E573" s="20" t="s">
        <v>53</v>
      </c>
      <c r="F573" s="21">
        <v>37769.0</v>
      </c>
      <c r="G573" s="14">
        <f t="shared" si="1"/>
        <v>23</v>
      </c>
      <c r="H573" s="23" t="s">
        <v>100</v>
      </c>
      <c r="I573" s="24" t="s">
        <v>33</v>
      </c>
      <c r="J573" s="19" t="s">
        <v>362</v>
      </c>
      <c r="K573" s="14">
        <v>23.0</v>
      </c>
      <c r="L573" s="14">
        <v>0.0</v>
      </c>
      <c r="M573" s="25"/>
      <c r="N573" s="26" t="s">
        <v>21</v>
      </c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>
      <c r="A574" s="14" t="s">
        <v>2232</v>
      </c>
      <c r="B574" s="17" t="s">
        <v>2222</v>
      </c>
      <c r="C574" s="17" t="s">
        <v>2233</v>
      </c>
      <c r="D574" s="19" t="s">
        <v>2234</v>
      </c>
      <c r="E574" s="20" t="s">
        <v>632</v>
      </c>
      <c r="F574" s="21">
        <v>23377.0</v>
      </c>
      <c r="G574" s="14">
        <f t="shared" si="1"/>
        <v>62</v>
      </c>
      <c r="H574" s="23" t="s">
        <v>26</v>
      </c>
      <c r="I574" s="24" t="s">
        <v>33</v>
      </c>
      <c r="J574" s="19" t="s">
        <v>362</v>
      </c>
      <c r="K574" s="14">
        <v>23.0</v>
      </c>
      <c r="L574" s="14">
        <v>0.0</v>
      </c>
      <c r="M574" s="25"/>
      <c r="N574" s="26" t="s">
        <v>21</v>
      </c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>
      <c r="A575" s="14" t="s">
        <v>2235</v>
      </c>
      <c r="B575" s="17" t="s">
        <v>2236</v>
      </c>
      <c r="C575" s="17" t="s">
        <v>2237</v>
      </c>
      <c r="D575" s="19" t="s">
        <v>2238</v>
      </c>
      <c r="E575" s="20" t="s">
        <v>434</v>
      </c>
      <c r="F575" s="21">
        <v>26062.0</v>
      </c>
      <c r="G575" s="14">
        <f t="shared" si="1"/>
        <v>55</v>
      </c>
      <c r="H575" s="23" t="s">
        <v>27</v>
      </c>
      <c r="I575" s="24" t="s">
        <v>27</v>
      </c>
      <c r="J575" s="19" t="s">
        <v>206</v>
      </c>
      <c r="K575" s="14">
        <v>2.0</v>
      </c>
      <c r="L575" s="14">
        <v>0.0</v>
      </c>
      <c r="M575" s="25"/>
      <c r="N575" s="26" t="s">
        <v>21</v>
      </c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>
      <c r="A576" s="14" t="s">
        <v>2239</v>
      </c>
      <c r="B576" s="17" t="s">
        <v>2240</v>
      </c>
      <c r="C576" s="17" t="s">
        <v>2241</v>
      </c>
      <c r="D576" s="19" t="s">
        <v>2242</v>
      </c>
      <c r="E576" s="20" t="s">
        <v>104</v>
      </c>
      <c r="F576" s="21">
        <v>35925.0</v>
      </c>
      <c r="G576" s="14">
        <f t="shared" si="1"/>
        <v>28</v>
      </c>
      <c r="H576" s="23" t="s">
        <v>26</v>
      </c>
      <c r="I576" s="24" t="s">
        <v>27</v>
      </c>
      <c r="J576" s="19" t="s">
        <v>1387</v>
      </c>
      <c r="K576" s="14">
        <v>28.0</v>
      </c>
      <c r="L576" s="14">
        <v>0.0</v>
      </c>
      <c r="M576" s="25"/>
      <c r="N576" s="26" t="s">
        <v>21</v>
      </c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>
      <c r="A577" s="14" t="s">
        <v>2243</v>
      </c>
      <c r="B577" s="17" t="s">
        <v>2240</v>
      </c>
      <c r="C577" s="17" t="s">
        <v>2244</v>
      </c>
      <c r="D577" s="19" t="s">
        <v>2245</v>
      </c>
      <c r="E577" s="20" t="s">
        <v>2246</v>
      </c>
      <c r="F577" s="21">
        <v>34078.0</v>
      </c>
      <c r="G577" s="14">
        <f t="shared" si="1"/>
        <v>33</v>
      </c>
      <c r="H577" s="23" t="s">
        <v>26</v>
      </c>
      <c r="I577" s="24" t="s">
        <v>33</v>
      </c>
      <c r="J577" s="19" t="s">
        <v>1387</v>
      </c>
      <c r="K577" s="14">
        <v>28.0</v>
      </c>
      <c r="L577" s="14">
        <v>0.0</v>
      </c>
      <c r="M577" s="25"/>
      <c r="N577" s="26" t="s">
        <v>21</v>
      </c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>
      <c r="A578" s="14" t="s">
        <v>2247</v>
      </c>
      <c r="B578" s="17" t="s">
        <v>2248</v>
      </c>
      <c r="C578" s="17" t="s">
        <v>2249</v>
      </c>
      <c r="D578" s="19" t="s">
        <v>2250</v>
      </c>
      <c r="E578" s="20" t="s">
        <v>104</v>
      </c>
      <c r="F578" s="21">
        <v>36671.0</v>
      </c>
      <c r="G578" s="14">
        <f t="shared" si="1"/>
        <v>26</v>
      </c>
      <c r="H578" s="23" t="s">
        <v>100</v>
      </c>
      <c r="I578" s="24" t="s">
        <v>33</v>
      </c>
      <c r="J578" s="19" t="s">
        <v>68</v>
      </c>
      <c r="K578" s="14">
        <v>28.0</v>
      </c>
      <c r="L578" s="14">
        <v>5.0</v>
      </c>
      <c r="M578" s="25"/>
      <c r="N578" s="26" t="s">
        <v>21</v>
      </c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>
      <c r="A579" s="14" t="s">
        <v>2251</v>
      </c>
      <c r="B579" s="17" t="s">
        <v>2248</v>
      </c>
      <c r="C579" s="17" t="s">
        <v>2252</v>
      </c>
      <c r="D579" s="19" t="s">
        <v>2253</v>
      </c>
      <c r="E579" s="20" t="s">
        <v>2254</v>
      </c>
      <c r="F579" s="21">
        <v>29498.0</v>
      </c>
      <c r="G579" s="14">
        <f t="shared" si="1"/>
        <v>46</v>
      </c>
      <c r="H579" s="23" t="s">
        <v>26</v>
      </c>
      <c r="I579" s="24" t="s">
        <v>27</v>
      </c>
      <c r="J579" s="19" t="s">
        <v>68</v>
      </c>
      <c r="K579" s="14">
        <v>28.0</v>
      </c>
      <c r="L579" s="14">
        <v>0.0</v>
      </c>
      <c r="M579" s="25"/>
      <c r="N579" s="26" t="s">
        <v>21</v>
      </c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>
      <c r="A580" s="14" t="s">
        <v>2255</v>
      </c>
      <c r="B580" s="17" t="s">
        <v>2248</v>
      </c>
      <c r="C580" s="17" t="s">
        <v>2256</v>
      </c>
      <c r="D580" s="19" t="s">
        <v>2257</v>
      </c>
      <c r="E580" s="20" t="s">
        <v>195</v>
      </c>
      <c r="F580" s="21">
        <v>27211.0</v>
      </c>
      <c r="G580" s="14">
        <f t="shared" si="1"/>
        <v>52</v>
      </c>
      <c r="H580" s="23" t="s">
        <v>26</v>
      </c>
      <c r="I580" s="24" t="s">
        <v>33</v>
      </c>
      <c r="J580" s="19" t="s">
        <v>68</v>
      </c>
      <c r="K580" s="14">
        <v>28.0</v>
      </c>
      <c r="L580" s="14">
        <v>0.0</v>
      </c>
      <c r="M580" s="25"/>
      <c r="N580" s="26" t="s">
        <v>21</v>
      </c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>
      <c r="A581" s="14" t="s">
        <v>2258</v>
      </c>
      <c r="B581" s="17" t="s">
        <v>2248</v>
      </c>
      <c r="C581" s="17" t="s">
        <v>2259</v>
      </c>
      <c r="D581" s="19" t="s">
        <v>554</v>
      </c>
      <c r="E581" s="20" t="s">
        <v>654</v>
      </c>
      <c r="F581" s="21">
        <v>22732.0</v>
      </c>
      <c r="G581" s="14">
        <f t="shared" si="1"/>
        <v>64</v>
      </c>
      <c r="H581" s="23" t="s">
        <v>100</v>
      </c>
      <c r="I581" s="24" t="s">
        <v>27</v>
      </c>
      <c r="J581" s="19" t="s">
        <v>68</v>
      </c>
      <c r="K581" s="14">
        <v>28.0</v>
      </c>
      <c r="L581" s="14">
        <v>0.0</v>
      </c>
      <c r="M581" s="25"/>
      <c r="N581" s="26" t="s">
        <v>21</v>
      </c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>
      <c r="A582" s="14" t="s">
        <v>2260</v>
      </c>
      <c r="B582" s="17" t="s">
        <v>2261</v>
      </c>
      <c r="C582" s="17" t="s">
        <v>2262</v>
      </c>
      <c r="D582" s="19" t="s">
        <v>887</v>
      </c>
      <c r="E582" s="20" t="s">
        <v>53</v>
      </c>
      <c r="F582" s="21">
        <v>30118.0</v>
      </c>
      <c r="G582" s="14">
        <f t="shared" si="1"/>
        <v>44</v>
      </c>
      <c r="H582" s="23" t="s">
        <v>26</v>
      </c>
      <c r="I582" s="24" t="s">
        <v>33</v>
      </c>
      <c r="J582" s="19" t="s">
        <v>328</v>
      </c>
      <c r="K582" s="14">
        <v>27.0</v>
      </c>
      <c r="L582" s="14">
        <v>0.0</v>
      </c>
      <c r="M582" s="25"/>
      <c r="N582" s="26" t="s">
        <v>21</v>
      </c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>
      <c r="A583" s="14" t="s">
        <v>2263</v>
      </c>
      <c r="B583" s="17" t="s">
        <v>2261</v>
      </c>
      <c r="C583" s="17" t="s">
        <v>2264</v>
      </c>
      <c r="D583" s="19" t="s">
        <v>2265</v>
      </c>
      <c r="E583" s="20" t="s">
        <v>53</v>
      </c>
      <c r="F583" s="21">
        <v>32638.0</v>
      </c>
      <c r="G583" s="14">
        <f t="shared" si="1"/>
        <v>37</v>
      </c>
      <c r="H583" s="23" t="s">
        <v>26</v>
      </c>
      <c r="I583" s="24" t="s">
        <v>27</v>
      </c>
      <c r="J583" s="19" t="s">
        <v>328</v>
      </c>
      <c r="K583" s="14">
        <v>27.0</v>
      </c>
      <c r="L583" s="14">
        <v>0.0</v>
      </c>
      <c r="M583" s="25"/>
      <c r="N583" s="26" t="s">
        <v>21</v>
      </c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>
      <c r="A584" s="14" t="s">
        <v>2266</v>
      </c>
      <c r="B584" s="17" t="s">
        <v>2267</v>
      </c>
      <c r="C584" s="17" t="s">
        <v>2268</v>
      </c>
      <c r="D584" s="19" t="s">
        <v>2269</v>
      </c>
      <c r="E584" s="20" t="s">
        <v>104</v>
      </c>
      <c r="F584" s="21">
        <v>30355.0</v>
      </c>
      <c r="G584" s="14">
        <f t="shared" si="1"/>
        <v>43</v>
      </c>
      <c r="H584" s="23" t="s">
        <v>26</v>
      </c>
      <c r="I584" s="24" t="s">
        <v>33</v>
      </c>
      <c r="J584" s="19" t="s">
        <v>68</v>
      </c>
      <c r="K584" s="14">
        <v>34.0</v>
      </c>
      <c r="L584" s="14">
        <v>0.0</v>
      </c>
      <c r="M584" s="25"/>
      <c r="N584" s="26" t="s">
        <v>21</v>
      </c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>
      <c r="A585" s="14" t="s">
        <v>2270</v>
      </c>
      <c r="B585" s="17" t="s">
        <v>2267</v>
      </c>
      <c r="C585" s="17" t="s">
        <v>2271</v>
      </c>
      <c r="D585" s="19" t="s">
        <v>2272</v>
      </c>
      <c r="E585" s="20" t="s">
        <v>104</v>
      </c>
      <c r="F585" s="21">
        <v>32525.0</v>
      </c>
      <c r="G585" s="14">
        <f t="shared" si="1"/>
        <v>37</v>
      </c>
      <c r="H585" s="23" t="s">
        <v>26</v>
      </c>
      <c r="I585" s="24" t="s">
        <v>27</v>
      </c>
      <c r="J585" s="19" t="s">
        <v>68</v>
      </c>
      <c r="K585" s="14">
        <v>34.0</v>
      </c>
      <c r="L585" s="14">
        <v>0.0</v>
      </c>
      <c r="M585" s="25"/>
      <c r="N585" s="26" t="s">
        <v>21</v>
      </c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>
      <c r="A586" s="14" t="s">
        <v>2273</v>
      </c>
      <c r="B586" s="17" t="s">
        <v>2274</v>
      </c>
      <c r="C586" s="17" t="s">
        <v>2275</v>
      </c>
      <c r="D586" s="19" t="s">
        <v>2276</v>
      </c>
      <c r="E586" s="20" t="s">
        <v>195</v>
      </c>
      <c r="F586" s="21">
        <v>32113.0</v>
      </c>
      <c r="G586" s="14">
        <f t="shared" si="1"/>
        <v>38</v>
      </c>
      <c r="H586" s="23" t="s">
        <v>26</v>
      </c>
      <c r="I586" s="24" t="s">
        <v>33</v>
      </c>
      <c r="J586" s="19" t="s">
        <v>53</v>
      </c>
      <c r="K586" s="14">
        <v>10.0</v>
      </c>
      <c r="L586" s="14">
        <v>0.0</v>
      </c>
      <c r="M586" s="25"/>
      <c r="N586" s="26" t="s">
        <v>21</v>
      </c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>
      <c r="A587" s="14" t="s">
        <v>2277</v>
      </c>
      <c r="B587" s="17" t="s">
        <v>2274</v>
      </c>
      <c r="C587" s="17" t="s">
        <v>2278</v>
      </c>
      <c r="D587" s="19" t="s">
        <v>2279</v>
      </c>
      <c r="E587" s="20" t="s">
        <v>2280</v>
      </c>
      <c r="F587" s="21">
        <v>34192.0</v>
      </c>
      <c r="G587" s="14">
        <f t="shared" si="1"/>
        <v>33</v>
      </c>
      <c r="H587" s="23" t="s">
        <v>26</v>
      </c>
      <c r="I587" s="24" t="s">
        <v>27</v>
      </c>
      <c r="J587" s="19" t="s">
        <v>53</v>
      </c>
      <c r="K587" s="14">
        <v>10.0</v>
      </c>
      <c r="L587" s="14">
        <v>0.0</v>
      </c>
      <c r="M587" s="25"/>
      <c r="N587" s="26" t="s">
        <v>21</v>
      </c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>
      <c r="A588" s="14" t="s">
        <v>2281</v>
      </c>
      <c r="B588" s="17" t="s">
        <v>2282</v>
      </c>
      <c r="C588" s="17" t="s">
        <v>2283</v>
      </c>
      <c r="D588" s="19" t="s">
        <v>2284</v>
      </c>
      <c r="E588" s="20" t="s">
        <v>138</v>
      </c>
      <c r="F588" s="21">
        <v>35601.0</v>
      </c>
      <c r="G588" s="14">
        <f t="shared" si="1"/>
        <v>29</v>
      </c>
      <c r="H588" s="23" t="s">
        <v>26</v>
      </c>
      <c r="I588" s="24" t="s">
        <v>33</v>
      </c>
      <c r="J588" s="19" t="s">
        <v>146</v>
      </c>
      <c r="K588" s="14">
        <v>1.0</v>
      </c>
      <c r="L588" s="14">
        <v>0.0</v>
      </c>
      <c r="M588" s="25"/>
      <c r="N588" s="26" t="s">
        <v>21</v>
      </c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>
      <c r="A589" s="14" t="s">
        <v>2285</v>
      </c>
      <c r="B589" s="17" t="s">
        <v>2282</v>
      </c>
      <c r="C589" s="17" t="s">
        <v>2286</v>
      </c>
      <c r="D589" s="19" t="s">
        <v>2287</v>
      </c>
      <c r="E589" s="20" t="s">
        <v>138</v>
      </c>
      <c r="F589" s="21">
        <v>35620.0</v>
      </c>
      <c r="G589" s="14">
        <f t="shared" si="1"/>
        <v>29</v>
      </c>
      <c r="H589" s="23" t="s">
        <v>26</v>
      </c>
      <c r="I589" s="24" t="s">
        <v>27</v>
      </c>
      <c r="J589" s="19" t="s">
        <v>146</v>
      </c>
      <c r="K589" s="14">
        <v>1.0</v>
      </c>
      <c r="L589" s="14">
        <v>0.0</v>
      </c>
      <c r="M589" s="25"/>
      <c r="N589" s="26" t="s">
        <v>21</v>
      </c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>
      <c r="A590" s="14" t="s">
        <v>2288</v>
      </c>
      <c r="B590" s="17" t="s">
        <v>2289</v>
      </c>
      <c r="C590" s="17" t="s">
        <v>2290</v>
      </c>
      <c r="D590" s="19" t="s">
        <v>2291</v>
      </c>
      <c r="E590" s="20" t="s">
        <v>53</v>
      </c>
      <c r="F590" s="21">
        <v>34549.0</v>
      </c>
      <c r="G590" s="14">
        <f t="shared" si="1"/>
        <v>32</v>
      </c>
      <c r="H590" s="23" t="s">
        <v>26</v>
      </c>
      <c r="I590" s="24" t="s">
        <v>33</v>
      </c>
      <c r="J590" s="19" t="s">
        <v>53</v>
      </c>
      <c r="K590" s="14">
        <v>26.0</v>
      </c>
      <c r="L590" s="14">
        <v>0.0</v>
      </c>
      <c r="M590" s="25"/>
      <c r="N590" s="26" t="s">
        <v>21</v>
      </c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>
      <c r="A591" s="14" t="s">
        <v>2292</v>
      </c>
      <c r="B591" s="17" t="s">
        <v>2289</v>
      </c>
      <c r="C591" s="17" t="s">
        <v>2293</v>
      </c>
      <c r="D591" s="19" t="s">
        <v>2294</v>
      </c>
      <c r="E591" s="20" t="s">
        <v>2295</v>
      </c>
      <c r="F591" s="21">
        <v>34596.0</v>
      </c>
      <c r="G591" s="14">
        <f t="shared" si="1"/>
        <v>32</v>
      </c>
      <c r="H591" s="23" t="s">
        <v>26</v>
      </c>
      <c r="I591" s="24" t="s">
        <v>27</v>
      </c>
      <c r="J591" s="19" t="s">
        <v>53</v>
      </c>
      <c r="K591" s="14">
        <v>26.0</v>
      </c>
      <c r="L591" s="14">
        <v>0.0</v>
      </c>
      <c r="M591" s="25"/>
      <c r="N591" s="26" t="s">
        <v>21</v>
      </c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>
      <c r="A592" s="14" t="s">
        <v>2296</v>
      </c>
      <c r="B592" s="17" t="s">
        <v>2297</v>
      </c>
      <c r="C592" s="17" t="s">
        <v>2298</v>
      </c>
      <c r="D592" s="19" t="s">
        <v>2299</v>
      </c>
      <c r="E592" s="20" t="s">
        <v>104</v>
      </c>
      <c r="F592" s="21">
        <v>32375.0</v>
      </c>
      <c r="G592" s="14">
        <f t="shared" si="1"/>
        <v>38</v>
      </c>
      <c r="H592" s="23" t="s">
        <v>26</v>
      </c>
      <c r="I592" s="24" t="s">
        <v>27</v>
      </c>
      <c r="J592" s="19" t="s">
        <v>206</v>
      </c>
      <c r="K592" s="14">
        <v>2.0</v>
      </c>
      <c r="L592" s="14">
        <v>0.0</v>
      </c>
      <c r="M592" s="25"/>
      <c r="N592" s="26" t="s">
        <v>21</v>
      </c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>
      <c r="A593" s="14" t="s">
        <v>2300</v>
      </c>
      <c r="B593" s="17" t="s">
        <v>2297</v>
      </c>
      <c r="C593" s="17" t="s">
        <v>2301</v>
      </c>
      <c r="D593" s="19" t="s">
        <v>2302</v>
      </c>
      <c r="E593" s="20" t="s">
        <v>2303</v>
      </c>
      <c r="F593" s="21">
        <v>31562.0</v>
      </c>
      <c r="G593" s="14">
        <f t="shared" si="1"/>
        <v>40</v>
      </c>
      <c r="H593" s="23" t="s">
        <v>26</v>
      </c>
      <c r="I593" s="24" t="s">
        <v>33</v>
      </c>
      <c r="J593" s="19" t="s">
        <v>206</v>
      </c>
      <c r="K593" s="14">
        <v>2.0</v>
      </c>
      <c r="L593" s="14">
        <v>0.0</v>
      </c>
      <c r="M593" s="25"/>
      <c r="N593" s="26" t="s">
        <v>21</v>
      </c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>
      <c r="A594" s="14" t="s">
        <v>2304</v>
      </c>
      <c r="B594" s="17" t="s">
        <v>2305</v>
      </c>
      <c r="C594" s="17" t="s">
        <v>2306</v>
      </c>
      <c r="D594" s="19" t="s">
        <v>2307</v>
      </c>
      <c r="E594" s="20" t="s">
        <v>654</v>
      </c>
      <c r="F594" s="21">
        <v>22828.0</v>
      </c>
      <c r="G594" s="14">
        <f t="shared" si="1"/>
        <v>64</v>
      </c>
      <c r="H594" s="23" t="s">
        <v>27</v>
      </c>
      <c r="I594" s="24" t="s">
        <v>27</v>
      </c>
      <c r="J594" s="19" t="s">
        <v>939</v>
      </c>
      <c r="K594" s="14">
        <v>19.0</v>
      </c>
      <c r="L594" s="14">
        <v>0.0</v>
      </c>
      <c r="M594" s="25"/>
      <c r="N594" s="26" t="s">
        <v>21</v>
      </c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>
      <c r="A595" s="14" t="s">
        <v>2308</v>
      </c>
      <c r="B595" s="17" t="s">
        <v>2309</v>
      </c>
      <c r="C595" s="17" t="s">
        <v>2310</v>
      </c>
      <c r="D595" s="19" t="s">
        <v>2311</v>
      </c>
      <c r="E595" s="20" t="s">
        <v>1291</v>
      </c>
      <c r="F595" s="21">
        <v>26337.0</v>
      </c>
      <c r="G595" s="14">
        <f t="shared" si="1"/>
        <v>54</v>
      </c>
      <c r="H595" s="23" t="s">
        <v>26</v>
      </c>
      <c r="I595" s="24" t="s">
        <v>33</v>
      </c>
      <c r="J595" s="19" t="s">
        <v>282</v>
      </c>
      <c r="K595" s="14">
        <v>14.0</v>
      </c>
      <c r="L595" s="14">
        <v>5.0</v>
      </c>
      <c r="M595" s="25"/>
      <c r="N595" s="26" t="s">
        <v>21</v>
      </c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>
      <c r="A596" s="14" t="s">
        <v>2312</v>
      </c>
      <c r="B596" s="17" t="s">
        <v>2309</v>
      </c>
      <c r="C596" s="17" t="s">
        <v>2313</v>
      </c>
      <c r="D596" s="19" t="s">
        <v>2314</v>
      </c>
      <c r="E596" s="20" t="s">
        <v>1291</v>
      </c>
      <c r="F596" s="21">
        <v>27227.0</v>
      </c>
      <c r="G596" s="14">
        <f t="shared" si="1"/>
        <v>52</v>
      </c>
      <c r="H596" s="23" t="s">
        <v>26</v>
      </c>
      <c r="I596" s="24" t="s">
        <v>27</v>
      </c>
      <c r="J596" s="19" t="s">
        <v>282</v>
      </c>
      <c r="K596" s="14">
        <v>14.0</v>
      </c>
      <c r="L596" s="14">
        <v>5.0</v>
      </c>
      <c r="M596" s="25"/>
      <c r="N596" s="26" t="s">
        <v>21</v>
      </c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>
      <c r="A597" s="14" t="s">
        <v>2315</v>
      </c>
      <c r="B597" s="17" t="s">
        <v>2316</v>
      </c>
      <c r="C597" s="17" t="s">
        <v>2317</v>
      </c>
      <c r="D597" s="19" t="s">
        <v>2318</v>
      </c>
      <c r="E597" s="20" t="s">
        <v>210</v>
      </c>
      <c r="F597" s="27">
        <v>25860.0</v>
      </c>
      <c r="G597" s="14">
        <f t="shared" si="1"/>
        <v>56</v>
      </c>
      <c r="H597" s="23" t="s">
        <v>26</v>
      </c>
      <c r="I597" s="24" t="s">
        <v>33</v>
      </c>
      <c r="J597" s="19" t="s">
        <v>939</v>
      </c>
      <c r="K597" s="14">
        <v>19.0</v>
      </c>
      <c r="L597" s="14">
        <v>0.0</v>
      </c>
      <c r="M597" s="25"/>
      <c r="N597" s="26" t="s">
        <v>21</v>
      </c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>
      <c r="A598" s="14" t="s">
        <v>2319</v>
      </c>
      <c r="B598" s="17" t="s">
        <v>2316</v>
      </c>
      <c r="C598" s="17" t="s">
        <v>2320</v>
      </c>
      <c r="D598" s="19" t="s">
        <v>2321</v>
      </c>
      <c r="E598" s="20" t="s">
        <v>112</v>
      </c>
      <c r="F598" s="27">
        <v>25519.0</v>
      </c>
      <c r="G598" s="14">
        <f t="shared" si="1"/>
        <v>56</v>
      </c>
      <c r="H598" s="23" t="s">
        <v>26</v>
      </c>
      <c r="I598" s="24" t="s">
        <v>27</v>
      </c>
      <c r="J598" s="19" t="s">
        <v>939</v>
      </c>
      <c r="K598" s="14">
        <v>19.0</v>
      </c>
      <c r="L598" s="14">
        <v>0.0</v>
      </c>
      <c r="M598" s="25"/>
      <c r="N598" s="26" t="s">
        <v>21</v>
      </c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>
      <c r="A599" s="14" t="s">
        <v>2322</v>
      </c>
      <c r="B599" s="17" t="s">
        <v>2323</v>
      </c>
      <c r="C599" s="17" t="s">
        <v>2324</v>
      </c>
      <c r="D599" s="19" t="s">
        <v>2325</v>
      </c>
      <c r="E599" s="20" t="s">
        <v>53</v>
      </c>
      <c r="F599" s="27">
        <v>39009.0</v>
      </c>
      <c r="G599" s="14">
        <f t="shared" si="1"/>
        <v>20</v>
      </c>
      <c r="H599" s="23" t="s">
        <v>100</v>
      </c>
      <c r="I599" s="24" t="s">
        <v>27</v>
      </c>
      <c r="J599" s="19" t="s">
        <v>362</v>
      </c>
      <c r="K599" s="14">
        <v>23.0</v>
      </c>
      <c r="L599" s="14">
        <v>0.0</v>
      </c>
      <c r="M599" s="25"/>
      <c r="N599" s="26" t="s">
        <v>21</v>
      </c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>
      <c r="A600" s="14" t="s">
        <v>2326</v>
      </c>
      <c r="B600" s="17" t="s">
        <v>2323</v>
      </c>
      <c r="C600" s="17" t="s">
        <v>2327</v>
      </c>
      <c r="D600" s="19" t="s">
        <v>2328</v>
      </c>
      <c r="E600" s="20" t="s">
        <v>104</v>
      </c>
      <c r="F600" s="21">
        <v>31511.0</v>
      </c>
      <c r="G600" s="14">
        <f t="shared" si="1"/>
        <v>40</v>
      </c>
      <c r="H600" s="23" t="s">
        <v>26</v>
      </c>
      <c r="I600" s="24" t="s">
        <v>27</v>
      </c>
      <c r="J600" s="19" t="s">
        <v>337</v>
      </c>
      <c r="K600" s="14">
        <v>24.0</v>
      </c>
      <c r="L600" s="14">
        <v>0.0</v>
      </c>
      <c r="M600" s="25"/>
      <c r="N600" s="26" t="s">
        <v>21</v>
      </c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>
      <c r="A601" s="14" t="s">
        <v>2329</v>
      </c>
      <c r="B601" s="17" t="s">
        <v>2323</v>
      </c>
      <c r="C601" s="17" t="s">
        <v>2330</v>
      </c>
      <c r="D601" s="19" t="s">
        <v>2331</v>
      </c>
      <c r="E601" s="20" t="s">
        <v>2332</v>
      </c>
      <c r="F601" s="21">
        <v>28953.0</v>
      </c>
      <c r="G601" s="14">
        <f t="shared" si="1"/>
        <v>47</v>
      </c>
      <c r="H601" s="23" t="s">
        <v>26</v>
      </c>
      <c r="I601" s="24" t="s">
        <v>33</v>
      </c>
      <c r="J601" s="19" t="s">
        <v>337</v>
      </c>
      <c r="K601" s="14">
        <v>24.0</v>
      </c>
      <c r="L601" s="14">
        <v>0.0</v>
      </c>
      <c r="M601" s="25"/>
      <c r="N601" s="26" t="s">
        <v>21</v>
      </c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>
      <c r="A602" s="14" t="s">
        <v>2333</v>
      </c>
      <c r="B602" s="17" t="s">
        <v>2334</v>
      </c>
      <c r="C602" s="17" t="s">
        <v>2335</v>
      </c>
      <c r="D602" s="19" t="s">
        <v>1951</v>
      </c>
      <c r="E602" s="20" t="s">
        <v>434</v>
      </c>
      <c r="F602" s="27">
        <v>24400.0</v>
      </c>
      <c r="G602" s="14">
        <f t="shared" si="1"/>
        <v>60</v>
      </c>
      <c r="H602" s="23" t="s">
        <v>26</v>
      </c>
      <c r="I602" s="24" t="s">
        <v>27</v>
      </c>
      <c r="J602" s="19" t="s">
        <v>2336</v>
      </c>
      <c r="K602" s="14">
        <v>20.0</v>
      </c>
      <c r="L602" s="14">
        <v>0.0</v>
      </c>
      <c r="M602" s="25"/>
      <c r="N602" s="26" t="s">
        <v>21</v>
      </c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>
      <c r="A603" s="14" t="s">
        <v>2337</v>
      </c>
      <c r="B603" s="17" t="s">
        <v>2334</v>
      </c>
      <c r="C603" s="17" t="s">
        <v>2338</v>
      </c>
      <c r="D603" s="19" t="s">
        <v>2339</v>
      </c>
      <c r="E603" s="20" t="s">
        <v>632</v>
      </c>
      <c r="F603" s="21">
        <v>19952.0</v>
      </c>
      <c r="G603" s="14">
        <f t="shared" si="1"/>
        <v>72</v>
      </c>
      <c r="H603" s="23" t="s">
        <v>26</v>
      </c>
      <c r="I603" s="24" t="s">
        <v>33</v>
      </c>
      <c r="J603" s="19" t="s">
        <v>2336</v>
      </c>
      <c r="K603" s="14">
        <v>20.0</v>
      </c>
      <c r="L603" s="14">
        <v>1.0</v>
      </c>
      <c r="M603" s="25"/>
      <c r="N603" s="26" t="s">
        <v>21</v>
      </c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>
      <c r="A604" s="14" t="s">
        <v>2340</v>
      </c>
      <c r="B604" s="17" t="s">
        <v>2341</v>
      </c>
      <c r="C604" s="17" t="s">
        <v>2342</v>
      </c>
      <c r="D604" s="19" t="s">
        <v>2343</v>
      </c>
      <c r="E604" s="20" t="s">
        <v>1038</v>
      </c>
      <c r="F604" s="21">
        <v>16848.0</v>
      </c>
      <c r="G604" s="14">
        <f t="shared" si="1"/>
        <v>80</v>
      </c>
      <c r="H604" s="23" t="s">
        <v>27</v>
      </c>
      <c r="I604" s="24" t="s">
        <v>27</v>
      </c>
      <c r="J604" s="19" t="s">
        <v>2344</v>
      </c>
      <c r="K604" s="14">
        <v>7.0</v>
      </c>
      <c r="L604" s="14">
        <v>0.0</v>
      </c>
      <c r="M604" s="25"/>
      <c r="N604" s="26" t="s">
        <v>21</v>
      </c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>
      <c r="A605" s="14" t="s">
        <v>2345</v>
      </c>
      <c r="B605" s="17" t="s">
        <v>2346</v>
      </c>
      <c r="C605" s="17" t="s">
        <v>2347</v>
      </c>
      <c r="D605" s="19" t="s">
        <v>2348</v>
      </c>
      <c r="E605" s="20" t="s">
        <v>2349</v>
      </c>
      <c r="F605" s="27">
        <v>35746.0</v>
      </c>
      <c r="G605" s="14">
        <f t="shared" si="1"/>
        <v>28</v>
      </c>
      <c r="H605" s="23" t="s">
        <v>26</v>
      </c>
      <c r="I605" s="24" t="s">
        <v>33</v>
      </c>
      <c r="J605" s="19" t="s">
        <v>146</v>
      </c>
      <c r="K605" s="14">
        <v>2.0</v>
      </c>
      <c r="L605" s="14">
        <v>0.0</v>
      </c>
      <c r="M605" s="25"/>
      <c r="N605" s="26" t="s">
        <v>21</v>
      </c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>
      <c r="A606" s="14" t="s">
        <v>2350</v>
      </c>
      <c r="B606" s="17" t="s">
        <v>2346</v>
      </c>
      <c r="C606" s="17" t="s">
        <v>2351</v>
      </c>
      <c r="D606" s="19" t="s">
        <v>2352</v>
      </c>
      <c r="E606" s="20" t="s">
        <v>2353</v>
      </c>
      <c r="F606" s="27">
        <v>37571.0</v>
      </c>
      <c r="G606" s="14">
        <f t="shared" si="1"/>
        <v>23</v>
      </c>
      <c r="H606" s="23" t="s">
        <v>26</v>
      </c>
      <c r="I606" s="24" t="s">
        <v>27</v>
      </c>
      <c r="J606" s="19" t="s">
        <v>146</v>
      </c>
      <c r="K606" s="14">
        <v>2.0</v>
      </c>
      <c r="L606" s="14">
        <v>0.0</v>
      </c>
      <c r="M606" s="25"/>
      <c r="N606" s="26" t="s">
        <v>21</v>
      </c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>
      <c r="A607" s="14" t="s">
        <v>2354</v>
      </c>
      <c r="B607" s="17" t="s">
        <v>2355</v>
      </c>
      <c r="C607" s="17" t="s">
        <v>2356</v>
      </c>
      <c r="D607" s="19" t="s">
        <v>2357</v>
      </c>
      <c r="E607" s="20" t="s">
        <v>53</v>
      </c>
      <c r="F607" s="21">
        <v>35859.0</v>
      </c>
      <c r="G607" s="14">
        <f t="shared" si="1"/>
        <v>28</v>
      </c>
      <c r="H607" s="23" t="s">
        <v>100</v>
      </c>
      <c r="I607" s="24" t="s">
        <v>27</v>
      </c>
      <c r="J607" s="19" t="s">
        <v>53</v>
      </c>
      <c r="K607" s="14">
        <v>5.0</v>
      </c>
      <c r="L607" s="14">
        <v>0.0</v>
      </c>
      <c r="M607" s="25"/>
      <c r="N607" s="26" t="s">
        <v>21</v>
      </c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>
      <c r="A608" s="14" t="s">
        <v>2358</v>
      </c>
      <c r="B608" s="17" t="s">
        <v>2355</v>
      </c>
      <c r="C608" s="17" t="s">
        <v>2359</v>
      </c>
      <c r="D608" s="19" t="s">
        <v>2360</v>
      </c>
      <c r="E608" s="20" t="s">
        <v>104</v>
      </c>
      <c r="F608" s="21">
        <v>28717.0</v>
      </c>
      <c r="G608" s="14">
        <f t="shared" si="1"/>
        <v>48</v>
      </c>
      <c r="H608" s="23" t="s">
        <v>26</v>
      </c>
      <c r="I608" s="24" t="s">
        <v>27</v>
      </c>
      <c r="J608" s="19" t="s">
        <v>53</v>
      </c>
      <c r="K608" s="14">
        <v>5.0</v>
      </c>
      <c r="L608" s="14">
        <v>0.0</v>
      </c>
      <c r="M608" s="25"/>
      <c r="N608" s="26" t="s">
        <v>21</v>
      </c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>
      <c r="A609" s="14" t="s">
        <v>2361</v>
      </c>
      <c r="B609" s="17" t="s">
        <v>2355</v>
      </c>
      <c r="C609" s="17" t="s">
        <v>2362</v>
      </c>
      <c r="D609" s="19" t="s">
        <v>2363</v>
      </c>
      <c r="E609" s="20" t="s">
        <v>632</v>
      </c>
      <c r="F609" s="21">
        <v>24283.0</v>
      </c>
      <c r="G609" s="14">
        <f t="shared" si="1"/>
        <v>60</v>
      </c>
      <c r="H609" s="23" t="s">
        <v>26</v>
      </c>
      <c r="I609" s="24" t="s">
        <v>33</v>
      </c>
      <c r="J609" s="19" t="s">
        <v>53</v>
      </c>
      <c r="K609" s="14">
        <v>5.0</v>
      </c>
      <c r="L609" s="14">
        <v>0.0</v>
      </c>
      <c r="M609" s="25"/>
      <c r="N609" s="26" t="s">
        <v>21</v>
      </c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>
      <c r="A610" s="14" t="s">
        <v>2364</v>
      </c>
      <c r="B610" s="17" t="s">
        <v>2365</v>
      </c>
      <c r="C610" s="17" t="s">
        <v>2366</v>
      </c>
      <c r="D610" s="19" t="s">
        <v>2367</v>
      </c>
      <c r="E610" s="20" t="s">
        <v>150</v>
      </c>
      <c r="F610" s="21">
        <v>37430.0</v>
      </c>
      <c r="G610" s="14">
        <f t="shared" si="1"/>
        <v>24</v>
      </c>
      <c r="H610" s="23" t="s">
        <v>100</v>
      </c>
      <c r="I610" s="24" t="s">
        <v>33</v>
      </c>
      <c r="J610" s="19" t="s">
        <v>146</v>
      </c>
      <c r="K610" s="14">
        <v>10.0</v>
      </c>
      <c r="L610" s="14">
        <v>0.0</v>
      </c>
      <c r="M610" s="25"/>
      <c r="N610" s="26" t="s">
        <v>21</v>
      </c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>
      <c r="A611" s="14" t="s">
        <v>2368</v>
      </c>
      <c r="B611" s="17" t="s">
        <v>2365</v>
      </c>
      <c r="C611" s="17" t="s">
        <v>2369</v>
      </c>
      <c r="D611" s="19" t="s">
        <v>2370</v>
      </c>
      <c r="E611" s="20" t="s">
        <v>2371</v>
      </c>
      <c r="F611" s="21">
        <v>26041.0</v>
      </c>
      <c r="G611" s="14">
        <f t="shared" si="1"/>
        <v>55</v>
      </c>
      <c r="H611" s="23" t="s">
        <v>26</v>
      </c>
      <c r="I611" s="24" t="s">
        <v>33</v>
      </c>
      <c r="J611" s="19" t="s">
        <v>146</v>
      </c>
      <c r="K611" s="14">
        <v>10.0</v>
      </c>
      <c r="L611" s="14">
        <v>0.0</v>
      </c>
      <c r="M611" s="25"/>
      <c r="N611" s="26" t="s">
        <v>21</v>
      </c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>
      <c r="A612" s="14" t="s">
        <v>2372</v>
      </c>
      <c r="B612" s="17" t="s">
        <v>2365</v>
      </c>
      <c r="C612" s="17" t="s">
        <v>2373</v>
      </c>
      <c r="D612" s="19" t="s">
        <v>2374</v>
      </c>
      <c r="E612" s="20" t="s">
        <v>632</v>
      </c>
      <c r="F612" s="21">
        <v>26194.0</v>
      </c>
      <c r="G612" s="14">
        <f t="shared" si="1"/>
        <v>55</v>
      </c>
      <c r="H612" s="23" t="s">
        <v>26</v>
      </c>
      <c r="I612" s="24" t="s">
        <v>27</v>
      </c>
      <c r="J612" s="19" t="s">
        <v>146</v>
      </c>
      <c r="K612" s="14">
        <v>10.0</v>
      </c>
      <c r="L612" s="14">
        <v>0.0</v>
      </c>
      <c r="M612" s="25"/>
      <c r="N612" s="26" t="s">
        <v>21</v>
      </c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>
      <c r="A613" s="14" t="s">
        <v>2375</v>
      </c>
      <c r="B613" s="17" t="s">
        <v>2376</v>
      </c>
      <c r="C613" s="17" t="s">
        <v>2377</v>
      </c>
      <c r="D613" s="19" t="s">
        <v>2378</v>
      </c>
      <c r="E613" s="20" t="s">
        <v>53</v>
      </c>
      <c r="F613" s="21">
        <v>36367.0</v>
      </c>
      <c r="G613" s="14">
        <f t="shared" si="1"/>
        <v>27</v>
      </c>
      <c r="H613" s="23" t="s">
        <v>100</v>
      </c>
      <c r="I613" s="24" t="s">
        <v>33</v>
      </c>
      <c r="J613" s="19" t="s">
        <v>53</v>
      </c>
      <c r="K613" s="14">
        <v>8.0</v>
      </c>
      <c r="L613" s="14">
        <v>5.0</v>
      </c>
      <c r="M613" s="25"/>
      <c r="N613" s="26" t="s">
        <v>21</v>
      </c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>
      <c r="A614" s="14" t="s">
        <v>2379</v>
      </c>
      <c r="B614" s="17" t="s">
        <v>2376</v>
      </c>
      <c r="C614" s="17" t="s">
        <v>2380</v>
      </c>
      <c r="D614" s="19" t="s">
        <v>2381</v>
      </c>
      <c r="E614" s="20" t="s">
        <v>53</v>
      </c>
      <c r="F614" s="21">
        <v>30112.0</v>
      </c>
      <c r="G614" s="14">
        <f t="shared" si="1"/>
        <v>44</v>
      </c>
      <c r="H614" s="23" t="s">
        <v>26</v>
      </c>
      <c r="I614" s="24" t="s">
        <v>27</v>
      </c>
      <c r="J614" s="19" t="s">
        <v>53</v>
      </c>
      <c r="K614" s="14">
        <v>8.0</v>
      </c>
      <c r="L614" s="14">
        <v>0.0</v>
      </c>
      <c r="M614" s="25"/>
      <c r="N614" s="26" t="s">
        <v>21</v>
      </c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>
      <c r="A615" s="14" t="s">
        <v>2382</v>
      </c>
      <c r="B615" s="17" t="s">
        <v>2376</v>
      </c>
      <c r="C615" s="17" t="s">
        <v>2383</v>
      </c>
      <c r="D615" s="19" t="s">
        <v>2384</v>
      </c>
      <c r="E615" s="20" t="s">
        <v>231</v>
      </c>
      <c r="F615" s="21">
        <v>28436.0</v>
      </c>
      <c r="G615" s="14">
        <f t="shared" si="1"/>
        <v>48</v>
      </c>
      <c r="H615" s="23" t="s">
        <v>26</v>
      </c>
      <c r="I615" s="24" t="s">
        <v>33</v>
      </c>
      <c r="J615" s="19" t="s">
        <v>53</v>
      </c>
      <c r="K615" s="14">
        <v>8.0</v>
      </c>
      <c r="L615" s="14">
        <v>1.0</v>
      </c>
      <c r="M615" s="25"/>
      <c r="N615" s="26" t="s">
        <v>21</v>
      </c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>
      <c r="A616" s="14" t="s">
        <v>2385</v>
      </c>
      <c r="B616" s="17" t="s">
        <v>2386</v>
      </c>
      <c r="C616" s="17" t="s">
        <v>2387</v>
      </c>
      <c r="D616" s="19" t="s">
        <v>2388</v>
      </c>
      <c r="E616" s="20" t="s">
        <v>104</v>
      </c>
      <c r="F616" s="21">
        <v>36938.0</v>
      </c>
      <c r="G616" s="14">
        <f t="shared" si="1"/>
        <v>25</v>
      </c>
      <c r="H616" s="23" t="s">
        <v>100</v>
      </c>
      <c r="I616" s="24" t="s">
        <v>33</v>
      </c>
      <c r="J616" s="19" t="s">
        <v>2389</v>
      </c>
      <c r="K616" s="14">
        <v>1.0</v>
      </c>
      <c r="L616" s="14">
        <v>7.0</v>
      </c>
      <c r="M616" s="25"/>
      <c r="N616" s="26" t="s">
        <v>21</v>
      </c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>
      <c r="A617" s="14" t="s">
        <v>2390</v>
      </c>
      <c r="B617" s="17" t="s">
        <v>2386</v>
      </c>
      <c r="C617" s="17" t="s">
        <v>2391</v>
      </c>
      <c r="D617" s="19" t="s">
        <v>2392</v>
      </c>
      <c r="E617" s="20" t="s">
        <v>2393</v>
      </c>
      <c r="F617" s="21">
        <v>27257.0</v>
      </c>
      <c r="G617" s="14">
        <f t="shared" si="1"/>
        <v>52</v>
      </c>
      <c r="H617" s="23" t="s">
        <v>26</v>
      </c>
      <c r="I617" s="24" t="s">
        <v>27</v>
      </c>
      <c r="J617" s="19" t="s">
        <v>2389</v>
      </c>
      <c r="K617" s="14">
        <v>1.0</v>
      </c>
      <c r="L617" s="14">
        <v>0.0</v>
      </c>
      <c r="M617" s="25"/>
      <c r="N617" s="26" t="s">
        <v>21</v>
      </c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>
      <c r="A618" s="14" t="s">
        <v>2394</v>
      </c>
      <c r="B618" s="17" t="s">
        <v>2386</v>
      </c>
      <c r="C618" s="17" t="s">
        <v>2395</v>
      </c>
      <c r="D618" s="19" t="s">
        <v>2396</v>
      </c>
      <c r="E618" s="20" t="s">
        <v>434</v>
      </c>
      <c r="F618" s="21">
        <v>25434.0</v>
      </c>
      <c r="G618" s="14">
        <f t="shared" si="1"/>
        <v>57</v>
      </c>
      <c r="H618" s="23" t="s">
        <v>26</v>
      </c>
      <c r="I618" s="24" t="s">
        <v>33</v>
      </c>
      <c r="J618" s="19" t="s">
        <v>2389</v>
      </c>
      <c r="K618" s="14">
        <v>1.0</v>
      </c>
      <c r="L618" s="14">
        <v>0.0</v>
      </c>
      <c r="M618" s="25"/>
      <c r="N618" s="26" t="s">
        <v>21</v>
      </c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>
      <c r="A619" s="14" t="s">
        <v>2397</v>
      </c>
      <c r="B619" s="17" t="s">
        <v>2398</v>
      </c>
      <c r="C619" s="17" t="s">
        <v>2399</v>
      </c>
      <c r="D619" s="19" t="s">
        <v>2400</v>
      </c>
      <c r="E619" s="20" t="s">
        <v>53</v>
      </c>
      <c r="F619" s="21">
        <v>38728.0</v>
      </c>
      <c r="G619" s="14">
        <f t="shared" si="1"/>
        <v>20</v>
      </c>
      <c r="H619" s="23" t="s">
        <v>100</v>
      </c>
      <c r="I619" s="24" t="s">
        <v>33</v>
      </c>
      <c r="J619" s="19" t="s">
        <v>282</v>
      </c>
      <c r="K619" s="14">
        <v>13.0</v>
      </c>
      <c r="L619" s="14">
        <v>0.0</v>
      </c>
      <c r="M619" s="25"/>
      <c r="N619" s="26" t="s">
        <v>21</v>
      </c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>
      <c r="A620" s="14" t="s">
        <v>2401</v>
      </c>
      <c r="B620" s="17" t="s">
        <v>2398</v>
      </c>
      <c r="C620" s="17" t="s">
        <v>2402</v>
      </c>
      <c r="D620" s="19" t="s">
        <v>2403</v>
      </c>
      <c r="E620" s="20" t="s">
        <v>2404</v>
      </c>
      <c r="F620" s="27">
        <v>31696.0</v>
      </c>
      <c r="G620" s="14">
        <f t="shared" si="1"/>
        <v>40</v>
      </c>
      <c r="H620" s="23" t="s">
        <v>26</v>
      </c>
      <c r="I620" s="24" t="s">
        <v>27</v>
      </c>
      <c r="J620" s="19" t="s">
        <v>282</v>
      </c>
      <c r="K620" s="14">
        <v>13.0</v>
      </c>
      <c r="L620" s="14">
        <v>0.0</v>
      </c>
      <c r="M620" s="25"/>
      <c r="N620" s="26" t="s">
        <v>21</v>
      </c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>
      <c r="A621" s="14" t="s">
        <v>2405</v>
      </c>
      <c r="B621" s="17" t="s">
        <v>2398</v>
      </c>
      <c r="C621" s="17" t="s">
        <v>2406</v>
      </c>
      <c r="D621" s="19" t="s">
        <v>2407</v>
      </c>
      <c r="E621" s="20" t="s">
        <v>53</v>
      </c>
      <c r="F621" s="21">
        <v>29773.0</v>
      </c>
      <c r="G621" s="14">
        <f t="shared" si="1"/>
        <v>45</v>
      </c>
      <c r="H621" s="23" t="s">
        <v>26</v>
      </c>
      <c r="I621" s="24" t="s">
        <v>33</v>
      </c>
      <c r="J621" s="19" t="s">
        <v>282</v>
      </c>
      <c r="K621" s="14">
        <v>13.0</v>
      </c>
      <c r="L621" s="14">
        <v>0.0</v>
      </c>
      <c r="M621" s="25"/>
      <c r="N621" s="26" t="s">
        <v>21</v>
      </c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>
      <c r="A622" s="14" t="s">
        <v>2408</v>
      </c>
      <c r="B622" s="17" t="s">
        <v>2409</v>
      </c>
      <c r="C622" s="17" t="s">
        <v>2410</v>
      </c>
      <c r="D622" s="19" t="s">
        <v>2411</v>
      </c>
      <c r="E622" s="20" t="s">
        <v>104</v>
      </c>
      <c r="F622" s="27">
        <v>33226.0</v>
      </c>
      <c r="G622" s="14">
        <f t="shared" si="1"/>
        <v>35</v>
      </c>
      <c r="H622" s="23" t="s">
        <v>26</v>
      </c>
      <c r="I622" s="24" t="s">
        <v>27</v>
      </c>
      <c r="J622" s="19" t="s">
        <v>757</v>
      </c>
      <c r="K622" s="14">
        <v>11.0</v>
      </c>
      <c r="L622" s="14">
        <v>0.0</v>
      </c>
      <c r="M622" s="25"/>
      <c r="N622" s="26" t="s">
        <v>21</v>
      </c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>
      <c r="A623" s="14" t="s">
        <v>2412</v>
      </c>
      <c r="B623" s="17" t="s">
        <v>2409</v>
      </c>
      <c r="C623" s="17" t="s">
        <v>2413</v>
      </c>
      <c r="D623" s="19" t="s">
        <v>2414</v>
      </c>
      <c r="E623" s="20" t="s">
        <v>53</v>
      </c>
      <c r="F623" s="27">
        <v>33522.0</v>
      </c>
      <c r="G623" s="14">
        <f t="shared" si="1"/>
        <v>35</v>
      </c>
      <c r="H623" s="23" t="s">
        <v>26</v>
      </c>
      <c r="I623" s="24" t="s">
        <v>33</v>
      </c>
      <c r="J623" s="19" t="s">
        <v>757</v>
      </c>
      <c r="K623" s="14">
        <v>11.0</v>
      </c>
      <c r="L623" s="14">
        <v>0.0</v>
      </c>
      <c r="M623" s="25"/>
      <c r="N623" s="26" t="s">
        <v>21</v>
      </c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>
      <c r="A624" s="14" t="s">
        <v>2415</v>
      </c>
      <c r="B624" s="17" t="s">
        <v>2416</v>
      </c>
      <c r="C624" s="17" t="s">
        <v>2417</v>
      </c>
      <c r="D624" s="19" t="s">
        <v>2418</v>
      </c>
      <c r="E624" s="20" t="s">
        <v>736</v>
      </c>
      <c r="F624" s="21">
        <v>37628.0</v>
      </c>
      <c r="G624" s="14">
        <f t="shared" si="1"/>
        <v>23</v>
      </c>
      <c r="H624" s="23" t="s">
        <v>100</v>
      </c>
      <c r="I624" s="24" t="s">
        <v>27</v>
      </c>
      <c r="J624" s="19" t="s">
        <v>146</v>
      </c>
      <c r="K624" s="14">
        <v>2.0</v>
      </c>
      <c r="L624" s="14">
        <v>0.0</v>
      </c>
      <c r="M624" s="25"/>
      <c r="N624" s="26" t="s">
        <v>21</v>
      </c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>
      <c r="A625" s="14" t="s">
        <v>2419</v>
      </c>
      <c r="B625" s="17" t="s">
        <v>2420</v>
      </c>
      <c r="C625" s="17" t="s">
        <v>2421</v>
      </c>
      <c r="D625" s="19" t="s">
        <v>2422</v>
      </c>
      <c r="E625" s="20" t="s">
        <v>104</v>
      </c>
      <c r="F625" s="21">
        <v>34562.0</v>
      </c>
      <c r="G625" s="14">
        <f t="shared" si="1"/>
        <v>32</v>
      </c>
      <c r="H625" s="23" t="s">
        <v>26</v>
      </c>
      <c r="I625" s="24" t="s">
        <v>33</v>
      </c>
      <c r="J625" s="19" t="s">
        <v>282</v>
      </c>
      <c r="K625" s="14">
        <v>12.0</v>
      </c>
      <c r="L625" s="14">
        <v>0.0</v>
      </c>
      <c r="M625" s="25"/>
      <c r="N625" s="26" t="s">
        <v>21</v>
      </c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>
      <c r="A626" s="14" t="s">
        <v>2423</v>
      </c>
      <c r="B626" s="17" t="s">
        <v>2420</v>
      </c>
      <c r="C626" s="17" t="s">
        <v>2424</v>
      </c>
      <c r="D626" s="19" t="s">
        <v>2425</v>
      </c>
      <c r="E626" s="20" t="s">
        <v>112</v>
      </c>
      <c r="F626" s="21">
        <v>34505.0</v>
      </c>
      <c r="G626" s="14">
        <f t="shared" si="1"/>
        <v>32</v>
      </c>
      <c r="H626" s="23" t="s">
        <v>26</v>
      </c>
      <c r="I626" s="24" t="s">
        <v>27</v>
      </c>
      <c r="J626" s="19" t="s">
        <v>282</v>
      </c>
      <c r="K626" s="14">
        <v>12.0</v>
      </c>
      <c r="L626" s="14">
        <v>0.0</v>
      </c>
      <c r="M626" s="25"/>
      <c r="N626" s="26" t="s">
        <v>21</v>
      </c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>
      <c r="A627" s="14" t="s">
        <v>2426</v>
      </c>
      <c r="B627" s="17" t="s">
        <v>2427</v>
      </c>
      <c r="C627" s="17" t="s">
        <v>2428</v>
      </c>
      <c r="D627" s="19" t="s">
        <v>2429</v>
      </c>
      <c r="E627" s="20" t="s">
        <v>2430</v>
      </c>
      <c r="F627" s="21">
        <v>21554.0</v>
      </c>
      <c r="G627" s="14">
        <f t="shared" si="1"/>
        <v>67</v>
      </c>
      <c r="H627" s="23" t="s">
        <v>27</v>
      </c>
      <c r="I627" s="24" t="s">
        <v>33</v>
      </c>
      <c r="J627" s="19" t="s">
        <v>2431</v>
      </c>
      <c r="K627" s="14">
        <v>1.0</v>
      </c>
      <c r="L627" s="14">
        <v>0.0</v>
      </c>
      <c r="M627" s="25"/>
      <c r="N627" s="26" t="s">
        <v>21</v>
      </c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>
      <c r="A628" s="14" t="s">
        <v>2432</v>
      </c>
      <c r="B628" s="17" t="s">
        <v>2433</v>
      </c>
      <c r="C628" s="17" t="s">
        <v>2434</v>
      </c>
      <c r="D628" s="19" t="s">
        <v>2435</v>
      </c>
      <c r="E628" s="20" t="s">
        <v>104</v>
      </c>
      <c r="F628" s="21">
        <v>38730.0</v>
      </c>
      <c r="G628" s="14">
        <f t="shared" si="1"/>
        <v>20</v>
      </c>
      <c r="H628" s="23" t="s">
        <v>100</v>
      </c>
      <c r="I628" s="24" t="s">
        <v>33</v>
      </c>
      <c r="J628" s="19" t="s">
        <v>726</v>
      </c>
      <c r="K628" s="14">
        <v>16.0</v>
      </c>
      <c r="L628" s="14">
        <v>0.0</v>
      </c>
      <c r="M628" s="25"/>
      <c r="N628" s="26" t="s">
        <v>21</v>
      </c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>
      <c r="A629" s="14" t="s">
        <v>2436</v>
      </c>
      <c r="B629" s="17" t="s">
        <v>2433</v>
      </c>
      <c r="C629" s="17" t="s">
        <v>2437</v>
      </c>
      <c r="D629" s="19" t="s">
        <v>2438</v>
      </c>
      <c r="E629" s="20" t="s">
        <v>2439</v>
      </c>
      <c r="F629" s="21">
        <v>30405.0</v>
      </c>
      <c r="G629" s="14">
        <f t="shared" si="1"/>
        <v>43</v>
      </c>
      <c r="H629" s="23" t="s">
        <v>26</v>
      </c>
      <c r="I629" s="24" t="s">
        <v>27</v>
      </c>
      <c r="J629" s="19" t="s">
        <v>726</v>
      </c>
      <c r="K629" s="14">
        <v>16.0</v>
      </c>
      <c r="L629" s="14">
        <v>0.0</v>
      </c>
      <c r="M629" s="25"/>
      <c r="N629" s="26" t="s">
        <v>21</v>
      </c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>
      <c r="A630" s="14" t="s">
        <v>2440</v>
      </c>
      <c r="B630" s="17" t="s">
        <v>2433</v>
      </c>
      <c r="C630" s="17" t="s">
        <v>2441</v>
      </c>
      <c r="D630" s="19" t="s">
        <v>2442</v>
      </c>
      <c r="E630" s="20" t="s">
        <v>210</v>
      </c>
      <c r="F630" s="21">
        <v>29625.0</v>
      </c>
      <c r="G630" s="14">
        <f t="shared" si="1"/>
        <v>45</v>
      </c>
      <c r="H630" s="23" t="s">
        <v>26</v>
      </c>
      <c r="I630" s="24" t="s">
        <v>33</v>
      </c>
      <c r="J630" s="19" t="s">
        <v>726</v>
      </c>
      <c r="K630" s="14">
        <v>16.0</v>
      </c>
      <c r="L630" s="14">
        <v>0.0</v>
      </c>
      <c r="M630" s="25"/>
      <c r="N630" s="26" t="s">
        <v>21</v>
      </c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>
      <c r="A631" s="14" t="s">
        <v>2443</v>
      </c>
      <c r="B631" s="17" t="s">
        <v>2444</v>
      </c>
      <c r="C631" s="17" t="s">
        <v>2445</v>
      </c>
      <c r="D631" s="19" t="s">
        <v>2446</v>
      </c>
      <c r="E631" s="20" t="s">
        <v>210</v>
      </c>
      <c r="F631" s="21">
        <v>38026.0</v>
      </c>
      <c r="G631" s="14">
        <f t="shared" si="1"/>
        <v>22</v>
      </c>
      <c r="H631" s="23" t="s">
        <v>100</v>
      </c>
      <c r="I631" s="24" t="s">
        <v>33</v>
      </c>
      <c r="J631" s="19" t="s">
        <v>328</v>
      </c>
      <c r="K631" s="14">
        <v>25.0</v>
      </c>
      <c r="L631" s="14">
        <v>0.0</v>
      </c>
      <c r="M631" s="25"/>
      <c r="N631" s="26" t="s">
        <v>21</v>
      </c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>
      <c r="A632" s="14" t="s">
        <v>2447</v>
      </c>
      <c r="B632" s="17" t="s">
        <v>2444</v>
      </c>
      <c r="C632" s="17" t="s">
        <v>2448</v>
      </c>
      <c r="D632" s="19" t="s">
        <v>2449</v>
      </c>
      <c r="E632" s="20" t="s">
        <v>210</v>
      </c>
      <c r="F632" s="21">
        <v>25952.0</v>
      </c>
      <c r="G632" s="14">
        <f t="shared" si="1"/>
        <v>55</v>
      </c>
      <c r="H632" s="23" t="s">
        <v>26</v>
      </c>
      <c r="I632" s="24" t="s">
        <v>33</v>
      </c>
      <c r="J632" s="19" t="s">
        <v>328</v>
      </c>
      <c r="K632" s="14">
        <v>25.0</v>
      </c>
      <c r="L632" s="14">
        <v>0.0</v>
      </c>
      <c r="M632" s="25"/>
      <c r="N632" s="26" t="s">
        <v>21</v>
      </c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>
      <c r="A633" s="14" t="s">
        <v>2450</v>
      </c>
      <c r="B633" s="17" t="s">
        <v>2444</v>
      </c>
      <c r="C633" s="17" t="s">
        <v>2451</v>
      </c>
      <c r="D633" s="19" t="s">
        <v>2452</v>
      </c>
      <c r="E633" s="20" t="s">
        <v>210</v>
      </c>
      <c r="F633" s="21">
        <v>29346.0</v>
      </c>
      <c r="G633" s="14">
        <f t="shared" si="1"/>
        <v>46</v>
      </c>
      <c r="H633" s="23" t="s">
        <v>26</v>
      </c>
      <c r="I633" s="24" t="s">
        <v>27</v>
      </c>
      <c r="J633" s="19" t="s">
        <v>328</v>
      </c>
      <c r="K633" s="14">
        <v>25.0</v>
      </c>
      <c r="L633" s="14">
        <v>0.0</v>
      </c>
      <c r="M633" s="25"/>
      <c r="N633" s="26" t="s">
        <v>21</v>
      </c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>
      <c r="A634" s="14" t="s">
        <v>2453</v>
      </c>
      <c r="B634" s="17" t="s">
        <v>2454</v>
      </c>
      <c r="C634" s="17" t="s">
        <v>2455</v>
      </c>
      <c r="D634" s="19" t="s">
        <v>2456</v>
      </c>
      <c r="E634" s="20" t="s">
        <v>104</v>
      </c>
      <c r="F634" s="21">
        <v>33311.0</v>
      </c>
      <c r="G634" s="14">
        <f t="shared" si="1"/>
        <v>35</v>
      </c>
      <c r="H634" s="23" t="s">
        <v>26</v>
      </c>
      <c r="I634" s="24" t="s">
        <v>27</v>
      </c>
      <c r="J634" s="19" t="s">
        <v>328</v>
      </c>
      <c r="K634" s="14">
        <v>20.0</v>
      </c>
      <c r="L634" s="14">
        <v>0.0</v>
      </c>
      <c r="M634" s="25"/>
      <c r="N634" s="26" t="s">
        <v>21</v>
      </c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>
      <c r="A635" s="14" t="s">
        <v>2457</v>
      </c>
      <c r="B635" s="17" t="s">
        <v>2454</v>
      </c>
      <c r="C635" s="17" t="s">
        <v>2458</v>
      </c>
      <c r="D635" s="19" t="s">
        <v>2459</v>
      </c>
      <c r="E635" s="20" t="s">
        <v>1148</v>
      </c>
      <c r="F635" s="21">
        <v>31582.0</v>
      </c>
      <c r="G635" s="14">
        <f t="shared" si="1"/>
        <v>40</v>
      </c>
      <c r="H635" s="23" t="s">
        <v>26</v>
      </c>
      <c r="I635" s="24" t="s">
        <v>33</v>
      </c>
      <c r="J635" s="19" t="s">
        <v>1915</v>
      </c>
      <c r="K635" s="14">
        <v>20.0</v>
      </c>
      <c r="L635" s="14">
        <v>0.0</v>
      </c>
      <c r="M635" s="25"/>
      <c r="N635" s="26" t="s">
        <v>21</v>
      </c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>
      <c r="A636" s="14" t="s">
        <v>2460</v>
      </c>
      <c r="B636" s="17" t="s">
        <v>2461</v>
      </c>
      <c r="C636" s="17" t="s">
        <v>2462</v>
      </c>
      <c r="D636" s="19" t="s">
        <v>2463</v>
      </c>
      <c r="E636" s="20" t="s">
        <v>104</v>
      </c>
      <c r="F636" s="27">
        <v>30617.0</v>
      </c>
      <c r="G636" s="14">
        <f t="shared" si="1"/>
        <v>43</v>
      </c>
      <c r="H636" s="23" t="s">
        <v>26</v>
      </c>
      <c r="I636" s="24" t="s">
        <v>27</v>
      </c>
      <c r="J636" s="19" t="s">
        <v>53</v>
      </c>
      <c r="K636" s="14">
        <v>10.0</v>
      </c>
      <c r="L636" s="14">
        <v>0.0</v>
      </c>
      <c r="M636" s="25"/>
      <c r="N636" s="26" t="s">
        <v>21</v>
      </c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>
      <c r="A637" s="14" t="s">
        <v>2464</v>
      </c>
      <c r="B637" s="17" t="s">
        <v>2461</v>
      </c>
      <c r="C637" s="17" t="s">
        <v>2465</v>
      </c>
      <c r="D637" s="19" t="s">
        <v>2213</v>
      </c>
      <c r="E637" s="20" t="s">
        <v>104</v>
      </c>
      <c r="F637" s="21">
        <v>30000.0</v>
      </c>
      <c r="G637" s="14">
        <f t="shared" si="1"/>
        <v>44</v>
      </c>
      <c r="H637" s="23" t="s">
        <v>26</v>
      </c>
      <c r="I637" s="24" t="s">
        <v>33</v>
      </c>
      <c r="J637" s="19" t="s">
        <v>53</v>
      </c>
      <c r="K637" s="14">
        <v>10.0</v>
      </c>
      <c r="L637" s="14">
        <v>0.0</v>
      </c>
      <c r="M637" s="25"/>
      <c r="N637" s="26" t="s">
        <v>21</v>
      </c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>
      <c r="A638" s="14" t="s">
        <v>2466</v>
      </c>
      <c r="B638" s="17" t="s">
        <v>2467</v>
      </c>
      <c r="C638" s="17" t="s">
        <v>2468</v>
      </c>
      <c r="D638" s="19" t="s">
        <v>2469</v>
      </c>
      <c r="E638" s="20" t="s">
        <v>104</v>
      </c>
      <c r="F638" s="21">
        <v>35969.0</v>
      </c>
      <c r="G638" s="14">
        <f t="shared" si="1"/>
        <v>28</v>
      </c>
      <c r="H638" s="23" t="s">
        <v>26</v>
      </c>
      <c r="I638" s="24" t="s">
        <v>27</v>
      </c>
      <c r="J638" s="19" t="s">
        <v>53</v>
      </c>
      <c r="K638" s="14">
        <v>14.0</v>
      </c>
      <c r="L638" s="14">
        <v>0.0</v>
      </c>
      <c r="M638" s="25"/>
      <c r="N638" s="26" t="s">
        <v>21</v>
      </c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>
      <c r="A639" s="14" t="s">
        <v>2470</v>
      </c>
      <c r="B639" s="17" t="s">
        <v>2467</v>
      </c>
      <c r="C639" s="17" t="s">
        <v>2471</v>
      </c>
      <c r="D639" s="19" t="s">
        <v>2472</v>
      </c>
      <c r="E639" s="20" t="s">
        <v>2473</v>
      </c>
      <c r="F639" s="21">
        <v>33884.0</v>
      </c>
      <c r="G639" s="14">
        <f t="shared" si="1"/>
        <v>34</v>
      </c>
      <c r="H639" s="23" t="s">
        <v>26</v>
      </c>
      <c r="I639" s="24" t="s">
        <v>33</v>
      </c>
      <c r="J639" s="19" t="s">
        <v>53</v>
      </c>
      <c r="K639" s="14">
        <v>14.0</v>
      </c>
      <c r="L639" s="14">
        <v>0.0</v>
      </c>
      <c r="M639" s="25"/>
      <c r="N639" s="26" t="s">
        <v>21</v>
      </c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>
      <c r="A640" s="14" t="s">
        <v>2474</v>
      </c>
      <c r="B640" s="17" t="s">
        <v>2475</v>
      </c>
      <c r="C640" s="17" t="s">
        <v>2476</v>
      </c>
      <c r="D640" s="19" t="s">
        <v>2477</v>
      </c>
      <c r="E640" s="20" t="s">
        <v>1095</v>
      </c>
      <c r="F640" s="21">
        <v>33819.0</v>
      </c>
      <c r="G640" s="14">
        <f t="shared" si="1"/>
        <v>34</v>
      </c>
      <c r="H640" s="23" t="s">
        <v>26</v>
      </c>
      <c r="I640" s="24" t="s">
        <v>27</v>
      </c>
      <c r="J640" s="19" t="s">
        <v>39</v>
      </c>
      <c r="K640" s="14">
        <v>11.0</v>
      </c>
      <c r="L640" s="14">
        <v>0.0</v>
      </c>
      <c r="M640" s="25"/>
      <c r="N640" s="26" t="s">
        <v>21</v>
      </c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>
      <c r="A641" s="14" t="s">
        <v>2478</v>
      </c>
      <c r="B641" s="17" t="s">
        <v>2475</v>
      </c>
      <c r="C641" s="17" t="s">
        <v>2479</v>
      </c>
      <c r="D641" s="19" t="s">
        <v>2480</v>
      </c>
      <c r="E641" s="20" t="s">
        <v>2481</v>
      </c>
      <c r="F641" s="27">
        <v>33164.0</v>
      </c>
      <c r="G641" s="14">
        <f t="shared" si="1"/>
        <v>36</v>
      </c>
      <c r="H641" s="23" t="s">
        <v>26</v>
      </c>
      <c r="I641" s="24" t="s">
        <v>33</v>
      </c>
      <c r="J641" s="19" t="s">
        <v>39</v>
      </c>
      <c r="K641" s="14">
        <v>11.0</v>
      </c>
      <c r="L641" s="14">
        <v>0.0</v>
      </c>
      <c r="M641" s="25"/>
      <c r="N641" s="26" t="s">
        <v>21</v>
      </c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>
      <c r="A642" s="14" t="s">
        <v>2482</v>
      </c>
      <c r="B642" s="17" t="s">
        <v>2483</v>
      </c>
      <c r="C642" s="17" t="s">
        <v>2484</v>
      </c>
      <c r="D642" s="19" t="s">
        <v>2485</v>
      </c>
      <c r="E642" s="20" t="s">
        <v>2486</v>
      </c>
      <c r="F642" s="21">
        <v>30420.0</v>
      </c>
      <c r="G642" s="14">
        <f t="shared" si="1"/>
        <v>43</v>
      </c>
      <c r="H642" s="23" t="s">
        <v>26</v>
      </c>
      <c r="I642" s="24" t="s">
        <v>33</v>
      </c>
      <c r="J642" s="19" t="s">
        <v>2487</v>
      </c>
      <c r="K642" s="14">
        <v>9.0</v>
      </c>
      <c r="L642" s="14">
        <v>0.0</v>
      </c>
      <c r="M642" s="25"/>
      <c r="N642" s="26" t="s">
        <v>21</v>
      </c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>
      <c r="A643" s="14" t="s">
        <v>2488</v>
      </c>
      <c r="B643" s="17" t="s">
        <v>2483</v>
      </c>
      <c r="C643" s="17" t="s">
        <v>2489</v>
      </c>
      <c r="D643" s="19" t="s">
        <v>2490</v>
      </c>
      <c r="E643" s="20" t="s">
        <v>2491</v>
      </c>
      <c r="F643" s="21">
        <v>33088.0</v>
      </c>
      <c r="G643" s="14">
        <f t="shared" si="1"/>
        <v>36</v>
      </c>
      <c r="H643" s="23" t="s">
        <v>26</v>
      </c>
      <c r="I643" s="24" t="s">
        <v>27</v>
      </c>
      <c r="J643" s="19" t="s">
        <v>2487</v>
      </c>
      <c r="K643" s="14">
        <v>9.0</v>
      </c>
      <c r="L643" s="14">
        <v>0.0</v>
      </c>
      <c r="M643" s="25"/>
      <c r="N643" s="26" t="s">
        <v>21</v>
      </c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>
      <c r="A644" s="14" t="s">
        <v>2492</v>
      </c>
      <c r="B644" s="17" t="s">
        <v>2493</v>
      </c>
      <c r="C644" s="17" t="s">
        <v>2494</v>
      </c>
      <c r="D644" s="19" t="s">
        <v>2495</v>
      </c>
      <c r="E644" s="20" t="s">
        <v>2496</v>
      </c>
      <c r="F644" s="21">
        <v>38762.0</v>
      </c>
      <c r="G644" s="14">
        <f t="shared" si="1"/>
        <v>20</v>
      </c>
      <c r="H644" s="23" t="s">
        <v>100</v>
      </c>
      <c r="I644" s="24" t="s">
        <v>27</v>
      </c>
      <c r="J644" s="19" t="s">
        <v>2497</v>
      </c>
      <c r="K644" s="14">
        <v>3.0</v>
      </c>
      <c r="L644" s="14">
        <v>0.0</v>
      </c>
      <c r="M644" s="25"/>
      <c r="N644" s="26" t="s">
        <v>21</v>
      </c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>
      <c r="A645" s="14" t="s">
        <v>2498</v>
      </c>
      <c r="B645" s="17" t="s">
        <v>2493</v>
      </c>
      <c r="C645" s="17" t="s">
        <v>2499</v>
      </c>
      <c r="D645" s="19" t="s">
        <v>2500</v>
      </c>
      <c r="E645" s="20" t="s">
        <v>2501</v>
      </c>
      <c r="F645" s="21">
        <v>28175.0</v>
      </c>
      <c r="G645" s="14">
        <f t="shared" si="1"/>
        <v>49</v>
      </c>
      <c r="H645" s="23" t="s">
        <v>26</v>
      </c>
      <c r="I645" s="24" t="s">
        <v>33</v>
      </c>
      <c r="J645" s="19" t="s">
        <v>2497</v>
      </c>
      <c r="K645" s="14">
        <v>3.0</v>
      </c>
      <c r="L645" s="14">
        <v>0.0</v>
      </c>
      <c r="M645" s="25"/>
      <c r="N645" s="26" t="s">
        <v>21</v>
      </c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>
      <c r="A646" s="14" t="s">
        <v>2502</v>
      </c>
      <c r="B646" s="17" t="s">
        <v>2493</v>
      </c>
      <c r="C646" s="17" t="s">
        <v>2503</v>
      </c>
      <c r="D646" s="19" t="s">
        <v>2504</v>
      </c>
      <c r="E646" s="20" t="s">
        <v>2505</v>
      </c>
      <c r="F646" s="21">
        <v>37683.0</v>
      </c>
      <c r="G646" s="14">
        <f t="shared" si="1"/>
        <v>23</v>
      </c>
      <c r="H646" s="23" t="s">
        <v>100</v>
      </c>
      <c r="I646" s="24" t="s">
        <v>33</v>
      </c>
      <c r="J646" s="19" t="s">
        <v>2497</v>
      </c>
      <c r="K646" s="14">
        <v>3.0</v>
      </c>
      <c r="L646" s="14">
        <v>0.0</v>
      </c>
      <c r="M646" s="25"/>
      <c r="N646" s="26" t="s">
        <v>21</v>
      </c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>
      <c r="A647" s="14" t="s">
        <v>2506</v>
      </c>
      <c r="B647" s="17" t="s">
        <v>2493</v>
      </c>
      <c r="C647" s="17" t="s">
        <v>2507</v>
      </c>
      <c r="D647" s="19" t="s">
        <v>2508</v>
      </c>
      <c r="E647" s="20" t="s">
        <v>2509</v>
      </c>
      <c r="F647" s="21">
        <v>28655.0</v>
      </c>
      <c r="G647" s="14">
        <f t="shared" si="1"/>
        <v>48</v>
      </c>
      <c r="H647" s="23" t="s">
        <v>26</v>
      </c>
      <c r="I647" s="24" t="s">
        <v>27</v>
      </c>
      <c r="J647" s="19" t="s">
        <v>2497</v>
      </c>
      <c r="K647" s="14">
        <v>3.0</v>
      </c>
      <c r="L647" s="14">
        <v>0.0</v>
      </c>
      <c r="M647" s="25"/>
      <c r="N647" s="26" t="s">
        <v>21</v>
      </c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>
      <c r="A648" s="14" t="s">
        <v>2510</v>
      </c>
      <c r="B648" s="17" t="s">
        <v>2511</v>
      </c>
      <c r="C648" s="17" t="s">
        <v>2512</v>
      </c>
      <c r="D648" s="19" t="s">
        <v>2513</v>
      </c>
      <c r="E648" s="20" t="s">
        <v>2514</v>
      </c>
      <c r="F648" s="21">
        <v>24049.0</v>
      </c>
      <c r="G648" s="14">
        <f t="shared" si="1"/>
        <v>60</v>
      </c>
      <c r="H648" s="23" t="s">
        <v>27</v>
      </c>
      <c r="I648" s="24" t="s">
        <v>27</v>
      </c>
      <c r="J648" s="19" t="s">
        <v>53</v>
      </c>
      <c r="K648" s="14">
        <v>35.0</v>
      </c>
      <c r="L648" s="14">
        <v>0.0</v>
      </c>
      <c r="M648" s="25"/>
      <c r="N648" s="26" t="s">
        <v>21</v>
      </c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>
      <c r="A649" s="14" t="s">
        <v>2515</v>
      </c>
      <c r="B649" s="17" t="s">
        <v>2516</v>
      </c>
      <c r="C649" s="17" t="s">
        <v>2517</v>
      </c>
      <c r="D649" s="19" t="s">
        <v>2518</v>
      </c>
      <c r="E649" s="20" t="s">
        <v>104</v>
      </c>
      <c r="F649" s="21">
        <v>36592.0</v>
      </c>
      <c r="G649" s="14">
        <f t="shared" si="1"/>
        <v>26</v>
      </c>
      <c r="H649" s="23" t="s">
        <v>100</v>
      </c>
      <c r="I649" s="24" t="s">
        <v>33</v>
      </c>
      <c r="J649" s="19" t="s">
        <v>282</v>
      </c>
      <c r="K649" s="14">
        <v>16.0</v>
      </c>
      <c r="L649" s="14">
        <v>0.0</v>
      </c>
      <c r="M649" s="25"/>
      <c r="N649" s="26" t="s">
        <v>21</v>
      </c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>
      <c r="A650" s="14" t="s">
        <v>2519</v>
      </c>
      <c r="B650" s="17" t="s">
        <v>2516</v>
      </c>
      <c r="C650" s="17" t="s">
        <v>2520</v>
      </c>
      <c r="D650" s="19" t="s">
        <v>2521</v>
      </c>
      <c r="E650" s="20" t="s">
        <v>104</v>
      </c>
      <c r="F650" s="21">
        <v>38616.0</v>
      </c>
      <c r="G650" s="14">
        <f t="shared" si="1"/>
        <v>21</v>
      </c>
      <c r="H650" s="23" t="s">
        <v>100</v>
      </c>
      <c r="I650" s="24" t="s">
        <v>33</v>
      </c>
      <c r="J650" s="19" t="s">
        <v>282</v>
      </c>
      <c r="K650" s="14">
        <v>16.0</v>
      </c>
      <c r="L650" s="14">
        <v>0.0</v>
      </c>
      <c r="M650" s="25"/>
      <c r="N650" s="26" t="s">
        <v>21</v>
      </c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>
      <c r="A651" s="14" t="s">
        <v>2522</v>
      </c>
      <c r="B651" s="17" t="s">
        <v>2516</v>
      </c>
      <c r="C651" s="17" t="s">
        <v>2523</v>
      </c>
      <c r="D651" s="19" t="s">
        <v>2524</v>
      </c>
      <c r="E651" s="20" t="s">
        <v>104</v>
      </c>
      <c r="F651" s="27">
        <v>28773.0</v>
      </c>
      <c r="G651" s="14">
        <f t="shared" si="1"/>
        <v>48</v>
      </c>
      <c r="H651" s="23" t="s">
        <v>26</v>
      </c>
      <c r="I651" s="24" t="s">
        <v>33</v>
      </c>
      <c r="J651" s="19" t="s">
        <v>282</v>
      </c>
      <c r="K651" s="14">
        <v>16.0</v>
      </c>
      <c r="L651" s="14">
        <v>0.0</v>
      </c>
      <c r="M651" s="25"/>
      <c r="N651" s="26" t="s">
        <v>21</v>
      </c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>
      <c r="A652" s="14" t="s">
        <v>2525</v>
      </c>
      <c r="B652" s="17" t="s">
        <v>2516</v>
      </c>
      <c r="C652" s="17" t="s">
        <v>2526</v>
      </c>
      <c r="D652" s="19" t="s">
        <v>2527</v>
      </c>
      <c r="E652" s="20" t="s">
        <v>1058</v>
      </c>
      <c r="F652" s="21">
        <v>29422.0</v>
      </c>
      <c r="G652" s="14">
        <f t="shared" si="1"/>
        <v>46</v>
      </c>
      <c r="H652" s="23" t="s">
        <v>26</v>
      </c>
      <c r="I652" s="24" t="s">
        <v>27</v>
      </c>
      <c r="J652" s="19" t="s">
        <v>282</v>
      </c>
      <c r="K652" s="14">
        <v>16.0</v>
      </c>
      <c r="L652" s="14">
        <v>0.0</v>
      </c>
      <c r="M652" s="25"/>
      <c r="N652" s="26" t="s">
        <v>21</v>
      </c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>
      <c r="A653" s="14" t="s">
        <v>2528</v>
      </c>
      <c r="B653" s="17" t="s">
        <v>2529</v>
      </c>
      <c r="C653" s="17" t="s">
        <v>2530</v>
      </c>
      <c r="D653" s="19" t="s">
        <v>2531</v>
      </c>
      <c r="E653" s="20" t="s">
        <v>104</v>
      </c>
      <c r="F653" s="21">
        <v>33047.0</v>
      </c>
      <c r="G653" s="14">
        <f t="shared" si="1"/>
        <v>36</v>
      </c>
      <c r="H653" s="23" t="s">
        <v>26</v>
      </c>
      <c r="I653" s="24" t="s">
        <v>33</v>
      </c>
      <c r="J653" s="19" t="s">
        <v>517</v>
      </c>
      <c r="K653" s="14">
        <v>8.0</v>
      </c>
      <c r="L653" s="14">
        <v>0.0</v>
      </c>
      <c r="M653" s="25"/>
      <c r="N653" s="26" t="s">
        <v>21</v>
      </c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>
      <c r="A654" s="14" t="s">
        <v>2532</v>
      </c>
      <c r="B654" s="17" t="s">
        <v>2533</v>
      </c>
      <c r="C654" s="17" t="s">
        <v>2534</v>
      </c>
      <c r="D654" s="19" t="s">
        <v>2535</v>
      </c>
      <c r="E654" s="20" t="s">
        <v>2536</v>
      </c>
      <c r="F654" s="21">
        <v>28704.0</v>
      </c>
      <c r="G654" s="14">
        <f t="shared" si="1"/>
        <v>48</v>
      </c>
      <c r="H654" s="23" t="s">
        <v>26</v>
      </c>
      <c r="I654" s="24" t="s">
        <v>33</v>
      </c>
      <c r="J654" s="19" t="s">
        <v>156</v>
      </c>
      <c r="K654" s="14">
        <v>30.0</v>
      </c>
      <c r="L654" s="14">
        <v>0.0</v>
      </c>
      <c r="M654" s="25"/>
      <c r="N654" s="26" t="s">
        <v>21</v>
      </c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>
      <c r="A655" s="14" t="s">
        <v>2537</v>
      </c>
      <c r="B655" s="17" t="s">
        <v>2533</v>
      </c>
      <c r="C655" s="17" t="s">
        <v>2538</v>
      </c>
      <c r="D655" s="19" t="s">
        <v>2539</v>
      </c>
      <c r="E655" s="20" t="s">
        <v>2540</v>
      </c>
      <c r="F655" s="21">
        <v>28316.0</v>
      </c>
      <c r="G655" s="14">
        <f t="shared" si="1"/>
        <v>49</v>
      </c>
      <c r="H655" s="23" t="s">
        <v>26</v>
      </c>
      <c r="I655" s="24" t="s">
        <v>27</v>
      </c>
      <c r="J655" s="19" t="s">
        <v>156</v>
      </c>
      <c r="K655" s="14">
        <v>30.0</v>
      </c>
      <c r="L655" s="14">
        <v>0.0</v>
      </c>
      <c r="M655" s="25"/>
      <c r="N655" s="26" t="s">
        <v>21</v>
      </c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>
      <c r="A656" s="14" t="s">
        <v>2541</v>
      </c>
      <c r="B656" s="17" t="s">
        <v>2533</v>
      </c>
      <c r="C656" s="17" t="s">
        <v>2542</v>
      </c>
      <c r="D656" s="19" t="s">
        <v>2543</v>
      </c>
      <c r="E656" s="20" t="s">
        <v>219</v>
      </c>
      <c r="F656" s="21">
        <v>37878.0</v>
      </c>
      <c r="G656" s="14">
        <f t="shared" si="1"/>
        <v>23</v>
      </c>
      <c r="H656" s="23" t="s">
        <v>100</v>
      </c>
      <c r="I656" s="24" t="s">
        <v>33</v>
      </c>
      <c r="J656" s="19" t="s">
        <v>156</v>
      </c>
      <c r="K656" s="14">
        <v>30.0</v>
      </c>
      <c r="L656" s="14">
        <v>0.0</v>
      </c>
      <c r="M656" s="25"/>
      <c r="N656" s="26" t="s">
        <v>21</v>
      </c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>
      <c r="A657" s="14" t="s">
        <v>2544</v>
      </c>
      <c r="B657" s="17" t="s">
        <v>2545</v>
      </c>
      <c r="C657" s="17" t="s">
        <v>2546</v>
      </c>
      <c r="D657" s="19" t="s">
        <v>2547</v>
      </c>
      <c r="E657" s="20" t="s">
        <v>195</v>
      </c>
      <c r="F657" s="21">
        <v>23140.0</v>
      </c>
      <c r="G657" s="14">
        <f t="shared" si="1"/>
        <v>63</v>
      </c>
      <c r="H657" s="23" t="s">
        <v>27</v>
      </c>
      <c r="I657" s="24" t="s">
        <v>27</v>
      </c>
      <c r="J657" s="19" t="s">
        <v>68</v>
      </c>
      <c r="K657" s="14">
        <v>30.0</v>
      </c>
      <c r="L657" s="14">
        <v>0.0</v>
      </c>
      <c r="M657" s="25"/>
      <c r="N657" s="26" t="s">
        <v>21</v>
      </c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>
      <c r="A658" s="14" t="s">
        <v>2548</v>
      </c>
      <c r="B658" s="17" t="s">
        <v>2545</v>
      </c>
      <c r="C658" s="17" t="s">
        <v>2549</v>
      </c>
      <c r="D658" s="19" t="s">
        <v>2550</v>
      </c>
      <c r="E658" s="20" t="s">
        <v>2551</v>
      </c>
      <c r="F658" s="27">
        <v>36479.0</v>
      </c>
      <c r="G658" s="14">
        <f t="shared" si="1"/>
        <v>26</v>
      </c>
      <c r="H658" s="23" t="s">
        <v>26</v>
      </c>
      <c r="I658" s="24" t="s">
        <v>27</v>
      </c>
      <c r="J658" s="19" t="s">
        <v>68</v>
      </c>
      <c r="K658" s="14">
        <v>30.0</v>
      </c>
      <c r="L658" s="14">
        <v>0.0</v>
      </c>
      <c r="M658" s="25"/>
      <c r="N658" s="26" t="s">
        <v>21</v>
      </c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>
      <c r="A659" s="14" t="s">
        <v>2552</v>
      </c>
      <c r="B659" s="17" t="s">
        <v>2545</v>
      </c>
      <c r="C659" s="17" t="s">
        <v>2553</v>
      </c>
      <c r="D659" s="19" t="s">
        <v>2554</v>
      </c>
      <c r="E659" s="20" t="s">
        <v>104</v>
      </c>
      <c r="F659" s="21">
        <v>35074.0</v>
      </c>
      <c r="G659" s="14">
        <f t="shared" si="1"/>
        <v>30</v>
      </c>
      <c r="H659" s="23" t="s">
        <v>26</v>
      </c>
      <c r="I659" s="24" t="s">
        <v>33</v>
      </c>
      <c r="J659" s="19" t="s">
        <v>68</v>
      </c>
      <c r="K659" s="14">
        <v>30.0</v>
      </c>
      <c r="L659" s="14">
        <v>0.0</v>
      </c>
      <c r="M659" s="25"/>
      <c r="N659" s="26" t="s">
        <v>21</v>
      </c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>
      <c r="A660" s="14" t="s">
        <v>2555</v>
      </c>
      <c r="B660" s="17" t="s">
        <v>2556</v>
      </c>
      <c r="C660" s="17" t="s">
        <v>2557</v>
      </c>
      <c r="D660" s="19" t="s">
        <v>2558</v>
      </c>
      <c r="E660" s="20" t="s">
        <v>2559</v>
      </c>
      <c r="F660" s="21">
        <v>34080.0</v>
      </c>
      <c r="G660" s="14">
        <f t="shared" si="1"/>
        <v>33</v>
      </c>
      <c r="H660" s="23" t="s">
        <v>26</v>
      </c>
      <c r="I660" s="24" t="s">
        <v>27</v>
      </c>
      <c r="J660" s="19" t="s">
        <v>206</v>
      </c>
      <c r="K660" s="14">
        <v>4.0</v>
      </c>
      <c r="L660" s="14">
        <v>0.0</v>
      </c>
      <c r="M660" s="25"/>
      <c r="N660" s="26" t="s">
        <v>21</v>
      </c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>
      <c r="A661" s="14" t="s">
        <v>2560</v>
      </c>
      <c r="B661" s="17" t="s">
        <v>2556</v>
      </c>
      <c r="C661" s="17" t="s">
        <v>2561</v>
      </c>
      <c r="D661" s="19" t="s">
        <v>2562</v>
      </c>
      <c r="E661" s="20" t="s">
        <v>104</v>
      </c>
      <c r="F661" s="21">
        <v>31975.0</v>
      </c>
      <c r="G661" s="14">
        <f t="shared" si="1"/>
        <v>39</v>
      </c>
      <c r="H661" s="23" t="s">
        <v>26</v>
      </c>
      <c r="I661" s="24" t="s">
        <v>33</v>
      </c>
      <c r="J661" s="19" t="s">
        <v>206</v>
      </c>
      <c r="K661" s="14">
        <v>4.0</v>
      </c>
      <c r="L661" s="14">
        <v>0.0</v>
      </c>
      <c r="M661" s="25"/>
      <c r="N661" s="26" t="s">
        <v>21</v>
      </c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>
      <c r="A662" s="14" t="s">
        <v>2563</v>
      </c>
      <c r="B662" s="17" t="s">
        <v>2564</v>
      </c>
      <c r="C662" s="17" t="s">
        <v>2565</v>
      </c>
      <c r="D662" s="19" t="s">
        <v>2566</v>
      </c>
      <c r="E662" s="20" t="s">
        <v>624</v>
      </c>
      <c r="F662" s="27">
        <v>20740.0</v>
      </c>
      <c r="G662" s="14">
        <f t="shared" si="1"/>
        <v>70</v>
      </c>
      <c r="H662" s="23" t="s">
        <v>27</v>
      </c>
      <c r="I662" s="24" t="s">
        <v>27</v>
      </c>
      <c r="J662" s="19" t="s">
        <v>1915</v>
      </c>
      <c r="K662" s="14">
        <v>11.0</v>
      </c>
      <c r="L662" s="14">
        <v>5.0</v>
      </c>
      <c r="M662" s="25"/>
      <c r="N662" s="26" t="s">
        <v>21</v>
      </c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>
      <c r="A663" s="14" t="s">
        <v>2567</v>
      </c>
      <c r="B663" s="41" t="s">
        <v>2568</v>
      </c>
      <c r="C663" s="17" t="s">
        <v>2569</v>
      </c>
      <c r="D663" s="19" t="s">
        <v>2570</v>
      </c>
      <c r="E663" s="20" t="s">
        <v>53</v>
      </c>
      <c r="F663" s="21">
        <v>39053.0</v>
      </c>
      <c r="G663" s="14">
        <f t="shared" si="1"/>
        <v>19</v>
      </c>
      <c r="H663" s="23" t="s">
        <v>100</v>
      </c>
      <c r="I663" s="24" t="s">
        <v>33</v>
      </c>
      <c r="J663" s="19" t="s">
        <v>146</v>
      </c>
      <c r="K663" s="14">
        <v>10.0</v>
      </c>
      <c r="L663" s="14">
        <v>0.0</v>
      </c>
      <c r="M663" s="25"/>
      <c r="N663" s="26" t="s">
        <v>21</v>
      </c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>
      <c r="A664" s="14" t="s">
        <v>2571</v>
      </c>
      <c r="B664" s="41" t="s">
        <v>2568</v>
      </c>
      <c r="C664" s="17" t="s">
        <v>2572</v>
      </c>
      <c r="D664" s="19" t="s">
        <v>2573</v>
      </c>
      <c r="E664" s="20" t="s">
        <v>104</v>
      </c>
      <c r="F664" s="21">
        <v>35106.0</v>
      </c>
      <c r="G664" s="14">
        <f t="shared" si="1"/>
        <v>30</v>
      </c>
      <c r="H664" s="23" t="s">
        <v>100</v>
      </c>
      <c r="I664" s="24" t="s">
        <v>33</v>
      </c>
      <c r="J664" s="19" t="s">
        <v>146</v>
      </c>
      <c r="K664" s="14">
        <v>10.0</v>
      </c>
      <c r="L664" s="14">
        <v>5.0</v>
      </c>
      <c r="M664" s="25"/>
      <c r="N664" s="26" t="s">
        <v>21</v>
      </c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>
      <c r="A665" s="14" t="s">
        <v>2574</v>
      </c>
      <c r="B665" s="41" t="s">
        <v>2568</v>
      </c>
      <c r="C665" s="17" t="s">
        <v>2575</v>
      </c>
      <c r="D665" s="19" t="s">
        <v>2576</v>
      </c>
      <c r="E665" s="20" t="s">
        <v>53</v>
      </c>
      <c r="F665" s="21">
        <v>35953.0</v>
      </c>
      <c r="G665" s="14">
        <f t="shared" si="1"/>
        <v>28</v>
      </c>
      <c r="H665" s="23" t="s">
        <v>100</v>
      </c>
      <c r="I665" s="24" t="s">
        <v>33</v>
      </c>
      <c r="J665" s="19" t="s">
        <v>146</v>
      </c>
      <c r="K665" s="14">
        <v>10.0</v>
      </c>
      <c r="L665" s="14">
        <v>0.0</v>
      </c>
      <c r="M665" s="25"/>
      <c r="N665" s="26" t="s">
        <v>21</v>
      </c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>
      <c r="A666" s="14" t="s">
        <v>2577</v>
      </c>
      <c r="B666" s="41" t="s">
        <v>2568</v>
      </c>
      <c r="C666" s="17" t="s">
        <v>2578</v>
      </c>
      <c r="D666" s="19" t="s">
        <v>2579</v>
      </c>
      <c r="E666" s="20" t="s">
        <v>104</v>
      </c>
      <c r="F666" s="21">
        <v>37691.0</v>
      </c>
      <c r="G666" s="14">
        <f t="shared" si="1"/>
        <v>23</v>
      </c>
      <c r="H666" s="23" t="s">
        <v>100</v>
      </c>
      <c r="I666" s="24" t="s">
        <v>27</v>
      </c>
      <c r="J666" s="19" t="s">
        <v>146</v>
      </c>
      <c r="K666" s="14">
        <v>10.0</v>
      </c>
      <c r="L666" s="14">
        <v>0.0</v>
      </c>
      <c r="M666" s="25"/>
      <c r="N666" s="26" t="s">
        <v>21</v>
      </c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>
      <c r="A667" s="14" t="s">
        <v>2580</v>
      </c>
      <c r="B667" s="41" t="s">
        <v>2568</v>
      </c>
      <c r="C667" s="17" t="s">
        <v>2581</v>
      </c>
      <c r="D667" s="19" t="s">
        <v>2582</v>
      </c>
      <c r="E667" s="20" t="s">
        <v>2583</v>
      </c>
      <c r="F667" s="21">
        <v>25333.0</v>
      </c>
      <c r="G667" s="14">
        <f t="shared" si="1"/>
        <v>57</v>
      </c>
      <c r="H667" s="23" t="s">
        <v>26</v>
      </c>
      <c r="I667" s="24" t="s">
        <v>33</v>
      </c>
      <c r="J667" s="19" t="s">
        <v>146</v>
      </c>
      <c r="K667" s="14">
        <v>10.0</v>
      </c>
      <c r="L667" s="14">
        <v>0.0</v>
      </c>
      <c r="M667" s="25"/>
      <c r="N667" s="26" t="s">
        <v>21</v>
      </c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>
      <c r="A668" s="14" t="s">
        <v>2584</v>
      </c>
      <c r="B668" s="41" t="s">
        <v>2568</v>
      </c>
      <c r="C668" s="17" t="s">
        <v>2585</v>
      </c>
      <c r="D668" s="19" t="s">
        <v>2586</v>
      </c>
      <c r="E668" s="20" t="s">
        <v>53</v>
      </c>
      <c r="F668" s="27">
        <v>28450.0</v>
      </c>
      <c r="G668" s="14">
        <f t="shared" si="1"/>
        <v>48</v>
      </c>
      <c r="H668" s="23" t="s">
        <v>26</v>
      </c>
      <c r="I668" s="24" t="s">
        <v>27</v>
      </c>
      <c r="J668" s="19" t="s">
        <v>146</v>
      </c>
      <c r="K668" s="14">
        <v>10.0</v>
      </c>
      <c r="L668" s="14">
        <v>0.0</v>
      </c>
      <c r="M668" s="25"/>
      <c r="N668" s="26" t="s">
        <v>21</v>
      </c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>
      <c r="A669" s="14" t="s">
        <v>2587</v>
      </c>
      <c r="B669" s="17" t="s">
        <v>2588</v>
      </c>
      <c r="C669" s="17" t="s">
        <v>2589</v>
      </c>
      <c r="D669" s="19" t="s">
        <v>2590</v>
      </c>
      <c r="E669" s="20" t="s">
        <v>138</v>
      </c>
      <c r="F669" s="27">
        <v>38714.0</v>
      </c>
      <c r="G669" s="14">
        <f t="shared" si="1"/>
        <v>20</v>
      </c>
      <c r="H669" s="23" t="s">
        <v>100</v>
      </c>
      <c r="I669" s="24" t="s">
        <v>27</v>
      </c>
      <c r="J669" s="19" t="s">
        <v>53</v>
      </c>
      <c r="K669" s="14">
        <v>29.0</v>
      </c>
      <c r="L669" s="14">
        <v>0.0</v>
      </c>
      <c r="M669" s="25"/>
      <c r="N669" s="26" t="s">
        <v>21</v>
      </c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>
      <c r="A670" s="14" t="s">
        <v>2591</v>
      </c>
      <c r="B670" s="17" t="s">
        <v>2588</v>
      </c>
      <c r="C670" s="17" t="s">
        <v>2592</v>
      </c>
      <c r="D670" s="19" t="s">
        <v>2593</v>
      </c>
      <c r="E670" s="20" t="s">
        <v>2594</v>
      </c>
      <c r="F670" s="27">
        <v>19642.0</v>
      </c>
      <c r="G670" s="14">
        <f t="shared" si="1"/>
        <v>73</v>
      </c>
      <c r="H670" s="23" t="s">
        <v>27</v>
      </c>
      <c r="I670" s="24" t="s">
        <v>27</v>
      </c>
      <c r="J670" s="19" t="s">
        <v>53</v>
      </c>
      <c r="K670" s="14">
        <v>29.0</v>
      </c>
      <c r="L670" s="14">
        <v>0.0</v>
      </c>
      <c r="M670" s="25"/>
      <c r="N670" s="26" t="s">
        <v>21</v>
      </c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>
      <c r="A671" s="14" t="s">
        <v>2595</v>
      </c>
      <c r="B671" s="17" t="s">
        <v>2588</v>
      </c>
      <c r="C671" s="17" t="s">
        <v>2596</v>
      </c>
      <c r="D671" s="19" t="s">
        <v>2597</v>
      </c>
      <c r="E671" s="20" t="s">
        <v>104</v>
      </c>
      <c r="F671" s="21">
        <v>30785.0</v>
      </c>
      <c r="G671" s="14">
        <f t="shared" si="1"/>
        <v>42</v>
      </c>
      <c r="H671" s="23" t="s">
        <v>26</v>
      </c>
      <c r="I671" s="24" t="s">
        <v>27</v>
      </c>
      <c r="J671" s="19" t="s">
        <v>53</v>
      </c>
      <c r="K671" s="14">
        <v>29.0</v>
      </c>
      <c r="L671" s="14">
        <v>0.0</v>
      </c>
      <c r="M671" s="25"/>
      <c r="N671" s="26" t="s">
        <v>21</v>
      </c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>
      <c r="A672" s="14" t="s">
        <v>2598</v>
      </c>
      <c r="B672" s="17" t="s">
        <v>2599</v>
      </c>
      <c r="C672" s="17" t="s">
        <v>2600</v>
      </c>
      <c r="D672" s="19" t="s">
        <v>2601</v>
      </c>
      <c r="E672" s="20" t="s">
        <v>53</v>
      </c>
      <c r="F672" s="21">
        <v>33994.0</v>
      </c>
      <c r="G672" s="14">
        <f t="shared" si="1"/>
        <v>33</v>
      </c>
      <c r="H672" s="23" t="s">
        <v>100</v>
      </c>
      <c r="I672" s="24" t="s">
        <v>27</v>
      </c>
      <c r="J672" s="19" t="s">
        <v>328</v>
      </c>
      <c r="K672" s="14">
        <v>22.0</v>
      </c>
      <c r="L672" s="14">
        <v>0.0</v>
      </c>
      <c r="M672" s="25"/>
      <c r="N672" s="26" t="s">
        <v>21</v>
      </c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>
      <c r="A673" s="14" t="s">
        <v>2602</v>
      </c>
      <c r="B673" s="17" t="s">
        <v>2603</v>
      </c>
      <c r="C673" s="17" t="s">
        <v>2604</v>
      </c>
      <c r="D673" s="19" t="s">
        <v>2605</v>
      </c>
      <c r="E673" s="20" t="s">
        <v>2606</v>
      </c>
      <c r="F673" s="27">
        <v>36160.0</v>
      </c>
      <c r="G673" s="14">
        <f t="shared" si="1"/>
        <v>27</v>
      </c>
      <c r="H673" s="23" t="s">
        <v>26</v>
      </c>
      <c r="I673" s="24" t="s">
        <v>27</v>
      </c>
      <c r="J673" s="19" t="s">
        <v>362</v>
      </c>
      <c r="K673" s="14">
        <v>22.0</v>
      </c>
      <c r="L673" s="14">
        <v>0.0</v>
      </c>
      <c r="M673" s="25"/>
      <c r="N673" s="26" t="s">
        <v>21</v>
      </c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>
      <c r="A674" s="14" t="s">
        <v>2607</v>
      </c>
      <c r="B674" s="17" t="s">
        <v>2603</v>
      </c>
      <c r="C674" s="17" t="s">
        <v>2608</v>
      </c>
      <c r="D674" s="19" t="s">
        <v>2609</v>
      </c>
      <c r="E674" s="20" t="s">
        <v>104</v>
      </c>
      <c r="F674" s="21">
        <v>35089.0</v>
      </c>
      <c r="G674" s="14">
        <f t="shared" si="1"/>
        <v>30</v>
      </c>
      <c r="H674" s="23" t="s">
        <v>26</v>
      </c>
      <c r="I674" s="24" t="s">
        <v>33</v>
      </c>
      <c r="J674" s="19" t="s">
        <v>362</v>
      </c>
      <c r="K674" s="14">
        <v>22.0</v>
      </c>
      <c r="L674" s="14">
        <v>0.0</v>
      </c>
      <c r="M674" s="25"/>
      <c r="N674" s="26" t="s">
        <v>21</v>
      </c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>
      <c r="A675" s="14" t="s">
        <v>2610</v>
      </c>
      <c r="B675" s="17" t="s">
        <v>2611</v>
      </c>
      <c r="C675" s="17" t="s">
        <v>2612</v>
      </c>
      <c r="D675" s="19" t="s">
        <v>1899</v>
      </c>
      <c r="E675" s="20" t="s">
        <v>2393</v>
      </c>
      <c r="F675" s="21">
        <v>20952.0</v>
      </c>
      <c r="G675" s="14">
        <f t="shared" si="1"/>
        <v>69</v>
      </c>
      <c r="H675" s="23" t="s">
        <v>26</v>
      </c>
      <c r="I675" s="24" t="s">
        <v>33</v>
      </c>
      <c r="J675" s="19" t="s">
        <v>53</v>
      </c>
      <c r="K675" s="14">
        <v>29.0</v>
      </c>
      <c r="L675" s="14">
        <v>0.0</v>
      </c>
      <c r="M675" s="25"/>
      <c r="N675" s="26" t="s">
        <v>21</v>
      </c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>
      <c r="A676" s="14" t="s">
        <v>2613</v>
      </c>
      <c r="B676" s="17" t="s">
        <v>2611</v>
      </c>
      <c r="C676" s="17" t="s">
        <v>2614</v>
      </c>
      <c r="D676" s="19" t="s">
        <v>2615</v>
      </c>
      <c r="E676" s="20" t="s">
        <v>1816</v>
      </c>
      <c r="F676" s="27">
        <v>21851.0</v>
      </c>
      <c r="G676" s="14">
        <f t="shared" si="1"/>
        <v>67</v>
      </c>
      <c r="H676" s="23" t="s">
        <v>26</v>
      </c>
      <c r="I676" s="24" t="s">
        <v>27</v>
      </c>
      <c r="J676" s="19" t="s">
        <v>53</v>
      </c>
      <c r="K676" s="14">
        <v>29.0</v>
      </c>
      <c r="L676" s="14">
        <v>0.0</v>
      </c>
      <c r="M676" s="25"/>
      <c r="N676" s="26" t="s">
        <v>21</v>
      </c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>
      <c r="A677" s="14" t="s">
        <v>2616</v>
      </c>
      <c r="B677" s="17" t="s">
        <v>2617</v>
      </c>
      <c r="C677" s="17" t="s">
        <v>2618</v>
      </c>
      <c r="D677" s="19" t="s">
        <v>2619</v>
      </c>
      <c r="E677" s="20" t="s">
        <v>632</v>
      </c>
      <c r="F677" s="21">
        <v>21200.0</v>
      </c>
      <c r="G677" s="14">
        <f t="shared" si="1"/>
        <v>68</v>
      </c>
      <c r="H677" s="23" t="s">
        <v>26</v>
      </c>
      <c r="I677" s="24" t="s">
        <v>27</v>
      </c>
      <c r="J677" s="19" t="s">
        <v>2620</v>
      </c>
      <c r="K677" s="14">
        <v>23.0</v>
      </c>
      <c r="L677" s="14">
        <v>0.0</v>
      </c>
      <c r="M677" s="25"/>
      <c r="N677" s="26" t="s">
        <v>21</v>
      </c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>
      <c r="A678" s="14" t="s">
        <v>2621</v>
      </c>
      <c r="B678" s="17" t="s">
        <v>2622</v>
      </c>
      <c r="C678" s="17" t="s">
        <v>2623</v>
      </c>
      <c r="D678" s="19" t="s">
        <v>2624</v>
      </c>
      <c r="E678" s="20" t="s">
        <v>2038</v>
      </c>
      <c r="F678" s="21">
        <v>35634.0</v>
      </c>
      <c r="G678" s="14">
        <f t="shared" si="1"/>
        <v>29</v>
      </c>
      <c r="H678" s="23" t="s">
        <v>27</v>
      </c>
      <c r="I678" s="24" t="s">
        <v>27</v>
      </c>
      <c r="J678" s="19" t="s">
        <v>146</v>
      </c>
      <c r="K678" s="14">
        <v>9.0</v>
      </c>
      <c r="L678" s="14">
        <v>0.0</v>
      </c>
      <c r="M678" s="25"/>
      <c r="N678" s="26" t="s">
        <v>21</v>
      </c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>
      <c r="A679" s="14" t="s">
        <v>2625</v>
      </c>
      <c r="B679" s="17" t="s">
        <v>2622</v>
      </c>
      <c r="C679" s="17" t="s">
        <v>2626</v>
      </c>
      <c r="D679" s="19" t="s">
        <v>1127</v>
      </c>
      <c r="E679" s="20" t="s">
        <v>749</v>
      </c>
      <c r="F679" s="27">
        <v>21913.0</v>
      </c>
      <c r="G679" s="14">
        <f t="shared" si="1"/>
        <v>66</v>
      </c>
      <c r="H679" s="23" t="s">
        <v>26</v>
      </c>
      <c r="I679" s="24" t="s">
        <v>27</v>
      </c>
      <c r="J679" s="19" t="s">
        <v>146</v>
      </c>
      <c r="K679" s="14">
        <v>9.0</v>
      </c>
      <c r="L679" s="14">
        <v>0.0</v>
      </c>
      <c r="M679" s="25"/>
      <c r="N679" s="26" t="s">
        <v>21</v>
      </c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>
      <c r="A680" s="14" t="s">
        <v>2627</v>
      </c>
      <c r="B680" s="17" t="s">
        <v>2622</v>
      </c>
      <c r="C680" s="17" t="s">
        <v>2628</v>
      </c>
      <c r="D680" s="19" t="s">
        <v>2629</v>
      </c>
      <c r="E680" s="20" t="s">
        <v>1049</v>
      </c>
      <c r="F680" s="21">
        <v>23924.0</v>
      </c>
      <c r="G680" s="14">
        <f t="shared" si="1"/>
        <v>61</v>
      </c>
      <c r="H680" s="23" t="s">
        <v>26</v>
      </c>
      <c r="I680" s="24" t="s">
        <v>33</v>
      </c>
      <c r="J680" s="19" t="s">
        <v>146</v>
      </c>
      <c r="K680" s="14">
        <v>9.0</v>
      </c>
      <c r="L680" s="14">
        <v>0.0</v>
      </c>
      <c r="M680" s="25"/>
      <c r="N680" s="26" t="s">
        <v>21</v>
      </c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>
      <c r="A681" s="14" t="s">
        <v>2630</v>
      </c>
      <c r="B681" s="17" t="s">
        <v>2631</v>
      </c>
      <c r="C681" s="17" t="s">
        <v>2632</v>
      </c>
      <c r="D681" s="19" t="s">
        <v>2633</v>
      </c>
      <c r="E681" s="20" t="s">
        <v>303</v>
      </c>
      <c r="F681" s="21">
        <v>20903.0</v>
      </c>
      <c r="G681" s="14">
        <f t="shared" si="1"/>
        <v>69</v>
      </c>
      <c r="H681" s="23" t="s">
        <v>26</v>
      </c>
      <c r="I681" s="24" t="s">
        <v>27</v>
      </c>
      <c r="J681" s="19" t="s">
        <v>282</v>
      </c>
      <c r="K681" s="14">
        <v>18.0</v>
      </c>
      <c r="L681" s="14">
        <v>0.0</v>
      </c>
      <c r="M681" s="25"/>
      <c r="N681" s="26" t="s">
        <v>21</v>
      </c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>
      <c r="A682" s="14" t="s">
        <v>2634</v>
      </c>
      <c r="B682" s="17" t="s">
        <v>2631</v>
      </c>
      <c r="C682" s="17" t="s">
        <v>2635</v>
      </c>
      <c r="D682" s="19" t="s">
        <v>2636</v>
      </c>
      <c r="E682" s="20" t="s">
        <v>67</v>
      </c>
      <c r="F682" s="21">
        <v>18629.0</v>
      </c>
      <c r="G682" s="14">
        <f t="shared" si="1"/>
        <v>75</v>
      </c>
      <c r="H682" s="23" t="s">
        <v>26</v>
      </c>
      <c r="I682" s="24" t="s">
        <v>33</v>
      </c>
      <c r="J682" s="19" t="s">
        <v>282</v>
      </c>
      <c r="K682" s="14">
        <v>18.0</v>
      </c>
      <c r="L682" s="14">
        <v>0.0</v>
      </c>
      <c r="M682" s="25"/>
      <c r="N682" s="26" t="s">
        <v>21</v>
      </c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>
      <c r="A683" s="14" t="s">
        <v>2637</v>
      </c>
      <c r="B683" s="17" t="s">
        <v>2638</v>
      </c>
      <c r="C683" s="17" t="s">
        <v>2639</v>
      </c>
      <c r="D683" s="19" t="s">
        <v>2640</v>
      </c>
      <c r="E683" s="20" t="s">
        <v>632</v>
      </c>
      <c r="F683" s="21">
        <v>19911.0</v>
      </c>
      <c r="G683" s="14">
        <f t="shared" si="1"/>
        <v>72</v>
      </c>
      <c r="H683" s="23" t="s">
        <v>26</v>
      </c>
      <c r="I683" s="24" t="s">
        <v>27</v>
      </c>
      <c r="J683" s="19" t="s">
        <v>104</v>
      </c>
      <c r="K683" s="14">
        <v>23.0</v>
      </c>
      <c r="L683" s="14">
        <v>1.0</v>
      </c>
      <c r="M683" s="25"/>
      <c r="N683" s="26" t="s">
        <v>21</v>
      </c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>
      <c r="A684" s="14" t="s">
        <v>2641</v>
      </c>
      <c r="B684" s="17" t="s">
        <v>2642</v>
      </c>
      <c r="C684" s="17" t="s">
        <v>2643</v>
      </c>
      <c r="D684" s="19" t="s">
        <v>2644</v>
      </c>
      <c r="E684" s="20" t="s">
        <v>104</v>
      </c>
      <c r="F684" s="21">
        <v>34070.0</v>
      </c>
      <c r="G684" s="14">
        <f t="shared" si="1"/>
        <v>33</v>
      </c>
      <c r="H684" s="23" t="s">
        <v>26</v>
      </c>
      <c r="I684" s="24" t="s">
        <v>27</v>
      </c>
      <c r="J684" s="19" t="s">
        <v>146</v>
      </c>
      <c r="K684" s="14">
        <v>7.0</v>
      </c>
      <c r="L684" s="14">
        <v>0.0</v>
      </c>
      <c r="M684" s="25"/>
      <c r="N684" s="26" t="s">
        <v>21</v>
      </c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>
      <c r="A685" s="14" t="s">
        <v>2645</v>
      </c>
      <c r="B685" s="17" t="s">
        <v>2642</v>
      </c>
      <c r="C685" s="17" t="s">
        <v>2646</v>
      </c>
      <c r="D685" s="19" t="s">
        <v>2647</v>
      </c>
      <c r="E685" s="20" t="s">
        <v>104</v>
      </c>
      <c r="F685" s="21">
        <v>32555.0</v>
      </c>
      <c r="G685" s="14">
        <f t="shared" si="1"/>
        <v>37</v>
      </c>
      <c r="H685" s="23" t="s">
        <v>26</v>
      </c>
      <c r="I685" s="24" t="s">
        <v>33</v>
      </c>
      <c r="J685" s="19" t="s">
        <v>146</v>
      </c>
      <c r="K685" s="14">
        <v>7.0</v>
      </c>
      <c r="L685" s="14">
        <v>0.0</v>
      </c>
      <c r="M685" s="25"/>
      <c r="N685" s="26" t="s">
        <v>21</v>
      </c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>
      <c r="A686" s="14" t="s">
        <v>2648</v>
      </c>
      <c r="B686" s="17" t="s">
        <v>2649</v>
      </c>
      <c r="C686" s="17" t="s">
        <v>2650</v>
      </c>
      <c r="D686" s="19" t="s">
        <v>2651</v>
      </c>
      <c r="E686" s="20" t="s">
        <v>104</v>
      </c>
      <c r="F686" s="21">
        <v>37454.0</v>
      </c>
      <c r="G686" s="14">
        <f t="shared" si="1"/>
        <v>24</v>
      </c>
      <c r="H686" s="23" t="s">
        <v>100</v>
      </c>
      <c r="I686" s="24" t="s">
        <v>33</v>
      </c>
      <c r="J686" s="19" t="s">
        <v>282</v>
      </c>
      <c r="K686" s="14">
        <v>11.0</v>
      </c>
      <c r="L686" s="14">
        <v>0.0</v>
      </c>
      <c r="M686" s="25"/>
      <c r="N686" s="26" t="s">
        <v>21</v>
      </c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>
      <c r="A687" s="14" t="s">
        <v>2652</v>
      </c>
      <c r="B687" s="17" t="s">
        <v>2649</v>
      </c>
      <c r="C687" s="17" t="s">
        <v>2653</v>
      </c>
      <c r="D687" s="19" t="s">
        <v>2654</v>
      </c>
      <c r="E687" s="20" t="s">
        <v>53</v>
      </c>
      <c r="F687" s="21">
        <v>29993.0</v>
      </c>
      <c r="G687" s="14">
        <f t="shared" si="1"/>
        <v>44</v>
      </c>
      <c r="H687" s="23" t="s">
        <v>26</v>
      </c>
      <c r="I687" s="24" t="s">
        <v>27</v>
      </c>
      <c r="J687" s="19" t="s">
        <v>282</v>
      </c>
      <c r="K687" s="14">
        <v>11.0</v>
      </c>
      <c r="L687" s="14">
        <v>0.0</v>
      </c>
      <c r="M687" s="25"/>
      <c r="N687" s="26" t="s">
        <v>21</v>
      </c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>
      <c r="A688" s="14" t="s">
        <v>2655</v>
      </c>
      <c r="B688" s="17" t="s">
        <v>2649</v>
      </c>
      <c r="C688" s="17" t="s">
        <v>2656</v>
      </c>
      <c r="D688" s="19" t="s">
        <v>2657</v>
      </c>
      <c r="E688" s="20" t="s">
        <v>702</v>
      </c>
      <c r="F688" s="21">
        <v>27861.0</v>
      </c>
      <c r="G688" s="14">
        <f t="shared" si="1"/>
        <v>50</v>
      </c>
      <c r="H688" s="23" t="s">
        <v>26</v>
      </c>
      <c r="I688" s="24" t="s">
        <v>33</v>
      </c>
      <c r="J688" s="19" t="s">
        <v>257</v>
      </c>
      <c r="K688" s="14">
        <v>11.0</v>
      </c>
      <c r="L688" s="14">
        <v>0.0</v>
      </c>
      <c r="M688" s="25"/>
      <c r="N688" s="26" t="s">
        <v>21</v>
      </c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>
      <c r="A689" s="14" t="s">
        <v>2658</v>
      </c>
      <c r="B689" s="17" t="s">
        <v>2659</v>
      </c>
      <c r="C689" s="17" t="s">
        <v>2660</v>
      </c>
      <c r="D689" s="19" t="s">
        <v>2661</v>
      </c>
      <c r="E689" s="20" t="s">
        <v>2113</v>
      </c>
      <c r="F689" s="21">
        <v>28349.0</v>
      </c>
      <c r="G689" s="14">
        <f t="shared" si="1"/>
        <v>49</v>
      </c>
      <c r="H689" s="23" t="s">
        <v>26</v>
      </c>
      <c r="I689" s="24" t="s">
        <v>27</v>
      </c>
      <c r="J689" s="19" t="s">
        <v>282</v>
      </c>
      <c r="K689" s="14">
        <v>16.0</v>
      </c>
      <c r="L689" s="14">
        <v>0.0</v>
      </c>
      <c r="M689" s="25"/>
      <c r="N689" s="26" t="s">
        <v>21</v>
      </c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>
      <c r="A690" s="14" t="s">
        <v>2662</v>
      </c>
      <c r="B690" s="17" t="s">
        <v>2659</v>
      </c>
      <c r="C690" s="17" t="s">
        <v>2663</v>
      </c>
      <c r="D690" s="19" t="s">
        <v>2664</v>
      </c>
      <c r="E690" s="20" t="s">
        <v>53</v>
      </c>
      <c r="F690" s="21">
        <v>38108.0</v>
      </c>
      <c r="G690" s="14">
        <f t="shared" si="1"/>
        <v>22</v>
      </c>
      <c r="H690" s="23" t="s">
        <v>100</v>
      </c>
      <c r="I690" s="24" t="s">
        <v>33</v>
      </c>
      <c r="J690" s="19" t="s">
        <v>282</v>
      </c>
      <c r="K690" s="14">
        <v>16.0</v>
      </c>
      <c r="L690" s="14">
        <v>0.0</v>
      </c>
      <c r="M690" s="25"/>
      <c r="N690" s="26" t="s">
        <v>21</v>
      </c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>
      <c r="A691" s="14" t="s">
        <v>2665</v>
      </c>
      <c r="B691" s="17" t="s">
        <v>2659</v>
      </c>
      <c r="C691" s="17" t="s">
        <v>2666</v>
      </c>
      <c r="D691" s="19" t="s">
        <v>2667</v>
      </c>
      <c r="E691" s="20" t="s">
        <v>544</v>
      </c>
      <c r="F691" s="21">
        <v>25763.0</v>
      </c>
      <c r="G691" s="14">
        <f t="shared" si="1"/>
        <v>56</v>
      </c>
      <c r="H691" s="23" t="s">
        <v>26</v>
      </c>
      <c r="I691" s="24" t="s">
        <v>33</v>
      </c>
      <c r="J691" s="19" t="s">
        <v>282</v>
      </c>
      <c r="K691" s="14">
        <v>16.0</v>
      </c>
      <c r="L691" s="14">
        <v>0.0</v>
      </c>
      <c r="M691" s="25"/>
      <c r="N691" s="26" t="s">
        <v>21</v>
      </c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>
      <c r="A692" s="14" t="s">
        <v>2668</v>
      </c>
      <c r="B692" s="17" t="s">
        <v>2669</v>
      </c>
      <c r="C692" s="17" t="s">
        <v>2670</v>
      </c>
      <c r="D692" s="19" t="s">
        <v>2671</v>
      </c>
      <c r="E692" s="20" t="s">
        <v>2672</v>
      </c>
      <c r="F692" s="21">
        <v>33752.0</v>
      </c>
      <c r="G692" s="14">
        <f t="shared" si="1"/>
        <v>34</v>
      </c>
      <c r="H692" s="23" t="s">
        <v>26</v>
      </c>
      <c r="I692" s="24" t="s">
        <v>33</v>
      </c>
      <c r="J692" s="19" t="s">
        <v>257</v>
      </c>
      <c r="K692" s="14">
        <v>17.0</v>
      </c>
      <c r="L692" s="14">
        <v>5.0</v>
      </c>
      <c r="M692" s="25"/>
      <c r="N692" s="26" t="s">
        <v>21</v>
      </c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>
      <c r="A693" s="14" t="s">
        <v>2673</v>
      </c>
      <c r="B693" s="17" t="s">
        <v>2669</v>
      </c>
      <c r="C693" s="17" t="s">
        <v>2674</v>
      </c>
      <c r="D693" s="19" t="s">
        <v>2675</v>
      </c>
      <c r="E693" s="20" t="s">
        <v>104</v>
      </c>
      <c r="F693" s="21">
        <v>35872.0</v>
      </c>
      <c r="G693" s="14">
        <f t="shared" si="1"/>
        <v>28</v>
      </c>
      <c r="H693" s="23" t="s">
        <v>26</v>
      </c>
      <c r="I693" s="24" t="s">
        <v>27</v>
      </c>
      <c r="J693" s="19" t="s">
        <v>257</v>
      </c>
      <c r="K693" s="14">
        <v>17.0</v>
      </c>
      <c r="L693" s="14">
        <v>0.0</v>
      </c>
      <c r="M693" s="25"/>
      <c r="N693" s="26" t="s">
        <v>21</v>
      </c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>
      <c r="A694" s="14" t="s">
        <v>2676</v>
      </c>
      <c r="B694" s="17" t="s">
        <v>2677</v>
      </c>
      <c r="C694" s="17" t="s">
        <v>2678</v>
      </c>
      <c r="D694" s="19" t="s">
        <v>2679</v>
      </c>
      <c r="E694" s="20" t="s">
        <v>2680</v>
      </c>
      <c r="F694" s="21">
        <v>33755.0</v>
      </c>
      <c r="G694" s="14">
        <f t="shared" si="1"/>
        <v>34</v>
      </c>
      <c r="H694" s="23" t="s">
        <v>27</v>
      </c>
      <c r="I694" s="24" t="s">
        <v>27</v>
      </c>
      <c r="J694" s="19" t="s">
        <v>68</v>
      </c>
      <c r="K694" s="14">
        <v>29.0</v>
      </c>
      <c r="L694" s="14">
        <v>0.0</v>
      </c>
      <c r="M694" s="25"/>
      <c r="N694" s="26" t="s">
        <v>21</v>
      </c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>
      <c r="A695" s="14" t="s">
        <v>2681</v>
      </c>
      <c r="B695" s="17" t="s">
        <v>2682</v>
      </c>
      <c r="C695" s="17" t="s">
        <v>2683</v>
      </c>
      <c r="D695" s="19" t="s">
        <v>2684</v>
      </c>
      <c r="E695" s="20" t="s">
        <v>2672</v>
      </c>
      <c r="F695" s="21">
        <v>23778.0</v>
      </c>
      <c r="G695" s="14">
        <f t="shared" si="1"/>
        <v>61</v>
      </c>
      <c r="H695" s="23" t="s">
        <v>27</v>
      </c>
      <c r="I695" s="24" t="s">
        <v>27</v>
      </c>
      <c r="J695" s="19" t="s">
        <v>2038</v>
      </c>
      <c r="K695" s="14">
        <v>2.0</v>
      </c>
      <c r="L695" s="14">
        <v>0.0</v>
      </c>
      <c r="M695" s="25"/>
      <c r="N695" s="26" t="s">
        <v>21</v>
      </c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>
      <c r="A696" s="14" t="s">
        <v>2685</v>
      </c>
      <c r="B696" s="17" t="s">
        <v>2686</v>
      </c>
      <c r="C696" s="17" t="s">
        <v>2687</v>
      </c>
      <c r="D696" s="19" t="s">
        <v>2688</v>
      </c>
      <c r="E696" s="20" t="s">
        <v>2689</v>
      </c>
      <c r="F696" s="21">
        <v>22885.0</v>
      </c>
      <c r="G696" s="14">
        <f t="shared" si="1"/>
        <v>64</v>
      </c>
      <c r="H696" s="23" t="s">
        <v>26</v>
      </c>
      <c r="I696" s="24" t="s">
        <v>33</v>
      </c>
      <c r="J696" s="19" t="s">
        <v>68</v>
      </c>
      <c r="K696" s="14">
        <v>29.0</v>
      </c>
      <c r="L696" s="14">
        <v>0.0</v>
      </c>
      <c r="M696" s="25"/>
      <c r="N696" s="26" t="s">
        <v>21</v>
      </c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>
      <c r="A697" s="14" t="s">
        <v>2690</v>
      </c>
      <c r="B697" s="17" t="s">
        <v>2686</v>
      </c>
      <c r="C697" s="17" t="s">
        <v>2691</v>
      </c>
      <c r="D697" s="19" t="s">
        <v>2692</v>
      </c>
      <c r="E697" s="20" t="s">
        <v>429</v>
      </c>
      <c r="F697" s="21">
        <v>26788.0</v>
      </c>
      <c r="G697" s="14">
        <f t="shared" si="1"/>
        <v>53</v>
      </c>
      <c r="H697" s="23" t="s">
        <v>26</v>
      </c>
      <c r="I697" s="24" t="s">
        <v>27</v>
      </c>
      <c r="J697" s="19" t="s">
        <v>68</v>
      </c>
      <c r="K697" s="14">
        <v>29.0</v>
      </c>
      <c r="L697" s="14">
        <v>0.0</v>
      </c>
      <c r="M697" s="25"/>
      <c r="N697" s="26" t="s">
        <v>21</v>
      </c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>
      <c r="A698" s="14" t="s">
        <v>2693</v>
      </c>
      <c r="B698" s="17" t="s">
        <v>2694</v>
      </c>
      <c r="C698" s="17" t="s">
        <v>2695</v>
      </c>
      <c r="D698" s="19" t="s">
        <v>2696</v>
      </c>
      <c r="E698" s="20" t="s">
        <v>104</v>
      </c>
      <c r="F698" s="21">
        <v>33332.0</v>
      </c>
      <c r="G698" s="14">
        <f t="shared" si="1"/>
        <v>35</v>
      </c>
      <c r="H698" s="23" t="s">
        <v>26</v>
      </c>
      <c r="I698" s="24" t="s">
        <v>27</v>
      </c>
      <c r="J698" s="19" t="s">
        <v>39</v>
      </c>
      <c r="K698" s="14">
        <v>15.0</v>
      </c>
      <c r="L698" s="14">
        <v>0.0</v>
      </c>
      <c r="M698" s="25"/>
      <c r="N698" s="26" t="s">
        <v>21</v>
      </c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>
      <c r="A699" s="14" t="s">
        <v>2697</v>
      </c>
      <c r="B699" s="17" t="s">
        <v>2694</v>
      </c>
      <c r="C699" s="17" t="s">
        <v>2698</v>
      </c>
      <c r="D699" s="19" t="s">
        <v>2699</v>
      </c>
      <c r="E699" s="20" t="s">
        <v>2700</v>
      </c>
      <c r="F699" s="27">
        <v>30270.0</v>
      </c>
      <c r="G699" s="14">
        <f t="shared" si="1"/>
        <v>43</v>
      </c>
      <c r="H699" s="23" t="s">
        <v>26</v>
      </c>
      <c r="I699" s="24" t="s">
        <v>33</v>
      </c>
      <c r="J699" s="19" t="s">
        <v>39</v>
      </c>
      <c r="K699" s="14">
        <v>15.0</v>
      </c>
      <c r="L699" s="14">
        <v>0.0</v>
      </c>
      <c r="M699" s="25"/>
      <c r="N699" s="26" t="s">
        <v>21</v>
      </c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>
      <c r="A700" s="14" t="s">
        <v>2701</v>
      </c>
      <c r="B700" s="17" t="s">
        <v>2702</v>
      </c>
      <c r="C700" s="17" t="s">
        <v>2703</v>
      </c>
      <c r="D700" s="19" t="s">
        <v>2704</v>
      </c>
      <c r="E700" s="20" t="s">
        <v>104</v>
      </c>
      <c r="F700" s="21">
        <v>31644.0</v>
      </c>
      <c r="G700" s="14">
        <f t="shared" si="1"/>
        <v>40</v>
      </c>
      <c r="H700" s="23" t="s">
        <v>26</v>
      </c>
      <c r="I700" s="24" t="s">
        <v>27</v>
      </c>
      <c r="J700" s="19" t="s">
        <v>726</v>
      </c>
      <c r="K700" s="14">
        <v>11.0</v>
      </c>
      <c r="L700" s="14">
        <v>0.0</v>
      </c>
      <c r="M700" s="25"/>
      <c r="N700" s="26" t="s">
        <v>21</v>
      </c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>
      <c r="A701" s="14" t="s">
        <v>2705</v>
      </c>
      <c r="B701" s="17" t="s">
        <v>2702</v>
      </c>
      <c r="C701" s="38" t="s">
        <v>2706</v>
      </c>
      <c r="D701" s="19" t="s">
        <v>2707</v>
      </c>
      <c r="E701" s="20" t="s">
        <v>337</v>
      </c>
      <c r="F701" s="21">
        <v>38722.0</v>
      </c>
      <c r="G701" s="14">
        <f t="shared" si="1"/>
        <v>20</v>
      </c>
      <c r="H701" s="23" t="s">
        <v>100</v>
      </c>
      <c r="I701" s="24" t="s">
        <v>27</v>
      </c>
      <c r="J701" s="19" t="s">
        <v>726</v>
      </c>
      <c r="K701" s="14">
        <v>11.0</v>
      </c>
      <c r="L701" s="14">
        <v>0.0</v>
      </c>
      <c r="M701" s="25"/>
      <c r="N701" s="26" t="s">
        <v>21</v>
      </c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>
      <c r="A702" s="14" t="s">
        <v>2708</v>
      </c>
      <c r="B702" s="17" t="s">
        <v>2702</v>
      </c>
      <c r="C702" s="38" t="s">
        <v>2709</v>
      </c>
      <c r="D702" s="19" t="s">
        <v>2710</v>
      </c>
      <c r="E702" s="20" t="s">
        <v>104</v>
      </c>
      <c r="F702" s="21">
        <v>30930.0</v>
      </c>
      <c r="G702" s="14">
        <f t="shared" si="1"/>
        <v>42</v>
      </c>
      <c r="H702" s="23" t="s">
        <v>26</v>
      </c>
      <c r="I702" s="24" t="s">
        <v>33</v>
      </c>
      <c r="J702" s="19" t="s">
        <v>726</v>
      </c>
      <c r="K702" s="14">
        <v>11.0</v>
      </c>
      <c r="L702" s="14">
        <v>0.0</v>
      </c>
      <c r="M702" s="25"/>
      <c r="N702" s="26" t="s">
        <v>21</v>
      </c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>
      <c r="A703" s="14" t="s">
        <v>2711</v>
      </c>
      <c r="B703" s="17" t="s">
        <v>2712</v>
      </c>
      <c r="C703" s="17" t="s">
        <v>2713</v>
      </c>
      <c r="D703" s="19" t="s">
        <v>2714</v>
      </c>
      <c r="E703" s="20" t="s">
        <v>104</v>
      </c>
      <c r="F703" s="21">
        <v>37165.0</v>
      </c>
      <c r="G703" s="14">
        <f t="shared" si="1"/>
        <v>25</v>
      </c>
      <c r="H703" s="23" t="s">
        <v>100</v>
      </c>
      <c r="I703" s="24" t="s">
        <v>33</v>
      </c>
      <c r="J703" s="19" t="s">
        <v>53</v>
      </c>
      <c r="K703" s="14">
        <v>15.0</v>
      </c>
      <c r="L703" s="14">
        <v>0.0</v>
      </c>
      <c r="M703" s="25"/>
      <c r="N703" s="26" t="s">
        <v>21</v>
      </c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>
      <c r="A704" s="14" t="s">
        <v>2715</v>
      </c>
      <c r="B704" s="17" t="s">
        <v>2712</v>
      </c>
      <c r="C704" s="17" t="s">
        <v>2716</v>
      </c>
      <c r="D704" s="19" t="s">
        <v>2717</v>
      </c>
      <c r="E704" s="20" t="s">
        <v>2718</v>
      </c>
      <c r="F704" s="21">
        <v>28345.0</v>
      </c>
      <c r="G704" s="14">
        <f t="shared" si="1"/>
        <v>49</v>
      </c>
      <c r="H704" s="23" t="s">
        <v>26</v>
      </c>
      <c r="I704" s="24" t="s">
        <v>33</v>
      </c>
      <c r="J704" s="19" t="s">
        <v>53</v>
      </c>
      <c r="K704" s="14">
        <v>15.0</v>
      </c>
      <c r="L704" s="14">
        <v>0.0</v>
      </c>
      <c r="M704" s="25"/>
      <c r="N704" s="26" t="s">
        <v>21</v>
      </c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>
      <c r="A705" s="14" t="s">
        <v>2719</v>
      </c>
      <c r="B705" s="17" t="s">
        <v>2712</v>
      </c>
      <c r="C705" s="17" t="s">
        <v>2720</v>
      </c>
      <c r="D705" s="19" t="s">
        <v>2721</v>
      </c>
      <c r="E705" s="20" t="s">
        <v>104</v>
      </c>
      <c r="F705" s="27">
        <v>30295.0</v>
      </c>
      <c r="G705" s="14">
        <f t="shared" si="1"/>
        <v>43</v>
      </c>
      <c r="H705" s="23" t="s">
        <v>26</v>
      </c>
      <c r="I705" s="24" t="s">
        <v>27</v>
      </c>
      <c r="J705" s="19" t="s">
        <v>53</v>
      </c>
      <c r="K705" s="14">
        <v>15.0</v>
      </c>
      <c r="L705" s="14">
        <v>0.0</v>
      </c>
      <c r="M705" s="25"/>
      <c r="N705" s="26" t="s">
        <v>21</v>
      </c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>
      <c r="A706" s="14" t="s">
        <v>2722</v>
      </c>
      <c r="B706" s="17" t="s">
        <v>2723</v>
      </c>
      <c r="C706" s="17" t="s">
        <v>2724</v>
      </c>
      <c r="D706" s="19" t="s">
        <v>2725</v>
      </c>
      <c r="E706" s="20" t="s">
        <v>1370</v>
      </c>
      <c r="F706" s="21">
        <v>20255.0</v>
      </c>
      <c r="G706" s="14">
        <f t="shared" si="1"/>
        <v>71</v>
      </c>
      <c r="H706" s="23" t="s">
        <v>27</v>
      </c>
      <c r="I706" s="24" t="s">
        <v>27</v>
      </c>
      <c r="J706" s="19" t="s">
        <v>726</v>
      </c>
      <c r="K706" s="14">
        <v>11.0</v>
      </c>
      <c r="L706" s="14">
        <v>0.0</v>
      </c>
      <c r="M706" s="25"/>
      <c r="N706" s="26" t="s">
        <v>21</v>
      </c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>
      <c r="A707" s="14" t="s">
        <v>2726</v>
      </c>
      <c r="B707" s="17" t="s">
        <v>2727</v>
      </c>
      <c r="C707" s="17" t="s">
        <v>2728</v>
      </c>
      <c r="D707" s="19" t="s">
        <v>2729</v>
      </c>
      <c r="E707" s="20" t="s">
        <v>2730</v>
      </c>
      <c r="F707" s="21">
        <v>32816.0</v>
      </c>
      <c r="G707" s="14">
        <f t="shared" si="1"/>
        <v>36</v>
      </c>
      <c r="H707" s="23" t="s">
        <v>26</v>
      </c>
      <c r="I707" s="24" t="s">
        <v>33</v>
      </c>
      <c r="J707" s="19" t="s">
        <v>53</v>
      </c>
      <c r="K707" s="14">
        <v>3.0</v>
      </c>
      <c r="L707" s="14">
        <v>0.0</v>
      </c>
      <c r="M707" s="25"/>
      <c r="N707" s="26" t="s">
        <v>21</v>
      </c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>
      <c r="A708" s="14" t="s">
        <v>2731</v>
      </c>
      <c r="B708" s="17" t="s">
        <v>2727</v>
      </c>
      <c r="C708" s="17" t="s">
        <v>2732</v>
      </c>
      <c r="D708" s="19" t="s">
        <v>2733</v>
      </c>
      <c r="E708" s="20" t="s">
        <v>2734</v>
      </c>
      <c r="F708" s="21">
        <v>33138.0</v>
      </c>
      <c r="G708" s="14">
        <f t="shared" si="1"/>
        <v>36</v>
      </c>
      <c r="H708" s="23" t="s">
        <v>26</v>
      </c>
      <c r="I708" s="24" t="s">
        <v>27</v>
      </c>
      <c r="J708" s="19" t="s">
        <v>53</v>
      </c>
      <c r="K708" s="14">
        <v>3.0</v>
      </c>
      <c r="L708" s="14">
        <v>0.0</v>
      </c>
      <c r="M708" s="25"/>
      <c r="N708" s="26" t="s">
        <v>21</v>
      </c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>
      <c r="A709" s="14" t="s">
        <v>2735</v>
      </c>
      <c r="B709" s="17" t="s">
        <v>2736</v>
      </c>
      <c r="C709" s="17" t="s">
        <v>2737</v>
      </c>
      <c r="D709" s="19" t="s">
        <v>2738</v>
      </c>
      <c r="E709" s="20" t="s">
        <v>53</v>
      </c>
      <c r="F709" s="21">
        <v>34973.0</v>
      </c>
      <c r="G709" s="14">
        <f t="shared" si="1"/>
        <v>31</v>
      </c>
      <c r="H709" s="23" t="s">
        <v>26</v>
      </c>
      <c r="I709" s="24" t="s">
        <v>27</v>
      </c>
      <c r="J709" s="19" t="s">
        <v>68</v>
      </c>
      <c r="K709" s="14">
        <v>28.0</v>
      </c>
      <c r="L709" s="14">
        <v>0.0</v>
      </c>
      <c r="M709" s="25"/>
      <c r="N709" s="26" t="s">
        <v>21</v>
      </c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>
      <c r="A710" s="14" t="s">
        <v>2739</v>
      </c>
      <c r="B710" s="17" t="s">
        <v>2736</v>
      </c>
      <c r="C710" s="17" t="s">
        <v>2740</v>
      </c>
      <c r="D710" s="19" t="s">
        <v>2741</v>
      </c>
      <c r="E710" s="20" t="s">
        <v>632</v>
      </c>
      <c r="F710" s="21">
        <v>31690.0</v>
      </c>
      <c r="G710" s="14">
        <f t="shared" si="1"/>
        <v>40</v>
      </c>
      <c r="H710" s="23" t="s">
        <v>26</v>
      </c>
      <c r="I710" s="24" t="s">
        <v>33</v>
      </c>
      <c r="J710" s="19" t="s">
        <v>68</v>
      </c>
      <c r="K710" s="14">
        <v>28.0</v>
      </c>
      <c r="L710" s="14">
        <v>0.0</v>
      </c>
      <c r="M710" s="25"/>
      <c r="N710" s="26" t="s">
        <v>21</v>
      </c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>
      <c r="A711" s="14" t="s">
        <v>2743</v>
      </c>
      <c r="B711" s="17" t="s">
        <v>2744</v>
      </c>
      <c r="C711" s="17" t="s">
        <v>2745</v>
      </c>
      <c r="D711" s="19" t="s">
        <v>2746</v>
      </c>
      <c r="E711" s="20" t="s">
        <v>274</v>
      </c>
      <c r="F711" s="21">
        <v>32330.0</v>
      </c>
      <c r="G711" s="14">
        <f t="shared" si="1"/>
        <v>38</v>
      </c>
      <c r="H711" s="23" t="s">
        <v>26</v>
      </c>
      <c r="I711" s="24" t="s">
        <v>33</v>
      </c>
      <c r="J711" s="19" t="s">
        <v>362</v>
      </c>
      <c r="K711" s="14">
        <v>10.0</v>
      </c>
      <c r="L711" s="14">
        <v>0.0</v>
      </c>
      <c r="M711" s="25"/>
      <c r="N711" s="26" t="s">
        <v>21</v>
      </c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>
      <c r="A712" s="14" t="s">
        <v>2748</v>
      </c>
      <c r="B712" s="17" t="s">
        <v>2744</v>
      </c>
      <c r="C712" s="17" t="s">
        <v>2749</v>
      </c>
      <c r="D712" s="19" t="s">
        <v>2750</v>
      </c>
      <c r="E712" s="20" t="s">
        <v>104</v>
      </c>
      <c r="F712" s="21">
        <v>34192.0</v>
      </c>
      <c r="G712" s="14">
        <f t="shared" si="1"/>
        <v>33</v>
      </c>
      <c r="H712" s="23" t="s">
        <v>26</v>
      </c>
      <c r="I712" s="24" t="s">
        <v>27</v>
      </c>
      <c r="J712" s="19" t="s">
        <v>362</v>
      </c>
      <c r="K712" s="14">
        <v>10.0</v>
      </c>
      <c r="L712" s="14">
        <v>0.0</v>
      </c>
      <c r="M712" s="25"/>
      <c r="N712" s="26" t="s">
        <v>21</v>
      </c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>
      <c r="A713" s="14" t="s">
        <v>2751</v>
      </c>
      <c r="B713" s="17" t="s">
        <v>2752</v>
      </c>
      <c r="C713" s="17" t="s">
        <v>2753</v>
      </c>
      <c r="D713" s="19" t="s">
        <v>2754</v>
      </c>
      <c r="E713" s="20" t="s">
        <v>104</v>
      </c>
      <c r="F713" s="21">
        <v>30716.0</v>
      </c>
      <c r="G713" s="14">
        <f t="shared" si="1"/>
        <v>42</v>
      </c>
      <c r="H713" s="23" t="s">
        <v>26</v>
      </c>
      <c r="I713" s="24" t="s">
        <v>33</v>
      </c>
      <c r="J713" s="19" t="s">
        <v>362</v>
      </c>
      <c r="K713" s="14">
        <v>31.0</v>
      </c>
      <c r="L713" s="14">
        <v>0.0</v>
      </c>
      <c r="M713" s="25"/>
      <c r="N713" s="26" t="s">
        <v>21</v>
      </c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>
      <c r="A714" s="14" t="s">
        <v>2755</v>
      </c>
      <c r="B714" s="17" t="s">
        <v>2752</v>
      </c>
      <c r="C714" s="17" t="s">
        <v>2756</v>
      </c>
      <c r="D714" s="19" t="s">
        <v>2757</v>
      </c>
      <c r="E714" s="20" t="s">
        <v>104</v>
      </c>
      <c r="F714" s="21">
        <v>29266.0</v>
      </c>
      <c r="G714" s="14">
        <f t="shared" si="1"/>
        <v>46</v>
      </c>
      <c r="H714" s="23" t="s">
        <v>26</v>
      </c>
      <c r="I714" s="24" t="s">
        <v>27</v>
      </c>
      <c r="J714" s="19" t="s">
        <v>362</v>
      </c>
      <c r="K714" s="14">
        <v>31.0</v>
      </c>
      <c r="L714" s="14">
        <v>0.0</v>
      </c>
      <c r="M714" s="25"/>
      <c r="N714" s="26" t="s">
        <v>21</v>
      </c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>
      <c r="A715" s="14" t="s">
        <v>2758</v>
      </c>
      <c r="B715" s="17" t="s">
        <v>2759</v>
      </c>
      <c r="C715" s="17" t="s">
        <v>2760</v>
      </c>
      <c r="D715" s="19" t="s">
        <v>2761</v>
      </c>
      <c r="E715" s="20" t="s">
        <v>337</v>
      </c>
      <c r="F715" s="21">
        <v>37459.0</v>
      </c>
      <c r="G715" s="14">
        <f t="shared" si="1"/>
        <v>24</v>
      </c>
      <c r="H715" s="23" t="s">
        <v>26</v>
      </c>
      <c r="I715" s="24" t="s">
        <v>27</v>
      </c>
      <c r="J715" s="19" t="s">
        <v>2762</v>
      </c>
      <c r="K715" s="14">
        <v>11.0</v>
      </c>
      <c r="L715" s="14">
        <v>0.0</v>
      </c>
      <c r="M715" s="25"/>
      <c r="N715" s="26" t="s">
        <v>21</v>
      </c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>
      <c r="A716" s="14" t="s">
        <v>2763</v>
      </c>
      <c r="B716" s="17" t="s">
        <v>2759</v>
      </c>
      <c r="C716" s="17" t="s">
        <v>2764</v>
      </c>
      <c r="D716" s="19" t="s">
        <v>2765</v>
      </c>
      <c r="E716" s="20" t="s">
        <v>104</v>
      </c>
      <c r="F716" s="21">
        <v>37061.0</v>
      </c>
      <c r="G716" s="14">
        <f t="shared" si="1"/>
        <v>25</v>
      </c>
      <c r="H716" s="23" t="s">
        <v>26</v>
      </c>
      <c r="I716" s="24" t="s">
        <v>33</v>
      </c>
      <c r="J716" s="19" t="s">
        <v>2762</v>
      </c>
      <c r="K716" s="14">
        <v>11.0</v>
      </c>
      <c r="L716" s="14">
        <v>0.0</v>
      </c>
      <c r="M716" s="25"/>
      <c r="N716" s="26" t="s">
        <v>21</v>
      </c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>
      <c r="A717" s="14" t="s">
        <v>2766</v>
      </c>
      <c r="B717" s="17" t="s">
        <v>2767</v>
      </c>
      <c r="C717" s="17" t="s">
        <v>2768</v>
      </c>
      <c r="D717" s="19" t="s">
        <v>2769</v>
      </c>
      <c r="E717" s="20" t="s">
        <v>274</v>
      </c>
      <c r="F717" s="21">
        <v>34402.0</v>
      </c>
      <c r="G717" s="14">
        <f t="shared" si="1"/>
        <v>32</v>
      </c>
      <c r="H717" s="23" t="s">
        <v>26</v>
      </c>
      <c r="I717" s="24" t="s">
        <v>33</v>
      </c>
      <c r="J717" s="19" t="s">
        <v>282</v>
      </c>
      <c r="K717" s="14">
        <v>16.0</v>
      </c>
      <c r="L717" s="14">
        <v>0.0</v>
      </c>
      <c r="M717" s="25"/>
      <c r="N717" s="26" t="s">
        <v>21</v>
      </c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>
      <c r="A718" s="14" t="s">
        <v>2770</v>
      </c>
      <c r="B718" s="17" t="s">
        <v>2767</v>
      </c>
      <c r="C718" s="17" t="s">
        <v>2771</v>
      </c>
      <c r="D718" s="19" t="s">
        <v>2772</v>
      </c>
      <c r="E718" s="20" t="s">
        <v>2773</v>
      </c>
      <c r="F718" s="21">
        <v>34907.0</v>
      </c>
      <c r="G718" s="14">
        <f t="shared" si="1"/>
        <v>31</v>
      </c>
      <c r="H718" s="23" t="s">
        <v>26</v>
      </c>
      <c r="I718" s="24" t="s">
        <v>27</v>
      </c>
      <c r="J718" s="19" t="s">
        <v>282</v>
      </c>
      <c r="K718" s="14">
        <v>16.0</v>
      </c>
      <c r="L718" s="14">
        <v>0.0</v>
      </c>
      <c r="M718" s="25"/>
      <c r="N718" s="26" t="s">
        <v>21</v>
      </c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>
      <c r="A719" s="14" t="s">
        <v>2774</v>
      </c>
      <c r="B719" s="17" t="s">
        <v>2775</v>
      </c>
      <c r="C719" s="17" t="s">
        <v>2776</v>
      </c>
      <c r="D719" s="19" t="s">
        <v>2777</v>
      </c>
      <c r="E719" s="20" t="s">
        <v>2778</v>
      </c>
      <c r="F719" s="27">
        <v>39075.0</v>
      </c>
      <c r="G719" s="14">
        <f t="shared" si="1"/>
        <v>19</v>
      </c>
      <c r="H719" s="23" t="s">
        <v>100</v>
      </c>
      <c r="I719" s="24" t="s">
        <v>27</v>
      </c>
      <c r="J719" s="19" t="s">
        <v>68</v>
      </c>
      <c r="K719" s="14">
        <v>32.0</v>
      </c>
      <c r="L719" s="14">
        <v>0.0</v>
      </c>
      <c r="M719" s="25"/>
      <c r="N719" s="26" t="s">
        <v>21</v>
      </c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>
      <c r="A720" s="14" t="s">
        <v>2779</v>
      </c>
      <c r="B720" s="17" t="s">
        <v>2775</v>
      </c>
      <c r="C720" s="17" t="s">
        <v>2780</v>
      </c>
      <c r="D720" s="19" t="s">
        <v>2781</v>
      </c>
      <c r="E720" s="20" t="s">
        <v>104</v>
      </c>
      <c r="F720" s="21">
        <v>30900.0</v>
      </c>
      <c r="G720" s="14">
        <f t="shared" si="1"/>
        <v>42</v>
      </c>
      <c r="H720" s="23" t="s">
        <v>26</v>
      </c>
      <c r="I720" s="24" t="s">
        <v>33</v>
      </c>
      <c r="J720" s="19" t="s">
        <v>68</v>
      </c>
      <c r="K720" s="14">
        <v>32.0</v>
      </c>
      <c r="L720" s="14">
        <v>0.0</v>
      </c>
      <c r="M720" s="25"/>
      <c r="N720" s="26" t="s">
        <v>21</v>
      </c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>
      <c r="A721" s="14" t="s">
        <v>2782</v>
      </c>
      <c r="B721" s="17" t="s">
        <v>2775</v>
      </c>
      <c r="C721" s="17" t="s">
        <v>2783</v>
      </c>
      <c r="D721" s="19" t="s">
        <v>2784</v>
      </c>
      <c r="E721" s="20" t="s">
        <v>2778</v>
      </c>
      <c r="F721" s="21">
        <v>31138.0</v>
      </c>
      <c r="G721" s="14">
        <f t="shared" si="1"/>
        <v>41</v>
      </c>
      <c r="H721" s="23" t="s">
        <v>26</v>
      </c>
      <c r="I721" s="24" t="s">
        <v>27</v>
      </c>
      <c r="J721" s="19" t="s">
        <v>68</v>
      </c>
      <c r="K721" s="14">
        <v>32.0</v>
      </c>
      <c r="L721" s="14">
        <v>0.0</v>
      </c>
      <c r="M721" s="25"/>
      <c r="N721" s="26" t="s">
        <v>21</v>
      </c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>
      <c r="A722" s="14" t="s">
        <v>2785</v>
      </c>
      <c r="B722" s="17" t="s">
        <v>2786</v>
      </c>
      <c r="C722" s="17" t="s">
        <v>2787</v>
      </c>
      <c r="D722" s="19" t="s">
        <v>2788</v>
      </c>
      <c r="E722" s="20" t="s">
        <v>337</v>
      </c>
      <c r="F722" s="27">
        <v>37973.0</v>
      </c>
      <c r="G722" s="14">
        <f t="shared" si="1"/>
        <v>22</v>
      </c>
      <c r="H722" s="23" t="s">
        <v>100</v>
      </c>
      <c r="I722" s="24" t="s">
        <v>27</v>
      </c>
      <c r="J722" s="19" t="s">
        <v>53</v>
      </c>
      <c r="K722" s="14">
        <v>28.0</v>
      </c>
      <c r="L722" s="14">
        <v>0.0</v>
      </c>
      <c r="M722" s="25"/>
      <c r="N722" s="26" t="s">
        <v>21</v>
      </c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>
      <c r="A723" s="14" t="s">
        <v>2789</v>
      </c>
      <c r="B723" s="17" t="s">
        <v>2786</v>
      </c>
      <c r="C723" s="17" t="s">
        <v>2790</v>
      </c>
      <c r="D723" s="19" t="s">
        <v>2791</v>
      </c>
      <c r="E723" s="20" t="s">
        <v>337</v>
      </c>
      <c r="F723" s="27">
        <v>36483.0</v>
      </c>
      <c r="G723" s="14">
        <f t="shared" si="1"/>
        <v>26</v>
      </c>
      <c r="H723" s="23" t="s">
        <v>100</v>
      </c>
      <c r="I723" s="24" t="s">
        <v>33</v>
      </c>
      <c r="J723" s="19" t="s">
        <v>53</v>
      </c>
      <c r="K723" s="14">
        <v>28.0</v>
      </c>
      <c r="L723" s="14">
        <v>0.0</v>
      </c>
      <c r="M723" s="25"/>
      <c r="N723" s="26" t="s">
        <v>21</v>
      </c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>
      <c r="A724" s="14" t="s">
        <v>2792</v>
      </c>
      <c r="B724" s="17" t="s">
        <v>2786</v>
      </c>
      <c r="C724" s="17" t="s">
        <v>2793</v>
      </c>
      <c r="D724" s="19" t="s">
        <v>2794</v>
      </c>
      <c r="E724" s="20" t="s">
        <v>2795</v>
      </c>
      <c r="F724" s="21">
        <v>27299.0</v>
      </c>
      <c r="G724" s="14">
        <f t="shared" si="1"/>
        <v>52</v>
      </c>
      <c r="H724" s="23" t="s">
        <v>26</v>
      </c>
      <c r="I724" s="24" t="s">
        <v>33</v>
      </c>
      <c r="J724" s="19" t="s">
        <v>53</v>
      </c>
      <c r="K724" s="14">
        <v>28.0</v>
      </c>
      <c r="L724" s="14">
        <v>0.0</v>
      </c>
      <c r="M724" s="25"/>
      <c r="N724" s="26" t="s">
        <v>21</v>
      </c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>
      <c r="A725" s="14" t="s">
        <v>2796</v>
      </c>
      <c r="B725" s="17" t="s">
        <v>2786</v>
      </c>
      <c r="C725" s="17" t="s">
        <v>2797</v>
      </c>
      <c r="D725" s="19" t="s">
        <v>2798</v>
      </c>
      <c r="E725" s="20" t="s">
        <v>104</v>
      </c>
      <c r="F725" s="21">
        <v>27518.0</v>
      </c>
      <c r="G725" s="14">
        <f t="shared" si="1"/>
        <v>51</v>
      </c>
      <c r="H725" s="23" t="s">
        <v>26</v>
      </c>
      <c r="I725" s="24" t="s">
        <v>27</v>
      </c>
      <c r="J725" s="19" t="s">
        <v>53</v>
      </c>
      <c r="K725" s="14">
        <v>28.0</v>
      </c>
      <c r="L725" s="14">
        <v>0.0</v>
      </c>
      <c r="M725" s="25"/>
      <c r="N725" s="26" t="s">
        <v>21</v>
      </c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>
      <c r="A726" s="14" t="s">
        <v>2799</v>
      </c>
      <c r="B726" s="17" t="s">
        <v>2800</v>
      </c>
      <c r="C726" s="17" t="s">
        <v>2801</v>
      </c>
      <c r="D726" s="19" t="s">
        <v>2802</v>
      </c>
      <c r="E726" s="20" t="s">
        <v>632</v>
      </c>
      <c r="F726" s="21">
        <v>24014.0</v>
      </c>
      <c r="G726" s="14">
        <f t="shared" si="1"/>
        <v>61</v>
      </c>
      <c r="H726" s="23" t="s">
        <v>26</v>
      </c>
      <c r="I726" s="24" t="s">
        <v>27</v>
      </c>
      <c r="J726" s="19" t="s">
        <v>328</v>
      </c>
      <c r="K726" s="14">
        <v>20.0</v>
      </c>
      <c r="L726" s="14">
        <v>0.0</v>
      </c>
      <c r="M726" s="25"/>
      <c r="N726" s="26" t="s">
        <v>21</v>
      </c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>
      <c r="A727" s="14" t="s">
        <v>2803</v>
      </c>
      <c r="B727" s="17" t="s">
        <v>2800</v>
      </c>
      <c r="C727" s="17" t="s">
        <v>2804</v>
      </c>
      <c r="D727" s="19" t="s">
        <v>2805</v>
      </c>
      <c r="E727" s="20" t="s">
        <v>632</v>
      </c>
      <c r="F727" s="21">
        <v>22020.0</v>
      </c>
      <c r="G727" s="14">
        <f t="shared" si="1"/>
        <v>66</v>
      </c>
      <c r="H727" s="23" t="s">
        <v>26</v>
      </c>
      <c r="I727" s="24" t="s">
        <v>33</v>
      </c>
      <c r="J727" s="19" t="s">
        <v>328</v>
      </c>
      <c r="K727" s="14">
        <v>20.0</v>
      </c>
      <c r="L727" s="14">
        <v>0.0</v>
      </c>
      <c r="M727" s="25"/>
      <c r="N727" s="26" t="s">
        <v>21</v>
      </c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>
      <c r="A728" s="14" t="s">
        <v>2806</v>
      </c>
      <c r="B728" s="17" t="s">
        <v>2807</v>
      </c>
      <c r="C728" s="17" t="s">
        <v>2808</v>
      </c>
      <c r="D728" s="19" t="s">
        <v>2809</v>
      </c>
      <c r="E728" s="20" t="s">
        <v>666</v>
      </c>
      <c r="F728" s="21">
        <v>26842.0</v>
      </c>
      <c r="G728" s="14">
        <f t="shared" si="1"/>
        <v>53</v>
      </c>
      <c r="H728" s="23" t="s">
        <v>26</v>
      </c>
      <c r="I728" s="24" t="s">
        <v>33</v>
      </c>
      <c r="J728" s="19" t="s">
        <v>58</v>
      </c>
      <c r="K728" s="14">
        <v>8.0</v>
      </c>
      <c r="L728" s="14">
        <v>0.0</v>
      </c>
      <c r="M728" s="25"/>
      <c r="N728" s="26" t="s">
        <v>21</v>
      </c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>
      <c r="A729" s="14" t="s">
        <v>2810</v>
      </c>
      <c r="B729" s="17" t="s">
        <v>2807</v>
      </c>
      <c r="C729" s="17" t="s">
        <v>2811</v>
      </c>
      <c r="D729" s="19" t="s">
        <v>2812</v>
      </c>
      <c r="E729" s="20" t="s">
        <v>138</v>
      </c>
      <c r="F729" s="21">
        <v>29741.0</v>
      </c>
      <c r="G729" s="14">
        <f t="shared" si="1"/>
        <v>45</v>
      </c>
      <c r="H729" s="23" t="s">
        <v>26</v>
      </c>
      <c r="I729" s="24" t="s">
        <v>27</v>
      </c>
      <c r="J729" s="19" t="s">
        <v>58</v>
      </c>
      <c r="K729" s="14">
        <v>8.0</v>
      </c>
      <c r="L729" s="14">
        <v>0.0</v>
      </c>
      <c r="M729" s="25"/>
      <c r="N729" s="26" t="s">
        <v>21</v>
      </c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>
      <c r="A730" s="14" t="s">
        <v>2813</v>
      </c>
      <c r="B730" s="17" t="s">
        <v>2807</v>
      </c>
      <c r="C730" s="17" t="s">
        <v>2814</v>
      </c>
      <c r="D730" s="19" t="s">
        <v>2815</v>
      </c>
      <c r="E730" s="20" t="s">
        <v>53</v>
      </c>
      <c r="F730" s="21">
        <v>37666.0</v>
      </c>
      <c r="G730" s="14">
        <f t="shared" si="1"/>
        <v>23</v>
      </c>
      <c r="H730" s="23" t="s">
        <v>100</v>
      </c>
      <c r="I730" s="24" t="s">
        <v>33</v>
      </c>
      <c r="J730" s="19" t="s">
        <v>58</v>
      </c>
      <c r="K730" s="14">
        <v>8.0</v>
      </c>
      <c r="L730" s="14">
        <v>0.0</v>
      </c>
      <c r="M730" s="25"/>
      <c r="N730" s="26" t="s">
        <v>21</v>
      </c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>
      <c r="A731" s="14" t="s">
        <v>2816</v>
      </c>
      <c r="B731" s="17" t="s">
        <v>2817</v>
      </c>
      <c r="C731" s="17" t="s">
        <v>2818</v>
      </c>
      <c r="D731" s="19" t="s">
        <v>2819</v>
      </c>
      <c r="E731" s="20" t="s">
        <v>2393</v>
      </c>
      <c r="F731" s="27">
        <v>27726.0</v>
      </c>
      <c r="G731" s="14">
        <f t="shared" si="1"/>
        <v>50</v>
      </c>
      <c r="H731" s="23" t="s">
        <v>26</v>
      </c>
      <c r="I731" s="24" t="s">
        <v>33</v>
      </c>
      <c r="J731" s="19" t="s">
        <v>53</v>
      </c>
      <c r="K731" s="14">
        <v>16.0</v>
      </c>
      <c r="L731" s="14">
        <v>0.0</v>
      </c>
      <c r="M731" s="25"/>
      <c r="N731" s="26" t="s">
        <v>21</v>
      </c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>
      <c r="A732" s="14" t="s">
        <v>2820</v>
      </c>
      <c r="B732" s="17" t="s">
        <v>2817</v>
      </c>
      <c r="C732" s="17" t="s">
        <v>2821</v>
      </c>
      <c r="D732" s="19" t="s">
        <v>2822</v>
      </c>
      <c r="E732" s="20" t="s">
        <v>104</v>
      </c>
      <c r="F732" s="27">
        <v>36507.0</v>
      </c>
      <c r="G732" s="14">
        <f t="shared" si="1"/>
        <v>26</v>
      </c>
      <c r="H732" s="23" t="s">
        <v>100</v>
      </c>
      <c r="I732" s="24" t="s">
        <v>33</v>
      </c>
      <c r="J732" s="19" t="s">
        <v>53</v>
      </c>
      <c r="K732" s="14">
        <v>16.0</v>
      </c>
      <c r="L732" s="14">
        <v>0.0</v>
      </c>
      <c r="M732" s="25"/>
      <c r="N732" s="26" t="s">
        <v>21</v>
      </c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>
      <c r="A733" s="14" t="s">
        <v>2823</v>
      </c>
      <c r="B733" s="17" t="s">
        <v>2817</v>
      </c>
      <c r="C733" s="17" t="s">
        <v>2824</v>
      </c>
      <c r="D733" s="19" t="s">
        <v>2825</v>
      </c>
      <c r="E733" s="20" t="s">
        <v>104</v>
      </c>
      <c r="F733" s="21">
        <v>29896.0</v>
      </c>
      <c r="G733" s="14">
        <f t="shared" si="1"/>
        <v>44</v>
      </c>
      <c r="H733" s="23" t="s">
        <v>26</v>
      </c>
      <c r="I733" s="24" t="s">
        <v>27</v>
      </c>
      <c r="J733" s="19" t="s">
        <v>53</v>
      </c>
      <c r="K733" s="14">
        <v>16.0</v>
      </c>
      <c r="L733" s="14">
        <v>0.0</v>
      </c>
      <c r="M733" s="25"/>
      <c r="N733" s="26" t="s">
        <v>21</v>
      </c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>
      <c r="A734" s="14" t="s">
        <v>2826</v>
      </c>
      <c r="B734" s="17" t="s">
        <v>2827</v>
      </c>
      <c r="C734" s="17" t="s">
        <v>2828</v>
      </c>
      <c r="D734" s="19" t="s">
        <v>2829</v>
      </c>
      <c r="E734" s="20" t="s">
        <v>53</v>
      </c>
      <c r="F734" s="21">
        <v>29492.0</v>
      </c>
      <c r="G734" s="14">
        <f t="shared" si="1"/>
        <v>46</v>
      </c>
      <c r="H734" s="23" t="s">
        <v>26</v>
      </c>
      <c r="I734" s="24" t="s">
        <v>33</v>
      </c>
      <c r="J734" s="19" t="s">
        <v>362</v>
      </c>
      <c r="K734" s="14">
        <v>19.0</v>
      </c>
      <c r="L734" s="14">
        <v>0.0</v>
      </c>
      <c r="M734" s="25"/>
      <c r="N734" s="26" t="s">
        <v>21</v>
      </c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>
      <c r="A735" s="14" t="s">
        <v>2830</v>
      </c>
      <c r="B735" s="17" t="s">
        <v>2827</v>
      </c>
      <c r="C735" s="17" t="s">
        <v>2831</v>
      </c>
      <c r="D735" s="19" t="s">
        <v>2832</v>
      </c>
      <c r="E735" s="20" t="s">
        <v>53</v>
      </c>
      <c r="F735" s="21">
        <v>39336.0</v>
      </c>
      <c r="G735" s="14">
        <f t="shared" si="1"/>
        <v>19</v>
      </c>
      <c r="H735" s="23" t="s">
        <v>100</v>
      </c>
      <c r="I735" s="24" t="s">
        <v>33</v>
      </c>
      <c r="J735" s="19" t="s">
        <v>362</v>
      </c>
      <c r="K735" s="14">
        <v>19.0</v>
      </c>
      <c r="L735" s="14">
        <v>0.0</v>
      </c>
      <c r="M735" s="25"/>
      <c r="N735" s="26" t="s">
        <v>21</v>
      </c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>
      <c r="A736" s="14" t="s">
        <v>2833</v>
      </c>
      <c r="B736" s="17" t="s">
        <v>2827</v>
      </c>
      <c r="C736" s="17" t="s">
        <v>2834</v>
      </c>
      <c r="D736" s="19" t="s">
        <v>2835</v>
      </c>
      <c r="E736" s="20" t="s">
        <v>1058</v>
      </c>
      <c r="F736" s="21">
        <v>31283.0</v>
      </c>
      <c r="G736" s="14">
        <f t="shared" si="1"/>
        <v>41</v>
      </c>
      <c r="H736" s="23" t="s">
        <v>26</v>
      </c>
      <c r="I736" s="24" t="s">
        <v>27</v>
      </c>
      <c r="J736" s="19" t="s">
        <v>362</v>
      </c>
      <c r="K736" s="14">
        <v>19.0</v>
      </c>
      <c r="L736" s="14">
        <v>0.0</v>
      </c>
      <c r="M736" s="25"/>
      <c r="N736" s="26" t="s">
        <v>21</v>
      </c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>
      <c r="A737" s="14" t="s">
        <v>2836</v>
      </c>
      <c r="B737" s="17" t="s">
        <v>2837</v>
      </c>
      <c r="C737" s="17" t="s">
        <v>2838</v>
      </c>
      <c r="D737" s="19" t="s">
        <v>2839</v>
      </c>
      <c r="E737" s="20" t="s">
        <v>53</v>
      </c>
      <c r="F737" s="21">
        <v>28801.0</v>
      </c>
      <c r="G737" s="14">
        <f t="shared" si="1"/>
        <v>47</v>
      </c>
      <c r="H737" s="23" t="s">
        <v>26</v>
      </c>
      <c r="I737" s="24" t="s">
        <v>33</v>
      </c>
      <c r="J737" s="19" t="s">
        <v>53</v>
      </c>
      <c r="K737" s="14">
        <v>21.0</v>
      </c>
      <c r="L737" s="14">
        <v>0.0</v>
      </c>
      <c r="M737" s="25"/>
      <c r="N737" s="26" t="s">
        <v>21</v>
      </c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>
      <c r="A738" s="14" t="s">
        <v>2840</v>
      </c>
      <c r="B738" s="17" t="s">
        <v>2837</v>
      </c>
      <c r="C738" s="17" t="s">
        <v>2841</v>
      </c>
      <c r="D738" s="19" t="s">
        <v>2842</v>
      </c>
      <c r="E738" s="20" t="s">
        <v>53</v>
      </c>
      <c r="F738" s="21">
        <v>38373.0</v>
      </c>
      <c r="G738" s="14">
        <f t="shared" si="1"/>
        <v>21</v>
      </c>
      <c r="H738" s="23" t="s">
        <v>100</v>
      </c>
      <c r="I738" s="24" t="s">
        <v>27</v>
      </c>
      <c r="J738" s="19" t="s">
        <v>53</v>
      </c>
      <c r="K738" s="14">
        <v>21.0</v>
      </c>
      <c r="L738" s="14">
        <v>0.0</v>
      </c>
      <c r="M738" s="25"/>
      <c r="N738" s="26" t="s">
        <v>21</v>
      </c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>
      <c r="A739" s="14" t="s">
        <v>2843</v>
      </c>
      <c r="B739" s="17" t="s">
        <v>2837</v>
      </c>
      <c r="C739" s="17" t="s">
        <v>2844</v>
      </c>
      <c r="D739" s="19" t="s">
        <v>2845</v>
      </c>
      <c r="E739" s="20" t="s">
        <v>53</v>
      </c>
      <c r="F739" s="21">
        <v>30487.0</v>
      </c>
      <c r="G739" s="14">
        <f t="shared" si="1"/>
        <v>43</v>
      </c>
      <c r="H739" s="23" t="s">
        <v>26</v>
      </c>
      <c r="I739" s="24" t="s">
        <v>27</v>
      </c>
      <c r="J739" s="19" t="s">
        <v>53</v>
      </c>
      <c r="K739" s="14">
        <v>21.0</v>
      </c>
      <c r="L739" s="14">
        <v>0.0</v>
      </c>
      <c r="M739" s="25"/>
      <c r="N739" s="26" t="s">
        <v>21</v>
      </c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>
      <c r="A740" s="14" t="s">
        <v>2846</v>
      </c>
      <c r="B740" s="17" t="s">
        <v>2847</v>
      </c>
      <c r="C740" s="17" t="s">
        <v>2848</v>
      </c>
      <c r="D740" s="19" t="s">
        <v>2849</v>
      </c>
      <c r="E740" s="20" t="s">
        <v>53</v>
      </c>
      <c r="F740" s="21">
        <v>37786.0</v>
      </c>
      <c r="G740" s="14">
        <f t="shared" si="1"/>
        <v>23</v>
      </c>
      <c r="H740" s="23" t="s">
        <v>100</v>
      </c>
      <c r="I740" s="24" t="s">
        <v>33</v>
      </c>
      <c r="J740" s="19" t="s">
        <v>328</v>
      </c>
      <c r="K740" s="14">
        <v>20.0</v>
      </c>
      <c r="L740" s="14">
        <v>0.0</v>
      </c>
      <c r="M740" s="25"/>
      <c r="N740" s="26" t="s">
        <v>21</v>
      </c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>
      <c r="A741" s="14" t="s">
        <v>2850</v>
      </c>
      <c r="B741" s="17" t="s">
        <v>2847</v>
      </c>
      <c r="C741" s="17" t="s">
        <v>2851</v>
      </c>
      <c r="D741" s="19" t="s">
        <v>2852</v>
      </c>
      <c r="E741" s="20" t="s">
        <v>53</v>
      </c>
      <c r="F741" s="27">
        <v>29904.0</v>
      </c>
      <c r="G741" s="14">
        <f t="shared" si="1"/>
        <v>44</v>
      </c>
      <c r="H741" s="23" t="s">
        <v>26</v>
      </c>
      <c r="I741" s="24" t="s">
        <v>27</v>
      </c>
      <c r="J741" s="19" t="s">
        <v>328</v>
      </c>
      <c r="K741" s="14">
        <v>20.0</v>
      </c>
      <c r="L741" s="14">
        <v>0.0</v>
      </c>
      <c r="M741" s="25"/>
      <c r="N741" s="26" t="s">
        <v>21</v>
      </c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>
      <c r="A742" s="14" t="s">
        <v>2853</v>
      </c>
      <c r="B742" s="17" t="s">
        <v>2847</v>
      </c>
      <c r="C742" s="17" t="s">
        <v>2854</v>
      </c>
      <c r="D742" s="19" t="s">
        <v>1193</v>
      </c>
      <c r="E742" s="20" t="s">
        <v>1038</v>
      </c>
      <c r="F742" s="21">
        <v>28000.0</v>
      </c>
      <c r="G742" s="14">
        <f t="shared" si="1"/>
        <v>50</v>
      </c>
      <c r="H742" s="23" t="s">
        <v>26</v>
      </c>
      <c r="I742" s="24" t="s">
        <v>33</v>
      </c>
      <c r="J742" s="19" t="s">
        <v>328</v>
      </c>
      <c r="K742" s="14">
        <v>20.0</v>
      </c>
      <c r="L742" s="14">
        <v>0.0</v>
      </c>
      <c r="M742" s="25"/>
      <c r="N742" s="26" t="s">
        <v>21</v>
      </c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>
      <c r="A743" s="14" t="s">
        <v>2855</v>
      </c>
      <c r="B743" s="17" t="s">
        <v>2856</v>
      </c>
      <c r="C743" s="17" t="s">
        <v>2857</v>
      </c>
      <c r="D743" s="19" t="s">
        <v>2858</v>
      </c>
      <c r="E743" s="20" t="s">
        <v>104</v>
      </c>
      <c r="F743" s="21">
        <v>31664.0</v>
      </c>
      <c r="G743" s="14">
        <f t="shared" si="1"/>
        <v>40</v>
      </c>
      <c r="H743" s="23" t="s">
        <v>26</v>
      </c>
      <c r="I743" s="24" t="s">
        <v>33</v>
      </c>
      <c r="J743" s="19" t="s">
        <v>53</v>
      </c>
      <c r="K743" s="14">
        <v>20.0</v>
      </c>
      <c r="L743" s="14">
        <v>0.0</v>
      </c>
      <c r="M743" s="25"/>
      <c r="N743" s="26" t="s">
        <v>21</v>
      </c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>
      <c r="A744" s="14" t="s">
        <v>2859</v>
      </c>
      <c r="B744" s="17" t="s">
        <v>2856</v>
      </c>
      <c r="C744" s="17" t="s">
        <v>2860</v>
      </c>
      <c r="D744" s="19" t="s">
        <v>2861</v>
      </c>
      <c r="E744" s="20" t="s">
        <v>104</v>
      </c>
      <c r="F744" s="21">
        <v>32672.0</v>
      </c>
      <c r="G744" s="14">
        <f t="shared" si="1"/>
        <v>37</v>
      </c>
      <c r="H744" s="23" t="s">
        <v>26</v>
      </c>
      <c r="I744" s="24" t="s">
        <v>27</v>
      </c>
      <c r="J744" s="19" t="s">
        <v>53</v>
      </c>
      <c r="K744" s="14">
        <v>20.0</v>
      </c>
      <c r="L744" s="14">
        <v>0.0</v>
      </c>
      <c r="M744" s="25"/>
      <c r="N744" s="26" t="s">
        <v>21</v>
      </c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>
      <c r="A745" s="14" t="s">
        <v>2862</v>
      </c>
      <c r="B745" s="17" t="s">
        <v>2863</v>
      </c>
      <c r="C745" s="17" t="s">
        <v>2864</v>
      </c>
      <c r="D745" s="19" t="s">
        <v>2865</v>
      </c>
      <c r="E745" s="20" t="s">
        <v>1058</v>
      </c>
      <c r="F745" s="27">
        <v>26287.0</v>
      </c>
      <c r="G745" s="14">
        <f t="shared" si="1"/>
        <v>54</v>
      </c>
      <c r="H745" s="23" t="s">
        <v>26</v>
      </c>
      <c r="I745" s="24" t="s">
        <v>33</v>
      </c>
      <c r="J745" s="19" t="s">
        <v>53</v>
      </c>
      <c r="K745" s="14">
        <v>18.0</v>
      </c>
      <c r="L745" s="14">
        <v>0.0</v>
      </c>
      <c r="M745" s="25"/>
      <c r="N745" s="26" t="s">
        <v>21</v>
      </c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>
      <c r="A746" s="14" t="s">
        <v>2866</v>
      </c>
      <c r="B746" s="17" t="s">
        <v>2863</v>
      </c>
      <c r="C746" s="17" t="s">
        <v>2867</v>
      </c>
      <c r="D746" s="19" t="s">
        <v>2868</v>
      </c>
      <c r="E746" s="20" t="s">
        <v>1816</v>
      </c>
      <c r="F746" s="27">
        <v>27726.0</v>
      </c>
      <c r="G746" s="14">
        <f t="shared" si="1"/>
        <v>50</v>
      </c>
      <c r="H746" s="23" t="s">
        <v>26</v>
      </c>
      <c r="I746" s="24" t="s">
        <v>27</v>
      </c>
      <c r="J746" s="19" t="s">
        <v>53</v>
      </c>
      <c r="K746" s="14">
        <v>18.0</v>
      </c>
      <c r="L746" s="14">
        <v>0.0</v>
      </c>
      <c r="M746" s="25"/>
      <c r="N746" s="26" t="s">
        <v>21</v>
      </c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>
      <c r="A747" s="14" t="s">
        <v>2869</v>
      </c>
      <c r="B747" s="17" t="s">
        <v>2870</v>
      </c>
      <c r="C747" s="17" t="s">
        <v>2871</v>
      </c>
      <c r="D747" s="19" t="s">
        <v>1673</v>
      </c>
      <c r="E747" s="20" t="s">
        <v>429</v>
      </c>
      <c r="F747" s="21">
        <v>18148.0</v>
      </c>
      <c r="G747" s="14">
        <f t="shared" si="1"/>
        <v>77</v>
      </c>
      <c r="H747" s="23" t="s">
        <v>26</v>
      </c>
      <c r="I747" s="24" t="s">
        <v>33</v>
      </c>
      <c r="J747" s="19" t="s">
        <v>53</v>
      </c>
      <c r="K747" s="14">
        <v>21.0</v>
      </c>
      <c r="L747" s="14">
        <v>0.0</v>
      </c>
      <c r="M747" s="25"/>
      <c r="N747" s="26" t="s">
        <v>21</v>
      </c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>
      <c r="A748" s="14" t="s">
        <v>2872</v>
      </c>
      <c r="B748" s="17" t="s">
        <v>2870</v>
      </c>
      <c r="C748" s="17" t="s">
        <v>2873</v>
      </c>
      <c r="D748" s="19" t="s">
        <v>2874</v>
      </c>
      <c r="E748" s="20" t="s">
        <v>429</v>
      </c>
      <c r="F748" s="21">
        <v>20199.0</v>
      </c>
      <c r="G748" s="14">
        <f t="shared" si="1"/>
        <v>71</v>
      </c>
      <c r="H748" s="23" t="s">
        <v>26</v>
      </c>
      <c r="I748" s="24" t="s">
        <v>27</v>
      </c>
      <c r="J748" s="19" t="s">
        <v>53</v>
      </c>
      <c r="K748" s="14">
        <v>21.0</v>
      </c>
      <c r="L748" s="14">
        <v>0.0</v>
      </c>
      <c r="M748" s="25"/>
      <c r="N748" s="26" t="s">
        <v>21</v>
      </c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>
      <c r="A749" s="14" t="s">
        <v>2875</v>
      </c>
      <c r="B749" s="17" t="s">
        <v>2876</v>
      </c>
      <c r="C749" s="17" t="s">
        <v>2877</v>
      </c>
      <c r="D749" s="19" t="s">
        <v>2878</v>
      </c>
      <c r="E749" s="20" t="s">
        <v>2879</v>
      </c>
      <c r="F749" s="21">
        <v>26733.0</v>
      </c>
      <c r="G749" s="14">
        <f t="shared" si="1"/>
        <v>53</v>
      </c>
      <c r="H749" s="23" t="s">
        <v>26</v>
      </c>
      <c r="I749" s="24" t="s">
        <v>27</v>
      </c>
      <c r="J749" s="19" t="s">
        <v>95</v>
      </c>
      <c r="K749" s="14">
        <v>17.0</v>
      </c>
      <c r="L749" s="14">
        <v>0.0</v>
      </c>
      <c r="M749" s="25"/>
      <c r="N749" s="26" t="s">
        <v>21</v>
      </c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>
      <c r="A750" s="14" t="s">
        <v>2880</v>
      </c>
      <c r="B750" s="17" t="s">
        <v>2876</v>
      </c>
      <c r="C750" s="17" t="s">
        <v>2881</v>
      </c>
      <c r="D750" s="19" t="s">
        <v>2882</v>
      </c>
      <c r="E750" s="20" t="s">
        <v>1049</v>
      </c>
      <c r="F750" s="21">
        <v>25740.0</v>
      </c>
      <c r="G750" s="14">
        <f t="shared" si="1"/>
        <v>56</v>
      </c>
      <c r="H750" s="23" t="s">
        <v>26</v>
      </c>
      <c r="I750" s="24" t="s">
        <v>33</v>
      </c>
      <c r="J750" s="19" t="s">
        <v>95</v>
      </c>
      <c r="K750" s="14">
        <v>17.0</v>
      </c>
      <c r="L750" s="14">
        <v>0.0</v>
      </c>
      <c r="M750" s="25"/>
      <c r="N750" s="26" t="s">
        <v>21</v>
      </c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>
      <c r="A751" s="14" t="s">
        <v>2883</v>
      </c>
      <c r="B751" s="17" t="s">
        <v>2884</v>
      </c>
      <c r="C751" s="17" t="s">
        <v>2885</v>
      </c>
      <c r="D751" s="19" t="s">
        <v>2886</v>
      </c>
      <c r="E751" s="20" t="s">
        <v>624</v>
      </c>
      <c r="F751" s="21">
        <v>26046.0</v>
      </c>
      <c r="G751" s="14">
        <f t="shared" si="1"/>
        <v>55</v>
      </c>
      <c r="H751" s="23" t="s">
        <v>26</v>
      </c>
      <c r="I751" s="24" t="s">
        <v>33</v>
      </c>
      <c r="J751" s="19" t="s">
        <v>328</v>
      </c>
      <c r="K751" s="14">
        <v>25.0</v>
      </c>
      <c r="L751" s="14">
        <v>0.0</v>
      </c>
      <c r="M751" s="25"/>
      <c r="N751" s="26" t="s">
        <v>21</v>
      </c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>
      <c r="A752" s="14" t="s">
        <v>2887</v>
      </c>
      <c r="B752" s="17" t="s">
        <v>2884</v>
      </c>
      <c r="C752" s="17" t="s">
        <v>2888</v>
      </c>
      <c r="D752" s="19" t="s">
        <v>2889</v>
      </c>
      <c r="E752" s="20" t="s">
        <v>104</v>
      </c>
      <c r="F752" s="21">
        <v>29409.0</v>
      </c>
      <c r="G752" s="14">
        <f t="shared" si="1"/>
        <v>46</v>
      </c>
      <c r="H752" s="23" t="s">
        <v>26</v>
      </c>
      <c r="I752" s="24" t="s">
        <v>27</v>
      </c>
      <c r="J752" s="19" t="s">
        <v>328</v>
      </c>
      <c r="K752" s="14">
        <v>25.0</v>
      </c>
      <c r="L752" s="14">
        <v>0.0</v>
      </c>
      <c r="M752" s="25"/>
      <c r="N752" s="26" t="s">
        <v>21</v>
      </c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>
      <c r="A753" s="14" t="s">
        <v>2890</v>
      </c>
      <c r="B753" s="17" t="s">
        <v>2884</v>
      </c>
      <c r="C753" s="17" t="s">
        <v>2891</v>
      </c>
      <c r="D753" s="19" t="s">
        <v>2892</v>
      </c>
      <c r="E753" s="20" t="s">
        <v>53</v>
      </c>
      <c r="F753" s="21">
        <v>37653.0</v>
      </c>
      <c r="G753" s="14">
        <f t="shared" si="1"/>
        <v>23</v>
      </c>
      <c r="H753" s="23" t="s">
        <v>100</v>
      </c>
      <c r="I753" s="24" t="s">
        <v>33</v>
      </c>
      <c r="J753" s="19" t="s">
        <v>328</v>
      </c>
      <c r="K753" s="14">
        <v>25.0</v>
      </c>
      <c r="L753" s="14">
        <v>0.0</v>
      </c>
      <c r="M753" s="25"/>
      <c r="N753" s="26" t="s">
        <v>21</v>
      </c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>
      <c r="A754" s="14" t="s">
        <v>2893</v>
      </c>
      <c r="B754" s="17" t="s">
        <v>2884</v>
      </c>
      <c r="C754" s="17" t="s">
        <v>2894</v>
      </c>
      <c r="D754" s="19" t="s">
        <v>2895</v>
      </c>
      <c r="E754" s="20" t="s">
        <v>104</v>
      </c>
      <c r="F754" s="21">
        <v>35911.0</v>
      </c>
      <c r="G754" s="14">
        <f t="shared" si="1"/>
        <v>28</v>
      </c>
      <c r="H754" s="23" t="s">
        <v>100</v>
      </c>
      <c r="I754" s="24" t="s">
        <v>33</v>
      </c>
      <c r="J754" s="19" t="s">
        <v>328</v>
      </c>
      <c r="K754" s="14">
        <v>25.0</v>
      </c>
      <c r="L754" s="14">
        <v>0.0</v>
      </c>
      <c r="M754" s="25"/>
      <c r="N754" s="26" t="s">
        <v>21</v>
      </c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>
      <c r="A755" s="14" t="s">
        <v>2896</v>
      </c>
      <c r="B755" s="17" t="s">
        <v>2897</v>
      </c>
      <c r="C755" s="17" t="s">
        <v>2898</v>
      </c>
      <c r="D755" s="19" t="s">
        <v>2547</v>
      </c>
      <c r="E755" s="20" t="s">
        <v>1058</v>
      </c>
      <c r="F755" s="21">
        <v>33335.0</v>
      </c>
      <c r="G755" s="14">
        <f t="shared" si="1"/>
        <v>35</v>
      </c>
      <c r="H755" s="23" t="s">
        <v>26</v>
      </c>
      <c r="I755" s="24" t="s">
        <v>27</v>
      </c>
      <c r="J755" s="19" t="s">
        <v>156</v>
      </c>
      <c r="K755" s="14">
        <v>31.0</v>
      </c>
      <c r="L755" s="14">
        <v>0.0</v>
      </c>
      <c r="M755" s="25"/>
      <c r="N755" s="26" t="s">
        <v>21</v>
      </c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>
      <c r="A756" s="14" t="s">
        <v>2899</v>
      </c>
      <c r="B756" s="17" t="s">
        <v>2897</v>
      </c>
      <c r="C756" s="17" t="s">
        <v>2900</v>
      </c>
      <c r="D756" s="19" t="s">
        <v>2901</v>
      </c>
      <c r="E756" s="20" t="s">
        <v>104</v>
      </c>
      <c r="F756" s="21">
        <v>29984.0</v>
      </c>
      <c r="G756" s="14">
        <f t="shared" si="1"/>
        <v>44</v>
      </c>
      <c r="H756" s="23" t="s">
        <v>26</v>
      </c>
      <c r="I756" s="24" t="s">
        <v>33</v>
      </c>
      <c r="J756" s="19" t="s">
        <v>156</v>
      </c>
      <c r="K756" s="14">
        <v>31.0</v>
      </c>
      <c r="L756" s="14">
        <v>0.0</v>
      </c>
      <c r="M756" s="25"/>
      <c r="N756" s="26" t="s">
        <v>21</v>
      </c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>
      <c r="A757" s="14" t="s">
        <v>2902</v>
      </c>
      <c r="B757" s="17" t="s">
        <v>2903</v>
      </c>
      <c r="C757" s="17" t="s">
        <v>2904</v>
      </c>
      <c r="D757" s="19" t="s">
        <v>2905</v>
      </c>
      <c r="E757" s="20" t="s">
        <v>104</v>
      </c>
      <c r="F757" s="27">
        <v>39040.0</v>
      </c>
      <c r="G757" s="14">
        <f t="shared" si="1"/>
        <v>19</v>
      </c>
      <c r="H757" s="23" t="s">
        <v>100</v>
      </c>
      <c r="I757" s="24" t="s">
        <v>27</v>
      </c>
      <c r="J757" s="19" t="s">
        <v>53</v>
      </c>
      <c r="K757" s="14">
        <v>6.0</v>
      </c>
      <c r="L757" s="14">
        <v>0.0</v>
      </c>
      <c r="M757" s="25"/>
      <c r="N757" s="26" t="s">
        <v>21</v>
      </c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>
      <c r="A758" s="14" t="s">
        <v>2906</v>
      </c>
      <c r="B758" s="17" t="s">
        <v>2903</v>
      </c>
      <c r="C758" s="17" t="s">
        <v>2907</v>
      </c>
      <c r="D758" s="19" t="s">
        <v>2908</v>
      </c>
      <c r="E758" s="20" t="s">
        <v>544</v>
      </c>
      <c r="F758" s="21">
        <v>27461.0</v>
      </c>
      <c r="G758" s="14">
        <f t="shared" si="1"/>
        <v>51</v>
      </c>
      <c r="H758" s="23" t="s">
        <v>26</v>
      </c>
      <c r="I758" s="24" t="s">
        <v>33</v>
      </c>
      <c r="J758" s="19" t="s">
        <v>53</v>
      </c>
      <c r="K758" s="14">
        <v>6.0</v>
      </c>
      <c r="L758" s="14">
        <v>0.0</v>
      </c>
      <c r="M758" s="25"/>
      <c r="N758" s="26" t="s">
        <v>21</v>
      </c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>
      <c r="A759" s="14" t="s">
        <v>2909</v>
      </c>
      <c r="B759" s="17" t="s">
        <v>2903</v>
      </c>
      <c r="C759" s="17" t="s">
        <v>2910</v>
      </c>
      <c r="D759" s="19" t="s">
        <v>2911</v>
      </c>
      <c r="E759" s="20" t="s">
        <v>210</v>
      </c>
      <c r="F759" s="21">
        <v>27855.0</v>
      </c>
      <c r="G759" s="14">
        <f t="shared" si="1"/>
        <v>50</v>
      </c>
      <c r="H759" s="23" t="s">
        <v>26</v>
      </c>
      <c r="I759" s="24" t="s">
        <v>27</v>
      </c>
      <c r="J759" s="19" t="s">
        <v>53</v>
      </c>
      <c r="K759" s="14">
        <v>6.0</v>
      </c>
      <c r="L759" s="14">
        <v>0.0</v>
      </c>
      <c r="M759" s="25"/>
      <c r="N759" s="26" t="s">
        <v>21</v>
      </c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>
      <c r="A760" s="14" t="s">
        <v>2912</v>
      </c>
      <c r="B760" s="17" t="s">
        <v>2913</v>
      </c>
      <c r="C760" s="17" t="s">
        <v>2914</v>
      </c>
      <c r="D760" s="19" t="s">
        <v>2915</v>
      </c>
      <c r="E760" s="20" t="s">
        <v>434</v>
      </c>
      <c r="F760" s="27">
        <v>25184.0</v>
      </c>
      <c r="G760" s="14">
        <f t="shared" si="1"/>
        <v>57</v>
      </c>
      <c r="H760" s="23" t="s">
        <v>27</v>
      </c>
      <c r="I760" s="24" t="s">
        <v>33</v>
      </c>
      <c r="J760" s="19" t="s">
        <v>989</v>
      </c>
      <c r="K760" s="14">
        <v>28.0</v>
      </c>
      <c r="L760" s="14">
        <v>0.0</v>
      </c>
      <c r="M760" s="25"/>
      <c r="N760" s="26" t="s">
        <v>21</v>
      </c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>
      <c r="A761" s="14" t="s">
        <v>2916</v>
      </c>
      <c r="B761" s="17" t="s">
        <v>2917</v>
      </c>
      <c r="C761" s="17" t="s">
        <v>2918</v>
      </c>
      <c r="D761" s="19" t="s">
        <v>2919</v>
      </c>
      <c r="E761" s="20" t="s">
        <v>138</v>
      </c>
      <c r="F761" s="21">
        <v>33443.0</v>
      </c>
      <c r="G761" s="14">
        <f t="shared" si="1"/>
        <v>35</v>
      </c>
      <c r="H761" s="23" t="s">
        <v>26</v>
      </c>
      <c r="I761" s="24" t="s">
        <v>27</v>
      </c>
      <c r="J761" s="19" t="s">
        <v>146</v>
      </c>
      <c r="K761" s="14">
        <v>6.0</v>
      </c>
      <c r="L761" s="14">
        <v>0.0</v>
      </c>
      <c r="M761" s="25"/>
      <c r="N761" s="26" t="s">
        <v>21</v>
      </c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>
      <c r="A762" s="14" t="s">
        <v>2920</v>
      </c>
      <c r="B762" s="17" t="s">
        <v>2917</v>
      </c>
      <c r="C762" s="17" t="s">
        <v>2921</v>
      </c>
      <c r="D762" s="19" t="s">
        <v>2922</v>
      </c>
      <c r="E762" s="20" t="s">
        <v>2038</v>
      </c>
      <c r="F762" s="27">
        <v>37235.0</v>
      </c>
      <c r="G762" s="14">
        <f t="shared" si="1"/>
        <v>24</v>
      </c>
      <c r="H762" s="23" t="s">
        <v>100</v>
      </c>
      <c r="I762" s="24" t="s">
        <v>33</v>
      </c>
      <c r="J762" s="19" t="s">
        <v>146</v>
      </c>
      <c r="K762" s="14">
        <v>6.0</v>
      </c>
      <c r="L762" s="14">
        <v>5.0</v>
      </c>
      <c r="M762" s="25"/>
      <c r="N762" s="26" t="s">
        <v>21</v>
      </c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>
      <c r="A763" s="14" t="s">
        <v>2923</v>
      </c>
      <c r="B763" s="17" t="s">
        <v>2917</v>
      </c>
      <c r="C763" s="17" t="s">
        <v>2924</v>
      </c>
      <c r="D763" s="19" t="s">
        <v>2472</v>
      </c>
      <c r="E763" s="20" t="s">
        <v>210</v>
      </c>
      <c r="F763" s="21">
        <v>27068.0</v>
      </c>
      <c r="G763" s="14">
        <f t="shared" si="1"/>
        <v>52</v>
      </c>
      <c r="H763" s="23" t="s">
        <v>26</v>
      </c>
      <c r="I763" s="24" t="s">
        <v>33</v>
      </c>
      <c r="J763" s="19" t="s">
        <v>146</v>
      </c>
      <c r="K763" s="14">
        <v>6.0</v>
      </c>
      <c r="L763" s="14">
        <v>0.0</v>
      </c>
      <c r="M763" s="25"/>
      <c r="N763" s="26" t="s">
        <v>21</v>
      </c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>
      <c r="A764" s="14" t="s">
        <v>2925</v>
      </c>
      <c r="B764" s="17" t="s">
        <v>2926</v>
      </c>
      <c r="C764" s="17" t="s">
        <v>2927</v>
      </c>
      <c r="D764" s="19" t="s">
        <v>2928</v>
      </c>
      <c r="E764" s="20" t="s">
        <v>544</v>
      </c>
      <c r="F764" s="21">
        <v>23118.0</v>
      </c>
      <c r="G764" s="14">
        <f t="shared" si="1"/>
        <v>63</v>
      </c>
      <c r="H764" s="23" t="s">
        <v>26</v>
      </c>
      <c r="I764" s="24" t="s">
        <v>27</v>
      </c>
      <c r="J764" s="19" t="s">
        <v>517</v>
      </c>
      <c r="K764" s="14">
        <v>6.0</v>
      </c>
      <c r="L764" s="14">
        <v>0.0</v>
      </c>
      <c r="M764" s="25"/>
      <c r="N764" s="26" t="s">
        <v>21</v>
      </c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>
      <c r="A765" s="14" t="s">
        <v>2929</v>
      </c>
      <c r="B765" s="17" t="s">
        <v>2926</v>
      </c>
      <c r="C765" s="17" t="s">
        <v>2930</v>
      </c>
      <c r="D765" s="19" t="s">
        <v>2931</v>
      </c>
      <c r="E765" s="20" t="s">
        <v>544</v>
      </c>
      <c r="F765" s="21">
        <v>22112.0</v>
      </c>
      <c r="G765" s="14">
        <f t="shared" si="1"/>
        <v>66</v>
      </c>
      <c r="H765" s="23" t="s">
        <v>26</v>
      </c>
      <c r="I765" s="24" t="s">
        <v>33</v>
      </c>
      <c r="J765" s="19" t="s">
        <v>517</v>
      </c>
      <c r="K765" s="14">
        <v>6.0</v>
      </c>
      <c r="L765" s="14">
        <v>1.0</v>
      </c>
      <c r="M765" s="25"/>
      <c r="N765" s="26" t="s">
        <v>21</v>
      </c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>
      <c r="A766" s="14" t="s">
        <v>2932</v>
      </c>
      <c r="B766" s="17" t="s">
        <v>2933</v>
      </c>
      <c r="C766" s="17" t="s">
        <v>2934</v>
      </c>
      <c r="D766" s="19" t="s">
        <v>2935</v>
      </c>
      <c r="E766" s="20" t="s">
        <v>104</v>
      </c>
      <c r="F766" s="21">
        <v>34806.0</v>
      </c>
      <c r="G766" s="14">
        <f t="shared" si="1"/>
        <v>31</v>
      </c>
      <c r="H766" s="23" t="s">
        <v>26</v>
      </c>
      <c r="I766" s="24" t="s">
        <v>33</v>
      </c>
      <c r="J766" s="19" t="s">
        <v>2936</v>
      </c>
      <c r="K766" s="14">
        <v>33.0</v>
      </c>
      <c r="L766" s="14">
        <v>0.0</v>
      </c>
      <c r="M766" s="25"/>
      <c r="N766" s="26" t="s">
        <v>21</v>
      </c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>
      <c r="A767" s="14" t="s">
        <v>2937</v>
      </c>
      <c r="B767" s="17" t="s">
        <v>2933</v>
      </c>
      <c r="C767" s="17" t="s">
        <v>2938</v>
      </c>
      <c r="D767" s="19" t="s">
        <v>2939</v>
      </c>
      <c r="E767" s="20" t="s">
        <v>104</v>
      </c>
      <c r="F767" s="21">
        <v>34548.0</v>
      </c>
      <c r="G767" s="14">
        <f t="shared" si="1"/>
        <v>32</v>
      </c>
      <c r="H767" s="23" t="s">
        <v>26</v>
      </c>
      <c r="I767" s="24" t="s">
        <v>27</v>
      </c>
      <c r="J767" s="19" t="s">
        <v>2936</v>
      </c>
      <c r="K767" s="14">
        <v>33.0</v>
      </c>
      <c r="L767" s="14">
        <v>0.0</v>
      </c>
      <c r="M767" s="25"/>
      <c r="N767" s="26" t="s">
        <v>21</v>
      </c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>
      <c r="A768" s="14" t="s">
        <v>2940</v>
      </c>
      <c r="B768" s="17" t="s">
        <v>2941</v>
      </c>
      <c r="C768" s="17" t="s">
        <v>2942</v>
      </c>
      <c r="D768" s="19" t="s">
        <v>2943</v>
      </c>
      <c r="E768" s="20" t="s">
        <v>1791</v>
      </c>
      <c r="F768" s="21">
        <v>33698.0</v>
      </c>
      <c r="G768" s="14">
        <f t="shared" si="1"/>
        <v>34</v>
      </c>
      <c r="H768" s="23" t="s">
        <v>26</v>
      </c>
      <c r="I768" s="24" t="s">
        <v>33</v>
      </c>
      <c r="J768" s="19" t="s">
        <v>53</v>
      </c>
      <c r="K768" s="14">
        <v>32.0</v>
      </c>
      <c r="L768" s="14">
        <v>0.0</v>
      </c>
      <c r="M768" s="25"/>
      <c r="N768" s="26" t="s">
        <v>21</v>
      </c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>
      <c r="A769" s="14" t="s">
        <v>2944</v>
      </c>
      <c r="B769" s="17" t="s">
        <v>2941</v>
      </c>
      <c r="C769" s="17" t="s">
        <v>2945</v>
      </c>
      <c r="D769" s="19" t="s">
        <v>2946</v>
      </c>
      <c r="E769" s="20" t="s">
        <v>53</v>
      </c>
      <c r="F769" s="27">
        <v>35029.0</v>
      </c>
      <c r="G769" s="14">
        <f t="shared" si="1"/>
        <v>30</v>
      </c>
      <c r="H769" s="23" t="s">
        <v>26</v>
      </c>
      <c r="I769" s="24" t="s">
        <v>27</v>
      </c>
      <c r="J769" s="19" t="s">
        <v>53</v>
      </c>
      <c r="K769" s="14">
        <v>32.0</v>
      </c>
      <c r="L769" s="14">
        <v>0.0</v>
      </c>
      <c r="M769" s="25"/>
      <c r="N769" s="26" t="s">
        <v>21</v>
      </c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>
      <c r="A770" s="14" t="s">
        <v>2947</v>
      </c>
      <c r="B770" s="17" t="s">
        <v>2948</v>
      </c>
      <c r="C770" s="17" t="s">
        <v>2949</v>
      </c>
      <c r="D770" s="19" t="s">
        <v>2950</v>
      </c>
      <c r="E770" s="20" t="s">
        <v>104</v>
      </c>
      <c r="F770" s="21">
        <v>27931.0</v>
      </c>
      <c r="G770" s="14">
        <f t="shared" si="1"/>
        <v>50</v>
      </c>
      <c r="H770" s="23" t="s">
        <v>26</v>
      </c>
      <c r="I770" s="24" t="s">
        <v>33</v>
      </c>
      <c r="J770" s="19" t="s">
        <v>68</v>
      </c>
      <c r="K770" s="14">
        <v>35.0</v>
      </c>
      <c r="L770" s="14">
        <v>0.0</v>
      </c>
      <c r="M770" s="25"/>
      <c r="N770" s="26" t="s">
        <v>21</v>
      </c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>
      <c r="A771" s="14" t="s">
        <v>2951</v>
      </c>
      <c r="B771" s="17" t="s">
        <v>2948</v>
      </c>
      <c r="C771" s="17" t="s">
        <v>2952</v>
      </c>
      <c r="D771" s="19" t="s">
        <v>2953</v>
      </c>
      <c r="E771" s="20" t="s">
        <v>104</v>
      </c>
      <c r="F771" s="21">
        <v>30519.0</v>
      </c>
      <c r="G771" s="14">
        <f t="shared" si="1"/>
        <v>43</v>
      </c>
      <c r="H771" s="23" t="s">
        <v>26</v>
      </c>
      <c r="I771" s="24" t="s">
        <v>27</v>
      </c>
      <c r="J771" s="19" t="s">
        <v>68</v>
      </c>
      <c r="K771" s="14">
        <v>35.0</v>
      </c>
      <c r="L771" s="14">
        <v>0.0</v>
      </c>
      <c r="M771" s="25"/>
      <c r="N771" s="26" t="s">
        <v>21</v>
      </c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>
      <c r="A772" s="14" t="s">
        <v>2954</v>
      </c>
      <c r="B772" s="17" t="s">
        <v>2955</v>
      </c>
      <c r="C772" s="17" t="s">
        <v>2956</v>
      </c>
      <c r="D772" s="19" t="s">
        <v>2957</v>
      </c>
      <c r="E772" s="20" t="s">
        <v>104</v>
      </c>
      <c r="F772" s="21">
        <v>38995.0</v>
      </c>
      <c r="G772" s="14">
        <f t="shared" si="1"/>
        <v>20</v>
      </c>
      <c r="H772" s="23" t="s">
        <v>100</v>
      </c>
      <c r="I772" s="24" t="s">
        <v>27</v>
      </c>
      <c r="J772" s="19" t="s">
        <v>68</v>
      </c>
      <c r="K772" s="14">
        <v>33.0</v>
      </c>
      <c r="L772" s="14">
        <v>0.0</v>
      </c>
      <c r="M772" s="25"/>
      <c r="N772" s="26" t="s">
        <v>21</v>
      </c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>
      <c r="A773" s="14" t="s">
        <v>2958</v>
      </c>
      <c r="B773" s="17" t="s">
        <v>2955</v>
      </c>
      <c r="C773" s="17" t="s">
        <v>2959</v>
      </c>
      <c r="D773" s="19" t="s">
        <v>2960</v>
      </c>
      <c r="E773" s="20" t="s">
        <v>104</v>
      </c>
      <c r="F773" s="21">
        <v>32029.0</v>
      </c>
      <c r="G773" s="14">
        <f t="shared" si="1"/>
        <v>39</v>
      </c>
      <c r="H773" s="23" t="s">
        <v>26</v>
      </c>
      <c r="I773" s="24" t="s">
        <v>27</v>
      </c>
      <c r="J773" s="19" t="s">
        <v>68</v>
      </c>
      <c r="K773" s="14">
        <v>33.0</v>
      </c>
      <c r="L773" s="14">
        <v>0.0</v>
      </c>
      <c r="M773" s="25"/>
      <c r="N773" s="26" t="s">
        <v>21</v>
      </c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>
      <c r="A774" s="14" t="s">
        <v>2961</v>
      </c>
      <c r="B774" s="17" t="s">
        <v>2955</v>
      </c>
      <c r="C774" s="17" t="s">
        <v>2962</v>
      </c>
      <c r="D774" s="19" t="s">
        <v>2963</v>
      </c>
      <c r="E774" s="20" t="s">
        <v>104</v>
      </c>
      <c r="F774" s="21">
        <v>30221.0</v>
      </c>
      <c r="G774" s="14">
        <f t="shared" si="1"/>
        <v>44</v>
      </c>
      <c r="H774" s="23" t="s">
        <v>26</v>
      </c>
      <c r="I774" s="24" t="s">
        <v>33</v>
      </c>
      <c r="J774" s="19" t="s">
        <v>68</v>
      </c>
      <c r="K774" s="14">
        <v>33.0</v>
      </c>
      <c r="L774" s="14">
        <v>0.0</v>
      </c>
      <c r="M774" s="25"/>
      <c r="N774" s="26" t="s">
        <v>21</v>
      </c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>
      <c r="A775" s="14" t="s">
        <v>2964</v>
      </c>
      <c r="B775" s="17" t="s">
        <v>2965</v>
      </c>
      <c r="C775" s="17" t="s">
        <v>2966</v>
      </c>
      <c r="D775" s="19" t="s">
        <v>2204</v>
      </c>
      <c r="E775" s="20" t="s">
        <v>53</v>
      </c>
      <c r="F775" s="27">
        <v>35049.0</v>
      </c>
      <c r="G775" s="14">
        <f t="shared" si="1"/>
        <v>30</v>
      </c>
      <c r="H775" s="23" t="s">
        <v>100</v>
      </c>
      <c r="I775" s="24" t="s">
        <v>33</v>
      </c>
      <c r="J775" s="19" t="s">
        <v>68</v>
      </c>
      <c r="K775" s="14">
        <v>35.0</v>
      </c>
      <c r="L775" s="14">
        <v>7.0</v>
      </c>
      <c r="M775" s="25"/>
      <c r="N775" s="26" t="s">
        <v>21</v>
      </c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>
      <c r="A776" s="14" t="s">
        <v>2967</v>
      </c>
      <c r="B776" s="17" t="s">
        <v>2965</v>
      </c>
      <c r="C776" s="17" t="s">
        <v>2968</v>
      </c>
      <c r="D776" s="19" t="s">
        <v>2969</v>
      </c>
      <c r="E776" s="20" t="s">
        <v>984</v>
      </c>
      <c r="F776" s="27">
        <v>28044.0</v>
      </c>
      <c r="G776" s="14">
        <f t="shared" si="1"/>
        <v>50</v>
      </c>
      <c r="H776" s="23" t="s">
        <v>26</v>
      </c>
      <c r="I776" s="24" t="s">
        <v>27</v>
      </c>
      <c r="J776" s="19" t="s">
        <v>68</v>
      </c>
      <c r="K776" s="14">
        <v>35.0</v>
      </c>
      <c r="L776" s="14">
        <v>0.0</v>
      </c>
      <c r="M776" s="25"/>
      <c r="N776" s="26" t="s">
        <v>21</v>
      </c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>
      <c r="A777" s="14" t="s">
        <v>2970</v>
      </c>
      <c r="B777" s="17" t="s">
        <v>2965</v>
      </c>
      <c r="C777" s="17" t="s">
        <v>2971</v>
      </c>
      <c r="D777" s="19" t="s">
        <v>2972</v>
      </c>
      <c r="E777" s="20" t="s">
        <v>67</v>
      </c>
      <c r="F777" s="21">
        <v>27006.0</v>
      </c>
      <c r="G777" s="14">
        <f t="shared" si="1"/>
        <v>52</v>
      </c>
      <c r="H777" s="23" t="s">
        <v>26</v>
      </c>
      <c r="I777" s="24" t="s">
        <v>33</v>
      </c>
      <c r="J777" s="19" t="s">
        <v>68</v>
      </c>
      <c r="K777" s="14">
        <v>35.0</v>
      </c>
      <c r="L777" s="14">
        <v>0.0</v>
      </c>
      <c r="M777" s="25"/>
      <c r="N777" s="26" t="s">
        <v>21</v>
      </c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>
      <c r="A778" s="14" t="s">
        <v>2973</v>
      </c>
      <c r="B778" s="17" t="s">
        <v>2974</v>
      </c>
      <c r="C778" s="17" t="s">
        <v>2975</v>
      </c>
      <c r="D778" s="19" t="s">
        <v>2976</v>
      </c>
      <c r="E778" s="20" t="s">
        <v>434</v>
      </c>
      <c r="F778" s="21">
        <v>31246.0</v>
      </c>
      <c r="G778" s="14">
        <f t="shared" si="1"/>
        <v>41</v>
      </c>
      <c r="H778" s="23" t="s">
        <v>26</v>
      </c>
      <c r="I778" s="24" t="s">
        <v>33</v>
      </c>
      <c r="J778" s="19" t="s">
        <v>146</v>
      </c>
      <c r="K778" s="14">
        <v>2.0</v>
      </c>
      <c r="L778" s="14">
        <v>0.0</v>
      </c>
      <c r="M778" s="25"/>
      <c r="N778" s="26" t="s">
        <v>21</v>
      </c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>
      <c r="A779" s="14" t="s">
        <v>2977</v>
      </c>
      <c r="B779" s="17" t="s">
        <v>2974</v>
      </c>
      <c r="C779" s="17" t="s">
        <v>2978</v>
      </c>
      <c r="D779" s="19" t="s">
        <v>2979</v>
      </c>
      <c r="E779" s="20" t="s">
        <v>2980</v>
      </c>
      <c r="F779" s="27">
        <v>34664.0</v>
      </c>
      <c r="G779" s="14">
        <f t="shared" si="1"/>
        <v>31</v>
      </c>
      <c r="H779" s="23" t="s">
        <v>26</v>
      </c>
      <c r="I779" s="24" t="s">
        <v>27</v>
      </c>
      <c r="J779" s="19" t="s">
        <v>146</v>
      </c>
      <c r="K779" s="14">
        <v>2.0</v>
      </c>
      <c r="L779" s="14">
        <v>0.0</v>
      </c>
      <c r="M779" s="25"/>
      <c r="N779" s="26" t="s">
        <v>21</v>
      </c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>
      <c r="A780" s="14" t="s">
        <v>2981</v>
      </c>
      <c r="B780" s="17" t="s">
        <v>2982</v>
      </c>
      <c r="C780" s="17" t="s">
        <v>2983</v>
      </c>
      <c r="D780" s="19" t="s">
        <v>2984</v>
      </c>
      <c r="E780" s="20" t="s">
        <v>2038</v>
      </c>
      <c r="F780" s="21">
        <v>35446.0</v>
      </c>
      <c r="G780" s="14">
        <f t="shared" si="1"/>
        <v>29</v>
      </c>
      <c r="H780" s="23" t="s">
        <v>26</v>
      </c>
      <c r="I780" s="24" t="s">
        <v>27</v>
      </c>
      <c r="J780" s="19" t="s">
        <v>53</v>
      </c>
      <c r="K780" s="14">
        <v>17.0</v>
      </c>
      <c r="L780" s="14">
        <v>0.0</v>
      </c>
      <c r="M780" s="25"/>
      <c r="N780" s="26" t="s">
        <v>21</v>
      </c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>
      <c r="A781" s="14" t="s">
        <v>2985</v>
      </c>
      <c r="B781" s="17" t="s">
        <v>2982</v>
      </c>
      <c r="C781" s="17" t="s">
        <v>2986</v>
      </c>
      <c r="D781" s="19" t="s">
        <v>2987</v>
      </c>
      <c r="E781" s="20" t="s">
        <v>2038</v>
      </c>
      <c r="F781" s="21">
        <v>33795.0</v>
      </c>
      <c r="G781" s="14">
        <f t="shared" si="1"/>
        <v>34</v>
      </c>
      <c r="H781" s="23" t="s">
        <v>26</v>
      </c>
      <c r="I781" s="24" t="s">
        <v>33</v>
      </c>
      <c r="J781" s="19" t="s">
        <v>53</v>
      </c>
      <c r="K781" s="14">
        <v>17.0</v>
      </c>
      <c r="L781" s="14">
        <v>0.0</v>
      </c>
      <c r="M781" s="25"/>
      <c r="N781" s="26" t="s">
        <v>21</v>
      </c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>
      <c r="A782" s="14" t="s">
        <v>2988</v>
      </c>
      <c r="B782" s="17" t="s">
        <v>2989</v>
      </c>
      <c r="C782" s="17" t="s">
        <v>2990</v>
      </c>
      <c r="D782" s="19" t="s">
        <v>2991</v>
      </c>
      <c r="E782" s="20" t="s">
        <v>104</v>
      </c>
      <c r="F782" s="21">
        <v>37326.0</v>
      </c>
      <c r="G782" s="14">
        <f t="shared" si="1"/>
        <v>24</v>
      </c>
      <c r="H782" s="23" t="s">
        <v>26</v>
      </c>
      <c r="I782" s="24" t="s">
        <v>27</v>
      </c>
      <c r="J782" s="19" t="s">
        <v>1866</v>
      </c>
      <c r="K782" s="14">
        <v>20.0</v>
      </c>
      <c r="L782" s="14">
        <v>0.0</v>
      </c>
      <c r="M782" s="25"/>
      <c r="N782" s="26" t="s">
        <v>21</v>
      </c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>
      <c r="A783" s="14" t="s">
        <v>2992</v>
      </c>
      <c r="B783" s="17" t="s">
        <v>2989</v>
      </c>
      <c r="C783" s="17" t="s">
        <v>2993</v>
      </c>
      <c r="D783" s="19" t="s">
        <v>2994</v>
      </c>
      <c r="E783" s="20" t="s">
        <v>2995</v>
      </c>
      <c r="F783" s="21">
        <v>34468.0</v>
      </c>
      <c r="G783" s="14">
        <f t="shared" si="1"/>
        <v>32</v>
      </c>
      <c r="H783" s="23" t="s">
        <v>26</v>
      </c>
      <c r="I783" s="24" t="s">
        <v>33</v>
      </c>
      <c r="J783" s="19" t="s">
        <v>1866</v>
      </c>
      <c r="K783" s="14">
        <v>20.0</v>
      </c>
      <c r="L783" s="14">
        <v>0.0</v>
      </c>
      <c r="M783" s="25"/>
      <c r="N783" s="26" t="s">
        <v>21</v>
      </c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>
      <c r="A784" s="14" t="s">
        <v>2996</v>
      </c>
      <c r="B784" s="17" t="s">
        <v>2997</v>
      </c>
      <c r="C784" s="17" t="s">
        <v>2998</v>
      </c>
      <c r="D784" s="19" t="s">
        <v>2999</v>
      </c>
      <c r="E784" s="20" t="s">
        <v>650</v>
      </c>
      <c r="F784" s="21">
        <v>27427.0</v>
      </c>
      <c r="G784" s="14">
        <f t="shared" si="1"/>
        <v>51</v>
      </c>
      <c r="H784" s="23" t="s">
        <v>26</v>
      </c>
      <c r="I784" s="24" t="s">
        <v>33</v>
      </c>
      <c r="J784" s="19" t="s">
        <v>517</v>
      </c>
      <c r="K784" s="14">
        <v>29.0</v>
      </c>
      <c r="L784" s="14">
        <v>0.0</v>
      </c>
      <c r="M784" s="25"/>
      <c r="N784" s="26" t="s">
        <v>21</v>
      </c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>
      <c r="A785" s="14" t="s">
        <v>3000</v>
      </c>
      <c r="B785" s="17" t="s">
        <v>2997</v>
      </c>
      <c r="C785" s="17" t="s">
        <v>3001</v>
      </c>
      <c r="D785" s="19" t="s">
        <v>3002</v>
      </c>
      <c r="E785" s="20" t="s">
        <v>3003</v>
      </c>
      <c r="F785" s="21">
        <v>38769.0</v>
      </c>
      <c r="G785" s="14">
        <f t="shared" si="1"/>
        <v>20</v>
      </c>
      <c r="H785" s="23" t="s">
        <v>100</v>
      </c>
      <c r="I785" s="24" t="s">
        <v>27</v>
      </c>
      <c r="J785" s="19" t="s">
        <v>517</v>
      </c>
      <c r="K785" s="14">
        <v>29.0</v>
      </c>
      <c r="L785" s="14">
        <v>0.0</v>
      </c>
      <c r="M785" s="25"/>
      <c r="N785" s="26" t="s">
        <v>21</v>
      </c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>
      <c r="A786" s="14" t="s">
        <v>3004</v>
      </c>
      <c r="B786" s="17" t="s">
        <v>2997</v>
      </c>
      <c r="C786" s="17" t="s">
        <v>3005</v>
      </c>
      <c r="D786" s="19" t="s">
        <v>3006</v>
      </c>
      <c r="E786" s="20" t="s">
        <v>3007</v>
      </c>
      <c r="F786" s="21">
        <v>27085.0</v>
      </c>
      <c r="G786" s="14">
        <f t="shared" si="1"/>
        <v>52</v>
      </c>
      <c r="H786" s="23" t="s">
        <v>26</v>
      </c>
      <c r="I786" s="24" t="s">
        <v>27</v>
      </c>
      <c r="J786" s="19" t="s">
        <v>517</v>
      </c>
      <c r="K786" s="14">
        <v>29.0</v>
      </c>
      <c r="L786" s="14">
        <v>0.0</v>
      </c>
      <c r="M786" s="25"/>
      <c r="N786" s="26" t="s">
        <v>21</v>
      </c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>
      <c r="A787" s="14" t="s">
        <v>3008</v>
      </c>
      <c r="B787" s="17" t="s">
        <v>3009</v>
      </c>
      <c r="C787" s="17" t="s">
        <v>3010</v>
      </c>
      <c r="D787" s="19" t="s">
        <v>3011</v>
      </c>
      <c r="E787" s="20" t="s">
        <v>53</v>
      </c>
      <c r="F787" s="21">
        <v>36431.0</v>
      </c>
      <c r="G787" s="14">
        <f t="shared" si="1"/>
        <v>27</v>
      </c>
      <c r="H787" s="23" t="s">
        <v>26</v>
      </c>
      <c r="I787" s="24" t="s">
        <v>33</v>
      </c>
      <c r="J787" s="19" t="s">
        <v>328</v>
      </c>
      <c r="K787" s="14">
        <v>26.0</v>
      </c>
      <c r="L787" s="14">
        <v>0.0</v>
      </c>
      <c r="M787" s="25"/>
      <c r="N787" s="26" t="s">
        <v>21</v>
      </c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>
      <c r="A788" s="14" t="s">
        <v>3012</v>
      </c>
      <c r="B788" s="17" t="s">
        <v>3009</v>
      </c>
      <c r="C788" s="17" t="s">
        <v>3013</v>
      </c>
      <c r="D788" s="19" t="s">
        <v>3014</v>
      </c>
      <c r="E788" s="20" t="s">
        <v>104</v>
      </c>
      <c r="F788" s="21">
        <v>36412.0</v>
      </c>
      <c r="G788" s="14">
        <f t="shared" si="1"/>
        <v>27</v>
      </c>
      <c r="H788" s="23" t="s">
        <v>26</v>
      </c>
      <c r="I788" s="24" t="s">
        <v>27</v>
      </c>
      <c r="J788" s="19" t="s">
        <v>328</v>
      </c>
      <c r="K788" s="14">
        <v>26.0</v>
      </c>
      <c r="L788" s="14">
        <v>0.0</v>
      </c>
      <c r="M788" s="25"/>
      <c r="N788" s="26" t="s">
        <v>21</v>
      </c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>
      <c r="A789" s="14" t="s">
        <v>3015</v>
      </c>
      <c r="B789" s="17" t="s">
        <v>3016</v>
      </c>
      <c r="C789" s="17" t="s">
        <v>3017</v>
      </c>
      <c r="D789" s="19" t="s">
        <v>3018</v>
      </c>
      <c r="E789" s="20" t="s">
        <v>337</v>
      </c>
      <c r="F789" s="27">
        <v>33957.0</v>
      </c>
      <c r="G789" s="14">
        <f t="shared" si="1"/>
        <v>33</v>
      </c>
      <c r="H789" s="23" t="s">
        <v>27</v>
      </c>
      <c r="I789" s="24" t="s">
        <v>27</v>
      </c>
      <c r="J789" s="19" t="s">
        <v>146</v>
      </c>
      <c r="K789" s="14">
        <v>10.0</v>
      </c>
      <c r="L789" s="14">
        <v>0.0</v>
      </c>
      <c r="M789" s="25"/>
      <c r="N789" s="26" t="s">
        <v>21</v>
      </c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>
      <c r="A790" s="14" t="s">
        <v>3019</v>
      </c>
      <c r="B790" s="17" t="s">
        <v>3016</v>
      </c>
      <c r="C790" s="17" t="s">
        <v>3020</v>
      </c>
      <c r="D790" s="19" t="s">
        <v>3021</v>
      </c>
      <c r="E790" s="20" t="s">
        <v>736</v>
      </c>
      <c r="F790" s="21">
        <v>34734.0</v>
      </c>
      <c r="G790" s="14">
        <f t="shared" si="1"/>
        <v>31</v>
      </c>
      <c r="H790" s="23" t="s">
        <v>26</v>
      </c>
      <c r="I790" s="24" t="s">
        <v>33</v>
      </c>
      <c r="J790" s="19" t="s">
        <v>757</v>
      </c>
      <c r="K790" s="14">
        <v>10.0</v>
      </c>
      <c r="L790" s="14">
        <v>0.0</v>
      </c>
      <c r="M790" s="25"/>
      <c r="N790" s="26" t="s">
        <v>21</v>
      </c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>
      <c r="A791" s="14" t="s">
        <v>3022</v>
      </c>
      <c r="B791" s="17" t="s">
        <v>3023</v>
      </c>
      <c r="C791" s="17" t="s">
        <v>3024</v>
      </c>
      <c r="D791" s="19" t="s">
        <v>3025</v>
      </c>
      <c r="E791" s="20" t="s">
        <v>195</v>
      </c>
      <c r="F791" s="21">
        <v>34369.0</v>
      </c>
      <c r="G791" s="14">
        <f t="shared" si="1"/>
        <v>32</v>
      </c>
      <c r="H791" s="23" t="s">
        <v>26</v>
      </c>
      <c r="I791" s="24" t="s">
        <v>27</v>
      </c>
      <c r="J791" s="19" t="s">
        <v>68</v>
      </c>
      <c r="K791" s="14">
        <v>31.0</v>
      </c>
      <c r="L791" s="14">
        <v>0.0</v>
      </c>
      <c r="M791" s="25"/>
      <c r="N791" s="26" t="s">
        <v>21</v>
      </c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>
      <c r="A792" s="14" t="s">
        <v>3026</v>
      </c>
      <c r="B792" s="17" t="s">
        <v>3023</v>
      </c>
      <c r="C792" s="17" t="s">
        <v>3027</v>
      </c>
      <c r="D792" s="19" t="s">
        <v>3028</v>
      </c>
      <c r="E792" s="20" t="s">
        <v>3029</v>
      </c>
      <c r="F792" s="21">
        <v>33845.0</v>
      </c>
      <c r="G792" s="14">
        <f t="shared" si="1"/>
        <v>34</v>
      </c>
      <c r="H792" s="23" t="s">
        <v>26</v>
      </c>
      <c r="I792" s="24" t="s">
        <v>33</v>
      </c>
      <c r="J792" s="19" t="s">
        <v>68</v>
      </c>
      <c r="K792" s="14">
        <v>31.0</v>
      </c>
      <c r="L792" s="14">
        <v>0.0</v>
      </c>
      <c r="M792" s="25"/>
      <c r="N792" s="26" t="s">
        <v>21</v>
      </c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>
      <c r="A793" s="14" t="s">
        <v>3030</v>
      </c>
      <c r="B793" s="17" t="s">
        <v>3031</v>
      </c>
      <c r="C793" s="17" t="s">
        <v>3032</v>
      </c>
      <c r="D793" s="19" t="s">
        <v>3033</v>
      </c>
      <c r="E793" s="20" t="s">
        <v>104</v>
      </c>
      <c r="F793" s="21">
        <v>28539.0</v>
      </c>
      <c r="G793" s="14">
        <f t="shared" si="1"/>
        <v>48</v>
      </c>
      <c r="H793" s="23" t="s">
        <v>27</v>
      </c>
      <c r="I793" s="24" t="s">
        <v>27</v>
      </c>
      <c r="J793" s="19" t="s">
        <v>53</v>
      </c>
      <c r="K793" s="14">
        <v>32.0</v>
      </c>
      <c r="L793" s="14">
        <v>0.0</v>
      </c>
      <c r="M793" s="25"/>
      <c r="N793" s="26" t="s">
        <v>21</v>
      </c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>
      <c r="A794" s="14" t="s">
        <v>3034</v>
      </c>
      <c r="B794" s="17" t="s">
        <v>3035</v>
      </c>
      <c r="C794" s="17" t="s">
        <v>3036</v>
      </c>
      <c r="D794" s="19" t="s">
        <v>3037</v>
      </c>
      <c r="E794" s="20" t="s">
        <v>138</v>
      </c>
      <c r="F794" s="21">
        <v>34922.0</v>
      </c>
      <c r="G794" s="14">
        <f t="shared" si="1"/>
        <v>31</v>
      </c>
      <c r="H794" s="23" t="s">
        <v>26</v>
      </c>
      <c r="I794" s="24" t="s">
        <v>33</v>
      </c>
      <c r="J794" s="19" t="s">
        <v>146</v>
      </c>
      <c r="K794" s="14">
        <v>3.0</v>
      </c>
      <c r="L794" s="14">
        <v>0.0</v>
      </c>
      <c r="M794" s="25"/>
      <c r="N794" s="26" t="s">
        <v>21</v>
      </c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>
      <c r="A795" s="14" t="s">
        <v>3038</v>
      </c>
      <c r="B795" s="17" t="s">
        <v>3035</v>
      </c>
      <c r="C795" s="17" t="s">
        <v>3039</v>
      </c>
      <c r="D795" s="19" t="s">
        <v>3040</v>
      </c>
      <c r="E795" s="20" t="s">
        <v>53</v>
      </c>
      <c r="F795" s="21">
        <v>34371.0</v>
      </c>
      <c r="G795" s="14">
        <f t="shared" si="1"/>
        <v>32</v>
      </c>
      <c r="H795" s="23" t="s">
        <v>26</v>
      </c>
      <c r="I795" s="24" t="s">
        <v>27</v>
      </c>
      <c r="J795" s="19" t="s">
        <v>146</v>
      </c>
      <c r="K795" s="14">
        <v>3.0</v>
      </c>
      <c r="L795" s="14">
        <v>0.0</v>
      </c>
      <c r="M795" s="25"/>
      <c r="N795" s="26" t="s">
        <v>21</v>
      </c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>
      <c r="A796" s="14" t="s">
        <v>3041</v>
      </c>
      <c r="B796" s="17" t="s">
        <v>3042</v>
      </c>
      <c r="C796" s="17" t="s">
        <v>3043</v>
      </c>
      <c r="D796" s="19" t="s">
        <v>3044</v>
      </c>
      <c r="E796" s="20" t="s">
        <v>104</v>
      </c>
      <c r="F796" s="21">
        <v>35690.0</v>
      </c>
      <c r="G796" s="14">
        <f t="shared" si="1"/>
        <v>29</v>
      </c>
      <c r="H796" s="23" t="s">
        <v>100</v>
      </c>
      <c r="I796" s="24" t="s">
        <v>27</v>
      </c>
      <c r="J796" s="19" t="s">
        <v>517</v>
      </c>
      <c r="K796" s="14">
        <v>9.0</v>
      </c>
      <c r="L796" s="14">
        <v>5.0</v>
      </c>
      <c r="M796" s="25"/>
      <c r="N796" s="26" t="s">
        <v>21</v>
      </c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>
      <c r="A797" s="14" t="s">
        <v>3045</v>
      </c>
      <c r="B797" s="17" t="s">
        <v>3042</v>
      </c>
      <c r="C797" s="17" t="s">
        <v>3046</v>
      </c>
      <c r="D797" s="19" t="s">
        <v>520</v>
      </c>
      <c r="E797" s="20" t="s">
        <v>3047</v>
      </c>
      <c r="F797" s="21">
        <v>28395.0</v>
      </c>
      <c r="G797" s="14">
        <f t="shared" si="1"/>
        <v>49</v>
      </c>
      <c r="H797" s="23" t="s">
        <v>26</v>
      </c>
      <c r="I797" s="24" t="s">
        <v>27</v>
      </c>
      <c r="J797" s="19" t="s">
        <v>517</v>
      </c>
      <c r="K797" s="14">
        <v>9.0</v>
      </c>
      <c r="L797" s="14">
        <v>0.0</v>
      </c>
      <c r="M797" s="25"/>
      <c r="N797" s="26" t="s">
        <v>21</v>
      </c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>
      <c r="A798" s="14" t="s">
        <v>3048</v>
      </c>
      <c r="B798" s="17" t="s">
        <v>3042</v>
      </c>
      <c r="C798" s="17" t="s">
        <v>3049</v>
      </c>
      <c r="D798" s="19" t="s">
        <v>636</v>
      </c>
      <c r="E798" s="20" t="s">
        <v>429</v>
      </c>
      <c r="F798" s="21">
        <v>26095.0</v>
      </c>
      <c r="G798" s="14">
        <f t="shared" si="1"/>
        <v>55</v>
      </c>
      <c r="H798" s="23" t="s">
        <v>26</v>
      </c>
      <c r="I798" s="24" t="s">
        <v>33</v>
      </c>
      <c r="J798" s="19" t="s">
        <v>58</v>
      </c>
      <c r="K798" s="14">
        <v>9.0</v>
      </c>
      <c r="L798" s="14">
        <v>0.0</v>
      </c>
      <c r="M798" s="25"/>
      <c r="N798" s="26" t="s">
        <v>21</v>
      </c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>
      <c r="A799" s="14" t="s">
        <v>3050</v>
      </c>
      <c r="B799" s="17" t="s">
        <v>3051</v>
      </c>
      <c r="C799" s="17" t="s">
        <v>3052</v>
      </c>
      <c r="D799" s="19" t="s">
        <v>3053</v>
      </c>
      <c r="E799" s="20" t="s">
        <v>434</v>
      </c>
      <c r="F799" s="21">
        <v>26854.0</v>
      </c>
      <c r="G799" s="14">
        <f t="shared" si="1"/>
        <v>53</v>
      </c>
      <c r="H799" s="23" t="s">
        <v>26</v>
      </c>
      <c r="I799" s="24" t="s">
        <v>33</v>
      </c>
      <c r="J799" s="19" t="s">
        <v>58</v>
      </c>
      <c r="K799" s="14">
        <v>9.0</v>
      </c>
      <c r="L799" s="14">
        <v>0.0</v>
      </c>
      <c r="M799" s="25"/>
      <c r="N799" s="26" t="s">
        <v>21</v>
      </c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>
      <c r="A800" s="14" t="s">
        <v>3054</v>
      </c>
      <c r="B800" s="17" t="s">
        <v>3051</v>
      </c>
      <c r="C800" s="17" t="s">
        <v>3055</v>
      </c>
      <c r="D800" s="19" t="s">
        <v>3056</v>
      </c>
      <c r="E800" s="20" t="s">
        <v>53</v>
      </c>
      <c r="F800" s="21">
        <v>30464.0</v>
      </c>
      <c r="G800" s="14">
        <f t="shared" si="1"/>
        <v>43</v>
      </c>
      <c r="H800" s="23" t="s">
        <v>26</v>
      </c>
      <c r="I800" s="24" t="s">
        <v>27</v>
      </c>
      <c r="J800" s="19" t="s">
        <v>58</v>
      </c>
      <c r="K800" s="14">
        <v>9.0</v>
      </c>
      <c r="L800" s="14">
        <v>0.0</v>
      </c>
      <c r="M800" s="25"/>
      <c r="N800" s="26" t="s">
        <v>21</v>
      </c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>
      <c r="A801" s="14" t="s">
        <v>3057</v>
      </c>
      <c r="B801" s="17" t="s">
        <v>3058</v>
      </c>
      <c r="C801" s="17" t="s">
        <v>3059</v>
      </c>
      <c r="D801" s="19" t="s">
        <v>3060</v>
      </c>
      <c r="E801" s="20" t="s">
        <v>1816</v>
      </c>
      <c r="F801" s="21">
        <v>34110.0</v>
      </c>
      <c r="G801" s="14">
        <f t="shared" si="1"/>
        <v>33</v>
      </c>
      <c r="H801" s="23" t="s">
        <v>26</v>
      </c>
      <c r="I801" s="24" t="s">
        <v>27</v>
      </c>
      <c r="J801" s="19" t="s">
        <v>726</v>
      </c>
      <c r="K801" s="14">
        <v>17.0</v>
      </c>
      <c r="L801" s="14">
        <v>5.0</v>
      </c>
      <c r="M801" s="25"/>
      <c r="N801" s="26" t="s">
        <v>21</v>
      </c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>
      <c r="A802" s="14" t="s">
        <v>3061</v>
      </c>
      <c r="B802" s="17" t="s">
        <v>3062</v>
      </c>
      <c r="C802" s="17" t="s">
        <v>3063</v>
      </c>
      <c r="D802" s="19" t="s">
        <v>3064</v>
      </c>
      <c r="E802" s="20" t="s">
        <v>650</v>
      </c>
      <c r="F802" s="21">
        <v>25841.0</v>
      </c>
      <c r="G802" s="14">
        <f t="shared" si="1"/>
        <v>56</v>
      </c>
      <c r="H802" s="23" t="s">
        <v>26</v>
      </c>
      <c r="I802" s="24" t="s">
        <v>33</v>
      </c>
      <c r="J802" s="19" t="s">
        <v>726</v>
      </c>
      <c r="K802" s="14">
        <v>17.0</v>
      </c>
      <c r="L802" s="14">
        <v>0.0</v>
      </c>
      <c r="M802" s="25"/>
      <c r="N802" s="26" t="s">
        <v>21</v>
      </c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>
      <c r="A803" s="14" t="s">
        <v>3065</v>
      </c>
      <c r="B803" s="17" t="s">
        <v>3062</v>
      </c>
      <c r="C803" s="17" t="s">
        <v>3066</v>
      </c>
      <c r="D803" s="19" t="s">
        <v>687</v>
      </c>
      <c r="E803" s="20" t="s">
        <v>53</v>
      </c>
      <c r="F803" s="21">
        <v>35568.0</v>
      </c>
      <c r="G803" s="14">
        <f t="shared" si="1"/>
        <v>29</v>
      </c>
      <c r="H803" s="23" t="s">
        <v>100</v>
      </c>
      <c r="I803" s="24" t="s">
        <v>27</v>
      </c>
      <c r="J803" s="19" t="s">
        <v>726</v>
      </c>
      <c r="K803" s="14">
        <v>17.0</v>
      </c>
      <c r="L803" s="14">
        <v>5.0</v>
      </c>
      <c r="M803" s="28" t="s">
        <v>3067</v>
      </c>
      <c r="N803" s="26" t="s">
        <v>21</v>
      </c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>
      <c r="A804" s="14" t="s">
        <v>3068</v>
      </c>
      <c r="B804" s="17" t="s">
        <v>3062</v>
      </c>
      <c r="C804" s="17" t="s">
        <v>3069</v>
      </c>
      <c r="D804" s="19" t="s">
        <v>3070</v>
      </c>
      <c r="E804" s="20" t="s">
        <v>3071</v>
      </c>
      <c r="F804" s="21">
        <v>23087.0</v>
      </c>
      <c r="G804" s="14">
        <f t="shared" si="1"/>
        <v>63</v>
      </c>
      <c r="H804" s="23" t="s">
        <v>26</v>
      </c>
      <c r="I804" s="24" t="s">
        <v>27</v>
      </c>
      <c r="J804" s="19" t="s">
        <v>726</v>
      </c>
      <c r="K804" s="14">
        <v>17.0</v>
      </c>
      <c r="L804" s="14">
        <v>0.0</v>
      </c>
      <c r="M804" s="25"/>
      <c r="N804" s="26" t="s">
        <v>21</v>
      </c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>
      <c r="A805" s="14" t="s">
        <v>3072</v>
      </c>
      <c r="B805" s="17" t="s">
        <v>3073</v>
      </c>
      <c r="C805" s="17" t="s">
        <v>3074</v>
      </c>
      <c r="D805" s="19" t="s">
        <v>3075</v>
      </c>
      <c r="E805" s="20" t="s">
        <v>274</v>
      </c>
      <c r="F805" s="21">
        <v>35097.0</v>
      </c>
      <c r="G805" s="14">
        <f t="shared" si="1"/>
        <v>30</v>
      </c>
      <c r="H805" s="23" t="s">
        <v>26</v>
      </c>
      <c r="I805" s="24" t="s">
        <v>27</v>
      </c>
      <c r="J805" s="19" t="s">
        <v>3076</v>
      </c>
      <c r="K805" s="14">
        <v>8.0</v>
      </c>
      <c r="L805" s="14">
        <v>0.0</v>
      </c>
      <c r="M805" s="25"/>
      <c r="N805" s="26" t="s">
        <v>21</v>
      </c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>
      <c r="A806" s="14" t="s">
        <v>3077</v>
      </c>
      <c r="B806" s="17" t="s">
        <v>3073</v>
      </c>
      <c r="C806" s="17" t="s">
        <v>3078</v>
      </c>
      <c r="D806" s="19" t="s">
        <v>3079</v>
      </c>
      <c r="E806" s="20" t="s">
        <v>104</v>
      </c>
      <c r="F806" s="21">
        <v>34441.0</v>
      </c>
      <c r="G806" s="14">
        <f t="shared" si="1"/>
        <v>32</v>
      </c>
      <c r="H806" s="23" t="s">
        <v>26</v>
      </c>
      <c r="I806" s="24" t="s">
        <v>33</v>
      </c>
      <c r="J806" s="19" t="s">
        <v>3076</v>
      </c>
      <c r="K806" s="14">
        <v>8.0</v>
      </c>
      <c r="L806" s="14">
        <v>0.0</v>
      </c>
      <c r="M806" s="25"/>
      <c r="N806" s="26" t="s">
        <v>21</v>
      </c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>
      <c r="A807" s="14" t="s">
        <v>3080</v>
      </c>
      <c r="B807" s="17" t="s">
        <v>3081</v>
      </c>
      <c r="C807" s="17" t="s">
        <v>3082</v>
      </c>
      <c r="D807" s="19" t="s">
        <v>3083</v>
      </c>
      <c r="E807" s="20" t="s">
        <v>3084</v>
      </c>
      <c r="F807" s="21">
        <v>15169.0</v>
      </c>
      <c r="G807" s="14">
        <f t="shared" si="1"/>
        <v>85</v>
      </c>
      <c r="H807" s="23" t="s">
        <v>27</v>
      </c>
      <c r="I807" s="24" t="s">
        <v>27</v>
      </c>
      <c r="J807" s="19" t="s">
        <v>362</v>
      </c>
      <c r="K807" s="14">
        <v>24.0</v>
      </c>
      <c r="L807" s="14">
        <v>0.0</v>
      </c>
      <c r="M807" s="25"/>
      <c r="N807" s="26" t="s">
        <v>21</v>
      </c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>
      <c r="A808" s="14" t="s">
        <v>3085</v>
      </c>
      <c r="B808" s="17" t="s">
        <v>3081</v>
      </c>
      <c r="C808" s="17" t="s">
        <v>3086</v>
      </c>
      <c r="D808" s="19" t="s">
        <v>3087</v>
      </c>
      <c r="E808" s="20" t="s">
        <v>1370</v>
      </c>
      <c r="F808" s="21">
        <v>28432.0</v>
      </c>
      <c r="G808" s="14">
        <f t="shared" si="1"/>
        <v>48</v>
      </c>
      <c r="H808" s="23" t="s">
        <v>100</v>
      </c>
      <c r="I808" s="24" t="s">
        <v>33</v>
      </c>
      <c r="J808" s="19" t="s">
        <v>362</v>
      </c>
      <c r="K808" s="14">
        <v>24.0</v>
      </c>
      <c r="L808" s="14">
        <v>0.0</v>
      </c>
      <c r="M808" s="25"/>
      <c r="N808" s="26" t="s">
        <v>21</v>
      </c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>
      <c r="A809" s="14" t="s">
        <v>3088</v>
      </c>
      <c r="B809" s="17" t="s">
        <v>3089</v>
      </c>
      <c r="C809" s="17" t="s">
        <v>3090</v>
      </c>
      <c r="D809" s="19" t="s">
        <v>3091</v>
      </c>
      <c r="E809" s="20" t="s">
        <v>654</v>
      </c>
      <c r="F809" s="27">
        <v>15629.0</v>
      </c>
      <c r="G809" s="14">
        <f t="shared" si="1"/>
        <v>84</v>
      </c>
      <c r="H809" s="23" t="s">
        <v>26</v>
      </c>
      <c r="I809" s="24" t="s">
        <v>27</v>
      </c>
      <c r="J809" s="19" t="s">
        <v>68</v>
      </c>
      <c r="K809" s="14">
        <v>30.0</v>
      </c>
      <c r="L809" s="14">
        <v>0.0</v>
      </c>
      <c r="M809" s="25"/>
      <c r="N809" s="26" t="s">
        <v>21</v>
      </c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>
      <c r="A810" s="14" t="s">
        <v>3092</v>
      </c>
      <c r="B810" s="17" t="s">
        <v>3093</v>
      </c>
      <c r="C810" s="17" t="s">
        <v>3094</v>
      </c>
      <c r="D810" s="19" t="s">
        <v>3095</v>
      </c>
      <c r="E810" s="20" t="s">
        <v>53</v>
      </c>
      <c r="F810" s="21">
        <v>33730.0</v>
      </c>
      <c r="G810" s="14">
        <f t="shared" si="1"/>
        <v>34</v>
      </c>
      <c r="H810" s="23" t="s">
        <v>100</v>
      </c>
      <c r="I810" s="24" t="s">
        <v>27</v>
      </c>
      <c r="J810" s="19" t="s">
        <v>68</v>
      </c>
      <c r="K810" s="14">
        <v>35.0</v>
      </c>
      <c r="L810" s="14">
        <v>0.0</v>
      </c>
      <c r="M810" s="25"/>
      <c r="N810" s="26" t="s">
        <v>21</v>
      </c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>
      <c r="A811" s="14" t="s">
        <v>3096</v>
      </c>
      <c r="B811" s="17" t="s">
        <v>3093</v>
      </c>
      <c r="C811" s="17" t="s">
        <v>3097</v>
      </c>
      <c r="D811" s="19" t="s">
        <v>3098</v>
      </c>
      <c r="E811" s="20" t="s">
        <v>53</v>
      </c>
      <c r="F811" s="21">
        <v>32960.0</v>
      </c>
      <c r="G811" s="14">
        <f t="shared" si="1"/>
        <v>36</v>
      </c>
      <c r="H811" s="23" t="s">
        <v>100</v>
      </c>
      <c r="I811" s="24" t="s">
        <v>27</v>
      </c>
      <c r="J811" s="19" t="s">
        <v>68</v>
      </c>
      <c r="K811" s="14">
        <v>35.0</v>
      </c>
      <c r="L811" s="14">
        <v>0.0</v>
      </c>
      <c r="M811" s="25"/>
      <c r="N811" s="26" t="s">
        <v>21</v>
      </c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>
      <c r="A812" s="14" t="s">
        <v>3099</v>
      </c>
      <c r="B812" s="17" t="s">
        <v>3093</v>
      </c>
      <c r="C812" s="17" t="s">
        <v>3100</v>
      </c>
      <c r="D812" s="19" t="s">
        <v>2527</v>
      </c>
      <c r="E812" s="20" t="s">
        <v>3101</v>
      </c>
      <c r="F812" s="27">
        <v>21550.0</v>
      </c>
      <c r="G812" s="14">
        <f t="shared" si="1"/>
        <v>67</v>
      </c>
      <c r="H812" s="23" t="s">
        <v>27</v>
      </c>
      <c r="I812" s="24" t="s">
        <v>27</v>
      </c>
      <c r="J812" s="19" t="s">
        <v>68</v>
      </c>
      <c r="K812" s="14">
        <v>35.0</v>
      </c>
      <c r="L812" s="14">
        <v>0.0</v>
      </c>
      <c r="M812" s="25"/>
      <c r="N812" s="26" t="s">
        <v>21</v>
      </c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>
      <c r="A813" s="14" t="s">
        <v>3102</v>
      </c>
      <c r="B813" s="17" t="s">
        <v>3103</v>
      </c>
      <c r="C813" s="17" t="s">
        <v>3104</v>
      </c>
      <c r="D813" s="19" t="s">
        <v>3105</v>
      </c>
      <c r="E813" s="20" t="s">
        <v>3106</v>
      </c>
      <c r="F813" s="21">
        <v>21583.0</v>
      </c>
      <c r="G813" s="14">
        <f t="shared" si="1"/>
        <v>67</v>
      </c>
      <c r="H813" s="23" t="s">
        <v>27</v>
      </c>
      <c r="I813" s="24" t="s">
        <v>27</v>
      </c>
      <c r="J813" s="19" t="s">
        <v>362</v>
      </c>
      <c r="K813" s="14">
        <v>24.0</v>
      </c>
      <c r="L813" s="14">
        <v>0.0</v>
      </c>
      <c r="M813" s="25"/>
      <c r="N813" s="26" t="s">
        <v>21</v>
      </c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>
      <c r="A814" s="14" t="s">
        <v>3107</v>
      </c>
      <c r="B814" s="17" t="s">
        <v>3108</v>
      </c>
      <c r="C814" s="17" t="s">
        <v>3109</v>
      </c>
      <c r="D814" s="19" t="s">
        <v>3110</v>
      </c>
      <c r="E814" s="20" t="s">
        <v>984</v>
      </c>
      <c r="F814" s="21">
        <v>24972.0</v>
      </c>
      <c r="G814" s="14">
        <f t="shared" si="1"/>
        <v>58</v>
      </c>
      <c r="H814" s="23" t="s">
        <v>26</v>
      </c>
      <c r="I814" s="24" t="s">
        <v>27</v>
      </c>
      <c r="J814" s="19" t="s">
        <v>282</v>
      </c>
      <c r="K814" s="14">
        <v>19.0</v>
      </c>
      <c r="L814" s="14">
        <v>0.0</v>
      </c>
      <c r="M814" s="25"/>
      <c r="N814" s="26" t="s">
        <v>21</v>
      </c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>
      <c r="A815" s="14" t="s">
        <v>3111</v>
      </c>
      <c r="B815" s="17" t="s">
        <v>3112</v>
      </c>
      <c r="C815" s="17" t="s">
        <v>3113</v>
      </c>
      <c r="D815" s="19" t="s">
        <v>3114</v>
      </c>
      <c r="E815" s="20" t="s">
        <v>112</v>
      </c>
      <c r="F815" s="21">
        <v>26000.0</v>
      </c>
      <c r="G815" s="14">
        <f t="shared" si="1"/>
        <v>55</v>
      </c>
      <c r="H815" s="23" t="s">
        <v>26</v>
      </c>
      <c r="I815" s="24" t="s">
        <v>27</v>
      </c>
      <c r="J815" s="19" t="s">
        <v>328</v>
      </c>
      <c r="K815" s="14">
        <v>19.0</v>
      </c>
      <c r="L815" s="14">
        <v>1.0</v>
      </c>
      <c r="M815" s="25"/>
      <c r="N815" s="26" t="s">
        <v>21</v>
      </c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>
      <c r="A816" s="14" t="s">
        <v>3115</v>
      </c>
      <c r="B816" s="17" t="s">
        <v>3116</v>
      </c>
      <c r="C816" s="17" t="s">
        <v>3117</v>
      </c>
      <c r="D816" s="19" t="s">
        <v>3118</v>
      </c>
      <c r="E816" s="20" t="s">
        <v>632</v>
      </c>
      <c r="F816" s="21">
        <v>23203.0</v>
      </c>
      <c r="G816" s="14">
        <f t="shared" si="1"/>
        <v>63</v>
      </c>
      <c r="H816" s="23" t="s">
        <v>26</v>
      </c>
      <c r="I816" s="24" t="s">
        <v>27</v>
      </c>
      <c r="J816" s="19" t="s">
        <v>517</v>
      </c>
      <c r="K816" s="14">
        <v>8.0</v>
      </c>
      <c r="L816" s="14">
        <v>0.0</v>
      </c>
      <c r="M816" s="25"/>
      <c r="N816" s="26" t="s">
        <v>21</v>
      </c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>
      <c r="A817" s="14" t="s">
        <v>3119</v>
      </c>
      <c r="B817" s="17" t="s">
        <v>3120</v>
      </c>
      <c r="C817" s="17" t="s">
        <v>3121</v>
      </c>
      <c r="D817" s="19" t="s">
        <v>3122</v>
      </c>
      <c r="E817" s="20" t="s">
        <v>632</v>
      </c>
      <c r="F817" s="21">
        <v>25750.0</v>
      </c>
      <c r="G817" s="14">
        <f t="shared" si="1"/>
        <v>56</v>
      </c>
      <c r="H817" s="23" t="s">
        <v>27</v>
      </c>
      <c r="I817" s="24" t="s">
        <v>27</v>
      </c>
      <c r="J817" s="19" t="s">
        <v>53</v>
      </c>
      <c r="K817" s="14">
        <v>18.0</v>
      </c>
      <c r="L817" s="14">
        <v>0.0</v>
      </c>
      <c r="M817" s="25"/>
      <c r="N817" s="26" t="s">
        <v>21</v>
      </c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>
      <c r="A818" s="14" t="s">
        <v>3123</v>
      </c>
      <c r="B818" s="17" t="s">
        <v>3124</v>
      </c>
      <c r="C818" s="17" t="s">
        <v>3125</v>
      </c>
      <c r="D818" s="19" t="s">
        <v>3126</v>
      </c>
      <c r="E818" s="20" t="s">
        <v>3127</v>
      </c>
      <c r="F818" s="21">
        <v>25335.0</v>
      </c>
      <c r="G818" s="14">
        <f t="shared" si="1"/>
        <v>57</v>
      </c>
      <c r="H818" s="23" t="s">
        <v>27</v>
      </c>
      <c r="I818" s="24" t="s">
        <v>27</v>
      </c>
      <c r="J818" s="19" t="s">
        <v>3128</v>
      </c>
      <c r="K818" s="14">
        <v>14.0</v>
      </c>
      <c r="L818" s="14">
        <v>0.0</v>
      </c>
      <c r="M818" s="25"/>
      <c r="N818" s="26" t="s">
        <v>21</v>
      </c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>
      <c r="A819" s="14" t="s">
        <v>3129</v>
      </c>
      <c r="B819" s="17" t="s">
        <v>3130</v>
      </c>
      <c r="C819" s="17" t="s">
        <v>3131</v>
      </c>
      <c r="D819" s="19" t="s">
        <v>3132</v>
      </c>
      <c r="E819" s="20" t="s">
        <v>104</v>
      </c>
      <c r="F819" s="21">
        <v>36754.0</v>
      </c>
      <c r="G819" s="14">
        <f t="shared" si="1"/>
        <v>26</v>
      </c>
      <c r="H819" s="23" t="s">
        <v>26</v>
      </c>
      <c r="I819" s="24" t="s">
        <v>33</v>
      </c>
      <c r="J819" s="19" t="s">
        <v>53</v>
      </c>
      <c r="K819" s="14">
        <v>24.0</v>
      </c>
      <c r="L819" s="14">
        <v>0.0</v>
      </c>
      <c r="M819" s="25"/>
      <c r="N819" s="26" t="s">
        <v>21</v>
      </c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>
      <c r="A820" s="14" t="s">
        <v>3133</v>
      </c>
      <c r="B820" s="17" t="s">
        <v>3130</v>
      </c>
      <c r="C820" s="17" t="s">
        <v>3134</v>
      </c>
      <c r="D820" s="19" t="s">
        <v>3135</v>
      </c>
      <c r="E820" s="20" t="s">
        <v>989</v>
      </c>
      <c r="F820" s="21">
        <v>36353.0</v>
      </c>
      <c r="G820" s="14">
        <f t="shared" si="1"/>
        <v>27</v>
      </c>
      <c r="H820" s="23" t="s">
        <v>26</v>
      </c>
      <c r="I820" s="24" t="s">
        <v>27</v>
      </c>
      <c r="J820" s="19" t="s">
        <v>53</v>
      </c>
      <c r="K820" s="14">
        <v>24.0</v>
      </c>
      <c r="L820" s="14">
        <v>0.0</v>
      </c>
      <c r="M820" s="25"/>
      <c r="N820" s="26" t="s">
        <v>21</v>
      </c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>
      <c r="A821" s="14" t="s">
        <v>3136</v>
      </c>
      <c r="B821" s="17" t="s">
        <v>3137</v>
      </c>
      <c r="C821" s="17" t="s">
        <v>3138</v>
      </c>
      <c r="D821" s="19" t="s">
        <v>3139</v>
      </c>
      <c r="E821" s="20" t="s">
        <v>1291</v>
      </c>
      <c r="F821" s="21">
        <v>20133.0</v>
      </c>
      <c r="G821" s="14">
        <f t="shared" si="1"/>
        <v>71</v>
      </c>
      <c r="H821" s="23" t="s">
        <v>27</v>
      </c>
      <c r="I821" s="24" t="s">
        <v>27</v>
      </c>
      <c r="J821" s="19" t="s">
        <v>58</v>
      </c>
      <c r="K821" s="14">
        <v>36.0</v>
      </c>
      <c r="L821" s="14">
        <v>0.0</v>
      </c>
      <c r="M821" s="25"/>
      <c r="N821" s="26" t="s">
        <v>21</v>
      </c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>
      <c r="A822" s="14" t="s">
        <v>3140</v>
      </c>
      <c r="B822" s="17" t="s">
        <v>3141</v>
      </c>
      <c r="C822" s="17" t="s">
        <v>3142</v>
      </c>
      <c r="D822" s="19" t="s">
        <v>3143</v>
      </c>
      <c r="E822" s="20" t="s">
        <v>3144</v>
      </c>
      <c r="F822" s="21">
        <v>32665.0</v>
      </c>
      <c r="G822" s="14">
        <f t="shared" si="1"/>
        <v>37</v>
      </c>
      <c r="H822" s="23" t="s">
        <v>26</v>
      </c>
      <c r="I822" s="24" t="s">
        <v>33</v>
      </c>
      <c r="J822" s="19" t="s">
        <v>282</v>
      </c>
      <c r="K822" s="14">
        <v>13.0</v>
      </c>
      <c r="L822" s="14">
        <v>0.0</v>
      </c>
      <c r="M822" s="25"/>
      <c r="N822" s="26" t="s">
        <v>21</v>
      </c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>
      <c r="A823" s="14" t="s">
        <v>3145</v>
      </c>
      <c r="B823" s="17" t="s">
        <v>3141</v>
      </c>
      <c r="C823" s="17" t="s">
        <v>3146</v>
      </c>
      <c r="D823" s="19" t="s">
        <v>3147</v>
      </c>
      <c r="E823" s="20" t="s">
        <v>104</v>
      </c>
      <c r="F823" s="27">
        <v>32808.0</v>
      </c>
      <c r="G823" s="14">
        <f t="shared" si="1"/>
        <v>37</v>
      </c>
      <c r="H823" s="23" t="s">
        <v>26</v>
      </c>
      <c r="I823" s="24" t="s">
        <v>27</v>
      </c>
      <c r="J823" s="19" t="s">
        <v>282</v>
      </c>
      <c r="K823" s="14">
        <v>13.0</v>
      </c>
      <c r="L823" s="14">
        <v>0.0</v>
      </c>
      <c r="M823" s="25"/>
      <c r="N823" s="26" t="s">
        <v>21</v>
      </c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>
      <c r="A824" s="14" t="s">
        <v>3148</v>
      </c>
      <c r="B824" s="17" t="s">
        <v>3149</v>
      </c>
      <c r="C824" s="17" t="s">
        <v>3150</v>
      </c>
      <c r="D824" s="19" t="s">
        <v>3151</v>
      </c>
      <c r="E824" s="20" t="s">
        <v>53</v>
      </c>
      <c r="F824" s="21">
        <v>37034.0</v>
      </c>
      <c r="G824" s="14">
        <f t="shared" si="1"/>
        <v>25</v>
      </c>
      <c r="H824" s="23" t="s">
        <v>26</v>
      </c>
      <c r="I824" s="24" t="s">
        <v>27</v>
      </c>
      <c r="J824" s="19" t="s">
        <v>156</v>
      </c>
      <c r="K824" s="14">
        <v>28.0</v>
      </c>
      <c r="L824" s="14">
        <v>0.0</v>
      </c>
      <c r="M824" s="25"/>
      <c r="N824" s="26" t="s">
        <v>21</v>
      </c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>
      <c r="A825" s="14" t="s">
        <v>3152</v>
      </c>
      <c r="B825" s="17" t="s">
        <v>3149</v>
      </c>
      <c r="C825" s="17" t="s">
        <v>3153</v>
      </c>
      <c r="D825" s="19" t="s">
        <v>3154</v>
      </c>
      <c r="E825" s="20" t="s">
        <v>858</v>
      </c>
      <c r="F825" s="21">
        <v>36839.0</v>
      </c>
      <c r="G825" s="14">
        <f t="shared" si="1"/>
        <v>25</v>
      </c>
      <c r="H825" s="23" t="s">
        <v>26</v>
      </c>
      <c r="I825" s="24" t="s">
        <v>33</v>
      </c>
      <c r="J825" s="19" t="s">
        <v>156</v>
      </c>
      <c r="K825" s="14">
        <v>28.0</v>
      </c>
      <c r="L825" s="14">
        <v>0.0</v>
      </c>
      <c r="M825" s="25"/>
      <c r="N825" s="26" t="s">
        <v>21</v>
      </c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>
      <c r="A826" s="14" t="s">
        <v>3155</v>
      </c>
      <c r="B826" s="17" t="s">
        <v>3156</v>
      </c>
      <c r="C826" s="17" t="s">
        <v>3157</v>
      </c>
      <c r="D826" s="19" t="s">
        <v>3158</v>
      </c>
      <c r="E826" s="20" t="s">
        <v>1854</v>
      </c>
      <c r="F826" s="21">
        <v>37496.0</v>
      </c>
      <c r="G826" s="14">
        <f t="shared" si="1"/>
        <v>24</v>
      </c>
      <c r="H826" s="23" t="s">
        <v>26</v>
      </c>
      <c r="I826" s="24" t="s">
        <v>33</v>
      </c>
      <c r="J826" s="19" t="s">
        <v>95</v>
      </c>
      <c r="K826" s="14">
        <v>13.0</v>
      </c>
      <c r="L826" s="14">
        <v>0.0</v>
      </c>
      <c r="M826" s="25"/>
      <c r="N826" s="26" t="s">
        <v>21</v>
      </c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>
      <c r="A827" s="14" t="s">
        <v>3159</v>
      </c>
      <c r="B827" s="17" t="s">
        <v>3156</v>
      </c>
      <c r="C827" s="17" t="s">
        <v>3160</v>
      </c>
      <c r="D827" s="19" t="s">
        <v>3161</v>
      </c>
      <c r="E827" s="20" t="s">
        <v>3162</v>
      </c>
      <c r="F827" s="21">
        <v>39618.0</v>
      </c>
      <c r="G827" s="14">
        <f t="shared" si="1"/>
        <v>18</v>
      </c>
      <c r="H827" s="23" t="s">
        <v>26</v>
      </c>
      <c r="I827" s="24" t="s">
        <v>27</v>
      </c>
      <c r="J827" s="19" t="s">
        <v>328</v>
      </c>
      <c r="K827" s="14">
        <v>13.0</v>
      </c>
      <c r="L827" s="14">
        <v>0.0</v>
      </c>
      <c r="M827" s="25"/>
      <c r="N827" s="26" t="s">
        <v>21</v>
      </c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>
      <c r="A828" s="14" t="s">
        <v>3163</v>
      </c>
      <c r="B828" s="17" t="s">
        <v>3164</v>
      </c>
      <c r="C828" s="17" t="s">
        <v>3165</v>
      </c>
      <c r="D828" s="19" t="s">
        <v>3166</v>
      </c>
      <c r="E828" s="20" t="s">
        <v>104</v>
      </c>
      <c r="F828" s="21">
        <v>38391.0</v>
      </c>
      <c r="G828" s="14">
        <f t="shared" si="1"/>
        <v>21</v>
      </c>
      <c r="H828" s="23" t="s">
        <v>100</v>
      </c>
      <c r="I828" s="24" t="s">
        <v>33</v>
      </c>
      <c r="J828" s="19" t="s">
        <v>3167</v>
      </c>
      <c r="K828" s="14">
        <v>20.0</v>
      </c>
      <c r="L828" s="14">
        <v>0.0</v>
      </c>
      <c r="M828" s="25"/>
      <c r="N828" s="26" t="s">
        <v>21</v>
      </c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>
      <c r="A829" s="14" t="s">
        <v>3168</v>
      </c>
      <c r="B829" s="17" t="s">
        <v>3164</v>
      </c>
      <c r="C829" s="17" t="s">
        <v>3169</v>
      </c>
      <c r="D829" s="19" t="s">
        <v>3170</v>
      </c>
      <c r="E829" s="20" t="s">
        <v>104</v>
      </c>
      <c r="F829" s="27">
        <v>36511.0</v>
      </c>
      <c r="G829" s="14">
        <f t="shared" si="1"/>
        <v>26</v>
      </c>
      <c r="H829" s="23" t="s">
        <v>100</v>
      </c>
      <c r="I829" s="24" t="s">
        <v>27</v>
      </c>
      <c r="J829" s="19" t="s">
        <v>3167</v>
      </c>
      <c r="K829" s="14">
        <v>20.0</v>
      </c>
      <c r="L829" s="14">
        <v>0.0</v>
      </c>
      <c r="M829" s="25"/>
      <c r="N829" s="26" t="s">
        <v>21</v>
      </c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>
      <c r="A830" s="14" t="s">
        <v>3171</v>
      </c>
      <c r="B830" s="17" t="s">
        <v>3164</v>
      </c>
      <c r="C830" s="17" t="s">
        <v>3172</v>
      </c>
      <c r="D830" s="19" t="s">
        <v>3173</v>
      </c>
      <c r="E830" s="20" t="s">
        <v>544</v>
      </c>
      <c r="F830" s="27">
        <v>27710.0</v>
      </c>
      <c r="G830" s="14">
        <f t="shared" si="1"/>
        <v>50</v>
      </c>
      <c r="H830" s="23" t="s">
        <v>26</v>
      </c>
      <c r="I830" s="24" t="s">
        <v>33</v>
      </c>
      <c r="J830" s="19" t="s">
        <v>3167</v>
      </c>
      <c r="K830" s="14">
        <v>20.0</v>
      </c>
      <c r="L830" s="14">
        <v>0.0</v>
      </c>
      <c r="M830" s="25"/>
      <c r="N830" s="26" t="s">
        <v>21</v>
      </c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>
      <c r="A831" s="14" t="s">
        <v>3174</v>
      </c>
      <c r="B831" s="17" t="s">
        <v>3164</v>
      </c>
      <c r="C831" s="17" t="s">
        <v>3175</v>
      </c>
      <c r="D831" s="19" t="s">
        <v>3176</v>
      </c>
      <c r="E831" s="20" t="s">
        <v>104</v>
      </c>
      <c r="F831" s="21">
        <v>29804.0</v>
      </c>
      <c r="G831" s="14">
        <f t="shared" si="1"/>
        <v>45</v>
      </c>
      <c r="H831" s="23" t="s">
        <v>26</v>
      </c>
      <c r="I831" s="24" t="s">
        <v>27</v>
      </c>
      <c r="J831" s="19" t="s">
        <v>3167</v>
      </c>
      <c r="K831" s="14">
        <v>20.0</v>
      </c>
      <c r="L831" s="14">
        <v>0.0</v>
      </c>
      <c r="M831" s="25"/>
      <c r="N831" s="26" t="s">
        <v>21</v>
      </c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>
      <c r="A832" s="14" t="s">
        <v>3177</v>
      </c>
      <c r="B832" s="17" t="s">
        <v>3178</v>
      </c>
      <c r="C832" s="17" t="s">
        <v>3179</v>
      </c>
      <c r="D832" s="19" t="s">
        <v>3180</v>
      </c>
      <c r="E832" s="20" t="s">
        <v>650</v>
      </c>
      <c r="F832" s="21">
        <v>19541.0</v>
      </c>
      <c r="G832" s="14">
        <f t="shared" si="1"/>
        <v>73</v>
      </c>
      <c r="H832" s="23" t="s">
        <v>26</v>
      </c>
      <c r="I832" s="24" t="s">
        <v>27</v>
      </c>
      <c r="J832" s="19" t="s">
        <v>597</v>
      </c>
      <c r="K832" s="14">
        <v>20.0</v>
      </c>
      <c r="L832" s="14">
        <v>0.0</v>
      </c>
      <c r="M832" s="25"/>
      <c r="N832" s="26" t="s">
        <v>21</v>
      </c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>
      <c r="A833" s="14" t="s">
        <v>3181</v>
      </c>
      <c r="B833" s="17" t="s">
        <v>3182</v>
      </c>
      <c r="C833" s="17" t="s">
        <v>3183</v>
      </c>
      <c r="D833" s="19" t="s">
        <v>3184</v>
      </c>
      <c r="E833" s="20" t="s">
        <v>104</v>
      </c>
      <c r="F833" s="21">
        <v>34947.0</v>
      </c>
      <c r="G833" s="14">
        <f t="shared" si="1"/>
        <v>31</v>
      </c>
      <c r="H833" s="23" t="s">
        <v>26</v>
      </c>
      <c r="I833" s="24" t="s">
        <v>27</v>
      </c>
      <c r="J833" s="19" t="s">
        <v>282</v>
      </c>
      <c r="K833" s="14">
        <v>18.0</v>
      </c>
      <c r="L833" s="14">
        <v>0.0</v>
      </c>
      <c r="M833" s="25"/>
      <c r="N833" s="26" t="s">
        <v>21</v>
      </c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>
      <c r="A834" s="14" t="s">
        <v>3185</v>
      </c>
      <c r="B834" s="17" t="s">
        <v>3182</v>
      </c>
      <c r="C834" s="17" t="s">
        <v>3186</v>
      </c>
      <c r="D834" s="19" t="s">
        <v>3187</v>
      </c>
      <c r="E834" s="20" t="s">
        <v>104</v>
      </c>
      <c r="F834" s="21">
        <v>32556.0</v>
      </c>
      <c r="G834" s="14">
        <f t="shared" si="1"/>
        <v>37</v>
      </c>
      <c r="H834" s="23" t="s">
        <v>26</v>
      </c>
      <c r="I834" s="24" t="s">
        <v>33</v>
      </c>
      <c r="J834" s="19" t="s">
        <v>282</v>
      </c>
      <c r="K834" s="14">
        <v>18.0</v>
      </c>
      <c r="L834" s="14">
        <v>0.0</v>
      </c>
      <c r="M834" s="25"/>
      <c r="N834" s="26" t="s">
        <v>21</v>
      </c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>
      <c r="A835" s="14" t="s">
        <v>3188</v>
      </c>
      <c r="B835" s="17" t="s">
        <v>3189</v>
      </c>
      <c r="C835" s="17" t="s">
        <v>3190</v>
      </c>
      <c r="D835" s="19" t="s">
        <v>3191</v>
      </c>
      <c r="E835" s="20" t="s">
        <v>1782</v>
      </c>
      <c r="F835" s="21">
        <v>38372.0</v>
      </c>
      <c r="G835" s="14">
        <f t="shared" si="1"/>
        <v>21</v>
      </c>
      <c r="H835" s="23" t="s">
        <v>100</v>
      </c>
      <c r="I835" s="24" t="s">
        <v>27</v>
      </c>
      <c r="J835" s="19" t="s">
        <v>726</v>
      </c>
      <c r="K835" s="14">
        <v>16.0</v>
      </c>
      <c r="L835" s="14">
        <v>0.0</v>
      </c>
      <c r="M835" s="25"/>
      <c r="N835" s="26" t="s">
        <v>21</v>
      </c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>
      <c r="A836" s="14" t="s">
        <v>3192</v>
      </c>
      <c r="B836" s="17" t="s">
        <v>3189</v>
      </c>
      <c r="C836" s="17" t="s">
        <v>3193</v>
      </c>
      <c r="D836" s="19" t="s">
        <v>3194</v>
      </c>
      <c r="E836" s="20" t="s">
        <v>67</v>
      </c>
      <c r="F836" s="27">
        <v>25862.0</v>
      </c>
      <c r="G836" s="14">
        <f t="shared" si="1"/>
        <v>56</v>
      </c>
      <c r="H836" s="23" t="s">
        <v>26</v>
      </c>
      <c r="I836" s="24" t="s">
        <v>33</v>
      </c>
      <c r="J836" s="19" t="s">
        <v>726</v>
      </c>
      <c r="K836" s="14">
        <v>16.0</v>
      </c>
      <c r="L836" s="14">
        <v>0.0</v>
      </c>
      <c r="M836" s="25"/>
      <c r="N836" s="26" t="s">
        <v>21</v>
      </c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>
      <c r="A837" s="14" t="s">
        <v>3195</v>
      </c>
      <c r="B837" s="17" t="s">
        <v>3189</v>
      </c>
      <c r="C837" s="17" t="s">
        <v>3196</v>
      </c>
      <c r="D837" s="19" t="s">
        <v>3197</v>
      </c>
      <c r="E837" s="20" t="s">
        <v>67</v>
      </c>
      <c r="F837" s="27">
        <v>29220.0</v>
      </c>
      <c r="G837" s="14">
        <f t="shared" si="1"/>
        <v>46</v>
      </c>
      <c r="H837" s="23" t="s">
        <v>26</v>
      </c>
      <c r="I837" s="24" t="s">
        <v>27</v>
      </c>
      <c r="J837" s="19" t="s">
        <v>726</v>
      </c>
      <c r="K837" s="14">
        <v>16.0</v>
      </c>
      <c r="L837" s="14">
        <v>0.0</v>
      </c>
      <c r="M837" s="25"/>
      <c r="N837" s="26" t="s">
        <v>21</v>
      </c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>
      <c r="A838" s="14" t="s">
        <v>3198</v>
      </c>
      <c r="B838" s="17" t="s">
        <v>3199</v>
      </c>
      <c r="C838" s="17" t="s">
        <v>3200</v>
      </c>
      <c r="D838" s="19" t="s">
        <v>3201</v>
      </c>
      <c r="E838" s="20" t="s">
        <v>3202</v>
      </c>
      <c r="F838" s="21">
        <v>34608.0</v>
      </c>
      <c r="G838" s="14">
        <f t="shared" si="1"/>
        <v>32</v>
      </c>
      <c r="H838" s="23" t="s">
        <v>26</v>
      </c>
      <c r="I838" s="24" t="s">
        <v>33</v>
      </c>
      <c r="J838" s="19" t="s">
        <v>53</v>
      </c>
      <c r="K838" s="14">
        <v>10.0</v>
      </c>
      <c r="L838" s="14">
        <v>0.0</v>
      </c>
      <c r="M838" s="25"/>
      <c r="N838" s="26" t="s">
        <v>21</v>
      </c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>
      <c r="A839" s="14" t="s">
        <v>3203</v>
      </c>
      <c r="B839" s="17" t="s">
        <v>3199</v>
      </c>
      <c r="C839" s="17" t="s">
        <v>3204</v>
      </c>
      <c r="D839" s="19" t="s">
        <v>3205</v>
      </c>
      <c r="E839" s="20" t="s">
        <v>104</v>
      </c>
      <c r="F839" s="21">
        <v>36306.0</v>
      </c>
      <c r="G839" s="14">
        <f t="shared" si="1"/>
        <v>27</v>
      </c>
      <c r="H839" s="23" t="s">
        <v>26</v>
      </c>
      <c r="I839" s="24" t="s">
        <v>27</v>
      </c>
      <c r="J839" s="19" t="s">
        <v>53</v>
      </c>
      <c r="K839" s="14">
        <v>10.0</v>
      </c>
      <c r="L839" s="14">
        <v>0.0</v>
      </c>
      <c r="M839" s="25"/>
      <c r="N839" s="26" t="s">
        <v>21</v>
      </c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>
      <c r="A840" s="14" t="s">
        <v>3206</v>
      </c>
      <c r="B840" s="17" t="s">
        <v>3207</v>
      </c>
      <c r="C840" s="17" t="s">
        <v>3208</v>
      </c>
      <c r="D840" s="19" t="s">
        <v>3209</v>
      </c>
      <c r="E840" s="20" t="s">
        <v>3210</v>
      </c>
      <c r="F840" s="21">
        <v>20133.0</v>
      </c>
      <c r="G840" s="14">
        <f t="shared" si="1"/>
        <v>71</v>
      </c>
      <c r="H840" s="23" t="s">
        <v>26</v>
      </c>
      <c r="I840" s="24" t="s">
        <v>27</v>
      </c>
      <c r="J840" s="19" t="s">
        <v>3211</v>
      </c>
      <c r="K840" s="14">
        <v>26.0</v>
      </c>
      <c r="L840" s="14">
        <v>0.0</v>
      </c>
      <c r="M840" s="25"/>
      <c r="N840" s="26" t="s">
        <v>21</v>
      </c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>
      <c r="A841" s="14" t="s">
        <v>3212</v>
      </c>
      <c r="B841" s="17" t="s">
        <v>3207</v>
      </c>
      <c r="C841" s="17" t="s">
        <v>3213</v>
      </c>
      <c r="D841" s="19" t="s">
        <v>3214</v>
      </c>
      <c r="E841" s="20" t="s">
        <v>3215</v>
      </c>
      <c r="F841" s="21">
        <v>18314.0</v>
      </c>
      <c r="G841" s="14">
        <f t="shared" si="1"/>
        <v>76</v>
      </c>
      <c r="H841" s="23" t="s">
        <v>26</v>
      </c>
      <c r="I841" s="24" t="s">
        <v>33</v>
      </c>
      <c r="J841" s="19" t="s">
        <v>3211</v>
      </c>
      <c r="K841" s="14">
        <v>26.0</v>
      </c>
      <c r="L841" s="14">
        <v>0.0</v>
      </c>
      <c r="M841" s="25"/>
      <c r="N841" s="26" t="s">
        <v>21</v>
      </c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>
      <c r="A842" s="14" t="s">
        <v>3216</v>
      </c>
      <c r="B842" s="17" t="s">
        <v>3217</v>
      </c>
      <c r="C842" s="17" t="s">
        <v>3218</v>
      </c>
      <c r="D842" s="19" t="s">
        <v>3219</v>
      </c>
      <c r="E842" s="20" t="s">
        <v>3220</v>
      </c>
      <c r="F842" s="21">
        <v>20367.0</v>
      </c>
      <c r="G842" s="14">
        <f t="shared" si="1"/>
        <v>71</v>
      </c>
      <c r="H842" s="23" t="s">
        <v>26</v>
      </c>
      <c r="I842" s="24" t="s">
        <v>27</v>
      </c>
      <c r="J842" s="19" t="s">
        <v>58</v>
      </c>
      <c r="K842" s="14">
        <v>10.0</v>
      </c>
      <c r="L842" s="14">
        <v>0.0</v>
      </c>
      <c r="M842" s="25"/>
      <c r="N842" s="26" t="s">
        <v>21</v>
      </c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>
      <c r="A843" s="14" t="s">
        <v>3221</v>
      </c>
      <c r="B843" s="17" t="s">
        <v>3217</v>
      </c>
      <c r="C843" s="17" t="s">
        <v>3222</v>
      </c>
      <c r="D843" s="19" t="s">
        <v>3223</v>
      </c>
      <c r="E843" s="20" t="s">
        <v>104</v>
      </c>
      <c r="F843" s="21">
        <v>38993.0</v>
      </c>
      <c r="G843" s="14">
        <f t="shared" si="1"/>
        <v>20</v>
      </c>
      <c r="H843" s="23" t="s">
        <v>100</v>
      </c>
      <c r="I843" s="24" t="s">
        <v>33</v>
      </c>
      <c r="J843" s="19" t="s">
        <v>3224</v>
      </c>
      <c r="K843" s="14">
        <v>10.0</v>
      </c>
      <c r="L843" s="14">
        <v>0.0</v>
      </c>
      <c r="M843" s="25"/>
      <c r="N843" s="26" t="s">
        <v>21</v>
      </c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>
      <c r="A844" s="14" t="s">
        <v>3225</v>
      </c>
      <c r="B844" s="17" t="s">
        <v>3217</v>
      </c>
      <c r="C844" s="17" t="s">
        <v>3226</v>
      </c>
      <c r="D844" s="19" t="s">
        <v>3227</v>
      </c>
      <c r="E844" s="20" t="s">
        <v>372</v>
      </c>
      <c r="F844" s="21">
        <v>21346.0</v>
      </c>
      <c r="G844" s="14">
        <f t="shared" si="1"/>
        <v>68</v>
      </c>
      <c r="H844" s="23" t="s">
        <v>26</v>
      </c>
      <c r="I844" s="24" t="s">
        <v>33</v>
      </c>
      <c r="J844" s="19" t="s">
        <v>3224</v>
      </c>
      <c r="K844" s="14">
        <v>10.0</v>
      </c>
      <c r="L844" s="14">
        <v>5.0</v>
      </c>
      <c r="M844" s="25"/>
      <c r="N844" s="26" t="s">
        <v>21</v>
      </c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>
      <c r="A845" s="14" t="s">
        <v>3228</v>
      </c>
      <c r="B845" s="17" t="s">
        <v>3229</v>
      </c>
      <c r="C845" s="17" t="s">
        <v>3230</v>
      </c>
      <c r="D845" s="19" t="s">
        <v>3231</v>
      </c>
      <c r="E845" s="20" t="s">
        <v>3232</v>
      </c>
      <c r="F845" s="21">
        <v>34920.0</v>
      </c>
      <c r="G845" s="14">
        <f t="shared" si="1"/>
        <v>31</v>
      </c>
      <c r="H845" s="23" t="s">
        <v>26</v>
      </c>
      <c r="I845" s="24" t="s">
        <v>33</v>
      </c>
      <c r="J845" s="19" t="s">
        <v>53</v>
      </c>
      <c r="K845" s="14">
        <v>25.0</v>
      </c>
      <c r="L845" s="14">
        <v>0.0</v>
      </c>
      <c r="M845" s="25"/>
      <c r="N845" s="26" t="s">
        <v>21</v>
      </c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>
      <c r="A846" s="14" t="s">
        <v>3233</v>
      </c>
      <c r="B846" s="17" t="s">
        <v>3229</v>
      </c>
      <c r="C846" s="17" t="s">
        <v>3234</v>
      </c>
      <c r="D846" s="19" t="s">
        <v>3235</v>
      </c>
      <c r="E846" s="20" t="s">
        <v>3236</v>
      </c>
      <c r="F846" s="21">
        <v>36341.0</v>
      </c>
      <c r="G846" s="14">
        <f t="shared" si="1"/>
        <v>27</v>
      </c>
      <c r="H846" s="23" t="s">
        <v>26</v>
      </c>
      <c r="I846" s="24" t="s">
        <v>27</v>
      </c>
      <c r="J846" s="19" t="s">
        <v>53</v>
      </c>
      <c r="K846" s="14">
        <v>25.0</v>
      </c>
      <c r="L846" s="14">
        <v>0.0</v>
      </c>
      <c r="M846" s="25"/>
      <c r="N846" s="26" t="s">
        <v>21</v>
      </c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>
      <c r="A847" s="14" t="s">
        <v>3237</v>
      </c>
      <c r="B847" s="17" t="s">
        <v>3238</v>
      </c>
      <c r="C847" s="17" t="s">
        <v>3239</v>
      </c>
      <c r="D847" s="19" t="s">
        <v>1390</v>
      </c>
      <c r="E847" s="20" t="s">
        <v>544</v>
      </c>
      <c r="F847" s="21">
        <v>25301.0</v>
      </c>
      <c r="G847" s="14">
        <f t="shared" si="1"/>
        <v>57</v>
      </c>
      <c r="H847" s="23" t="s">
        <v>26</v>
      </c>
      <c r="I847" s="24" t="s">
        <v>33</v>
      </c>
      <c r="J847" s="19" t="s">
        <v>362</v>
      </c>
      <c r="K847" s="14">
        <v>27.0</v>
      </c>
      <c r="L847" s="14">
        <v>0.0</v>
      </c>
      <c r="M847" s="25"/>
      <c r="N847" s="26" t="s">
        <v>21</v>
      </c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>
      <c r="A848" s="14" t="s">
        <v>3240</v>
      </c>
      <c r="B848" s="17" t="s">
        <v>3238</v>
      </c>
      <c r="C848" s="17" t="s">
        <v>3241</v>
      </c>
      <c r="D848" s="19" t="s">
        <v>3242</v>
      </c>
      <c r="E848" s="20" t="s">
        <v>138</v>
      </c>
      <c r="F848" s="21">
        <v>38621.0</v>
      </c>
      <c r="G848" s="14">
        <f t="shared" si="1"/>
        <v>21</v>
      </c>
      <c r="H848" s="23" t="s">
        <v>100</v>
      </c>
      <c r="I848" s="24" t="s">
        <v>27</v>
      </c>
      <c r="J848" s="19" t="s">
        <v>362</v>
      </c>
      <c r="K848" s="14">
        <v>27.0</v>
      </c>
      <c r="L848" s="14">
        <v>0.0</v>
      </c>
      <c r="M848" s="25"/>
      <c r="N848" s="26" t="s">
        <v>21</v>
      </c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>
      <c r="A849" s="14" t="s">
        <v>3243</v>
      </c>
      <c r="B849" s="17" t="s">
        <v>3238</v>
      </c>
      <c r="C849" s="17" t="s">
        <v>3244</v>
      </c>
      <c r="D849" s="19" t="s">
        <v>3245</v>
      </c>
      <c r="E849" s="20" t="s">
        <v>632</v>
      </c>
      <c r="F849" s="21">
        <v>28307.0</v>
      </c>
      <c r="G849" s="14">
        <f t="shared" si="1"/>
        <v>49</v>
      </c>
      <c r="H849" s="23" t="s">
        <v>26</v>
      </c>
      <c r="I849" s="24" t="s">
        <v>27</v>
      </c>
      <c r="J849" s="19" t="s">
        <v>362</v>
      </c>
      <c r="K849" s="14">
        <v>27.0</v>
      </c>
      <c r="L849" s="14">
        <v>0.0</v>
      </c>
      <c r="M849" s="25"/>
      <c r="N849" s="26" t="s">
        <v>21</v>
      </c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>
      <c r="A850" s="14" t="s">
        <v>3246</v>
      </c>
      <c r="B850" s="17" t="s">
        <v>3247</v>
      </c>
      <c r="C850" s="17" t="s">
        <v>3248</v>
      </c>
      <c r="D850" s="19" t="s">
        <v>3249</v>
      </c>
      <c r="E850" s="20" t="s">
        <v>632</v>
      </c>
      <c r="F850" s="21">
        <v>21927.0</v>
      </c>
      <c r="G850" s="14">
        <f t="shared" si="1"/>
        <v>66</v>
      </c>
      <c r="H850" s="23" t="s">
        <v>26</v>
      </c>
      <c r="I850" s="24" t="s">
        <v>33</v>
      </c>
      <c r="J850" s="19" t="s">
        <v>328</v>
      </c>
      <c r="K850" s="14">
        <v>20.0</v>
      </c>
      <c r="L850" s="14">
        <v>0.0</v>
      </c>
      <c r="M850" s="25"/>
      <c r="N850" s="26" t="s">
        <v>21</v>
      </c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>
      <c r="A851" s="14" t="s">
        <v>3250</v>
      </c>
      <c r="B851" s="17" t="s">
        <v>3247</v>
      </c>
      <c r="C851" s="17" t="s">
        <v>3251</v>
      </c>
      <c r="D851" s="19" t="s">
        <v>3252</v>
      </c>
      <c r="E851" s="20" t="s">
        <v>632</v>
      </c>
      <c r="F851" s="21">
        <v>23879.0</v>
      </c>
      <c r="G851" s="14">
        <f t="shared" si="1"/>
        <v>61</v>
      </c>
      <c r="H851" s="23" t="s">
        <v>26</v>
      </c>
      <c r="I851" s="24" t="s">
        <v>27</v>
      </c>
      <c r="J851" s="19" t="s">
        <v>328</v>
      </c>
      <c r="K851" s="14">
        <v>20.0</v>
      </c>
      <c r="L851" s="14">
        <v>0.0</v>
      </c>
      <c r="M851" s="25"/>
      <c r="N851" s="26" t="s">
        <v>21</v>
      </c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>
      <c r="A852" s="14" t="s">
        <v>3253</v>
      </c>
      <c r="B852" s="17" t="s">
        <v>3254</v>
      </c>
      <c r="C852" s="17" t="s">
        <v>3255</v>
      </c>
      <c r="D852" s="19" t="s">
        <v>3256</v>
      </c>
      <c r="E852" s="20" t="s">
        <v>104</v>
      </c>
      <c r="F852" s="21">
        <v>34133.0</v>
      </c>
      <c r="G852" s="14">
        <f t="shared" si="1"/>
        <v>33</v>
      </c>
      <c r="H852" s="23" t="s">
        <v>100</v>
      </c>
      <c r="I852" s="24" t="s">
        <v>33</v>
      </c>
      <c r="J852" s="19" t="s">
        <v>328</v>
      </c>
      <c r="K852" s="14">
        <v>21.0</v>
      </c>
      <c r="L852" s="14">
        <v>0.0</v>
      </c>
      <c r="M852" s="25"/>
      <c r="N852" s="26" t="s">
        <v>21</v>
      </c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>
      <c r="A853" s="14" t="s">
        <v>3257</v>
      </c>
      <c r="B853" s="17" t="s">
        <v>3254</v>
      </c>
      <c r="C853" s="17" t="s">
        <v>3258</v>
      </c>
      <c r="D853" s="19" t="s">
        <v>3259</v>
      </c>
      <c r="E853" s="20" t="s">
        <v>1291</v>
      </c>
      <c r="F853" s="21">
        <v>19887.0</v>
      </c>
      <c r="G853" s="14">
        <f t="shared" si="1"/>
        <v>72</v>
      </c>
      <c r="H853" s="23" t="s">
        <v>26</v>
      </c>
      <c r="I853" s="24" t="s">
        <v>33</v>
      </c>
      <c r="J853" s="19" t="s">
        <v>328</v>
      </c>
      <c r="K853" s="14">
        <v>21.0</v>
      </c>
      <c r="L853" s="14">
        <v>0.0</v>
      </c>
      <c r="M853" s="25"/>
      <c r="N853" s="26" t="s">
        <v>21</v>
      </c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>
      <c r="A854" s="14" t="s">
        <v>3260</v>
      </c>
      <c r="B854" s="17" t="s">
        <v>3254</v>
      </c>
      <c r="C854" s="17" t="s">
        <v>3261</v>
      </c>
      <c r="D854" s="19" t="s">
        <v>3262</v>
      </c>
      <c r="E854" s="20" t="s">
        <v>3263</v>
      </c>
      <c r="F854" s="21">
        <v>22103.0</v>
      </c>
      <c r="G854" s="14">
        <f t="shared" si="1"/>
        <v>66</v>
      </c>
      <c r="H854" s="23" t="s">
        <v>26</v>
      </c>
      <c r="I854" s="24" t="s">
        <v>27</v>
      </c>
      <c r="J854" s="19" t="s">
        <v>328</v>
      </c>
      <c r="K854" s="14">
        <v>21.0</v>
      </c>
      <c r="L854" s="14">
        <v>0.0</v>
      </c>
      <c r="M854" s="25"/>
      <c r="N854" s="26" t="s">
        <v>21</v>
      </c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>
      <c r="A855" s="14" t="s">
        <v>3264</v>
      </c>
      <c r="B855" s="17" t="s">
        <v>3265</v>
      </c>
      <c r="C855" s="17" t="s">
        <v>3266</v>
      </c>
      <c r="D855" s="19" t="s">
        <v>3267</v>
      </c>
      <c r="E855" s="20" t="s">
        <v>624</v>
      </c>
      <c r="F855" s="27">
        <v>29553.0</v>
      </c>
      <c r="G855" s="14">
        <f t="shared" si="1"/>
        <v>45</v>
      </c>
      <c r="H855" s="23" t="s">
        <v>26</v>
      </c>
      <c r="I855" s="24" t="s">
        <v>27</v>
      </c>
      <c r="J855" s="19" t="s">
        <v>53</v>
      </c>
      <c r="K855" s="14">
        <v>5.0</v>
      </c>
      <c r="L855" s="14">
        <v>5.0</v>
      </c>
      <c r="M855" s="25"/>
      <c r="N855" s="26" t="s">
        <v>21</v>
      </c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>
      <c r="A856" s="14" t="s">
        <v>3268</v>
      </c>
      <c r="B856" s="17" t="s">
        <v>3265</v>
      </c>
      <c r="C856" s="17" t="s">
        <v>3269</v>
      </c>
      <c r="D856" s="19" t="s">
        <v>3270</v>
      </c>
      <c r="E856" s="20" t="s">
        <v>624</v>
      </c>
      <c r="F856" s="21">
        <v>29827.0</v>
      </c>
      <c r="G856" s="14">
        <f t="shared" si="1"/>
        <v>45</v>
      </c>
      <c r="H856" s="23" t="s">
        <v>26</v>
      </c>
      <c r="I856" s="24" t="s">
        <v>33</v>
      </c>
      <c r="J856" s="19" t="s">
        <v>53</v>
      </c>
      <c r="K856" s="14">
        <v>5.0</v>
      </c>
      <c r="L856" s="14">
        <v>5.0</v>
      </c>
      <c r="M856" s="25"/>
      <c r="N856" s="26" t="s">
        <v>21</v>
      </c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>
      <c r="A857" s="14" t="s">
        <v>3271</v>
      </c>
      <c r="B857" s="17" t="s">
        <v>3272</v>
      </c>
      <c r="C857" s="17" t="s">
        <v>3273</v>
      </c>
      <c r="D857" s="19" t="s">
        <v>3274</v>
      </c>
      <c r="E857" s="20" t="s">
        <v>632</v>
      </c>
      <c r="F857" s="21">
        <v>21770.0</v>
      </c>
      <c r="G857" s="14">
        <f t="shared" si="1"/>
        <v>67</v>
      </c>
      <c r="H857" s="23" t="s">
        <v>26</v>
      </c>
      <c r="I857" s="24" t="s">
        <v>27</v>
      </c>
      <c r="J857" s="19" t="s">
        <v>328</v>
      </c>
      <c r="K857" s="14">
        <v>20.0</v>
      </c>
      <c r="L857" s="14">
        <v>0.0</v>
      </c>
      <c r="M857" s="25"/>
      <c r="N857" s="26" t="s">
        <v>21</v>
      </c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>
      <c r="A858" s="14" t="s">
        <v>3275</v>
      </c>
      <c r="B858" s="17" t="s">
        <v>3272</v>
      </c>
      <c r="C858" s="17" t="s">
        <v>3276</v>
      </c>
      <c r="D858" s="19" t="s">
        <v>3277</v>
      </c>
      <c r="E858" s="20" t="s">
        <v>632</v>
      </c>
      <c r="F858" s="21">
        <v>18426.0</v>
      </c>
      <c r="G858" s="14">
        <f t="shared" si="1"/>
        <v>76</v>
      </c>
      <c r="H858" s="23" t="s">
        <v>26</v>
      </c>
      <c r="I858" s="24" t="s">
        <v>33</v>
      </c>
      <c r="J858" s="19" t="s">
        <v>328</v>
      </c>
      <c r="K858" s="14">
        <v>20.0</v>
      </c>
      <c r="L858" s="14">
        <v>0.0</v>
      </c>
      <c r="M858" s="25"/>
      <c r="N858" s="26" t="s">
        <v>21</v>
      </c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>
      <c r="A859" s="14" t="s">
        <v>3278</v>
      </c>
      <c r="B859" s="17" t="s">
        <v>3279</v>
      </c>
      <c r="C859" s="17" t="s">
        <v>3280</v>
      </c>
      <c r="D859" s="19" t="s">
        <v>3281</v>
      </c>
      <c r="E859" s="20" t="s">
        <v>3282</v>
      </c>
      <c r="F859" s="21">
        <v>29395.0</v>
      </c>
      <c r="G859" s="14">
        <f t="shared" si="1"/>
        <v>46</v>
      </c>
      <c r="H859" s="23" t="s">
        <v>26</v>
      </c>
      <c r="I859" s="24" t="s">
        <v>33</v>
      </c>
      <c r="J859" s="19" t="s">
        <v>53</v>
      </c>
      <c r="K859" s="14">
        <v>16.0</v>
      </c>
      <c r="L859" s="14">
        <v>0.0</v>
      </c>
      <c r="M859" s="25"/>
      <c r="N859" s="26" t="s">
        <v>21</v>
      </c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>
      <c r="A860" s="14" t="s">
        <v>3283</v>
      </c>
      <c r="B860" s="17" t="s">
        <v>3279</v>
      </c>
      <c r="C860" s="17" t="s">
        <v>3284</v>
      </c>
      <c r="D860" s="19" t="s">
        <v>3285</v>
      </c>
      <c r="E860" s="20" t="s">
        <v>104</v>
      </c>
      <c r="F860" s="27">
        <v>30297.0</v>
      </c>
      <c r="G860" s="14">
        <f t="shared" si="1"/>
        <v>43</v>
      </c>
      <c r="H860" s="23" t="s">
        <v>26</v>
      </c>
      <c r="I860" s="24" t="s">
        <v>27</v>
      </c>
      <c r="J860" s="19" t="s">
        <v>53</v>
      </c>
      <c r="K860" s="14">
        <v>16.0</v>
      </c>
      <c r="L860" s="14">
        <v>5.0</v>
      </c>
      <c r="M860" s="28" t="s">
        <v>3286</v>
      </c>
      <c r="N860" s="26" t="s">
        <v>21</v>
      </c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>
      <c r="A861" s="14" t="s">
        <v>3287</v>
      </c>
      <c r="B861" s="17" t="s">
        <v>3288</v>
      </c>
      <c r="C861" s="17" t="s">
        <v>3289</v>
      </c>
      <c r="D861" s="19" t="s">
        <v>3290</v>
      </c>
      <c r="E861" s="20" t="s">
        <v>104</v>
      </c>
      <c r="F861" s="21">
        <v>29308.0</v>
      </c>
      <c r="G861" s="14">
        <f t="shared" si="1"/>
        <v>46</v>
      </c>
      <c r="H861" s="23" t="s">
        <v>26</v>
      </c>
      <c r="I861" s="24" t="s">
        <v>27</v>
      </c>
      <c r="J861" s="19" t="s">
        <v>3291</v>
      </c>
      <c r="K861" s="14">
        <v>27.0</v>
      </c>
      <c r="L861" s="14">
        <v>0.0</v>
      </c>
      <c r="M861" s="25"/>
      <c r="N861" s="26" t="s">
        <v>21</v>
      </c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>
      <c r="A862" s="14" t="s">
        <v>3292</v>
      </c>
      <c r="B862" s="17" t="s">
        <v>3288</v>
      </c>
      <c r="C862" s="17" t="s">
        <v>3293</v>
      </c>
      <c r="D862" s="19" t="s">
        <v>3294</v>
      </c>
      <c r="E862" s="20" t="s">
        <v>3295</v>
      </c>
      <c r="F862" s="21">
        <v>38209.0</v>
      </c>
      <c r="G862" s="14">
        <f t="shared" si="1"/>
        <v>22</v>
      </c>
      <c r="H862" s="23" t="s">
        <v>100</v>
      </c>
      <c r="I862" s="24" t="s">
        <v>33</v>
      </c>
      <c r="J862" s="19" t="s">
        <v>3291</v>
      </c>
      <c r="K862" s="14">
        <v>27.0</v>
      </c>
      <c r="L862" s="14">
        <v>0.0</v>
      </c>
      <c r="M862" s="25"/>
      <c r="N862" s="26" t="s">
        <v>21</v>
      </c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>
      <c r="A863" s="14" t="s">
        <v>3296</v>
      </c>
      <c r="B863" s="17" t="s">
        <v>3288</v>
      </c>
      <c r="C863" s="17" t="s">
        <v>3297</v>
      </c>
      <c r="D863" s="19" t="s">
        <v>3298</v>
      </c>
      <c r="E863" s="20" t="s">
        <v>67</v>
      </c>
      <c r="F863" s="21">
        <v>25269.0</v>
      </c>
      <c r="G863" s="14">
        <f t="shared" si="1"/>
        <v>57</v>
      </c>
      <c r="H863" s="23" t="s">
        <v>26</v>
      </c>
      <c r="I863" s="24" t="s">
        <v>33</v>
      </c>
      <c r="J863" s="19" t="s">
        <v>3291</v>
      </c>
      <c r="K863" s="14">
        <v>27.0</v>
      </c>
      <c r="L863" s="14">
        <v>0.0</v>
      </c>
      <c r="M863" s="25"/>
      <c r="N863" s="26" t="s">
        <v>21</v>
      </c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>
      <c r="A864" s="14" t="s">
        <v>3299</v>
      </c>
      <c r="B864" s="17" t="s">
        <v>3300</v>
      </c>
      <c r="C864" s="17" t="s">
        <v>3301</v>
      </c>
      <c r="D864" s="19" t="s">
        <v>3302</v>
      </c>
      <c r="E864" s="20" t="s">
        <v>3303</v>
      </c>
      <c r="F864" s="21">
        <v>37282.0</v>
      </c>
      <c r="G864" s="14">
        <f t="shared" si="1"/>
        <v>24</v>
      </c>
      <c r="H864" s="23" t="s">
        <v>100</v>
      </c>
      <c r="I864" s="24" t="s">
        <v>33</v>
      </c>
      <c r="J864" s="19" t="s">
        <v>362</v>
      </c>
      <c r="K864" s="14">
        <v>22.0</v>
      </c>
      <c r="L864" s="14">
        <v>0.0</v>
      </c>
      <c r="M864" s="25"/>
      <c r="N864" s="26" t="s">
        <v>21</v>
      </c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>
      <c r="A865" s="14" t="s">
        <v>3304</v>
      </c>
      <c r="B865" s="17" t="s">
        <v>3300</v>
      </c>
      <c r="C865" s="17" t="s">
        <v>3305</v>
      </c>
      <c r="D865" s="19" t="s">
        <v>3306</v>
      </c>
      <c r="E865" s="20" t="s">
        <v>187</v>
      </c>
      <c r="F865" s="21">
        <v>25662.0</v>
      </c>
      <c r="G865" s="14">
        <f t="shared" si="1"/>
        <v>56</v>
      </c>
      <c r="H865" s="23" t="s">
        <v>26</v>
      </c>
      <c r="I865" s="24" t="s">
        <v>33</v>
      </c>
      <c r="J865" s="19" t="s">
        <v>362</v>
      </c>
      <c r="K865" s="14">
        <v>22.0</v>
      </c>
      <c r="L865" s="14">
        <v>1.0</v>
      </c>
      <c r="M865" s="25"/>
      <c r="N865" s="26" t="s">
        <v>21</v>
      </c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>
      <c r="A866" s="14" t="s">
        <v>3307</v>
      </c>
      <c r="B866" s="17" t="s">
        <v>3308</v>
      </c>
      <c r="C866" s="17" t="s">
        <v>3309</v>
      </c>
      <c r="D866" s="19" t="s">
        <v>3310</v>
      </c>
      <c r="E866" s="20" t="s">
        <v>53</v>
      </c>
      <c r="F866" s="21">
        <v>38382.0</v>
      </c>
      <c r="G866" s="14">
        <f t="shared" si="1"/>
        <v>21</v>
      </c>
      <c r="H866" s="23" t="s">
        <v>100</v>
      </c>
      <c r="I866" s="24" t="s">
        <v>27</v>
      </c>
      <c r="J866" s="19" t="s">
        <v>58</v>
      </c>
      <c r="K866" s="14">
        <v>9.0</v>
      </c>
      <c r="L866" s="14">
        <v>0.0</v>
      </c>
      <c r="M866" s="25"/>
      <c r="N866" s="26" t="s">
        <v>21</v>
      </c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>
      <c r="A867" s="14" t="s">
        <v>3311</v>
      </c>
      <c r="B867" s="17" t="s">
        <v>3308</v>
      </c>
      <c r="C867" s="17" t="s">
        <v>3312</v>
      </c>
      <c r="D867" s="19" t="s">
        <v>3313</v>
      </c>
      <c r="E867" s="20" t="s">
        <v>429</v>
      </c>
      <c r="F867" s="21">
        <v>27215.0</v>
      </c>
      <c r="G867" s="14">
        <f t="shared" si="1"/>
        <v>52</v>
      </c>
      <c r="H867" s="23" t="s">
        <v>26</v>
      </c>
      <c r="I867" s="24" t="s">
        <v>27</v>
      </c>
      <c r="J867" s="19" t="s">
        <v>58</v>
      </c>
      <c r="K867" s="14">
        <v>9.0</v>
      </c>
      <c r="L867" s="14">
        <v>0.0</v>
      </c>
      <c r="M867" s="25"/>
      <c r="N867" s="26" t="s">
        <v>21</v>
      </c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>
      <c r="A868" s="14" t="s">
        <v>3314</v>
      </c>
      <c r="B868" s="17" t="s">
        <v>3308</v>
      </c>
      <c r="C868" s="17" t="s">
        <v>3315</v>
      </c>
      <c r="D868" s="19" t="s">
        <v>3214</v>
      </c>
      <c r="E868" s="20" t="s">
        <v>3101</v>
      </c>
      <c r="F868" s="21">
        <v>25485.0</v>
      </c>
      <c r="G868" s="14">
        <f t="shared" si="1"/>
        <v>57</v>
      </c>
      <c r="H868" s="23" t="s">
        <v>26</v>
      </c>
      <c r="I868" s="24" t="s">
        <v>33</v>
      </c>
      <c r="J868" s="19" t="s">
        <v>58</v>
      </c>
      <c r="K868" s="14">
        <v>9.0</v>
      </c>
      <c r="L868" s="14">
        <v>0.0</v>
      </c>
      <c r="M868" s="25"/>
      <c r="N868" s="26" t="s">
        <v>21</v>
      </c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>
      <c r="A869" s="14" t="s">
        <v>3316</v>
      </c>
      <c r="B869" s="17" t="s">
        <v>3317</v>
      </c>
      <c r="C869" s="17" t="s">
        <v>3318</v>
      </c>
      <c r="D869" s="19" t="s">
        <v>554</v>
      </c>
      <c r="E869" s="20" t="s">
        <v>605</v>
      </c>
      <c r="F869" s="21">
        <v>21129.0</v>
      </c>
      <c r="G869" s="14">
        <f t="shared" si="1"/>
        <v>68</v>
      </c>
      <c r="H869" s="23" t="s">
        <v>26</v>
      </c>
      <c r="I869" s="24" t="s">
        <v>27</v>
      </c>
      <c r="J869" s="19" t="s">
        <v>726</v>
      </c>
      <c r="K869" s="14">
        <v>19.0</v>
      </c>
      <c r="L869" s="14">
        <v>0.0</v>
      </c>
      <c r="M869" s="25"/>
      <c r="N869" s="26" t="s">
        <v>21</v>
      </c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>
      <c r="A870" s="14" t="s">
        <v>3319</v>
      </c>
      <c r="B870" s="17" t="s">
        <v>3317</v>
      </c>
      <c r="C870" s="17" t="s">
        <v>3320</v>
      </c>
      <c r="D870" s="19" t="s">
        <v>3321</v>
      </c>
      <c r="E870" s="20" t="s">
        <v>984</v>
      </c>
      <c r="F870" s="21">
        <v>20677.0</v>
      </c>
      <c r="G870" s="14">
        <f t="shared" si="1"/>
        <v>70</v>
      </c>
      <c r="H870" s="23" t="s">
        <v>26</v>
      </c>
      <c r="I870" s="24" t="s">
        <v>33</v>
      </c>
      <c r="J870" s="19" t="s">
        <v>53</v>
      </c>
      <c r="K870" s="14">
        <v>19.0</v>
      </c>
      <c r="L870" s="14">
        <v>0.0</v>
      </c>
      <c r="M870" s="25"/>
      <c r="N870" s="26" t="s">
        <v>21</v>
      </c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>
      <c r="A871" s="14" t="s">
        <v>3322</v>
      </c>
      <c r="B871" s="17" t="s">
        <v>3323</v>
      </c>
      <c r="C871" s="17" t="s">
        <v>3324</v>
      </c>
      <c r="D871" s="19" t="s">
        <v>3325</v>
      </c>
      <c r="E871" s="20" t="s">
        <v>274</v>
      </c>
      <c r="F871" s="21">
        <v>33015.0</v>
      </c>
      <c r="G871" s="14">
        <f t="shared" si="1"/>
        <v>36</v>
      </c>
      <c r="H871" s="23" t="s">
        <v>26</v>
      </c>
      <c r="I871" s="24" t="s">
        <v>27</v>
      </c>
      <c r="J871" s="19" t="s">
        <v>939</v>
      </c>
      <c r="K871" s="14">
        <v>19.0</v>
      </c>
      <c r="L871" s="14">
        <v>0.0</v>
      </c>
      <c r="M871" s="25"/>
      <c r="N871" s="26" t="s">
        <v>21</v>
      </c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>
      <c r="A872" s="14" t="s">
        <v>3326</v>
      </c>
      <c r="B872" s="17" t="s">
        <v>3323</v>
      </c>
      <c r="C872" s="17" t="s">
        <v>3327</v>
      </c>
      <c r="D872" s="19" t="s">
        <v>3328</v>
      </c>
      <c r="E872" s="20" t="s">
        <v>112</v>
      </c>
      <c r="F872" s="21">
        <v>32721.0</v>
      </c>
      <c r="G872" s="14">
        <f t="shared" si="1"/>
        <v>37</v>
      </c>
      <c r="H872" s="23" t="s">
        <v>26</v>
      </c>
      <c r="I872" s="24" t="s">
        <v>33</v>
      </c>
      <c r="J872" s="19" t="s">
        <v>939</v>
      </c>
      <c r="K872" s="14">
        <v>19.0</v>
      </c>
      <c r="L872" s="14">
        <v>0.0</v>
      </c>
      <c r="M872" s="25"/>
      <c r="N872" s="26" t="s">
        <v>21</v>
      </c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>
      <c r="A873" s="14" t="s">
        <v>3329</v>
      </c>
      <c r="B873" s="17" t="s">
        <v>3330</v>
      </c>
      <c r="C873" s="17" t="s">
        <v>3331</v>
      </c>
      <c r="D873" s="19" t="s">
        <v>3332</v>
      </c>
      <c r="E873" s="20" t="s">
        <v>104</v>
      </c>
      <c r="F873" s="21">
        <v>33366.0</v>
      </c>
      <c r="G873" s="14">
        <f t="shared" si="1"/>
        <v>35</v>
      </c>
      <c r="H873" s="23" t="s">
        <v>26</v>
      </c>
      <c r="I873" s="24" t="s">
        <v>33</v>
      </c>
      <c r="J873" s="19" t="s">
        <v>156</v>
      </c>
      <c r="K873" s="14">
        <v>30.0</v>
      </c>
      <c r="L873" s="14">
        <v>0.0</v>
      </c>
      <c r="M873" s="25"/>
      <c r="N873" s="26" t="s">
        <v>21</v>
      </c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>
      <c r="A874" s="14" t="s">
        <v>3333</v>
      </c>
      <c r="B874" s="17" t="s">
        <v>3330</v>
      </c>
      <c r="C874" s="17" t="s">
        <v>3334</v>
      </c>
      <c r="D874" s="19" t="s">
        <v>2074</v>
      </c>
      <c r="E874" s="20" t="s">
        <v>104</v>
      </c>
      <c r="F874" s="21">
        <v>33318.0</v>
      </c>
      <c r="G874" s="14">
        <f t="shared" si="1"/>
        <v>35</v>
      </c>
      <c r="H874" s="23" t="s">
        <v>26</v>
      </c>
      <c r="I874" s="24" t="s">
        <v>27</v>
      </c>
      <c r="J874" s="19" t="s">
        <v>156</v>
      </c>
      <c r="K874" s="14">
        <v>30.0</v>
      </c>
      <c r="L874" s="14">
        <v>0.0</v>
      </c>
      <c r="M874" s="25"/>
      <c r="N874" s="26" t="s">
        <v>21</v>
      </c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>
      <c r="A875" s="14" t="s">
        <v>3335</v>
      </c>
      <c r="B875" s="17" t="s">
        <v>3336</v>
      </c>
      <c r="C875" s="17" t="s">
        <v>3337</v>
      </c>
      <c r="D875" s="19" t="s">
        <v>3338</v>
      </c>
      <c r="E875" s="20" t="s">
        <v>104</v>
      </c>
      <c r="F875" s="21">
        <v>29294.0</v>
      </c>
      <c r="G875" s="14">
        <f t="shared" si="1"/>
        <v>46</v>
      </c>
      <c r="H875" s="23" t="s">
        <v>26</v>
      </c>
      <c r="I875" s="24" t="s">
        <v>27</v>
      </c>
      <c r="J875" s="19" t="s">
        <v>726</v>
      </c>
      <c r="K875" s="14">
        <v>17.0</v>
      </c>
      <c r="L875" s="14">
        <v>0.0</v>
      </c>
      <c r="M875" s="25"/>
      <c r="N875" s="26" t="s">
        <v>21</v>
      </c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>
      <c r="A876" s="14" t="s">
        <v>3339</v>
      </c>
      <c r="B876" s="17" t="s">
        <v>3336</v>
      </c>
      <c r="C876" s="17" t="s">
        <v>3340</v>
      </c>
      <c r="D876" s="19" t="s">
        <v>269</v>
      </c>
      <c r="E876" s="20" t="s">
        <v>104</v>
      </c>
      <c r="F876" s="21">
        <v>28986.0</v>
      </c>
      <c r="G876" s="14">
        <f t="shared" si="1"/>
        <v>47</v>
      </c>
      <c r="H876" s="23" t="s">
        <v>26</v>
      </c>
      <c r="I876" s="24" t="s">
        <v>33</v>
      </c>
      <c r="J876" s="19" t="s">
        <v>726</v>
      </c>
      <c r="K876" s="14">
        <v>17.0</v>
      </c>
      <c r="L876" s="14">
        <v>0.0</v>
      </c>
      <c r="M876" s="25"/>
      <c r="N876" s="26" t="s">
        <v>21</v>
      </c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>
      <c r="A877" s="14" t="s">
        <v>3341</v>
      </c>
      <c r="B877" s="17" t="s">
        <v>3342</v>
      </c>
      <c r="C877" s="17" t="s">
        <v>3343</v>
      </c>
      <c r="D877" s="19" t="s">
        <v>3344</v>
      </c>
      <c r="E877" s="20" t="s">
        <v>3345</v>
      </c>
      <c r="F877" s="21">
        <v>32917.0</v>
      </c>
      <c r="G877" s="14">
        <f t="shared" si="1"/>
        <v>36</v>
      </c>
      <c r="H877" s="23" t="s">
        <v>26</v>
      </c>
      <c r="I877" s="24" t="s">
        <v>33</v>
      </c>
      <c r="J877" s="19" t="s">
        <v>3291</v>
      </c>
      <c r="K877" s="14">
        <v>25.0</v>
      </c>
      <c r="L877" s="14">
        <v>0.0</v>
      </c>
      <c r="M877" s="25"/>
      <c r="N877" s="26" t="s">
        <v>21</v>
      </c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>
      <c r="A878" s="14" t="s">
        <v>3346</v>
      </c>
      <c r="B878" s="17" t="s">
        <v>3347</v>
      </c>
      <c r="C878" s="17" t="s">
        <v>3348</v>
      </c>
      <c r="D878" s="19" t="s">
        <v>3349</v>
      </c>
      <c r="E878" s="20" t="s">
        <v>53</v>
      </c>
      <c r="F878" s="21">
        <v>37445.0</v>
      </c>
      <c r="G878" s="14">
        <f t="shared" si="1"/>
        <v>24</v>
      </c>
      <c r="H878" s="23" t="s">
        <v>100</v>
      </c>
      <c r="I878" s="24" t="s">
        <v>33</v>
      </c>
      <c r="J878" s="19" t="s">
        <v>362</v>
      </c>
      <c r="K878" s="14">
        <v>25.0</v>
      </c>
      <c r="L878" s="14">
        <v>0.0</v>
      </c>
      <c r="M878" s="25"/>
      <c r="N878" s="26" t="s">
        <v>21</v>
      </c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>
      <c r="A879" s="14" t="s">
        <v>3350</v>
      </c>
      <c r="B879" s="17" t="s">
        <v>3347</v>
      </c>
      <c r="C879" s="17" t="s">
        <v>3351</v>
      </c>
      <c r="D879" s="19" t="s">
        <v>3352</v>
      </c>
      <c r="E879" s="20" t="s">
        <v>3353</v>
      </c>
      <c r="F879" s="21">
        <v>30471.0</v>
      </c>
      <c r="G879" s="14">
        <f t="shared" si="1"/>
        <v>43</v>
      </c>
      <c r="H879" s="23" t="s">
        <v>26</v>
      </c>
      <c r="I879" s="24" t="s">
        <v>27</v>
      </c>
      <c r="J879" s="19" t="s">
        <v>362</v>
      </c>
      <c r="K879" s="14">
        <v>25.0</v>
      </c>
      <c r="L879" s="14">
        <v>0.0</v>
      </c>
      <c r="M879" s="25"/>
      <c r="N879" s="26" t="s">
        <v>21</v>
      </c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>
      <c r="A880" s="14" t="s">
        <v>3354</v>
      </c>
      <c r="B880" s="17" t="s">
        <v>3347</v>
      </c>
      <c r="C880" s="17" t="s">
        <v>3355</v>
      </c>
      <c r="D880" s="19" t="s">
        <v>3356</v>
      </c>
      <c r="E880" s="20" t="s">
        <v>3357</v>
      </c>
      <c r="F880" s="21">
        <v>28227.0</v>
      </c>
      <c r="G880" s="14">
        <f t="shared" si="1"/>
        <v>49</v>
      </c>
      <c r="H880" s="23" t="s">
        <v>26</v>
      </c>
      <c r="I880" s="24" t="s">
        <v>33</v>
      </c>
      <c r="J880" s="19" t="s">
        <v>362</v>
      </c>
      <c r="K880" s="14">
        <v>25.0</v>
      </c>
      <c r="L880" s="14">
        <v>0.0</v>
      </c>
      <c r="M880" s="25"/>
      <c r="N880" s="26" t="s">
        <v>21</v>
      </c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>
      <c r="A881" s="14" t="s">
        <v>3358</v>
      </c>
      <c r="B881" s="17" t="s">
        <v>3347</v>
      </c>
      <c r="C881" s="17" t="s">
        <v>3359</v>
      </c>
      <c r="D881" s="19" t="s">
        <v>3360</v>
      </c>
      <c r="E881" s="20" t="s">
        <v>3353</v>
      </c>
      <c r="F881" s="21">
        <v>39340.0</v>
      </c>
      <c r="G881" s="14">
        <f t="shared" si="1"/>
        <v>19</v>
      </c>
      <c r="H881" s="23" t="s">
        <v>100</v>
      </c>
      <c r="I881" s="24" t="s">
        <v>33</v>
      </c>
      <c r="J881" s="19" t="s">
        <v>362</v>
      </c>
      <c r="K881" s="14">
        <v>25.0</v>
      </c>
      <c r="L881" s="14">
        <v>0.0</v>
      </c>
      <c r="M881" s="25"/>
      <c r="N881" s="26" t="s">
        <v>21</v>
      </c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>
      <c r="A882" s="14" t="s">
        <v>3361</v>
      </c>
      <c r="B882" s="17" t="s">
        <v>3362</v>
      </c>
      <c r="C882" s="17" t="s">
        <v>3363</v>
      </c>
      <c r="D882" s="19" t="s">
        <v>3364</v>
      </c>
      <c r="E882" s="20" t="s">
        <v>1095</v>
      </c>
      <c r="F882" s="21">
        <v>35975.0</v>
      </c>
      <c r="G882" s="14">
        <f t="shared" si="1"/>
        <v>28</v>
      </c>
      <c r="H882" s="23" t="s">
        <v>26</v>
      </c>
      <c r="I882" s="24" t="s">
        <v>27</v>
      </c>
      <c r="J882" s="19" t="s">
        <v>146</v>
      </c>
      <c r="K882" s="14">
        <v>5.0</v>
      </c>
      <c r="L882" s="14">
        <v>0.0</v>
      </c>
      <c r="M882" s="25"/>
      <c r="N882" s="26" t="s">
        <v>21</v>
      </c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>
      <c r="A883" s="14" t="s">
        <v>3365</v>
      </c>
      <c r="B883" s="17" t="s">
        <v>3362</v>
      </c>
      <c r="C883" s="17" t="s">
        <v>3366</v>
      </c>
      <c r="D883" s="19" t="s">
        <v>3367</v>
      </c>
      <c r="E883" s="20" t="s">
        <v>104</v>
      </c>
      <c r="F883" s="21">
        <v>35954.0</v>
      </c>
      <c r="G883" s="14">
        <f t="shared" si="1"/>
        <v>28</v>
      </c>
      <c r="H883" s="23" t="s">
        <v>26</v>
      </c>
      <c r="I883" s="24" t="s">
        <v>33</v>
      </c>
      <c r="J883" s="19" t="s">
        <v>146</v>
      </c>
      <c r="K883" s="14">
        <v>5.0</v>
      </c>
      <c r="L883" s="14">
        <v>0.0</v>
      </c>
      <c r="M883" s="25"/>
      <c r="N883" s="26" t="s">
        <v>21</v>
      </c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>
      <c r="A884" s="14" t="s">
        <v>3368</v>
      </c>
      <c r="B884" s="17" t="s">
        <v>3369</v>
      </c>
      <c r="C884" s="17" t="s">
        <v>3370</v>
      </c>
      <c r="D884" s="19" t="s">
        <v>3371</v>
      </c>
      <c r="E884" s="20" t="s">
        <v>1291</v>
      </c>
      <c r="F884" s="21">
        <v>22837.0</v>
      </c>
      <c r="G884" s="14">
        <f t="shared" si="1"/>
        <v>64</v>
      </c>
      <c r="H884" s="23" t="s">
        <v>26</v>
      </c>
      <c r="I884" s="24" t="s">
        <v>27</v>
      </c>
      <c r="J884" s="19" t="s">
        <v>156</v>
      </c>
      <c r="K884" s="14">
        <v>35.0</v>
      </c>
      <c r="L884" s="14">
        <v>1.0</v>
      </c>
      <c r="M884" s="25"/>
      <c r="N884" s="26" t="s">
        <v>21</v>
      </c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>
      <c r="A885" s="14" t="s">
        <v>3372</v>
      </c>
      <c r="B885" s="17" t="s">
        <v>3373</v>
      </c>
      <c r="C885" s="17" t="s">
        <v>3374</v>
      </c>
      <c r="D885" s="19" t="s">
        <v>3375</v>
      </c>
      <c r="E885" s="20" t="s">
        <v>104</v>
      </c>
      <c r="F885" s="21">
        <v>20271.0</v>
      </c>
      <c r="G885" s="14">
        <f t="shared" si="1"/>
        <v>71</v>
      </c>
      <c r="H885" s="23" t="s">
        <v>27</v>
      </c>
      <c r="I885" s="24" t="s">
        <v>27</v>
      </c>
      <c r="J885" s="19" t="s">
        <v>328</v>
      </c>
      <c r="K885" s="14">
        <v>20.0</v>
      </c>
      <c r="L885" s="14">
        <v>0.0</v>
      </c>
      <c r="M885" s="25"/>
      <c r="N885" s="26" t="s">
        <v>21</v>
      </c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>
      <c r="A886" s="14" t="s">
        <v>3376</v>
      </c>
      <c r="B886" s="17" t="s">
        <v>3377</v>
      </c>
      <c r="C886" s="17" t="s">
        <v>3378</v>
      </c>
      <c r="D886" s="19" t="s">
        <v>3379</v>
      </c>
      <c r="E886" s="20" t="s">
        <v>2144</v>
      </c>
      <c r="F886" s="21">
        <v>34802.0</v>
      </c>
      <c r="G886" s="14">
        <f t="shared" si="1"/>
        <v>31</v>
      </c>
      <c r="H886" s="23" t="s">
        <v>26</v>
      </c>
      <c r="I886" s="24" t="s">
        <v>27</v>
      </c>
      <c r="J886" s="19" t="s">
        <v>68</v>
      </c>
      <c r="K886" s="14">
        <v>33.0</v>
      </c>
      <c r="L886" s="14">
        <v>0.0</v>
      </c>
      <c r="M886" s="25"/>
      <c r="N886" s="26" t="s">
        <v>21</v>
      </c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>
      <c r="A887" s="14" t="s">
        <v>3380</v>
      </c>
      <c r="B887" s="17" t="s">
        <v>3377</v>
      </c>
      <c r="C887" s="17" t="s">
        <v>3381</v>
      </c>
      <c r="D887" s="19" t="s">
        <v>3382</v>
      </c>
      <c r="E887" s="20" t="s">
        <v>2332</v>
      </c>
      <c r="F887" s="21">
        <v>33707.0</v>
      </c>
      <c r="G887" s="14">
        <f t="shared" si="1"/>
        <v>34</v>
      </c>
      <c r="H887" s="23" t="s">
        <v>26</v>
      </c>
      <c r="I887" s="24" t="s">
        <v>33</v>
      </c>
      <c r="J887" s="19" t="s">
        <v>68</v>
      </c>
      <c r="K887" s="14">
        <v>33.0</v>
      </c>
      <c r="L887" s="14">
        <v>0.0</v>
      </c>
      <c r="M887" s="25"/>
      <c r="N887" s="26" t="s">
        <v>21</v>
      </c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>
      <c r="A888" s="14" t="s">
        <v>3383</v>
      </c>
      <c r="B888" s="17" t="s">
        <v>3384</v>
      </c>
      <c r="C888" s="17" t="s">
        <v>3385</v>
      </c>
      <c r="D888" s="19" t="s">
        <v>3386</v>
      </c>
      <c r="E888" s="20" t="s">
        <v>1370</v>
      </c>
      <c r="F888" s="21">
        <v>16969.0</v>
      </c>
      <c r="G888" s="14">
        <f t="shared" si="1"/>
        <v>80</v>
      </c>
      <c r="H888" s="23" t="s">
        <v>27</v>
      </c>
      <c r="I888" s="24" t="s">
        <v>27</v>
      </c>
      <c r="J888" s="19" t="s">
        <v>3387</v>
      </c>
      <c r="K888" s="14">
        <v>36.0</v>
      </c>
      <c r="L888" s="14">
        <v>0.0</v>
      </c>
      <c r="M888" s="25"/>
      <c r="N888" s="26" t="s">
        <v>21</v>
      </c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>
      <c r="A889" s="14" t="s">
        <v>3388</v>
      </c>
      <c r="B889" s="17" t="s">
        <v>3389</v>
      </c>
      <c r="C889" s="17" t="s">
        <v>3390</v>
      </c>
      <c r="D889" s="19" t="s">
        <v>3391</v>
      </c>
      <c r="E889" s="20" t="s">
        <v>274</v>
      </c>
      <c r="F889" s="21">
        <v>34388.0</v>
      </c>
      <c r="G889" s="14">
        <f t="shared" si="1"/>
        <v>32</v>
      </c>
      <c r="H889" s="23" t="s">
        <v>26</v>
      </c>
      <c r="I889" s="24" t="s">
        <v>33</v>
      </c>
      <c r="J889" s="19" t="s">
        <v>1915</v>
      </c>
      <c r="K889" s="14">
        <v>11.0</v>
      </c>
      <c r="L889" s="14">
        <v>0.0</v>
      </c>
      <c r="M889" s="25"/>
      <c r="N889" s="26" t="s">
        <v>21</v>
      </c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>
      <c r="A890" s="14" t="s">
        <v>3392</v>
      </c>
      <c r="B890" s="17" t="s">
        <v>3389</v>
      </c>
      <c r="C890" s="17" t="s">
        <v>3393</v>
      </c>
      <c r="D890" s="19" t="s">
        <v>3394</v>
      </c>
      <c r="E890" s="20" t="s">
        <v>3395</v>
      </c>
      <c r="F890" s="21">
        <v>35629.0</v>
      </c>
      <c r="G890" s="14">
        <f t="shared" si="1"/>
        <v>29</v>
      </c>
      <c r="H890" s="23" t="s">
        <v>26</v>
      </c>
      <c r="I890" s="24" t="s">
        <v>27</v>
      </c>
      <c r="J890" s="19" t="s">
        <v>1915</v>
      </c>
      <c r="K890" s="14">
        <v>11.0</v>
      </c>
      <c r="L890" s="14">
        <v>0.0</v>
      </c>
      <c r="M890" s="25"/>
      <c r="N890" s="26" t="s">
        <v>21</v>
      </c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>
      <c r="A891" s="14" t="s">
        <v>3396</v>
      </c>
      <c r="B891" s="17" t="s">
        <v>3397</v>
      </c>
      <c r="C891" s="17" t="s">
        <v>3398</v>
      </c>
      <c r="D891" s="19" t="s">
        <v>3399</v>
      </c>
      <c r="E891" s="20" t="s">
        <v>104</v>
      </c>
      <c r="F891" s="21">
        <v>32325.0</v>
      </c>
      <c r="G891" s="14">
        <f t="shared" si="1"/>
        <v>38</v>
      </c>
      <c r="H891" s="23" t="s">
        <v>26</v>
      </c>
      <c r="I891" s="24" t="s">
        <v>27</v>
      </c>
      <c r="J891" s="19" t="s">
        <v>68</v>
      </c>
      <c r="K891" s="14">
        <v>31.0</v>
      </c>
      <c r="L891" s="14">
        <v>0.0</v>
      </c>
      <c r="M891" s="25"/>
      <c r="N891" s="26" t="s">
        <v>21</v>
      </c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>
      <c r="A892" s="14" t="s">
        <v>3400</v>
      </c>
      <c r="B892" s="17" t="s">
        <v>3397</v>
      </c>
      <c r="C892" s="17" t="s">
        <v>3401</v>
      </c>
      <c r="D892" s="19" t="s">
        <v>3402</v>
      </c>
      <c r="E892" s="20" t="s">
        <v>2038</v>
      </c>
      <c r="F892" s="21">
        <v>33615.0</v>
      </c>
      <c r="G892" s="14">
        <f t="shared" si="1"/>
        <v>34</v>
      </c>
      <c r="H892" s="23" t="s">
        <v>26</v>
      </c>
      <c r="I892" s="24" t="s">
        <v>33</v>
      </c>
      <c r="J892" s="19" t="s">
        <v>68</v>
      </c>
      <c r="K892" s="14">
        <v>31.0</v>
      </c>
      <c r="L892" s="14">
        <v>0.0</v>
      </c>
      <c r="M892" s="25"/>
      <c r="N892" s="26" t="s">
        <v>21</v>
      </c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>
      <c r="A893" s="14" t="s">
        <v>3403</v>
      </c>
      <c r="B893" s="17" t="s">
        <v>3404</v>
      </c>
      <c r="C893" s="17" t="s">
        <v>3405</v>
      </c>
      <c r="D893" s="19" t="s">
        <v>3406</v>
      </c>
      <c r="E893" s="20" t="s">
        <v>53</v>
      </c>
      <c r="F893" s="21">
        <v>34509.0</v>
      </c>
      <c r="G893" s="14">
        <f t="shared" si="1"/>
        <v>32</v>
      </c>
      <c r="H893" s="23" t="s">
        <v>26</v>
      </c>
      <c r="I893" s="24" t="s">
        <v>27</v>
      </c>
      <c r="J893" s="19" t="s">
        <v>3407</v>
      </c>
      <c r="K893" s="14">
        <v>11.0</v>
      </c>
      <c r="L893" s="14">
        <v>0.0</v>
      </c>
      <c r="M893" s="25"/>
      <c r="N893" s="26" t="s">
        <v>21</v>
      </c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>
      <c r="A894" s="14" t="s">
        <v>3408</v>
      </c>
      <c r="B894" s="17" t="s">
        <v>3404</v>
      </c>
      <c r="C894" s="17" t="s">
        <v>3409</v>
      </c>
      <c r="D894" s="19" t="s">
        <v>2754</v>
      </c>
      <c r="E894" s="20" t="s">
        <v>104</v>
      </c>
      <c r="F894" s="21">
        <v>32879.0</v>
      </c>
      <c r="G894" s="14">
        <f t="shared" si="1"/>
        <v>36</v>
      </c>
      <c r="H894" s="23" t="s">
        <v>26</v>
      </c>
      <c r="I894" s="24" t="s">
        <v>33</v>
      </c>
      <c r="J894" s="19" t="s">
        <v>3407</v>
      </c>
      <c r="K894" s="14">
        <v>11.0</v>
      </c>
      <c r="L894" s="14">
        <v>0.0</v>
      </c>
      <c r="M894" s="25"/>
      <c r="N894" s="26" t="s">
        <v>21</v>
      </c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>
      <c r="A895" s="14" t="s">
        <v>3410</v>
      </c>
      <c r="B895" s="17" t="s">
        <v>3411</v>
      </c>
      <c r="C895" s="17" t="s">
        <v>3412</v>
      </c>
      <c r="D895" s="19" t="s">
        <v>3413</v>
      </c>
      <c r="E895" s="20" t="s">
        <v>3414</v>
      </c>
      <c r="F895" s="21">
        <v>36311.0</v>
      </c>
      <c r="G895" s="14">
        <f t="shared" si="1"/>
        <v>27</v>
      </c>
      <c r="H895" s="23" t="s">
        <v>26</v>
      </c>
      <c r="I895" s="24" t="s">
        <v>27</v>
      </c>
      <c r="J895" s="19" t="s">
        <v>146</v>
      </c>
      <c r="K895" s="14">
        <v>10.0</v>
      </c>
      <c r="L895" s="14">
        <v>0.0</v>
      </c>
      <c r="M895" s="25"/>
      <c r="N895" s="26" t="s">
        <v>21</v>
      </c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>
      <c r="A896" s="14" t="s">
        <v>3415</v>
      </c>
      <c r="B896" s="17" t="s">
        <v>3411</v>
      </c>
      <c r="C896" s="17" t="s">
        <v>3416</v>
      </c>
      <c r="D896" s="19" t="s">
        <v>3417</v>
      </c>
      <c r="E896" s="20" t="s">
        <v>2332</v>
      </c>
      <c r="F896" s="21">
        <v>35103.0</v>
      </c>
      <c r="G896" s="14">
        <f t="shared" si="1"/>
        <v>30</v>
      </c>
      <c r="H896" s="23" t="s">
        <v>26</v>
      </c>
      <c r="I896" s="24" t="s">
        <v>33</v>
      </c>
      <c r="J896" s="19" t="s">
        <v>146</v>
      </c>
      <c r="K896" s="14">
        <v>10.0</v>
      </c>
      <c r="L896" s="14">
        <v>0.0</v>
      </c>
      <c r="M896" s="25"/>
      <c r="N896" s="26" t="s">
        <v>21</v>
      </c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>
      <c r="A897" s="14" t="s">
        <v>3418</v>
      </c>
      <c r="B897" s="17" t="s">
        <v>3419</v>
      </c>
      <c r="C897" s="17" t="s">
        <v>3420</v>
      </c>
      <c r="D897" s="19" t="s">
        <v>3421</v>
      </c>
      <c r="E897" s="20" t="s">
        <v>2505</v>
      </c>
      <c r="F897" s="21">
        <v>32579.0</v>
      </c>
      <c r="G897" s="14">
        <f t="shared" si="1"/>
        <v>37</v>
      </c>
      <c r="H897" s="23" t="s">
        <v>26</v>
      </c>
      <c r="I897" s="24" t="s">
        <v>33</v>
      </c>
      <c r="J897" s="19" t="s">
        <v>95</v>
      </c>
      <c r="K897" s="14">
        <v>13.0</v>
      </c>
      <c r="L897" s="14">
        <v>0.0</v>
      </c>
      <c r="M897" s="25"/>
      <c r="N897" s="26" t="s">
        <v>21</v>
      </c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>
      <c r="A898" s="14" t="s">
        <v>3422</v>
      </c>
      <c r="B898" s="17" t="s">
        <v>3419</v>
      </c>
      <c r="C898" s="17" t="s">
        <v>3423</v>
      </c>
      <c r="D898" s="19" t="s">
        <v>3424</v>
      </c>
      <c r="E898" s="20" t="s">
        <v>53</v>
      </c>
      <c r="F898" s="21">
        <v>34135.0</v>
      </c>
      <c r="G898" s="14">
        <f t="shared" si="1"/>
        <v>33</v>
      </c>
      <c r="H898" s="23" t="s">
        <v>26</v>
      </c>
      <c r="I898" s="24" t="s">
        <v>27</v>
      </c>
      <c r="J898" s="19" t="s">
        <v>95</v>
      </c>
      <c r="K898" s="14">
        <v>13.0</v>
      </c>
      <c r="L898" s="14">
        <v>0.0</v>
      </c>
      <c r="M898" s="25"/>
      <c r="N898" s="26" t="s">
        <v>21</v>
      </c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>
      <c r="A899" s="14" t="s">
        <v>3425</v>
      </c>
      <c r="B899" s="17" t="s">
        <v>3426</v>
      </c>
      <c r="C899" s="17" t="s">
        <v>3427</v>
      </c>
      <c r="D899" s="19" t="s">
        <v>3428</v>
      </c>
      <c r="E899" s="20" t="s">
        <v>210</v>
      </c>
      <c r="F899" s="21">
        <v>29130.0</v>
      </c>
      <c r="G899" s="14">
        <f t="shared" si="1"/>
        <v>47</v>
      </c>
      <c r="H899" s="23" t="s">
        <v>26</v>
      </c>
      <c r="I899" s="24" t="s">
        <v>27</v>
      </c>
      <c r="J899" s="19" t="s">
        <v>362</v>
      </c>
      <c r="K899" s="14">
        <v>23.0</v>
      </c>
      <c r="L899" s="14">
        <v>0.0</v>
      </c>
      <c r="M899" s="25"/>
      <c r="N899" s="26" t="s">
        <v>21</v>
      </c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>
      <c r="A900" s="14" t="s">
        <v>3429</v>
      </c>
      <c r="B900" s="17" t="s">
        <v>3426</v>
      </c>
      <c r="C900" s="17" t="s">
        <v>3430</v>
      </c>
      <c r="D900" s="19" t="s">
        <v>3431</v>
      </c>
      <c r="E900" s="20" t="s">
        <v>2038</v>
      </c>
      <c r="F900" s="21">
        <v>38507.0</v>
      </c>
      <c r="G900" s="14">
        <f t="shared" si="1"/>
        <v>21</v>
      </c>
      <c r="H900" s="23" t="s">
        <v>100</v>
      </c>
      <c r="I900" s="24" t="s">
        <v>33</v>
      </c>
      <c r="J900" s="19" t="s">
        <v>362</v>
      </c>
      <c r="K900" s="14">
        <v>23.0</v>
      </c>
      <c r="L900" s="14">
        <v>0.0</v>
      </c>
      <c r="M900" s="25"/>
      <c r="N900" s="26" t="s">
        <v>21</v>
      </c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>
      <c r="A901" s="14" t="s">
        <v>3432</v>
      </c>
      <c r="B901" s="17" t="s">
        <v>3426</v>
      </c>
      <c r="C901" s="17" t="s">
        <v>3433</v>
      </c>
      <c r="D901" s="19" t="s">
        <v>3434</v>
      </c>
      <c r="E901" s="20" t="s">
        <v>650</v>
      </c>
      <c r="F901" s="21">
        <v>27401.0</v>
      </c>
      <c r="G901" s="14">
        <f t="shared" si="1"/>
        <v>51</v>
      </c>
      <c r="H901" s="23" t="s">
        <v>26</v>
      </c>
      <c r="I901" s="24" t="s">
        <v>33</v>
      </c>
      <c r="J901" s="19" t="s">
        <v>362</v>
      </c>
      <c r="K901" s="14">
        <v>23.0</v>
      </c>
      <c r="L901" s="14">
        <v>0.0</v>
      </c>
      <c r="M901" s="25"/>
      <c r="N901" s="26" t="s">
        <v>21</v>
      </c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>
      <c r="A902" s="14" t="s">
        <v>3435</v>
      </c>
      <c r="B902" s="17" t="s">
        <v>3426</v>
      </c>
      <c r="C902" s="17" t="s">
        <v>3436</v>
      </c>
      <c r="D902" s="19" t="s">
        <v>3437</v>
      </c>
      <c r="E902" s="20" t="s">
        <v>3438</v>
      </c>
      <c r="F902" s="21">
        <v>36745.0</v>
      </c>
      <c r="G902" s="14">
        <f t="shared" si="1"/>
        <v>26</v>
      </c>
      <c r="H902" s="23" t="s">
        <v>100</v>
      </c>
      <c r="I902" s="24" t="s">
        <v>27</v>
      </c>
      <c r="J902" s="19" t="s">
        <v>362</v>
      </c>
      <c r="K902" s="14">
        <v>23.0</v>
      </c>
      <c r="L902" s="14">
        <v>0.0</v>
      </c>
      <c r="M902" s="25"/>
      <c r="N902" s="26" t="s">
        <v>21</v>
      </c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>
      <c r="A903" s="14" t="s">
        <v>3439</v>
      </c>
      <c r="B903" s="17" t="s">
        <v>3440</v>
      </c>
      <c r="C903" s="17" t="s">
        <v>3441</v>
      </c>
      <c r="D903" s="19" t="s">
        <v>1815</v>
      </c>
      <c r="E903" s="20" t="s">
        <v>654</v>
      </c>
      <c r="F903" s="21">
        <v>26481.0</v>
      </c>
      <c r="G903" s="14">
        <f t="shared" si="1"/>
        <v>54</v>
      </c>
      <c r="H903" s="23" t="s">
        <v>26</v>
      </c>
      <c r="I903" s="24" t="s">
        <v>27</v>
      </c>
      <c r="J903" s="19" t="s">
        <v>895</v>
      </c>
      <c r="K903" s="14">
        <v>19.0</v>
      </c>
      <c r="L903" s="14">
        <v>0.0</v>
      </c>
      <c r="M903" s="25"/>
      <c r="N903" s="26" t="s">
        <v>21</v>
      </c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>
      <c r="A904" s="14" t="s">
        <v>3442</v>
      </c>
      <c r="B904" s="17" t="s">
        <v>3443</v>
      </c>
      <c r="C904" s="17" t="s">
        <v>3444</v>
      </c>
      <c r="D904" s="19" t="s">
        <v>3445</v>
      </c>
      <c r="E904" s="20" t="s">
        <v>104</v>
      </c>
      <c r="F904" s="21">
        <v>39303.0</v>
      </c>
      <c r="G904" s="14">
        <f t="shared" si="1"/>
        <v>19</v>
      </c>
      <c r="H904" s="23" t="s">
        <v>100</v>
      </c>
      <c r="I904" s="24" t="s">
        <v>33</v>
      </c>
      <c r="J904" s="19" t="s">
        <v>156</v>
      </c>
      <c r="K904" s="14">
        <v>34.0</v>
      </c>
      <c r="L904" s="14">
        <v>0.0</v>
      </c>
      <c r="M904" s="25"/>
      <c r="N904" s="26" t="s">
        <v>21</v>
      </c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>
      <c r="A905" s="14" t="s">
        <v>3446</v>
      </c>
      <c r="B905" s="17" t="s">
        <v>3443</v>
      </c>
      <c r="C905" s="17" t="s">
        <v>3447</v>
      </c>
      <c r="D905" s="19" t="s">
        <v>3448</v>
      </c>
      <c r="E905" s="20" t="s">
        <v>104</v>
      </c>
      <c r="F905" s="21">
        <v>33006.0</v>
      </c>
      <c r="G905" s="14">
        <f t="shared" si="1"/>
        <v>36</v>
      </c>
      <c r="H905" s="23" t="s">
        <v>26</v>
      </c>
      <c r="I905" s="24" t="s">
        <v>27</v>
      </c>
      <c r="J905" s="19" t="s">
        <v>156</v>
      </c>
      <c r="K905" s="14">
        <v>34.0</v>
      </c>
      <c r="L905" s="14">
        <v>0.0</v>
      </c>
      <c r="M905" s="25"/>
      <c r="N905" s="26" t="s">
        <v>21</v>
      </c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>
      <c r="A906" s="14" t="s">
        <v>3449</v>
      </c>
      <c r="B906" s="17" t="s">
        <v>3443</v>
      </c>
      <c r="C906" s="17" t="s">
        <v>3450</v>
      </c>
      <c r="D906" s="19" t="s">
        <v>3451</v>
      </c>
      <c r="E906" s="20" t="s">
        <v>104</v>
      </c>
      <c r="F906" s="21">
        <v>30725.0</v>
      </c>
      <c r="G906" s="14">
        <f t="shared" si="1"/>
        <v>42</v>
      </c>
      <c r="H906" s="23" t="s">
        <v>26</v>
      </c>
      <c r="I906" s="24" t="s">
        <v>33</v>
      </c>
      <c r="J906" s="19" t="s">
        <v>1437</v>
      </c>
      <c r="K906" s="14">
        <v>34.0</v>
      </c>
      <c r="L906" s="14">
        <v>0.0</v>
      </c>
      <c r="M906" s="25"/>
      <c r="N906" s="26" t="s">
        <v>21</v>
      </c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>
      <c r="A907" s="42" t="s">
        <v>3452</v>
      </c>
      <c r="B907" s="43" t="s">
        <v>3453</v>
      </c>
      <c r="C907" s="43" t="s">
        <v>3454</v>
      </c>
      <c r="D907" s="44" t="s">
        <v>3455</v>
      </c>
      <c r="E907" s="45" t="s">
        <v>104</v>
      </c>
      <c r="F907" s="46">
        <v>35442.0</v>
      </c>
      <c r="G907" s="14">
        <f t="shared" si="1"/>
        <v>29</v>
      </c>
      <c r="H907" s="47" t="s">
        <v>26</v>
      </c>
      <c r="I907" s="48" t="s">
        <v>27</v>
      </c>
      <c r="J907" s="44" t="s">
        <v>68</v>
      </c>
      <c r="K907" s="42">
        <v>28.0</v>
      </c>
      <c r="L907" s="42">
        <v>7.0</v>
      </c>
      <c r="M907" s="25"/>
      <c r="N907" s="26" t="s">
        <v>21</v>
      </c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>
      <c r="A908" s="49"/>
      <c r="B908" s="43" t="s">
        <v>3453</v>
      </c>
      <c r="C908" s="43" t="s">
        <v>3456</v>
      </c>
      <c r="D908" s="44" t="s">
        <v>3457</v>
      </c>
      <c r="E908" s="45" t="s">
        <v>2680</v>
      </c>
      <c r="F908" s="46">
        <v>35281.0</v>
      </c>
      <c r="G908" s="14">
        <f t="shared" si="1"/>
        <v>30</v>
      </c>
      <c r="H908" s="47" t="s">
        <v>26</v>
      </c>
      <c r="I908" s="48" t="s">
        <v>33</v>
      </c>
      <c r="J908" s="44" t="s">
        <v>68</v>
      </c>
      <c r="K908" s="42">
        <v>28.0</v>
      </c>
      <c r="L908" s="42">
        <v>7.0</v>
      </c>
      <c r="M908" s="25"/>
      <c r="N908" s="26" t="s">
        <v>21</v>
      </c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>
      <c r="A909" s="14" t="s">
        <v>3458</v>
      </c>
      <c r="B909" s="17" t="s">
        <v>3459</v>
      </c>
      <c r="C909" s="17" t="s">
        <v>3460</v>
      </c>
      <c r="D909" s="19" t="s">
        <v>3461</v>
      </c>
      <c r="E909" s="20" t="s">
        <v>53</v>
      </c>
      <c r="F909" s="21">
        <v>38608.0</v>
      </c>
      <c r="G909" s="14">
        <f t="shared" si="1"/>
        <v>21</v>
      </c>
      <c r="H909" s="23" t="s">
        <v>100</v>
      </c>
      <c r="I909" s="24" t="s">
        <v>33</v>
      </c>
      <c r="J909" s="19" t="s">
        <v>68</v>
      </c>
      <c r="K909" s="14">
        <v>28.0</v>
      </c>
      <c r="L909" s="14">
        <v>0.0</v>
      </c>
      <c r="M909" s="25"/>
      <c r="N909" s="26" t="s">
        <v>21</v>
      </c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>
      <c r="A910" s="14" t="s">
        <v>3462</v>
      </c>
      <c r="B910" s="17" t="s">
        <v>3459</v>
      </c>
      <c r="C910" s="17" t="s">
        <v>3463</v>
      </c>
      <c r="D910" s="19" t="s">
        <v>3464</v>
      </c>
      <c r="E910" s="20" t="s">
        <v>1816</v>
      </c>
      <c r="F910" s="21">
        <v>25460.0</v>
      </c>
      <c r="G910" s="14">
        <f t="shared" si="1"/>
        <v>57</v>
      </c>
      <c r="H910" s="23" t="s">
        <v>26</v>
      </c>
      <c r="I910" s="24" t="s">
        <v>27</v>
      </c>
      <c r="J910" s="19" t="s">
        <v>68</v>
      </c>
      <c r="K910" s="14">
        <v>28.0</v>
      </c>
      <c r="L910" s="14">
        <v>0.0</v>
      </c>
      <c r="M910" s="25"/>
      <c r="N910" s="26" t="s">
        <v>21</v>
      </c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>
      <c r="A911" s="14" t="s">
        <v>3465</v>
      </c>
      <c r="B911" s="17" t="s">
        <v>3459</v>
      </c>
      <c r="C911" s="17" t="s">
        <v>3466</v>
      </c>
      <c r="D911" s="19" t="s">
        <v>3467</v>
      </c>
      <c r="E911" s="20" t="s">
        <v>3468</v>
      </c>
      <c r="F911" s="21">
        <v>23743.0</v>
      </c>
      <c r="G911" s="14">
        <f t="shared" si="1"/>
        <v>61</v>
      </c>
      <c r="H911" s="23" t="s">
        <v>26</v>
      </c>
      <c r="I911" s="24" t="s">
        <v>33</v>
      </c>
      <c r="J911" s="19" t="s">
        <v>68</v>
      </c>
      <c r="K911" s="14">
        <v>28.0</v>
      </c>
      <c r="L911" s="14">
        <v>0.0</v>
      </c>
      <c r="M911" s="25"/>
      <c r="N911" s="26" t="s">
        <v>21</v>
      </c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>
      <c r="A912" s="14" t="s">
        <v>3469</v>
      </c>
      <c r="B912" s="17" t="s">
        <v>3470</v>
      </c>
      <c r="C912" s="17" t="s">
        <v>3471</v>
      </c>
      <c r="D912" s="19" t="s">
        <v>3472</v>
      </c>
      <c r="E912" s="20" t="s">
        <v>290</v>
      </c>
      <c r="F912" s="21">
        <v>19974.0</v>
      </c>
      <c r="G912" s="14">
        <f t="shared" si="1"/>
        <v>72</v>
      </c>
      <c r="H912" s="23" t="s">
        <v>26</v>
      </c>
      <c r="I912" s="24" t="s">
        <v>33</v>
      </c>
      <c r="J912" s="19" t="s">
        <v>517</v>
      </c>
      <c r="K912" s="14">
        <v>6.0</v>
      </c>
      <c r="L912" s="14">
        <v>1.0</v>
      </c>
      <c r="M912" s="25"/>
      <c r="N912" s="26" t="s">
        <v>21</v>
      </c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>
      <c r="A913" s="14" t="s">
        <v>3473</v>
      </c>
      <c r="B913" s="17" t="s">
        <v>3474</v>
      </c>
      <c r="C913" s="17" t="s">
        <v>3475</v>
      </c>
      <c r="D913" s="19" t="s">
        <v>3476</v>
      </c>
      <c r="E913" s="20" t="s">
        <v>654</v>
      </c>
      <c r="F913" s="21">
        <v>31820.0</v>
      </c>
      <c r="G913" s="14">
        <f t="shared" si="1"/>
        <v>39</v>
      </c>
      <c r="H913" s="23" t="s">
        <v>100</v>
      </c>
      <c r="I913" s="24" t="s">
        <v>33</v>
      </c>
      <c r="J913" s="19" t="s">
        <v>517</v>
      </c>
      <c r="K913" s="14">
        <v>36.0</v>
      </c>
      <c r="L913" s="14">
        <v>0.0</v>
      </c>
      <c r="M913" s="25"/>
      <c r="N913" s="26" t="s">
        <v>21</v>
      </c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>
      <c r="A914" s="14" t="s">
        <v>3477</v>
      </c>
      <c r="B914" s="17" t="s">
        <v>3474</v>
      </c>
      <c r="C914" s="17" t="s">
        <v>3478</v>
      </c>
      <c r="D914" s="19" t="s">
        <v>3479</v>
      </c>
      <c r="E914" s="20" t="s">
        <v>138</v>
      </c>
      <c r="F914" s="21">
        <v>38589.0</v>
      </c>
      <c r="G914" s="14">
        <f t="shared" si="1"/>
        <v>21</v>
      </c>
      <c r="H914" s="23" t="s">
        <v>100</v>
      </c>
      <c r="I914" s="24" t="s">
        <v>33</v>
      </c>
      <c r="J914" s="19" t="s">
        <v>517</v>
      </c>
      <c r="K914" s="14">
        <v>36.0</v>
      </c>
      <c r="L914" s="14">
        <v>0.0</v>
      </c>
      <c r="M914" s="25"/>
      <c r="N914" s="26" t="s">
        <v>21</v>
      </c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>
      <c r="A915" s="14" t="s">
        <v>3480</v>
      </c>
      <c r="B915" s="17" t="s">
        <v>3474</v>
      </c>
      <c r="C915" s="17" t="s">
        <v>3481</v>
      </c>
      <c r="D915" s="19" t="s">
        <v>3482</v>
      </c>
      <c r="E915" s="20" t="s">
        <v>138</v>
      </c>
      <c r="F915" s="21">
        <v>36238.0</v>
      </c>
      <c r="G915" s="14">
        <f t="shared" si="1"/>
        <v>27</v>
      </c>
      <c r="H915" s="23" t="s">
        <v>100</v>
      </c>
      <c r="I915" s="24" t="s">
        <v>33</v>
      </c>
      <c r="J915" s="19" t="s">
        <v>517</v>
      </c>
      <c r="K915" s="14">
        <v>36.0</v>
      </c>
      <c r="L915" s="14">
        <v>0.0</v>
      </c>
      <c r="M915" s="25"/>
      <c r="N915" s="26" t="s">
        <v>21</v>
      </c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>
      <c r="A916" s="14" t="s">
        <v>3483</v>
      </c>
      <c r="B916" s="17" t="s">
        <v>3474</v>
      </c>
      <c r="C916" s="17" t="s">
        <v>3484</v>
      </c>
      <c r="D916" s="19" t="s">
        <v>3485</v>
      </c>
      <c r="E916" s="20" t="s">
        <v>138</v>
      </c>
      <c r="F916" s="21">
        <v>30149.0</v>
      </c>
      <c r="G916" s="14">
        <f t="shared" si="1"/>
        <v>44</v>
      </c>
      <c r="H916" s="23" t="s">
        <v>26</v>
      </c>
      <c r="I916" s="24" t="s">
        <v>27</v>
      </c>
      <c r="J916" s="19" t="s">
        <v>517</v>
      </c>
      <c r="K916" s="14">
        <v>36.0</v>
      </c>
      <c r="L916" s="14">
        <v>0.0</v>
      </c>
      <c r="M916" s="25"/>
      <c r="N916" s="26" t="s">
        <v>21</v>
      </c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>
      <c r="A917" s="14" t="s">
        <v>3486</v>
      </c>
      <c r="B917" s="17" t="s">
        <v>3474</v>
      </c>
      <c r="C917" s="17" t="s">
        <v>3487</v>
      </c>
      <c r="D917" s="19" t="s">
        <v>3488</v>
      </c>
      <c r="E917" s="20" t="s">
        <v>654</v>
      </c>
      <c r="F917" s="21">
        <v>27263.0</v>
      </c>
      <c r="G917" s="14">
        <f t="shared" si="1"/>
        <v>52</v>
      </c>
      <c r="H917" s="23" t="s">
        <v>26</v>
      </c>
      <c r="I917" s="24" t="s">
        <v>33</v>
      </c>
      <c r="J917" s="19" t="s">
        <v>517</v>
      </c>
      <c r="K917" s="14">
        <v>36.0</v>
      </c>
      <c r="L917" s="14">
        <v>0.0</v>
      </c>
      <c r="M917" s="25"/>
      <c r="N917" s="26" t="s">
        <v>21</v>
      </c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>
      <c r="A918" s="14" t="s">
        <v>3489</v>
      </c>
      <c r="B918" s="17" t="s">
        <v>3490</v>
      </c>
      <c r="C918" s="17" t="s">
        <v>3491</v>
      </c>
      <c r="D918" s="19" t="s">
        <v>3492</v>
      </c>
      <c r="E918" s="20" t="s">
        <v>104</v>
      </c>
      <c r="F918" s="21">
        <v>31508.0</v>
      </c>
      <c r="G918" s="14">
        <f t="shared" si="1"/>
        <v>40</v>
      </c>
      <c r="H918" s="23" t="s">
        <v>26</v>
      </c>
      <c r="I918" s="24" t="s">
        <v>33</v>
      </c>
      <c r="J918" s="19" t="s">
        <v>3493</v>
      </c>
      <c r="K918" s="14">
        <v>1.0</v>
      </c>
      <c r="L918" s="14">
        <v>0.0</v>
      </c>
      <c r="M918" s="25"/>
      <c r="N918" s="26" t="s">
        <v>21</v>
      </c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>
      <c r="A919" s="14" t="s">
        <v>3494</v>
      </c>
      <c r="B919" s="17" t="s">
        <v>3490</v>
      </c>
      <c r="C919" s="17" t="s">
        <v>3495</v>
      </c>
      <c r="D919" s="19" t="s">
        <v>3496</v>
      </c>
      <c r="E919" s="20" t="s">
        <v>104</v>
      </c>
      <c r="F919" s="21">
        <v>32556.0</v>
      </c>
      <c r="G919" s="14">
        <f t="shared" si="1"/>
        <v>37</v>
      </c>
      <c r="H919" s="23" t="s">
        <v>26</v>
      </c>
      <c r="I919" s="24" t="s">
        <v>27</v>
      </c>
      <c r="J919" s="19" t="s">
        <v>3493</v>
      </c>
      <c r="K919" s="14">
        <v>1.0</v>
      </c>
      <c r="L919" s="14">
        <v>0.0</v>
      </c>
      <c r="M919" s="25"/>
      <c r="N919" s="26" t="s">
        <v>21</v>
      </c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>
      <c r="A920" s="14" t="s">
        <v>3497</v>
      </c>
      <c r="B920" s="17" t="s">
        <v>3498</v>
      </c>
      <c r="C920" s="17" t="s">
        <v>3499</v>
      </c>
      <c r="D920" s="19" t="s">
        <v>3500</v>
      </c>
      <c r="E920" s="20" t="s">
        <v>53</v>
      </c>
      <c r="F920" s="21">
        <v>32661.0</v>
      </c>
      <c r="G920" s="14">
        <f t="shared" si="1"/>
        <v>37</v>
      </c>
      <c r="H920" s="23" t="s">
        <v>100</v>
      </c>
      <c r="I920" s="24" t="s">
        <v>33</v>
      </c>
      <c r="J920" s="19" t="s">
        <v>3387</v>
      </c>
      <c r="K920" s="14">
        <v>7.0</v>
      </c>
      <c r="L920" s="14">
        <v>0.0</v>
      </c>
      <c r="M920" s="25"/>
      <c r="N920" s="26" t="s">
        <v>21</v>
      </c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>
      <c r="A921" s="14" t="s">
        <v>3501</v>
      </c>
      <c r="B921" s="17" t="s">
        <v>3498</v>
      </c>
      <c r="C921" s="17" t="s">
        <v>3502</v>
      </c>
      <c r="D921" s="19" t="s">
        <v>1494</v>
      </c>
      <c r="E921" s="20" t="s">
        <v>290</v>
      </c>
      <c r="F921" s="21">
        <v>27122.0</v>
      </c>
      <c r="G921" s="14">
        <f t="shared" si="1"/>
        <v>52</v>
      </c>
      <c r="H921" s="23" t="s">
        <v>27</v>
      </c>
      <c r="I921" s="24" t="s">
        <v>27</v>
      </c>
      <c r="J921" s="19" t="s">
        <v>3387</v>
      </c>
      <c r="K921" s="14">
        <v>7.0</v>
      </c>
      <c r="L921" s="14">
        <v>0.0</v>
      </c>
      <c r="M921" s="25"/>
      <c r="N921" s="26" t="s">
        <v>21</v>
      </c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>
      <c r="A922" s="14" t="s">
        <v>3503</v>
      </c>
      <c r="B922" s="17" t="s">
        <v>3504</v>
      </c>
      <c r="C922" s="17" t="s">
        <v>3505</v>
      </c>
      <c r="D922" s="19" t="s">
        <v>3506</v>
      </c>
      <c r="E922" s="20" t="s">
        <v>104</v>
      </c>
      <c r="F922" s="21">
        <v>29651.0</v>
      </c>
      <c r="G922" s="14">
        <f t="shared" si="1"/>
        <v>45</v>
      </c>
      <c r="H922" s="23" t="s">
        <v>26</v>
      </c>
      <c r="I922" s="24" t="s">
        <v>33</v>
      </c>
      <c r="J922" s="19" t="s">
        <v>328</v>
      </c>
      <c r="K922" s="14">
        <v>27.0</v>
      </c>
      <c r="L922" s="14">
        <v>0.0</v>
      </c>
      <c r="M922" s="25"/>
      <c r="N922" s="26" t="s">
        <v>21</v>
      </c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>
      <c r="A923" s="14" t="s">
        <v>3507</v>
      </c>
      <c r="B923" s="17" t="s">
        <v>3504</v>
      </c>
      <c r="C923" s="17" t="s">
        <v>3508</v>
      </c>
      <c r="D923" s="19" t="s">
        <v>3509</v>
      </c>
      <c r="E923" s="20" t="s">
        <v>3510</v>
      </c>
      <c r="F923" s="21">
        <v>31672.0</v>
      </c>
      <c r="G923" s="14">
        <f t="shared" si="1"/>
        <v>40</v>
      </c>
      <c r="H923" s="23" t="s">
        <v>26</v>
      </c>
      <c r="I923" s="24" t="s">
        <v>27</v>
      </c>
      <c r="J923" s="19" t="s">
        <v>328</v>
      </c>
      <c r="K923" s="14">
        <v>27.0</v>
      </c>
      <c r="L923" s="14">
        <v>5.0</v>
      </c>
      <c r="M923" s="25"/>
      <c r="N923" s="26" t="s">
        <v>21</v>
      </c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>
      <c r="A924" s="14" t="s">
        <v>3511</v>
      </c>
      <c r="B924" s="17" t="s">
        <v>3512</v>
      </c>
      <c r="C924" s="17" t="s">
        <v>3513</v>
      </c>
      <c r="D924" s="19" t="s">
        <v>760</v>
      </c>
      <c r="E924" s="20" t="s">
        <v>650</v>
      </c>
      <c r="F924" s="21">
        <v>23514.0</v>
      </c>
      <c r="G924" s="14">
        <f t="shared" si="1"/>
        <v>62</v>
      </c>
      <c r="H924" s="23" t="s">
        <v>26</v>
      </c>
      <c r="I924" s="24" t="s">
        <v>27</v>
      </c>
      <c r="J924" s="19" t="s">
        <v>328</v>
      </c>
      <c r="K924" s="14">
        <v>27.0</v>
      </c>
      <c r="L924" s="14">
        <v>0.0</v>
      </c>
      <c r="M924" s="25"/>
      <c r="N924" s="26" t="s">
        <v>21</v>
      </c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>
      <c r="A925" s="14" t="s">
        <v>3514</v>
      </c>
      <c r="B925" s="17" t="s">
        <v>3512</v>
      </c>
      <c r="C925" s="17" t="s">
        <v>3515</v>
      </c>
      <c r="D925" s="19" t="s">
        <v>3434</v>
      </c>
      <c r="E925" s="20" t="s">
        <v>1038</v>
      </c>
      <c r="F925" s="21">
        <v>21996.0</v>
      </c>
      <c r="G925" s="14">
        <f t="shared" si="1"/>
        <v>66</v>
      </c>
      <c r="H925" s="23" t="s">
        <v>26</v>
      </c>
      <c r="I925" s="24" t="s">
        <v>33</v>
      </c>
      <c r="J925" s="19" t="s">
        <v>328</v>
      </c>
      <c r="K925" s="14">
        <v>27.0</v>
      </c>
      <c r="L925" s="14">
        <v>0.0</v>
      </c>
      <c r="M925" s="25"/>
      <c r="N925" s="26" t="s">
        <v>21</v>
      </c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>
      <c r="A926" s="14" t="s">
        <v>3516</v>
      </c>
      <c r="B926" s="17" t="s">
        <v>3517</v>
      </c>
      <c r="C926" s="17" t="s">
        <v>3518</v>
      </c>
      <c r="D926" s="19" t="s">
        <v>3519</v>
      </c>
      <c r="E926" s="20" t="s">
        <v>138</v>
      </c>
      <c r="F926" s="21">
        <v>36238.0</v>
      </c>
      <c r="G926" s="14">
        <f t="shared" si="1"/>
        <v>27</v>
      </c>
      <c r="H926" s="23" t="s">
        <v>26</v>
      </c>
      <c r="I926" s="24" t="s">
        <v>33</v>
      </c>
      <c r="J926" s="19" t="s">
        <v>337</v>
      </c>
      <c r="K926" s="14">
        <v>1.0</v>
      </c>
      <c r="L926" s="14">
        <v>0.0</v>
      </c>
      <c r="M926" s="25"/>
      <c r="N926" s="26" t="s">
        <v>21</v>
      </c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>
      <c r="A927" s="14" t="s">
        <v>3520</v>
      </c>
      <c r="B927" s="17" t="s">
        <v>3517</v>
      </c>
      <c r="C927" s="17" t="s">
        <v>3521</v>
      </c>
      <c r="D927" s="19" t="s">
        <v>3522</v>
      </c>
      <c r="E927" s="20" t="s">
        <v>104</v>
      </c>
      <c r="F927" s="21">
        <v>36439.0</v>
      </c>
      <c r="G927" s="14">
        <f t="shared" si="1"/>
        <v>27</v>
      </c>
      <c r="H927" s="23" t="s">
        <v>26</v>
      </c>
      <c r="I927" s="24" t="s">
        <v>27</v>
      </c>
      <c r="J927" s="19" t="s">
        <v>337</v>
      </c>
      <c r="K927" s="14">
        <v>1.0</v>
      </c>
      <c r="L927" s="14">
        <v>0.0</v>
      </c>
      <c r="M927" s="25"/>
      <c r="N927" s="26" t="s">
        <v>21</v>
      </c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>
      <c r="A928" s="14" t="s">
        <v>3523</v>
      </c>
      <c r="B928" s="17" t="s">
        <v>3524</v>
      </c>
      <c r="C928" s="17" t="s">
        <v>3525</v>
      </c>
      <c r="D928" s="19" t="s">
        <v>3526</v>
      </c>
      <c r="E928" s="20" t="s">
        <v>2980</v>
      </c>
      <c r="F928" s="27">
        <v>34618.0</v>
      </c>
      <c r="G928" s="14">
        <f t="shared" si="1"/>
        <v>32</v>
      </c>
      <c r="H928" s="23" t="s">
        <v>26</v>
      </c>
      <c r="I928" s="24" t="s">
        <v>33</v>
      </c>
      <c r="J928" s="19" t="s">
        <v>68</v>
      </c>
      <c r="K928" s="14">
        <v>31.0</v>
      </c>
      <c r="L928" s="14">
        <v>0.0</v>
      </c>
      <c r="M928" s="25"/>
      <c r="N928" s="26" t="s">
        <v>21</v>
      </c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>
      <c r="A929" s="14" t="s">
        <v>3527</v>
      </c>
      <c r="B929" s="17" t="s">
        <v>3524</v>
      </c>
      <c r="C929" s="17" t="s">
        <v>3528</v>
      </c>
      <c r="D929" s="19" t="s">
        <v>3529</v>
      </c>
      <c r="E929" s="20" t="s">
        <v>219</v>
      </c>
      <c r="F929" s="21">
        <v>34951.0</v>
      </c>
      <c r="G929" s="14">
        <f t="shared" si="1"/>
        <v>31</v>
      </c>
      <c r="H929" s="23" t="s">
        <v>26</v>
      </c>
      <c r="I929" s="24" t="s">
        <v>27</v>
      </c>
      <c r="J929" s="19" t="s">
        <v>68</v>
      </c>
      <c r="K929" s="14">
        <v>31.0</v>
      </c>
      <c r="L929" s="14">
        <v>0.0</v>
      </c>
      <c r="M929" s="25"/>
      <c r="N929" s="26" t="s">
        <v>21</v>
      </c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>
      <c r="A930" s="14" t="s">
        <v>3530</v>
      </c>
      <c r="B930" s="17" t="s">
        <v>3531</v>
      </c>
      <c r="C930" s="17" t="s">
        <v>3532</v>
      </c>
      <c r="D930" s="19" t="s">
        <v>3533</v>
      </c>
      <c r="E930" s="20" t="s">
        <v>654</v>
      </c>
      <c r="F930" s="21">
        <v>26471.0</v>
      </c>
      <c r="G930" s="14">
        <f t="shared" si="1"/>
        <v>54</v>
      </c>
      <c r="H930" s="23" t="s">
        <v>26</v>
      </c>
      <c r="I930" s="24" t="s">
        <v>27</v>
      </c>
      <c r="J930" s="19" t="s">
        <v>68</v>
      </c>
      <c r="K930" s="14">
        <v>30.0</v>
      </c>
      <c r="L930" s="14">
        <v>8.0</v>
      </c>
      <c r="M930" s="25"/>
      <c r="N930" s="26" t="s">
        <v>21</v>
      </c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>
      <c r="A931" s="14" t="s">
        <v>3534</v>
      </c>
      <c r="B931" s="17" t="s">
        <v>3535</v>
      </c>
      <c r="C931" s="17" t="s">
        <v>3536</v>
      </c>
      <c r="D931" s="19" t="s">
        <v>3537</v>
      </c>
      <c r="E931" s="20" t="s">
        <v>104</v>
      </c>
      <c r="F931" s="21">
        <v>37294.0</v>
      </c>
      <c r="G931" s="14">
        <f t="shared" si="1"/>
        <v>24</v>
      </c>
      <c r="H931" s="23" t="s">
        <v>100</v>
      </c>
      <c r="I931" s="24" t="s">
        <v>33</v>
      </c>
      <c r="J931" s="19" t="s">
        <v>3538</v>
      </c>
      <c r="K931" s="14">
        <v>22.0</v>
      </c>
      <c r="L931" s="14">
        <v>0.0</v>
      </c>
      <c r="M931" s="28" t="s">
        <v>3539</v>
      </c>
      <c r="N931" s="26" t="s">
        <v>21</v>
      </c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>
      <c r="A932" s="14" t="s">
        <v>3540</v>
      </c>
      <c r="B932" s="17" t="s">
        <v>3541</v>
      </c>
      <c r="C932" s="17" t="s">
        <v>3542</v>
      </c>
      <c r="D932" s="19" t="s">
        <v>3543</v>
      </c>
      <c r="E932" s="20" t="s">
        <v>3544</v>
      </c>
      <c r="F932" s="27">
        <v>33204.0</v>
      </c>
      <c r="G932" s="14">
        <f t="shared" si="1"/>
        <v>35</v>
      </c>
      <c r="H932" s="23" t="s">
        <v>26</v>
      </c>
      <c r="I932" s="24" t="s">
        <v>27</v>
      </c>
      <c r="J932" s="19" t="s">
        <v>282</v>
      </c>
      <c r="K932" s="14">
        <v>15.0</v>
      </c>
      <c r="L932" s="14">
        <v>0.0</v>
      </c>
      <c r="M932" s="25"/>
      <c r="N932" s="26" t="s">
        <v>21</v>
      </c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>
      <c r="A933" s="14" t="s">
        <v>3545</v>
      </c>
      <c r="B933" s="17" t="s">
        <v>3541</v>
      </c>
      <c r="C933" s="17" t="s">
        <v>3546</v>
      </c>
      <c r="D933" s="19" t="s">
        <v>3547</v>
      </c>
      <c r="E933" s="20" t="s">
        <v>3210</v>
      </c>
      <c r="F933" s="21">
        <v>27583.0</v>
      </c>
      <c r="G933" s="14">
        <f t="shared" si="1"/>
        <v>51</v>
      </c>
      <c r="H933" s="23" t="s">
        <v>26</v>
      </c>
      <c r="I933" s="24" t="s">
        <v>33</v>
      </c>
      <c r="J933" s="19" t="s">
        <v>282</v>
      </c>
      <c r="K933" s="14">
        <v>15.0</v>
      </c>
      <c r="L933" s="14">
        <v>0.0</v>
      </c>
      <c r="M933" s="25"/>
      <c r="N933" s="26" t="s">
        <v>21</v>
      </c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>
      <c r="A934" s="14" t="s">
        <v>3548</v>
      </c>
      <c r="B934" s="17" t="s">
        <v>3549</v>
      </c>
      <c r="C934" s="17" t="s">
        <v>3550</v>
      </c>
      <c r="D934" s="19" t="s">
        <v>3551</v>
      </c>
      <c r="E934" s="20" t="s">
        <v>3552</v>
      </c>
      <c r="F934" s="21">
        <v>34438.0</v>
      </c>
      <c r="G934" s="14">
        <f t="shared" si="1"/>
        <v>32</v>
      </c>
      <c r="H934" s="23" t="s">
        <v>26</v>
      </c>
      <c r="I934" s="24" t="s">
        <v>27</v>
      </c>
      <c r="J934" s="19" t="s">
        <v>68</v>
      </c>
      <c r="K934" s="14">
        <v>28.0</v>
      </c>
      <c r="L934" s="14">
        <v>0.0</v>
      </c>
      <c r="M934" s="25"/>
      <c r="N934" s="26" t="s">
        <v>21</v>
      </c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>
      <c r="A935" s="14" t="s">
        <v>3553</v>
      </c>
      <c r="B935" s="17" t="s">
        <v>3549</v>
      </c>
      <c r="C935" s="17" t="s">
        <v>3554</v>
      </c>
      <c r="D935" s="19" t="s">
        <v>3555</v>
      </c>
      <c r="E935" s="20" t="s">
        <v>104</v>
      </c>
      <c r="F935" s="21">
        <v>31812.0</v>
      </c>
      <c r="G935" s="14">
        <f t="shared" si="1"/>
        <v>39</v>
      </c>
      <c r="H935" s="23" t="s">
        <v>26</v>
      </c>
      <c r="I935" s="24" t="s">
        <v>33</v>
      </c>
      <c r="J935" s="19" t="s">
        <v>68</v>
      </c>
      <c r="K935" s="14">
        <v>28.0</v>
      </c>
      <c r="L935" s="14">
        <v>0.0</v>
      </c>
      <c r="M935" s="25"/>
      <c r="N935" s="26" t="s">
        <v>21</v>
      </c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>
      <c r="A936" s="14" t="s">
        <v>3556</v>
      </c>
      <c r="B936" s="17" t="s">
        <v>3557</v>
      </c>
      <c r="C936" s="17" t="s">
        <v>3558</v>
      </c>
      <c r="D936" s="19" t="s">
        <v>3559</v>
      </c>
      <c r="E936" s="20" t="s">
        <v>53</v>
      </c>
      <c r="F936" s="21">
        <v>37697.0</v>
      </c>
      <c r="G936" s="14">
        <f t="shared" si="1"/>
        <v>23</v>
      </c>
      <c r="H936" s="23" t="s">
        <v>100</v>
      </c>
      <c r="I936" s="24" t="s">
        <v>33</v>
      </c>
      <c r="J936" s="19" t="s">
        <v>3560</v>
      </c>
      <c r="K936" s="14">
        <v>34.0</v>
      </c>
      <c r="L936" s="14">
        <v>0.0</v>
      </c>
      <c r="M936" s="25"/>
      <c r="N936" s="26" t="s">
        <v>21</v>
      </c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>
      <c r="A937" s="14" t="s">
        <v>3561</v>
      </c>
      <c r="B937" s="17" t="s">
        <v>3557</v>
      </c>
      <c r="C937" s="17" t="s">
        <v>3562</v>
      </c>
      <c r="D937" s="19" t="s">
        <v>3563</v>
      </c>
      <c r="E937" s="20" t="s">
        <v>3564</v>
      </c>
      <c r="F937" s="21">
        <v>31144.0</v>
      </c>
      <c r="G937" s="14">
        <f t="shared" si="1"/>
        <v>41</v>
      </c>
      <c r="H937" s="23" t="s">
        <v>26</v>
      </c>
      <c r="I937" s="24" t="s">
        <v>33</v>
      </c>
      <c r="J937" s="19" t="s">
        <v>3565</v>
      </c>
      <c r="K937" s="14">
        <v>34.0</v>
      </c>
      <c r="L937" s="14">
        <v>0.0</v>
      </c>
      <c r="M937" s="25"/>
      <c r="N937" s="26" t="s">
        <v>21</v>
      </c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>
      <c r="A938" s="14" t="s">
        <v>3566</v>
      </c>
      <c r="B938" s="17" t="s">
        <v>3557</v>
      </c>
      <c r="C938" s="17" t="s">
        <v>3567</v>
      </c>
      <c r="D938" s="19" t="s">
        <v>3568</v>
      </c>
      <c r="E938" s="20" t="s">
        <v>53</v>
      </c>
      <c r="F938" s="21">
        <v>30385.0</v>
      </c>
      <c r="G938" s="14">
        <f t="shared" si="1"/>
        <v>43</v>
      </c>
      <c r="H938" s="23" t="s">
        <v>26</v>
      </c>
      <c r="I938" s="24" t="s">
        <v>27</v>
      </c>
      <c r="J938" s="19" t="s">
        <v>3565</v>
      </c>
      <c r="K938" s="14">
        <v>34.0</v>
      </c>
      <c r="L938" s="14">
        <v>0.0</v>
      </c>
      <c r="M938" s="25"/>
      <c r="N938" s="26" t="s">
        <v>21</v>
      </c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>
      <c r="A939" s="14" t="s">
        <v>3569</v>
      </c>
      <c r="B939" s="17" t="s">
        <v>3570</v>
      </c>
      <c r="C939" s="17" t="s">
        <v>3571</v>
      </c>
      <c r="D939" s="19" t="s">
        <v>3572</v>
      </c>
      <c r="E939" s="20" t="s">
        <v>104</v>
      </c>
      <c r="F939" s="21">
        <v>33631.0</v>
      </c>
      <c r="G939" s="14">
        <f t="shared" si="1"/>
        <v>34</v>
      </c>
      <c r="H939" s="23" t="s">
        <v>26</v>
      </c>
      <c r="I939" s="24" t="s">
        <v>33</v>
      </c>
      <c r="J939" s="19" t="s">
        <v>328</v>
      </c>
      <c r="K939" s="14">
        <v>26.0</v>
      </c>
      <c r="L939" s="14">
        <v>0.0</v>
      </c>
      <c r="M939" s="25"/>
      <c r="N939" s="26" t="s">
        <v>21</v>
      </c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>
      <c r="A940" s="14" t="s">
        <v>3573</v>
      </c>
      <c r="B940" s="17" t="s">
        <v>3570</v>
      </c>
      <c r="C940" s="17" t="s">
        <v>3574</v>
      </c>
      <c r="D940" s="19" t="s">
        <v>3575</v>
      </c>
      <c r="E940" s="20" t="s">
        <v>3576</v>
      </c>
      <c r="F940" s="21">
        <v>35531.0</v>
      </c>
      <c r="G940" s="14">
        <f t="shared" si="1"/>
        <v>29</v>
      </c>
      <c r="H940" s="23" t="s">
        <v>26</v>
      </c>
      <c r="I940" s="24" t="s">
        <v>27</v>
      </c>
      <c r="J940" s="19" t="s">
        <v>328</v>
      </c>
      <c r="K940" s="14">
        <v>26.0</v>
      </c>
      <c r="L940" s="14">
        <v>0.0</v>
      </c>
      <c r="M940" s="25"/>
      <c r="N940" s="26" t="s">
        <v>21</v>
      </c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>
      <c r="A941" s="14" t="s">
        <v>3577</v>
      </c>
      <c r="B941" s="17" t="s">
        <v>3578</v>
      </c>
      <c r="C941" s="17" t="s">
        <v>3579</v>
      </c>
      <c r="D941" s="19" t="s">
        <v>3580</v>
      </c>
      <c r="E941" s="20" t="s">
        <v>53</v>
      </c>
      <c r="F941" s="21">
        <v>37861.0</v>
      </c>
      <c r="G941" s="14">
        <f t="shared" si="1"/>
        <v>23</v>
      </c>
      <c r="H941" s="23" t="s">
        <v>100</v>
      </c>
      <c r="I941" s="24" t="s">
        <v>27</v>
      </c>
      <c r="J941" s="19" t="s">
        <v>2336</v>
      </c>
      <c r="K941" s="14">
        <v>24.0</v>
      </c>
      <c r="L941" s="14">
        <v>0.0</v>
      </c>
      <c r="M941" s="25"/>
      <c r="N941" s="26" t="s">
        <v>21</v>
      </c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>
      <c r="A942" s="14" t="s">
        <v>3581</v>
      </c>
      <c r="B942" s="17" t="s">
        <v>3578</v>
      </c>
      <c r="C942" s="17" t="s">
        <v>3582</v>
      </c>
      <c r="D942" s="19" t="s">
        <v>3583</v>
      </c>
      <c r="E942" s="20" t="s">
        <v>2505</v>
      </c>
      <c r="F942" s="21">
        <v>26238.0</v>
      </c>
      <c r="G942" s="14">
        <f t="shared" si="1"/>
        <v>54</v>
      </c>
      <c r="H942" s="23" t="s">
        <v>26</v>
      </c>
      <c r="I942" s="24" t="s">
        <v>27</v>
      </c>
      <c r="J942" s="19" t="s">
        <v>2336</v>
      </c>
      <c r="K942" s="14">
        <v>24.0</v>
      </c>
      <c r="L942" s="14">
        <v>0.0</v>
      </c>
      <c r="M942" s="25"/>
      <c r="N942" s="26" t="s">
        <v>21</v>
      </c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>
      <c r="A943" s="14" t="s">
        <v>3584</v>
      </c>
      <c r="B943" s="17" t="s">
        <v>3578</v>
      </c>
      <c r="C943" s="17" t="s">
        <v>3585</v>
      </c>
      <c r="D943" s="19" t="s">
        <v>3586</v>
      </c>
      <c r="E943" s="20" t="s">
        <v>3587</v>
      </c>
      <c r="F943" s="21">
        <v>24808.0</v>
      </c>
      <c r="G943" s="14">
        <f t="shared" si="1"/>
        <v>58</v>
      </c>
      <c r="H943" s="23" t="s">
        <v>26</v>
      </c>
      <c r="I943" s="24" t="s">
        <v>33</v>
      </c>
      <c r="J943" s="19" t="s">
        <v>2336</v>
      </c>
      <c r="K943" s="14">
        <v>24.0</v>
      </c>
      <c r="L943" s="14">
        <v>0.0</v>
      </c>
      <c r="M943" s="25"/>
      <c r="N943" s="26" t="s">
        <v>21</v>
      </c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>
      <c r="A944" s="14" t="s">
        <v>3588</v>
      </c>
      <c r="B944" s="17" t="s">
        <v>3589</v>
      </c>
      <c r="C944" s="17" t="s">
        <v>3590</v>
      </c>
      <c r="D944" s="19" t="s">
        <v>3591</v>
      </c>
      <c r="E944" s="20" t="s">
        <v>1791</v>
      </c>
      <c r="F944" s="27">
        <v>32489.0</v>
      </c>
      <c r="G944" s="14">
        <f t="shared" si="1"/>
        <v>37</v>
      </c>
      <c r="H944" s="23" t="s">
        <v>26</v>
      </c>
      <c r="I944" s="24" t="s">
        <v>33</v>
      </c>
      <c r="J944" s="19" t="s">
        <v>3592</v>
      </c>
      <c r="K944" s="14">
        <v>15.0</v>
      </c>
      <c r="L944" s="14">
        <v>0.0</v>
      </c>
      <c r="M944" s="25"/>
      <c r="N944" s="26" t="s">
        <v>21</v>
      </c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>
      <c r="A945" s="14" t="s">
        <v>3593</v>
      </c>
      <c r="B945" s="17" t="s">
        <v>3589</v>
      </c>
      <c r="C945" s="17" t="s">
        <v>3594</v>
      </c>
      <c r="D945" s="19" t="s">
        <v>3595</v>
      </c>
      <c r="E945" s="20" t="s">
        <v>104</v>
      </c>
      <c r="F945" s="21">
        <v>33074.0</v>
      </c>
      <c r="G945" s="14">
        <f t="shared" si="1"/>
        <v>36</v>
      </c>
      <c r="H945" s="23" t="s">
        <v>26</v>
      </c>
      <c r="I945" s="24" t="s">
        <v>27</v>
      </c>
      <c r="J945" s="19" t="s">
        <v>3592</v>
      </c>
      <c r="K945" s="14">
        <v>15.0</v>
      </c>
      <c r="L945" s="14">
        <v>0.0</v>
      </c>
      <c r="M945" s="25"/>
      <c r="N945" s="26" t="s">
        <v>21</v>
      </c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>
      <c r="A946" s="14" t="s">
        <v>3596</v>
      </c>
      <c r="B946" s="17" t="s">
        <v>3597</v>
      </c>
      <c r="C946" s="17" t="s">
        <v>3598</v>
      </c>
      <c r="D946" s="19" t="s">
        <v>3599</v>
      </c>
      <c r="E946" s="20" t="s">
        <v>104</v>
      </c>
      <c r="F946" s="21">
        <v>33785.0</v>
      </c>
      <c r="G946" s="14">
        <f t="shared" si="1"/>
        <v>34</v>
      </c>
      <c r="H946" s="23" t="s">
        <v>26</v>
      </c>
      <c r="I946" s="24" t="s">
        <v>33</v>
      </c>
      <c r="J946" s="19" t="s">
        <v>3600</v>
      </c>
      <c r="K946" s="14">
        <v>30.0</v>
      </c>
      <c r="L946" s="14">
        <v>0.0</v>
      </c>
      <c r="M946" s="25"/>
      <c r="N946" s="26" t="s">
        <v>21</v>
      </c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>
      <c r="A947" s="14" t="s">
        <v>3601</v>
      </c>
      <c r="B947" s="17" t="s">
        <v>3597</v>
      </c>
      <c r="C947" s="17" t="s">
        <v>3602</v>
      </c>
      <c r="D947" s="19" t="s">
        <v>3603</v>
      </c>
      <c r="E947" s="20" t="s">
        <v>3604</v>
      </c>
      <c r="F947" s="27">
        <v>34334.0</v>
      </c>
      <c r="G947" s="14">
        <f t="shared" si="1"/>
        <v>32</v>
      </c>
      <c r="H947" s="23" t="s">
        <v>26</v>
      </c>
      <c r="I947" s="24" t="s">
        <v>27</v>
      </c>
      <c r="J947" s="19" t="s">
        <v>3600</v>
      </c>
      <c r="K947" s="14">
        <v>30.0</v>
      </c>
      <c r="L947" s="14">
        <v>5.0</v>
      </c>
      <c r="M947" s="28" t="s">
        <v>3610</v>
      </c>
      <c r="N947" s="26" t="s">
        <v>21</v>
      </c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>
      <c r="A948" s="14" t="s">
        <v>3605</v>
      </c>
      <c r="B948" s="17" t="s">
        <v>3606</v>
      </c>
      <c r="C948" s="17" t="s">
        <v>3607</v>
      </c>
      <c r="D948" s="19" t="s">
        <v>3608</v>
      </c>
      <c r="E948" s="20" t="s">
        <v>3609</v>
      </c>
      <c r="F948" s="21">
        <v>33375.0</v>
      </c>
      <c r="G948" s="14">
        <f t="shared" si="1"/>
        <v>35</v>
      </c>
      <c r="H948" s="23" t="s">
        <v>26</v>
      </c>
      <c r="I948" s="24" t="s">
        <v>27</v>
      </c>
      <c r="J948" s="19" t="s">
        <v>53</v>
      </c>
      <c r="K948" s="14">
        <v>26.0</v>
      </c>
      <c r="L948" s="14">
        <v>5.0</v>
      </c>
      <c r="M948" s="25"/>
      <c r="N948" s="26" t="s">
        <v>21</v>
      </c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>
      <c r="A949" s="14" t="s">
        <v>3611</v>
      </c>
      <c r="B949" s="17" t="s">
        <v>3606</v>
      </c>
      <c r="C949" s="17" t="s">
        <v>3612</v>
      </c>
      <c r="D949" s="19" t="s">
        <v>3613</v>
      </c>
      <c r="E949" s="20" t="s">
        <v>3614</v>
      </c>
      <c r="F949" s="21">
        <v>32609.0</v>
      </c>
      <c r="G949" s="14">
        <f t="shared" si="1"/>
        <v>37</v>
      </c>
      <c r="H949" s="23" t="s">
        <v>26</v>
      </c>
      <c r="I949" s="24" t="s">
        <v>33</v>
      </c>
      <c r="J949" s="19" t="s">
        <v>53</v>
      </c>
      <c r="K949" s="14">
        <v>26.0</v>
      </c>
      <c r="L949" s="14">
        <v>5.0</v>
      </c>
      <c r="M949" s="25"/>
      <c r="N949" s="26" t="s">
        <v>21</v>
      </c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>
      <c r="A950" s="14" t="s">
        <v>3615</v>
      </c>
      <c r="B950" s="17" t="s">
        <v>3616</v>
      </c>
      <c r="C950" s="17" t="s">
        <v>3617</v>
      </c>
      <c r="D950" s="19" t="s">
        <v>3618</v>
      </c>
      <c r="E950" s="20" t="s">
        <v>112</v>
      </c>
      <c r="F950" s="21">
        <v>23012.0</v>
      </c>
      <c r="G950" s="14">
        <f t="shared" si="1"/>
        <v>63</v>
      </c>
      <c r="H950" s="23" t="s">
        <v>26</v>
      </c>
      <c r="I950" s="24" t="s">
        <v>33</v>
      </c>
      <c r="J950" s="19" t="s">
        <v>282</v>
      </c>
      <c r="K950" s="14">
        <v>19.0</v>
      </c>
      <c r="L950" s="14">
        <v>0.0</v>
      </c>
      <c r="M950" s="25"/>
      <c r="N950" s="26" t="s">
        <v>21</v>
      </c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>
      <c r="A951" s="14" t="s">
        <v>3619</v>
      </c>
      <c r="B951" s="17" t="s">
        <v>3616</v>
      </c>
      <c r="C951" s="17" t="s">
        <v>3620</v>
      </c>
      <c r="D951" s="19" t="s">
        <v>3621</v>
      </c>
      <c r="E951" s="20" t="s">
        <v>1148</v>
      </c>
      <c r="F951" s="21">
        <v>24994.0</v>
      </c>
      <c r="G951" s="14">
        <f t="shared" si="1"/>
        <v>58</v>
      </c>
      <c r="H951" s="23" t="s">
        <v>26</v>
      </c>
      <c r="I951" s="24" t="s">
        <v>27</v>
      </c>
      <c r="J951" s="19" t="s">
        <v>282</v>
      </c>
      <c r="K951" s="14">
        <v>19.0</v>
      </c>
      <c r="L951" s="14">
        <v>0.0</v>
      </c>
      <c r="M951" s="25"/>
      <c r="N951" s="26" t="s">
        <v>21</v>
      </c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>
      <c r="A952" s="14" t="s">
        <v>3622</v>
      </c>
      <c r="B952" s="17" t="s">
        <v>3623</v>
      </c>
      <c r="C952" s="17" t="s">
        <v>3624</v>
      </c>
      <c r="D952" s="19" t="s">
        <v>3625</v>
      </c>
      <c r="E952" s="20" t="s">
        <v>1791</v>
      </c>
      <c r="F952" s="21">
        <v>35691.0</v>
      </c>
      <c r="G952" s="14">
        <f t="shared" si="1"/>
        <v>29</v>
      </c>
      <c r="H952" s="23" t="s">
        <v>26</v>
      </c>
      <c r="I952" s="24" t="s">
        <v>27</v>
      </c>
      <c r="J952" s="19" t="s">
        <v>3387</v>
      </c>
      <c r="K952" s="14">
        <v>9.0</v>
      </c>
      <c r="L952" s="14">
        <v>0.0</v>
      </c>
      <c r="M952" s="25"/>
      <c r="N952" s="26" t="s">
        <v>21</v>
      </c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>
      <c r="A953" s="14" t="s">
        <v>3626</v>
      </c>
      <c r="B953" s="17" t="s">
        <v>3623</v>
      </c>
      <c r="C953" s="17" t="s">
        <v>3627</v>
      </c>
      <c r="D953" s="19" t="s">
        <v>3628</v>
      </c>
      <c r="E953" s="20" t="s">
        <v>104</v>
      </c>
      <c r="F953" s="21">
        <v>33714.0</v>
      </c>
      <c r="G953" s="14">
        <f t="shared" si="1"/>
        <v>34</v>
      </c>
      <c r="H953" s="23" t="s">
        <v>26</v>
      </c>
      <c r="I953" s="24" t="s">
        <v>33</v>
      </c>
      <c r="J953" s="19" t="s">
        <v>3387</v>
      </c>
      <c r="K953" s="14">
        <v>9.0</v>
      </c>
      <c r="L953" s="14">
        <v>0.0</v>
      </c>
      <c r="M953" s="25"/>
      <c r="N953" s="26" t="s">
        <v>21</v>
      </c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>
      <c r="A954" s="14" t="s">
        <v>3629</v>
      </c>
      <c r="B954" s="17" t="s">
        <v>3630</v>
      </c>
      <c r="C954" s="17" t="s">
        <v>3631</v>
      </c>
      <c r="D954" s="19" t="s">
        <v>3632</v>
      </c>
      <c r="E954" s="20" t="s">
        <v>104</v>
      </c>
      <c r="F954" s="21">
        <v>30261.0</v>
      </c>
      <c r="G954" s="14">
        <f t="shared" si="1"/>
        <v>43</v>
      </c>
      <c r="H954" s="23" t="s">
        <v>26</v>
      </c>
      <c r="I954" s="24" t="s">
        <v>27</v>
      </c>
      <c r="J954" s="19" t="s">
        <v>328</v>
      </c>
      <c r="K954" s="14">
        <v>24.0</v>
      </c>
      <c r="L954" s="14">
        <v>0.0</v>
      </c>
      <c r="M954" s="25"/>
      <c r="N954" s="26" t="s">
        <v>21</v>
      </c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>
      <c r="A955" s="14" t="s">
        <v>3633</v>
      </c>
      <c r="B955" s="17" t="s">
        <v>3630</v>
      </c>
      <c r="C955" s="17" t="s">
        <v>3634</v>
      </c>
      <c r="D955" s="19" t="s">
        <v>3635</v>
      </c>
      <c r="E955" s="20" t="s">
        <v>290</v>
      </c>
      <c r="F955" s="21">
        <v>33462.0</v>
      </c>
      <c r="G955" s="14">
        <f t="shared" si="1"/>
        <v>35</v>
      </c>
      <c r="H955" s="23" t="s">
        <v>26</v>
      </c>
      <c r="I955" s="24" t="s">
        <v>33</v>
      </c>
      <c r="J955" s="19" t="s">
        <v>328</v>
      </c>
      <c r="K955" s="14">
        <v>24.0</v>
      </c>
      <c r="L955" s="14">
        <v>5.0</v>
      </c>
      <c r="M955" s="25"/>
      <c r="N955" s="26" t="s">
        <v>21</v>
      </c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>
      <c r="A956" s="14" t="s">
        <v>3636</v>
      </c>
      <c r="B956" s="17" t="s">
        <v>3630</v>
      </c>
      <c r="C956" s="17" t="s">
        <v>3637</v>
      </c>
      <c r="D956" s="19" t="s">
        <v>3638</v>
      </c>
      <c r="E956" s="20" t="s">
        <v>53</v>
      </c>
      <c r="F956" s="21">
        <v>37698.0</v>
      </c>
      <c r="G956" s="14">
        <f t="shared" si="1"/>
        <v>23</v>
      </c>
      <c r="H956" s="23" t="s">
        <v>100</v>
      </c>
      <c r="I956" s="24" t="s">
        <v>33</v>
      </c>
      <c r="J956" s="19" t="s">
        <v>362</v>
      </c>
      <c r="K956" s="14">
        <v>24.0</v>
      </c>
      <c r="L956" s="14">
        <v>0.0</v>
      </c>
      <c r="M956" s="25"/>
      <c r="N956" s="26" t="s">
        <v>21</v>
      </c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>
      <c r="A957" s="14" t="s">
        <v>3639</v>
      </c>
      <c r="B957" s="17" t="s">
        <v>3640</v>
      </c>
      <c r="C957" s="17" t="s">
        <v>3641</v>
      </c>
      <c r="D957" s="19" t="s">
        <v>3642</v>
      </c>
      <c r="E957" s="20" t="s">
        <v>104</v>
      </c>
      <c r="F957" s="21">
        <v>28223.0</v>
      </c>
      <c r="G957" s="14">
        <f t="shared" si="1"/>
        <v>49</v>
      </c>
      <c r="H957" s="23" t="s">
        <v>26</v>
      </c>
      <c r="I957" s="24" t="s">
        <v>33</v>
      </c>
      <c r="J957" s="19" t="s">
        <v>597</v>
      </c>
      <c r="K957" s="14">
        <v>20.0</v>
      </c>
      <c r="L957" s="14">
        <v>0.0</v>
      </c>
      <c r="M957" s="25"/>
      <c r="N957" s="26" t="s">
        <v>21</v>
      </c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>
      <c r="A958" s="14" t="s">
        <v>3643</v>
      </c>
      <c r="B958" s="17" t="s">
        <v>3640</v>
      </c>
      <c r="C958" s="17" t="s">
        <v>3644</v>
      </c>
      <c r="D958" s="19" t="s">
        <v>3645</v>
      </c>
      <c r="E958" s="20" t="s">
        <v>104</v>
      </c>
      <c r="F958" s="21">
        <v>37711.0</v>
      </c>
      <c r="G958" s="14">
        <f t="shared" si="1"/>
        <v>23</v>
      </c>
      <c r="H958" s="23" t="s">
        <v>100</v>
      </c>
      <c r="I958" s="24" t="s">
        <v>27</v>
      </c>
      <c r="J958" s="19" t="s">
        <v>597</v>
      </c>
      <c r="K958" s="14">
        <v>20.0</v>
      </c>
      <c r="L958" s="14">
        <v>0.0</v>
      </c>
      <c r="M958" s="25"/>
      <c r="N958" s="26" t="s">
        <v>21</v>
      </c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>
      <c r="A959" s="14" t="s">
        <v>3646</v>
      </c>
      <c r="B959" s="17" t="s">
        <v>3640</v>
      </c>
      <c r="C959" s="17" t="s">
        <v>3647</v>
      </c>
      <c r="D959" s="19" t="s">
        <v>3648</v>
      </c>
      <c r="E959" s="20" t="s">
        <v>104</v>
      </c>
      <c r="F959" s="21">
        <v>28863.0</v>
      </c>
      <c r="G959" s="14">
        <f t="shared" si="1"/>
        <v>47</v>
      </c>
      <c r="H959" s="23" t="s">
        <v>26</v>
      </c>
      <c r="I959" s="24" t="s">
        <v>27</v>
      </c>
      <c r="J959" s="19" t="s">
        <v>597</v>
      </c>
      <c r="K959" s="14">
        <v>20.0</v>
      </c>
      <c r="L959" s="14">
        <v>0.0</v>
      </c>
      <c r="M959" s="25"/>
      <c r="N959" s="26" t="s">
        <v>21</v>
      </c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>
      <c r="A960" s="14" t="s">
        <v>3649</v>
      </c>
      <c r="B960" s="17" t="s">
        <v>3650</v>
      </c>
      <c r="C960" s="17" t="s">
        <v>3651</v>
      </c>
      <c r="D960" s="19" t="s">
        <v>3652</v>
      </c>
      <c r="E960" s="20" t="s">
        <v>104</v>
      </c>
      <c r="F960" s="21">
        <v>39184.0</v>
      </c>
      <c r="G960" s="14">
        <f t="shared" si="1"/>
        <v>19</v>
      </c>
      <c r="H960" s="23" t="s">
        <v>100</v>
      </c>
      <c r="I960" s="24" t="s">
        <v>33</v>
      </c>
      <c r="J960" s="19" t="s">
        <v>3538</v>
      </c>
      <c r="K960" s="14">
        <v>20.0</v>
      </c>
      <c r="L960" s="14">
        <v>0.0</v>
      </c>
      <c r="M960" s="25"/>
      <c r="N960" s="26" t="s">
        <v>21</v>
      </c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>
      <c r="A961" s="14" t="s">
        <v>3653</v>
      </c>
      <c r="B961" s="17" t="s">
        <v>3650</v>
      </c>
      <c r="C961" s="17" t="s">
        <v>3654</v>
      </c>
      <c r="D961" s="19" t="s">
        <v>3655</v>
      </c>
      <c r="E961" s="20" t="s">
        <v>104</v>
      </c>
      <c r="F961" s="21">
        <v>29494.0</v>
      </c>
      <c r="G961" s="14">
        <f t="shared" si="1"/>
        <v>46</v>
      </c>
      <c r="H961" s="23" t="s">
        <v>26</v>
      </c>
      <c r="I961" s="24" t="s">
        <v>33</v>
      </c>
      <c r="J961" s="19" t="s">
        <v>3538</v>
      </c>
      <c r="K961" s="14">
        <v>20.0</v>
      </c>
      <c r="L961" s="14">
        <v>0.0</v>
      </c>
      <c r="M961" s="25"/>
      <c r="N961" s="26" t="s">
        <v>21</v>
      </c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>
      <c r="A962" s="14" t="s">
        <v>3656</v>
      </c>
      <c r="B962" s="17" t="s">
        <v>3650</v>
      </c>
      <c r="C962" s="17" t="s">
        <v>3657</v>
      </c>
      <c r="D962" s="19" t="s">
        <v>3658</v>
      </c>
      <c r="E962" s="20" t="s">
        <v>104</v>
      </c>
      <c r="F962" s="21">
        <v>30133.0</v>
      </c>
      <c r="G962" s="14">
        <f t="shared" si="1"/>
        <v>44</v>
      </c>
      <c r="H962" s="23" t="s">
        <v>26</v>
      </c>
      <c r="I962" s="24" t="s">
        <v>27</v>
      </c>
      <c r="J962" s="19" t="s">
        <v>3538</v>
      </c>
      <c r="K962" s="14">
        <v>20.0</v>
      </c>
      <c r="L962" s="14">
        <v>0.0</v>
      </c>
      <c r="M962" s="25"/>
      <c r="N962" s="26" t="s">
        <v>21</v>
      </c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>
      <c r="A963" s="14" t="s">
        <v>3659</v>
      </c>
      <c r="B963" s="17" t="s">
        <v>3660</v>
      </c>
      <c r="C963" s="17" t="s">
        <v>3661</v>
      </c>
      <c r="D963" s="19" t="s">
        <v>3662</v>
      </c>
      <c r="E963" s="20" t="s">
        <v>650</v>
      </c>
      <c r="F963" s="21">
        <v>19541.0</v>
      </c>
      <c r="G963" s="14">
        <f t="shared" si="1"/>
        <v>73</v>
      </c>
      <c r="H963" s="23" t="s">
        <v>26</v>
      </c>
      <c r="I963" s="24" t="s">
        <v>33</v>
      </c>
      <c r="J963" s="19" t="s">
        <v>53</v>
      </c>
      <c r="K963" s="14">
        <v>13.0</v>
      </c>
      <c r="L963" s="14">
        <v>0.0</v>
      </c>
      <c r="M963" s="25"/>
      <c r="N963" s="26" t="s">
        <v>21</v>
      </c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>
      <c r="A964" s="14" t="s">
        <v>3663</v>
      </c>
      <c r="B964" s="17" t="s">
        <v>3664</v>
      </c>
      <c r="C964" s="17" t="s">
        <v>3665</v>
      </c>
      <c r="D964" s="19" t="s">
        <v>3666</v>
      </c>
      <c r="E964" s="20" t="s">
        <v>104</v>
      </c>
      <c r="F964" s="21">
        <v>38227.0</v>
      </c>
      <c r="G964" s="14">
        <f t="shared" si="1"/>
        <v>22</v>
      </c>
      <c r="H964" s="23" t="s">
        <v>100</v>
      </c>
      <c r="I964" s="24" t="s">
        <v>33</v>
      </c>
      <c r="J964" s="19" t="s">
        <v>3167</v>
      </c>
      <c r="K964" s="14">
        <v>19.0</v>
      </c>
      <c r="L964" s="14">
        <v>0.0</v>
      </c>
      <c r="M964" s="25"/>
      <c r="N964" s="26" t="s">
        <v>21</v>
      </c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>
      <c r="A965" s="14" t="s">
        <v>3667</v>
      </c>
      <c r="B965" s="17" t="s">
        <v>3664</v>
      </c>
      <c r="C965" s="17" t="s">
        <v>3668</v>
      </c>
      <c r="D965" s="19" t="s">
        <v>3669</v>
      </c>
      <c r="E965" s="20" t="s">
        <v>112</v>
      </c>
      <c r="F965" s="21">
        <v>26410.0</v>
      </c>
      <c r="G965" s="14">
        <f t="shared" si="1"/>
        <v>54</v>
      </c>
      <c r="H965" s="23" t="s">
        <v>26</v>
      </c>
      <c r="I965" s="24" t="s">
        <v>33</v>
      </c>
      <c r="J965" s="19" t="s">
        <v>3167</v>
      </c>
      <c r="K965" s="14">
        <v>19.0</v>
      </c>
      <c r="L965" s="14">
        <v>0.0</v>
      </c>
      <c r="M965" s="25"/>
      <c r="N965" s="26" t="s">
        <v>21</v>
      </c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>
      <c r="A966" s="14" t="s">
        <v>3670</v>
      </c>
      <c r="B966" s="17" t="s">
        <v>3664</v>
      </c>
      <c r="C966" s="17" t="s">
        <v>3671</v>
      </c>
      <c r="D966" s="19" t="s">
        <v>3672</v>
      </c>
      <c r="E966" s="20" t="s">
        <v>1291</v>
      </c>
      <c r="F966" s="21">
        <v>29164.0</v>
      </c>
      <c r="G966" s="14">
        <f t="shared" si="1"/>
        <v>46</v>
      </c>
      <c r="H966" s="23" t="s">
        <v>26</v>
      </c>
      <c r="I966" s="24" t="s">
        <v>27</v>
      </c>
      <c r="J966" s="19" t="s">
        <v>3167</v>
      </c>
      <c r="K966" s="14">
        <v>19.0</v>
      </c>
      <c r="L966" s="14">
        <v>0.0</v>
      </c>
      <c r="M966" s="25"/>
      <c r="N966" s="26" t="s">
        <v>21</v>
      </c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>
      <c r="A967" s="14" t="s">
        <v>3673</v>
      </c>
      <c r="B967" s="17" t="s">
        <v>3664</v>
      </c>
      <c r="C967" s="17" t="s">
        <v>3674</v>
      </c>
      <c r="D967" s="19" t="s">
        <v>3675</v>
      </c>
      <c r="E967" s="20" t="s">
        <v>53</v>
      </c>
      <c r="F967" s="21">
        <v>36580.0</v>
      </c>
      <c r="G967" s="14">
        <f t="shared" si="1"/>
        <v>26</v>
      </c>
      <c r="H967" s="23" t="s">
        <v>100</v>
      </c>
      <c r="I967" s="24" t="s">
        <v>33</v>
      </c>
      <c r="J967" s="19" t="s">
        <v>3167</v>
      </c>
      <c r="K967" s="14">
        <v>19.0</v>
      </c>
      <c r="L967" s="14">
        <v>0.0</v>
      </c>
      <c r="M967" s="25"/>
      <c r="N967" s="26" t="s">
        <v>21</v>
      </c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>
      <c r="A968" s="14" t="s">
        <v>3676</v>
      </c>
      <c r="B968" s="17" t="s">
        <v>3677</v>
      </c>
      <c r="C968" s="17" t="s">
        <v>3678</v>
      </c>
      <c r="D968" s="19" t="s">
        <v>3679</v>
      </c>
      <c r="E968" s="20" t="s">
        <v>104</v>
      </c>
      <c r="F968" s="27">
        <v>39402.0</v>
      </c>
      <c r="G968" s="14">
        <f t="shared" si="1"/>
        <v>18</v>
      </c>
      <c r="H968" s="23" t="s">
        <v>100</v>
      </c>
      <c r="I968" s="24" t="s">
        <v>27</v>
      </c>
      <c r="J968" s="19" t="s">
        <v>3680</v>
      </c>
      <c r="K968" s="14">
        <v>19.0</v>
      </c>
      <c r="L968" s="14">
        <v>0.0</v>
      </c>
      <c r="M968" s="25"/>
      <c r="N968" s="26" t="s">
        <v>21</v>
      </c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>
      <c r="A969" s="14" t="s">
        <v>3681</v>
      </c>
      <c r="B969" s="17" t="s">
        <v>3677</v>
      </c>
      <c r="C969" s="17" t="s">
        <v>3682</v>
      </c>
      <c r="D969" s="19" t="s">
        <v>3683</v>
      </c>
      <c r="E969" s="20" t="s">
        <v>104</v>
      </c>
      <c r="F969" s="21">
        <v>38907.0</v>
      </c>
      <c r="G969" s="14">
        <f t="shared" si="1"/>
        <v>20</v>
      </c>
      <c r="H969" s="23" t="s">
        <v>100</v>
      </c>
      <c r="I969" s="24" t="s">
        <v>33</v>
      </c>
      <c r="J969" s="19" t="s">
        <v>3680</v>
      </c>
      <c r="K969" s="14">
        <v>19.0</v>
      </c>
      <c r="L969" s="14">
        <v>0.0</v>
      </c>
      <c r="M969" s="25"/>
      <c r="N969" s="26" t="s">
        <v>21</v>
      </c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>
      <c r="A970" s="14" t="s">
        <v>3684</v>
      </c>
      <c r="B970" s="17" t="s">
        <v>3677</v>
      </c>
      <c r="C970" s="17" t="s">
        <v>3685</v>
      </c>
      <c r="D970" s="19" t="s">
        <v>3686</v>
      </c>
      <c r="E970" s="20" t="s">
        <v>1639</v>
      </c>
      <c r="F970" s="21">
        <v>26846.0</v>
      </c>
      <c r="G970" s="14">
        <f t="shared" si="1"/>
        <v>53</v>
      </c>
      <c r="H970" s="23" t="s">
        <v>26</v>
      </c>
      <c r="I970" s="24" t="s">
        <v>27</v>
      </c>
      <c r="J970" s="19" t="s">
        <v>3680</v>
      </c>
      <c r="K970" s="14">
        <v>19.0</v>
      </c>
      <c r="L970" s="14">
        <v>0.0</v>
      </c>
      <c r="M970" s="25"/>
      <c r="N970" s="26" t="s">
        <v>21</v>
      </c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>
      <c r="A971" s="14" t="s">
        <v>3687</v>
      </c>
      <c r="B971" s="17" t="s">
        <v>3677</v>
      </c>
      <c r="C971" s="17" t="s">
        <v>3688</v>
      </c>
      <c r="D971" s="19" t="s">
        <v>3689</v>
      </c>
      <c r="E971" s="20" t="s">
        <v>654</v>
      </c>
      <c r="F971" s="21">
        <v>25750.0</v>
      </c>
      <c r="G971" s="14">
        <f t="shared" si="1"/>
        <v>56</v>
      </c>
      <c r="H971" s="23" t="s">
        <v>26</v>
      </c>
      <c r="I971" s="24" t="s">
        <v>33</v>
      </c>
      <c r="J971" s="19" t="s">
        <v>3680</v>
      </c>
      <c r="K971" s="14">
        <v>19.0</v>
      </c>
      <c r="L971" s="14">
        <v>0.0</v>
      </c>
      <c r="M971" s="25"/>
      <c r="N971" s="26" t="s">
        <v>21</v>
      </c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>
      <c r="A972" s="14" t="s">
        <v>3690</v>
      </c>
      <c r="B972" s="17" t="s">
        <v>3691</v>
      </c>
      <c r="C972" s="17" t="s">
        <v>3692</v>
      </c>
      <c r="D972" s="19" t="s">
        <v>3693</v>
      </c>
      <c r="E972" s="20" t="s">
        <v>502</v>
      </c>
      <c r="F972" s="21">
        <v>30117.0</v>
      </c>
      <c r="G972" s="14">
        <f t="shared" si="1"/>
        <v>44</v>
      </c>
      <c r="H972" s="23" t="s">
        <v>26</v>
      </c>
      <c r="I972" s="24" t="s">
        <v>33</v>
      </c>
      <c r="J972" s="19" t="s">
        <v>3694</v>
      </c>
      <c r="K972" s="14">
        <v>16.0</v>
      </c>
      <c r="L972" s="14">
        <v>0.0</v>
      </c>
      <c r="M972" s="25"/>
      <c r="N972" s="26" t="s">
        <v>21</v>
      </c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>
      <c r="A973" s="14" t="s">
        <v>3695</v>
      </c>
      <c r="B973" s="17" t="s">
        <v>3691</v>
      </c>
      <c r="C973" s="17" t="s">
        <v>3696</v>
      </c>
      <c r="D973" s="19" t="s">
        <v>3697</v>
      </c>
      <c r="E973" s="20" t="s">
        <v>104</v>
      </c>
      <c r="F973" s="27">
        <v>31701.0</v>
      </c>
      <c r="G973" s="14">
        <f t="shared" si="1"/>
        <v>40</v>
      </c>
      <c r="H973" s="23" t="s">
        <v>26</v>
      </c>
      <c r="I973" s="24" t="s">
        <v>27</v>
      </c>
      <c r="J973" s="19" t="s">
        <v>3694</v>
      </c>
      <c r="K973" s="14">
        <v>16.0</v>
      </c>
      <c r="L973" s="14">
        <v>0.0</v>
      </c>
      <c r="M973" s="25"/>
      <c r="N973" s="26" t="s">
        <v>21</v>
      </c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>
      <c r="A974" s="14" t="s">
        <v>3698</v>
      </c>
      <c r="B974" s="17" t="s">
        <v>3699</v>
      </c>
      <c r="C974" s="17" t="s">
        <v>3700</v>
      </c>
      <c r="D974" s="19" t="s">
        <v>2671</v>
      </c>
      <c r="E974" s="20" t="s">
        <v>138</v>
      </c>
      <c r="F974" s="21">
        <v>27100.0</v>
      </c>
      <c r="G974" s="14">
        <f t="shared" si="1"/>
        <v>52</v>
      </c>
      <c r="H974" s="23" t="s">
        <v>26</v>
      </c>
      <c r="I974" s="24" t="s">
        <v>33</v>
      </c>
      <c r="J974" s="19" t="s">
        <v>726</v>
      </c>
      <c r="K974" s="14">
        <v>16.0</v>
      </c>
      <c r="L974" s="14">
        <v>0.0</v>
      </c>
      <c r="M974" s="25"/>
      <c r="N974" s="26" t="s">
        <v>21</v>
      </c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>
      <c r="A975" s="14" t="s">
        <v>3701</v>
      </c>
      <c r="B975" s="17" t="s">
        <v>3702</v>
      </c>
      <c r="C975" s="17" t="s">
        <v>3703</v>
      </c>
      <c r="D975" s="19" t="s">
        <v>3704</v>
      </c>
      <c r="E975" s="20" t="s">
        <v>138</v>
      </c>
      <c r="F975" s="21">
        <v>30069.0</v>
      </c>
      <c r="G975" s="14">
        <f t="shared" si="1"/>
        <v>44</v>
      </c>
      <c r="H975" s="23" t="s">
        <v>26</v>
      </c>
      <c r="I975" s="24" t="s">
        <v>33</v>
      </c>
      <c r="J975" s="19" t="s">
        <v>53</v>
      </c>
      <c r="K975" s="14">
        <v>18.0</v>
      </c>
      <c r="L975" s="14">
        <v>0.0</v>
      </c>
      <c r="M975" s="25"/>
      <c r="N975" s="26" t="s">
        <v>21</v>
      </c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>
      <c r="A976" s="14" t="s">
        <v>3705</v>
      </c>
      <c r="B976" s="17" t="s">
        <v>3702</v>
      </c>
      <c r="C976" s="17" t="s">
        <v>3706</v>
      </c>
      <c r="D976" s="19" t="s">
        <v>3707</v>
      </c>
      <c r="E976" s="20" t="s">
        <v>1058</v>
      </c>
      <c r="F976" s="27">
        <v>32061.0</v>
      </c>
      <c r="G976" s="14">
        <f t="shared" si="1"/>
        <v>39</v>
      </c>
      <c r="H976" s="23" t="s">
        <v>26</v>
      </c>
      <c r="I976" s="24" t="s">
        <v>27</v>
      </c>
      <c r="J976" s="19" t="s">
        <v>53</v>
      </c>
      <c r="K976" s="14">
        <v>18.0</v>
      </c>
      <c r="L976" s="14">
        <v>0.0</v>
      </c>
      <c r="M976" s="25"/>
      <c r="N976" s="26" t="s">
        <v>21</v>
      </c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>
      <c r="A977" s="14" t="s">
        <v>3708</v>
      </c>
      <c r="B977" s="17" t="s">
        <v>3709</v>
      </c>
      <c r="C977" s="17" t="s">
        <v>3710</v>
      </c>
      <c r="D977" s="19" t="s">
        <v>3711</v>
      </c>
      <c r="E977" s="20" t="s">
        <v>1058</v>
      </c>
      <c r="F977" s="27">
        <v>30973.0</v>
      </c>
      <c r="G977" s="14">
        <f t="shared" si="1"/>
        <v>42</v>
      </c>
      <c r="H977" s="23" t="s">
        <v>26</v>
      </c>
      <c r="I977" s="24" t="s">
        <v>27</v>
      </c>
      <c r="J977" s="19" t="s">
        <v>726</v>
      </c>
      <c r="K977" s="14">
        <v>16.0</v>
      </c>
      <c r="L977" s="14">
        <v>0.0</v>
      </c>
      <c r="M977" s="25"/>
      <c r="N977" s="26" t="s">
        <v>21</v>
      </c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>
      <c r="A978" s="14" t="s">
        <v>3712</v>
      </c>
      <c r="B978" s="17" t="s">
        <v>3709</v>
      </c>
      <c r="C978" s="17" t="s">
        <v>3713</v>
      </c>
      <c r="D978" s="19" t="s">
        <v>3714</v>
      </c>
      <c r="E978" s="20" t="s">
        <v>138</v>
      </c>
      <c r="F978" s="21">
        <v>38193.0</v>
      </c>
      <c r="G978" s="14">
        <f t="shared" si="1"/>
        <v>22</v>
      </c>
      <c r="H978" s="23" t="s">
        <v>100</v>
      </c>
      <c r="I978" s="24" t="s">
        <v>27</v>
      </c>
      <c r="J978" s="19" t="s">
        <v>726</v>
      </c>
      <c r="K978" s="14">
        <v>16.0</v>
      </c>
      <c r="L978" s="14">
        <v>0.0</v>
      </c>
      <c r="M978" s="25"/>
      <c r="N978" s="26" t="s">
        <v>21</v>
      </c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>
      <c r="A979" s="14" t="s">
        <v>3715</v>
      </c>
      <c r="B979" s="17" t="s">
        <v>3709</v>
      </c>
      <c r="C979" s="17" t="s">
        <v>3716</v>
      </c>
      <c r="D979" s="19" t="s">
        <v>3717</v>
      </c>
      <c r="E979" s="20" t="s">
        <v>3718</v>
      </c>
      <c r="F979" s="21">
        <v>27984.0</v>
      </c>
      <c r="G979" s="14">
        <f t="shared" si="1"/>
        <v>50</v>
      </c>
      <c r="H979" s="23" t="s">
        <v>26</v>
      </c>
      <c r="I979" s="24" t="s">
        <v>33</v>
      </c>
      <c r="J979" s="19" t="s">
        <v>726</v>
      </c>
      <c r="K979" s="14">
        <v>16.0</v>
      </c>
      <c r="L979" s="14">
        <v>0.0</v>
      </c>
      <c r="M979" s="25"/>
      <c r="N979" s="26" t="s">
        <v>21</v>
      </c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>
      <c r="A980" s="14" t="s">
        <v>3719</v>
      </c>
      <c r="B980" s="17" t="s">
        <v>3720</v>
      </c>
      <c r="C980" s="17" t="s">
        <v>3721</v>
      </c>
      <c r="D980" s="19" t="s">
        <v>3722</v>
      </c>
      <c r="E980" s="20" t="s">
        <v>104</v>
      </c>
      <c r="F980" s="27">
        <v>38270.0</v>
      </c>
      <c r="G980" s="14">
        <f t="shared" si="1"/>
        <v>22</v>
      </c>
      <c r="H980" s="23" t="s">
        <v>100</v>
      </c>
      <c r="I980" s="24" t="s">
        <v>27</v>
      </c>
      <c r="J980" s="19" t="s">
        <v>3723</v>
      </c>
      <c r="K980" s="14">
        <v>15.0</v>
      </c>
      <c r="L980" s="14">
        <v>0.0</v>
      </c>
      <c r="M980" s="25"/>
      <c r="N980" s="26" t="s">
        <v>21</v>
      </c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>
      <c r="A981" s="14" t="s">
        <v>3724</v>
      </c>
      <c r="B981" s="17" t="s">
        <v>3720</v>
      </c>
      <c r="C981" s="17" t="s">
        <v>3725</v>
      </c>
      <c r="D981" s="19" t="s">
        <v>3726</v>
      </c>
      <c r="E981" s="20" t="s">
        <v>53</v>
      </c>
      <c r="F981" s="21">
        <v>36760.0</v>
      </c>
      <c r="G981" s="14">
        <f t="shared" si="1"/>
        <v>26</v>
      </c>
      <c r="H981" s="23" t="s">
        <v>100</v>
      </c>
      <c r="I981" s="24" t="s">
        <v>33</v>
      </c>
      <c r="J981" s="19" t="s">
        <v>3723</v>
      </c>
      <c r="K981" s="14">
        <v>15.0</v>
      </c>
      <c r="L981" s="14">
        <v>0.0</v>
      </c>
      <c r="M981" s="25"/>
      <c r="N981" s="26" t="s">
        <v>21</v>
      </c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>
      <c r="A982" s="14" t="s">
        <v>3727</v>
      </c>
      <c r="B982" s="17" t="s">
        <v>3720</v>
      </c>
      <c r="C982" s="17" t="s">
        <v>3728</v>
      </c>
      <c r="D982" s="19" t="s">
        <v>3729</v>
      </c>
      <c r="E982" s="20" t="s">
        <v>3730</v>
      </c>
      <c r="F982" s="21">
        <v>26303.0</v>
      </c>
      <c r="G982" s="14">
        <f t="shared" si="1"/>
        <v>54</v>
      </c>
      <c r="H982" s="23" t="s">
        <v>26</v>
      </c>
      <c r="I982" s="24" t="s">
        <v>27</v>
      </c>
      <c r="J982" s="19" t="s">
        <v>3723</v>
      </c>
      <c r="K982" s="14">
        <v>15.0</v>
      </c>
      <c r="L982" s="14">
        <v>0.0</v>
      </c>
      <c r="M982" s="25"/>
      <c r="N982" s="26" t="s">
        <v>21</v>
      </c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>
      <c r="A983" s="14" t="s">
        <v>3731</v>
      </c>
      <c r="B983" s="17" t="s">
        <v>3720</v>
      </c>
      <c r="C983" s="17" t="s">
        <v>3732</v>
      </c>
      <c r="D983" s="19" t="s">
        <v>3733</v>
      </c>
      <c r="E983" s="20" t="s">
        <v>1370</v>
      </c>
      <c r="F983" s="21">
        <v>24002.0</v>
      </c>
      <c r="G983" s="14">
        <f t="shared" si="1"/>
        <v>61</v>
      </c>
      <c r="H983" s="23" t="s">
        <v>26</v>
      </c>
      <c r="I983" s="24" t="s">
        <v>33</v>
      </c>
      <c r="J983" s="19" t="s">
        <v>3723</v>
      </c>
      <c r="K983" s="14">
        <v>15.0</v>
      </c>
      <c r="L983" s="14">
        <v>0.0</v>
      </c>
      <c r="M983" s="25"/>
      <c r="N983" s="26" t="s">
        <v>21</v>
      </c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>
      <c r="A984" s="14" t="s">
        <v>3734</v>
      </c>
      <c r="B984" s="17" t="s">
        <v>3735</v>
      </c>
      <c r="C984" s="17" t="s">
        <v>3736</v>
      </c>
      <c r="D984" s="19" t="s">
        <v>3737</v>
      </c>
      <c r="E984" s="20" t="s">
        <v>104</v>
      </c>
      <c r="F984" s="21">
        <v>39113.0</v>
      </c>
      <c r="G984" s="14">
        <f t="shared" si="1"/>
        <v>19</v>
      </c>
      <c r="H984" s="23" t="s">
        <v>100</v>
      </c>
      <c r="I984" s="24" t="s">
        <v>27</v>
      </c>
      <c r="J984" s="19" t="s">
        <v>53</v>
      </c>
      <c r="K984" s="14">
        <v>15.0</v>
      </c>
      <c r="L984" s="14">
        <v>0.0</v>
      </c>
      <c r="M984" s="25"/>
      <c r="N984" s="26" t="s">
        <v>21</v>
      </c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>
      <c r="A985" s="14" t="s">
        <v>3738</v>
      </c>
      <c r="B985" s="17" t="s">
        <v>3735</v>
      </c>
      <c r="C985" s="17" t="s">
        <v>3739</v>
      </c>
      <c r="D985" s="19" t="s">
        <v>3740</v>
      </c>
      <c r="E985" s="20" t="s">
        <v>104</v>
      </c>
      <c r="F985" s="21">
        <v>28667.0</v>
      </c>
      <c r="G985" s="14">
        <f t="shared" si="1"/>
        <v>48</v>
      </c>
      <c r="H985" s="23" t="s">
        <v>26</v>
      </c>
      <c r="I985" s="24" t="s">
        <v>27</v>
      </c>
      <c r="J985" s="19" t="s">
        <v>53</v>
      </c>
      <c r="K985" s="14">
        <v>15.0</v>
      </c>
      <c r="L985" s="14">
        <v>0.0</v>
      </c>
      <c r="M985" s="25"/>
      <c r="N985" s="26" t="s">
        <v>21</v>
      </c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>
      <c r="A986" s="14" t="s">
        <v>3741</v>
      </c>
      <c r="B986" s="17" t="s">
        <v>3735</v>
      </c>
      <c r="C986" s="17" t="s">
        <v>3742</v>
      </c>
      <c r="D986" s="19" t="s">
        <v>3743</v>
      </c>
      <c r="E986" s="20" t="s">
        <v>104</v>
      </c>
      <c r="F986" s="21">
        <v>27998.0</v>
      </c>
      <c r="G986" s="14">
        <f t="shared" si="1"/>
        <v>50</v>
      </c>
      <c r="H986" s="23" t="s">
        <v>26</v>
      </c>
      <c r="I986" s="24" t="s">
        <v>33</v>
      </c>
      <c r="J986" s="19" t="s">
        <v>53</v>
      </c>
      <c r="K986" s="14">
        <v>15.0</v>
      </c>
      <c r="L986" s="14">
        <v>0.0</v>
      </c>
      <c r="M986" s="25"/>
      <c r="N986" s="26" t="s">
        <v>21</v>
      </c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>
      <c r="A987" s="14" t="s">
        <v>3744</v>
      </c>
      <c r="B987" s="17" t="s">
        <v>3745</v>
      </c>
      <c r="C987" s="17" t="s">
        <v>3746</v>
      </c>
      <c r="D987" s="19" t="s">
        <v>3747</v>
      </c>
      <c r="E987" s="20" t="s">
        <v>337</v>
      </c>
      <c r="F987" s="21">
        <v>38632.0</v>
      </c>
      <c r="G987" s="14">
        <f t="shared" si="1"/>
        <v>21</v>
      </c>
      <c r="H987" s="23" t="s">
        <v>100</v>
      </c>
      <c r="I987" s="24" t="s">
        <v>27</v>
      </c>
      <c r="J987" s="19" t="s">
        <v>3723</v>
      </c>
      <c r="K987" s="14">
        <v>12.0</v>
      </c>
      <c r="L987" s="14">
        <v>5.0</v>
      </c>
      <c r="M987" s="28" t="s">
        <v>3775</v>
      </c>
      <c r="N987" s="26" t="s">
        <v>21</v>
      </c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>
      <c r="A988" s="14" t="s">
        <v>3748</v>
      </c>
      <c r="B988" s="17" t="s">
        <v>3745</v>
      </c>
      <c r="C988" s="17" t="s">
        <v>3749</v>
      </c>
      <c r="D988" s="19" t="s">
        <v>3750</v>
      </c>
      <c r="E988" s="20" t="s">
        <v>624</v>
      </c>
      <c r="F988" s="21">
        <v>25305.0</v>
      </c>
      <c r="G988" s="14">
        <f t="shared" si="1"/>
        <v>57</v>
      </c>
      <c r="H988" s="23" t="s">
        <v>26</v>
      </c>
      <c r="I988" s="24" t="s">
        <v>33</v>
      </c>
      <c r="J988" s="19" t="s">
        <v>3723</v>
      </c>
      <c r="K988" s="14">
        <v>12.0</v>
      </c>
      <c r="L988" s="14">
        <v>0.0</v>
      </c>
      <c r="M988" s="25"/>
      <c r="N988" s="26" t="s">
        <v>21</v>
      </c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>
      <c r="A989" s="14" t="s">
        <v>3751</v>
      </c>
      <c r="B989" s="17" t="s">
        <v>3745</v>
      </c>
      <c r="C989" s="17" t="s">
        <v>3752</v>
      </c>
      <c r="D989" s="19" t="s">
        <v>2374</v>
      </c>
      <c r="E989" s="20" t="s">
        <v>104</v>
      </c>
      <c r="F989" s="21">
        <v>27980.0</v>
      </c>
      <c r="G989" s="14">
        <f t="shared" si="1"/>
        <v>50</v>
      </c>
      <c r="H989" s="23" t="s">
        <v>26</v>
      </c>
      <c r="I989" s="24" t="s">
        <v>27</v>
      </c>
      <c r="J989" s="19" t="s">
        <v>3723</v>
      </c>
      <c r="K989" s="14">
        <v>12.0</v>
      </c>
      <c r="L989" s="14">
        <v>0.0</v>
      </c>
      <c r="M989" s="25"/>
      <c r="N989" s="26" t="s">
        <v>21</v>
      </c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>
      <c r="A990" s="14" t="s">
        <v>3753</v>
      </c>
      <c r="B990" s="17" t="s">
        <v>3754</v>
      </c>
      <c r="C990" s="17" t="s">
        <v>3755</v>
      </c>
      <c r="D990" s="19" t="s">
        <v>3756</v>
      </c>
      <c r="E990" s="20" t="s">
        <v>1049</v>
      </c>
      <c r="F990" s="21">
        <v>23105.0</v>
      </c>
      <c r="G990" s="14">
        <f t="shared" si="1"/>
        <v>63</v>
      </c>
      <c r="H990" s="23" t="s">
        <v>26</v>
      </c>
      <c r="I990" s="24" t="s">
        <v>33</v>
      </c>
      <c r="J990" s="19" t="s">
        <v>282</v>
      </c>
      <c r="K990" s="14">
        <v>14.0</v>
      </c>
      <c r="L990" s="14">
        <v>0.0</v>
      </c>
      <c r="M990" s="25"/>
      <c r="N990" s="26" t="s">
        <v>21</v>
      </c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>
      <c r="A991" s="14" t="s">
        <v>3757</v>
      </c>
      <c r="B991" s="17" t="s">
        <v>3754</v>
      </c>
      <c r="C991" s="17" t="s">
        <v>3758</v>
      </c>
      <c r="D991" s="19" t="s">
        <v>3759</v>
      </c>
      <c r="E991" s="20" t="s">
        <v>3760</v>
      </c>
      <c r="F991" s="21">
        <v>24782.0</v>
      </c>
      <c r="G991" s="14">
        <f t="shared" si="1"/>
        <v>58</v>
      </c>
      <c r="H991" s="23" t="s">
        <v>26</v>
      </c>
      <c r="I991" s="24" t="s">
        <v>27</v>
      </c>
      <c r="J991" s="19" t="s">
        <v>282</v>
      </c>
      <c r="K991" s="14">
        <v>14.0</v>
      </c>
      <c r="L991" s="14">
        <v>0.0</v>
      </c>
      <c r="M991" s="25"/>
      <c r="N991" s="26" t="s">
        <v>21</v>
      </c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>
      <c r="A992" s="14" t="s">
        <v>3761</v>
      </c>
      <c r="B992" s="17" t="s">
        <v>3762</v>
      </c>
      <c r="C992" s="17" t="s">
        <v>3763</v>
      </c>
      <c r="D992" s="19" t="s">
        <v>3764</v>
      </c>
      <c r="E992" s="20" t="s">
        <v>104</v>
      </c>
      <c r="F992" s="21">
        <v>39147.0</v>
      </c>
      <c r="G992" s="14">
        <f t="shared" si="1"/>
        <v>19</v>
      </c>
      <c r="H992" s="23" t="s">
        <v>100</v>
      </c>
      <c r="I992" s="24" t="s">
        <v>33</v>
      </c>
      <c r="J992" s="19" t="s">
        <v>53</v>
      </c>
      <c r="K992" s="14">
        <v>1.0</v>
      </c>
      <c r="L992" s="14">
        <v>0.0</v>
      </c>
      <c r="M992" s="25"/>
      <c r="N992" s="26" t="s">
        <v>21</v>
      </c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>
      <c r="A993" s="14" t="s">
        <v>3765</v>
      </c>
      <c r="B993" s="17" t="s">
        <v>3762</v>
      </c>
      <c r="C993" s="17" t="s">
        <v>3766</v>
      </c>
      <c r="D993" s="19" t="s">
        <v>3767</v>
      </c>
      <c r="E993" s="20" t="s">
        <v>3768</v>
      </c>
      <c r="F993" s="21">
        <v>35988.0</v>
      </c>
      <c r="G993" s="14">
        <f t="shared" si="1"/>
        <v>28</v>
      </c>
      <c r="H993" s="23" t="s">
        <v>100</v>
      </c>
      <c r="I993" s="24" t="s">
        <v>33</v>
      </c>
      <c r="J993" s="19" t="s">
        <v>53</v>
      </c>
      <c r="K993" s="14">
        <v>1.0</v>
      </c>
      <c r="L993" s="14">
        <v>0.0</v>
      </c>
      <c r="M993" s="25"/>
      <c r="N993" s="26" t="s">
        <v>21</v>
      </c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>
      <c r="A994" s="14" t="s">
        <v>3769</v>
      </c>
      <c r="B994" s="17" t="s">
        <v>3762</v>
      </c>
      <c r="C994" s="17" t="s">
        <v>3770</v>
      </c>
      <c r="D994" s="19" t="s">
        <v>3771</v>
      </c>
      <c r="E994" s="20" t="s">
        <v>104</v>
      </c>
      <c r="F994" s="21">
        <v>28923.0</v>
      </c>
      <c r="G994" s="14">
        <f t="shared" si="1"/>
        <v>47</v>
      </c>
      <c r="H994" s="23" t="s">
        <v>26</v>
      </c>
      <c r="I994" s="24" t="s">
        <v>27</v>
      </c>
      <c r="J994" s="19" t="s">
        <v>53</v>
      </c>
      <c r="K994" s="14">
        <v>1.0</v>
      </c>
      <c r="L994" s="14">
        <v>0.0</v>
      </c>
      <c r="M994" s="25"/>
      <c r="N994" s="26" t="s">
        <v>21</v>
      </c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>
      <c r="A995" s="14" t="s">
        <v>3772</v>
      </c>
      <c r="B995" s="17" t="s">
        <v>3762</v>
      </c>
      <c r="C995" s="17" t="s">
        <v>3773</v>
      </c>
      <c r="D995" s="19" t="s">
        <v>3774</v>
      </c>
      <c r="E995" s="20" t="s">
        <v>104</v>
      </c>
      <c r="F995" s="21">
        <v>28674.0</v>
      </c>
      <c r="G995" s="14">
        <f t="shared" si="1"/>
        <v>48</v>
      </c>
      <c r="H995" s="23" t="s">
        <v>26</v>
      </c>
      <c r="I995" s="24" t="s">
        <v>33</v>
      </c>
      <c r="J995" s="19" t="s">
        <v>53</v>
      </c>
      <c r="K995" s="14">
        <v>1.0</v>
      </c>
      <c r="L995" s="14">
        <v>0.0</v>
      </c>
      <c r="M995" s="25"/>
      <c r="N995" s="26" t="s">
        <v>21</v>
      </c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>
      <c r="A996" s="14" t="s">
        <v>3776</v>
      </c>
      <c r="B996" s="17" t="s">
        <v>3777</v>
      </c>
      <c r="C996" s="17" t="s">
        <v>3778</v>
      </c>
      <c r="D996" s="19" t="s">
        <v>3779</v>
      </c>
      <c r="E996" s="20" t="s">
        <v>434</v>
      </c>
      <c r="F996" s="21">
        <v>18342.0</v>
      </c>
      <c r="G996" s="14">
        <f t="shared" si="1"/>
        <v>76</v>
      </c>
      <c r="H996" s="23" t="s">
        <v>27</v>
      </c>
      <c r="I996" s="24" t="s">
        <v>33</v>
      </c>
      <c r="J996" s="19" t="s">
        <v>3723</v>
      </c>
      <c r="K996" s="14">
        <v>1.0</v>
      </c>
      <c r="L996" s="14">
        <v>0.0</v>
      </c>
      <c r="M996" s="25"/>
      <c r="N996" s="26" t="s">
        <v>21</v>
      </c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>
      <c r="A997" s="14" t="s">
        <v>3780</v>
      </c>
      <c r="B997" s="17" t="s">
        <v>3781</v>
      </c>
      <c r="C997" s="17" t="s">
        <v>3782</v>
      </c>
      <c r="D997" s="19" t="s">
        <v>3783</v>
      </c>
      <c r="E997" s="20" t="s">
        <v>434</v>
      </c>
      <c r="F997" s="21">
        <v>27301.0</v>
      </c>
      <c r="G997" s="14">
        <f t="shared" si="1"/>
        <v>52</v>
      </c>
      <c r="H997" s="23" t="s">
        <v>26</v>
      </c>
      <c r="I997" s="24" t="s">
        <v>33</v>
      </c>
      <c r="J997" s="19" t="s">
        <v>206</v>
      </c>
      <c r="K997" s="14">
        <v>1.0</v>
      </c>
      <c r="L997" s="14">
        <v>0.0</v>
      </c>
      <c r="M997" s="25"/>
      <c r="N997" s="26" t="s">
        <v>21</v>
      </c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>
      <c r="A998" s="14" t="s">
        <v>3784</v>
      </c>
      <c r="B998" s="17" t="s">
        <v>3781</v>
      </c>
      <c r="C998" s="17" t="s">
        <v>3785</v>
      </c>
      <c r="D998" s="19" t="s">
        <v>3786</v>
      </c>
      <c r="E998" s="20" t="s">
        <v>138</v>
      </c>
      <c r="F998" s="21">
        <v>37407.0</v>
      </c>
      <c r="G998" s="14">
        <f t="shared" si="1"/>
        <v>24</v>
      </c>
      <c r="H998" s="23" t="s">
        <v>100</v>
      </c>
      <c r="I998" s="24" t="s">
        <v>27</v>
      </c>
      <c r="J998" s="19" t="s">
        <v>3128</v>
      </c>
      <c r="K998" s="14">
        <v>1.0</v>
      </c>
      <c r="L998" s="14">
        <v>0.0</v>
      </c>
      <c r="M998" s="25"/>
      <c r="N998" s="26" t="s">
        <v>21</v>
      </c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>
      <c r="A999" s="14" t="s">
        <v>3787</v>
      </c>
      <c r="B999" s="17" t="s">
        <v>3781</v>
      </c>
      <c r="C999" s="17" t="s">
        <v>3788</v>
      </c>
      <c r="D999" s="19" t="s">
        <v>3789</v>
      </c>
      <c r="E999" s="20" t="s">
        <v>104</v>
      </c>
      <c r="F999" s="21">
        <v>28623.0</v>
      </c>
      <c r="G999" s="14">
        <f t="shared" si="1"/>
        <v>48</v>
      </c>
      <c r="H999" s="23" t="s">
        <v>26</v>
      </c>
      <c r="I999" s="24" t="s">
        <v>27</v>
      </c>
      <c r="J999" s="19" t="s">
        <v>3128</v>
      </c>
      <c r="K999" s="14">
        <v>1.0</v>
      </c>
      <c r="L999" s="14">
        <v>0.0</v>
      </c>
      <c r="M999" s="25"/>
      <c r="N999" s="26" t="s">
        <v>21</v>
      </c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>
      <c r="A1000" s="14" t="s">
        <v>3790</v>
      </c>
      <c r="B1000" s="17" t="s">
        <v>3791</v>
      </c>
      <c r="C1000" s="17" t="s">
        <v>3792</v>
      </c>
      <c r="D1000" s="19" t="s">
        <v>3793</v>
      </c>
      <c r="E1000" s="20" t="s">
        <v>3794</v>
      </c>
      <c r="F1000" s="21">
        <v>27592.0</v>
      </c>
      <c r="G1000" s="14">
        <f t="shared" si="1"/>
        <v>51</v>
      </c>
      <c r="H1000" s="23" t="s">
        <v>26</v>
      </c>
      <c r="I1000" s="24" t="s">
        <v>33</v>
      </c>
      <c r="J1000" s="19" t="s">
        <v>68</v>
      </c>
      <c r="K1000" s="14">
        <v>32.0</v>
      </c>
      <c r="L1000" s="14">
        <v>0.0</v>
      </c>
      <c r="M1000" s="25"/>
      <c r="N1000" s="26" t="s">
        <v>21</v>
      </c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  <row r="1001">
      <c r="A1001" s="14" t="s">
        <v>3795</v>
      </c>
      <c r="B1001" s="17" t="s">
        <v>3791</v>
      </c>
      <c r="C1001" s="17" t="s">
        <v>3796</v>
      </c>
      <c r="D1001" s="19" t="s">
        <v>3797</v>
      </c>
      <c r="E1001" s="20" t="s">
        <v>104</v>
      </c>
      <c r="F1001" s="21">
        <v>30118.0</v>
      </c>
      <c r="G1001" s="14">
        <f t="shared" si="1"/>
        <v>44</v>
      </c>
      <c r="H1001" s="23" t="s">
        <v>26</v>
      </c>
      <c r="I1001" s="24" t="s">
        <v>27</v>
      </c>
      <c r="J1001" s="19" t="s">
        <v>68</v>
      </c>
      <c r="K1001" s="14">
        <v>32.0</v>
      </c>
      <c r="L1001" s="14">
        <v>0.0</v>
      </c>
      <c r="M1001" s="25"/>
      <c r="N1001" s="26" t="s">
        <v>21</v>
      </c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</row>
    <row r="1002">
      <c r="A1002" s="14" t="s">
        <v>3798</v>
      </c>
      <c r="B1002" s="17" t="s">
        <v>3791</v>
      </c>
      <c r="C1002" s="17" t="s">
        <v>3799</v>
      </c>
      <c r="D1002" s="19" t="s">
        <v>372</v>
      </c>
      <c r="E1002" s="20" t="s">
        <v>3800</v>
      </c>
      <c r="F1002" s="21">
        <v>36967.0</v>
      </c>
      <c r="G1002" s="14">
        <f t="shared" si="1"/>
        <v>25</v>
      </c>
      <c r="H1002" s="23" t="s">
        <v>100</v>
      </c>
      <c r="I1002" s="24" t="s">
        <v>33</v>
      </c>
      <c r="J1002" s="19" t="s">
        <v>68</v>
      </c>
      <c r="K1002" s="14">
        <v>32.0</v>
      </c>
      <c r="L1002" s="14">
        <v>5.0</v>
      </c>
      <c r="M1002" s="25"/>
      <c r="N1002" s="26" t="s">
        <v>21</v>
      </c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</row>
    <row r="1003">
      <c r="A1003" s="14" t="s">
        <v>3801</v>
      </c>
      <c r="B1003" s="17" t="s">
        <v>3802</v>
      </c>
      <c r="C1003" s="17" t="s">
        <v>3803</v>
      </c>
      <c r="D1003" s="19" t="s">
        <v>3804</v>
      </c>
      <c r="E1003" s="20" t="s">
        <v>104</v>
      </c>
      <c r="F1003" s="21">
        <v>38190.0</v>
      </c>
      <c r="G1003" s="14">
        <f t="shared" si="1"/>
        <v>22</v>
      </c>
      <c r="H1003" s="23" t="s">
        <v>100</v>
      </c>
      <c r="I1003" s="24" t="s">
        <v>27</v>
      </c>
      <c r="J1003" s="19" t="s">
        <v>517</v>
      </c>
      <c r="K1003" s="14">
        <v>6.0</v>
      </c>
      <c r="L1003" s="14">
        <v>0.0</v>
      </c>
      <c r="M1003" s="25"/>
      <c r="N1003" s="26" t="s">
        <v>21</v>
      </c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</row>
    <row r="1004">
      <c r="A1004" s="14" t="s">
        <v>3805</v>
      </c>
      <c r="B1004" s="17" t="s">
        <v>3802</v>
      </c>
      <c r="C1004" s="17" t="s">
        <v>3806</v>
      </c>
      <c r="D1004" s="19" t="s">
        <v>3807</v>
      </c>
      <c r="E1004" s="20" t="s">
        <v>104</v>
      </c>
      <c r="F1004" s="21">
        <v>31575.0</v>
      </c>
      <c r="G1004" s="14">
        <f t="shared" si="1"/>
        <v>40</v>
      </c>
      <c r="H1004" s="23" t="s">
        <v>26</v>
      </c>
      <c r="I1004" s="24" t="s">
        <v>27</v>
      </c>
      <c r="J1004" s="19" t="s">
        <v>517</v>
      </c>
      <c r="K1004" s="14">
        <v>6.0</v>
      </c>
      <c r="L1004" s="14">
        <v>0.0</v>
      </c>
      <c r="M1004" s="25"/>
      <c r="N1004" s="26" t="s">
        <v>21</v>
      </c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</row>
    <row r="1005">
      <c r="A1005" s="14" t="s">
        <v>3808</v>
      </c>
      <c r="B1005" s="17" t="s">
        <v>3802</v>
      </c>
      <c r="C1005" s="17" t="s">
        <v>3809</v>
      </c>
      <c r="D1005" s="19" t="s">
        <v>3810</v>
      </c>
      <c r="E1005" s="20" t="s">
        <v>3811</v>
      </c>
      <c r="F1005" s="27">
        <v>29143.0</v>
      </c>
      <c r="G1005" s="14">
        <f t="shared" si="1"/>
        <v>47</v>
      </c>
      <c r="H1005" s="23" t="s">
        <v>26</v>
      </c>
      <c r="I1005" s="24" t="s">
        <v>33</v>
      </c>
      <c r="J1005" s="19" t="s">
        <v>517</v>
      </c>
      <c r="K1005" s="14">
        <v>6.0</v>
      </c>
      <c r="L1005" s="14">
        <v>0.0</v>
      </c>
      <c r="M1005" s="25"/>
      <c r="N1005" s="26" t="s">
        <v>21</v>
      </c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</row>
    <row r="1006">
      <c r="A1006" s="14" t="s">
        <v>3812</v>
      </c>
      <c r="B1006" s="17" t="s">
        <v>3813</v>
      </c>
      <c r="C1006" s="17" t="s">
        <v>3814</v>
      </c>
      <c r="D1006" s="19" t="s">
        <v>3815</v>
      </c>
      <c r="E1006" s="20" t="s">
        <v>104</v>
      </c>
      <c r="F1006" s="21">
        <v>33479.0</v>
      </c>
      <c r="G1006" s="14">
        <f t="shared" si="1"/>
        <v>35</v>
      </c>
      <c r="H1006" s="23" t="s">
        <v>26</v>
      </c>
      <c r="I1006" s="24" t="s">
        <v>33</v>
      </c>
      <c r="J1006" s="19" t="s">
        <v>895</v>
      </c>
      <c r="K1006" s="14">
        <v>27.0</v>
      </c>
      <c r="L1006" s="14">
        <v>0.0</v>
      </c>
      <c r="M1006" s="25"/>
      <c r="N1006" s="26" t="s">
        <v>21</v>
      </c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</row>
    <row r="1007">
      <c r="A1007" s="14" t="s">
        <v>3816</v>
      </c>
      <c r="B1007" s="17" t="s">
        <v>3813</v>
      </c>
      <c r="C1007" s="17" t="s">
        <v>3817</v>
      </c>
      <c r="D1007" s="19" t="s">
        <v>3818</v>
      </c>
      <c r="E1007" s="20" t="s">
        <v>104</v>
      </c>
      <c r="F1007" s="21">
        <v>33132.0</v>
      </c>
      <c r="G1007" s="14">
        <f t="shared" si="1"/>
        <v>36</v>
      </c>
      <c r="H1007" s="23" t="s">
        <v>26</v>
      </c>
      <c r="I1007" s="24" t="s">
        <v>27</v>
      </c>
      <c r="J1007" s="19" t="s">
        <v>895</v>
      </c>
      <c r="K1007" s="14">
        <v>27.0</v>
      </c>
      <c r="L1007" s="14">
        <v>0.0</v>
      </c>
      <c r="M1007" s="25"/>
      <c r="N1007" s="26" t="s">
        <v>21</v>
      </c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</row>
    <row r="1008">
      <c r="A1008" s="14" t="s">
        <v>3819</v>
      </c>
      <c r="B1008" s="17" t="s">
        <v>3849</v>
      </c>
      <c r="C1008" s="17" t="s">
        <v>3821</v>
      </c>
      <c r="D1008" s="19" t="s">
        <v>3822</v>
      </c>
      <c r="E1008" s="20" t="s">
        <v>337</v>
      </c>
      <c r="F1008" s="27">
        <v>35054.0</v>
      </c>
      <c r="G1008" s="14">
        <f t="shared" si="1"/>
        <v>30</v>
      </c>
      <c r="H1008" s="23" t="s">
        <v>100</v>
      </c>
      <c r="I1008" s="24" t="s">
        <v>33</v>
      </c>
      <c r="J1008" s="19" t="s">
        <v>53</v>
      </c>
      <c r="K1008" s="14">
        <v>10.0</v>
      </c>
      <c r="L1008" s="14">
        <v>0.0</v>
      </c>
      <c r="M1008" s="25"/>
      <c r="N1008" s="26" t="s">
        <v>21</v>
      </c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</row>
    <row r="1009">
      <c r="A1009" s="14" t="s">
        <v>3823</v>
      </c>
      <c r="B1009" s="17" t="s">
        <v>3820</v>
      </c>
      <c r="C1009" s="17" t="s">
        <v>3824</v>
      </c>
      <c r="D1009" s="19" t="s">
        <v>3825</v>
      </c>
      <c r="E1009" s="20" t="s">
        <v>654</v>
      </c>
      <c r="F1009" s="21">
        <v>20271.0</v>
      </c>
      <c r="G1009" s="14">
        <f t="shared" si="1"/>
        <v>71</v>
      </c>
      <c r="H1009" s="23" t="s">
        <v>27</v>
      </c>
      <c r="I1009" s="24" t="s">
        <v>27</v>
      </c>
      <c r="J1009" s="19" t="s">
        <v>53</v>
      </c>
      <c r="K1009" s="14">
        <v>10.0</v>
      </c>
      <c r="L1009" s="14">
        <v>0.0</v>
      </c>
      <c r="M1009" s="25"/>
      <c r="N1009" s="26" t="s">
        <v>21</v>
      </c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</row>
    <row r="1010">
      <c r="A1010" s="14" t="s">
        <v>3826</v>
      </c>
      <c r="B1010" s="17" t="s">
        <v>3827</v>
      </c>
      <c r="C1010" s="17" t="s">
        <v>3828</v>
      </c>
      <c r="D1010" s="19" t="s">
        <v>3829</v>
      </c>
      <c r="E1010" s="20" t="s">
        <v>138</v>
      </c>
      <c r="F1010" s="27">
        <v>36113.0</v>
      </c>
      <c r="G1010" s="14">
        <f t="shared" si="1"/>
        <v>27</v>
      </c>
      <c r="H1010" s="23" t="s">
        <v>26</v>
      </c>
      <c r="I1010" s="24" t="s">
        <v>27</v>
      </c>
      <c r="J1010" s="19" t="s">
        <v>726</v>
      </c>
      <c r="K1010" s="14">
        <v>11.0</v>
      </c>
      <c r="L1010" s="14">
        <v>0.0</v>
      </c>
      <c r="M1010" s="25"/>
      <c r="N1010" s="26" t="s">
        <v>21</v>
      </c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</row>
    <row r="1011">
      <c r="A1011" s="14" t="s">
        <v>3830</v>
      </c>
      <c r="B1011" s="17" t="s">
        <v>3827</v>
      </c>
      <c r="C1011" s="17" t="s">
        <v>3831</v>
      </c>
      <c r="D1011" s="19" t="s">
        <v>3832</v>
      </c>
      <c r="E1011" s="20" t="s">
        <v>1095</v>
      </c>
      <c r="F1011" s="21">
        <v>35944.0</v>
      </c>
      <c r="G1011" s="14">
        <f t="shared" si="1"/>
        <v>28</v>
      </c>
      <c r="H1011" s="23" t="s">
        <v>26</v>
      </c>
      <c r="I1011" s="24" t="s">
        <v>33</v>
      </c>
      <c r="J1011" s="19" t="s">
        <v>726</v>
      </c>
      <c r="K1011" s="14">
        <v>11.0</v>
      </c>
      <c r="L1011" s="14">
        <v>0.0</v>
      </c>
      <c r="M1011" s="25"/>
      <c r="N1011" s="26" t="s">
        <v>21</v>
      </c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</row>
    <row r="1012">
      <c r="A1012" s="14" t="s">
        <v>3833</v>
      </c>
      <c r="B1012" s="17" t="s">
        <v>3868</v>
      </c>
      <c r="C1012" s="17" t="s">
        <v>3835</v>
      </c>
      <c r="D1012" s="19" t="s">
        <v>3836</v>
      </c>
      <c r="E1012" s="20" t="s">
        <v>112</v>
      </c>
      <c r="F1012" s="21">
        <v>37041.0</v>
      </c>
      <c r="G1012" s="14">
        <f t="shared" si="1"/>
        <v>25</v>
      </c>
      <c r="H1012" s="23" t="s">
        <v>100</v>
      </c>
      <c r="I1012" s="24" t="s">
        <v>27</v>
      </c>
      <c r="J1012" s="19" t="s">
        <v>53</v>
      </c>
      <c r="K1012" s="14">
        <v>19.0</v>
      </c>
      <c r="L1012" s="14">
        <v>5.0</v>
      </c>
      <c r="M1012" s="25"/>
      <c r="N1012" s="26" t="s">
        <v>21</v>
      </c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</row>
    <row r="1013">
      <c r="A1013" s="14" t="s">
        <v>3837</v>
      </c>
      <c r="B1013" s="17" t="s">
        <v>3834</v>
      </c>
      <c r="C1013" s="17" t="s">
        <v>3838</v>
      </c>
      <c r="D1013" s="19" t="s">
        <v>3839</v>
      </c>
      <c r="E1013" s="20" t="s">
        <v>112</v>
      </c>
      <c r="F1013" s="27">
        <v>38305.0</v>
      </c>
      <c r="G1013" s="14">
        <f t="shared" si="1"/>
        <v>21</v>
      </c>
      <c r="H1013" s="23" t="s">
        <v>100</v>
      </c>
      <c r="I1013" s="24" t="s">
        <v>27</v>
      </c>
      <c r="J1013" s="19" t="s">
        <v>53</v>
      </c>
      <c r="K1013" s="14">
        <v>19.0</v>
      </c>
      <c r="L1013" s="14">
        <v>0.0</v>
      </c>
      <c r="M1013" s="25"/>
      <c r="N1013" s="26" t="s">
        <v>21</v>
      </c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</row>
    <row r="1014">
      <c r="A1014" s="14" t="s">
        <v>3840</v>
      </c>
      <c r="B1014" s="17" t="s">
        <v>3834</v>
      </c>
      <c r="C1014" s="17" t="s">
        <v>3841</v>
      </c>
      <c r="D1014" s="19" t="s">
        <v>3842</v>
      </c>
      <c r="E1014" s="20" t="s">
        <v>3843</v>
      </c>
      <c r="F1014" s="21">
        <v>28735.0</v>
      </c>
      <c r="G1014" s="14">
        <f t="shared" si="1"/>
        <v>48</v>
      </c>
      <c r="H1014" s="23" t="s">
        <v>26</v>
      </c>
      <c r="I1014" s="24" t="s">
        <v>33</v>
      </c>
      <c r="J1014" s="19" t="s">
        <v>53</v>
      </c>
      <c r="K1014" s="14">
        <v>19.0</v>
      </c>
      <c r="L1014" s="14">
        <v>0.0</v>
      </c>
      <c r="M1014" s="25"/>
      <c r="N1014" s="26" t="s">
        <v>21</v>
      </c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</row>
    <row r="1015">
      <c r="A1015" s="14" t="s">
        <v>3844</v>
      </c>
      <c r="B1015" s="17" t="s">
        <v>3834</v>
      </c>
      <c r="C1015" s="17" t="s">
        <v>3845</v>
      </c>
      <c r="D1015" s="19" t="s">
        <v>3846</v>
      </c>
      <c r="E1015" s="20" t="s">
        <v>112</v>
      </c>
      <c r="F1015" s="21">
        <v>29023.0</v>
      </c>
      <c r="G1015" s="14">
        <f t="shared" si="1"/>
        <v>47</v>
      </c>
      <c r="H1015" s="23" t="s">
        <v>26</v>
      </c>
      <c r="I1015" s="24" t="s">
        <v>27</v>
      </c>
      <c r="J1015" s="19" t="s">
        <v>53</v>
      </c>
      <c r="K1015" s="14">
        <v>19.0</v>
      </c>
      <c r="L1015" s="14">
        <v>0.0</v>
      </c>
      <c r="M1015" s="25"/>
      <c r="N1015" s="26" t="s">
        <v>21</v>
      </c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</row>
    <row r="1016">
      <c r="A1016" s="14" t="s">
        <v>3847</v>
      </c>
      <c r="B1016" s="17" t="s">
        <v>3890</v>
      </c>
      <c r="C1016" s="17" t="s">
        <v>3850</v>
      </c>
      <c r="D1016" s="19" t="s">
        <v>3851</v>
      </c>
      <c r="E1016" s="20" t="s">
        <v>210</v>
      </c>
      <c r="F1016" s="21">
        <v>36919.0</v>
      </c>
      <c r="G1016" s="14">
        <f t="shared" si="1"/>
        <v>25</v>
      </c>
      <c r="H1016" s="23" t="s">
        <v>100</v>
      </c>
      <c r="I1016" s="24" t="s">
        <v>27</v>
      </c>
      <c r="J1016" s="19" t="s">
        <v>282</v>
      </c>
      <c r="K1016" s="14">
        <v>11.0</v>
      </c>
      <c r="L1016" s="14">
        <v>0.0</v>
      </c>
      <c r="M1016" s="25"/>
      <c r="N1016" s="26" t="s">
        <v>21</v>
      </c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</row>
    <row r="1017">
      <c r="A1017" s="14" t="s">
        <v>3852</v>
      </c>
      <c r="B1017" s="17" t="s">
        <v>3848</v>
      </c>
      <c r="C1017" s="17" t="s">
        <v>3853</v>
      </c>
      <c r="D1017" s="19" t="s">
        <v>3854</v>
      </c>
      <c r="E1017" s="20" t="s">
        <v>195</v>
      </c>
      <c r="F1017" s="27">
        <v>26622.0</v>
      </c>
      <c r="G1017" s="14">
        <f t="shared" si="1"/>
        <v>53</v>
      </c>
      <c r="H1017" s="23" t="s">
        <v>26</v>
      </c>
      <c r="I1017" s="24" t="s">
        <v>33</v>
      </c>
      <c r="J1017" s="19" t="s">
        <v>282</v>
      </c>
      <c r="K1017" s="14">
        <v>11.0</v>
      </c>
      <c r="L1017" s="14">
        <v>0.0</v>
      </c>
      <c r="M1017" s="25"/>
      <c r="N1017" s="26" t="s">
        <v>21</v>
      </c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</row>
    <row r="1018">
      <c r="A1018" s="14" t="s">
        <v>3855</v>
      </c>
      <c r="B1018" s="17" t="s">
        <v>3848</v>
      </c>
      <c r="C1018" s="17" t="s">
        <v>3856</v>
      </c>
      <c r="D1018" s="19" t="s">
        <v>3857</v>
      </c>
      <c r="E1018" s="20" t="s">
        <v>3858</v>
      </c>
      <c r="F1018" s="21">
        <v>25722.0</v>
      </c>
      <c r="G1018" s="14">
        <f t="shared" si="1"/>
        <v>56</v>
      </c>
      <c r="H1018" s="23" t="s">
        <v>26</v>
      </c>
      <c r="I1018" s="24" t="s">
        <v>27</v>
      </c>
      <c r="J1018" s="19" t="s">
        <v>282</v>
      </c>
      <c r="K1018" s="14">
        <v>11.0</v>
      </c>
      <c r="L1018" s="14">
        <v>0.0</v>
      </c>
      <c r="M1018" s="25"/>
      <c r="N1018" s="26" t="s">
        <v>21</v>
      </c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</row>
    <row r="1019">
      <c r="A1019" s="14" t="s">
        <v>3859</v>
      </c>
      <c r="B1019" s="17" t="s">
        <v>3860</v>
      </c>
      <c r="C1019" s="17" t="s">
        <v>3861</v>
      </c>
      <c r="D1019" s="19" t="s">
        <v>3862</v>
      </c>
      <c r="E1019" s="20" t="s">
        <v>3863</v>
      </c>
      <c r="F1019" s="27">
        <v>35013.0</v>
      </c>
      <c r="G1019" s="14">
        <f t="shared" si="1"/>
        <v>30</v>
      </c>
      <c r="H1019" s="23" t="s">
        <v>26</v>
      </c>
      <c r="I1019" s="24" t="s">
        <v>27</v>
      </c>
      <c r="J1019" s="19" t="s">
        <v>53</v>
      </c>
      <c r="K1019" s="14">
        <v>24.0</v>
      </c>
      <c r="L1019" s="14">
        <v>0.0</v>
      </c>
      <c r="M1019" s="25"/>
      <c r="N1019" s="26" t="s">
        <v>21</v>
      </c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</row>
    <row r="1020">
      <c r="A1020" s="14" t="s">
        <v>3864</v>
      </c>
      <c r="B1020" s="17" t="s">
        <v>3860</v>
      </c>
      <c r="C1020" s="17" t="s">
        <v>3865</v>
      </c>
      <c r="D1020" s="19" t="s">
        <v>3866</v>
      </c>
      <c r="E1020" s="20" t="s">
        <v>3867</v>
      </c>
      <c r="F1020" s="21">
        <v>30754.0</v>
      </c>
      <c r="G1020" s="14">
        <f t="shared" si="1"/>
        <v>42</v>
      </c>
      <c r="H1020" s="23" t="s">
        <v>26</v>
      </c>
      <c r="I1020" s="24" t="s">
        <v>33</v>
      </c>
      <c r="J1020" s="19" t="s">
        <v>53</v>
      </c>
      <c r="K1020" s="14">
        <v>24.0</v>
      </c>
      <c r="L1020" s="14">
        <v>0.0</v>
      </c>
      <c r="M1020" s="25"/>
      <c r="N1020" s="26" t="s">
        <v>21</v>
      </c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</row>
    <row r="1021">
      <c r="A1021" s="14" t="s">
        <v>3869</v>
      </c>
      <c r="B1021" s="17" t="s">
        <v>3870</v>
      </c>
      <c r="C1021" s="17" t="s">
        <v>3871</v>
      </c>
      <c r="D1021" s="19" t="s">
        <v>3872</v>
      </c>
      <c r="E1021" s="20" t="s">
        <v>104</v>
      </c>
      <c r="F1021" s="21">
        <v>37130.0</v>
      </c>
      <c r="G1021" s="14">
        <f t="shared" si="1"/>
        <v>25</v>
      </c>
      <c r="H1021" s="23" t="s">
        <v>100</v>
      </c>
      <c r="I1021" s="24" t="s">
        <v>33</v>
      </c>
      <c r="J1021" s="19" t="s">
        <v>257</v>
      </c>
      <c r="K1021" s="14">
        <v>11.0</v>
      </c>
      <c r="L1021" s="14">
        <v>0.0</v>
      </c>
      <c r="M1021" s="25"/>
      <c r="N1021" s="26" t="s">
        <v>21</v>
      </c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</row>
    <row r="1022">
      <c r="A1022" s="14" t="s">
        <v>3873</v>
      </c>
      <c r="B1022" s="17" t="s">
        <v>3870</v>
      </c>
      <c r="C1022" s="17" t="s">
        <v>3874</v>
      </c>
      <c r="D1022" s="19" t="s">
        <v>3875</v>
      </c>
      <c r="E1022" s="20" t="s">
        <v>434</v>
      </c>
      <c r="F1022" s="21">
        <v>26485.0</v>
      </c>
      <c r="G1022" s="14">
        <f t="shared" si="1"/>
        <v>54</v>
      </c>
      <c r="H1022" s="23" t="s">
        <v>26</v>
      </c>
      <c r="I1022" s="24" t="s">
        <v>27</v>
      </c>
      <c r="J1022" s="19" t="s">
        <v>257</v>
      </c>
      <c r="K1022" s="14">
        <v>11.0</v>
      </c>
      <c r="L1022" s="14">
        <v>0.0</v>
      </c>
      <c r="M1022" s="25"/>
      <c r="N1022" s="26" t="s">
        <v>21</v>
      </c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</row>
    <row r="1023">
      <c r="A1023" s="14" t="s">
        <v>3876</v>
      </c>
      <c r="B1023" s="17" t="s">
        <v>3870</v>
      </c>
      <c r="C1023" s="17" t="s">
        <v>3877</v>
      </c>
      <c r="D1023" s="19" t="s">
        <v>3878</v>
      </c>
      <c r="E1023" s="20" t="s">
        <v>195</v>
      </c>
      <c r="F1023" s="21">
        <v>23935.0</v>
      </c>
      <c r="G1023" s="14">
        <f t="shared" si="1"/>
        <v>61</v>
      </c>
      <c r="H1023" s="23" t="s">
        <v>26</v>
      </c>
      <c r="I1023" s="24" t="s">
        <v>33</v>
      </c>
      <c r="J1023" s="19" t="s">
        <v>257</v>
      </c>
      <c r="K1023" s="14">
        <v>11.0</v>
      </c>
      <c r="L1023" s="14">
        <v>0.0</v>
      </c>
      <c r="M1023" s="25"/>
      <c r="N1023" s="26" t="s">
        <v>21</v>
      </c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</row>
    <row r="1024">
      <c r="A1024" s="14" t="s">
        <v>3879</v>
      </c>
      <c r="B1024" s="17" t="s">
        <v>3880</v>
      </c>
      <c r="C1024" s="17" t="s">
        <v>3881</v>
      </c>
      <c r="D1024" s="19" t="s">
        <v>3882</v>
      </c>
      <c r="E1024" s="20" t="s">
        <v>1049</v>
      </c>
      <c r="F1024" s="21">
        <v>27217.0</v>
      </c>
      <c r="G1024" s="14">
        <f t="shared" si="1"/>
        <v>52</v>
      </c>
      <c r="H1024" s="23" t="s">
        <v>26</v>
      </c>
      <c r="I1024" s="24" t="s">
        <v>27</v>
      </c>
      <c r="J1024" s="19" t="s">
        <v>3883</v>
      </c>
      <c r="K1024" s="14">
        <v>29.0</v>
      </c>
      <c r="L1024" s="14">
        <v>0.0</v>
      </c>
      <c r="M1024" s="25"/>
      <c r="N1024" s="26" t="s">
        <v>21</v>
      </c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</row>
    <row r="1025">
      <c r="A1025" s="14" t="s">
        <v>3884</v>
      </c>
      <c r="B1025" s="17" t="s">
        <v>3880</v>
      </c>
      <c r="C1025" s="17" t="s">
        <v>3885</v>
      </c>
      <c r="D1025" s="19" t="s">
        <v>3886</v>
      </c>
      <c r="E1025" s="20" t="s">
        <v>1058</v>
      </c>
      <c r="F1025" s="21">
        <v>24970.0</v>
      </c>
      <c r="G1025" s="14">
        <f t="shared" si="1"/>
        <v>58</v>
      </c>
      <c r="H1025" s="23" t="s">
        <v>26</v>
      </c>
      <c r="I1025" s="24" t="s">
        <v>33</v>
      </c>
      <c r="J1025" s="19" t="s">
        <v>3883</v>
      </c>
      <c r="K1025" s="14">
        <v>29.0</v>
      </c>
      <c r="L1025" s="14">
        <v>0.0</v>
      </c>
      <c r="M1025" s="25"/>
      <c r="N1025" s="26" t="s">
        <v>21</v>
      </c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</row>
    <row r="1026">
      <c r="A1026" s="14" t="s">
        <v>3887</v>
      </c>
      <c r="B1026" s="17" t="s">
        <v>3880</v>
      </c>
      <c r="C1026" s="17" t="s">
        <v>3888</v>
      </c>
      <c r="D1026" s="19" t="s">
        <v>3889</v>
      </c>
      <c r="E1026" s="20" t="s">
        <v>337</v>
      </c>
      <c r="F1026" s="21">
        <v>38251.0</v>
      </c>
      <c r="G1026" s="14">
        <f t="shared" si="1"/>
        <v>22</v>
      </c>
      <c r="H1026" s="23" t="s">
        <v>100</v>
      </c>
      <c r="I1026" s="24" t="s">
        <v>33</v>
      </c>
      <c r="J1026" s="19" t="s">
        <v>3883</v>
      </c>
      <c r="K1026" s="14">
        <v>29.0</v>
      </c>
      <c r="L1026" s="14">
        <v>0.0</v>
      </c>
      <c r="M1026" s="25"/>
      <c r="N1026" s="26" t="s">
        <v>21</v>
      </c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</row>
    <row r="1027">
      <c r="A1027" s="14" t="s">
        <v>3891</v>
      </c>
      <c r="B1027" s="17" t="s">
        <v>3892</v>
      </c>
      <c r="C1027" s="17" t="s">
        <v>3893</v>
      </c>
      <c r="D1027" s="19" t="s">
        <v>3894</v>
      </c>
      <c r="E1027" s="20" t="s">
        <v>67</v>
      </c>
      <c r="F1027" s="21">
        <v>16693.0</v>
      </c>
      <c r="G1027" s="14">
        <f t="shared" si="1"/>
        <v>81</v>
      </c>
      <c r="H1027" s="23" t="s">
        <v>27</v>
      </c>
      <c r="I1027" s="24" t="s">
        <v>27</v>
      </c>
      <c r="J1027" s="19" t="s">
        <v>3883</v>
      </c>
      <c r="K1027" s="14">
        <v>28.0</v>
      </c>
      <c r="L1027" s="14">
        <v>0.0</v>
      </c>
      <c r="M1027" s="25"/>
      <c r="N1027" s="26" t="s">
        <v>21</v>
      </c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</row>
    <row r="1028">
      <c r="A1028" s="14" t="s">
        <v>3895</v>
      </c>
      <c r="B1028" s="17" t="s">
        <v>3896</v>
      </c>
      <c r="C1028" s="17" t="s">
        <v>3897</v>
      </c>
      <c r="D1028" s="19" t="s">
        <v>3898</v>
      </c>
      <c r="E1028" s="20" t="s">
        <v>671</v>
      </c>
      <c r="F1028" s="21">
        <v>27135.0</v>
      </c>
      <c r="G1028" s="14">
        <f t="shared" si="1"/>
        <v>52</v>
      </c>
      <c r="H1028" s="23" t="s">
        <v>27</v>
      </c>
      <c r="I1028" s="24" t="s">
        <v>33</v>
      </c>
      <c r="J1028" s="19" t="s">
        <v>3899</v>
      </c>
      <c r="K1028" s="14">
        <v>29.0</v>
      </c>
      <c r="L1028" s="14">
        <v>5.0</v>
      </c>
      <c r="M1028" s="25"/>
      <c r="N1028" s="26" t="s">
        <v>21</v>
      </c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</row>
    <row r="1029">
      <c r="A1029" s="14" t="s">
        <v>3900</v>
      </c>
      <c r="B1029" s="17" t="s">
        <v>3901</v>
      </c>
      <c r="C1029" s="17" t="s">
        <v>3902</v>
      </c>
      <c r="D1029" s="19" t="s">
        <v>3903</v>
      </c>
      <c r="E1029" s="20" t="s">
        <v>3904</v>
      </c>
      <c r="F1029" s="21">
        <v>32392.0</v>
      </c>
      <c r="G1029" s="14">
        <f t="shared" si="1"/>
        <v>38</v>
      </c>
      <c r="H1029" s="23" t="s">
        <v>26</v>
      </c>
      <c r="I1029" s="24" t="s">
        <v>33</v>
      </c>
      <c r="J1029" s="19" t="s">
        <v>146</v>
      </c>
      <c r="K1029" s="14">
        <v>28.0</v>
      </c>
      <c r="L1029" s="14">
        <v>0.0</v>
      </c>
      <c r="M1029" s="25"/>
      <c r="N1029" s="26" t="s">
        <v>21</v>
      </c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</row>
    <row r="1030">
      <c r="A1030" s="14" t="s">
        <v>3905</v>
      </c>
      <c r="B1030" s="17" t="s">
        <v>3901</v>
      </c>
      <c r="C1030" s="17" t="s">
        <v>3906</v>
      </c>
      <c r="D1030" s="19" t="s">
        <v>3907</v>
      </c>
      <c r="E1030" s="20" t="s">
        <v>53</v>
      </c>
      <c r="F1030" s="21">
        <v>32615.0</v>
      </c>
      <c r="G1030" s="14">
        <f t="shared" si="1"/>
        <v>37</v>
      </c>
      <c r="H1030" s="23" t="s">
        <v>26</v>
      </c>
      <c r="I1030" s="24" t="s">
        <v>27</v>
      </c>
      <c r="J1030" s="19" t="s">
        <v>146</v>
      </c>
      <c r="K1030" s="14">
        <v>28.0</v>
      </c>
      <c r="L1030" s="14">
        <v>0.0</v>
      </c>
      <c r="M1030" s="25"/>
      <c r="N1030" s="26" t="s">
        <v>21</v>
      </c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</row>
    <row r="1031">
      <c r="A1031" s="14" t="s">
        <v>3908</v>
      </c>
      <c r="B1031" s="17" t="s">
        <v>3909</v>
      </c>
      <c r="C1031" s="17" t="s">
        <v>3910</v>
      </c>
      <c r="D1031" s="19" t="s">
        <v>3911</v>
      </c>
      <c r="E1031" s="20" t="s">
        <v>104</v>
      </c>
      <c r="F1031" s="21">
        <v>32880.0</v>
      </c>
      <c r="G1031" s="14">
        <f t="shared" si="1"/>
        <v>36</v>
      </c>
      <c r="H1031" s="23" t="s">
        <v>26</v>
      </c>
      <c r="I1031" s="24" t="s">
        <v>33</v>
      </c>
      <c r="J1031" s="19" t="s">
        <v>2019</v>
      </c>
      <c r="K1031" s="14">
        <v>4.0</v>
      </c>
      <c r="L1031" s="14">
        <v>0.0</v>
      </c>
      <c r="M1031" s="25"/>
      <c r="N1031" s="26" t="s">
        <v>21</v>
      </c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</row>
    <row r="1032">
      <c r="A1032" s="14" t="s">
        <v>3912</v>
      </c>
      <c r="B1032" s="17" t="s">
        <v>3909</v>
      </c>
      <c r="C1032" s="17" t="s">
        <v>3913</v>
      </c>
      <c r="D1032" s="19" t="s">
        <v>3914</v>
      </c>
      <c r="E1032" s="20" t="s">
        <v>104</v>
      </c>
      <c r="F1032" s="21">
        <v>35885.0</v>
      </c>
      <c r="G1032" s="14">
        <f t="shared" si="1"/>
        <v>28</v>
      </c>
      <c r="H1032" s="23" t="s">
        <v>26</v>
      </c>
      <c r="I1032" s="24" t="s">
        <v>27</v>
      </c>
      <c r="J1032" s="19" t="s">
        <v>2019</v>
      </c>
      <c r="K1032" s="14">
        <v>4.0</v>
      </c>
      <c r="L1032" s="14">
        <v>0.0</v>
      </c>
      <c r="M1032" s="25"/>
      <c r="N1032" s="26" t="s">
        <v>21</v>
      </c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</row>
    <row r="1033">
      <c r="A1033" s="14" t="s">
        <v>3915</v>
      </c>
      <c r="B1033" s="17" t="s">
        <v>3916</v>
      </c>
      <c r="C1033" s="17" t="s">
        <v>3917</v>
      </c>
      <c r="D1033" s="19" t="s">
        <v>3918</v>
      </c>
      <c r="E1033" s="20" t="s">
        <v>219</v>
      </c>
      <c r="F1033" s="21">
        <v>36333.0</v>
      </c>
      <c r="G1033" s="14">
        <f t="shared" si="1"/>
        <v>27</v>
      </c>
      <c r="H1033" s="23" t="s">
        <v>100</v>
      </c>
      <c r="I1033" s="24" t="s">
        <v>33</v>
      </c>
      <c r="J1033" s="19" t="s">
        <v>206</v>
      </c>
      <c r="K1033" s="14">
        <v>3.0</v>
      </c>
      <c r="L1033" s="14">
        <v>5.0</v>
      </c>
      <c r="M1033" s="25"/>
      <c r="N1033" s="26" t="s">
        <v>21</v>
      </c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</row>
    <row r="1034">
      <c r="A1034" s="14" t="s">
        <v>3919</v>
      </c>
      <c r="B1034" s="17" t="s">
        <v>3916</v>
      </c>
      <c r="C1034" s="17" t="s">
        <v>3920</v>
      </c>
      <c r="D1034" s="19" t="s">
        <v>3921</v>
      </c>
      <c r="E1034" s="20" t="s">
        <v>219</v>
      </c>
      <c r="F1034" s="27">
        <v>27745.0</v>
      </c>
      <c r="G1034" s="14">
        <f t="shared" si="1"/>
        <v>50</v>
      </c>
      <c r="H1034" s="23" t="s">
        <v>26</v>
      </c>
      <c r="I1034" s="24" t="s">
        <v>27</v>
      </c>
      <c r="J1034" s="19" t="s">
        <v>206</v>
      </c>
      <c r="K1034" s="14">
        <v>3.0</v>
      </c>
      <c r="L1034" s="14">
        <v>5.0</v>
      </c>
      <c r="M1034" s="25"/>
      <c r="N1034" s="26" t="s">
        <v>21</v>
      </c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</row>
    <row r="1035">
      <c r="A1035" s="14" t="s">
        <v>3922</v>
      </c>
      <c r="B1035" s="17" t="s">
        <v>3916</v>
      </c>
      <c r="C1035" s="17" t="s">
        <v>3923</v>
      </c>
      <c r="D1035" s="19" t="s">
        <v>3924</v>
      </c>
      <c r="E1035" s="20" t="s">
        <v>219</v>
      </c>
      <c r="F1035" s="27">
        <v>23741.0</v>
      </c>
      <c r="G1035" s="14">
        <f t="shared" si="1"/>
        <v>61</v>
      </c>
      <c r="H1035" s="23" t="s">
        <v>26</v>
      </c>
      <c r="I1035" s="24" t="s">
        <v>33</v>
      </c>
      <c r="J1035" s="19" t="s">
        <v>206</v>
      </c>
      <c r="K1035" s="14">
        <v>3.0</v>
      </c>
      <c r="L1035" s="14">
        <v>1.0</v>
      </c>
      <c r="M1035" s="25"/>
      <c r="N1035" s="26" t="s">
        <v>21</v>
      </c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</row>
    <row r="1036">
      <c r="A1036" s="14" t="s">
        <v>3925</v>
      </c>
      <c r="B1036" s="17" t="s">
        <v>3926</v>
      </c>
      <c r="C1036" s="17" t="s">
        <v>3927</v>
      </c>
      <c r="D1036" s="19" t="s">
        <v>3928</v>
      </c>
      <c r="E1036" s="20" t="s">
        <v>104</v>
      </c>
      <c r="F1036" s="21">
        <v>28745.0</v>
      </c>
      <c r="G1036" s="14">
        <f t="shared" si="1"/>
        <v>48</v>
      </c>
      <c r="H1036" s="23" t="s">
        <v>26</v>
      </c>
      <c r="I1036" s="24" t="s">
        <v>33</v>
      </c>
      <c r="J1036" s="19" t="s">
        <v>328</v>
      </c>
      <c r="K1036" s="14">
        <v>21.0</v>
      </c>
      <c r="L1036" s="14">
        <v>0.0</v>
      </c>
      <c r="M1036" s="25"/>
      <c r="N1036" s="26" t="s">
        <v>21</v>
      </c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</row>
    <row r="1037">
      <c r="A1037" s="14" t="s">
        <v>3929</v>
      </c>
      <c r="B1037" s="17" t="s">
        <v>3926</v>
      </c>
      <c r="C1037" s="17" t="s">
        <v>3930</v>
      </c>
      <c r="D1037" s="19" t="s">
        <v>2772</v>
      </c>
      <c r="E1037" s="20" t="s">
        <v>3931</v>
      </c>
      <c r="F1037" s="21">
        <v>28627.0</v>
      </c>
      <c r="G1037" s="14">
        <f t="shared" si="1"/>
        <v>48</v>
      </c>
      <c r="H1037" s="23" t="s">
        <v>26</v>
      </c>
      <c r="I1037" s="24" t="s">
        <v>27</v>
      </c>
      <c r="J1037" s="19" t="s">
        <v>328</v>
      </c>
      <c r="K1037" s="14">
        <v>21.0</v>
      </c>
      <c r="L1037" s="14">
        <v>0.0</v>
      </c>
      <c r="M1037" s="25"/>
      <c r="N1037" s="26" t="s">
        <v>21</v>
      </c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</row>
    <row r="1038">
      <c r="A1038" s="14" t="s">
        <v>3932</v>
      </c>
      <c r="B1038" s="17" t="s">
        <v>3933</v>
      </c>
      <c r="C1038" s="17" t="s">
        <v>3934</v>
      </c>
      <c r="D1038" s="19" t="s">
        <v>3935</v>
      </c>
      <c r="E1038" s="20" t="s">
        <v>536</v>
      </c>
      <c r="F1038" s="21">
        <v>36392.0</v>
      </c>
      <c r="G1038" s="14">
        <f t="shared" si="1"/>
        <v>27</v>
      </c>
      <c r="H1038" s="23" t="s">
        <v>26</v>
      </c>
      <c r="I1038" s="24" t="s">
        <v>33</v>
      </c>
      <c r="J1038" s="19" t="s">
        <v>68</v>
      </c>
      <c r="K1038" s="14">
        <v>30.0</v>
      </c>
      <c r="L1038" s="14">
        <v>0.0</v>
      </c>
      <c r="M1038" s="25"/>
      <c r="N1038" s="26" t="s">
        <v>21</v>
      </c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</row>
    <row r="1039">
      <c r="A1039" s="14" t="s">
        <v>3936</v>
      </c>
      <c r="B1039" s="17" t="s">
        <v>3933</v>
      </c>
      <c r="C1039" s="17" t="s">
        <v>3937</v>
      </c>
      <c r="D1039" s="19" t="s">
        <v>3938</v>
      </c>
      <c r="E1039" s="20" t="s">
        <v>337</v>
      </c>
      <c r="F1039" s="21">
        <v>36256.0</v>
      </c>
      <c r="G1039" s="14">
        <f t="shared" si="1"/>
        <v>27</v>
      </c>
      <c r="H1039" s="23" t="s">
        <v>26</v>
      </c>
      <c r="I1039" s="24" t="s">
        <v>27</v>
      </c>
      <c r="J1039" s="19" t="s">
        <v>68</v>
      </c>
      <c r="K1039" s="14">
        <v>30.0</v>
      </c>
      <c r="L1039" s="14">
        <v>0.0</v>
      </c>
      <c r="M1039" s="25"/>
      <c r="N1039" s="26" t="s">
        <v>21</v>
      </c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</row>
    <row r="1040">
      <c r="A1040" s="14" t="s">
        <v>3939</v>
      </c>
      <c r="B1040" s="17" t="s">
        <v>3940</v>
      </c>
      <c r="C1040" s="17" t="s">
        <v>3941</v>
      </c>
      <c r="D1040" s="19" t="s">
        <v>3942</v>
      </c>
      <c r="E1040" s="20" t="s">
        <v>67</v>
      </c>
      <c r="F1040" s="21">
        <v>27206.0</v>
      </c>
      <c r="G1040" s="14">
        <f t="shared" si="1"/>
        <v>52</v>
      </c>
      <c r="H1040" s="23" t="s">
        <v>26</v>
      </c>
      <c r="I1040" s="24" t="s">
        <v>27</v>
      </c>
      <c r="J1040" s="19" t="s">
        <v>68</v>
      </c>
      <c r="K1040" s="14">
        <v>35.0</v>
      </c>
      <c r="L1040" s="14">
        <v>0.0</v>
      </c>
      <c r="M1040" s="25"/>
      <c r="N1040" s="26" t="s">
        <v>21</v>
      </c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</row>
    <row r="1041">
      <c r="A1041" s="14" t="s">
        <v>3943</v>
      </c>
      <c r="B1041" s="17" t="s">
        <v>3940</v>
      </c>
      <c r="C1041" s="17" t="s">
        <v>3944</v>
      </c>
      <c r="D1041" s="19" t="s">
        <v>3945</v>
      </c>
      <c r="E1041" s="20" t="s">
        <v>67</v>
      </c>
      <c r="F1041" s="21">
        <v>25455.0</v>
      </c>
      <c r="G1041" s="14">
        <f t="shared" si="1"/>
        <v>57</v>
      </c>
      <c r="H1041" s="23" t="s">
        <v>26</v>
      </c>
      <c r="I1041" s="24" t="s">
        <v>33</v>
      </c>
      <c r="J1041" s="19" t="s">
        <v>68</v>
      </c>
      <c r="K1041" s="14">
        <v>35.0</v>
      </c>
      <c r="L1041" s="14">
        <v>0.0</v>
      </c>
      <c r="M1041" s="25"/>
      <c r="N1041" s="26" t="s">
        <v>21</v>
      </c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</row>
    <row r="1042">
      <c r="A1042" s="14" t="s">
        <v>3946</v>
      </c>
      <c r="B1042" s="17" t="s">
        <v>3940</v>
      </c>
      <c r="C1042" s="17" t="s">
        <v>3947</v>
      </c>
      <c r="D1042" s="19" t="s">
        <v>3948</v>
      </c>
      <c r="E1042" s="20" t="s">
        <v>2038</v>
      </c>
      <c r="F1042" s="21">
        <v>37884.0</v>
      </c>
      <c r="G1042" s="14">
        <f t="shared" si="1"/>
        <v>23</v>
      </c>
      <c r="H1042" s="23" t="s">
        <v>100</v>
      </c>
      <c r="I1042" s="24" t="s">
        <v>27</v>
      </c>
      <c r="J1042" s="19" t="s">
        <v>68</v>
      </c>
      <c r="K1042" s="14">
        <v>33.0</v>
      </c>
      <c r="L1042" s="14">
        <v>7.0</v>
      </c>
      <c r="M1042" s="28" t="s">
        <v>4019</v>
      </c>
      <c r="N1042" s="26" t="s">
        <v>21</v>
      </c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</row>
    <row r="1043">
      <c r="A1043" s="14" t="s">
        <v>3949</v>
      </c>
      <c r="B1043" s="17" t="s">
        <v>3950</v>
      </c>
      <c r="C1043" s="17" t="s">
        <v>3951</v>
      </c>
      <c r="D1043" s="19" t="s">
        <v>3952</v>
      </c>
      <c r="E1043" s="20" t="s">
        <v>53</v>
      </c>
      <c r="F1043" s="21">
        <v>35844.0</v>
      </c>
      <c r="G1043" s="14">
        <f t="shared" si="1"/>
        <v>28</v>
      </c>
      <c r="H1043" s="23" t="s">
        <v>26</v>
      </c>
      <c r="I1043" s="24" t="s">
        <v>27</v>
      </c>
      <c r="J1043" s="19" t="s">
        <v>146</v>
      </c>
      <c r="K1043" s="14">
        <v>3.0</v>
      </c>
      <c r="L1043" s="14">
        <v>0.0</v>
      </c>
      <c r="M1043" s="25"/>
      <c r="N1043" s="26" t="s">
        <v>21</v>
      </c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</row>
    <row r="1044">
      <c r="A1044" s="14" t="s">
        <v>3953</v>
      </c>
      <c r="B1044" s="17" t="s">
        <v>3950</v>
      </c>
      <c r="C1044" s="17" t="s">
        <v>3954</v>
      </c>
      <c r="D1044" s="19" t="s">
        <v>3955</v>
      </c>
      <c r="E1044" s="20" t="s">
        <v>210</v>
      </c>
      <c r="F1044" s="21">
        <v>36342.0</v>
      </c>
      <c r="G1044" s="14">
        <f t="shared" si="1"/>
        <v>27</v>
      </c>
      <c r="H1044" s="23" t="s">
        <v>26</v>
      </c>
      <c r="I1044" s="24" t="s">
        <v>33</v>
      </c>
      <c r="J1044" s="19" t="s">
        <v>146</v>
      </c>
      <c r="K1044" s="14">
        <v>3.0</v>
      </c>
      <c r="L1044" s="14">
        <v>0.0</v>
      </c>
      <c r="M1044" s="25"/>
      <c r="N1044" s="26" t="s">
        <v>21</v>
      </c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</row>
    <row r="1045">
      <c r="A1045" s="14" t="s">
        <v>3956</v>
      </c>
      <c r="B1045" s="17" t="s">
        <v>3957</v>
      </c>
      <c r="C1045" s="17" t="s">
        <v>3958</v>
      </c>
      <c r="D1045" s="19" t="s">
        <v>3959</v>
      </c>
      <c r="E1045" s="20" t="s">
        <v>53</v>
      </c>
      <c r="F1045" s="21">
        <v>36728.0</v>
      </c>
      <c r="G1045" s="14">
        <f t="shared" si="1"/>
        <v>26</v>
      </c>
      <c r="H1045" s="23" t="s">
        <v>26</v>
      </c>
      <c r="I1045" s="24" t="s">
        <v>33</v>
      </c>
      <c r="J1045" s="19" t="s">
        <v>58</v>
      </c>
      <c r="K1045" s="14">
        <v>7.0</v>
      </c>
      <c r="L1045" s="14">
        <v>0.0</v>
      </c>
      <c r="M1045" s="25"/>
      <c r="N1045" s="26" t="s">
        <v>21</v>
      </c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</row>
    <row r="1046">
      <c r="A1046" s="14" t="s">
        <v>3960</v>
      </c>
      <c r="B1046" s="17" t="s">
        <v>3957</v>
      </c>
      <c r="C1046" s="17" t="s">
        <v>3961</v>
      </c>
      <c r="D1046" s="19" t="s">
        <v>3962</v>
      </c>
      <c r="E1046" s="20" t="s">
        <v>736</v>
      </c>
      <c r="F1046" s="21">
        <v>37358.0</v>
      </c>
      <c r="G1046" s="14">
        <f t="shared" si="1"/>
        <v>24</v>
      </c>
      <c r="H1046" s="23" t="s">
        <v>26</v>
      </c>
      <c r="I1046" s="24" t="s">
        <v>27</v>
      </c>
      <c r="J1046" s="19" t="s">
        <v>58</v>
      </c>
      <c r="K1046" s="14">
        <v>7.0</v>
      </c>
      <c r="L1046" s="14">
        <v>0.0</v>
      </c>
      <c r="M1046" s="25"/>
      <c r="N1046" s="26" t="s">
        <v>21</v>
      </c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</row>
    <row r="1047">
      <c r="A1047" s="14" t="s">
        <v>3963</v>
      </c>
      <c r="B1047" s="17" t="s">
        <v>3964</v>
      </c>
      <c r="C1047" s="17" t="s">
        <v>3965</v>
      </c>
      <c r="D1047" s="19" t="s">
        <v>3966</v>
      </c>
      <c r="E1047" s="20" t="s">
        <v>2680</v>
      </c>
      <c r="F1047" s="21">
        <v>31307.0</v>
      </c>
      <c r="G1047" s="14">
        <f t="shared" si="1"/>
        <v>41</v>
      </c>
      <c r="H1047" s="23" t="s">
        <v>26</v>
      </c>
      <c r="I1047" s="24" t="s">
        <v>27</v>
      </c>
      <c r="J1047" s="19" t="s">
        <v>53</v>
      </c>
      <c r="K1047" s="14">
        <v>10.0</v>
      </c>
      <c r="L1047" s="14">
        <v>0.0</v>
      </c>
      <c r="M1047" s="25"/>
      <c r="N1047" s="26" t="s">
        <v>21</v>
      </c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</row>
    <row r="1048">
      <c r="A1048" s="14" t="s">
        <v>3967</v>
      </c>
      <c r="B1048" s="17" t="s">
        <v>3964</v>
      </c>
      <c r="C1048" s="17" t="s">
        <v>3968</v>
      </c>
      <c r="D1048" s="19" t="s">
        <v>3969</v>
      </c>
      <c r="E1048" s="20" t="s">
        <v>1622</v>
      </c>
      <c r="F1048" s="21">
        <v>31541.0</v>
      </c>
      <c r="G1048" s="14">
        <f t="shared" si="1"/>
        <v>40</v>
      </c>
      <c r="H1048" s="23" t="s">
        <v>26</v>
      </c>
      <c r="I1048" s="24" t="s">
        <v>33</v>
      </c>
      <c r="J1048" s="19" t="s">
        <v>53</v>
      </c>
      <c r="K1048" s="14">
        <v>10.0</v>
      </c>
      <c r="L1048" s="14">
        <v>0.0</v>
      </c>
      <c r="M1048" s="25"/>
      <c r="N1048" s="26" t="s">
        <v>21</v>
      </c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</row>
    <row r="1049">
      <c r="A1049" s="14" t="s">
        <v>3970</v>
      </c>
      <c r="B1049" s="17" t="s">
        <v>3971</v>
      </c>
      <c r="C1049" s="17" t="s">
        <v>3972</v>
      </c>
      <c r="D1049" s="19" t="s">
        <v>3973</v>
      </c>
      <c r="E1049" s="20" t="s">
        <v>632</v>
      </c>
      <c r="F1049" s="21">
        <v>33986.0</v>
      </c>
      <c r="G1049" s="14">
        <f t="shared" si="1"/>
        <v>33</v>
      </c>
      <c r="H1049" s="23" t="s">
        <v>26</v>
      </c>
      <c r="I1049" s="24" t="s">
        <v>33</v>
      </c>
      <c r="J1049" s="19" t="s">
        <v>362</v>
      </c>
      <c r="K1049" s="14">
        <v>26.0</v>
      </c>
      <c r="L1049" s="14">
        <v>0.0</v>
      </c>
      <c r="M1049" s="25"/>
      <c r="N1049" s="26" t="s">
        <v>21</v>
      </c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</row>
    <row r="1050">
      <c r="A1050" s="14" t="s">
        <v>3974</v>
      </c>
      <c r="B1050" s="17" t="s">
        <v>3971</v>
      </c>
      <c r="C1050" s="17" t="s">
        <v>3975</v>
      </c>
      <c r="D1050" s="19" t="s">
        <v>3976</v>
      </c>
      <c r="E1050" s="20" t="s">
        <v>53</v>
      </c>
      <c r="F1050" s="21">
        <v>35977.0</v>
      </c>
      <c r="G1050" s="14">
        <f t="shared" si="1"/>
        <v>28</v>
      </c>
      <c r="H1050" s="23" t="s">
        <v>26</v>
      </c>
      <c r="I1050" s="24" t="s">
        <v>27</v>
      </c>
      <c r="J1050" s="19" t="s">
        <v>362</v>
      </c>
      <c r="K1050" s="14">
        <v>26.0</v>
      </c>
      <c r="L1050" s="14">
        <v>0.0</v>
      </c>
      <c r="M1050" s="25"/>
      <c r="N1050" s="26" t="s">
        <v>21</v>
      </c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</row>
    <row r="1051">
      <c r="A1051" s="14" t="s">
        <v>3977</v>
      </c>
      <c r="B1051" s="17" t="s">
        <v>3978</v>
      </c>
      <c r="C1051" s="17" t="s">
        <v>3979</v>
      </c>
      <c r="D1051" s="19" t="s">
        <v>3980</v>
      </c>
      <c r="E1051" s="20" t="s">
        <v>536</v>
      </c>
      <c r="F1051" s="21">
        <v>34341.0</v>
      </c>
      <c r="G1051" s="14">
        <f t="shared" si="1"/>
        <v>32</v>
      </c>
      <c r="H1051" s="23" t="s">
        <v>26</v>
      </c>
      <c r="I1051" s="24" t="s">
        <v>33</v>
      </c>
      <c r="J1051" s="19" t="s">
        <v>282</v>
      </c>
      <c r="K1051" s="14">
        <v>15.0</v>
      </c>
      <c r="L1051" s="14">
        <v>0.0</v>
      </c>
      <c r="M1051" s="25"/>
      <c r="N1051" s="26" t="s">
        <v>21</v>
      </c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</row>
    <row r="1052">
      <c r="A1052" s="14" t="s">
        <v>3981</v>
      </c>
      <c r="B1052" s="17" t="s">
        <v>3978</v>
      </c>
      <c r="C1052" s="17" t="s">
        <v>3982</v>
      </c>
      <c r="D1052" s="19" t="s">
        <v>3983</v>
      </c>
      <c r="E1052" s="20" t="s">
        <v>858</v>
      </c>
      <c r="F1052" s="21">
        <v>36292.0</v>
      </c>
      <c r="G1052" s="14">
        <f t="shared" si="1"/>
        <v>27</v>
      </c>
      <c r="H1052" s="23" t="s">
        <v>26</v>
      </c>
      <c r="I1052" s="24" t="s">
        <v>27</v>
      </c>
      <c r="J1052" s="19" t="s">
        <v>282</v>
      </c>
      <c r="K1052" s="14">
        <v>15.0</v>
      </c>
      <c r="L1052" s="14">
        <v>0.0</v>
      </c>
      <c r="M1052" s="25"/>
      <c r="N1052" s="26" t="s">
        <v>21</v>
      </c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</row>
    <row r="1053">
      <c r="A1053" s="14" t="s">
        <v>3984</v>
      </c>
      <c r="B1053" s="17" t="s">
        <v>3985</v>
      </c>
      <c r="C1053" s="17" t="s">
        <v>3986</v>
      </c>
      <c r="D1053" s="19" t="s">
        <v>3987</v>
      </c>
      <c r="E1053" s="20" t="s">
        <v>85</v>
      </c>
      <c r="F1053" s="21">
        <v>33708.0</v>
      </c>
      <c r="G1053" s="14">
        <f t="shared" si="1"/>
        <v>34</v>
      </c>
      <c r="H1053" s="23" t="s">
        <v>26</v>
      </c>
      <c r="I1053" s="24" t="s">
        <v>33</v>
      </c>
      <c r="J1053" s="19" t="s">
        <v>1296</v>
      </c>
      <c r="K1053" s="14">
        <v>3.0</v>
      </c>
      <c r="L1053" s="14">
        <v>0.0</v>
      </c>
      <c r="M1053" s="25"/>
      <c r="N1053" s="26" t="s">
        <v>21</v>
      </c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</row>
    <row r="1054">
      <c r="A1054" s="14" t="s">
        <v>3988</v>
      </c>
      <c r="B1054" s="17" t="s">
        <v>3985</v>
      </c>
      <c r="C1054" s="17" t="s">
        <v>3989</v>
      </c>
      <c r="D1054" s="19" t="s">
        <v>3990</v>
      </c>
      <c r="E1054" s="20" t="s">
        <v>2730</v>
      </c>
      <c r="F1054" s="21">
        <v>36034.0</v>
      </c>
      <c r="G1054" s="14">
        <f t="shared" si="1"/>
        <v>28</v>
      </c>
      <c r="H1054" s="23" t="s">
        <v>26</v>
      </c>
      <c r="I1054" s="24" t="s">
        <v>27</v>
      </c>
      <c r="J1054" s="19" t="s">
        <v>1296</v>
      </c>
      <c r="K1054" s="14">
        <v>3.0</v>
      </c>
      <c r="L1054" s="14">
        <v>0.0</v>
      </c>
      <c r="M1054" s="25"/>
      <c r="N1054" s="26" t="s">
        <v>21</v>
      </c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</row>
    <row r="1055">
      <c r="A1055" s="14" t="s">
        <v>3991</v>
      </c>
      <c r="B1055" s="17" t="s">
        <v>3992</v>
      </c>
      <c r="C1055" s="17" t="s">
        <v>3993</v>
      </c>
      <c r="D1055" s="19" t="s">
        <v>3994</v>
      </c>
      <c r="E1055" s="20" t="s">
        <v>104</v>
      </c>
      <c r="F1055" s="21">
        <v>35311.0</v>
      </c>
      <c r="G1055" s="14">
        <f t="shared" si="1"/>
        <v>30</v>
      </c>
      <c r="H1055" s="23" t="s">
        <v>26</v>
      </c>
      <c r="I1055" s="24" t="s">
        <v>33</v>
      </c>
      <c r="J1055" s="19" t="s">
        <v>53</v>
      </c>
      <c r="K1055" s="14">
        <v>31.0</v>
      </c>
      <c r="L1055" s="14">
        <v>0.0</v>
      </c>
      <c r="M1055" s="25"/>
      <c r="N1055" s="26" t="s">
        <v>21</v>
      </c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</row>
    <row r="1056">
      <c r="A1056" s="14" t="s">
        <v>3995</v>
      </c>
      <c r="B1056" s="17" t="s">
        <v>3992</v>
      </c>
      <c r="C1056" s="17" t="s">
        <v>3996</v>
      </c>
      <c r="D1056" s="19" t="s">
        <v>3997</v>
      </c>
      <c r="E1056" s="20" t="s">
        <v>53</v>
      </c>
      <c r="F1056" s="21">
        <v>36038.0</v>
      </c>
      <c r="G1056" s="14">
        <f t="shared" si="1"/>
        <v>28</v>
      </c>
      <c r="H1056" s="23" t="s">
        <v>26</v>
      </c>
      <c r="I1056" s="24" t="s">
        <v>27</v>
      </c>
      <c r="J1056" s="19" t="s">
        <v>53</v>
      </c>
      <c r="K1056" s="14">
        <v>31.0</v>
      </c>
      <c r="L1056" s="14">
        <v>0.0</v>
      </c>
      <c r="M1056" s="25"/>
      <c r="N1056" s="26" t="s">
        <v>21</v>
      </c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</row>
    <row r="1057">
      <c r="A1057" s="14" t="s">
        <v>3998</v>
      </c>
      <c r="B1057" s="17" t="s">
        <v>3999</v>
      </c>
      <c r="C1057" s="17" t="s">
        <v>4000</v>
      </c>
      <c r="D1057" s="19" t="s">
        <v>4001</v>
      </c>
      <c r="E1057" s="20" t="s">
        <v>104</v>
      </c>
      <c r="F1057" s="27">
        <v>32793.0</v>
      </c>
      <c r="G1057" s="14">
        <f t="shared" si="1"/>
        <v>37</v>
      </c>
      <c r="H1057" s="23" t="s">
        <v>26</v>
      </c>
      <c r="I1057" s="24" t="s">
        <v>33</v>
      </c>
      <c r="J1057" s="19" t="s">
        <v>282</v>
      </c>
      <c r="K1057" s="14">
        <v>15.0</v>
      </c>
      <c r="L1057" s="14">
        <v>0.0</v>
      </c>
      <c r="M1057" s="25"/>
      <c r="N1057" s="26" t="s">
        <v>21</v>
      </c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</row>
    <row r="1058">
      <c r="A1058" s="14" t="s">
        <v>4002</v>
      </c>
      <c r="B1058" s="17" t="s">
        <v>3999</v>
      </c>
      <c r="C1058" s="17" t="s">
        <v>4003</v>
      </c>
      <c r="D1058" s="19" t="s">
        <v>4004</v>
      </c>
      <c r="E1058" s="20" t="s">
        <v>104</v>
      </c>
      <c r="F1058" s="21">
        <v>35139.0</v>
      </c>
      <c r="G1058" s="14">
        <f t="shared" si="1"/>
        <v>30</v>
      </c>
      <c r="H1058" s="23" t="s">
        <v>26</v>
      </c>
      <c r="I1058" s="24" t="s">
        <v>27</v>
      </c>
      <c r="J1058" s="19" t="s">
        <v>282</v>
      </c>
      <c r="K1058" s="14">
        <v>15.0</v>
      </c>
      <c r="L1058" s="14">
        <v>0.0</v>
      </c>
      <c r="M1058" s="25"/>
      <c r="N1058" s="26" t="s">
        <v>21</v>
      </c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</row>
    <row r="1059">
      <c r="A1059" s="14" t="s">
        <v>4005</v>
      </c>
      <c r="B1059" s="17" t="s">
        <v>4090</v>
      </c>
      <c r="C1059" s="17" t="s">
        <v>4007</v>
      </c>
      <c r="D1059" s="19" t="s">
        <v>4008</v>
      </c>
      <c r="E1059" s="20" t="s">
        <v>104</v>
      </c>
      <c r="F1059" s="27">
        <v>34620.0</v>
      </c>
      <c r="G1059" s="14">
        <f t="shared" si="1"/>
        <v>32</v>
      </c>
      <c r="H1059" s="23" t="s">
        <v>100</v>
      </c>
      <c r="I1059" s="24" t="s">
        <v>27</v>
      </c>
      <c r="J1059" s="19" t="s">
        <v>2038</v>
      </c>
      <c r="K1059" s="14">
        <v>10.0</v>
      </c>
      <c r="L1059" s="14">
        <v>0.0</v>
      </c>
      <c r="M1059" s="25"/>
      <c r="N1059" s="26" t="s">
        <v>21</v>
      </c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</row>
    <row r="1060">
      <c r="A1060" s="14" t="s">
        <v>4009</v>
      </c>
      <c r="B1060" s="17" t="s">
        <v>4090</v>
      </c>
      <c r="C1060" s="17" t="s">
        <v>4010</v>
      </c>
      <c r="D1060" s="19" t="s">
        <v>4011</v>
      </c>
      <c r="E1060" s="20" t="s">
        <v>104</v>
      </c>
      <c r="F1060" s="21">
        <v>38630.0</v>
      </c>
      <c r="G1060" s="14">
        <f t="shared" si="1"/>
        <v>21</v>
      </c>
      <c r="H1060" s="23" t="s">
        <v>100</v>
      </c>
      <c r="I1060" s="24" t="s">
        <v>33</v>
      </c>
      <c r="J1060" s="19" t="s">
        <v>2038</v>
      </c>
      <c r="K1060" s="14">
        <v>10.0</v>
      </c>
      <c r="L1060" s="14">
        <v>0.0</v>
      </c>
      <c r="M1060" s="25"/>
      <c r="N1060" s="26" t="s">
        <v>21</v>
      </c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</row>
    <row r="1061">
      <c r="A1061" s="14" t="s">
        <v>4098</v>
      </c>
      <c r="B1061" s="17" t="s">
        <v>4090</v>
      </c>
      <c r="C1061" s="17" t="s">
        <v>4099</v>
      </c>
      <c r="D1061" s="19" t="s">
        <v>4100</v>
      </c>
      <c r="E1061" s="20" t="s">
        <v>104</v>
      </c>
      <c r="F1061" s="21">
        <v>34304.0</v>
      </c>
      <c r="G1061" s="14">
        <f t="shared" si="1"/>
        <v>32</v>
      </c>
      <c r="H1061" s="23" t="s">
        <v>100</v>
      </c>
      <c r="I1061" s="24" t="s">
        <v>33</v>
      </c>
      <c r="J1061" s="19" t="s">
        <v>517</v>
      </c>
      <c r="K1061" s="14">
        <v>10.0</v>
      </c>
      <c r="L1061" s="14">
        <v>0.0</v>
      </c>
      <c r="M1061" s="25"/>
      <c r="N1061" s="26" t="s">
        <v>21</v>
      </c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</row>
    <row r="1062">
      <c r="A1062" s="14" t="s">
        <v>4012</v>
      </c>
      <c r="B1062" s="17" t="s">
        <v>4013</v>
      </c>
      <c r="C1062" s="17" t="s">
        <v>4014</v>
      </c>
      <c r="D1062" s="19" t="s">
        <v>2928</v>
      </c>
      <c r="E1062" s="20" t="s">
        <v>1816</v>
      </c>
      <c r="F1062" s="21">
        <v>17725.0</v>
      </c>
      <c r="G1062" s="14">
        <f t="shared" si="1"/>
        <v>78</v>
      </c>
      <c r="H1062" s="23" t="s">
        <v>27</v>
      </c>
      <c r="I1062" s="24" t="s">
        <v>27</v>
      </c>
      <c r="J1062" s="19" t="s">
        <v>68</v>
      </c>
      <c r="K1062" s="14">
        <v>29.0</v>
      </c>
      <c r="L1062" s="14">
        <v>0.0</v>
      </c>
      <c r="M1062" s="25"/>
      <c r="N1062" s="26" t="s">
        <v>21</v>
      </c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</row>
    <row r="1063">
      <c r="A1063" s="14" t="s">
        <v>4015</v>
      </c>
      <c r="B1063" s="17" t="s">
        <v>4016</v>
      </c>
      <c r="C1063" s="17" t="s">
        <v>4017</v>
      </c>
      <c r="D1063" s="19" t="s">
        <v>4018</v>
      </c>
      <c r="E1063" s="20" t="s">
        <v>650</v>
      </c>
      <c r="F1063" s="21">
        <v>20271.0</v>
      </c>
      <c r="G1063" s="14">
        <f t="shared" si="1"/>
        <v>71</v>
      </c>
      <c r="H1063" s="23" t="s">
        <v>27</v>
      </c>
      <c r="I1063" s="24" t="s">
        <v>27</v>
      </c>
      <c r="J1063" s="19" t="s">
        <v>4020</v>
      </c>
      <c r="K1063" s="14">
        <v>23.0</v>
      </c>
      <c r="L1063" s="14">
        <v>0.0</v>
      </c>
      <c r="M1063" s="25"/>
      <c r="N1063" s="26" t="s">
        <v>21</v>
      </c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</row>
    <row r="1064">
      <c r="A1064" s="14" t="s">
        <v>4021</v>
      </c>
      <c r="B1064" s="17" t="s">
        <v>4022</v>
      </c>
      <c r="C1064" s="17" t="s">
        <v>4023</v>
      </c>
      <c r="D1064" s="19" t="s">
        <v>188</v>
      </c>
      <c r="E1064" s="20" t="s">
        <v>654</v>
      </c>
      <c r="F1064" s="21">
        <v>25285.0</v>
      </c>
      <c r="G1064" s="14">
        <f t="shared" si="1"/>
        <v>57</v>
      </c>
      <c r="H1064" s="23" t="s">
        <v>26</v>
      </c>
      <c r="I1064" s="24" t="s">
        <v>33</v>
      </c>
      <c r="J1064" s="19" t="s">
        <v>4020</v>
      </c>
      <c r="K1064" s="14">
        <v>21.0</v>
      </c>
      <c r="L1064" s="14">
        <v>0.0</v>
      </c>
      <c r="M1064" s="25"/>
      <c r="N1064" s="26" t="s">
        <v>21</v>
      </c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</row>
    <row r="1065">
      <c r="A1065" s="14" t="s">
        <v>4024</v>
      </c>
      <c r="B1065" s="17" t="s">
        <v>4022</v>
      </c>
      <c r="C1065" s="17" t="s">
        <v>4025</v>
      </c>
      <c r="D1065" s="19" t="s">
        <v>4026</v>
      </c>
      <c r="E1065" s="20" t="s">
        <v>53</v>
      </c>
      <c r="F1065" s="27">
        <v>39072.0</v>
      </c>
      <c r="G1065" s="14">
        <f t="shared" si="1"/>
        <v>19</v>
      </c>
      <c r="H1065" s="23" t="s">
        <v>100</v>
      </c>
      <c r="I1065" s="24" t="s">
        <v>33</v>
      </c>
      <c r="J1065" s="19" t="s">
        <v>4020</v>
      </c>
      <c r="K1065" s="14">
        <v>21.0</v>
      </c>
      <c r="L1065" s="14">
        <v>0.0</v>
      </c>
      <c r="M1065" s="25"/>
      <c r="N1065" s="26" t="s">
        <v>21</v>
      </c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</row>
    <row r="1066">
      <c r="A1066" s="14" t="s">
        <v>4027</v>
      </c>
      <c r="B1066" s="17" t="s">
        <v>4022</v>
      </c>
      <c r="C1066" s="17" t="s">
        <v>4028</v>
      </c>
      <c r="D1066" s="19" t="s">
        <v>4029</v>
      </c>
      <c r="E1066" s="20" t="s">
        <v>104</v>
      </c>
      <c r="F1066" s="27">
        <v>34681.0</v>
      </c>
      <c r="G1066" s="14">
        <f t="shared" si="1"/>
        <v>31</v>
      </c>
      <c r="H1066" s="23" t="s">
        <v>100</v>
      </c>
      <c r="I1066" s="24" t="s">
        <v>33</v>
      </c>
      <c r="J1066" s="19" t="s">
        <v>4020</v>
      </c>
      <c r="K1066" s="14">
        <v>21.0</v>
      </c>
      <c r="L1066" s="14">
        <v>0.0</v>
      </c>
      <c r="M1066" s="25"/>
      <c r="N1066" s="26" t="s">
        <v>21</v>
      </c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</row>
    <row r="1067">
      <c r="A1067" s="14" t="s">
        <v>4030</v>
      </c>
      <c r="B1067" s="17" t="s">
        <v>4022</v>
      </c>
      <c r="C1067" s="17" t="s">
        <v>4031</v>
      </c>
      <c r="D1067" s="19" t="s">
        <v>4032</v>
      </c>
      <c r="E1067" s="20" t="s">
        <v>654</v>
      </c>
      <c r="F1067" s="21">
        <v>26301.0</v>
      </c>
      <c r="G1067" s="14">
        <f t="shared" si="1"/>
        <v>54</v>
      </c>
      <c r="H1067" s="23" t="s">
        <v>26</v>
      </c>
      <c r="I1067" s="24" t="s">
        <v>27</v>
      </c>
      <c r="J1067" s="19" t="s">
        <v>4020</v>
      </c>
      <c r="K1067" s="14">
        <v>21.0</v>
      </c>
      <c r="L1067" s="14">
        <v>0.0</v>
      </c>
      <c r="M1067" s="25"/>
      <c r="N1067" s="26" t="s">
        <v>21</v>
      </c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</row>
    <row r="1068">
      <c r="A1068" s="14" t="s">
        <v>4033</v>
      </c>
      <c r="B1068" s="17" t="s">
        <v>4022</v>
      </c>
      <c r="C1068" s="17" t="s">
        <v>4034</v>
      </c>
      <c r="D1068" s="19" t="s">
        <v>4035</v>
      </c>
      <c r="E1068" s="20" t="s">
        <v>104</v>
      </c>
      <c r="F1068" s="21">
        <v>37093.0</v>
      </c>
      <c r="G1068" s="14">
        <f t="shared" si="1"/>
        <v>25</v>
      </c>
      <c r="H1068" s="23" t="s">
        <v>100</v>
      </c>
      <c r="I1068" s="24" t="s">
        <v>33</v>
      </c>
      <c r="J1068" s="19" t="s">
        <v>4020</v>
      </c>
      <c r="K1068" s="14">
        <v>21.0</v>
      </c>
      <c r="L1068" s="14">
        <v>0.0</v>
      </c>
      <c r="M1068" s="25"/>
      <c r="N1068" s="26" t="s">
        <v>21</v>
      </c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</row>
    <row r="1069">
      <c r="A1069" s="14" t="s">
        <v>4036</v>
      </c>
      <c r="B1069" s="17" t="s">
        <v>4022</v>
      </c>
      <c r="C1069" s="17" t="s">
        <v>4037</v>
      </c>
      <c r="D1069" s="19" t="s">
        <v>4038</v>
      </c>
      <c r="E1069" s="20" t="s">
        <v>104</v>
      </c>
      <c r="F1069" s="21">
        <v>37093.0</v>
      </c>
      <c r="G1069" s="14">
        <f t="shared" si="1"/>
        <v>25</v>
      </c>
      <c r="H1069" s="23" t="s">
        <v>100</v>
      </c>
      <c r="I1069" s="24" t="s">
        <v>33</v>
      </c>
      <c r="J1069" s="19" t="s">
        <v>4020</v>
      </c>
      <c r="K1069" s="14">
        <v>21.0</v>
      </c>
      <c r="L1069" s="14">
        <v>0.0</v>
      </c>
      <c r="M1069" s="25"/>
      <c r="N1069" s="26" t="s">
        <v>21</v>
      </c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</row>
    <row r="1070">
      <c r="A1070" s="14" t="s">
        <v>4039</v>
      </c>
      <c r="B1070" s="17" t="s">
        <v>4040</v>
      </c>
      <c r="C1070" s="17" t="s">
        <v>4041</v>
      </c>
      <c r="D1070" s="19" t="s">
        <v>4042</v>
      </c>
      <c r="E1070" s="20" t="s">
        <v>4043</v>
      </c>
      <c r="F1070" s="21">
        <v>17761.0</v>
      </c>
      <c r="G1070" s="14">
        <f t="shared" si="1"/>
        <v>78</v>
      </c>
      <c r="H1070" s="23" t="s">
        <v>26</v>
      </c>
      <c r="I1070" s="24" t="s">
        <v>27</v>
      </c>
      <c r="J1070" s="19" t="s">
        <v>362</v>
      </c>
      <c r="K1070" s="14">
        <v>21.0</v>
      </c>
      <c r="L1070" s="14">
        <v>1.0</v>
      </c>
      <c r="M1070" s="25"/>
      <c r="N1070" s="26" t="s">
        <v>21</v>
      </c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</row>
    <row r="1071">
      <c r="A1071" s="14" t="s">
        <v>4044</v>
      </c>
      <c r="B1071" s="17" t="s">
        <v>4045</v>
      </c>
      <c r="C1071" s="17" t="s">
        <v>4046</v>
      </c>
      <c r="D1071" s="19" t="s">
        <v>4047</v>
      </c>
      <c r="E1071" s="20" t="s">
        <v>53</v>
      </c>
      <c r="F1071" s="21">
        <v>36370.0</v>
      </c>
      <c r="G1071" s="14">
        <f t="shared" si="1"/>
        <v>27</v>
      </c>
      <c r="H1071" s="23" t="s">
        <v>100</v>
      </c>
      <c r="I1071" s="24" t="s">
        <v>33</v>
      </c>
      <c r="J1071" s="19" t="s">
        <v>362</v>
      </c>
      <c r="K1071" s="14">
        <v>21.0</v>
      </c>
      <c r="L1071" s="14">
        <v>0.0</v>
      </c>
      <c r="M1071" s="25"/>
      <c r="N1071" s="26" t="s">
        <v>21</v>
      </c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</row>
    <row r="1072">
      <c r="A1072" s="14" t="s">
        <v>4048</v>
      </c>
      <c r="B1072" s="17" t="s">
        <v>4045</v>
      </c>
      <c r="C1072" s="17" t="s">
        <v>4049</v>
      </c>
      <c r="D1072" s="19" t="s">
        <v>4050</v>
      </c>
      <c r="E1072" s="20" t="s">
        <v>650</v>
      </c>
      <c r="F1072" s="21">
        <v>21443.0</v>
      </c>
      <c r="G1072" s="14">
        <f t="shared" si="1"/>
        <v>68</v>
      </c>
      <c r="H1072" s="23" t="s">
        <v>26</v>
      </c>
      <c r="I1072" s="24" t="s">
        <v>33</v>
      </c>
      <c r="J1072" s="19" t="s">
        <v>362</v>
      </c>
      <c r="K1072" s="14">
        <v>21.0</v>
      </c>
      <c r="L1072" s="14">
        <v>0.0</v>
      </c>
      <c r="M1072" s="25"/>
      <c r="N1072" s="26" t="s">
        <v>21</v>
      </c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</row>
    <row r="1073">
      <c r="A1073" s="14" t="s">
        <v>4051</v>
      </c>
      <c r="B1073" s="17" t="s">
        <v>4045</v>
      </c>
      <c r="C1073" s="17" t="s">
        <v>4052</v>
      </c>
      <c r="D1073" s="19" t="s">
        <v>4053</v>
      </c>
      <c r="E1073" s="20" t="s">
        <v>650</v>
      </c>
      <c r="F1073" s="21">
        <v>23924.0</v>
      </c>
      <c r="G1073" s="14">
        <f t="shared" si="1"/>
        <v>61</v>
      </c>
      <c r="H1073" s="23" t="s">
        <v>26</v>
      </c>
      <c r="I1073" s="24" t="s">
        <v>27</v>
      </c>
      <c r="J1073" s="19" t="s">
        <v>362</v>
      </c>
      <c r="K1073" s="14">
        <v>21.0</v>
      </c>
      <c r="L1073" s="14">
        <v>0.0</v>
      </c>
      <c r="M1073" s="25"/>
      <c r="N1073" s="26" t="s">
        <v>21</v>
      </c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</row>
    <row r="1074">
      <c r="A1074" s="14" t="s">
        <v>4054</v>
      </c>
      <c r="B1074" s="17" t="s">
        <v>4045</v>
      </c>
      <c r="C1074" s="17" t="s">
        <v>4055</v>
      </c>
      <c r="D1074" s="19" t="s">
        <v>4056</v>
      </c>
      <c r="E1074" s="20" t="s">
        <v>104</v>
      </c>
      <c r="F1074" s="21">
        <v>38561.0</v>
      </c>
      <c r="G1074" s="14">
        <f t="shared" si="1"/>
        <v>21</v>
      </c>
      <c r="H1074" s="23" t="s">
        <v>100</v>
      </c>
      <c r="I1074" s="24" t="s">
        <v>27</v>
      </c>
      <c r="J1074" s="19" t="s">
        <v>362</v>
      </c>
      <c r="K1074" s="14">
        <v>21.0</v>
      </c>
      <c r="L1074" s="14">
        <v>0.0</v>
      </c>
      <c r="M1074" s="25"/>
      <c r="N1074" s="26" t="s">
        <v>21</v>
      </c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</row>
    <row r="1075">
      <c r="A1075" s="14" t="s">
        <v>4057</v>
      </c>
      <c r="B1075" s="17" t="s">
        <v>4058</v>
      </c>
      <c r="C1075" s="17" t="s">
        <v>4059</v>
      </c>
      <c r="D1075" s="19" t="s">
        <v>93</v>
      </c>
      <c r="E1075" s="20" t="s">
        <v>632</v>
      </c>
      <c r="F1075" s="21">
        <v>23566.0</v>
      </c>
      <c r="G1075" s="14">
        <f t="shared" si="1"/>
        <v>62</v>
      </c>
      <c r="H1075" s="23" t="s">
        <v>26</v>
      </c>
      <c r="I1075" s="24" t="s">
        <v>33</v>
      </c>
      <c r="J1075" s="19" t="s">
        <v>328</v>
      </c>
      <c r="K1075" s="14">
        <v>21.0</v>
      </c>
      <c r="L1075" s="14">
        <v>0.0</v>
      </c>
      <c r="M1075" s="25"/>
      <c r="N1075" s="26" t="s">
        <v>21</v>
      </c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</row>
    <row r="1076">
      <c r="A1076" s="14" t="s">
        <v>4060</v>
      </c>
      <c r="B1076" s="17" t="s">
        <v>4058</v>
      </c>
      <c r="C1076" s="17" t="s">
        <v>4061</v>
      </c>
      <c r="D1076" s="19" t="s">
        <v>4062</v>
      </c>
      <c r="E1076" s="20" t="s">
        <v>632</v>
      </c>
      <c r="F1076" s="21">
        <v>19369.0</v>
      </c>
      <c r="G1076" s="14">
        <f t="shared" si="1"/>
        <v>73</v>
      </c>
      <c r="H1076" s="23" t="s">
        <v>26</v>
      </c>
      <c r="I1076" s="24" t="s">
        <v>27</v>
      </c>
      <c r="J1076" s="19" t="s">
        <v>328</v>
      </c>
      <c r="K1076" s="14">
        <v>21.0</v>
      </c>
      <c r="L1076" s="14">
        <v>0.0</v>
      </c>
      <c r="M1076" s="25"/>
      <c r="N1076" s="26" t="s">
        <v>21</v>
      </c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</row>
    <row r="1077">
      <c r="A1077" s="14" t="s">
        <v>4063</v>
      </c>
      <c r="B1077" s="17" t="s">
        <v>4058</v>
      </c>
      <c r="C1077" s="17" t="s">
        <v>4064</v>
      </c>
      <c r="D1077" s="19" t="s">
        <v>4065</v>
      </c>
      <c r="E1077" s="20" t="s">
        <v>104</v>
      </c>
      <c r="F1077" s="27">
        <v>33963.0</v>
      </c>
      <c r="G1077" s="14">
        <f t="shared" si="1"/>
        <v>33</v>
      </c>
      <c r="H1077" s="23" t="s">
        <v>100</v>
      </c>
      <c r="I1077" s="24" t="s">
        <v>33</v>
      </c>
      <c r="J1077" s="19" t="s">
        <v>328</v>
      </c>
      <c r="K1077" s="14">
        <v>21.0</v>
      </c>
      <c r="L1077" s="14">
        <v>0.0</v>
      </c>
      <c r="M1077" s="25"/>
      <c r="N1077" s="26" t="s">
        <v>21</v>
      </c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</row>
    <row r="1078">
      <c r="A1078" s="14" t="s">
        <v>4066</v>
      </c>
      <c r="B1078" s="17" t="s">
        <v>4067</v>
      </c>
      <c r="C1078" s="17" t="s">
        <v>4068</v>
      </c>
      <c r="D1078" s="19" t="s">
        <v>4069</v>
      </c>
      <c r="E1078" s="20" t="s">
        <v>195</v>
      </c>
      <c r="F1078" s="21">
        <v>29260.0</v>
      </c>
      <c r="G1078" s="14">
        <f t="shared" si="1"/>
        <v>46</v>
      </c>
      <c r="H1078" s="23" t="s">
        <v>26</v>
      </c>
      <c r="I1078" s="24" t="s">
        <v>33</v>
      </c>
      <c r="J1078" s="19" t="s">
        <v>328</v>
      </c>
      <c r="K1078" s="14">
        <v>21.0</v>
      </c>
      <c r="L1078" s="14">
        <v>0.0</v>
      </c>
      <c r="M1078" s="25"/>
      <c r="N1078" s="26" t="s">
        <v>21</v>
      </c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</row>
    <row r="1079">
      <c r="A1079" s="14" t="s">
        <v>4070</v>
      </c>
      <c r="B1079" s="17" t="s">
        <v>4067</v>
      </c>
      <c r="C1079" s="17" t="s">
        <v>4071</v>
      </c>
      <c r="D1079" s="19" t="s">
        <v>4072</v>
      </c>
      <c r="E1079" s="20" t="s">
        <v>104</v>
      </c>
      <c r="F1079" s="27">
        <v>38642.0</v>
      </c>
      <c r="G1079" s="14">
        <f t="shared" si="1"/>
        <v>21</v>
      </c>
      <c r="H1079" s="23" t="s">
        <v>100</v>
      </c>
      <c r="I1079" s="24" t="s">
        <v>33</v>
      </c>
      <c r="J1079" s="19" t="s">
        <v>328</v>
      </c>
      <c r="K1079" s="14">
        <v>21.0</v>
      </c>
      <c r="L1079" s="14">
        <v>0.0</v>
      </c>
      <c r="M1079" s="25"/>
      <c r="N1079" s="26" t="s">
        <v>21</v>
      </c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</row>
    <row r="1080">
      <c r="A1080" s="14" t="s">
        <v>4073</v>
      </c>
      <c r="B1080" s="17" t="s">
        <v>4067</v>
      </c>
      <c r="C1080" s="17" t="s">
        <v>4074</v>
      </c>
      <c r="D1080" s="19" t="s">
        <v>4075</v>
      </c>
      <c r="E1080" s="20" t="s">
        <v>104</v>
      </c>
      <c r="F1080" s="21">
        <v>31063.0</v>
      </c>
      <c r="G1080" s="14">
        <f t="shared" si="1"/>
        <v>41</v>
      </c>
      <c r="H1080" s="23" t="s">
        <v>26</v>
      </c>
      <c r="I1080" s="24" t="s">
        <v>27</v>
      </c>
      <c r="J1080" s="19" t="s">
        <v>328</v>
      </c>
      <c r="K1080" s="14">
        <v>21.0</v>
      </c>
      <c r="L1080" s="14">
        <v>0.0</v>
      </c>
      <c r="M1080" s="25"/>
      <c r="N1080" s="26" t="s">
        <v>21</v>
      </c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</row>
    <row r="1081">
      <c r="A1081" s="14" t="s">
        <v>4076</v>
      </c>
      <c r="B1081" s="17" t="s">
        <v>4077</v>
      </c>
      <c r="C1081" s="17" t="s">
        <v>4078</v>
      </c>
      <c r="D1081" s="19" t="s">
        <v>318</v>
      </c>
      <c r="E1081" s="20" t="s">
        <v>1291</v>
      </c>
      <c r="F1081" s="21">
        <v>23902.0</v>
      </c>
      <c r="G1081" s="14">
        <f t="shared" si="1"/>
        <v>61</v>
      </c>
      <c r="H1081" s="23" t="s">
        <v>26</v>
      </c>
      <c r="I1081" s="24" t="s">
        <v>33</v>
      </c>
      <c r="J1081" s="19" t="s">
        <v>4079</v>
      </c>
      <c r="K1081" s="14">
        <v>27.0</v>
      </c>
      <c r="L1081" s="14">
        <v>0.0</v>
      </c>
      <c r="M1081" s="25"/>
      <c r="N1081" s="26" t="s">
        <v>21</v>
      </c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</row>
    <row r="1082">
      <c r="A1082" s="14" t="s">
        <v>4080</v>
      </c>
      <c r="B1082" s="17" t="s">
        <v>4077</v>
      </c>
      <c r="C1082" s="17" t="s">
        <v>4081</v>
      </c>
      <c r="D1082" s="19" t="s">
        <v>4082</v>
      </c>
      <c r="E1082" s="20" t="s">
        <v>624</v>
      </c>
      <c r="F1082" s="21">
        <v>24606.0</v>
      </c>
      <c r="G1082" s="14">
        <f t="shared" si="1"/>
        <v>59</v>
      </c>
      <c r="H1082" s="23" t="s">
        <v>26</v>
      </c>
      <c r="I1082" s="24" t="s">
        <v>27</v>
      </c>
      <c r="J1082" s="19" t="s">
        <v>4079</v>
      </c>
      <c r="K1082" s="14">
        <v>27.0</v>
      </c>
      <c r="L1082" s="14">
        <v>0.0</v>
      </c>
      <c r="M1082" s="25"/>
      <c r="N1082" s="26" t="s">
        <v>21</v>
      </c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</row>
    <row r="1083">
      <c r="A1083" s="14" t="s">
        <v>4083</v>
      </c>
      <c r="B1083" s="17" t="s">
        <v>4084</v>
      </c>
      <c r="C1083" s="17" t="s">
        <v>4085</v>
      </c>
      <c r="D1083" s="19" t="s">
        <v>4086</v>
      </c>
      <c r="E1083" s="20" t="s">
        <v>632</v>
      </c>
      <c r="F1083" s="21">
        <v>25782.0</v>
      </c>
      <c r="G1083" s="14">
        <f t="shared" si="1"/>
        <v>56</v>
      </c>
      <c r="H1083" s="23" t="s">
        <v>26</v>
      </c>
      <c r="I1083" s="24" t="s">
        <v>27</v>
      </c>
      <c r="J1083" s="19" t="s">
        <v>328</v>
      </c>
      <c r="K1083" s="14">
        <v>27.0</v>
      </c>
      <c r="L1083" s="14">
        <v>0.0</v>
      </c>
      <c r="M1083" s="25"/>
      <c r="N1083" s="26" t="s">
        <v>21</v>
      </c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</row>
    <row r="1084">
      <c r="A1084" s="14" t="s">
        <v>4087</v>
      </c>
      <c r="B1084" s="17" t="s">
        <v>4084</v>
      </c>
      <c r="C1084" s="17" t="s">
        <v>4088</v>
      </c>
      <c r="D1084" s="19" t="s">
        <v>4089</v>
      </c>
      <c r="E1084" s="20" t="s">
        <v>632</v>
      </c>
      <c r="F1084" s="21">
        <v>19739.0</v>
      </c>
      <c r="G1084" s="14">
        <f t="shared" si="1"/>
        <v>72</v>
      </c>
      <c r="H1084" s="23" t="s">
        <v>26</v>
      </c>
      <c r="I1084" s="24" t="s">
        <v>33</v>
      </c>
      <c r="J1084" s="19" t="s">
        <v>328</v>
      </c>
      <c r="K1084" s="14">
        <v>27.0</v>
      </c>
      <c r="L1084" s="14">
        <v>1.0</v>
      </c>
      <c r="M1084" s="25"/>
      <c r="N1084" s="26" t="s">
        <v>21</v>
      </c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</row>
    <row r="1085">
      <c r="A1085" s="14" t="s">
        <v>4091</v>
      </c>
      <c r="B1085" s="17" t="s">
        <v>4092</v>
      </c>
      <c r="C1085" s="17" t="s">
        <v>4093</v>
      </c>
      <c r="D1085" s="19" t="s">
        <v>4094</v>
      </c>
      <c r="E1085" s="20" t="s">
        <v>53</v>
      </c>
      <c r="F1085" s="21">
        <v>35871.0</v>
      </c>
      <c r="G1085" s="14">
        <f t="shared" si="1"/>
        <v>28</v>
      </c>
      <c r="H1085" s="23" t="s">
        <v>26</v>
      </c>
      <c r="I1085" s="24" t="s">
        <v>27</v>
      </c>
      <c r="J1085" s="19" t="s">
        <v>726</v>
      </c>
      <c r="K1085" s="14">
        <v>28.0</v>
      </c>
      <c r="L1085" s="14">
        <v>0.0</v>
      </c>
      <c r="M1085" s="25"/>
      <c r="N1085" s="26" t="s">
        <v>21</v>
      </c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</row>
    <row r="1086">
      <c r="A1086" s="14" t="s">
        <v>4095</v>
      </c>
      <c r="B1086" s="17" t="s">
        <v>4092</v>
      </c>
      <c r="C1086" s="17" t="s">
        <v>4096</v>
      </c>
      <c r="D1086" s="19" t="s">
        <v>171</v>
      </c>
      <c r="E1086" s="20" t="s">
        <v>4097</v>
      </c>
      <c r="F1086" s="21">
        <v>32331.0</v>
      </c>
      <c r="G1086" s="14">
        <f t="shared" si="1"/>
        <v>38</v>
      </c>
      <c r="H1086" s="23" t="s">
        <v>26</v>
      </c>
      <c r="I1086" s="24" t="s">
        <v>33</v>
      </c>
      <c r="J1086" s="19" t="s">
        <v>726</v>
      </c>
      <c r="K1086" s="14">
        <v>28.0</v>
      </c>
      <c r="L1086" s="14">
        <v>0.0</v>
      </c>
      <c r="M1086" s="25"/>
      <c r="N1086" s="26" t="s">
        <v>21</v>
      </c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</row>
    <row r="1087">
      <c r="A1087" s="14" t="s">
        <v>4101</v>
      </c>
      <c r="B1087" s="17" t="s">
        <v>4102</v>
      </c>
      <c r="C1087" s="17" t="s">
        <v>4103</v>
      </c>
      <c r="D1087" s="19" t="s">
        <v>4104</v>
      </c>
      <c r="E1087" s="20" t="s">
        <v>4105</v>
      </c>
      <c r="F1087" s="21">
        <v>34440.0</v>
      </c>
      <c r="G1087" s="14">
        <f t="shared" si="1"/>
        <v>32</v>
      </c>
      <c r="H1087" s="23" t="s">
        <v>26</v>
      </c>
      <c r="I1087" s="24" t="s">
        <v>33</v>
      </c>
      <c r="J1087" s="19" t="s">
        <v>68</v>
      </c>
      <c r="K1087" s="14">
        <v>10.0</v>
      </c>
      <c r="L1087" s="14">
        <v>0.0</v>
      </c>
      <c r="M1087" s="25"/>
      <c r="N1087" s="26" t="s">
        <v>21</v>
      </c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</row>
    <row r="1088">
      <c r="A1088" s="14" t="s">
        <v>4106</v>
      </c>
      <c r="B1088" s="17" t="s">
        <v>4102</v>
      </c>
      <c r="C1088" s="17" t="s">
        <v>4107</v>
      </c>
      <c r="D1088" s="19" t="s">
        <v>4108</v>
      </c>
      <c r="E1088" s="20" t="s">
        <v>391</v>
      </c>
      <c r="F1088" s="21">
        <v>35501.0</v>
      </c>
      <c r="G1088" s="14">
        <f t="shared" si="1"/>
        <v>29</v>
      </c>
      <c r="H1088" s="23" t="s">
        <v>26</v>
      </c>
      <c r="I1088" s="24" t="s">
        <v>27</v>
      </c>
      <c r="J1088" s="19" t="s">
        <v>68</v>
      </c>
      <c r="K1088" s="14">
        <v>10.0</v>
      </c>
      <c r="L1088" s="14">
        <v>0.0</v>
      </c>
      <c r="M1088" s="25"/>
      <c r="N1088" s="26" t="s">
        <v>21</v>
      </c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</row>
    <row r="1089">
      <c r="A1089" s="14" t="s">
        <v>4109</v>
      </c>
      <c r="B1089" s="17" t="s">
        <v>4110</v>
      </c>
      <c r="C1089" s="17" t="s">
        <v>4111</v>
      </c>
      <c r="D1089" s="19" t="s">
        <v>4112</v>
      </c>
      <c r="E1089" s="20" t="s">
        <v>138</v>
      </c>
      <c r="F1089" s="27">
        <v>36873.0</v>
      </c>
      <c r="G1089" s="14">
        <f t="shared" si="1"/>
        <v>25</v>
      </c>
      <c r="H1089" s="23" t="s">
        <v>26</v>
      </c>
      <c r="I1089" s="24" t="s">
        <v>27</v>
      </c>
      <c r="J1089" s="19" t="s">
        <v>282</v>
      </c>
      <c r="K1089" s="14">
        <v>14.0</v>
      </c>
      <c r="L1089" s="14">
        <v>0.0</v>
      </c>
      <c r="M1089" s="25"/>
      <c r="N1089" s="26" t="s">
        <v>21</v>
      </c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</row>
    <row r="1090">
      <c r="A1090" s="14" t="s">
        <v>4113</v>
      </c>
      <c r="B1090" s="17" t="s">
        <v>4110</v>
      </c>
      <c r="C1090" s="17" t="s">
        <v>4114</v>
      </c>
      <c r="D1090" s="19" t="s">
        <v>4115</v>
      </c>
      <c r="E1090" s="20" t="s">
        <v>138</v>
      </c>
      <c r="F1090" s="21">
        <v>36497.0</v>
      </c>
      <c r="G1090" s="14">
        <f t="shared" si="1"/>
        <v>26</v>
      </c>
      <c r="H1090" s="23" t="s">
        <v>26</v>
      </c>
      <c r="I1090" s="24" t="s">
        <v>33</v>
      </c>
      <c r="J1090" s="19" t="s">
        <v>282</v>
      </c>
      <c r="K1090" s="14">
        <v>14.0</v>
      </c>
      <c r="L1090" s="14">
        <v>0.0</v>
      </c>
      <c r="M1090" s="25"/>
      <c r="N1090" s="26" t="s">
        <v>21</v>
      </c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</row>
    <row r="1091">
      <c r="A1091" s="14" t="s">
        <v>4116</v>
      </c>
      <c r="B1091" s="17" t="s">
        <v>4117</v>
      </c>
      <c r="C1091" s="17" t="s">
        <v>4118</v>
      </c>
      <c r="D1091" s="19" t="s">
        <v>4119</v>
      </c>
      <c r="E1091" s="20" t="s">
        <v>104</v>
      </c>
      <c r="F1091" s="27">
        <v>29935.0</v>
      </c>
      <c r="G1091" s="14">
        <f t="shared" si="1"/>
        <v>44</v>
      </c>
      <c r="H1091" s="23" t="s">
        <v>26</v>
      </c>
      <c r="I1091" s="24" t="s">
        <v>27</v>
      </c>
      <c r="J1091" s="19" t="s">
        <v>206</v>
      </c>
      <c r="K1091" s="14">
        <v>4.0</v>
      </c>
      <c r="L1091" s="14">
        <v>0.0</v>
      </c>
      <c r="M1091" s="25"/>
      <c r="N1091" s="26" t="s">
        <v>21</v>
      </c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</row>
    <row r="1092">
      <c r="A1092" s="14" t="s">
        <v>4120</v>
      </c>
      <c r="B1092" s="17" t="s">
        <v>4117</v>
      </c>
      <c r="C1092" s="17" t="s">
        <v>4121</v>
      </c>
      <c r="D1092" s="19" t="s">
        <v>4122</v>
      </c>
      <c r="E1092" s="20" t="s">
        <v>53</v>
      </c>
      <c r="F1092" s="21">
        <v>37018.0</v>
      </c>
      <c r="G1092" s="14">
        <f t="shared" si="1"/>
        <v>25</v>
      </c>
      <c r="H1092" s="23" t="s">
        <v>100</v>
      </c>
      <c r="I1092" s="24" t="s">
        <v>33</v>
      </c>
      <c r="J1092" s="19" t="s">
        <v>206</v>
      </c>
      <c r="K1092" s="14">
        <v>4.0</v>
      </c>
      <c r="L1092" s="14">
        <v>0.0</v>
      </c>
      <c r="M1092" s="28" t="s">
        <v>4236</v>
      </c>
      <c r="N1092" s="26" t="s">
        <v>21</v>
      </c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</row>
    <row r="1093">
      <c r="A1093" s="14" t="s">
        <v>4123</v>
      </c>
      <c r="B1093" s="17" t="s">
        <v>4117</v>
      </c>
      <c r="C1093" s="17" t="s">
        <v>4124</v>
      </c>
      <c r="D1093" s="19" t="s">
        <v>4125</v>
      </c>
      <c r="E1093" s="20" t="s">
        <v>650</v>
      </c>
      <c r="F1093" s="21">
        <v>27923.0</v>
      </c>
      <c r="G1093" s="14">
        <f t="shared" si="1"/>
        <v>50</v>
      </c>
      <c r="H1093" s="23" t="s">
        <v>26</v>
      </c>
      <c r="I1093" s="24" t="s">
        <v>33</v>
      </c>
      <c r="J1093" s="19" t="s">
        <v>53</v>
      </c>
      <c r="K1093" s="14">
        <v>4.0</v>
      </c>
      <c r="L1093" s="14">
        <v>0.0</v>
      </c>
      <c r="M1093" s="25"/>
      <c r="N1093" s="26" t="s">
        <v>21</v>
      </c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</row>
    <row r="1094">
      <c r="A1094" s="14" t="s">
        <v>4126</v>
      </c>
      <c r="B1094" s="17" t="s">
        <v>4127</v>
      </c>
      <c r="C1094" s="17" t="s">
        <v>4128</v>
      </c>
      <c r="D1094" s="19" t="s">
        <v>4129</v>
      </c>
      <c r="E1094" s="20" t="s">
        <v>104</v>
      </c>
      <c r="F1094" s="27">
        <v>36152.0</v>
      </c>
      <c r="G1094" s="14">
        <f t="shared" si="1"/>
        <v>27</v>
      </c>
      <c r="H1094" s="23" t="s">
        <v>100</v>
      </c>
      <c r="I1094" s="24" t="s">
        <v>27</v>
      </c>
      <c r="J1094" s="19" t="s">
        <v>2019</v>
      </c>
      <c r="K1094" s="14">
        <v>4.0</v>
      </c>
      <c r="L1094" s="14">
        <v>0.0</v>
      </c>
      <c r="M1094" s="25"/>
      <c r="N1094" s="26" t="s">
        <v>21</v>
      </c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</row>
    <row r="1095">
      <c r="A1095" s="14" t="s">
        <v>4130</v>
      </c>
      <c r="B1095" s="17" t="s">
        <v>4127</v>
      </c>
      <c r="C1095" s="17" t="s">
        <v>4131</v>
      </c>
      <c r="D1095" s="19" t="s">
        <v>1308</v>
      </c>
      <c r="E1095" s="20" t="s">
        <v>650</v>
      </c>
      <c r="F1095" s="21">
        <v>28323.0</v>
      </c>
      <c r="G1095" s="14">
        <f t="shared" si="1"/>
        <v>49</v>
      </c>
      <c r="H1095" s="23" t="s">
        <v>26</v>
      </c>
      <c r="I1095" s="24" t="s">
        <v>33</v>
      </c>
      <c r="J1095" s="19" t="s">
        <v>2019</v>
      </c>
      <c r="K1095" s="14">
        <v>4.0</v>
      </c>
      <c r="L1095" s="14">
        <v>0.0</v>
      </c>
      <c r="M1095" s="25"/>
      <c r="N1095" s="26" t="s">
        <v>21</v>
      </c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</row>
    <row r="1096">
      <c r="A1096" s="14" t="s">
        <v>4132</v>
      </c>
      <c r="B1096" s="17" t="s">
        <v>4127</v>
      </c>
      <c r="C1096" s="17" t="s">
        <v>4133</v>
      </c>
      <c r="D1096" s="19" t="s">
        <v>4134</v>
      </c>
      <c r="E1096" s="20" t="s">
        <v>104</v>
      </c>
      <c r="F1096" s="21">
        <v>29419.0</v>
      </c>
      <c r="G1096" s="14">
        <f t="shared" si="1"/>
        <v>46</v>
      </c>
      <c r="H1096" s="23" t="s">
        <v>26</v>
      </c>
      <c r="I1096" s="24" t="s">
        <v>27</v>
      </c>
      <c r="J1096" s="19" t="s">
        <v>2019</v>
      </c>
      <c r="K1096" s="14">
        <v>4.0</v>
      </c>
      <c r="L1096" s="14">
        <v>0.0</v>
      </c>
      <c r="M1096" s="25"/>
      <c r="N1096" s="26" t="s">
        <v>21</v>
      </c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</row>
    <row r="1097">
      <c r="A1097" s="14" t="s">
        <v>4135</v>
      </c>
      <c r="B1097" s="17" t="s">
        <v>4136</v>
      </c>
      <c r="C1097" s="17" t="s">
        <v>4137</v>
      </c>
      <c r="D1097" s="19" t="s">
        <v>4138</v>
      </c>
      <c r="E1097" s="20" t="s">
        <v>104</v>
      </c>
      <c r="F1097" s="27">
        <v>37942.0</v>
      </c>
      <c r="G1097" s="14">
        <f t="shared" si="1"/>
        <v>22</v>
      </c>
      <c r="H1097" s="23" t="s">
        <v>100</v>
      </c>
      <c r="I1097" s="24" t="s">
        <v>27</v>
      </c>
      <c r="J1097" s="19" t="s">
        <v>4139</v>
      </c>
      <c r="K1097" s="14">
        <v>5.0</v>
      </c>
      <c r="L1097" s="14">
        <v>0.0</v>
      </c>
      <c r="M1097" s="25"/>
      <c r="N1097" s="26" t="s">
        <v>21</v>
      </c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</row>
    <row r="1098">
      <c r="A1098" s="14" t="s">
        <v>4140</v>
      </c>
      <c r="B1098" s="17" t="s">
        <v>4136</v>
      </c>
      <c r="C1098" s="17" t="s">
        <v>4141</v>
      </c>
      <c r="D1098" s="19" t="s">
        <v>4142</v>
      </c>
      <c r="E1098" s="20" t="s">
        <v>650</v>
      </c>
      <c r="F1098" s="21">
        <v>21227.0</v>
      </c>
      <c r="G1098" s="14">
        <f t="shared" si="1"/>
        <v>68</v>
      </c>
      <c r="H1098" s="23" t="s">
        <v>26</v>
      </c>
      <c r="I1098" s="24" t="s">
        <v>33</v>
      </c>
      <c r="J1098" s="19" t="s">
        <v>4139</v>
      </c>
      <c r="K1098" s="14">
        <v>5.0</v>
      </c>
      <c r="L1098" s="14">
        <v>1.0</v>
      </c>
      <c r="M1098" s="25"/>
      <c r="N1098" s="26" t="s">
        <v>21</v>
      </c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</row>
    <row r="1099">
      <c r="A1099" s="14" t="s">
        <v>4143</v>
      </c>
      <c r="B1099" s="17" t="s">
        <v>4136</v>
      </c>
      <c r="C1099" s="17" t="s">
        <v>4144</v>
      </c>
      <c r="D1099" s="19" t="s">
        <v>4145</v>
      </c>
      <c r="E1099" s="20" t="s">
        <v>650</v>
      </c>
      <c r="F1099" s="21">
        <v>23899.0</v>
      </c>
      <c r="G1099" s="14">
        <f t="shared" si="1"/>
        <v>61</v>
      </c>
      <c r="H1099" s="23" t="s">
        <v>26</v>
      </c>
      <c r="I1099" s="24" t="s">
        <v>27</v>
      </c>
      <c r="J1099" s="19" t="s">
        <v>4139</v>
      </c>
      <c r="K1099" s="14">
        <v>5.0</v>
      </c>
      <c r="L1099" s="14">
        <v>0.0</v>
      </c>
      <c r="M1099" s="25"/>
      <c r="N1099" s="26" t="s">
        <v>21</v>
      </c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</row>
    <row r="1100">
      <c r="A1100" s="14" t="s">
        <v>4146</v>
      </c>
      <c r="B1100" s="17" t="s">
        <v>4147</v>
      </c>
      <c r="C1100" s="17" t="s">
        <v>4148</v>
      </c>
      <c r="D1100" s="19" t="s">
        <v>4149</v>
      </c>
      <c r="E1100" s="20" t="s">
        <v>650</v>
      </c>
      <c r="F1100" s="21">
        <v>26862.0</v>
      </c>
      <c r="G1100" s="14">
        <f t="shared" si="1"/>
        <v>53</v>
      </c>
      <c r="H1100" s="23" t="s">
        <v>26</v>
      </c>
      <c r="I1100" s="24" t="s">
        <v>27</v>
      </c>
      <c r="J1100" s="19" t="s">
        <v>2019</v>
      </c>
      <c r="K1100" s="14">
        <v>4.0</v>
      </c>
      <c r="L1100" s="14">
        <v>0.0</v>
      </c>
      <c r="M1100" s="25"/>
      <c r="N1100" s="26" t="s">
        <v>21</v>
      </c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</row>
    <row r="1101">
      <c r="A1101" s="14" t="s">
        <v>4150</v>
      </c>
      <c r="B1101" s="17" t="s">
        <v>4147</v>
      </c>
      <c r="C1101" s="17" t="s">
        <v>4151</v>
      </c>
      <c r="D1101" s="19" t="s">
        <v>4152</v>
      </c>
      <c r="E1101" s="20" t="s">
        <v>650</v>
      </c>
      <c r="F1101" s="21">
        <v>24995.0</v>
      </c>
      <c r="G1101" s="14">
        <f t="shared" si="1"/>
        <v>58</v>
      </c>
      <c r="H1101" s="23" t="s">
        <v>26</v>
      </c>
      <c r="I1101" s="24" t="s">
        <v>33</v>
      </c>
      <c r="J1101" s="19" t="s">
        <v>2019</v>
      </c>
      <c r="K1101" s="14">
        <v>4.0</v>
      </c>
      <c r="L1101" s="14">
        <v>0.0</v>
      </c>
      <c r="M1101" s="25"/>
      <c r="N1101" s="26" t="s">
        <v>21</v>
      </c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</row>
    <row r="1102">
      <c r="A1102" s="14" t="s">
        <v>4153</v>
      </c>
      <c r="B1102" s="17" t="s">
        <v>4154</v>
      </c>
      <c r="C1102" s="17" t="s">
        <v>4155</v>
      </c>
      <c r="D1102" s="19" t="s">
        <v>4156</v>
      </c>
      <c r="E1102" s="20" t="s">
        <v>650</v>
      </c>
      <c r="F1102" s="21">
        <v>15539.0</v>
      </c>
      <c r="G1102" s="14">
        <f t="shared" si="1"/>
        <v>84</v>
      </c>
      <c r="H1102" s="23" t="s">
        <v>27</v>
      </c>
      <c r="I1102" s="24" t="s">
        <v>27</v>
      </c>
      <c r="J1102" s="19" t="s">
        <v>206</v>
      </c>
      <c r="K1102" s="14">
        <v>4.0</v>
      </c>
      <c r="L1102" s="14">
        <v>0.0</v>
      </c>
      <c r="M1102" s="25"/>
      <c r="N1102" s="26" t="s">
        <v>21</v>
      </c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</row>
    <row r="1103">
      <c r="A1103" s="14" t="s">
        <v>4157</v>
      </c>
      <c r="B1103" s="17" t="s">
        <v>4158</v>
      </c>
      <c r="C1103" s="17" t="s">
        <v>4159</v>
      </c>
      <c r="D1103" s="19" t="s">
        <v>4160</v>
      </c>
      <c r="E1103" s="20" t="s">
        <v>85</v>
      </c>
      <c r="F1103" s="21">
        <v>36672.0</v>
      </c>
      <c r="G1103" s="14">
        <f t="shared" si="1"/>
        <v>26</v>
      </c>
      <c r="H1103" s="23" t="s">
        <v>26</v>
      </c>
      <c r="I1103" s="24" t="s">
        <v>27</v>
      </c>
      <c r="J1103" s="19" t="s">
        <v>146</v>
      </c>
      <c r="K1103" s="14">
        <v>4.0</v>
      </c>
      <c r="L1103" s="14">
        <v>0.0</v>
      </c>
      <c r="M1103" s="25"/>
      <c r="N1103" s="26" t="s">
        <v>21</v>
      </c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</row>
    <row r="1104">
      <c r="A1104" s="14" t="s">
        <v>4161</v>
      </c>
      <c r="B1104" s="17" t="s">
        <v>4158</v>
      </c>
      <c r="C1104" s="17" t="s">
        <v>4162</v>
      </c>
      <c r="D1104" s="19" t="s">
        <v>4163</v>
      </c>
      <c r="E1104" s="20" t="s">
        <v>337</v>
      </c>
      <c r="F1104" s="21">
        <v>33058.0</v>
      </c>
      <c r="G1104" s="14">
        <f t="shared" si="1"/>
        <v>36</v>
      </c>
      <c r="H1104" s="23" t="s">
        <v>26</v>
      </c>
      <c r="I1104" s="24" t="s">
        <v>33</v>
      </c>
      <c r="J1104" s="19" t="s">
        <v>146</v>
      </c>
      <c r="K1104" s="14">
        <v>4.0</v>
      </c>
      <c r="L1104" s="14">
        <v>0.0</v>
      </c>
      <c r="M1104" s="25"/>
      <c r="N1104" s="26" t="s">
        <v>21</v>
      </c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</row>
    <row r="1105">
      <c r="A1105" s="14" t="s">
        <v>4164</v>
      </c>
      <c r="B1105" s="17" t="s">
        <v>4165</v>
      </c>
      <c r="C1105" s="17" t="s">
        <v>4166</v>
      </c>
      <c r="D1105" s="19" t="s">
        <v>4167</v>
      </c>
      <c r="E1105" s="20" t="s">
        <v>274</v>
      </c>
      <c r="F1105" s="21">
        <v>33131.0</v>
      </c>
      <c r="G1105" s="14">
        <f t="shared" si="1"/>
        <v>36</v>
      </c>
      <c r="H1105" s="23" t="s">
        <v>26</v>
      </c>
      <c r="I1105" s="24" t="s">
        <v>33</v>
      </c>
      <c r="J1105" s="19" t="s">
        <v>146</v>
      </c>
      <c r="K1105" s="14">
        <v>3.0</v>
      </c>
      <c r="L1105" s="14">
        <v>0.0</v>
      </c>
      <c r="M1105" s="25"/>
      <c r="N1105" s="26" t="s">
        <v>21</v>
      </c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</row>
    <row r="1106">
      <c r="A1106" s="14" t="s">
        <v>4168</v>
      </c>
      <c r="B1106" s="17" t="s">
        <v>4165</v>
      </c>
      <c r="C1106" s="17" t="s">
        <v>4169</v>
      </c>
      <c r="D1106" s="19" t="s">
        <v>4170</v>
      </c>
      <c r="E1106" s="20" t="s">
        <v>1346</v>
      </c>
      <c r="F1106" s="21">
        <v>34232.0</v>
      </c>
      <c r="G1106" s="14">
        <f t="shared" si="1"/>
        <v>33</v>
      </c>
      <c r="H1106" s="23" t="s">
        <v>26</v>
      </c>
      <c r="I1106" s="24" t="s">
        <v>27</v>
      </c>
      <c r="J1106" s="19" t="s">
        <v>146</v>
      </c>
      <c r="K1106" s="14">
        <v>3.0</v>
      </c>
      <c r="L1106" s="14">
        <v>0.0</v>
      </c>
      <c r="M1106" s="25"/>
      <c r="N1106" s="26" t="s">
        <v>21</v>
      </c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</row>
    <row r="1107">
      <c r="A1107" s="14" t="s">
        <v>4171</v>
      </c>
      <c r="B1107" s="17" t="s">
        <v>4172</v>
      </c>
      <c r="C1107" s="17" t="s">
        <v>4173</v>
      </c>
      <c r="D1107" s="19" t="s">
        <v>4174</v>
      </c>
      <c r="E1107" s="20" t="s">
        <v>4175</v>
      </c>
      <c r="F1107" s="21">
        <v>23989.0</v>
      </c>
      <c r="G1107" s="14">
        <f t="shared" si="1"/>
        <v>61</v>
      </c>
      <c r="H1107" s="23" t="s">
        <v>27</v>
      </c>
      <c r="I1107" s="24" t="s">
        <v>27</v>
      </c>
      <c r="J1107" s="19" t="s">
        <v>53</v>
      </c>
      <c r="K1107" s="14">
        <v>16.0</v>
      </c>
      <c r="L1107" s="14">
        <v>0.0</v>
      </c>
      <c r="M1107" s="25"/>
      <c r="N1107" s="26" t="s">
        <v>21</v>
      </c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</row>
    <row r="1108">
      <c r="A1108" s="14" t="s">
        <v>4176</v>
      </c>
      <c r="B1108" s="17" t="s">
        <v>4177</v>
      </c>
      <c r="C1108" s="17" t="s">
        <v>4178</v>
      </c>
      <c r="D1108" s="19" t="s">
        <v>4179</v>
      </c>
      <c r="E1108" s="20" t="s">
        <v>1291</v>
      </c>
      <c r="F1108" s="21">
        <v>18411.0</v>
      </c>
      <c r="G1108" s="14">
        <f t="shared" si="1"/>
        <v>76</v>
      </c>
      <c r="H1108" s="23" t="s">
        <v>26</v>
      </c>
      <c r="I1108" s="24" t="s">
        <v>33</v>
      </c>
      <c r="J1108" s="19" t="s">
        <v>328</v>
      </c>
      <c r="K1108" s="14">
        <v>25.0</v>
      </c>
      <c r="L1108" s="14">
        <v>0.0</v>
      </c>
      <c r="M1108" s="25"/>
      <c r="N1108" s="26" t="s">
        <v>21</v>
      </c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</row>
    <row r="1109">
      <c r="A1109" s="14" t="s">
        <v>4180</v>
      </c>
      <c r="B1109" s="17" t="s">
        <v>4177</v>
      </c>
      <c r="C1109" s="17" t="s">
        <v>4181</v>
      </c>
      <c r="D1109" s="19" t="s">
        <v>4182</v>
      </c>
      <c r="E1109" s="20" t="s">
        <v>1291</v>
      </c>
      <c r="F1109" s="21">
        <v>21367.0</v>
      </c>
      <c r="G1109" s="14">
        <f t="shared" si="1"/>
        <v>68</v>
      </c>
      <c r="H1109" s="23" t="s">
        <v>26</v>
      </c>
      <c r="I1109" s="24" t="s">
        <v>27</v>
      </c>
      <c r="J1109" s="19" t="s">
        <v>328</v>
      </c>
      <c r="K1109" s="14">
        <v>25.0</v>
      </c>
      <c r="L1109" s="14">
        <v>0.0</v>
      </c>
      <c r="M1109" s="25"/>
      <c r="N1109" s="26" t="s">
        <v>21</v>
      </c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</row>
    <row r="1110">
      <c r="A1110" s="14" t="s">
        <v>4183</v>
      </c>
      <c r="B1110" s="17" t="s">
        <v>4184</v>
      </c>
      <c r="C1110" s="17" t="s">
        <v>4185</v>
      </c>
      <c r="D1110" s="19" t="s">
        <v>4186</v>
      </c>
      <c r="E1110" s="20" t="s">
        <v>1786</v>
      </c>
      <c r="F1110" s="21">
        <v>21636.0</v>
      </c>
      <c r="G1110" s="14">
        <f t="shared" si="1"/>
        <v>67</v>
      </c>
      <c r="H1110" s="23" t="s">
        <v>26</v>
      </c>
      <c r="I1110" s="24" t="s">
        <v>27</v>
      </c>
      <c r="J1110" s="19" t="s">
        <v>257</v>
      </c>
      <c r="K1110" s="14">
        <v>15.0</v>
      </c>
      <c r="L1110" s="14">
        <v>0.0</v>
      </c>
      <c r="M1110" s="25"/>
      <c r="N1110" s="26" t="s">
        <v>21</v>
      </c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</row>
    <row r="1111">
      <c r="A1111" s="14" t="s">
        <v>4187</v>
      </c>
      <c r="B1111" s="17" t="s">
        <v>4184</v>
      </c>
      <c r="C1111" s="17" t="s">
        <v>4188</v>
      </c>
      <c r="D1111" s="19" t="s">
        <v>4189</v>
      </c>
      <c r="E1111" s="20" t="s">
        <v>1786</v>
      </c>
      <c r="F1111" s="21">
        <v>22693.0</v>
      </c>
      <c r="G1111" s="14">
        <f t="shared" si="1"/>
        <v>64</v>
      </c>
      <c r="H1111" s="23" t="s">
        <v>26</v>
      </c>
      <c r="I1111" s="24" t="s">
        <v>33</v>
      </c>
      <c r="J1111" s="19" t="s">
        <v>257</v>
      </c>
      <c r="K1111" s="14">
        <v>15.0</v>
      </c>
      <c r="L1111" s="14">
        <v>1.0</v>
      </c>
      <c r="M1111" s="25"/>
      <c r="N1111" s="26" t="s">
        <v>21</v>
      </c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</row>
    <row r="1112">
      <c r="A1112" s="14" t="s">
        <v>4190</v>
      </c>
      <c r="B1112" s="17" t="s">
        <v>4184</v>
      </c>
      <c r="C1112" s="17" t="s">
        <v>4191</v>
      </c>
      <c r="D1112" s="19" t="s">
        <v>4192</v>
      </c>
      <c r="E1112" s="20" t="s">
        <v>1786</v>
      </c>
      <c r="F1112" s="21">
        <v>22533.0</v>
      </c>
      <c r="G1112" s="14">
        <f t="shared" si="1"/>
        <v>65</v>
      </c>
      <c r="H1112" s="23" t="s">
        <v>100</v>
      </c>
      <c r="I1112" s="24" t="s">
        <v>33</v>
      </c>
      <c r="J1112" s="19" t="s">
        <v>257</v>
      </c>
      <c r="K1112" s="14">
        <v>15.0</v>
      </c>
      <c r="L1112" s="14">
        <v>0.0</v>
      </c>
      <c r="M1112" s="25"/>
      <c r="N1112" s="26" t="s">
        <v>21</v>
      </c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</row>
    <row r="1113">
      <c r="A1113" s="14" t="s">
        <v>4193</v>
      </c>
      <c r="B1113" s="17" t="s">
        <v>4194</v>
      </c>
      <c r="C1113" s="17" t="s">
        <v>4195</v>
      </c>
      <c r="D1113" s="19" t="s">
        <v>4196</v>
      </c>
      <c r="E1113" s="20" t="s">
        <v>4197</v>
      </c>
      <c r="F1113" s="27">
        <v>32094.0</v>
      </c>
      <c r="G1113" s="14">
        <f t="shared" si="1"/>
        <v>38</v>
      </c>
      <c r="H1113" s="23" t="s">
        <v>26</v>
      </c>
      <c r="I1113" s="24" t="s">
        <v>33</v>
      </c>
      <c r="J1113" s="19" t="s">
        <v>726</v>
      </c>
      <c r="K1113" s="14">
        <v>18.0</v>
      </c>
      <c r="L1113" s="14">
        <v>0.0</v>
      </c>
      <c r="M1113" s="25"/>
      <c r="N1113" s="26" t="s">
        <v>21</v>
      </c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</row>
    <row r="1114">
      <c r="A1114" s="14" t="s">
        <v>4198</v>
      </c>
      <c r="B1114" s="17" t="s">
        <v>4194</v>
      </c>
      <c r="C1114" s="17" t="s">
        <v>4199</v>
      </c>
      <c r="D1114" s="19" t="s">
        <v>4200</v>
      </c>
      <c r="E1114" s="20" t="s">
        <v>491</v>
      </c>
      <c r="F1114" s="21">
        <v>34676.0</v>
      </c>
      <c r="G1114" s="14">
        <f t="shared" si="1"/>
        <v>31</v>
      </c>
      <c r="H1114" s="23" t="s">
        <v>26</v>
      </c>
      <c r="I1114" s="24" t="s">
        <v>27</v>
      </c>
      <c r="J1114" s="19" t="s">
        <v>726</v>
      </c>
      <c r="K1114" s="14">
        <v>18.0</v>
      </c>
      <c r="L1114" s="14">
        <v>0.0</v>
      </c>
      <c r="M1114" s="25"/>
      <c r="N1114" s="26" t="s">
        <v>21</v>
      </c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</row>
    <row r="1115">
      <c r="A1115" s="14" t="s">
        <v>4201</v>
      </c>
      <c r="B1115" s="17" t="s">
        <v>4202</v>
      </c>
      <c r="C1115" s="17" t="s">
        <v>4203</v>
      </c>
      <c r="D1115" s="19" t="s">
        <v>4204</v>
      </c>
      <c r="E1115" s="20" t="s">
        <v>104</v>
      </c>
      <c r="F1115" s="21">
        <v>34161.0</v>
      </c>
      <c r="G1115" s="14">
        <f t="shared" si="1"/>
        <v>33</v>
      </c>
      <c r="H1115" s="23" t="s">
        <v>26</v>
      </c>
      <c r="I1115" s="24" t="s">
        <v>27</v>
      </c>
      <c r="J1115" s="19" t="s">
        <v>328</v>
      </c>
      <c r="K1115" s="14">
        <v>25.0</v>
      </c>
      <c r="L1115" s="14">
        <v>0.0</v>
      </c>
      <c r="M1115" s="25"/>
      <c r="N1115" s="26" t="s">
        <v>21</v>
      </c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</row>
    <row r="1116">
      <c r="A1116" s="14" t="s">
        <v>4205</v>
      </c>
      <c r="B1116" s="17" t="s">
        <v>4202</v>
      </c>
      <c r="C1116" s="17" t="s">
        <v>4206</v>
      </c>
      <c r="D1116" s="19" t="s">
        <v>4207</v>
      </c>
      <c r="E1116" s="20" t="s">
        <v>104</v>
      </c>
      <c r="F1116" s="27">
        <v>33173.0</v>
      </c>
      <c r="G1116" s="14">
        <f t="shared" si="1"/>
        <v>36</v>
      </c>
      <c r="H1116" s="23" t="s">
        <v>26</v>
      </c>
      <c r="I1116" s="24" t="s">
        <v>33</v>
      </c>
      <c r="J1116" s="19" t="s">
        <v>328</v>
      </c>
      <c r="K1116" s="14">
        <v>25.0</v>
      </c>
      <c r="L1116" s="14">
        <v>0.0</v>
      </c>
      <c r="M1116" s="25"/>
      <c r="N1116" s="26" t="s">
        <v>21</v>
      </c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</row>
    <row r="1117">
      <c r="A1117" s="14" t="s">
        <v>4208</v>
      </c>
      <c r="B1117" s="17" t="s">
        <v>4209</v>
      </c>
      <c r="C1117" s="17" t="s">
        <v>4210</v>
      </c>
      <c r="D1117" s="19" t="s">
        <v>4211</v>
      </c>
      <c r="E1117" s="20" t="s">
        <v>53</v>
      </c>
      <c r="F1117" s="21">
        <v>36533.0</v>
      </c>
      <c r="G1117" s="14">
        <f t="shared" si="1"/>
        <v>26</v>
      </c>
      <c r="H1117" s="23" t="s">
        <v>26</v>
      </c>
      <c r="I1117" s="24" t="s">
        <v>27</v>
      </c>
      <c r="J1117" s="19" t="s">
        <v>58</v>
      </c>
      <c r="K1117" s="14">
        <v>6.0</v>
      </c>
      <c r="L1117" s="14">
        <v>0.0</v>
      </c>
      <c r="M1117" s="25"/>
      <c r="N1117" s="26" t="s">
        <v>21</v>
      </c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</row>
    <row r="1118">
      <c r="A1118" s="14" t="s">
        <v>4212</v>
      </c>
      <c r="B1118" s="17" t="s">
        <v>4209</v>
      </c>
      <c r="C1118" s="17" t="s">
        <v>4213</v>
      </c>
      <c r="D1118" s="19" t="s">
        <v>4214</v>
      </c>
      <c r="E1118" s="20" t="s">
        <v>104</v>
      </c>
      <c r="F1118" s="21">
        <v>33976.0</v>
      </c>
      <c r="G1118" s="14">
        <f t="shared" si="1"/>
        <v>33</v>
      </c>
      <c r="H1118" s="23" t="s">
        <v>26</v>
      </c>
      <c r="I1118" s="24" t="s">
        <v>33</v>
      </c>
      <c r="J1118" s="19" t="s">
        <v>58</v>
      </c>
      <c r="K1118" s="14">
        <v>6.0</v>
      </c>
      <c r="L1118" s="14">
        <v>0.0</v>
      </c>
      <c r="M1118" s="25"/>
      <c r="N1118" s="26" t="s">
        <v>21</v>
      </c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</row>
    <row r="1119">
      <c r="A1119" s="14" t="s">
        <v>4215</v>
      </c>
      <c r="B1119" s="17" t="s">
        <v>4289</v>
      </c>
      <c r="C1119" s="17" t="s">
        <v>4217</v>
      </c>
      <c r="D1119" s="19" t="s">
        <v>4218</v>
      </c>
      <c r="E1119" s="20" t="s">
        <v>53</v>
      </c>
      <c r="F1119" s="21">
        <v>37277.0</v>
      </c>
      <c r="G1119" s="14">
        <f t="shared" si="1"/>
        <v>24</v>
      </c>
      <c r="H1119" s="23" t="s">
        <v>26</v>
      </c>
      <c r="I1119" s="24" t="s">
        <v>27</v>
      </c>
      <c r="J1119" s="19" t="s">
        <v>206</v>
      </c>
      <c r="K1119" s="14">
        <v>1.0</v>
      </c>
      <c r="L1119" s="14">
        <v>0.0</v>
      </c>
      <c r="M1119" s="25"/>
      <c r="N1119" s="26" t="s">
        <v>21</v>
      </c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</row>
    <row r="1120">
      <c r="A1120" s="14" t="s">
        <v>4219</v>
      </c>
      <c r="B1120" s="17" t="s">
        <v>4216</v>
      </c>
      <c r="C1120" s="17" t="s">
        <v>4220</v>
      </c>
      <c r="D1120" s="19" t="s">
        <v>2636</v>
      </c>
      <c r="E1120" s="20" t="s">
        <v>4221</v>
      </c>
      <c r="F1120" s="21">
        <v>23958.0</v>
      </c>
      <c r="G1120" s="14">
        <f t="shared" si="1"/>
        <v>61</v>
      </c>
      <c r="H1120" s="23" t="s">
        <v>26</v>
      </c>
      <c r="I1120" s="24" t="s">
        <v>33</v>
      </c>
      <c r="J1120" s="19" t="s">
        <v>206</v>
      </c>
      <c r="K1120" s="14">
        <v>1.0</v>
      </c>
      <c r="L1120" s="14">
        <v>0.0</v>
      </c>
      <c r="M1120" s="25"/>
      <c r="N1120" s="26" t="s">
        <v>21</v>
      </c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</row>
    <row r="1121">
      <c r="A1121" s="14" t="s">
        <v>4222</v>
      </c>
      <c r="B1121" s="17" t="s">
        <v>4216</v>
      </c>
      <c r="C1121" s="17" t="s">
        <v>4223</v>
      </c>
      <c r="D1121" s="19" t="s">
        <v>4224</v>
      </c>
      <c r="E1121" s="20" t="s">
        <v>434</v>
      </c>
      <c r="F1121" s="21">
        <v>25847.0</v>
      </c>
      <c r="G1121" s="14">
        <f t="shared" si="1"/>
        <v>56</v>
      </c>
      <c r="H1121" s="23" t="s">
        <v>26</v>
      </c>
      <c r="I1121" s="24" t="s">
        <v>27</v>
      </c>
      <c r="J1121" s="19" t="s">
        <v>206</v>
      </c>
      <c r="K1121" s="14">
        <v>1.0</v>
      </c>
      <c r="L1121" s="14">
        <v>0.0</v>
      </c>
      <c r="M1121" s="25"/>
      <c r="N1121" s="26" t="s">
        <v>21</v>
      </c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</row>
    <row r="1122">
      <c r="A1122" s="14" t="s">
        <v>4225</v>
      </c>
      <c r="B1122" s="17" t="s">
        <v>4226</v>
      </c>
      <c r="C1122" s="17" t="s">
        <v>4227</v>
      </c>
      <c r="D1122" s="19" t="s">
        <v>4228</v>
      </c>
      <c r="E1122" s="20" t="s">
        <v>104</v>
      </c>
      <c r="F1122" s="21">
        <v>29649.0</v>
      </c>
      <c r="G1122" s="14">
        <f t="shared" si="1"/>
        <v>45</v>
      </c>
      <c r="H1122" s="23" t="s">
        <v>26</v>
      </c>
      <c r="I1122" s="24" t="s">
        <v>33</v>
      </c>
      <c r="J1122" s="19" t="s">
        <v>328</v>
      </c>
      <c r="K1122" s="14">
        <v>21.0</v>
      </c>
      <c r="L1122" s="14">
        <v>0.0</v>
      </c>
      <c r="M1122" s="25"/>
      <c r="N1122" s="26" t="s">
        <v>21</v>
      </c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</row>
    <row r="1123">
      <c r="A1123" s="14" t="s">
        <v>4229</v>
      </c>
      <c r="B1123" s="17" t="s">
        <v>4226</v>
      </c>
      <c r="C1123" s="17" t="s">
        <v>4230</v>
      </c>
      <c r="D1123" s="19" t="s">
        <v>2074</v>
      </c>
      <c r="E1123" s="20" t="s">
        <v>104</v>
      </c>
      <c r="F1123" s="21">
        <v>31304.0</v>
      </c>
      <c r="G1123" s="14">
        <f t="shared" si="1"/>
        <v>41</v>
      </c>
      <c r="H1123" s="23" t="s">
        <v>26</v>
      </c>
      <c r="I1123" s="24" t="s">
        <v>27</v>
      </c>
      <c r="J1123" s="19" t="s">
        <v>4231</v>
      </c>
      <c r="K1123" s="14">
        <v>20.0</v>
      </c>
      <c r="L1123" s="14">
        <v>0.0</v>
      </c>
      <c r="M1123" s="25"/>
      <c r="N1123" s="26" t="s">
        <v>21</v>
      </c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</row>
    <row r="1124">
      <c r="A1124" s="14" t="s">
        <v>4232</v>
      </c>
      <c r="B1124" s="17" t="s">
        <v>4306</v>
      </c>
      <c r="C1124" s="17" t="s">
        <v>4234</v>
      </c>
      <c r="D1124" s="19" t="s">
        <v>4235</v>
      </c>
      <c r="E1124" s="20" t="s">
        <v>104</v>
      </c>
      <c r="F1124" s="21">
        <v>36894.0</v>
      </c>
      <c r="G1124" s="14">
        <f t="shared" si="1"/>
        <v>25</v>
      </c>
      <c r="H1124" s="23" t="s">
        <v>100</v>
      </c>
      <c r="I1124" s="24" t="s">
        <v>33</v>
      </c>
      <c r="J1124" s="19" t="s">
        <v>4237</v>
      </c>
      <c r="K1124" s="14">
        <v>1.0</v>
      </c>
      <c r="L1124" s="14">
        <v>5.0</v>
      </c>
      <c r="M1124" s="25"/>
      <c r="N1124" s="26" t="s">
        <v>21</v>
      </c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</row>
    <row r="1125">
      <c r="A1125" s="14" t="s">
        <v>4238</v>
      </c>
      <c r="B1125" s="17" t="s">
        <v>4233</v>
      </c>
      <c r="C1125" s="17" t="s">
        <v>4239</v>
      </c>
      <c r="D1125" s="19" t="s">
        <v>4240</v>
      </c>
      <c r="E1125" s="20" t="s">
        <v>104</v>
      </c>
      <c r="F1125" s="21">
        <v>28072.0</v>
      </c>
      <c r="G1125" s="14">
        <f t="shared" si="1"/>
        <v>49</v>
      </c>
      <c r="H1125" s="23" t="s">
        <v>26</v>
      </c>
      <c r="I1125" s="24" t="s">
        <v>33</v>
      </c>
      <c r="J1125" s="19" t="s">
        <v>4237</v>
      </c>
      <c r="K1125" s="14">
        <v>1.0</v>
      </c>
      <c r="L1125" s="14">
        <v>0.0</v>
      </c>
      <c r="M1125" s="25"/>
      <c r="N1125" s="26" t="s">
        <v>21</v>
      </c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</row>
    <row r="1126">
      <c r="A1126" s="14" t="s">
        <v>4241</v>
      </c>
      <c r="B1126" s="17" t="s">
        <v>4233</v>
      </c>
      <c r="C1126" s="17" t="s">
        <v>4242</v>
      </c>
      <c r="D1126" s="19" t="s">
        <v>4243</v>
      </c>
      <c r="E1126" s="20" t="s">
        <v>3210</v>
      </c>
      <c r="F1126" s="21">
        <v>28312.0</v>
      </c>
      <c r="G1126" s="14">
        <f t="shared" si="1"/>
        <v>49</v>
      </c>
      <c r="H1126" s="23" t="s">
        <v>26</v>
      </c>
      <c r="I1126" s="24" t="s">
        <v>27</v>
      </c>
      <c r="J1126" s="19" t="s">
        <v>4237</v>
      </c>
      <c r="K1126" s="14">
        <v>1.0</v>
      </c>
      <c r="L1126" s="14">
        <v>0.0</v>
      </c>
      <c r="M1126" s="25"/>
      <c r="N1126" s="26" t="s">
        <v>21</v>
      </c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</row>
    <row r="1127">
      <c r="A1127" s="14" t="s">
        <v>4244</v>
      </c>
      <c r="B1127" s="17" t="s">
        <v>4233</v>
      </c>
      <c r="C1127" s="17" t="s">
        <v>4245</v>
      </c>
      <c r="D1127" s="19" t="s">
        <v>4246</v>
      </c>
      <c r="E1127" s="20" t="s">
        <v>104</v>
      </c>
      <c r="F1127" s="21">
        <v>36402.0</v>
      </c>
      <c r="G1127" s="14">
        <f t="shared" si="1"/>
        <v>27</v>
      </c>
      <c r="H1127" s="23" t="s">
        <v>100</v>
      </c>
      <c r="I1127" s="24" t="s">
        <v>27</v>
      </c>
      <c r="J1127" s="19" t="s">
        <v>4237</v>
      </c>
      <c r="K1127" s="14">
        <v>1.0</v>
      </c>
      <c r="L1127" s="14">
        <v>5.0</v>
      </c>
      <c r="M1127" s="25"/>
      <c r="N1127" s="26" t="s">
        <v>21</v>
      </c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</row>
    <row r="1128">
      <c r="A1128" s="14" t="s">
        <v>4247</v>
      </c>
      <c r="B1128" s="17" t="s">
        <v>4248</v>
      </c>
      <c r="C1128" s="17" t="s">
        <v>4249</v>
      </c>
      <c r="D1128" s="19" t="s">
        <v>4250</v>
      </c>
      <c r="E1128" s="20" t="s">
        <v>434</v>
      </c>
      <c r="F1128" s="21">
        <v>24293.0</v>
      </c>
      <c r="G1128" s="14">
        <f t="shared" si="1"/>
        <v>60</v>
      </c>
      <c r="H1128" s="23" t="s">
        <v>26</v>
      </c>
      <c r="I1128" s="24" t="s">
        <v>27</v>
      </c>
      <c r="J1128" s="19" t="s">
        <v>2762</v>
      </c>
      <c r="K1128" s="14">
        <v>1.0</v>
      </c>
      <c r="L1128" s="14">
        <v>0.0</v>
      </c>
      <c r="M1128" s="25"/>
      <c r="N1128" s="26" t="s">
        <v>21</v>
      </c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</row>
    <row r="1129">
      <c r="A1129" s="14" t="s">
        <v>4251</v>
      </c>
      <c r="B1129" s="17" t="s">
        <v>4248</v>
      </c>
      <c r="C1129" s="17" t="s">
        <v>4252</v>
      </c>
      <c r="D1129" s="19" t="s">
        <v>3087</v>
      </c>
      <c r="E1129" s="20" t="s">
        <v>3210</v>
      </c>
      <c r="F1129" s="21">
        <v>23048.0</v>
      </c>
      <c r="G1129" s="14">
        <f t="shared" si="1"/>
        <v>63</v>
      </c>
      <c r="H1129" s="23" t="s">
        <v>26</v>
      </c>
      <c r="I1129" s="24" t="s">
        <v>33</v>
      </c>
      <c r="J1129" s="19" t="s">
        <v>2762</v>
      </c>
      <c r="K1129" s="14">
        <v>1.0</v>
      </c>
      <c r="L1129" s="14">
        <v>0.0</v>
      </c>
      <c r="M1129" s="25"/>
      <c r="N1129" s="26" t="s">
        <v>21</v>
      </c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</row>
    <row r="1130">
      <c r="A1130" s="14" t="s">
        <v>4253</v>
      </c>
      <c r="B1130" s="17" t="s">
        <v>4254</v>
      </c>
      <c r="C1130" s="17" t="s">
        <v>4255</v>
      </c>
      <c r="D1130" s="19" t="s">
        <v>4256</v>
      </c>
      <c r="E1130" s="20" t="s">
        <v>4257</v>
      </c>
      <c r="F1130" s="21">
        <v>37891.0</v>
      </c>
      <c r="G1130" s="14">
        <f t="shared" si="1"/>
        <v>23</v>
      </c>
      <c r="H1130" s="23" t="s">
        <v>100</v>
      </c>
      <c r="I1130" s="24" t="s">
        <v>33</v>
      </c>
      <c r="J1130" s="19" t="s">
        <v>3211</v>
      </c>
      <c r="K1130" s="14">
        <v>13.0</v>
      </c>
      <c r="L1130" s="14">
        <v>0.0</v>
      </c>
      <c r="M1130" s="25"/>
      <c r="N1130" s="26" t="s">
        <v>21</v>
      </c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</row>
    <row r="1131">
      <c r="A1131" s="14" t="s">
        <v>4258</v>
      </c>
      <c r="B1131" s="17" t="s">
        <v>4254</v>
      </c>
      <c r="C1131" s="17" t="s">
        <v>4259</v>
      </c>
      <c r="D1131" s="19" t="s">
        <v>4260</v>
      </c>
      <c r="E1131" s="20" t="s">
        <v>4257</v>
      </c>
      <c r="F1131" s="21">
        <v>29102.0</v>
      </c>
      <c r="G1131" s="14">
        <f t="shared" si="1"/>
        <v>47</v>
      </c>
      <c r="H1131" s="23" t="s">
        <v>26</v>
      </c>
      <c r="I1131" s="24" t="s">
        <v>27</v>
      </c>
      <c r="J1131" s="19" t="s">
        <v>3211</v>
      </c>
      <c r="K1131" s="14">
        <v>13.0</v>
      </c>
      <c r="L1131" s="14">
        <v>0.0</v>
      </c>
      <c r="M1131" s="25"/>
      <c r="N1131" s="26" t="s">
        <v>21</v>
      </c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</row>
    <row r="1132">
      <c r="A1132" s="14" t="s">
        <v>4261</v>
      </c>
      <c r="B1132" s="17" t="s">
        <v>4254</v>
      </c>
      <c r="C1132" s="17" t="s">
        <v>4262</v>
      </c>
      <c r="D1132" s="19" t="s">
        <v>4263</v>
      </c>
      <c r="E1132" s="20" t="s">
        <v>4264</v>
      </c>
      <c r="F1132" s="21">
        <v>28283.0</v>
      </c>
      <c r="G1132" s="14">
        <f t="shared" si="1"/>
        <v>49</v>
      </c>
      <c r="H1132" s="23" t="s">
        <v>26</v>
      </c>
      <c r="I1132" s="24" t="s">
        <v>33</v>
      </c>
      <c r="J1132" s="19" t="s">
        <v>3211</v>
      </c>
      <c r="K1132" s="14">
        <v>13.0</v>
      </c>
      <c r="L1132" s="14">
        <v>0.0</v>
      </c>
      <c r="M1132" s="25"/>
      <c r="N1132" s="26" t="s">
        <v>21</v>
      </c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</row>
    <row r="1133">
      <c r="A1133" s="14" t="s">
        <v>4265</v>
      </c>
      <c r="B1133" s="17" t="s">
        <v>4266</v>
      </c>
      <c r="C1133" s="17" t="s">
        <v>4267</v>
      </c>
      <c r="D1133" s="19" t="s">
        <v>4268</v>
      </c>
      <c r="E1133" s="20" t="s">
        <v>104</v>
      </c>
      <c r="F1133" s="21">
        <v>27419.0</v>
      </c>
      <c r="G1133" s="14">
        <f t="shared" si="1"/>
        <v>51</v>
      </c>
      <c r="H1133" s="23" t="s">
        <v>26</v>
      </c>
      <c r="I1133" s="24" t="s">
        <v>33</v>
      </c>
      <c r="J1133" s="19" t="s">
        <v>3211</v>
      </c>
      <c r="K1133" s="14">
        <v>21.0</v>
      </c>
      <c r="L1133" s="14">
        <v>0.0</v>
      </c>
      <c r="M1133" s="25"/>
      <c r="N1133" s="26" t="s">
        <v>21</v>
      </c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</row>
    <row r="1134">
      <c r="A1134" s="14" t="s">
        <v>4269</v>
      </c>
      <c r="B1134" s="17" t="s">
        <v>4266</v>
      </c>
      <c r="C1134" s="17" t="s">
        <v>4270</v>
      </c>
      <c r="D1134" s="19" t="s">
        <v>4271</v>
      </c>
      <c r="E1134" s="20" t="s">
        <v>104</v>
      </c>
      <c r="F1134" s="21">
        <v>38995.0</v>
      </c>
      <c r="G1134" s="14">
        <f t="shared" si="1"/>
        <v>20</v>
      </c>
      <c r="H1134" s="23" t="s">
        <v>100</v>
      </c>
      <c r="I1134" s="24" t="s">
        <v>33</v>
      </c>
      <c r="J1134" s="19" t="s">
        <v>3211</v>
      </c>
      <c r="K1134" s="14">
        <v>21.0</v>
      </c>
      <c r="L1134" s="14">
        <v>0.0</v>
      </c>
      <c r="M1134" s="25"/>
      <c r="N1134" s="26" t="s">
        <v>21</v>
      </c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</row>
    <row r="1135">
      <c r="A1135" s="14" t="s">
        <v>4272</v>
      </c>
      <c r="B1135" s="17" t="s">
        <v>4266</v>
      </c>
      <c r="C1135" s="17" t="s">
        <v>4273</v>
      </c>
      <c r="D1135" s="19" t="s">
        <v>4274</v>
      </c>
      <c r="E1135" s="20" t="s">
        <v>104</v>
      </c>
      <c r="F1135" s="21">
        <v>29924.0</v>
      </c>
      <c r="G1135" s="14">
        <f t="shared" si="1"/>
        <v>44</v>
      </c>
      <c r="H1135" s="23" t="s">
        <v>26</v>
      </c>
      <c r="I1135" s="24" t="s">
        <v>27</v>
      </c>
      <c r="J1135" s="19" t="s">
        <v>3211</v>
      </c>
      <c r="K1135" s="14">
        <v>21.0</v>
      </c>
      <c r="L1135" s="14">
        <v>0.0</v>
      </c>
      <c r="M1135" s="25"/>
      <c r="N1135" s="26" t="s">
        <v>21</v>
      </c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</row>
    <row r="1136">
      <c r="A1136" s="14" t="s">
        <v>4275</v>
      </c>
      <c r="B1136" s="17" t="s">
        <v>4276</v>
      </c>
      <c r="C1136" s="17" t="s">
        <v>4277</v>
      </c>
      <c r="D1136" s="19" t="s">
        <v>4278</v>
      </c>
      <c r="E1136" s="20" t="s">
        <v>138</v>
      </c>
      <c r="F1136" s="21">
        <v>37779.0</v>
      </c>
      <c r="G1136" s="14">
        <f t="shared" si="1"/>
        <v>23</v>
      </c>
      <c r="H1136" s="23" t="s">
        <v>100</v>
      </c>
      <c r="I1136" s="24" t="s">
        <v>33</v>
      </c>
      <c r="J1136" s="19" t="s">
        <v>206</v>
      </c>
      <c r="K1136" s="14">
        <v>1.0</v>
      </c>
      <c r="L1136" s="14">
        <v>0.0</v>
      </c>
      <c r="M1136" s="25"/>
      <c r="N1136" s="26" t="s">
        <v>21</v>
      </c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</row>
    <row r="1137">
      <c r="A1137" s="14" t="s">
        <v>4279</v>
      </c>
      <c r="B1137" s="17" t="s">
        <v>4276</v>
      </c>
      <c r="C1137" s="17" t="s">
        <v>4280</v>
      </c>
      <c r="D1137" s="19" t="s">
        <v>4281</v>
      </c>
      <c r="E1137" s="20" t="s">
        <v>654</v>
      </c>
      <c r="F1137" s="21">
        <v>27124.0</v>
      </c>
      <c r="G1137" s="14">
        <f t="shared" si="1"/>
        <v>52</v>
      </c>
      <c r="H1137" s="23" t="s">
        <v>26</v>
      </c>
      <c r="I1137" s="24" t="s">
        <v>27</v>
      </c>
      <c r="J1137" s="19" t="s">
        <v>206</v>
      </c>
      <c r="K1137" s="14">
        <v>1.0</v>
      </c>
      <c r="L1137" s="14">
        <v>0.0</v>
      </c>
      <c r="M1137" s="25"/>
      <c r="N1137" s="26" t="s">
        <v>21</v>
      </c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</row>
    <row r="1138">
      <c r="A1138" s="14" t="s">
        <v>4282</v>
      </c>
      <c r="B1138" s="17" t="s">
        <v>4276</v>
      </c>
      <c r="C1138" s="17" t="s">
        <v>4283</v>
      </c>
      <c r="D1138" s="19" t="s">
        <v>4284</v>
      </c>
      <c r="E1138" s="20" t="s">
        <v>650</v>
      </c>
      <c r="F1138" s="21">
        <v>27918.0</v>
      </c>
      <c r="G1138" s="14">
        <f t="shared" si="1"/>
        <v>50</v>
      </c>
      <c r="H1138" s="23" t="s">
        <v>26</v>
      </c>
      <c r="I1138" s="24" t="s">
        <v>33</v>
      </c>
      <c r="J1138" s="19" t="s">
        <v>206</v>
      </c>
      <c r="K1138" s="14">
        <v>1.0</v>
      </c>
      <c r="L1138" s="14">
        <v>0.0</v>
      </c>
      <c r="M1138" s="25"/>
      <c r="N1138" s="26" t="s">
        <v>21</v>
      </c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</row>
    <row r="1139">
      <c r="A1139" s="14" t="s">
        <v>4285</v>
      </c>
      <c r="B1139" s="17" t="s">
        <v>4286</v>
      </c>
      <c r="C1139" s="17" t="s">
        <v>4287</v>
      </c>
      <c r="D1139" s="19" t="s">
        <v>4288</v>
      </c>
      <c r="E1139" s="20" t="s">
        <v>104</v>
      </c>
      <c r="F1139" s="21">
        <v>32515.0</v>
      </c>
      <c r="G1139" s="14">
        <f t="shared" si="1"/>
        <v>37</v>
      </c>
      <c r="H1139" s="23" t="s">
        <v>26</v>
      </c>
      <c r="I1139" s="24" t="s">
        <v>27</v>
      </c>
      <c r="J1139" s="19" t="s">
        <v>757</v>
      </c>
      <c r="K1139" s="14">
        <v>1.0</v>
      </c>
      <c r="L1139" s="14">
        <v>0.0</v>
      </c>
      <c r="M1139" s="25"/>
      <c r="N1139" s="26" t="s">
        <v>21</v>
      </c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</row>
    <row r="1140">
      <c r="A1140" s="14" t="s">
        <v>4290</v>
      </c>
      <c r="B1140" s="17" t="s">
        <v>4286</v>
      </c>
      <c r="C1140" s="17" t="s">
        <v>4291</v>
      </c>
      <c r="D1140" s="19" t="s">
        <v>4292</v>
      </c>
      <c r="E1140" s="20" t="s">
        <v>104</v>
      </c>
      <c r="F1140" s="21">
        <v>31137.0</v>
      </c>
      <c r="G1140" s="14">
        <f t="shared" si="1"/>
        <v>41</v>
      </c>
      <c r="H1140" s="23" t="s">
        <v>26</v>
      </c>
      <c r="I1140" s="24" t="s">
        <v>33</v>
      </c>
      <c r="J1140" s="19" t="s">
        <v>757</v>
      </c>
      <c r="K1140" s="14">
        <v>1.0</v>
      </c>
      <c r="L1140" s="14">
        <v>0.0</v>
      </c>
      <c r="M1140" s="25"/>
      <c r="N1140" s="26" t="s">
        <v>21</v>
      </c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</row>
    <row r="1141">
      <c r="A1141" s="14" t="s">
        <v>4293</v>
      </c>
      <c r="B1141" s="17" t="s">
        <v>4294</v>
      </c>
      <c r="C1141" s="17" t="s">
        <v>4295</v>
      </c>
      <c r="D1141" s="19" t="s">
        <v>4296</v>
      </c>
      <c r="E1141" s="20" t="s">
        <v>4297</v>
      </c>
      <c r="F1141" s="21">
        <v>30811.0</v>
      </c>
      <c r="G1141" s="14">
        <f t="shared" si="1"/>
        <v>42</v>
      </c>
      <c r="H1141" s="23" t="s">
        <v>26</v>
      </c>
      <c r="I1141" s="24" t="s">
        <v>33</v>
      </c>
      <c r="J1141" s="19" t="s">
        <v>726</v>
      </c>
      <c r="K1141" s="14">
        <v>3.0</v>
      </c>
      <c r="L1141" s="14">
        <v>0.0</v>
      </c>
      <c r="M1141" s="25"/>
      <c r="N1141" s="26" t="s">
        <v>21</v>
      </c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</row>
    <row r="1142">
      <c r="A1142" s="14" t="s">
        <v>4298</v>
      </c>
      <c r="B1142" s="17" t="s">
        <v>4294</v>
      </c>
      <c r="C1142" s="17" t="s">
        <v>4299</v>
      </c>
      <c r="D1142" s="19" t="s">
        <v>4300</v>
      </c>
      <c r="E1142" s="20" t="s">
        <v>104</v>
      </c>
      <c r="F1142" s="21">
        <v>34422.0</v>
      </c>
      <c r="G1142" s="14">
        <f t="shared" si="1"/>
        <v>32</v>
      </c>
      <c r="H1142" s="23" t="s">
        <v>26</v>
      </c>
      <c r="I1142" s="24" t="s">
        <v>27</v>
      </c>
      <c r="J1142" s="19" t="s">
        <v>726</v>
      </c>
      <c r="K1142" s="14">
        <v>3.0</v>
      </c>
      <c r="L1142" s="14">
        <v>0.0</v>
      </c>
      <c r="M1142" s="25"/>
      <c r="N1142" s="26" t="s">
        <v>21</v>
      </c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</row>
    <row r="1143">
      <c r="A1143" s="14" t="s">
        <v>4301</v>
      </c>
      <c r="B1143" s="17" t="s">
        <v>4358</v>
      </c>
      <c r="C1143" s="17" t="s">
        <v>4303</v>
      </c>
      <c r="D1143" s="19" t="s">
        <v>4304</v>
      </c>
      <c r="E1143" s="20" t="s">
        <v>104</v>
      </c>
      <c r="F1143" s="21">
        <v>38605.0</v>
      </c>
      <c r="G1143" s="14">
        <f t="shared" si="1"/>
        <v>21</v>
      </c>
      <c r="H1143" s="23" t="s">
        <v>100</v>
      </c>
      <c r="I1143" s="24" t="s">
        <v>33</v>
      </c>
      <c r="J1143" s="19" t="s">
        <v>4305</v>
      </c>
      <c r="K1143" s="14">
        <v>4.0</v>
      </c>
      <c r="L1143" s="14">
        <v>0.0</v>
      </c>
      <c r="M1143" s="25"/>
      <c r="N1143" s="26" t="s">
        <v>21</v>
      </c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</row>
    <row r="1144">
      <c r="A1144" s="14" t="s">
        <v>4307</v>
      </c>
      <c r="B1144" s="17" t="s">
        <v>4358</v>
      </c>
      <c r="C1144" s="17" t="s">
        <v>4308</v>
      </c>
      <c r="D1144" s="19" t="s">
        <v>4309</v>
      </c>
      <c r="E1144" s="20" t="s">
        <v>104</v>
      </c>
      <c r="F1144" s="21">
        <v>32278.0</v>
      </c>
      <c r="G1144" s="14">
        <f t="shared" si="1"/>
        <v>38</v>
      </c>
      <c r="H1144" s="23" t="s">
        <v>26</v>
      </c>
      <c r="I1144" s="24" t="s">
        <v>27</v>
      </c>
      <c r="J1144" s="19" t="s">
        <v>757</v>
      </c>
      <c r="K1144" s="14">
        <v>4.0</v>
      </c>
      <c r="L1144" s="14">
        <v>1.0</v>
      </c>
      <c r="M1144" s="25"/>
      <c r="N1144" s="26" t="s">
        <v>21</v>
      </c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</row>
    <row r="1145">
      <c r="A1145" s="14" t="s">
        <v>4310</v>
      </c>
      <c r="B1145" s="17" t="s">
        <v>4358</v>
      </c>
      <c r="C1145" s="17" t="s">
        <v>4311</v>
      </c>
      <c r="D1145" s="19" t="s">
        <v>4312</v>
      </c>
      <c r="E1145" s="20" t="s">
        <v>104</v>
      </c>
      <c r="F1145" s="21">
        <v>29839.0</v>
      </c>
      <c r="G1145" s="14">
        <f t="shared" si="1"/>
        <v>45</v>
      </c>
      <c r="H1145" s="23" t="s">
        <v>26</v>
      </c>
      <c r="I1145" s="24" t="s">
        <v>33</v>
      </c>
      <c r="J1145" s="19" t="s">
        <v>757</v>
      </c>
      <c r="K1145" s="14">
        <v>4.0</v>
      </c>
      <c r="L1145" s="14">
        <v>0.0</v>
      </c>
      <c r="M1145" s="25"/>
      <c r="N1145" s="26" t="s">
        <v>21</v>
      </c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</row>
    <row r="1146">
      <c r="A1146" s="14" t="s">
        <v>4313</v>
      </c>
      <c r="B1146" s="17" t="s">
        <v>4314</v>
      </c>
      <c r="C1146" s="17" t="s">
        <v>4315</v>
      </c>
      <c r="D1146" s="19" t="s">
        <v>4316</v>
      </c>
      <c r="E1146" s="20" t="s">
        <v>4317</v>
      </c>
      <c r="F1146" s="21">
        <v>34674.0</v>
      </c>
      <c r="G1146" s="14">
        <f t="shared" si="1"/>
        <v>31</v>
      </c>
      <c r="H1146" s="23" t="s">
        <v>26</v>
      </c>
      <c r="I1146" s="24" t="s">
        <v>27</v>
      </c>
      <c r="J1146" s="19" t="s">
        <v>58</v>
      </c>
      <c r="K1146" s="14">
        <v>8.0</v>
      </c>
      <c r="L1146" s="14">
        <v>0.0</v>
      </c>
      <c r="M1146" s="25"/>
      <c r="N1146" s="26" t="s">
        <v>21</v>
      </c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</row>
    <row r="1147">
      <c r="A1147" s="14" t="s">
        <v>4318</v>
      </c>
      <c r="B1147" s="17" t="s">
        <v>4314</v>
      </c>
      <c r="C1147" s="17" t="s">
        <v>4319</v>
      </c>
      <c r="D1147" s="19" t="s">
        <v>4320</v>
      </c>
      <c r="E1147" s="20" t="s">
        <v>104</v>
      </c>
      <c r="F1147" s="21">
        <v>32237.0</v>
      </c>
      <c r="G1147" s="14">
        <f t="shared" si="1"/>
        <v>38</v>
      </c>
      <c r="H1147" s="23" t="s">
        <v>26</v>
      </c>
      <c r="I1147" s="24" t="s">
        <v>33</v>
      </c>
      <c r="J1147" s="19" t="s">
        <v>58</v>
      </c>
      <c r="K1147" s="14">
        <v>8.0</v>
      </c>
      <c r="L1147" s="14">
        <v>0.0</v>
      </c>
      <c r="M1147" s="25"/>
      <c r="N1147" s="26" t="s">
        <v>21</v>
      </c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</row>
    <row r="1148">
      <c r="A1148" s="14" t="s">
        <v>4321</v>
      </c>
      <c r="B1148" s="17" t="s">
        <v>4322</v>
      </c>
      <c r="C1148" s="17" t="s">
        <v>4323</v>
      </c>
      <c r="D1148" s="19" t="s">
        <v>1740</v>
      </c>
      <c r="E1148" s="20" t="s">
        <v>104</v>
      </c>
      <c r="F1148" s="21">
        <v>32944.0</v>
      </c>
      <c r="G1148" s="14">
        <f t="shared" si="1"/>
        <v>36</v>
      </c>
      <c r="H1148" s="23" t="s">
        <v>26</v>
      </c>
      <c r="I1148" s="24" t="s">
        <v>27</v>
      </c>
      <c r="J1148" s="19" t="s">
        <v>156</v>
      </c>
      <c r="K1148" s="14">
        <v>29.0</v>
      </c>
      <c r="L1148" s="14">
        <v>0.0</v>
      </c>
      <c r="M1148" s="25"/>
      <c r="N1148" s="26" t="s">
        <v>21</v>
      </c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</row>
    <row r="1149">
      <c r="A1149" s="14" t="s">
        <v>4324</v>
      </c>
      <c r="B1149" s="17" t="s">
        <v>4325</v>
      </c>
      <c r="C1149" s="17" t="s">
        <v>4326</v>
      </c>
      <c r="D1149" s="19" t="s">
        <v>4327</v>
      </c>
      <c r="E1149" s="20" t="s">
        <v>544</v>
      </c>
      <c r="F1149" s="21">
        <v>27274.0</v>
      </c>
      <c r="G1149" s="14">
        <f t="shared" si="1"/>
        <v>52</v>
      </c>
      <c r="H1149" s="23" t="s">
        <v>26</v>
      </c>
      <c r="I1149" s="24" t="s">
        <v>33</v>
      </c>
      <c r="J1149" s="19" t="s">
        <v>68</v>
      </c>
      <c r="K1149" s="14">
        <v>32.0</v>
      </c>
      <c r="L1149" s="14">
        <v>0.0</v>
      </c>
      <c r="M1149" s="25"/>
      <c r="N1149" s="26" t="s">
        <v>21</v>
      </c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</row>
    <row r="1150">
      <c r="A1150" s="14" t="s">
        <v>4328</v>
      </c>
      <c r="B1150" s="17" t="s">
        <v>4325</v>
      </c>
      <c r="C1150" s="17" t="s">
        <v>4329</v>
      </c>
      <c r="D1150" s="19" t="s">
        <v>4330</v>
      </c>
      <c r="E1150" s="20" t="s">
        <v>104</v>
      </c>
      <c r="F1150" s="21">
        <v>37360.0</v>
      </c>
      <c r="G1150" s="14">
        <f t="shared" si="1"/>
        <v>24</v>
      </c>
      <c r="H1150" s="23" t="s">
        <v>100</v>
      </c>
      <c r="I1150" s="24" t="s">
        <v>27</v>
      </c>
      <c r="J1150" s="19" t="s">
        <v>68</v>
      </c>
      <c r="K1150" s="14">
        <v>32.0</v>
      </c>
      <c r="L1150" s="14">
        <v>0.0</v>
      </c>
      <c r="M1150" s="25"/>
      <c r="N1150" s="26" t="s">
        <v>21</v>
      </c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</row>
    <row r="1151">
      <c r="A1151" s="14" t="s">
        <v>4331</v>
      </c>
      <c r="B1151" s="17" t="s">
        <v>4325</v>
      </c>
      <c r="C1151" s="17" t="s">
        <v>4332</v>
      </c>
      <c r="D1151" s="19" t="s">
        <v>4333</v>
      </c>
      <c r="E1151" s="20" t="s">
        <v>104</v>
      </c>
      <c r="F1151" s="21">
        <v>29647.0</v>
      </c>
      <c r="G1151" s="14">
        <f t="shared" si="1"/>
        <v>45</v>
      </c>
      <c r="H1151" s="23" t="s">
        <v>26</v>
      </c>
      <c r="I1151" s="24" t="s">
        <v>27</v>
      </c>
      <c r="J1151" s="19" t="s">
        <v>68</v>
      </c>
      <c r="K1151" s="14">
        <v>32.0</v>
      </c>
      <c r="L1151" s="14">
        <v>0.0</v>
      </c>
      <c r="M1151" s="25"/>
      <c r="N1151" s="26" t="s">
        <v>21</v>
      </c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</row>
    <row r="1152">
      <c r="A1152" s="14" t="s">
        <v>4334</v>
      </c>
      <c r="B1152" s="17" t="s">
        <v>4335</v>
      </c>
      <c r="C1152" s="17" t="s">
        <v>4336</v>
      </c>
      <c r="D1152" s="19" t="s">
        <v>4337</v>
      </c>
      <c r="E1152" s="20" t="s">
        <v>4338</v>
      </c>
      <c r="F1152" s="21">
        <v>26856.0</v>
      </c>
      <c r="G1152" s="14">
        <f t="shared" si="1"/>
        <v>53</v>
      </c>
      <c r="H1152" s="23" t="s">
        <v>26</v>
      </c>
      <c r="I1152" s="24" t="s">
        <v>33</v>
      </c>
      <c r="J1152" s="19" t="s">
        <v>53</v>
      </c>
      <c r="K1152" s="14">
        <v>32.0</v>
      </c>
      <c r="L1152" s="14">
        <v>1.0</v>
      </c>
      <c r="M1152" s="25"/>
      <c r="N1152" s="26" t="s">
        <v>21</v>
      </c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</row>
    <row r="1153">
      <c r="A1153" s="14" t="s">
        <v>4339</v>
      </c>
      <c r="B1153" s="17" t="s">
        <v>4335</v>
      </c>
      <c r="C1153" s="17" t="s">
        <v>4340</v>
      </c>
      <c r="D1153" s="19" t="s">
        <v>4341</v>
      </c>
      <c r="E1153" s="20" t="s">
        <v>104</v>
      </c>
      <c r="F1153" s="21">
        <v>30489.0</v>
      </c>
      <c r="G1153" s="14">
        <f t="shared" si="1"/>
        <v>43</v>
      </c>
      <c r="H1153" s="23" t="s">
        <v>26</v>
      </c>
      <c r="I1153" s="24" t="s">
        <v>27</v>
      </c>
      <c r="J1153" s="19" t="s">
        <v>53</v>
      </c>
      <c r="K1153" s="14">
        <v>32.0</v>
      </c>
      <c r="L1153" s="14">
        <v>0.0</v>
      </c>
      <c r="M1153" s="25"/>
      <c r="N1153" s="26" t="s">
        <v>21</v>
      </c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</row>
    <row r="1154">
      <c r="A1154" s="14" t="s">
        <v>4342</v>
      </c>
      <c r="B1154" s="17" t="s">
        <v>4343</v>
      </c>
      <c r="C1154" s="17" t="s">
        <v>4344</v>
      </c>
      <c r="D1154" s="19" t="s">
        <v>4345</v>
      </c>
      <c r="E1154" s="20" t="s">
        <v>67</v>
      </c>
      <c r="F1154" s="21">
        <v>21769.0</v>
      </c>
      <c r="G1154" s="14">
        <f t="shared" si="1"/>
        <v>67</v>
      </c>
      <c r="H1154" s="23" t="s">
        <v>26</v>
      </c>
      <c r="I1154" s="24" t="s">
        <v>33</v>
      </c>
      <c r="J1154" s="19" t="s">
        <v>53</v>
      </c>
      <c r="K1154" s="14">
        <v>32.0</v>
      </c>
      <c r="L1154" s="14">
        <v>0.0</v>
      </c>
      <c r="M1154" s="25"/>
      <c r="N1154" s="26" t="s">
        <v>21</v>
      </c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</row>
    <row r="1155">
      <c r="A1155" s="14" t="s">
        <v>4346</v>
      </c>
      <c r="B1155" s="17" t="s">
        <v>4343</v>
      </c>
      <c r="C1155" s="17" t="s">
        <v>4347</v>
      </c>
      <c r="D1155" s="19" t="s">
        <v>1549</v>
      </c>
      <c r="E1155" s="20" t="s">
        <v>67</v>
      </c>
      <c r="F1155" s="21">
        <v>21999.0</v>
      </c>
      <c r="G1155" s="14">
        <f t="shared" si="1"/>
        <v>66</v>
      </c>
      <c r="H1155" s="23" t="s">
        <v>26</v>
      </c>
      <c r="I1155" s="24" t="s">
        <v>27</v>
      </c>
      <c r="J1155" s="19" t="s">
        <v>53</v>
      </c>
      <c r="K1155" s="14">
        <v>32.0</v>
      </c>
      <c r="L1155" s="14">
        <v>0.0</v>
      </c>
      <c r="M1155" s="25"/>
      <c r="N1155" s="26" t="s">
        <v>21</v>
      </c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</row>
    <row r="1156">
      <c r="A1156" s="14" t="s">
        <v>4348</v>
      </c>
      <c r="B1156" s="17" t="s">
        <v>4349</v>
      </c>
      <c r="C1156" s="17" t="s">
        <v>4350</v>
      </c>
      <c r="D1156" s="19" t="s">
        <v>4351</v>
      </c>
      <c r="E1156" s="20" t="s">
        <v>53</v>
      </c>
      <c r="F1156" s="21">
        <v>37956.0</v>
      </c>
      <c r="G1156" s="14">
        <f t="shared" si="1"/>
        <v>22</v>
      </c>
      <c r="H1156" s="23" t="s">
        <v>100</v>
      </c>
      <c r="I1156" s="24" t="s">
        <v>27</v>
      </c>
      <c r="J1156" s="19" t="s">
        <v>4352</v>
      </c>
      <c r="K1156" s="14">
        <v>35.0</v>
      </c>
      <c r="L1156" s="14">
        <v>0.0</v>
      </c>
      <c r="M1156" s="25"/>
      <c r="N1156" s="26" t="s">
        <v>21</v>
      </c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</row>
    <row r="1157">
      <c r="A1157" s="14" t="s">
        <v>4353</v>
      </c>
      <c r="B1157" s="17" t="s">
        <v>4349</v>
      </c>
      <c r="C1157" s="17" t="s">
        <v>4354</v>
      </c>
      <c r="D1157" s="19" t="s">
        <v>1127</v>
      </c>
      <c r="E1157" s="20" t="s">
        <v>67</v>
      </c>
      <c r="F1157" s="21">
        <v>22812.0</v>
      </c>
      <c r="G1157" s="14">
        <f t="shared" si="1"/>
        <v>64</v>
      </c>
      <c r="H1157" s="23" t="s">
        <v>26</v>
      </c>
      <c r="I1157" s="24" t="s">
        <v>27</v>
      </c>
      <c r="J1157" s="19" t="s">
        <v>4352</v>
      </c>
      <c r="K1157" s="14">
        <v>35.0</v>
      </c>
      <c r="L1157" s="14">
        <v>0.0</v>
      </c>
      <c r="M1157" s="25"/>
      <c r="N1157" s="26" t="s">
        <v>21</v>
      </c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</row>
    <row r="1158">
      <c r="A1158" s="14" t="s">
        <v>4355</v>
      </c>
      <c r="B1158" s="17" t="s">
        <v>4349</v>
      </c>
      <c r="C1158" s="17" t="s">
        <v>4356</v>
      </c>
      <c r="D1158" s="19" t="s">
        <v>4357</v>
      </c>
      <c r="E1158" s="20" t="s">
        <v>67</v>
      </c>
      <c r="F1158" s="27">
        <v>26979.0</v>
      </c>
      <c r="G1158" s="14">
        <f t="shared" si="1"/>
        <v>52</v>
      </c>
      <c r="H1158" s="23" t="s">
        <v>26</v>
      </c>
      <c r="I1158" s="24" t="s">
        <v>33</v>
      </c>
      <c r="J1158" s="19" t="s">
        <v>4352</v>
      </c>
      <c r="K1158" s="14">
        <v>35.0</v>
      </c>
      <c r="L1158" s="14">
        <v>0.0</v>
      </c>
      <c r="M1158" s="25"/>
      <c r="N1158" s="26" t="s">
        <v>21</v>
      </c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</row>
    <row r="1159">
      <c r="A1159" s="14" t="s">
        <v>4359</v>
      </c>
      <c r="B1159" s="17" t="s">
        <v>4360</v>
      </c>
      <c r="C1159" s="17" t="s">
        <v>4361</v>
      </c>
      <c r="D1159" s="19" t="s">
        <v>4362</v>
      </c>
      <c r="E1159" s="20" t="s">
        <v>231</v>
      </c>
      <c r="F1159" s="21">
        <v>31255.0</v>
      </c>
      <c r="G1159" s="14">
        <f t="shared" si="1"/>
        <v>41</v>
      </c>
      <c r="H1159" s="23" t="s">
        <v>26</v>
      </c>
      <c r="I1159" s="24" t="s">
        <v>33</v>
      </c>
      <c r="J1159" s="19" t="s">
        <v>4352</v>
      </c>
      <c r="K1159" s="14">
        <v>35.0</v>
      </c>
      <c r="L1159" s="14">
        <v>0.0</v>
      </c>
      <c r="M1159" s="25"/>
      <c r="N1159" s="26" t="s">
        <v>21</v>
      </c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</row>
    <row r="1160">
      <c r="A1160" s="14" t="s">
        <v>4363</v>
      </c>
      <c r="B1160" s="17" t="s">
        <v>4360</v>
      </c>
      <c r="C1160" s="17" t="s">
        <v>4364</v>
      </c>
      <c r="D1160" s="19" t="s">
        <v>4365</v>
      </c>
      <c r="E1160" s="20" t="s">
        <v>104</v>
      </c>
      <c r="F1160" s="27">
        <v>32839.0</v>
      </c>
      <c r="G1160" s="14">
        <f t="shared" si="1"/>
        <v>36</v>
      </c>
      <c r="H1160" s="23" t="s">
        <v>26</v>
      </c>
      <c r="I1160" s="24" t="s">
        <v>27</v>
      </c>
      <c r="J1160" s="19" t="s">
        <v>4352</v>
      </c>
      <c r="K1160" s="14">
        <v>35.0</v>
      </c>
      <c r="L1160" s="14">
        <v>0.0</v>
      </c>
      <c r="M1160" s="25"/>
      <c r="N1160" s="26" t="s">
        <v>21</v>
      </c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</row>
    <row r="1161">
      <c r="A1161" s="14" t="s">
        <v>4366</v>
      </c>
      <c r="B1161" s="17" t="s">
        <v>4367</v>
      </c>
      <c r="C1161" s="17" t="s">
        <v>4368</v>
      </c>
      <c r="D1161" s="19" t="s">
        <v>4369</v>
      </c>
      <c r="E1161" s="20" t="s">
        <v>67</v>
      </c>
      <c r="F1161" s="21">
        <v>19799.0</v>
      </c>
      <c r="G1161" s="14">
        <f t="shared" si="1"/>
        <v>72</v>
      </c>
      <c r="H1161" s="23" t="s">
        <v>26</v>
      </c>
      <c r="I1161" s="24" t="s">
        <v>33</v>
      </c>
      <c r="J1161" s="19" t="s">
        <v>104</v>
      </c>
      <c r="K1161" s="14">
        <v>33.0</v>
      </c>
      <c r="L1161" s="14">
        <v>0.0</v>
      </c>
      <c r="M1161" s="25"/>
      <c r="N1161" s="26" t="s">
        <v>21</v>
      </c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</row>
    <row r="1162">
      <c r="A1162" s="14" t="s">
        <v>4370</v>
      </c>
      <c r="B1162" s="17" t="s">
        <v>4371</v>
      </c>
      <c r="C1162" s="17" t="s">
        <v>4372</v>
      </c>
      <c r="D1162" s="19" t="s">
        <v>4373</v>
      </c>
      <c r="E1162" s="20" t="s">
        <v>666</v>
      </c>
      <c r="F1162" s="27">
        <v>29201.0</v>
      </c>
      <c r="G1162" s="14">
        <f t="shared" si="1"/>
        <v>46</v>
      </c>
      <c r="H1162" s="23" t="s">
        <v>26</v>
      </c>
      <c r="I1162" s="24" t="s">
        <v>27</v>
      </c>
      <c r="J1162" s="19" t="s">
        <v>4374</v>
      </c>
      <c r="K1162" s="14">
        <v>2.0</v>
      </c>
      <c r="L1162" s="14">
        <v>0.0</v>
      </c>
      <c r="M1162" s="25"/>
      <c r="N1162" s="26" t="s">
        <v>21</v>
      </c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</row>
    <row r="1163">
      <c r="A1163" s="14" t="s">
        <v>4375</v>
      </c>
      <c r="B1163" s="17" t="s">
        <v>4371</v>
      </c>
      <c r="C1163" s="17" t="s">
        <v>4376</v>
      </c>
      <c r="D1163" s="19" t="s">
        <v>4377</v>
      </c>
      <c r="E1163" s="20" t="s">
        <v>53</v>
      </c>
      <c r="F1163" s="21">
        <v>36836.0</v>
      </c>
      <c r="G1163" s="14">
        <f t="shared" si="1"/>
        <v>25</v>
      </c>
      <c r="H1163" s="23" t="s">
        <v>100</v>
      </c>
      <c r="I1163" s="24" t="s">
        <v>33</v>
      </c>
      <c r="J1163" s="19" t="s">
        <v>4374</v>
      </c>
      <c r="K1163" s="14">
        <v>2.0</v>
      </c>
      <c r="L1163" s="14">
        <v>5.0</v>
      </c>
      <c r="M1163" s="25"/>
      <c r="N1163" s="26" t="s">
        <v>21</v>
      </c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</row>
    <row r="1164">
      <c r="A1164" s="14" t="s">
        <v>4378</v>
      </c>
      <c r="B1164" s="17" t="s">
        <v>4371</v>
      </c>
      <c r="C1164" s="17" t="s">
        <v>4379</v>
      </c>
      <c r="D1164" s="19" t="s">
        <v>4380</v>
      </c>
      <c r="E1164" s="20" t="s">
        <v>880</v>
      </c>
      <c r="F1164" s="21">
        <v>27253.0</v>
      </c>
      <c r="G1164" s="14">
        <f t="shared" si="1"/>
        <v>52</v>
      </c>
      <c r="H1164" s="23" t="s">
        <v>26</v>
      </c>
      <c r="I1164" s="24" t="s">
        <v>33</v>
      </c>
      <c r="J1164" s="19" t="s">
        <v>4374</v>
      </c>
      <c r="K1164" s="14">
        <v>2.0</v>
      </c>
      <c r="L1164" s="14">
        <v>0.0</v>
      </c>
      <c r="M1164" s="25"/>
      <c r="N1164" s="26" t="s">
        <v>21</v>
      </c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</row>
    <row r="1165">
      <c r="A1165" s="14" t="s">
        <v>4381</v>
      </c>
      <c r="B1165" s="17" t="s">
        <v>4382</v>
      </c>
      <c r="C1165" s="17" t="s">
        <v>4383</v>
      </c>
      <c r="D1165" s="19" t="s">
        <v>4384</v>
      </c>
      <c r="E1165" s="20" t="s">
        <v>104</v>
      </c>
      <c r="F1165" s="21">
        <v>33128.0</v>
      </c>
      <c r="G1165" s="14">
        <f t="shared" si="1"/>
        <v>36</v>
      </c>
      <c r="H1165" s="23" t="s">
        <v>26</v>
      </c>
      <c r="I1165" s="24" t="s">
        <v>27</v>
      </c>
      <c r="J1165" s="19" t="s">
        <v>282</v>
      </c>
      <c r="K1165" s="14">
        <v>13.0</v>
      </c>
      <c r="L1165" s="14">
        <v>0.0</v>
      </c>
      <c r="M1165" s="25"/>
      <c r="N1165" s="26" t="s">
        <v>21</v>
      </c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</row>
    <row r="1166">
      <c r="A1166" s="14" t="s">
        <v>4385</v>
      </c>
      <c r="B1166" s="17" t="s">
        <v>4382</v>
      </c>
      <c r="C1166" s="17" t="s">
        <v>4386</v>
      </c>
      <c r="D1166" s="19" t="s">
        <v>4387</v>
      </c>
      <c r="E1166" s="20" t="s">
        <v>4388</v>
      </c>
      <c r="F1166" s="21">
        <v>30904.0</v>
      </c>
      <c r="G1166" s="14">
        <f t="shared" si="1"/>
        <v>42</v>
      </c>
      <c r="H1166" s="23" t="s">
        <v>26</v>
      </c>
      <c r="I1166" s="24" t="s">
        <v>33</v>
      </c>
      <c r="J1166" s="19" t="s">
        <v>282</v>
      </c>
      <c r="K1166" s="14">
        <v>13.0</v>
      </c>
      <c r="L1166" s="14">
        <v>0.0</v>
      </c>
      <c r="M1166" s="25"/>
      <c r="N1166" s="26" t="s">
        <v>21</v>
      </c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</row>
    <row r="1167">
      <c r="A1167" s="14" t="s">
        <v>4389</v>
      </c>
      <c r="B1167" s="17" t="s">
        <v>4390</v>
      </c>
      <c r="C1167" s="17" t="s">
        <v>4391</v>
      </c>
      <c r="D1167" s="19" t="s">
        <v>4392</v>
      </c>
      <c r="E1167" s="20" t="s">
        <v>1058</v>
      </c>
      <c r="F1167" s="21">
        <v>15085.0</v>
      </c>
      <c r="G1167" s="14">
        <f t="shared" si="1"/>
        <v>85</v>
      </c>
      <c r="H1167" s="23" t="s">
        <v>27</v>
      </c>
      <c r="I1167" s="24" t="s">
        <v>27</v>
      </c>
      <c r="J1167" s="19" t="s">
        <v>53</v>
      </c>
      <c r="K1167" s="14">
        <v>36.0</v>
      </c>
      <c r="L1167" s="14">
        <v>0.0</v>
      </c>
      <c r="M1167" s="25"/>
      <c r="N1167" s="26" t="s">
        <v>21</v>
      </c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</row>
    <row r="1168">
      <c r="A1168" s="14" t="s">
        <v>4397</v>
      </c>
      <c r="B1168" s="17" t="s">
        <v>4394</v>
      </c>
      <c r="C1168" s="17" t="s">
        <v>4398</v>
      </c>
      <c r="D1168" s="19" t="s">
        <v>4399</v>
      </c>
      <c r="E1168" s="20" t="s">
        <v>104</v>
      </c>
      <c r="F1168" s="21">
        <v>29024.0</v>
      </c>
      <c r="G1168" s="14">
        <f t="shared" si="1"/>
        <v>47</v>
      </c>
      <c r="H1168" s="23" t="s">
        <v>26</v>
      </c>
      <c r="I1168" s="24" t="s">
        <v>33</v>
      </c>
      <c r="J1168" s="19" t="s">
        <v>517</v>
      </c>
      <c r="K1168" s="14">
        <v>7.0</v>
      </c>
      <c r="L1168" s="14">
        <v>0.0</v>
      </c>
      <c r="M1168" s="25"/>
      <c r="N1168" s="26" t="s">
        <v>21</v>
      </c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</row>
    <row r="1169">
      <c r="A1169" s="14" t="s">
        <v>4400</v>
      </c>
      <c r="B1169" s="17" t="s">
        <v>4394</v>
      </c>
      <c r="C1169" s="17" t="s">
        <v>4401</v>
      </c>
      <c r="D1169" s="19" t="s">
        <v>4402</v>
      </c>
      <c r="E1169" s="20" t="s">
        <v>219</v>
      </c>
      <c r="F1169" s="21">
        <v>30086.0</v>
      </c>
      <c r="G1169" s="14">
        <f t="shared" si="1"/>
        <v>44</v>
      </c>
      <c r="H1169" s="23" t="s">
        <v>26</v>
      </c>
      <c r="I1169" s="24" t="s">
        <v>27</v>
      </c>
      <c r="J1169" s="19" t="s">
        <v>517</v>
      </c>
      <c r="K1169" s="14">
        <v>7.0</v>
      </c>
      <c r="L1169" s="14">
        <v>0.0</v>
      </c>
      <c r="M1169" s="25"/>
      <c r="N1169" s="26" t="s">
        <v>21</v>
      </c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</row>
    <row r="1170">
      <c r="A1170" s="14" t="s">
        <v>4403</v>
      </c>
      <c r="B1170" s="17" t="s">
        <v>4404</v>
      </c>
      <c r="C1170" s="17" t="s">
        <v>4405</v>
      </c>
      <c r="D1170" s="19" t="s">
        <v>4406</v>
      </c>
      <c r="E1170" s="20" t="s">
        <v>274</v>
      </c>
      <c r="F1170" s="21">
        <v>34706.0</v>
      </c>
      <c r="G1170" s="14">
        <f t="shared" si="1"/>
        <v>31</v>
      </c>
      <c r="H1170" s="23" t="s">
        <v>26</v>
      </c>
      <c r="I1170" s="24" t="s">
        <v>27</v>
      </c>
      <c r="J1170" s="19" t="s">
        <v>3387</v>
      </c>
      <c r="K1170" s="14">
        <v>9.0</v>
      </c>
      <c r="L1170" s="14">
        <v>0.0</v>
      </c>
      <c r="M1170" s="25"/>
      <c r="N1170" s="26" t="s">
        <v>21</v>
      </c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</row>
    <row r="1171">
      <c r="A1171" s="14" t="s">
        <v>4407</v>
      </c>
      <c r="B1171" s="17" t="s">
        <v>4404</v>
      </c>
      <c r="C1171" s="17" t="s">
        <v>4408</v>
      </c>
      <c r="D1171" s="19" t="s">
        <v>4409</v>
      </c>
      <c r="E1171" s="20" t="s">
        <v>104</v>
      </c>
      <c r="F1171" s="27">
        <v>32502.0</v>
      </c>
      <c r="G1171" s="14">
        <f t="shared" si="1"/>
        <v>37</v>
      </c>
      <c r="H1171" s="23" t="s">
        <v>26</v>
      </c>
      <c r="I1171" s="24" t="s">
        <v>33</v>
      </c>
      <c r="J1171" s="19" t="s">
        <v>3387</v>
      </c>
      <c r="K1171" s="14">
        <v>9.0</v>
      </c>
      <c r="L1171" s="14">
        <v>0.0</v>
      </c>
      <c r="M1171" s="25"/>
      <c r="N1171" s="26" t="s">
        <v>21</v>
      </c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</row>
    <row r="1172">
      <c r="A1172" s="14" t="s">
        <v>4410</v>
      </c>
      <c r="B1172" s="17" t="s">
        <v>4411</v>
      </c>
      <c r="C1172" s="17" t="s">
        <v>4412</v>
      </c>
      <c r="D1172" s="19" t="s">
        <v>4413</v>
      </c>
      <c r="E1172" s="20" t="s">
        <v>4414</v>
      </c>
      <c r="F1172" s="21">
        <v>30682.0</v>
      </c>
      <c r="G1172" s="14">
        <f t="shared" si="1"/>
        <v>42</v>
      </c>
      <c r="H1172" s="23" t="s">
        <v>26</v>
      </c>
      <c r="I1172" s="24" t="s">
        <v>33</v>
      </c>
      <c r="J1172" s="19" t="s">
        <v>282</v>
      </c>
      <c r="K1172" s="14">
        <v>15.0</v>
      </c>
      <c r="L1172" s="14">
        <v>0.0</v>
      </c>
      <c r="M1172" s="25"/>
      <c r="N1172" s="26" t="s">
        <v>21</v>
      </c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</row>
    <row r="1173">
      <c r="A1173" s="14" t="s">
        <v>4415</v>
      </c>
      <c r="B1173" s="17" t="s">
        <v>4411</v>
      </c>
      <c r="C1173" s="17" t="s">
        <v>4416</v>
      </c>
      <c r="D1173" s="19" t="s">
        <v>4417</v>
      </c>
      <c r="E1173" s="20" t="s">
        <v>4418</v>
      </c>
      <c r="F1173" s="27">
        <v>31345.0</v>
      </c>
      <c r="G1173" s="14">
        <f t="shared" si="1"/>
        <v>41</v>
      </c>
      <c r="H1173" s="23" t="s">
        <v>26</v>
      </c>
      <c r="I1173" s="24" t="s">
        <v>27</v>
      </c>
      <c r="J1173" s="19" t="s">
        <v>282</v>
      </c>
      <c r="K1173" s="14">
        <v>15.0</v>
      </c>
      <c r="L1173" s="14">
        <v>0.0</v>
      </c>
      <c r="M1173" s="25"/>
      <c r="N1173" s="26" t="s">
        <v>21</v>
      </c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</row>
    <row r="1174">
      <c r="A1174" s="14" t="s">
        <v>4419</v>
      </c>
      <c r="B1174" s="17" t="s">
        <v>4420</v>
      </c>
      <c r="C1174" s="17" t="s">
        <v>4421</v>
      </c>
      <c r="D1174" s="19" t="s">
        <v>4422</v>
      </c>
      <c r="E1174" s="20" t="s">
        <v>1622</v>
      </c>
      <c r="F1174" s="27">
        <v>35787.0</v>
      </c>
      <c r="G1174" s="14">
        <f t="shared" si="1"/>
        <v>28</v>
      </c>
      <c r="H1174" s="23" t="s">
        <v>26</v>
      </c>
      <c r="I1174" s="24" t="s">
        <v>27</v>
      </c>
      <c r="J1174" s="19" t="s">
        <v>282</v>
      </c>
      <c r="K1174" s="14">
        <v>28.0</v>
      </c>
      <c r="L1174" s="14">
        <v>0.0</v>
      </c>
      <c r="M1174" s="25"/>
      <c r="N1174" s="26" t="s">
        <v>21</v>
      </c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</row>
    <row r="1175">
      <c r="A1175" s="14" t="s">
        <v>4423</v>
      </c>
      <c r="B1175" s="17" t="s">
        <v>4420</v>
      </c>
      <c r="C1175" s="17" t="s">
        <v>4424</v>
      </c>
      <c r="D1175" s="19" t="s">
        <v>4425</v>
      </c>
      <c r="E1175" s="20" t="s">
        <v>858</v>
      </c>
      <c r="F1175" s="21">
        <v>35538.0</v>
      </c>
      <c r="G1175" s="14">
        <f t="shared" si="1"/>
        <v>29</v>
      </c>
      <c r="H1175" s="23" t="s">
        <v>26</v>
      </c>
      <c r="I1175" s="24" t="s">
        <v>33</v>
      </c>
      <c r="J1175" s="19" t="s">
        <v>282</v>
      </c>
      <c r="K1175" s="14">
        <v>28.0</v>
      </c>
      <c r="L1175" s="14">
        <v>0.0</v>
      </c>
      <c r="M1175" s="25"/>
      <c r="N1175" s="26" t="s">
        <v>21</v>
      </c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</row>
    <row r="1176">
      <c r="A1176" s="14" t="s">
        <v>4426</v>
      </c>
      <c r="B1176" s="17" t="s">
        <v>4427</v>
      </c>
      <c r="C1176" s="17" t="s">
        <v>4428</v>
      </c>
      <c r="D1176" s="19" t="s">
        <v>4429</v>
      </c>
      <c r="E1176" s="20" t="s">
        <v>53</v>
      </c>
      <c r="F1176" s="21">
        <v>34004.0</v>
      </c>
      <c r="G1176" s="14">
        <f t="shared" si="1"/>
        <v>33</v>
      </c>
      <c r="H1176" s="23" t="s">
        <v>100</v>
      </c>
      <c r="I1176" s="24" t="s">
        <v>33</v>
      </c>
      <c r="J1176" s="19" t="s">
        <v>68</v>
      </c>
      <c r="K1176" s="14">
        <v>32.0</v>
      </c>
      <c r="L1176" s="14">
        <v>0.0</v>
      </c>
      <c r="M1176" s="25"/>
      <c r="N1176" s="26" t="s">
        <v>21</v>
      </c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</row>
    <row r="1177">
      <c r="A1177" s="14" t="s">
        <v>4430</v>
      </c>
      <c r="B1177" s="17" t="s">
        <v>4431</v>
      </c>
      <c r="C1177" s="17" t="s">
        <v>4432</v>
      </c>
      <c r="D1177" s="19" t="s">
        <v>4433</v>
      </c>
      <c r="E1177" s="20" t="s">
        <v>176</v>
      </c>
      <c r="F1177" s="27">
        <v>32829.0</v>
      </c>
      <c r="G1177" s="14">
        <f t="shared" si="1"/>
        <v>36</v>
      </c>
      <c r="H1177" s="23" t="s">
        <v>26</v>
      </c>
      <c r="I1177" s="24" t="s">
        <v>33</v>
      </c>
      <c r="J1177" s="19" t="s">
        <v>53</v>
      </c>
      <c r="K1177" s="14">
        <v>9.0</v>
      </c>
      <c r="L1177" s="14">
        <v>0.0</v>
      </c>
      <c r="M1177" s="25"/>
      <c r="N1177" s="26" t="s">
        <v>21</v>
      </c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</row>
    <row r="1178">
      <c r="A1178" s="14" t="s">
        <v>4434</v>
      </c>
      <c r="B1178" s="17" t="s">
        <v>4431</v>
      </c>
      <c r="C1178" s="17" t="s">
        <v>4435</v>
      </c>
      <c r="D1178" s="19" t="s">
        <v>4436</v>
      </c>
      <c r="E1178" s="20" t="s">
        <v>4437</v>
      </c>
      <c r="F1178" s="21">
        <v>33059.0</v>
      </c>
      <c r="G1178" s="14">
        <f t="shared" si="1"/>
        <v>36</v>
      </c>
      <c r="H1178" s="23" t="s">
        <v>26</v>
      </c>
      <c r="I1178" s="24" t="s">
        <v>27</v>
      </c>
      <c r="J1178" s="19" t="s">
        <v>53</v>
      </c>
      <c r="K1178" s="14">
        <v>9.0</v>
      </c>
      <c r="L1178" s="14">
        <v>0.0</v>
      </c>
      <c r="M1178" s="25"/>
      <c r="N1178" s="26" t="s">
        <v>21</v>
      </c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</row>
    <row r="1179">
      <c r="A1179" s="14" t="s">
        <v>4438</v>
      </c>
      <c r="B1179" s="17" t="s">
        <v>4439</v>
      </c>
      <c r="C1179" s="17" t="s">
        <v>4440</v>
      </c>
      <c r="D1179" s="19" t="s">
        <v>4441</v>
      </c>
      <c r="E1179" s="20" t="s">
        <v>1058</v>
      </c>
      <c r="F1179" s="27">
        <v>21531.0</v>
      </c>
      <c r="G1179" s="14">
        <f t="shared" si="1"/>
        <v>67</v>
      </c>
      <c r="H1179" s="23" t="s">
        <v>26</v>
      </c>
      <c r="I1179" s="24" t="s">
        <v>33</v>
      </c>
      <c r="J1179" s="19" t="s">
        <v>362</v>
      </c>
      <c r="K1179" s="14">
        <v>25.0</v>
      </c>
      <c r="L1179" s="14">
        <v>0.0</v>
      </c>
      <c r="M1179" s="25"/>
      <c r="N1179" s="26" t="s">
        <v>21</v>
      </c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</row>
    <row r="1180">
      <c r="A1180" s="14" t="s">
        <v>4442</v>
      </c>
      <c r="B1180" s="17" t="s">
        <v>4439</v>
      </c>
      <c r="C1180" s="17" t="s">
        <v>4443</v>
      </c>
      <c r="D1180" s="19" t="s">
        <v>1048</v>
      </c>
      <c r="E1180" s="20" t="s">
        <v>1058</v>
      </c>
      <c r="F1180" s="21">
        <v>24082.0</v>
      </c>
      <c r="G1180" s="14">
        <f t="shared" si="1"/>
        <v>60</v>
      </c>
      <c r="H1180" s="23" t="s">
        <v>26</v>
      </c>
      <c r="I1180" s="24" t="s">
        <v>27</v>
      </c>
      <c r="J1180" s="19" t="s">
        <v>362</v>
      </c>
      <c r="K1180" s="14">
        <v>25.0</v>
      </c>
      <c r="L1180" s="14">
        <v>0.0</v>
      </c>
      <c r="M1180" s="25"/>
      <c r="N1180" s="26" t="s">
        <v>21</v>
      </c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</row>
    <row r="1181">
      <c r="A1181" s="14" t="s">
        <v>4444</v>
      </c>
      <c r="B1181" s="17" t="s">
        <v>4445</v>
      </c>
      <c r="C1181" s="17" t="s">
        <v>4446</v>
      </c>
      <c r="D1181" s="19" t="s">
        <v>4447</v>
      </c>
      <c r="E1181" s="20" t="s">
        <v>429</v>
      </c>
      <c r="F1181" s="21">
        <v>23790.0</v>
      </c>
      <c r="G1181" s="14">
        <f t="shared" si="1"/>
        <v>61</v>
      </c>
      <c r="H1181" s="23" t="s">
        <v>26</v>
      </c>
      <c r="I1181" s="24" t="s">
        <v>27</v>
      </c>
      <c r="J1181" s="19" t="s">
        <v>726</v>
      </c>
      <c r="K1181" s="14">
        <v>12.0</v>
      </c>
      <c r="L1181" s="14">
        <v>1.0</v>
      </c>
      <c r="M1181" s="25"/>
      <c r="N1181" s="26" t="s">
        <v>21</v>
      </c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</row>
    <row r="1182">
      <c r="A1182" s="14" t="s">
        <v>4448</v>
      </c>
      <c r="B1182" s="17" t="s">
        <v>4445</v>
      </c>
      <c r="C1182" s="17" t="s">
        <v>4449</v>
      </c>
      <c r="D1182" s="19" t="s">
        <v>4450</v>
      </c>
      <c r="E1182" s="20" t="s">
        <v>112</v>
      </c>
      <c r="F1182" s="21">
        <v>21990.0</v>
      </c>
      <c r="G1182" s="14">
        <f t="shared" si="1"/>
        <v>66</v>
      </c>
      <c r="H1182" s="23" t="s">
        <v>26</v>
      </c>
      <c r="I1182" s="24" t="s">
        <v>33</v>
      </c>
      <c r="J1182" s="19" t="s">
        <v>726</v>
      </c>
      <c r="K1182" s="14">
        <v>12.0</v>
      </c>
      <c r="L1182" s="14">
        <v>1.0</v>
      </c>
      <c r="M1182" s="25"/>
      <c r="N1182" s="26" t="s">
        <v>21</v>
      </c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</row>
    <row r="1183">
      <c r="A1183" s="14" t="s">
        <v>4451</v>
      </c>
      <c r="B1183" s="17" t="s">
        <v>4452</v>
      </c>
      <c r="C1183" s="17" t="s">
        <v>4453</v>
      </c>
      <c r="D1183" s="19" t="s">
        <v>4454</v>
      </c>
      <c r="E1183" s="20" t="s">
        <v>1816</v>
      </c>
      <c r="F1183" s="21">
        <v>19058.0</v>
      </c>
      <c r="G1183" s="14">
        <f t="shared" si="1"/>
        <v>74</v>
      </c>
      <c r="H1183" s="23" t="s">
        <v>100</v>
      </c>
      <c r="I1183" s="24" t="s">
        <v>27</v>
      </c>
      <c r="J1183" s="19" t="s">
        <v>68</v>
      </c>
      <c r="K1183" s="14">
        <v>29.0</v>
      </c>
      <c r="L1183" s="14">
        <v>0.0</v>
      </c>
      <c r="M1183" s="25"/>
      <c r="N1183" s="26" t="s">
        <v>21</v>
      </c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</row>
    <row r="1184">
      <c r="A1184" s="14" t="s">
        <v>4455</v>
      </c>
      <c r="B1184" s="17" t="s">
        <v>4456</v>
      </c>
      <c r="C1184" s="17" t="s">
        <v>4457</v>
      </c>
      <c r="D1184" s="19" t="s">
        <v>4458</v>
      </c>
      <c r="E1184" s="20" t="s">
        <v>219</v>
      </c>
      <c r="F1184" s="21">
        <v>23746.0</v>
      </c>
      <c r="G1184" s="14">
        <f t="shared" si="1"/>
        <v>61</v>
      </c>
      <c r="H1184" s="23" t="s">
        <v>26</v>
      </c>
      <c r="I1184" s="24" t="s">
        <v>33</v>
      </c>
      <c r="J1184" s="19" t="s">
        <v>58</v>
      </c>
      <c r="K1184" s="14">
        <v>5.0</v>
      </c>
      <c r="L1184" s="14">
        <v>0.0</v>
      </c>
      <c r="M1184" s="25"/>
      <c r="N1184" s="26" t="s">
        <v>21</v>
      </c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</row>
    <row r="1185">
      <c r="A1185" s="14" t="s">
        <v>4459</v>
      </c>
      <c r="B1185" s="17" t="s">
        <v>4456</v>
      </c>
      <c r="C1185" s="17" t="s">
        <v>4460</v>
      </c>
      <c r="D1185" s="19" t="s">
        <v>4461</v>
      </c>
      <c r="E1185" s="20" t="s">
        <v>219</v>
      </c>
      <c r="F1185" s="21">
        <v>35597.0</v>
      </c>
      <c r="G1185" s="14">
        <f t="shared" si="1"/>
        <v>29</v>
      </c>
      <c r="H1185" s="23" t="s">
        <v>100</v>
      </c>
      <c r="I1185" s="24" t="s">
        <v>27</v>
      </c>
      <c r="J1185" s="19" t="s">
        <v>58</v>
      </c>
      <c r="K1185" s="14">
        <v>5.0</v>
      </c>
      <c r="L1185" s="14">
        <v>0.0</v>
      </c>
      <c r="M1185" s="25"/>
      <c r="N1185" s="26" t="s">
        <v>21</v>
      </c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</row>
    <row r="1186">
      <c r="A1186" s="14" t="s">
        <v>4462</v>
      </c>
      <c r="B1186" s="17" t="s">
        <v>4463</v>
      </c>
      <c r="C1186" s="17" t="s">
        <v>4464</v>
      </c>
      <c r="D1186" s="19" t="s">
        <v>4465</v>
      </c>
      <c r="E1186" s="20" t="s">
        <v>219</v>
      </c>
      <c r="F1186" s="21">
        <v>34845.0</v>
      </c>
      <c r="G1186" s="14">
        <f t="shared" si="1"/>
        <v>31</v>
      </c>
      <c r="H1186" s="23" t="s">
        <v>26</v>
      </c>
      <c r="I1186" s="24" t="s">
        <v>27</v>
      </c>
      <c r="J1186" s="19" t="s">
        <v>68</v>
      </c>
      <c r="K1186" s="14">
        <v>28.0</v>
      </c>
      <c r="L1186" s="14">
        <v>0.0</v>
      </c>
      <c r="M1186" s="25"/>
      <c r="N1186" s="26" t="s">
        <v>21</v>
      </c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</row>
    <row r="1187">
      <c r="A1187" s="14" t="s">
        <v>4466</v>
      </c>
      <c r="B1187" s="17" t="s">
        <v>4463</v>
      </c>
      <c r="C1187" s="17" t="s">
        <v>4467</v>
      </c>
      <c r="D1187" s="19" t="s">
        <v>4468</v>
      </c>
      <c r="E1187" s="20" t="s">
        <v>104</v>
      </c>
      <c r="F1187" s="21">
        <v>33805.0</v>
      </c>
      <c r="G1187" s="14">
        <f t="shared" si="1"/>
        <v>34</v>
      </c>
      <c r="H1187" s="23" t="s">
        <v>26</v>
      </c>
      <c r="I1187" s="24" t="s">
        <v>33</v>
      </c>
      <c r="J1187" s="19" t="s">
        <v>68</v>
      </c>
      <c r="K1187" s="14">
        <v>28.0</v>
      </c>
      <c r="L1187" s="14">
        <v>0.0</v>
      </c>
      <c r="M1187" s="25"/>
      <c r="N1187" s="26" t="s">
        <v>21</v>
      </c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</row>
    <row r="1188">
      <c r="A1188" s="14" t="s">
        <v>4469</v>
      </c>
      <c r="B1188" s="17" t="s">
        <v>4470</v>
      </c>
      <c r="C1188" s="17" t="s">
        <v>4471</v>
      </c>
      <c r="D1188" s="19" t="s">
        <v>4472</v>
      </c>
      <c r="E1188" s="20" t="s">
        <v>632</v>
      </c>
      <c r="F1188" s="21">
        <v>33469.0</v>
      </c>
      <c r="G1188" s="14">
        <f t="shared" si="1"/>
        <v>35</v>
      </c>
      <c r="H1188" s="23" t="s">
        <v>26</v>
      </c>
      <c r="I1188" s="24" t="s">
        <v>27</v>
      </c>
      <c r="J1188" s="19" t="s">
        <v>53</v>
      </c>
      <c r="K1188" s="14">
        <v>17.0</v>
      </c>
      <c r="L1188" s="14">
        <v>0.0</v>
      </c>
      <c r="M1188" s="25"/>
      <c r="N1188" s="26" t="s">
        <v>21</v>
      </c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</row>
    <row r="1189">
      <c r="A1189" s="14" t="s">
        <v>4473</v>
      </c>
      <c r="B1189" s="17" t="s">
        <v>4470</v>
      </c>
      <c r="C1189" s="17" t="s">
        <v>4474</v>
      </c>
      <c r="D1189" s="19" t="s">
        <v>4475</v>
      </c>
      <c r="E1189" s="20" t="s">
        <v>104</v>
      </c>
      <c r="F1189" s="21">
        <v>31458.0</v>
      </c>
      <c r="G1189" s="14">
        <f t="shared" si="1"/>
        <v>40</v>
      </c>
      <c r="H1189" s="23" t="s">
        <v>26</v>
      </c>
      <c r="I1189" s="24" t="s">
        <v>33</v>
      </c>
      <c r="J1189" s="19" t="s">
        <v>53</v>
      </c>
      <c r="K1189" s="14">
        <v>17.0</v>
      </c>
      <c r="L1189" s="14">
        <v>0.0</v>
      </c>
      <c r="M1189" s="25"/>
      <c r="N1189" s="26" t="s">
        <v>21</v>
      </c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</row>
    <row r="1190">
      <c r="A1190" s="14" t="s">
        <v>4476</v>
      </c>
      <c r="B1190" s="17" t="s">
        <v>4477</v>
      </c>
      <c r="C1190" s="17" t="s">
        <v>4478</v>
      </c>
      <c r="D1190" s="19" t="s">
        <v>311</v>
      </c>
      <c r="E1190" s="20" t="s">
        <v>880</v>
      </c>
      <c r="F1190" s="21">
        <v>29960.0</v>
      </c>
      <c r="G1190" s="14">
        <f t="shared" si="1"/>
        <v>44</v>
      </c>
      <c r="H1190" s="23" t="s">
        <v>26</v>
      </c>
      <c r="I1190" s="24" t="s">
        <v>33</v>
      </c>
      <c r="J1190" s="19" t="s">
        <v>757</v>
      </c>
      <c r="K1190" s="14">
        <v>4.0</v>
      </c>
      <c r="L1190" s="14">
        <v>0.0</v>
      </c>
      <c r="M1190" s="25"/>
      <c r="N1190" s="26" t="s">
        <v>21</v>
      </c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</row>
    <row r="1191">
      <c r="A1191" s="14" t="s">
        <v>4479</v>
      </c>
      <c r="B1191" s="17" t="s">
        <v>4477</v>
      </c>
      <c r="C1191" s="17" t="s">
        <v>4480</v>
      </c>
      <c r="D1191" s="19" t="s">
        <v>4481</v>
      </c>
      <c r="E1191" s="20" t="s">
        <v>880</v>
      </c>
      <c r="F1191" s="21">
        <v>30211.0</v>
      </c>
      <c r="G1191" s="14">
        <f t="shared" si="1"/>
        <v>44</v>
      </c>
      <c r="H1191" s="23" t="s">
        <v>26</v>
      </c>
      <c r="I1191" s="24" t="s">
        <v>27</v>
      </c>
      <c r="J1191" s="19" t="s">
        <v>757</v>
      </c>
      <c r="K1191" s="14">
        <v>4.0</v>
      </c>
      <c r="L1191" s="14">
        <v>0.0</v>
      </c>
      <c r="M1191" s="25"/>
      <c r="N1191" s="26" t="s">
        <v>21</v>
      </c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</row>
    <row r="1192">
      <c r="A1192" s="14" t="s">
        <v>4482</v>
      </c>
      <c r="B1192" s="17" t="s">
        <v>4483</v>
      </c>
      <c r="C1192" s="17" t="s">
        <v>4484</v>
      </c>
      <c r="D1192" s="19" t="s">
        <v>4485</v>
      </c>
      <c r="E1192" s="20" t="s">
        <v>890</v>
      </c>
      <c r="F1192" s="21">
        <v>25426.0</v>
      </c>
      <c r="G1192" s="14">
        <f t="shared" si="1"/>
        <v>57</v>
      </c>
      <c r="H1192" s="23" t="s">
        <v>26</v>
      </c>
      <c r="I1192" s="24" t="s">
        <v>33</v>
      </c>
      <c r="J1192" s="19" t="s">
        <v>362</v>
      </c>
      <c r="K1192" s="14">
        <v>24.0</v>
      </c>
      <c r="L1192" s="14">
        <v>0.0</v>
      </c>
      <c r="M1192" s="25"/>
      <c r="N1192" s="26" t="s">
        <v>21</v>
      </c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</row>
    <row r="1193">
      <c r="A1193" s="14" t="s">
        <v>4486</v>
      </c>
      <c r="B1193" s="17" t="s">
        <v>4483</v>
      </c>
      <c r="C1193" s="17" t="s">
        <v>4487</v>
      </c>
      <c r="D1193" s="19" t="s">
        <v>4488</v>
      </c>
      <c r="E1193" s="20" t="s">
        <v>632</v>
      </c>
      <c r="F1193" s="21">
        <v>26064.0</v>
      </c>
      <c r="G1193" s="14">
        <f t="shared" si="1"/>
        <v>55</v>
      </c>
      <c r="H1193" s="23" t="s">
        <v>26</v>
      </c>
      <c r="I1193" s="24" t="s">
        <v>27</v>
      </c>
      <c r="J1193" s="19" t="s">
        <v>362</v>
      </c>
      <c r="K1193" s="14">
        <v>24.0</v>
      </c>
      <c r="L1193" s="14">
        <v>0.0</v>
      </c>
      <c r="M1193" s="25"/>
      <c r="N1193" s="26" t="s">
        <v>21</v>
      </c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</row>
    <row r="1194">
      <c r="A1194" s="14" t="s">
        <v>4489</v>
      </c>
      <c r="B1194" s="17" t="s">
        <v>4490</v>
      </c>
      <c r="C1194" s="17" t="s">
        <v>4491</v>
      </c>
      <c r="D1194" s="19" t="s">
        <v>4492</v>
      </c>
      <c r="E1194" s="20" t="s">
        <v>195</v>
      </c>
      <c r="F1194" s="27">
        <v>36815.0</v>
      </c>
      <c r="G1194" s="14">
        <f t="shared" si="1"/>
        <v>26</v>
      </c>
      <c r="H1194" s="23" t="s">
        <v>26</v>
      </c>
      <c r="I1194" s="24" t="s">
        <v>33</v>
      </c>
      <c r="J1194" s="19" t="s">
        <v>53</v>
      </c>
      <c r="K1194" s="14">
        <v>18.0</v>
      </c>
      <c r="L1194" s="14">
        <v>0.0</v>
      </c>
      <c r="M1194" s="25"/>
      <c r="N1194" s="26" t="s">
        <v>21</v>
      </c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</row>
    <row r="1195">
      <c r="A1195" s="14" t="s">
        <v>4493</v>
      </c>
      <c r="B1195" s="17" t="s">
        <v>4490</v>
      </c>
      <c r="C1195" s="17" t="s">
        <v>4494</v>
      </c>
      <c r="D1195" s="19" t="s">
        <v>4495</v>
      </c>
      <c r="E1195" s="20" t="s">
        <v>337</v>
      </c>
      <c r="F1195" s="21">
        <v>36536.0</v>
      </c>
      <c r="G1195" s="14">
        <f t="shared" si="1"/>
        <v>26</v>
      </c>
      <c r="H1195" s="23" t="s">
        <v>26</v>
      </c>
      <c r="I1195" s="24" t="s">
        <v>27</v>
      </c>
      <c r="J1195" s="19" t="s">
        <v>53</v>
      </c>
      <c r="K1195" s="14">
        <v>18.0</v>
      </c>
      <c r="L1195" s="14">
        <v>0.0</v>
      </c>
      <c r="M1195" s="25"/>
      <c r="N1195" s="26" t="s">
        <v>21</v>
      </c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</row>
    <row r="1196">
      <c r="A1196" s="14" t="s">
        <v>4496</v>
      </c>
      <c r="B1196" s="17" t="s">
        <v>4497</v>
      </c>
      <c r="C1196" s="17" t="s">
        <v>4498</v>
      </c>
      <c r="D1196" s="19" t="s">
        <v>4499</v>
      </c>
      <c r="E1196" s="20" t="s">
        <v>53</v>
      </c>
      <c r="F1196" s="27">
        <v>36487.0</v>
      </c>
      <c r="G1196" s="14">
        <f t="shared" si="1"/>
        <v>26</v>
      </c>
      <c r="H1196" s="23" t="s">
        <v>100</v>
      </c>
      <c r="I1196" s="24" t="s">
        <v>33</v>
      </c>
      <c r="J1196" s="19" t="s">
        <v>362</v>
      </c>
      <c r="K1196" s="14">
        <v>26.0</v>
      </c>
      <c r="L1196" s="14">
        <v>0.0</v>
      </c>
      <c r="M1196" s="25"/>
      <c r="N1196" s="26" t="s">
        <v>21</v>
      </c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</row>
    <row r="1197">
      <c r="A1197" s="14" t="s">
        <v>4500</v>
      </c>
      <c r="B1197" s="17" t="s">
        <v>4497</v>
      </c>
      <c r="C1197" s="17" t="s">
        <v>4501</v>
      </c>
      <c r="D1197" s="19" t="s">
        <v>4502</v>
      </c>
      <c r="E1197" s="20" t="s">
        <v>632</v>
      </c>
      <c r="F1197" s="21">
        <v>23930.0</v>
      </c>
      <c r="G1197" s="14">
        <f t="shared" si="1"/>
        <v>61</v>
      </c>
      <c r="H1197" s="23" t="s">
        <v>26</v>
      </c>
      <c r="I1197" s="24" t="s">
        <v>33</v>
      </c>
      <c r="J1197" s="19" t="s">
        <v>362</v>
      </c>
      <c r="K1197" s="14">
        <v>26.0</v>
      </c>
      <c r="L1197" s="14">
        <v>0.0</v>
      </c>
      <c r="M1197" s="25"/>
      <c r="N1197" s="26" t="s">
        <v>21</v>
      </c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</row>
    <row r="1198">
      <c r="A1198" s="14" t="s">
        <v>4503</v>
      </c>
      <c r="B1198" s="17" t="s">
        <v>4497</v>
      </c>
      <c r="C1198" s="17" t="s">
        <v>4504</v>
      </c>
      <c r="D1198" s="19" t="s">
        <v>4505</v>
      </c>
      <c r="E1198" s="20" t="s">
        <v>2505</v>
      </c>
      <c r="F1198" s="27">
        <v>27385.0</v>
      </c>
      <c r="G1198" s="14">
        <f t="shared" si="1"/>
        <v>51</v>
      </c>
      <c r="H1198" s="23" t="s">
        <v>26</v>
      </c>
      <c r="I1198" s="24" t="s">
        <v>27</v>
      </c>
      <c r="J1198" s="19" t="s">
        <v>362</v>
      </c>
      <c r="K1198" s="14">
        <v>26.0</v>
      </c>
      <c r="L1198" s="14">
        <v>0.0</v>
      </c>
      <c r="M1198" s="25"/>
      <c r="N1198" s="26" t="s">
        <v>21</v>
      </c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</row>
    <row r="1199">
      <c r="A1199" s="14" t="s">
        <v>4506</v>
      </c>
      <c r="B1199" s="17" t="s">
        <v>4507</v>
      </c>
      <c r="C1199" s="17" t="s">
        <v>4508</v>
      </c>
      <c r="D1199" s="19" t="s">
        <v>4509</v>
      </c>
      <c r="E1199" s="20" t="s">
        <v>654</v>
      </c>
      <c r="F1199" s="21">
        <v>19541.0</v>
      </c>
      <c r="G1199" s="14">
        <f t="shared" si="1"/>
        <v>73</v>
      </c>
      <c r="H1199" s="23" t="s">
        <v>26</v>
      </c>
      <c r="I1199" s="24" t="s">
        <v>27</v>
      </c>
      <c r="J1199" s="19" t="s">
        <v>362</v>
      </c>
      <c r="K1199" s="14">
        <v>26.0</v>
      </c>
      <c r="L1199" s="14">
        <v>0.0</v>
      </c>
      <c r="M1199" s="25"/>
      <c r="N1199" s="26" t="s">
        <v>21</v>
      </c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</row>
    <row r="1200">
      <c r="A1200" s="14" t="s">
        <v>4510</v>
      </c>
      <c r="B1200" s="17" t="s">
        <v>4511</v>
      </c>
      <c r="C1200" s="17" t="s">
        <v>4512</v>
      </c>
      <c r="D1200" s="19" t="s">
        <v>4513</v>
      </c>
      <c r="E1200" s="20" t="s">
        <v>650</v>
      </c>
      <c r="F1200" s="21">
        <v>25020.0</v>
      </c>
      <c r="G1200" s="14">
        <f t="shared" si="1"/>
        <v>58</v>
      </c>
      <c r="H1200" s="23" t="s">
        <v>26</v>
      </c>
      <c r="I1200" s="24" t="s">
        <v>33</v>
      </c>
      <c r="J1200" s="19" t="s">
        <v>328</v>
      </c>
      <c r="K1200" s="14">
        <v>26.0</v>
      </c>
      <c r="L1200" s="14">
        <v>0.0</v>
      </c>
      <c r="M1200" s="25"/>
      <c r="N1200" s="26" t="s">
        <v>21</v>
      </c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</row>
    <row r="1201">
      <c r="A1201" s="14" t="s">
        <v>4514</v>
      </c>
      <c r="B1201" s="17" t="s">
        <v>4511</v>
      </c>
      <c r="C1201" s="17" t="s">
        <v>4515</v>
      </c>
      <c r="D1201" s="19" t="s">
        <v>4516</v>
      </c>
      <c r="E1201" s="20" t="s">
        <v>650</v>
      </c>
      <c r="F1201" s="21">
        <v>7122.0</v>
      </c>
      <c r="G1201" s="14">
        <f t="shared" si="1"/>
        <v>107</v>
      </c>
      <c r="H1201" s="23" t="s">
        <v>26</v>
      </c>
      <c r="I1201" s="24" t="s">
        <v>27</v>
      </c>
      <c r="J1201" s="19" t="s">
        <v>328</v>
      </c>
      <c r="K1201" s="14">
        <v>26.0</v>
      </c>
      <c r="L1201" s="14">
        <v>0.0</v>
      </c>
      <c r="M1201" s="25"/>
      <c r="N1201" s="26" t="s">
        <v>21</v>
      </c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</row>
    <row r="1202">
      <c r="A1202" s="14" t="s">
        <v>4517</v>
      </c>
      <c r="B1202" s="17" t="s">
        <v>4511</v>
      </c>
      <c r="C1202" s="17" t="s">
        <v>4518</v>
      </c>
      <c r="D1202" s="19" t="s">
        <v>4519</v>
      </c>
      <c r="E1202" s="20" t="s">
        <v>53</v>
      </c>
      <c r="F1202" s="21">
        <v>37361.0</v>
      </c>
      <c r="G1202" s="14">
        <f t="shared" si="1"/>
        <v>24</v>
      </c>
      <c r="H1202" s="23" t="s">
        <v>100</v>
      </c>
      <c r="I1202" s="24" t="s">
        <v>27</v>
      </c>
      <c r="J1202" s="19" t="s">
        <v>328</v>
      </c>
      <c r="K1202" s="14">
        <v>26.0</v>
      </c>
      <c r="L1202" s="14">
        <v>0.0</v>
      </c>
      <c r="M1202" s="25"/>
      <c r="N1202" s="26" t="s">
        <v>21</v>
      </c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</row>
    <row r="1203">
      <c r="A1203" s="14" t="s">
        <v>4520</v>
      </c>
      <c r="B1203" s="17" t="s">
        <v>4521</v>
      </c>
      <c r="C1203" s="17" t="s">
        <v>4522</v>
      </c>
      <c r="D1203" s="19" t="s">
        <v>4523</v>
      </c>
      <c r="E1203" s="20" t="s">
        <v>4524</v>
      </c>
      <c r="F1203" s="21">
        <v>21342.0</v>
      </c>
      <c r="G1203" s="14">
        <f t="shared" si="1"/>
        <v>68</v>
      </c>
      <c r="H1203" s="23" t="s">
        <v>26</v>
      </c>
      <c r="I1203" s="24" t="s">
        <v>33</v>
      </c>
      <c r="J1203" s="19" t="s">
        <v>4079</v>
      </c>
      <c r="K1203" s="14">
        <v>22.0</v>
      </c>
      <c r="L1203" s="14">
        <v>0.0</v>
      </c>
      <c r="M1203" s="25"/>
      <c r="N1203" s="26" t="s">
        <v>21</v>
      </c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</row>
    <row r="1204">
      <c r="A1204" s="14" t="s">
        <v>4525</v>
      </c>
      <c r="B1204" s="17" t="s">
        <v>4521</v>
      </c>
      <c r="C1204" s="17" t="s">
        <v>4526</v>
      </c>
      <c r="D1204" s="19" t="s">
        <v>1127</v>
      </c>
      <c r="E1204" s="20" t="s">
        <v>632</v>
      </c>
      <c r="F1204" s="21">
        <v>25791.0</v>
      </c>
      <c r="G1204" s="14">
        <f t="shared" si="1"/>
        <v>56</v>
      </c>
      <c r="H1204" s="23" t="s">
        <v>26</v>
      </c>
      <c r="I1204" s="24" t="s">
        <v>27</v>
      </c>
      <c r="J1204" s="19" t="s">
        <v>4079</v>
      </c>
      <c r="K1204" s="14">
        <v>22.0</v>
      </c>
      <c r="L1204" s="14">
        <v>0.0</v>
      </c>
      <c r="M1204" s="25"/>
      <c r="N1204" s="26" t="s">
        <v>21</v>
      </c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</row>
    <row r="1205">
      <c r="A1205" s="14" t="s">
        <v>4527</v>
      </c>
      <c r="B1205" s="17" t="s">
        <v>4528</v>
      </c>
      <c r="C1205" s="17" t="s">
        <v>4529</v>
      </c>
      <c r="D1205" s="19" t="s">
        <v>4530</v>
      </c>
      <c r="E1205" s="20" t="s">
        <v>53</v>
      </c>
      <c r="F1205" s="21">
        <v>38421.0</v>
      </c>
      <c r="G1205" s="14">
        <f t="shared" si="1"/>
        <v>21</v>
      </c>
      <c r="H1205" s="23" t="s">
        <v>100</v>
      </c>
      <c r="I1205" s="24" t="s">
        <v>33</v>
      </c>
      <c r="J1205" s="19" t="s">
        <v>328</v>
      </c>
      <c r="K1205" s="14">
        <v>34.0</v>
      </c>
      <c r="L1205" s="14">
        <v>0.0</v>
      </c>
      <c r="M1205" s="25"/>
      <c r="N1205" s="26" t="s">
        <v>21</v>
      </c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</row>
    <row r="1206">
      <c r="A1206" s="14" t="s">
        <v>4531</v>
      </c>
      <c r="B1206" s="17" t="s">
        <v>4528</v>
      </c>
      <c r="C1206" s="17" t="s">
        <v>4532</v>
      </c>
      <c r="D1206" s="19" t="s">
        <v>4533</v>
      </c>
      <c r="E1206" s="20" t="s">
        <v>195</v>
      </c>
      <c r="F1206" s="21">
        <v>30171.0</v>
      </c>
      <c r="G1206" s="14">
        <f t="shared" si="1"/>
        <v>44</v>
      </c>
      <c r="H1206" s="23" t="s">
        <v>26</v>
      </c>
      <c r="I1206" s="24" t="s">
        <v>27</v>
      </c>
      <c r="J1206" s="19" t="s">
        <v>328</v>
      </c>
      <c r="K1206" s="14">
        <v>34.0</v>
      </c>
      <c r="L1206" s="14">
        <v>0.0</v>
      </c>
      <c r="M1206" s="25"/>
      <c r="N1206" s="26" t="s">
        <v>21</v>
      </c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</row>
    <row r="1207">
      <c r="A1207" s="14" t="s">
        <v>4534</v>
      </c>
      <c r="B1207" s="17" t="s">
        <v>4528</v>
      </c>
      <c r="C1207" s="17" t="s">
        <v>4535</v>
      </c>
      <c r="D1207" s="19" t="s">
        <v>4536</v>
      </c>
      <c r="E1207" s="20" t="s">
        <v>104</v>
      </c>
      <c r="F1207" s="21">
        <v>30258.0</v>
      </c>
      <c r="G1207" s="14">
        <f t="shared" si="1"/>
        <v>43</v>
      </c>
      <c r="H1207" s="23" t="s">
        <v>26</v>
      </c>
      <c r="I1207" s="24" t="s">
        <v>33</v>
      </c>
      <c r="J1207" s="19" t="s">
        <v>328</v>
      </c>
      <c r="K1207" s="14">
        <v>34.0</v>
      </c>
      <c r="L1207" s="14">
        <v>0.0</v>
      </c>
      <c r="M1207" s="25"/>
      <c r="N1207" s="26" t="s">
        <v>21</v>
      </c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</row>
    <row r="1208">
      <c r="A1208" s="14" t="s">
        <v>4537</v>
      </c>
      <c r="B1208" s="17" t="s">
        <v>4538</v>
      </c>
      <c r="C1208" s="17" t="s">
        <v>4539</v>
      </c>
      <c r="D1208" s="19" t="s">
        <v>4540</v>
      </c>
      <c r="E1208" s="20" t="s">
        <v>104</v>
      </c>
      <c r="F1208" s="21">
        <v>36468.0</v>
      </c>
      <c r="G1208" s="14">
        <f t="shared" si="1"/>
        <v>26</v>
      </c>
      <c r="H1208" s="23" t="s">
        <v>100</v>
      </c>
      <c r="I1208" s="24" t="s">
        <v>33</v>
      </c>
      <c r="J1208" s="19" t="s">
        <v>4020</v>
      </c>
      <c r="K1208" s="14">
        <v>23.0</v>
      </c>
      <c r="L1208" s="14">
        <v>0.0</v>
      </c>
      <c r="M1208" s="25"/>
      <c r="N1208" s="26" t="s">
        <v>21</v>
      </c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</row>
    <row r="1209">
      <c r="A1209" s="14" t="s">
        <v>4541</v>
      </c>
      <c r="B1209" s="17" t="s">
        <v>4538</v>
      </c>
      <c r="C1209" s="17" t="s">
        <v>4542</v>
      </c>
      <c r="D1209" s="19" t="s">
        <v>4543</v>
      </c>
      <c r="E1209" s="20" t="s">
        <v>104</v>
      </c>
      <c r="F1209" s="21">
        <v>29791.0</v>
      </c>
      <c r="G1209" s="14">
        <f t="shared" si="1"/>
        <v>45</v>
      </c>
      <c r="H1209" s="23" t="s">
        <v>26</v>
      </c>
      <c r="I1209" s="24" t="s">
        <v>27</v>
      </c>
      <c r="J1209" s="19" t="s">
        <v>4020</v>
      </c>
      <c r="K1209" s="14">
        <v>23.0</v>
      </c>
      <c r="L1209" s="14">
        <v>0.0</v>
      </c>
      <c r="M1209" s="25"/>
      <c r="N1209" s="26" t="s">
        <v>21</v>
      </c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</row>
    <row r="1210">
      <c r="A1210" s="14" t="s">
        <v>4544</v>
      </c>
      <c r="B1210" s="17" t="s">
        <v>4538</v>
      </c>
      <c r="C1210" s="17" t="s">
        <v>4545</v>
      </c>
      <c r="D1210" s="19" t="s">
        <v>4546</v>
      </c>
      <c r="E1210" s="20" t="s">
        <v>187</v>
      </c>
      <c r="F1210" s="21">
        <v>28719.0</v>
      </c>
      <c r="G1210" s="14">
        <f t="shared" si="1"/>
        <v>48</v>
      </c>
      <c r="H1210" s="23" t="s">
        <v>26</v>
      </c>
      <c r="I1210" s="24" t="s">
        <v>33</v>
      </c>
      <c r="J1210" s="19" t="s">
        <v>4020</v>
      </c>
      <c r="K1210" s="14">
        <v>23.0</v>
      </c>
      <c r="L1210" s="14">
        <v>0.0</v>
      </c>
      <c r="M1210" s="25"/>
      <c r="N1210" s="26" t="s">
        <v>21</v>
      </c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</row>
    <row r="1211">
      <c r="A1211" s="14" t="s">
        <v>4547</v>
      </c>
      <c r="B1211" s="17" t="s">
        <v>4548</v>
      </c>
      <c r="C1211" s="17" t="s">
        <v>4549</v>
      </c>
      <c r="D1211" s="19" t="s">
        <v>4550</v>
      </c>
      <c r="E1211" s="20" t="s">
        <v>104</v>
      </c>
      <c r="F1211" s="21">
        <v>39259.0</v>
      </c>
      <c r="G1211" s="14">
        <f t="shared" si="1"/>
        <v>19</v>
      </c>
      <c r="H1211" s="23" t="s">
        <v>100</v>
      </c>
      <c r="I1211" s="24" t="s">
        <v>33</v>
      </c>
      <c r="J1211" s="19" t="s">
        <v>4551</v>
      </c>
      <c r="K1211" s="14">
        <v>32.0</v>
      </c>
      <c r="L1211" s="14">
        <v>0.0</v>
      </c>
      <c r="M1211" s="25"/>
      <c r="N1211" s="26" t="s">
        <v>21</v>
      </c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</row>
    <row r="1212">
      <c r="A1212" s="14" t="s">
        <v>4552</v>
      </c>
      <c r="B1212" s="17" t="s">
        <v>4553</v>
      </c>
      <c r="C1212" s="17" t="s">
        <v>4554</v>
      </c>
      <c r="D1212" s="19" t="s">
        <v>4555</v>
      </c>
      <c r="E1212" s="20" t="s">
        <v>53</v>
      </c>
      <c r="F1212" s="21">
        <v>36979.0</v>
      </c>
      <c r="G1212" s="14">
        <f t="shared" si="1"/>
        <v>25</v>
      </c>
      <c r="H1212" s="23" t="s">
        <v>100</v>
      </c>
      <c r="I1212" s="24" t="s">
        <v>27</v>
      </c>
      <c r="J1212" s="19" t="s">
        <v>1437</v>
      </c>
      <c r="K1212" s="14">
        <v>32.0</v>
      </c>
      <c r="L1212" s="14">
        <v>0.0</v>
      </c>
      <c r="M1212" s="25"/>
      <c r="N1212" s="26" t="s">
        <v>21</v>
      </c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</row>
    <row r="1213">
      <c r="A1213" s="14" t="s">
        <v>4556</v>
      </c>
      <c r="B1213" s="17" t="s">
        <v>4553</v>
      </c>
      <c r="C1213" s="17" t="s">
        <v>4557</v>
      </c>
      <c r="D1213" s="19" t="s">
        <v>4558</v>
      </c>
      <c r="E1213" s="20" t="s">
        <v>53</v>
      </c>
      <c r="F1213" s="21">
        <v>29691.0</v>
      </c>
      <c r="G1213" s="14">
        <f t="shared" si="1"/>
        <v>45</v>
      </c>
      <c r="H1213" s="23" t="s">
        <v>26</v>
      </c>
      <c r="I1213" s="24" t="s">
        <v>27</v>
      </c>
      <c r="J1213" s="19" t="s">
        <v>1437</v>
      </c>
      <c r="K1213" s="14">
        <v>32.0</v>
      </c>
      <c r="L1213" s="14">
        <v>0.0</v>
      </c>
      <c r="M1213" s="25"/>
      <c r="N1213" s="26" t="s">
        <v>21</v>
      </c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</row>
    <row r="1214">
      <c r="A1214" s="14" t="s">
        <v>4559</v>
      </c>
      <c r="B1214" s="17" t="s">
        <v>4553</v>
      </c>
      <c r="C1214" s="17" t="s">
        <v>4560</v>
      </c>
      <c r="D1214" s="19" t="s">
        <v>4561</v>
      </c>
      <c r="E1214" s="20" t="s">
        <v>53</v>
      </c>
      <c r="F1214" s="27">
        <v>39048.0</v>
      </c>
      <c r="G1214" s="14">
        <f t="shared" si="1"/>
        <v>19</v>
      </c>
      <c r="H1214" s="23" t="s">
        <v>100</v>
      </c>
      <c r="I1214" s="24" t="s">
        <v>27</v>
      </c>
      <c r="J1214" s="19" t="s">
        <v>1437</v>
      </c>
      <c r="K1214" s="14">
        <v>32.0</v>
      </c>
      <c r="L1214" s="14">
        <v>0.0</v>
      </c>
      <c r="M1214" s="25"/>
      <c r="N1214" s="26" t="s">
        <v>21</v>
      </c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</row>
    <row r="1215">
      <c r="A1215" s="14" t="s">
        <v>4562</v>
      </c>
      <c r="B1215" s="17" t="s">
        <v>4553</v>
      </c>
      <c r="C1215" s="17" t="s">
        <v>4563</v>
      </c>
      <c r="D1215" s="19" t="s">
        <v>3451</v>
      </c>
      <c r="E1215" s="20" t="s">
        <v>53</v>
      </c>
      <c r="F1215" s="21">
        <v>29075.0</v>
      </c>
      <c r="G1215" s="14">
        <f t="shared" si="1"/>
        <v>47</v>
      </c>
      <c r="H1215" s="23" t="s">
        <v>26</v>
      </c>
      <c r="I1215" s="24" t="s">
        <v>33</v>
      </c>
      <c r="J1215" s="19" t="s">
        <v>156</v>
      </c>
      <c r="K1215" s="14">
        <v>32.0</v>
      </c>
      <c r="L1215" s="14">
        <v>0.0</v>
      </c>
      <c r="M1215" s="25"/>
      <c r="N1215" s="26" t="s">
        <v>21</v>
      </c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</row>
    <row r="1216">
      <c r="A1216" s="14" t="s">
        <v>4564</v>
      </c>
      <c r="B1216" s="17" t="s">
        <v>4565</v>
      </c>
      <c r="C1216" s="17" t="s">
        <v>4566</v>
      </c>
      <c r="D1216" s="19" t="s">
        <v>4567</v>
      </c>
      <c r="E1216" s="20" t="s">
        <v>4568</v>
      </c>
      <c r="F1216" s="21">
        <v>33494.0</v>
      </c>
      <c r="G1216" s="14">
        <f t="shared" si="1"/>
        <v>35</v>
      </c>
      <c r="H1216" s="23" t="s">
        <v>26</v>
      </c>
      <c r="I1216" s="24" t="s">
        <v>27</v>
      </c>
      <c r="J1216" s="19" t="s">
        <v>68</v>
      </c>
      <c r="K1216" s="14">
        <v>28.0</v>
      </c>
      <c r="L1216" s="14">
        <v>0.0</v>
      </c>
      <c r="M1216" s="25"/>
      <c r="N1216" s="26" t="s">
        <v>21</v>
      </c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</row>
    <row r="1217">
      <c r="A1217" s="14" t="s">
        <v>4569</v>
      </c>
      <c r="B1217" s="17" t="s">
        <v>4565</v>
      </c>
      <c r="C1217" s="17" t="s">
        <v>4570</v>
      </c>
      <c r="D1217" s="19" t="s">
        <v>4571</v>
      </c>
      <c r="E1217" s="20" t="s">
        <v>4572</v>
      </c>
      <c r="F1217" s="27">
        <v>32473.0</v>
      </c>
      <c r="G1217" s="14">
        <f t="shared" si="1"/>
        <v>37</v>
      </c>
      <c r="H1217" s="23" t="s">
        <v>26</v>
      </c>
      <c r="I1217" s="24" t="s">
        <v>33</v>
      </c>
      <c r="J1217" s="19" t="s">
        <v>68</v>
      </c>
      <c r="K1217" s="14">
        <v>28.0</v>
      </c>
      <c r="L1217" s="14">
        <v>0.0</v>
      </c>
      <c r="M1217" s="25"/>
      <c r="N1217" s="26" t="s">
        <v>21</v>
      </c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</row>
    <row r="1218">
      <c r="A1218" s="14" t="s">
        <v>4573</v>
      </c>
      <c r="B1218" s="17" t="s">
        <v>4574</v>
      </c>
      <c r="C1218" s="17" t="s">
        <v>4575</v>
      </c>
      <c r="D1218" s="19" t="s">
        <v>4576</v>
      </c>
      <c r="E1218" s="20" t="s">
        <v>104</v>
      </c>
      <c r="F1218" s="21">
        <v>36206.0</v>
      </c>
      <c r="G1218" s="14">
        <f t="shared" si="1"/>
        <v>27</v>
      </c>
      <c r="H1218" s="23" t="s">
        <v>26</v>
      </c>
      <c r="I1218" s="24" t="s">
        <v>33</v>
      </c>
      <c r="J1218" s="19" t="s">
        <v>328</v>
      </c>
      <c r="K1218" s="14">
        <v>20.0</v>
      </c>
      <c r="L1218" s="14">
        <v>0.0</v>
      </c>
      <c r="M1218" s="25"/>
      <c r="N1218" s="26" t="s">
        <v>21</v>
      </c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</row>
    <row r="1219">
      <c r="A1219" s="14" t="s">
        <v>4577</v>
      </c>
      <c r="B1219" s="17" t="s">
        <v>4574</v>
      </c>
      <c r="C1219" s="17" t="s">
        <v>4578</v>
      </c>
      <c r="D1219" s="19" t="s">
        <v>4579</v>
      </c>
      <c r="E1219" s="20" t="s">
        <v>231</v>
      </c>
      <c r="F1219" s="21">
        <v>36502.0</v>
      </c>
      <c r="G1219" s="14">
        <f t="shared" si="1"/>
        <v>26</v>
      </c>
      <c r="H1219" s="23" t="s">
        <v>26</v>
      </c>
      <c r="I1219" s="24" t="s">
        <v>27</v>
      </c>
      <c r="J1219" s="19" t="s">
        <v>328</v>
      </c>
      <c r="K1219" s="14">
        <v>20.0</v>
      </c>
      <c r="L1219" s="14">
        <v>0.0</v>
      </c>
      <c r="M1219" s="25"/>
      <c r="N1219" s="26" t="s">
        <v>21</v>
      </c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</row>
    <row r="1220">
      <c r="A1220" s="14" t="s">
        <v>4580</v>
      </c>
      <c r="B1220" s="17" t="s">
        <v>4653</v>
      </c>
      <c r="C1220" s="17" t="s">
        <v>4582</v>
      </c>
      <c r="D1220" s="19" t="s">
        <v>4583</v>
      </c>
      <c r="E1220" s="20" t="s">
        <v>53</v>
      </c>
      <c r="F1220" s="21">
        <v>36260.0</v>
      </c>
      <c r="G1220" s="14">
        <f t="shared" si="1"/>
        <v>27</v>
      </c>
      <c r="H1220" s="23" t="s">
        <v>100</v>
      </c>
      <c r="I1220" s="24" t="s">
        <v>33</v>
      </c>
      <c r="J1220" s="19" t="s">
        <v>4237</v>
      </c>
      <c r="K1220" s="14">
        <v>4.0</v>
      </c>
      <c r="L1220" s="14">
        <v>0.0</v>
      </c>
      <c r="M1220" s="25"/>
      <c r="N1220" s="26" t="s">
        <v>21</v>
      </c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</row>
    <row r="1221">
      <c r="A1221" s="14" t="s">
        <v>4584</v>
      </c>
      <c r="B1221" s="17" t="s">
        <v>4581</v>
      </c>
      <c r="C1221" s="17" t="s">
        <v>4585</v>
      </c>
      <c r="D1221" s="19" t="s">
        <v>4586</v>
      </c>
      <c r="E1221" s="20" t="s">
        <v>187</v>
      </c>
      <c r="F1221" s="21">
        <v>26766.0</v>
      </c>
      <c r="G1221" s="14">
        <f t="shared" si="1"/>
        <v>53</v>
      </c>
      <c r="H1221" s="23" t="s">
        <v>26</v>
      </c>
      <c r="I1221" s="24" t="s">
        <v>27</v>
      </c>
      <c r="J1221" s="19" t="s">
        <v>4237</v>
      </c>
      <c r="K1221" s="14">
        <v>2.0</v>
      </c>
      <c r="L1221" s="14">
        <v>0.0</v>
      </c>
      <c r="M1221" s="25"/>
      <c r="N1221" s="26" t="s">
        <v>21</v>
      </c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</row>
    <row r="1222">
      <c r="A1222" s="14" t="s">
        <v>4587</v>
      </c>
      <c r="B1222" s="17" t="s">
        <v>4581</v>
      </c>
      <c r="C1222" s="17" t="s">
        <v>4588</v>
      </c>
      <c r="D1222" s="19" t="s">
        <v>4589</v>
      </c>
      <c r="E1222" s="20" t="s">
        <v>632</v>
      </c>
      <c r="F1222" s="21">
        <v>25771.0</v>
      </c>
      <c r="G1222" s="14">
        <f t="shared" si="1"/>
        <v>56</v>
      </c>
      <c r="H1222" s="23" t="s">
        <v>26</v>
      </c>
      <c r="I1222" s="24" t="s">
        <v>33</v>
      </c>
      <c r="J1222" s="19" t="s">
        <v>4305</v>
      </c>
      <c r="K1222" s="14">
        <v>2.0</v>
      </c>
      <c r="L1222" s="14">
        <v>0.0</v>
      </c>
      <c r="M1222" s="25"/>
      <c r="N1222" s="26" t="s">
        <v>21</v>
      </c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</row>
    <row r="1223">
      <c r="A1223" s="14" t="s">
        <v>4590</v>
      </c>
      <c r="B1223" s="17" t="s">
        <v>4581</v>
      </c>
      <c r="C1223" s="17" t="s">
        <v>4591</v>
      </c>
      <c r="D1223" s="19" t="s">
        <v>4592</v>
      </c>
      <c r="E1223" s="20" t="s">
        <v>53</v>
      </c>
      <c r="F1223" s="21">
        <v>38172.0</v>
      </c>
      <c r="G1223" s="14">
        <f t="shared" si="1"/>
        <v>22</v>
      </c>
      <c r="H1223" s="23" t="s">
        <v>100</v>
      </c>
      <c r="I1223" s="24" t="s">
        <v>27</v>
      </c>
      <c r="J1223" s="19" t="s">
        <v>4237</v>
      </c>
      <c r="K1223" s="14">
        <v>2.0</v>
      </c>
      <c r="L1223" s="14">
        <v>0.0</v>
      </c>
      <c r="M1223" s="25"/>
      <c r="N1223" s="26" t="s">
        <v>21</v>
      </c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</row>
    <row r="1224">
      <c r="A1224" s="14" t="s">
        <v>4593</v>
      </c>
      <c r="B1224" s="17" t="s">
        <v>4594</v>
      </c>
      <c r="C1224" s="17" t="s">
        <v>4595</v>
      </c>
      <c r="D1224" s="19" t="s">
        <v>4596</v>
      </c>
      <c r="E1224" s="20" t="s">
        <v>632</v>
      </c>
      <c r="F1224" s="21">
        <v>22144.0</v>
      </c>
      <c r="G1224" s="14">
        <f t="shared" si="1"/>
        <v>66</v>
      </c>
      <c r="H1224" s="23" t="s">
        <v>26</v>
      </c>
      <c r="I1224" s="24" t="s">
        <v>33</v>
      </c>
      <c r="J1224" s="19" t="s">
        <v>146</v>
      </c>
      <c r="K1224" s="14">
        <v>4.0</v>
      </c>
      <c r="L1224" s="14">
        <v>0.0</v>
      </c>
      <c r="M1224" s="25"/>
      <c r="N1224" s="26" t="s">
        <v>21</v>
      </c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</row>
    <row r="1225">
      <c r="A1225" s="14" t="s">
        <v>4597</v>
      </c>
      <c r="B1225" s="17" t="s">
        <v>4598</v>
      </c>
      <c r="C1225" s="17" t="s">
        <v>4599</v>
      </c>
      <c r="D1225" s="19" t="s">
        <v>4600</v>
      </c>
      <c r="E1225" s="20" t="s">
        <v>104</v>
      </c>
      <c r="F1225" s="21">
        <v>31109.0</v>
      </c>
      <c r="G1225" s="14">
        <f t="shared" si="1"/>
        <v>41</v>
      </c>
      <c r="H1225" s="23" t="s">
        <v>26</v>
      </c>
      <c r="I1225" s="24" t="s">
        <v>33</v>
      </c>
      <c r="J1225" s="19" t="s">
        <v>2019</v>
      </c>
      <c r="K1225" s="14">
        <v>4.0</v>
      </c>
      <c r="L1225" s="14">
        <v>0.0</v>
      </c>
      <c r="M1225" s="25"/>
      <c r="N1225" s="26" t="s">
        <v>21</v>
      </c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</row>
    <row r="1226">
      <c r="A1226" s="14" t="s">
        <v>4601</v>
      </c>
      <c r="B1226" s="17" t="s">
        <v>4598</v>
      </c>
      <c r="C1226" s="17" t="s">
        <v>4602</v>
      </c>
      <c r="D1226" s="19" t="s">
        <v>4603</v>
      </c>
      <c r="E1226" s="20" t="s">
        <v>104</v>
      </c>
      <c r="F1226" s="21">
        <v>32522.0</v>
      </c>
      <c r="G1226" s="14">
        <f t="shared" si="1"/>
        <v>37</v>
      </c>
      <c r="H1226" s="23" t="s">
        <v>26</v>
      </c>
      <c r="I1226" s="24" t="s">
        <v>27</v>
      </c>
      <c r="J1226" s="19" t="s">
        <v>206</v>
      </c>
      <c r="K1226" s="14">
        <v>4.0</v>
      </c>
      <c r="L1226" s="14">
        <v>0.0</v>
      </c>
      <c r="M1226" s="25"/>
      <c r="N1226" s="26" t="s">
        <v>21</v>
      </c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</row>
    <row r="1227">
      <c r="A1227" s="14" t="s">
        <v>4604</v>
      </c>
      <c r="B1227" s="17" t="s">
        <v>4605</v>
      </c>
      <c r="C1227" s="17" t="s">
        <v>4606</v>
      </c>
      <c r="D1227" s="19" t="s">
        <v>4607</v>
      </c>
      <c r="E1227" s="20" t="s">
        <v>104</v>
      </c>
      <c r="F1227" s="27">
        <v>29939.0</v>
      </c>
      <c r="G1227" s="14">
        <f t="shared" si="1"/>
        <v>44</v>
      </c>
      <c r="H1227" s="23" t="s">
        <v>27</v>
      </c>
      <c r="I1227" s="24" t="s">
        <v>33</v>
      </c>
      <c r="J1227" s="19" t="s">
        <v>328</v>
      </c>
      <c r="K1227" s="14">
        <v>13.0</v>
      </c>
      <c r="L1227" s="14">
        <v>0.0</v>
      </c>
      <c r="M1227" s="25"/>
      <c r="N1227" s="26" t="s">
        <v>21</v>
      </c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</row>
    <row r="1228">
      <c r="A1228" s="14" t="s">
        <v>4608</v>
      </c>
      <c r="B1228" s="17" t="s">
        <v>4609</v>
      </c>
      <c r="C1228" s="17" t="s">
        <v>4610</v>
      </c>
      <c r="D1228" s="19" t="s">
        <v>4611</v>
      </c>
      <c r="E1228" s="20" t="s">
        <v>104</v>
      </c>
      <c r="F1228" s="21">
        <v>36641.0</v>
      </c>
      <c r="G1228" s="14">
        <f t="shared" si="1"/>
        <v>26</v>
      </c>
      <c r="H1228" s="23" t="s">
        <v>26</v>
      </c>
      <c r="I1228" s="24" t="s">
        <v>27</v>
      </c>
      <c r="J1228" s="19" t="s">
        <v>328</v>
      </c>
      <c r="K1228" s="14">
        <v>19.0</v>
      </c>
      <c r="L1228" s="14">
        <v>0.0</v>
      </c>
      <c r="M1228" s="25"/>
      <c r="N1228" s="26" t="s">
        <v>21</v>
      </c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</row>
    <row r="1229">
      <c r="A1229" s="14" t="s">
        <v>4612</v>
      </c>
      <c r="B1229" s="17" t="s">
        <v>4609</v>
      </c>
      <c r="C1229" s="17" t="s">
        <v>4613</v>
      </c>
      <c r="D1229" s="19" t="s">
        <v>4614</v>
      </c>
      <c r="E1229" s="20" t="s">
        <v>4615</v>
      </c>
      <c r="F1229" s="27">
        <v>36515.0</v>
      </c>
      <c r="G1229" s="14">
        <f t="shared" si="1"/>
        <v>26</v>
      </c>
      <c r="H1229" s="23" t="s">
        <v>26</v>
      </c>
      <c r="I1229" s="24" t="s">
        <v>33</v>
      </c>
      <c r="J1229" s="19" t="s">
        <v>328</v>
      </c>
      <c r="K1229" s="14">
        <v>19.0</v>
      </c>
      <c r="L1229" s="14">
        <v>0.0</v>
      </c>
      <c r="M1229" s="25"/>
      <c r="N1229" s="26" t="s">
        <v>21</v>
      </c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</row>
    <row r="1230">
      <c r="A1230" s="14" t="s">
        <v>4616</v>
      </c>
      <c r="B1230" s="17" t="s">
        <v>4617</v>
      </c>
      <c r="C1230" s="17" t="s">
        <v>4618</v>
      </c>
      <c r="D1230" s="19" t="s">
        <v>4619</v>
      </c>
      <c r="E1230" s="20" t="s">
        <v>104</v>
      </c>
      <c r="F1230" s="27">
        <v>35064.0</v>
      </c>
      <c r="G1230" s="14">
        <f t="shared" si="1"/>
        <v>30</v>
      </c>
      <c r="H1230" s="23" t="s">
        <v>26</v>
      </c>
      <c r="I1230" s="24" t="s">
        <v>27</v>
      </c>
      <c r="J1230" s="19" t="s">
        <v>146</v>
      </c>
      <c r="K1230" s="14">
        <v>4.0</v>
      </c>
      <c r="L1230" s="14">
        <v>0.0</v>
      </c>
      <c r="M1230" s="25"/>
      <c r="N1230" s="26" t="s">
        <v>21</v>
      </c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</row>
    <row r="1231">
      <c r="A1231" s="14" t="s">
        <v>4620</v>
      </c>
      <c r="B1231" s="17" t="s">
        <v>4617</v>
      </c>
      <c r="C1231" s="17" t="s">
        <v>4621</v>
      </c>
      <c r="D1231" s="19" t="s">
        <v>4622</v>
      </c>
      <c r="E1231" s="20" t="s">
        <v>650</v>
      </c>
      <c r="F1231" s="27">
        <v>30273.0</v>
      </c>
      <c r="G1231" s="14">
        <f t="shared" si="1"/>
        <v>43</v>
      </c>
      <c r="H1231" s="23" t="s">
        <v>26</v>
      </c>
      <c r="I1231" s="24" t="s">
        <v>33</v>
      </c>
      <c r="J1231" s="19" t="s">
        <v>146</v>
      </c>
      <c r="K1231" s="14">
        <v>4.0</v>
      </c>
      <c r="L1231" s="14">
        <v>0.0</v>
      </c>
      <c r="M1231" s="25"/>
      <c r="N1231" s="26" t="s">
        <v>21</v>
      </c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</row>
    <row r="1232">
      <c r="A1232" s="14" t="s">
        <v>4623</v>
      </c>
      <c r="B1232" s="17" t="s">
        <v>4624</v>
      </c>
      <c r="C1232" s="17" t="s">
        <v>4625</v>
      </c>
      <c r="D1232" s="19" t="s">
        <v>4626</v>
      </c>
      <c r="E1232" s="20" t="s">
        <v>274</v>
      </c>
      <c r="F1232" s="21">
        <v>29042.0</v>
      </c>
      <c r="G1232" s="14">
        <f t="shared" si="1"/>
        <v>47</v>
      </c>
      <c r="H1232" s="23" t="s">
        <v>26</v>
      </c>
      <c r="I1232" s="24" t="s">
        <v>33</v>
      </c>
      <c r="J1232" s="19" t="s">
        <v>282</v>
      </c>
      <c r="K1232" s="14">
        <v>15.0</v>
      </c>
      <c r="L1232" s="14">
        <v>0.0</v>
      </c>
      <c r="M1232" s="25"/>
      <c r="N1232" s="26" t="s">
        <v>21</v>
      </c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</row>
    <row r="1233">
      <c r="A1233" s="14" t="s">
        <v>4627</v>
      </c>
      <c r="B1233" s="17" t="s">
        <v>4624</v>
      </c>
      <c r="C1233" s="17" t="s">
        <v>4628</v>
      </c>
      <c r="D1233" s="19" t="s">
        <v>4629</v>
      </c>
      <c r="E1233" s="20" t="s">
        <v>4630</v>
      </c>
      <c r="F1233" s="21">
        <v>38663.0</v>
      </c>
      <c r="G1233" s="14">
        <f t="shared" si="1"/>
        <v>20</v>
      </c>
      <c r="H1233" s="23" t="s">
        <v>100</v>
      </c>
      <c r="I1233" s="24" t="s">
        <v>27</v>
      </c>
      <c r="J1233" s="19" t="s">
        <v>282</v>
      </c>
      <c r="K1233" s="14">
        <v>15.0</v>
      </c>
      <c r="L1233" s="14">
        <v>0.0</v>
      </c>
      <c r="M1233" s="25"/>
      <c r="N1233" s="26" t="s">
        <v>21</v>
      </c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</row>
    <row r="1234">
      <c r="A1234" s="14" t="s">
        <v>4631</v>
      </c>
      <c r="B1234" s="17" t="s">
        <v>4624</v>
      </c>
      <c r="C1234" s="17" t="s">
        <v>4632</v>
      </c>
      <c r="D1234" s="19" t="s">
        <v>4633</v>
      </c>
      <c r="E1234" s="20" t="s">
        <v>104</v>
      </c>
      <c r="F1234" s="21">
        <v>29105.0</v>
      </c>
      <c r="G1234" s="14">
        <f t="shared" si="1"/>
        <v>47</v>
      </c>
      <c r="H1234" s="23" t="s">
        <v>26</v>
      </c>
      <c r="I1234" s="24" t="s">
        <v>27</v>
      </c>
      <c r="J1234" s="19" t="s">
        <v>282</v>
      </c>
      <c r="K1234" s="14">
        <v>15.0</v>
      </c>
      <c r="L1234" s="14">
        <v>0.0</v>
      </c>
      <c r="M1234" s="25"/>
      <c r="N1234" s="26" t="s">
        <v>21</v>
      </c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</row>
    <row r="1235">
      <c r="A1235" s="14" t="s">
        <v>4634</v>
      </c>
      <c r="B1235" s="17" t="s">
        <v>4635</v>
      </c>
      <c r="C1235" s="17" t="s">
        <v>4636</v>
      </c>
      <c r="D1235" s="19" t="s">
        <v>4637</v>
      </c>
      <c r="E1235" s="20" t="s">
        <v>104</v>
      </c>
      <c r="F1235" s="21">
        <v>34745.0</v>
      </c>
      <c r="G1235" s="14">
        <f t="shared" si="1"/>
        <v>31</v>
      </c>
      <c r="H1235" s="23" t="s">
        <v>26</v>
      </c>
      <c r="I1235" s="24" t="s">
        <v>27</v>
      </c>
      <c r="J1235" s="19" t="s">
        <v>95</v>
      </c>
      <c r="K1235" s="14">
        <v>15.0</v>
      </c>
      <c r="L1235" s="14">
        <v>0.0</v>
      </c>
      <c r="M1235" s="25"/>
      <c r="N1235" s="26" t="s">
        <v>21</v>
      </c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</row>
    <row r="1236">
      <c r="A1236" s="14" t="s">
        <v>4638</v>
      </c>
      <c r="B1236" s="17" t="s">
        <v>4635</v>
      </c>
      <c r="C1236" s="17" t="s">
        <v>4639</v>
      </c>
      <c r="D1236" s="19" t="s">
        <v>4640</v>
      </c>
      <c r="E1236" s="20" t="s">
        <v>104</v>
      </c>
      <c r="F1236" s="21">
        <v>33452.0</v>
      </c>
      <c r="G1236" s="14">
        <f t="shared" si="1"/>
        <v>35</v>
      </c>
      <c r="H1236" s="23" t="s">
        <v>26</v>
      </c>
      <c r="I1236" s="24" t="s">
        <v>33</v>
      </c>
      <c r="J1236" s="19" t="s">
        <v>95</v>
      </c>
      <c r="K1236" s="14">
        <v>15.0</v>
      </c>
      <c r="L1236" s="14">
        <v>0.0</v>
      </c>
      <c r="M1236" s="25"/>
      <c r="N1236" s="26" t="s">
        <v>21</v>
      </c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</row>
    <row r="1237">
      <c r="A1237" s="14" t="s">
        <v>4641</v>
      </c>
      <c r="B1237" s="17" t="s">
        <v>4642</v>
      </c>
      <c r="C1237" s="17" t="s">
        <v>4643</v>
      </c>
      <c r="D1237" s="19" t="s">
        <v>4644</v>
      </c>
      <c r="E1237" s="20" t="s">
        <v>2439</v>
      </c>
      <c r="F1237" s="21">
        <v>16537.0</v>
      </c>
      <c r="G1237" s="14">
        <f t="shared" si="1"/>
        <v>81</v>
      </c>
      <c r="H1237" s="23" t="s">
        <v>27</v>
      </c>
      <c r="I1237" s="24" t="s">
        <v>27</v>
      </c>
      <c r="J1237" s="19" t="s">
        <v>282</v>
      </c>
      <c r="K1237" s="14">
        <v>16.0</v>
      </c>
      <c r="L1237" s="14">
        <v>0.0</v>
      </c>
      <c r="M1237" s="25"/>
      <c r="N1237" s="26" t="s">
        <v>21</v>
      </c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</row>
    <row r="1238">
      <c r="A1238" s="14" t="s">
        <v>4645</v>
      </c>
      <c r="B1238" s="17" t="s">
        <v>4646</v>
      </c>
      <c r="C1238" s="17" t="s">
        <v>4647</v>
      </c>
      <c r="D1238" s="19" t="s">
        <v>4648</v>
      </c>
      <c r="E1238" s="20" t="s">
        <v>219</v>
      </c>
      <c r="F1238" s="21">
        <v>33344.0</v>
      </c>
      <c r="G1238" s="14">
        <f t="shared" si="1"/>
        <v>35</v>
      </c>
      <c r="H1238" s="23" t="s">
        <v>26</v>
      </c>
      <c r="I1238" s="24" t="s">
        <v>33</v>
      </c>
      <c r="J1238" s="19" t="s">
        <v>282</v>
      </c>
      <c r="K1238" s="14">
        <v>16.0</v>
      </c>
      <c r="L1238" s="14">
        <v>5.0</v>
      </c>
      <c r="M1238" s="25"/>
      <c r="N1238" s="26" t="s">
        <v>21</v>
      </c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</row>
    <row r="1239">
      <c r="A1239" s="14" t="s">
        <v>4649</v>
      </c>
      <c r="B1239" s="17" t="s">
        <v>4646</v>
      </c>
      <c r="C1239" s="17" t="s">
        <v>4650</v>
      </c>
      <c r="D1239" s="19" t="s">
        <v>4651</v>
      </c>
      <c r="E1239" s="20" t="s">
        <v>4652</v>
      </c>
      <c r="F1239" s="21">
        <v>35065.0</v>
      </c>
      <c r="G1239" s="14">
        <f t="shared" si="1"/>
        <v>30</v>
      </c>
      <c r="H1239" s="23" t="s">
        <v>26</v>
      </c>
      <c r="I1239" s="24" t="s">
        <v>27</v>
      </c>
      <c r="J1239" s="19" t="s">
        <v>282</v>
      </c>
      <c r="K1239" s="14">
        <v>16.0</v>
      </c>
      <c r="L1239" s="14">
        <v>5.0</v>
      </c>
      <c r="M1239" s="25"/>
      <c r="N1239" s="26" t="s">
        <v>21</v>
      </c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</row>
    <row r="1240">
      <c r="A1240" s="14" t="s">
        <v>4654</v>
      </c>
      <c r="B1240" s="17" t="s">
        <v>4655</v>
      </c>
      <c r="C1240" s="17" t="s">
        <v>4656</v>
      </c>
      <c r="D1240" s="19" t="s">
        <v>4657</v>
      </c>
      <c r="E1240" s="20" t="s">
        <v>544</v>
      </c>
      <c r="F1240" s="21">
        <v>24970.0</v>
      </c>
      <c r="G1240" s="14">
        <f t="shared" si="1"/>
        <v>58</v>
      </c>
      <c r="H1240" s="23" t="s">
        <v>27</v>
      </c>
      <c r="I1240" s="24" t="s">
        <v>27</v>
      </c>
      <c r="J1240" s="19" t="s">
        <v>939</v>
      </c>
      <c r="K1240" s="14">
        <v>7.0</v>
      </c>
      <c r="L1240" s="14">
        <v>0.0</v>
      </c>
      <c r="M1240" s="25"/>
      <c r="N1240" s="26" t="s">
        <v>21</v>
      </c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</row>
    <row r="1241">
      <c r="A1241" s="14" t="s">
        <v>4658</v>
      </c>
      <c r="B1241" s="17" t="s">
        <v>4659</v>
      </c>
      <c r="C1241" s="17" t="s">
        <v>4660</v>
      </c>
      <c r="D1241" s="19" t="s">
        <v>4661</v>
      </c>
      <c r="E1241" s="20" t="s">
        <v>4662</v>
      </c>
      <c r="F1241" s="27">
        <v>29542.0</v>
      </c>
      <c r="G1241" s="14">
        <f t="shared" si="1"/>
        <v>45</v>
      </c>
      <c r="H1241" s="23" t="s">
        <v>26</v>
      </c>
      <c r="I1241" s="24" t="s">
        <v>27</v>
      </c>
      <c r="J1241" s="19" t="s">
        <v>4663</v>
      </c>
      <c r="K1241" s="14">
        <v>25.0</v>
      </c>
      <c r="L1241" s="14">
        <v>0.0</v>
      </c>
      <c r="M1241" s="25"/>
      <c r="N1241" s="26" t="s">
        <v>21</v>
      </c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</row>
    <row r="1242">
      <c r="A1242" s="14" t="s">
        <v>4664</v>
      </c>
      <c r="B1242" s="17" t="s">
        <v>4659</v>
      </c>
      <c r="C1242" s="17" t="s">
        <v>4665</v>
      </c>
      <c r="D1242" s="19" t="s">
        <v>4666</v>
      </c>
      <c r="E1242" s="20" t="s">
        <v>219</v>
      </c>
      <c r="F1242" s="27">
        <v>21838.0</v>
      </c>
      <c r="G1242" s="14">
        <f t="shared" si="1"/>
        <v>67</v>
      </c>
      <c r="H1242" s="23" t="s">
        <v>26</v>
      </c>
      <c r="I1242" s="24" t="s">
        <v>33</v>
      </c>
      <c r="J1242" s="19" t="s">
        <v>4663</v>
      </c>
      <c r="K1242" s="14">
        <v>25.0</v>
      </c>
      <c r="L1242" s="14">
        <v>1.0</v>
      </c>
      <c r="M1242" s="25"/>
      <c r="N1242" s="26" t="s">
        <v>21</v>
      </c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</row>
    <row r="1243">
      <c r="A1243" s="14" t="s">
        <v>4667</v>
      </c>
      <c r="B1243" s="17" t="s">
        <v>4668</v>
      </c>
      <c r="C1243" s="17" t="s">
        <v>4669</v>
      </c>
      <c r="D1243" s="19" t="s">
        <v>4670</v>
      </c>
      <c r="E1243" s="20" t="s">
        <v>1370</v>
      </c>
      <c r="F1243" s="21">
        <v>22838.0</v>
      </c>
      <c r="G1243" s="14">
        <f t="shared" si="1"/>
        <v>64</v>
      </c>
      <c r="H1243" s="23" t="s">
        <v>26</v>
      </c>
      <c r="I1243" s="24" t="s">
        <v>27</v>
      </c>
      <c r="J1243" s="19" t="s">
        <v>362</v>
      </c>
      <c r="K1243" s="14">
        <v>25.0</v>
      </c>
      <c r="L1243" s="14">
        <v>1.0</v>
      </c>
      <c r="M1243" s="25"/>
      <c r="N1243" s="26" t="s">
        <v>21</v>
      </c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</row>
    <row r="1244">
      <c r="A1244" s="14" t="s">
        <v>4671</v>
      </c>
      <c r="B1244" s="17" t="s">
        <v>4668</v>
      </c>
      <c r="C1244" s="17" t="s">
        <v>4672</v>
      </c>
      <c r="D1244" s="19" t="s">
        <v>4673</v>
      </c>
      <c r="E1244" s="20" t="s">
        <v>1370</v>
      </c>
      <c r="F1244" s="27">
        <v>18627.0</v>
      </c>
      <c r="G1244" s="14">
        <f t="shared" si="1"/>
        <v>75</v>
      </c>
      <c r="H1244" s="23" t="s">
        <v>26</v>
      </c>
      <c r="I1244" s="24" t="s">
        <v>33</v>
      </c>
      <c r="J1244" s="19" t="s">
        <v>53</v>
      </c>
      <c r="K1244" s="14">
        <v>25.0</v>
      </c>
      <c r="L1244" s="14">
        <v>0.0</v>
      </c>
      <c r="M1244" s="25"/>
      <c r="N1244" s="26" t="s">
        <v>21</v>
      </c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</row>
    <row r="1245">
      <c r="A1245" s="14" t="s">
        <v>4674</v>
      </c>
      <c r="B1245" s="17" t="s">
        <v>4675</v>
      </c>
      <c r="C1245" s="17" t="s">
        <v>4676</v>
      </c>
      <c r="D1245" s="19" t="s">
        <v>4677</v>
      </c>
      <c r="E1245" s="20" t="s">
        <v>104</v>
      </c>
      <c r="F1245" s="21">
        <v>30517.0</v>
      </c>
      <c r="G1245" s="14">
        <f t="shared" si="1"/>
        <v>43</v>
      </c>
      <c r="H1245" s="23" t="s">
        <v>26</v>
      </c>
      <c r="I1245" s="24" t="s">
        <v>33</v>
      </c>
      <c r="J1245" s="19" t="s">
        <v>328</v>
      </c>
      <c r="K1245" s="14">
        <v>25.0</v>
      </c>
      <c r="L1245" s="14">
        <v>0.0</v>
      </c>
      <c r="M1245" s="25"/>
      <c r="N1245" s="26" t="s">
        <v>21</v>
      </c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</row>
    <row r="1246">
      <c r="A1246" s="14" t="s">
        <v>4678</v>
      </c>
      <c r="B1246" s="17" t="s">
        <v>4679</v>
      </c>
      <c r="C1246" s="17" t="s">
        <v>4680</v>
      </c>
      <c r="D1246" s="19" t="s">
        <v>1597</v>
      </c>
      <c r="E1246" s="20" t="s">
        <v>4662</v>
      </c>
      <c r="F1246" s="27">
        <v>33527.0</v>
      </c>
      <c r="G1246" s="14">
        <f t="shared" si="1"/>
        <v>35</v>
      </c>
      <c r="H1246" s="23" t="s">
        <v>26</v>
      </c>
      <c r="I1246" s="24" t="s">
        <v>27</v>
      </c>
      <c r="J1246" s="19" t="s">
        <v>362</v>
      </c>
      <c r="K1246" s="14">
        <v>25.0</v>
      </c>
      <c r="L1246" s="14">
        <v>0.0</v>
      </c>
      <c r="M1246" s="25"/>
      <c r="N1246" s="26" t="s">
        <v>21</v>
      </c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</row>
    <row r="1247">
      <c r="A1247" s="14" t="s">
        <v>4681</v>
      </c>
      <c r="B1247" s="17" t="s">
        <v>4679</v>
      </c>
      <c r="C1247" s="17" t="s">
        <v>4682</v>
      </c>
      <c r="D1247" s="19" t="s">
        <v>4683</v>
      </c>
      <c r="E1247" s="20" t="s">
        <v>4684</v>
      </c>
      <c r="F1247" s="21">
        <v>31182.0</v>
      </c>
      <c r="G1247" s="14">
        <f t="shared" si="1"/>
        <v>41</v>
      </c>
      <c r="H1247" s="23" t="s">
        <v>26</v>
      </c>
      <c r="I1247" s="24" t="s">
        <v>33</v>
      </c>
      <c r="J1247" s="19" t="s">
        <v>362</v>
      </c>
      <c r="K1247" s="14">
        <v>25.0</v>
      </c>
      <c r="L1247" s="14">
        <v>0.0</v>
      </c>
      <c r="M1247" s="25"/>
      <c r="N1247" s="26" t="s">
        <v>21</v>
      </c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</row>
    <row r="1248">
      <c r="A1248" s="14" t="s">
        <v>4685</v>
      </c>
      <c r="B1248" s="17" t="s">
        <v>4686</v>
      </c>
      <c r="C1248" s="17" t="s">
        <v>4687</v>
      </c>
      <c r="D1248" s="19" t="s">
        <v>4688</v>
      </c>
      <c r="E1248" s="20" t="s">
        <v>104</v>
      </c>
      <c r="F1248" s="21">
        <v>32735.0</v>
      </c>
      <c r="G1248" s="14">
        <f t="shared" si="1"/>
        <v>37</v>
      </c>
      <c r="H1248" s="23" t="s">
        <v>26</v>
      </c>
      <c r="I1248" s="24" t="s">
        <v>27</v>
      </c>
      <c r="J1248" s="19" t="s">
        <v>68</v>
      </c>
      <c r="K1248" s="14">
        <v>34.0</v>
      </c>
      <c r="L1248" s="14">
        <v>0.0</v>
      </c>
      <c r="M1248" s="25"/>
      <c r="N1248" s="26" t="s">
        <v>21</v>
      </c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</row>
    <row r="1249">
      <c r="A1249" s="14" t="s">
        <v>4689</v>
      </c>
      <c r="B1249" s="17" t="s">
        <v>4686</v>
      </c>
      <c r="C1249" s="17" t="s">
        <v>4690</v>
      </c>
      <c r="D1249" s="19" t="s">
        <v>4691</v>
      </c>
      <c r="E1249" s="20" t="s">
        <v>104</v>
      </c>
      <c r="F1249" s="27">
        <v>31695.0</v>
      </c>
      <c r="G1249" s="14">
        <f t="shared" si="1"/>
        <v>40</v>
      </c>
      <c r="H1249" s="23" t="s">
        <v>26</v>
      </c>
      <c r="I1249" s="24" t="s">
        <v>33</v>
      </c>
      <c r="J1249" s="19" t="s">
        <v>68</v>
      </c>
      <c r="K1249" s="14">
        <v>34.0</v>
      </c>
      <c r="L1249" s="14">
        <v>0.0</v>
      </c>
      <c r="M1249" s="25"/>
      <c r="N1249" s="26" t="s">
        <v>21</v>
      </c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</row>
    <row r="1250">
      <c r="A1250" s="14" t="s">
        <v>4692</v>
      </c>
      <c r="B1250" s="17" t="s">
        <v>4693</v>
      </c>
      <c r="C1250" s="17" t="s">
        <v>4694</v>
      </c>
      <c r="D1250" s="19" t="s">
        <v>4695</v>
      </c>
      <c r="E1250" s="20" t="s">
        <v>53</v>
      </c>
      <c r="F1250" s="21">
        <v>34966.0</v>
      </c>
      <c r="G1250" s="14">
        <f t="shared" si="1"/>
        <v>31</v>
      </c>
      <c r="H1250" s="23" t="s">
        <v>26</v>
      </c>
      <c r="I1250" s="24" t="s">
        <v>33</v>
      </c>
      <c r="J1250" s="19" t="s">
        <v>517</v>
      </c>
      <c r="K1250" s="14">
        <v>5.0</v>
      </c>
      <c r="L1250" s="14">
        <v>0.0</v>
      </c>
      <c r="M1250" s="25"/>
      <c r="N1250" s="26" t="s">
        <v>21</v>
      </c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</row>
    <row r="1251">
      <c r="A1251" s="14" t="s">
        <v>4696</v>
      </c>
      <c r="B1251" s="17" t="s">
        <v>4693</v>
      </c>
      <c r="C1251" s="17" t="s">
        <v>4697</v>
      </c>
      <c r="D1251" s="19" t="s">
        <v>4698</v>
      </c>
      <c r="E1251" s="20" t="s">
        <v>53</v>
      </c>
      <c r="F1251" s="21">
        <v>35630.0</v>
      </c>
      <c r="G1251" s="14">
        <f t="shared" si="1"/>
        <v>29</v>
      </c>
      <c r="H1251" s="23" t="s">
        <v>26</v>
      </c>
      <c r="I1251" s="24" t="s">
        <v>27</v>
      </c>
      <c r="J1251" s="19" t="s">
        <v>517</v>
      </c>
      <c r="K1251" s="14">
        <v>5.0</v>
      </c>
      <c r="L1251" s="14">
        <v>0.0</v>
      </c>
      <c r="M1251" s="25"/>
      <c r="N1251" s="26" t="s">
        <v>21</v>
      </c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</row>
    <row r="1252">
      <c r="A1252" s="14" t="s">
        <v>4699</v>
      </c>
      <c r="B1252" s="17" t="s">
        <v>4700</v>
      </c>
      <c r="C1252" s="17" t="s">
        <v>4701</v>
      </c>
      <c r="D1252" s="19" t="s">
        <v>3344</v>
      </c>
      <c r="E1252" s="20" t="s">
        <v>104</v>
      </c>
      <c r="F1252" s="21">
        <v>30845.0</v>
      </c>
      <c r="G1252" s="14">
        <f t="shared" si="1"/>
        <v>42</v>
      </c>
      <c r="H1252" s="23" t="s">
        <v>26</v>
      </c>
      <c r="I1252" s="24" t="s">
        <v>33</v>
      </c>
      <c r="J1252" s="19" t="s">
        <v>328</v>
      </c>
      <c r="K1252" s="14">
        <v>21.0</v>
      </c>
      <c r="L1252" s="14">
        <v>0.0</v>
      </c>
      <c r="M1252" s="25"/>
      <c r="N1252" s="26" t="s">
        <v>21</v>
      </c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</row>
    <row r="1253">
      <c r="A1253" s="14" t="s">
        <v>4702</v>
      </c>
      <c r="B1253" s="17" t="s">
        <v>4700</v>
      </c>
      <c r="C1253" s="17" t="s">
        <v>4703</v>
      </c>
      <c r="D1253" s="19" t="s">
        <v>4704</v>
      </c>
      <c r="E1253" s="20" t="s">
        <v>4705</v>
      </c>
      <c r="F1253" s="21">
        <v>34536.0</v>
      </c>
      <c r="G1253" s="14">
        <f t="shared" si="1"/>
        <v>32</v>
      </c>
      <c r="H1253" s="23" t="s">
        <v>26</v>
      </c>
      <c r="I1253" s="24" t="s">
        <v>27</v>
      </c>
      <c r="J1253" s="19" t="s">
        <v>328</v>
      </c>
      <c r="K1253" s="14">
        <v>21.0</v>
      </c>
      <c r="L1253" s="14">
        <v>0.0</v>
      </c>
      <c r="M1253" s="25"/>
      <c r="N1253" s="26" t="s">
        <v>21</v>
      </c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</row>
    <row r="1254">
      <c r="A1254" s="14" t="s">
        <v>4706</v>
      </c>
      <c r="B1254" s="17" t="s">
        <v>4707</v>
      </c>
      <c r="C1254" s="17" t="s">
        <v>4708</v>
      </c>
      <c r="D1254" s="19" t="s">
        <v>1955</v>
      </c>
      <c r="E1254" s="20" t="s">
        <v>104</v>
      </c>
      <c r="F1254" s="21">
        <v>33420.0</v>
      </c>
      <c r="G1254" s="14">
        <f t="shared" si="1"/>
        <v>35</v>
      </c>
      <c r="H1254" s="23" t="s">
        <v>27</v>
      </c>
      <c r="I1254" s="24" t="s">
        <v>33</v>
      </c>
      <c r="J1254" s="19" t="s">
        <v>362</v>
      </c>
      <c r="K1254" s="14">
        <v>24.0</v>
      </c>
      <c r="L1254" s="14">
        <v>0.0</v>
      </c>
      <c r="M1254" s="25"/>
      <c r="N1254" s="26" t="s">
        <v>21</v>
      </c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</row>
    <row r="1255">
      <c r="A1255" s="14" t="s">
        <v>4709</v>
      </c>
      <c r="B1255" s="17" t="s">
        <v>4710</v>
      </c>
      <c r="C1255" s="17" t="s">
        <v>4711</v>
      </c>
      <c r="D1255" s="19" t="s">
        <v>4712</v>
      </c>
      <c r="E1255" s="20" t="s">
        <v>53</v>
      </c>
      <c r="F1255" s="21">
        <v>35590.0</v>
      </c>
      <c r="G1255" s="14">
        <f t="shared" si="1"/>
        <v>29</v>
      </c>
      <c r="H1255" s="23" t="s">
        <v>26</v>
      </c>
      <c r="I1255" s="24" t="s">
        <v>33</v>
      </c>
      <c r="J1255" s="19" t="s">
        <v>328</v>
      </c>
      <c r="K1255" s="14">
        <v>26.0</v>
      </c>
      <c r="L1255" s="14">
        <v>0.0</v>
      </c>
      <c r="M1255" s="25"/>
      <c r="N1255" s="26" t="s">
        <v>21</v>
      </c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</row>
    <row r="1256">
      <c r="A1256" s="14" t="s">
        <v>4713</v>
      </c>
      <c r="B1256" s="17" t="s">
        <v>4710</v>
      </c>
      <c r="C1256" s="17" t="s">
        <v>4714</v>
      </c>
      <c r="D1256" s="19" t="s">
        <v>4715</v>
      </c>
      <c r="E1256" s="20" t="s">
        <v>4716</v>
      </c>
      <c r="F1256" s="21">
        <v>37164.0</v>
      </c>
      <c r="G1256" s="14">
        <f t="shared" si="1"/>
        <v>25</v>
      </c>
      <c r="H1256" s="23" t="s">
        <v>26</v>
      </c>
      <c r="I1256" s="24" t="s">
        <v>27</v>
      </c>
      <c r="J1256" s="19" t="s">
        <v>328</v>
      </c>
      <c r="K1256" s="14">
        <v>26.0</v>
      </c>
      <c r="L1256" s="14">
        <v>0.0</v>
      </c>
      <c r="M1256" s="25"/>
      <c r="N1256" s="26" t="s">
        <v>21</v>
      </c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</row>
    <row r="1257">
      <c r="A1257" s="14" t="s">
        <v>4717</v>
      </c>
      <c r="B1257" s="17" t="s">
        <v>4718</v>
      </c>
      <c r="C1257" s="17" t="s">
        <v>4719</v>
      </c>
      <c r="D1257" s="19" t="s">
        <v>554</v>
      </c>
      <c r="E1257" s="20" t="s">
        <v>429</v>
      </c>
      <c r="F1257" s="21">
        <v>23684.0</v>
      </c>
      <c r="G1257" s="14">
        <f t="shared" si="1"/>
        <v>61</v>
      </c>
      <c r="H1257" s="23" t="s">
        <v>27</v>
      </c>
      <c r="I1257" s="24" t="s">
        <v>27</v>
      </c>
      <c r="J1257" s="19" t="s">
        <v>53</v>
      </c>
      <c r="K1257" s="14">
        <v>12.0</v>
      </c>
      <c r="L1257" s="14">
        <v>0.0</v>
      </c>
      <c r="M1257" s="25"/>
      <c r="N1257" s="26" t="s">
        <v>21</v>
      </c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</row>
    <row r="1258">
      <c r="A1258" s="14" t="s">
        <v>4720</v>
      </c>
      <c r="B1258" s="17" t="s">
        <v>4721</v>
      </c>
      <c r="C1258" s="17" t="s">
        <v>4722</v>
      </c>
      <c r="D1258" s="19" t="s">
        <v>2802</v>
      </c>
      <c r="E1258" s="20" t="s">
        <v>632</v>
      </c>
      <c r="F1258" s="21">
        <v>16843.0</v>
      </c>
      <c r="G1258" s="14">
        <f t="shared" si="1"/>
        <v>80</v>
      </c>
      <c r="H1258" s="23" t="s">
        <v>27</v>
      </c>
      <c r="I1258" s="24" t="s">
        <v>27</v>
      </c>
      <c r="J1258" s="19" t="s">
        <v>472</v>
      </c>
      <c r="K1258" s="14">
        <v>23.0</v>
      </c>
      <c r="L1258" s="14">
        <v>0.0</v>
      </c>
      <c r="M1258" s="25"/>
      <c r="N1258" s="26" t="s">
        <v>21</v>
      </c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</row>
    <row r="1259">
      <c r="A1259" s="14" t="s">
        <v>4723</v>
      </c>
      <c r="B1259" s="17" t="s">
        <v>4724</v>
      </c>
      <c r="C1259" s="17" t="s">
        <v>4725</v>
      </c>
      <c r="D1259" s="19" t="s">
        <v>4726</v>
      </c>
      <c r="E1259" s="20" t="s">
        <v>632</v>
      </c>
      <c r="F1259" s="21">
        <v>39183.0</v>
      </c>
      <c r="G1259" s="14">
        <f t="shared" si="1"/>
        <v>19</v>
      </c>
      <c r="H1259" s="23" t="s">
        <v>100</v>
      </c>
      <c r="I1259" s="24" t="s">
        <v>27</v>
      </c>
      <c r="J1259" s="19" t="s">
        <v>4727</v>
      </c>
      <c r="K1259" s="14">
        <v>29.0</v>
      </c>
      <c r="L1259" s="14">
        <v>0.0</v>
      </c>
      <c r="M1259" s="25"/>
      <c r="N1259" s="26" t="s">
        <v>21</v>
      </c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</row>
    <row r="1260">
      <c r="A1260" s="14" t="s">
        <v>4728</v>
      </c>
      <c r="B1260" s="17" t="s">
        <v>4724</v>
      </c>
      <c r="C1260" s="17" t="s">
        <v>4729</v>
      </c>
      <c r="D1260" s="19" t="s">
        <v>4730</v>
      </c>
      <c r="E1260" s="20" t="s">
        <v>632</v>
      </c>
      <c r="F1260" s="21">
        <v>28654.0</v>
      </c>
      <c r="G1260" s="14">
        <f t="shared" si="1"/>
        <v>48</v>
      </c>
      <c r="H1260" s="23" t="s">
        <v>26</v>
      </c>
      <c r="I1260" s="24" t="s">
        <v>27</v>
      </c>
      <c r="J1260" s="19" t="s">
        <v>68</v>
      </c>
      <c r="K1260" s="14">
        <v>29.0</v>
      </c>
      <c r="L1260" s="14">
        <v>0.0</v>
      </c>
      <c r="M1260" s="25"/>
      <c r="N1260" s="26" t="s">
        <v>21</v>
      </c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</row>
    <row r="1261">
      <c r="A1261" s="14" t="s">
        <v>4731</v>
      </c>
      <c r="B1261" s="17" t="s">
        <v>4724</v>
      </c>
      <c r="C1261" s="17" t="s">
        <v>4732</v>
      </c>
      <c r="D1261" s="19" t="s">
        <v>4733</v>
      </c>
      <c r="E1261" s="20" t="s">
        <v>632</v>
      </c>
      <c r="F1261" s="21">
        <v>27554.0</v>
      </c>
      <c r="G1261" s="14">
        <f t="shared" si="1"/>
        <v>51</v>
      </c>
      <c r="H1261" s="23" t="s">
        <v>26</v>
      </c>
      <c r="I1261" s="24" t="s">
        <v>33</v>
      </c>
      <c r="J1261" s="19" t="s">
        <v>4727</v>
      </c>
      <c r="K1261" s="14">
        <v>29.0</v>
      </c>
      <c r="L1261" s="14">
        <v>0.0</v>
      </c>
      <c r="M1261" s="25"/>
      <c r="N1261" s="26" t="s">
        <v>21</v>
      </c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</row>
    <row r="1262">
      <c r="A1262" s="14" t="s">
        <v>4734</v>
      </c>
      <c r="B1262" s="17" t="s">
        <v>4735</v>
      </c>
      <c r="C1262" s="17" t="s">
        <v>4736</v>
      </c>
      <c r="D1262" s="19" t="s">
        <v>4737</v>
      </c>
      <c r="E1262" s="20" t="s">
        <v>195</v>
      </c>
      <c r="F1262" s="21">
        <v>33578.0</v>
      </c>
      <c r="G1262" s="14">
        <f t="shared" si="1"/>
        <v>34</v>
      </c>
      <c r="H1262" s="23" t="s">
        <v>26</v>
      </c>
      <c r="I1262" s="24" t="s">
        <v>27</v>
      </c>
      <c r="J1262" s="19" t="s">
        <v>68</v>
      </c>
      <c r="K1262" s="14">
        <v>29.0</v>
      </c>
      <c r="L1262" s="14">
        <v>0.0</v>
      </c>
      <c r="M1262" s="25"/>
      <c r="N1262" s="26" t="s">
        <v>21</v>
      </c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</row>
    <row r="1263">
      <c r="A1263" s="14" t="s">
        <v>4738</v>
      </c>
      <c r="B1263" s="17" t="s">
        <v>4735</v>
      </c>
      <c r="C1263" s="17" t="s">
        <v>4739</v>
      </c>
      <c r="D1263" s="19" t="s">
        <v>4740</v>
      </c>
      <c r="E1263" s="20" t="s">
        <v>4741</v>
      </c>
      <c r="F1263" s="21">
        <v>33357.0</v>
      </c>
      <c r="G1263" s="14">
        <f t="shared" si="1"/>
        <v>35</v>
      </c>
      <c r="H1263" s="23" t="s">
        <v>26</v>
      </c>
      <c r="I1263" s="24" t="s">
        <v>33</v>
      </c>
      <c r="J1263" s="19" t="s">
        <v>68</v>
      </c>
      <c r="K1263" s="14">
        <v>29.0</v>
      </c>
      <c r="L1263" s="14">
        <v>0.0</v>
      </c>
      <c r="M1263" s="25"/>
      <c r="N1263" s="26" t="s">
        <v>21</v>
      </c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</row>
    <row r="1264">
      <c r="A1264" s="14" t="s">
        <v>4742</v>
      </c>
      <c r="B1264" s="17" t="s">
        <v>4743</v>
      </c>
      <c r="C1264" s="17" t="s">
        <v>4744</v>
      </c>
      <c r="D1264" s="19" t="s">
        <v>4745</v>
      </c>
      <c r="E1264" s="20" t="s">
        <v>1370</v>
      </c>
      <c r="F1264" s="21">
        <v>31664.0</v>
      </c>
      <c r="G1264" s="14">
        <f t="shared" si="1"/>
        <v>40</v>
      </c>
      <c r="H1264" s="23" t="s">
        <v>26</v>
      </c>
      <c r="I1264" s="24" t="s">
        <v>27</v>
      </c>
      <c r="J1264" s="19" t="s">
        <v>257</v>
      </c>
      <c r="K1264" s="14">
        <v>25.0</v>
      </c>
      <c r="L1264" s="14">
        <v>0.0</v>
      </c>
      <c r="M1264" s="25"/>
      <c r="N1264" s="26" t="s">
        <v>21</v>
      </c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</row>
    <row r="1265">
      <c r="A1265" s="14" t="s">
        <v>4746</v>
      </c>
      <c r="B1265" s="17" t="s">
        <v>4743</v>
      </c>
      <c r="C1265" s="17" t="s">
        <v>4747</v>
      </c>
      <c r="D1265" s="19" t="s">
        <v>4748</v>
      </c>
      <c r="E1265" s="20" t="s">
        <v>1370</v>
      </c>
      <c r="F1265" s="21">
        <v>38748.0</v>
      </c>
      <c r="G1265" s="14">
        <f t="shared" si="1"/>
        <v>20</v>
      </c>
      <c r="H1265" s="23" t="s">
        <v>100</v>
      </c>
      <c r="I1265" s="24" t="s">
        <v>27</v>
      </c>
      <c r="J1265" s="19" t="s">
        <v>257</v>
      </c>
      <c r="K1265" s="14">
        <v>25.0</v>
      </c>
      <c r="L1265" s="14">
        <v>0.0</v>
      </c>
      <c r="M1265" s="25"/>
      <c r="N1265" s="26" t="s">
        <v>21</v>
      </c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</row>
    <row r="1266">
      <c r="A1266" s="14" t="s">
        <v>4749</v>
      </c>
      <c r="B1266" s="17" t="s">
        <v>4743</v>
      </c>
      <c r="C1266" s="17" t="s">
        <v>4750</v>
      </c>
      <c r="D1266" s="19" t="s">
        <v>4751</v>
      </c>
      <c r="E1266" s="20" t="s">
        <v>1370</v>
      </c>
      <c r="F1266" s="21">
        <v>27005.0</v>
      </c>
      <c r="G1266" s="14">
        <f t="shared" si="1"/>
        <v>52</v>
      </c>
      <c r="H1266" s="23" t="s">
        <v>26</v>
      </c>
      <c r="I1266" s="24" t="s">
        <v>33</v>
      </c>
      <c r="J1266" s="19" t="s">
        <v>257</v>
      </c>
      <c r="K1266" s="14">
        <v>25.0</v>
      </c>
      <c r="L1266" s="14">
        <v>0.0</v>
      </c>
      <c r="M1266" s="25"/>
      <c r="N1266" s="26" t="s">
        <v>21</v>
      </c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</row>
    <row r="1267">
      <c r="A1267" s="14" t="s">
        <v>4752</v>
      </c>
      <c r="B1267" s="17" t="s">
        <v>4753</v>
      </c>
      <c r="C1267" s="17" t="s">
        <v>4754</v>
      </c>
      <c r="D1267" s="19" t="s">
        <v>4755</v>
      </c>
      <c r="E1267" s="20" t="s">
        <v>4756</v>
      </c>
      <c r="F1267" s="21">
        <v>37494.0</v>
      </c>
      <c r="G1267" s="14">
        <f t="shared" si="1"/>
        <v>24</v>
      </c>
      <c r="H1267" s="23" t="s">
        <v>100</v>
      </c>
      <c r="I1267" s="24" t="s">
        <v>27</v>
      </c>
      <c r="J1267" s="19" t="s">
        <v>328</v>
      </c>
      <c r="K1267" s="14">
        <v>19.0</v>
      </c>
      <c r="L1267" s="14">
        <v>0.0</v>
      </c>
      <c r="M1267" s="25"/>
      <c r="N1267" s="26" t="s">
        <v>21</v>
      </c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</row>
    <row r="1268">
      <c r="A1268" s="14" t="s">
        <v>4757</v>
      </c>
      <c r="B1268" s="17" t="s">
        <v>4753</v>
      </c>
      <c r="C1268" s="17" t="s">
        <v>4758</v>
      </c>
      <c r="D1268" s="19" t="s">
        <v>4759</v>
      </c>
      <c r="E1268" s="20" t="s">
        <v>764</v>
      </c>
      <c r="F1268" s="21">
        <v>25479.0</v>
      </c>
      <c r="G1268" s="14">
        <f t="shared" si="1"/>
        <v>57</v>
      </c>
      <c r="H1268" s="23" t="s">
        <v>26</v>
      </c>
      <c r="I1268" s="24" t="s">
        <v>27</v>
      </c>
      <c r="J1268" s="19" t="s">
        <v>328</v>
      </c>
      <c r="K1268" s="14">
        <v>19.0</v>
      </c>
      <c r="L1268" s="14">
        <v>0.0</v>
      </c>
      <c r="M1268" s="25"/>
      <c r="N1268" s="26" t="s">
        <v>21</v>
      </c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</row>
    <row r="1269">
      <c r="A1269" s="14" t="s">
        <v>4760</v>
      </c>
      <c r="B1269" s="17" t="s">
        <v>4753</v>
      </c>
      <c r="C1269" s="17" t="s">
        <v>4761</v>
      </c>
      <c r="D1269" s="19" t="s">
        <v>4762</v>
      </c>
      <c r="E1269" s="20" t="s">
        <v>240</v>
      </c>
      <c r="F1269" s="21">
        <v>39089.0</v>
      </c>
      <c r="G1269" s="14">
        <f t="shared" si="1"/>
        <v>19</v>
      </c>
      <c r="H1269" s="23" t="s">
        <v>100</v>
      </c>
      <c r="I1269" s="24" t="s">
        <v>33</v>
      </c>
      <c r="J1269" s="19" t="s">
        <v>328</v>
      </c>
      <c r="K1269" s="14">
        <v>25.0</v>
      </c>
      <c r="L1269" s="14">
        <v>5.0</v>
      </c>
      <c r="M1269" s="28" t="s">
        <v>4900</v>
      </c>
      <c r="N1269" s="26" t="s">
        <v>21</v>
      </c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</row>
    <row r="1270">
      <c r="A1270" s="14" t="s">
        <v>4763</v>
      </c>
      <c r="B1270" s="17" t="s">
        <v>4753</v>
      </c>
      <c r="C1270" s="17" t="s">
        <v>4764</v>
      </c>
      <c r="D1270" s="19" t="s">
        <v>4765</v>
      </c>
      <c r="E1270" s="20" t="s">
        <v>53</v>
      </c>
      <c r="F1270" s="27">
        <v>30668.0</v>
      </c>
      <c r="G1270" s="14">
        <f t="shared" si="1"/>
        <v>42</v>
      </c>
      <c r="H1270" s="23" t="s">
        <v>26</v>
      </c>
      <c r="I1270" s="24" t="s">
        <v>33</v>
      </c>
      <c r="J1270" s="19" t="s">
        <v>328</v>
      </c>
      <c r="K1270" s="14">
        <v>25.0</v>
      </c>
      <c r="L1270" s="14">
        <v>0.0</v>
      </c>
      <c r="M1270" s="25"/>
      <c r="N1270" s="26" t="s">
        <v>21</v>
      </c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</row>
    <row r="1271">
      <c r="A1271" s="14" t="s">
        <v>4766</v>
      </c>
      <c r="B1271" s="17" t="s">
        <v>4767</v>
      </c>
      <c r="C1271" s="17" t="s">
        <v>4768</v>
      </c>
      <c r="D1271" s="19" t="s">
        <v>4769</v>
      </c>
      <c r="E1271" s="20" t="s">
        <v>104</v>
      </c>
      <c r="F1271" s="21">
        <v>32678.0</v>
      </c>
      <c r="G1271" s="14">
        <f t="shared" si="1"/>
        <v>37</v>
      </c>
      <c r="H1271" s="23" t="s">
        <v>26</v>
      </c>
      <c r="I1271" s="24" t="s">
        <v>33</v>
      </c>
      <c r="J1271" s="19" t="s">
        <v>146</v>
      </c>
      <c r="K1271" s="14">
        <v>1.0</v>
      </c>
      <c r="L1271" s="14">
        <v>0.0</v>
      </c>
      <c r="M1271" s="25"/>
      <c r="N1271" s="26" t="s">
        <v>21</v>
      </c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</row>
    <row r="1272">
      <c r="A1272" s="14" t="s">
        <v>4770</v>
      </c>
      <c r="B1272" s="17" t="s">
        <v>4767</v>
      </c>
      <c r="C1272" s="17" t="s">
        <v>4771</v>
      </c>
      <c r="D1272" s="19" t="s">
        <v>4772</v>
      </c>
      <c r="E1272" s="20" t="s">
        <v>104</v>
      </c>
      <c r="F1272" s="21">
        <v>34166.0</v>
      </c>
      <c r="G1272" s="14">
        <f t="shared" si="1"/>
        <v>33</v>
      </c>
      <c r="H1272" s="23" t="s">
        <v>26</v>
      </c>
      <c r="I1272" s="24" t="s">
        <v>27</v>
      </c>
      <c r="J1272" s="19" t="s">
        <v>146</v>
      </c>
      <c r="K1272" s="14">
        <v>1.0</v>
      </c>
      <c r="L1272" s="14">
        <v>0.0</v>
      </c>
      <c r="M1272" s="25"/>
      <c r="N1272" s="26" t="s">
        <v>21</v>
      </c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</row>
    <row r="1273">
      <c r="A1273" s="14" t="s">
        <v>4773</v>
      </c>
      <c r="B1273" s="17" t="s">
        <v>4774</v>
      </c>
      <c r="C1273" s="17" t="s">
        <v>4775</v>
      </c>
      <c r="D1273" s="19" t="s">
        <v>4776</v>
      </c>
      <c r="E1273" s="20" t="s">
        <v>4777</v>
      </c>
      <c r="F1273" s="21">
        <v>29617.0</v>
      </c>
      <c r="G1273" s="14">
        <f t="shared" si="1"/>
        <v>45</v>
      </c>
      <c r="H1273" s="23" t="s">
        <v>26</v>
      </c>
      <c r="I1273" s="24" t="s">
        <v>33</v>
      </c>
      <c r="J1273" s="19" t="s">
        <v>146</v>
      </c>
      <c r="K1273" s="14">
        <v>3.0</v>
      </c>
      <c r="L1273" s="14">
        <v>0.0</v>
      </c>
      <c r="M1273" s="25"/>
      <c r="N1273" s="26" t="s">
        <v>21</v>
      </c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</row>
    <row r="1274">
      <c r="A1274" s="14" t="s">
        <v>4778</v>
      </c>
      <c r="B1274" s="17" t="s">
        <v>4774</v>
      </c>
      <c r="C1274" s="17" t="s">
        <v>4779</v>
      </c>
      <c r="D1274" s="19" t="s">
        <v>4780</v>
      </c>
      <c r="E1274" s="20" t="s">
        <v>4781</v>
      </c>
      <c r="F1274" s="21">
        <v>31550.0</v>
      </c>
      <c r="G1274" s="14">
        <f t="shared" si="1"/>
        <v>40</v>
      </c>
      <c r="H1274" s="23" t="s">
        <v>26</v>
      </c>
      <c r="I1274" s="24" t="s">
        <v>27</v>
      </c>
      <c r="J1274" s="19" t="s">
        <v>146</v>
      </c>
      <c r="K1274" s="14">
        <v>3.0</v>
      </c>
      <c r="L1274" s="14">
        <v>0.0</v>
      </c>
      <c r="M1274" s="25"/>
      <c r="N1274" s="26" t="s">
        <v>21</v>
      </c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</row>
    <row r="1275">
      <c r="A1275" s="14" t="s">
        <v>4782</v>
      </c>
      <c r="B1275" s="17" t="s">
        <v>4783</v>
      </c>
      <c r="C1275" s="17" t="s">
        <v>4784</v>
      </c>
      <c r="D1275" s="19" t="s">
        <v>4785</v>
      </c>
      <c r="E1275" s="20" t="s">
        <v>53</v>
      </c>
      <c r="F1275" s="21">
        <v>33398.0</v>
      </c>
      <c r="G1275" s="14">
        <f t="shared" si="1"/>
        <v>35</v>
      </c>
      <c r="H1275" s="23" t="s">
        <v>100</v>
      </c>
      <c r="I1275" s="24" t="s">
        <v>33</v>
      </c>
      <c r="J1275" s="19" t="s">
        <v>517</v>
      </c>
      <c r="K1275" s="14">
        <v>9.0</v>
      </c>
      <c r="L1275" s="14">
        <v>0.0</v>
      </c>
      <c r="M1275" s="25"/>
      <c r="N1275" s="26" t="s">
        <v>21</v>
      </c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</row>
    <row r="1276">
      <c r="A1276" s="14" t="s">
        <v>4786</v>
      </c>
      <c r="B1276" s="17" t="s">
        <v>4783</v>
      </c>
      <c r="C1276" s="17" t="s">
        <v>4787</v>
      </c>
      <c r="D1276" s="19" t="s">
        <v>4788</v>
      </c>
      <c r="E1276" s="20" t="s">
        <v>53</v>
      </c>
      <c r="F1276" s="21">
        <v>36748.0</v>
      </c>
      <c r="G1276" s="14">
        <f t="shared" si="1"/>
        <v>26</v>
      </c>
      <c r="H1276" s="23" t="s">
        <v>100</v>
      </c>
      <c r="I1276" s="24" t="s">
        <v>27</v>
      </c>
      <c r="J1276" s="19" t="s">
        <v>517</v>
      </c>
      <c r="K1276" s="14">
        <v>9.0</v>
      </c>
      <c r="L1276" s="14">
        <v>5.0</v>
      </c>
      <c r="M1276" s="25"/>
      <c r="N1276" s="26" t="s">
        <v>21</v>
      </c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</row>
    <row r="1277">
      <c r="A1277" s="14" t="s">
        <v>4789</v>
      </c>
      <c r="B1277" s="17" t="s">
        <v>4783</v>
      </c>
      <c r="C1277" s="17" t="s">
        <v>4790</v>
      </c>
      <c r="D1277" s="19" t="s">
        <v>4791</v>
      </c>
      <c r="E1277" s="20" t="s">
        <v>4792</v>
      </c>
      <c r="F1277" s="21">
        <v>25640.0</v>
      </c>
      <c r="G1277" s="14">
        <f t="shared" si="1"/>
        <v>56</v>
      </c>
      <c r="H1277" s="23" t="s">
        <v>27</v>
      </c>
      <c r="I1277" s="24" t="s">
        <v>27</v>
      </c>
      <c r="J1277" s="19" t="s">
        <v>517</v>
      </c>
      <c r="K1277" s="14">
        <v>9.0</v>
      </c>
      <c r="L1277" s="14">
        <v>0.0</v>
      </c>
      <c r="M1277" s="25"/>
      <c r="N1277" s="26" t="s">
        <v>21</v>
      </c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</row>
    <row r="1278">
      <c r="A1278" s="14" t="s">
        <v>4793</v>
      </c>
      <c r="B1278" s="17" t="s">
        <v>4783</v>
      </c>
      <c r="C1278" s="17" t="s">
        <v>4794</v>
      </c>
      <c r="D1278" s="19" t="s">
        <v>4795</v>
      </c>
      <c r="E1278" s="20" t="s">
        <v>104</v>
      </c>
      <c r="F1278" s="27">
        <v>38700.0</v>
      </c>
      <c r="G1278" s="14">
        <f t="shared" si="1"/>
        <v>20</v>
      </c>
      <c r="H1278" s="23" t="s">
        <v>100</v>
      </c>
      <c r="I1278" s="24" t="s">
        <v>33</v>
      </c>
      <c r="J1278" s="19" t="s">
        <v>517</v>
      </c>
      <c r="K1278" s="14">
        <v>9.0</v>
      </c>
      <c r="L1278" s="14">
        <v>0.0</v>
      </c>
      <c r="M1278" s="25"/>
      <c r="N1278" s="26" t="s">
        <v>21</v>
      </c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</row>
    <row r="1279">
      <c r="A1279" s="14" t="s">
        <v>4796</v>
      </c>
      <c r="B1279" s="17" t="s">
        <v>4797</v>
      </c>
      <c r="C1279" s="17" t="s">
        <v>4798</v>
      </c>
      <c r="D1279" s="19" t="s">
        <v>4799</v>
      </c>
      <c r="E1279" s="20" t="s">
        <v>1816</v>
      </c>
      <c r="F1279" s="21">
        <v>22115.0</v>
      </c>
      <c r="G1279" s="14">
        <f t="shared" si="1"/>
        <v>66</v>
      </c>
      <c r="H1279" s="23" t="s">
        <v>27</v>
      </c>
      <c r="I1279" s="24" t="s">
        <v>27</v>
      </c>
      <c r="J1279" s="19" t="s">
        <v>53</v>
      </c>
      <c r="K1279" s="14">
        <v>19.0</v>
      </c>
      <c r="L1279" s="14">
        <v>0.0</v>
      </c>
      <c r="M1279" s="25"/>
      <c r="N1279" s="26" t="s">
        <v>21</v>
      </c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</row>
    <row r="1280">
      <c r="A1280" s="14" t="s">
        <v>4800</v>
      </c>
      <c r="B1280" s="17" t="s">
        <v>4797</v>
      </c>
      <c r="C1280" s="17" t="s">
        <v>4801</v>
      </c>
      <c r="D1280" s="19" t="s">
        <v>4802</v>
      </c>
      <c r="E1280" s="20" t="s">
        <v>104</v>
      </c>
      <c r="F1280" s="21">
        <v>36529.0</v>
      </c>
      <c r="G1280" s="14">
        <f t="shared" si="1"/>
        <v>26</v>
      </c>
      <c r="H1280" s="23" t="s">
        <v>100</v>
      </c>
      <c r="I1280" s="24" t="s">
        <v>33</v>
      </c>
      <c r="J1280" s="19" t="s">
        <v>53</v>
      </c>
      <c r="K1280" s="14">
        <v>19.0</v>
      </c>
      <c r="L1280" s="14">
        <v>0.0</v>
      </c>
      <c r="M1280" s="25"/>
      <c r="N1280" s="26" t="s">
        <v>21</v>
      </c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</row>
    <row r="1281">
      <c r="A1281" s="14" t="s">
        <v>4803</v>
      </c>
      <c r="B1281" s="17" t="s">
        <v>4804</v>
      </c>
      <c r="C1281" s="17" t="s">
        <v>4805</v>
      </c>
      <c r="D1281" s="19" t="s">
        <v>4806</v>
      </c>
      <c r="E1281" s="20" t="s">
        <v>104</v>
      </c>
      <c r="F1281" s="27">
        <v>39399.0</v>
      </c>
      <c r="G1281" s="14">
        <f t="shared" si="1"/>
        <v>18</v>
      </c>
      <c r="H1281" s="23" t="s">
        <v>100</v>
      </c>
      <c r="I1281" s="24" t="s">
        <v>27</v>
      </c>
      <c r="J1281" s="19" t="s">
        <v>1915</v>
      </c>
      <c r="K1281" s="14">
        <v>11.0</v>
      </c>
      <c r="L1281" s="14">
        <v>0.0</v>
      </c>
      <c r="M1281" s="25"/>
      <c r="N1281" s="26" t="s">
        <v>21</v>
      </c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</row>
    <row r="1282">
      <c r="A1282" s="14" t="s">
        <v>4807</v>
      </c>
      <c r="B1282" s="17" t="s">
        <v>4804</v>
      </c>
      <c r="C1282" s="17" t="s">
        <v>4808</v>
      </c>
      <c r="D1282" s="19" t="s">
        <v>4809</v>
      </c>
      <c r="E1282" s="20" t="s">
        <v>1903</v>
      </c>
      <c r="F1282" s="21">
        <v>27169.0</v>
      </c>
      <c r="G1282" s="14">
        <f t="shared" si="1"/>
        <v>52</v>
      </c>
      <c r="H1282" s="23" t="s">
        <v>26</v>
      </c>
      <c r="I1282" s="24" t="s">
        <v>27</v>
      </c>
      <c r="J1282" s="19" t="s">
        <v>1915</v>
      </c>
      <c r="K1282" s="14">
        <v>11.0</v>
      </c>
      <c r="L1282" s="14">
        <v>0.0</v>
      </c>
      <c r="M1282" s="25"/>
      <c r="N1282" s="26" t="s">
        <v>21</v>
      </c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</row>
    <row r="1283">
      <c r="A1283" s="14" t="s">
        <v>4810</v>
      </c>
      <c r="B1283" s="17" t="s">
        <v>4811</v>
      </c>
      <c r="C1283" s="17" t="s">
        <v>4812</v>
      </c>
      <c r="D1283" s="19" t="s">
        <v>4813</v>
      </c>
      <c r="E1283" s="20" t="s">
        <v>650</v>
      </c>
      <c r="F1283" s="21">
        <v>21732.0</v>
      </c>
      <c r="G1283" s="14">
        <f t="shared" si="1"/>
        <v>67</v>
      </c>
      <c r="H1283" s="23" t="s">
        <v>26</v>
      </c>
      <c r="I1283" s="24" t="s">
        <v>27</v>
      </c>
      <c r="J1283" s="19" t="s">
        <v>53</v>
      </c>
      <c r="K1283" s="14">
        <v>34.0</v>
      </c>
      <c r="L1283" s="14">
        <v>0.0</v>
      </c>
      <c r="M1283" s="25"/>
      <c r="N1283" s="26" t="s">
        <v>21</v>
      </c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</row>
    <row r="1284">
      <c r="A1284" s="14" t="s">
        <v>4814</v>
      </c>
      <c r="B1284" s="17" t="s">
        <v>4811</v>
      </c>
      <c r="C1284" s="17" t="s">
        <v>4815</v>
      </c>
      <c r="D1284" s="50" t="s">
        <v>4971</v>
      </c>
      <c r="E1284" s="20" t="s">
        <v>650</v>
      </c>
      <c r="F1284" s="21">
        <v>18080.0</v>
      </c>
      <c r="G1284" s="14">
        <f t="shared" si="1"/>
        <v>77</v>
      </c>
      <c r="H1284" s="23" t="s">
        <v>26</v>
      </c>
      <c r="I1284" s="24" t="s">
        <v>33</v>
      </c>
      <c r="J1284" s="19" t="s">
        <v>53</v>
      </c>
      <c r="K1284" s="14">
        <v>34.0</v>
      </c>
      <c r="L1284" s="14">
        <v>0.0</v>
      </c>
      <c r="M1284" s="25"/>
      <c r="N1284" s="26" t="s">
        <v>21</v>
      </c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</row>
    <row r="1285">
      <c r="A1285" s="14" t="s">
        <v>4817</v>
      </c>
      <c r="B1285" s="17" t="s">
        <v>4818</v>
      </c>
      <c r="C1285" s="17" t="s">
        <v>4819</v>
      </c>
      <c r="D1285" s="19" t="s">
        <v>4820</v>
      </c>
      <c r="E1285" s="20" t="s">
        <v>53</v>
      </c>
      <c r="F1285" s="21">
        <v>35165.0</v>
      </c>
      <c r="G1285" s="14">
        <f t="shared" si="1"/>
        <v>30</v>
      </c>
      <c r="H1285" s="23" t="s">
        <v>100</v>
      </c>
      <c r="I1285" s="24" t="s">
        <v>33</v>
      </c>
      <c r="J1285" s="19" t="s">
        <v>362</v>
      </c>
      <c r="K1285" s="14">
        <v>25.0</v>
      </c>
      <c r="L1285" s="14">
        <v>0.0</v>
      </c>
      <c r="M1285" s="25"/>
      <c r="N1285" s="26" t="s">
        <v>21</v>
      </c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</row>
    <row r="1286">
      <c r="A1286" s="14" t="s">
        <v>4821</v>
      </c>
      <c r="B1286" s="17" t="s">
        <v>4818</v>
      </c>
      <c r="C1286" s="17" t="s">
        <v>4822</v>
      </c>
      <c r="D1286" s="19" t="s">
        <v>4823</v>
      </c>
      <c r="E1286" s="20" t="s">
        <v>429</v>
      </c>
      <c r="F1286" s="27">
        <v>24407.0</v>
      </c>
      <c r="G1286" s="14">
        <f t="shared" si="1"/>
        <v>60</v>
      </c>
      <c r="H1286" s="23" t="s">
        <v>26</v>
      </c>
      <c r="I1286" s="24" t="s">
        <v>27</v>
      </c>
      <c r="J1286" s="19" t="s">
        <v>362</v>
      </c>
      <c r="K1286" s="14">
        <v>25.0</v>
      </c>
      <c r="L1286" s="14">
        <v>0.0</v>
      </c>
      <c r="M1286" s="25"/>
      <c r="N1286" s="26" t="s">
        <v>21</v>
      </c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</row>
    <row r="1287">
      <c r="A1287" s="14" t="s">
        <v>4824</v>
      </c>
      <c r="B1287" s="17" t="s">
        <v>4818</v>
      </c>
      <c r="C1287" s="17" t="s">
        <v>4825</v>
      </c>
      <c r="D1287" s="19" t="s">
        <v>4826</v>
      </c>
      <c r="E1287" s="20" t="s">
        <v>429</v>
      </c>
      <c r="F1287" s="21">
        <v>13697.0</v>
      </c>
      <c r="G1287" s="14">
        <f t="shared" si="1"/>
        <v>89</v>
      </c>
      <c r="H1287" s="23" t="s">
        <v>27</v>
      </c>
      <c r="I1287" s="24" t="s">
        <v>33</v>
      </c>
      <c r="J1287" s="19" t="s">
        <v>362</v>
      </c>
      <c r="K1287" s="14">
        <v>25.0</v>
      </c>
      <c r="L1287" s="14">
        <v>0.0</v>
      </c>
      <c r="M1287" s="25"/>
      <c r="N1287" s="26" t="s">
        <v>21</v>
      </c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</row>
    <row r="1288">
      <c r="A1288" s="14" t="s">
        <v>4827</v>
      </c>
      <c r="B1288" s="17" t="s">
        <v>4818</v>
      </c>
      <c r="C1288" s="17" t="s">
        <v>4828</v>
      </c>
      <c r="D1288" s="19" t="s">
        <v>4829</v>
      </c>
      <c r="E1288" s="20" t="s">
        <v>429</v>
      </c>
      <c r="F1288" s="27">
        <v>25121.0</v>
      </c>
      <c r="G1288" s="14">
        <f t="shared" si="1"/>
        <v>58</v>
      </c>
      <c r="H1288" s="23" t="s">
        <v>26</v>
      </c>
      <c r="I1288" s="24" t="s">
        <v>33</v>
      </c>
      <c r="J1288" s="19" t="s">
        <v>362</v>
      </c>
      <c r="K1288" s="14">
        <v>25.0</v>
      </c>
      <c r="L1288" s="14">
        <v>0.0</v>
      </c>
      <c r="M1288" s="25"/>
      <c r="N1288" s="26" t="s">
        <v>21</v>
      </c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</row>
    <row r="1289">
      <c r="A1289" s="14" t="s">
        <v>4830</v>
      </c>
      <c r="B1289" s="17" t="s">
        <v>4818</v>
      </c>
      <c r="C1289" s="17" t="s">
        <v>4831</v>
      </c>
      <c r="D1289" s="19" t="s">
        <v>4832</v>
      </c>
      <c r="E1289" s="20" t="s">
        <v>337</v>
      </c>
      <c r="F1289" s="21">
        <v>37434.0</v>
      </c>
      <c r="G1289" s="14">
        <f t="shared" si="1"/>
        <v>24</v>
      </c>
      <c r="H1289" s="23" t="s">
        <v>100</v>
      </c>
      <c r="I1289" s="24" t="s">
        <v>33</v>
      </c>
      <c r="J1289" s="19" t="s">
        <v>362</v>
      </c>
      <c r="K1289" s="14">
        <v>25.0</v>
      </c>
      <c r="L1289" s="14">
        <v>0.0</v>
      </c>
      <c r="M1289" s="25"/>
      <c r="N1289" s="26" t="s">
        <v>21</v>
      </c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</row>
    <row r="1290">
      <c r="A1290" s="14" t="s">
        <v>4833</v>
      </c>
      <c r="B1290" s="17" t="s">
        <v>4834</v>
      </c>
      <c r="C1290" s="17" t="s">
        <v>4835</v>
      </c>
      <c r="D1290" s="19" t="s">
        <v>4836</v>
      </c>
      <c r="E1290" s="20" t="s">
        <v>53</v>
      </c>
      <c r="F1290" s="21">
        <v>38592.0</v>
      </c>
      <c r="G1290" s="14">
        <f t="shared" si="1"/>
        <v>21</v>
      </c>
      <c r="H1290" s="23" t="s">
        <v>100</v>
      </c>
      <c r="I1290" s="24" t="s">
        <v>33</v>
      </c>
      <c r="J1290" s="19" t="s">
        <v>328</v>
      </c>
      <c r="K1290" s="14">
        <v>26.0</v>
      </c>
      <c r="L1290" s="14">
        <v>0.0</v>
      </c>
      <c r="M1290" s="25"/>
      <c r="N1290" s="26" t="s">
        <v>21</v>
      </c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</row>
    <row r="1291">
      <c r="A1291" s="14" t="s">
        <v>4837</v>
      </c>
      <c r="B1291" s="17" t="s">
        <v>4834</v>
      </c>
      <c r="C1291" s="17" t="s">
        <v>4838</v>
      </c>
      <c r="D1291" s="19" t="s">
        <v>4839</v>
      </c>
      <c r="E1291" s="20" t="s">
        <v>195</v>
      </c>
      <c r="F1291" s="21">
        <v>36406.0</v>
      </c>
      <c r="G1291" s="14">
        <f t="shared" si="1"/>
        <v>27</v>
      </c>
      <c r="H1291" s="23" t="s">
        <v>100</v>
      </c>
      <c r="I1291" s="24" t="s">
        <v>33</v>
      </c>
      <c r="J1291" s="19" t="s">
        <v>328</v>
      </c>
      <c r="K1291" s="14">
        <v>26.0</v>
      </c>
      <c r="L1291" s="14">
        <v>0.0</v>
      </c>
      <c r="M1291" s="25"/>
      <c r="N1291" s="26" t="s">
        <v>21</v>
      </c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</row>
    <row r="1292">
      <c r="A1292" s="14" t="s">
        <v>4840</v>
      </c>
      <c r="B1292" s="17" t="s">
        <v>4834</v>
      </c>
      <c r="C1292" s="17" t="s">
        <v>4841</v>
      </c>
      <c r="D1292" s="19" t="s">
        <v>4842</v>
      </c>
      <c r="E1292" s="20" t="s">
        <v>195</v>
      </c>
      <c r="F1292" s="21">
        <v>26343.0</v>
      </c>
      <c r="G1292" s="14">
        <f t="shared" si="1"/>
        <v>54</v>
      </c>
      <c r="H1292" s="23" t="s">
        <v>26</v>
      </c>
      <c r="I1292" s="24" t="s">
        <v>33</v>
      </c>
      <c r="J1292" s="19" t="s">
        <v>328</v>
      </c>
      <c r="K1292" s="14">
        <v>26.0</v>
      </c>
      <c r="L1292" s="14">
        <v>0.0</v>
      </c>
      <c r="M1292" s="25"/>
      <c r="N1292" s="26" t="s">
        <v>21</v>
      </c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</row>
    <row r="1293">
      <c r="A1293" s="14" t="s">
        <v>4843</v>
      </c>
      <c r="B1293" s="17" t="s">
        <v>4834</v>
      </c>
      <c r="C1293" s="17" t="s">
        <v>4844</v>
      </c>
      <c r="D1293" s="19" t="s">
        <v>4845</v>
      </c>
      <c r="E1293" s="20" t="s">
        <v>1370</v>
      </c>
      <c r="F1293" s="21">
        <v>27287.0</v>
      </c>
      <c r="G1293" s="14">
        <f t="shared" si="1"/>
        <v>52</v>
      </c>
      <c r="H1293" s="23" t="s">
        <v>26</v>
      </c>
      <c r="I1293" s="24" t="s">
        <v>27</v>
      </c>
      <c r="J1293" s="19" t="s">
        <v>328</v>
      </c>
      <c r="K1293" s="14">
        <v>26.0</v>
      </c>
      <c r="L1293" s="14">
        <v>0.0</v>
      </c>
      <c r="M1293" s="25"/>
      <c r="N1293" s="26" t="s">
        <v>21</v>
      </c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</row>
    <row r="1294">
      <c r="A1294" s="14" t="s">
        <v>4846</v>
      </c>
      <c r="B1294" s="17" t="s">
        <v>4847</v>
      </c>
      <c r="C1294" s="17" t="s">
        <v>4848</v>
      </c>
      <c r="D1294" s="19" t="s">
        <v>4849</v>
      </c>
      <c r="E1294" s="20" t="s">
        <v>53</v>
      </c>
      <c r="F1294" s="21">
        <v>38950.0</v>
      </c>
      <c r="G1294" s="14">
        <f t="shared" si="1"/>
        <v>20</v>
      </c>
      <c r="H1294" s="23" t="s">
        <v>100</v>
      </c>
      <c r="I1294" s="24" t="s">
        <v>27</v>
      </c>
      <c r="J1294" s="19" t="s">
        <v>362</v>
      </c>
      <c r="K1294" s="14">
        <v>26.0</v>
      </c>
      <c r="L1294" s="14">
        <v>0.0</v>
      </c>
      <c r="M1294" s="25"/>
      <c r="N1294" s="26" t="s">
        <v>21</v>
      </c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</row>
    <row r="1295">
      <c r="A1295" s="14" t="s">
        <v>4850</v>
      </c>
      <c r="B1295" s="17" t="s">
        <v>4847</v>
      </c>
      <c r="C1295" s="17" t="s">
        <v>4851</v>
      </c>
      <c r="D1295" s="19" t="s">
        <v>4852</v>
      </c>
      <c r="E1295" s="20" t="s">
        <v>632</v>
      </c>
      <c r="F1295" s="21">
        <v>25759.0</v>
      </c>
      <c r="G1295" s="14">
        <f t="shared" si="1"/>
        <v>56</v>
      </c>
      <c r="H1295" s="23" t="s">
        <v>26</v>
      </c>
      <c r="I1295" s="24" t="s">
        <v>27</v>
      </c>
      <c r="J1295" s="19" t="s">
        <v>362</v>
      </c>
      <c r="K1295" s="14">
        <v>26.0</v>
      </c>
      <c r="L1295" s="14">
        <v>0.0</v>
      </c>
      <c r="M1295" s="25"/>
      <c r="N1295" s="26" t="s">
        <v>21</v>
      </c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</row>
    <row r="1296">
      <c r="A1296" s="14" t="s">
        <v>4853</v>
      </c>
      <c r="B1296" s="17" t="s">
        <v>4847</v>
      </c>
      <c r="C1296" s="17" t="s">
        <v>4854</v>
      </c>
      <c r="D1296" s="19" t="s">
        <v>665</v>
      </c>
      <c r="E1296" s="20" t="s">
        <v>1291</v>
      </c>
      <c r="F1296" s="21">
        <v>27426.0</v>
      </c>
      <c r="G1296" s="14">
        <f t="shared" si="1"/>
        <v>51</v>
      </c>
      <c r="H1296" s="23" t="s">
        <v>26</v>
      </c>
      <c r="I1296" s="24" t="s">
        <v>33</v>
      </c>
      <c r="J1296" s="19" t="s">
        <v>362</v>
      </c>
      <c r="K1296" s="14">
        <v>26.0</v>
      </c>
      <c r="L1296" s="14">
        <v>0.0</v>
      </c>
      <c r="M1296" s="25"/>
      <c r="N1296" s="26" t="s">
        <v>21</v>
      </c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</row>
    <row r="1297">
      <c r="A1297" s="14" t="s">
        <v>4855</v>
      </c>
      <c r="B1297" s="17" t="s">
        <v>4856</v>
      </c>
      <c r="C1297" s="17" t="s">
        <v>4857</v>
      </c>
      <c r="D1297" s="19" t="s">
        <v>4858</v>
      </c>
      <c r="E1297" s="20" t="s">
        <v>632</v>
      </c>
      <c r="F1297" s="27">
        <v>23299.0</v>
      </c>
      <c r="G1297" s="14">
        <f t="shared" si="1"/>
        <v>63</v>
      </c>
      <c r="H1297" s="23" t="s">
        <v>26</v>
      </c>
      <c r="I1297" s="24" t="s">
        <v>27</v>
      </c>
      <c r="J1297" s="19" t="s">
        <v>362</v>
      </c>
      <c r="K1297" s="14">
        <v>26.0</v>
      </c>
      <c r="L1297" s="14">
        <v>0.0</v>
      </c>
      <c r="M1297" s="25"/>
      <c r="N1297" s="26" t="s">
        <v>21</v>
      </c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</row>
    <row r="1298">
      <c r="A1298" s="14" t="s">
        <v>4859</v>
      </c>
      <c r="B1298" s="17" t="s">
        <v>4856</v>
      </c>
      <c r="C1298" s="17" t="s">
        <v>4860</v>
      </c>
      <c r="D1298" s="19" t="s">
        <v>4861</v>
      </c>
      <c r="E1298" s="20" t="s">
        <v>3510</v>
      </c>
      <c r="F1298" s="21">
        <v>22757.0</v>
      </c>
      <c r="G1298" s="14">
        <f t="shared" si="1"/>
        <v>64</v>
      </c>
      <c r="H1298" s="23" t="s">
        <v>26</v>
      </c>
      <c r="I1298" s="24" t="s">
        <v>33</v>
      </c>
      <c r="J1298" s="19" t="s">
        <v>362</v>
      </c>
      <c r="K1298" s="14">
        <v>26.0</v>
      </c>
      <c r="L1298" s="14">
        <v>0.0</v>
      </c>
      <c r="M1298" s="25"/>
      <c r="N1298" s="26" t="s">
        <v>21</v>
      </c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</row>
    <row r="1299">
      <c r="A1299" s="14" t="s">
        <v>4862</v>
      </c>
      <c r="B1299" s="17" t="s">
        <v>4863</v>
      </c>
      <c r="C1299" s="17" t="s">
        <v>4864</v>
      </c>
      <c r="D1299" s="19" t="s">
        <v>4865</v>
      </c>
      <c r="E1299" s="20" t="s">
        <v>654</v>
      </c>
      <c r="F1299" s="21">
        <v>17349.0</v>
      </c>
      <c r="G1299" s="14">
        <f t="shared" si="1"/>
        <v>79</v>
      </c>
      <c r="H1299" s="23" t="s">
        <v>26</v>
      </c>
      <c r="I1299" s="24" t="s">
        <v>27</v>
      </c>
      <c r="J1299" s="19" t="s">
        <v>895</v>
      </c>
      <c r="K1299" s="14">
        <v>31.0</v>
      </c>
      <c r="L1299" s="14">
        <v>0.0</v>
      </c>
      <c r="M1299" s="25"/>
      <c r="N1299" s="26" t="s">
        <v>21</v>
      </c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</row>
    <row r="1300">
      <c r="A1300" s="14" t="s">
        <v>4866</v>
      </c>
      <c r="B1300" s="17" t="s">
        <v>4867</v>
      </c>
      <c r="C1300" s="17" t="s">
        <v>4868</v>
      </c>
      <c r="D1300" s="19" t="s">
        <v>4869</v>
      </c>
      <c r="E1300" s="20" t="s">
        <v>210</v>
      </c>
      <c r="F1300" s="21">
        <v>29469.0</v>
      </c>
      <c r="G1300" s="14">
        <f t="shared" si="1"/>
        <v>46</v>
      </c>
      <c r="H1300" s="23" t="s">
        <v>26</v>
      </c>
      <c r="I1300" s="24" t="s">
        <v>27</v>
      </c>
      <c r="J1300" s="19" t="s">
        <v>895</v>
      </c>
      <c r="K1300" s="14">
        <v>25.0</v>
      </c>
      <c r="L1300" s="14">
        <v>2.0</v>
      </c>
      <c r="M1300" s="25"/>
      <c r="N1300" s="26" t="s">
        <v>21</v>
      </c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</row>
    <row r="1301">
      <c r="A1301" s="14" t="s">
        <v>4870</v>
      </c>
      <c r="B1301" s="17" t="s">
        <v>4871</v>
      </c>
      <c r="C1301" s="17" t="s">
        <v>4872</v>
      </c>
      <c r="D1301" s="19" t="s">
        <v>250</v>
      </c>
      <c r="E1301" s="20" t="s">
        <v>654</v>
      </c>
      <c r="F1301" s="21">
        <v>20191.0</v>
      </c>
      <c r="G1301" s="14">
        <f t="shared" si="1"/>
        <v>71</v>
      </c>
      <c r="H1301" s="23" t="s">
        <v>26</v>
      </c>
      <c r="I1301" s="24" t="s">
        <v>33</v>
      </c>
      <c r="J1301" s="19" t="s">
        <v>4020</v>
      </c>
      <c r="K1301" s="14">
        <v>25.0</v>
      </c>
      <c r="L1301" s="14">
        <v>0.0</v>
      </c>
      <c r="M1301" s="25"/>
      <c r="N1301" s="26" t="s">
        <v>21</v>
      </c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</row>
    <row r="1302">
      <c r="A1302" s="14" t="s">
        <v>4873</v>
      </c>
      <c r="B1302" s="17" t="s">
        <v>4871</v>
      </c>
      <c r="C1302" s="17" t="s">
        <v>4874</v>
      </c>
      <c r="D1302" s="19" t="s">
        <v>4875</v>
      </c>
      <c r="E1302" s="20" t="s">
        <v>654</v>
      </c>
      <c r="F1302" s="21">
        <v>22463.0</v>
      </c>
      <c r="G1302" s="14">
        <f t="shared" si="1"/>
        <v>65</v>
      </c>
      <c r="H1302" s="23" t="s">
        <v>26</v>
      </c>
      <c r="I1302" s="24" t="s">
        <v>27</v>
      </c>
      <c r="J1302" s="19" t="s">
        <v>4020</v>
      </c>
      <c r="K1302" s="14">
        <v>25.0</v>
      </c>
      <c r="L1302" s="14">
        <v>0.0</v>
      </c>
      <c r="M1302" s="25"/>
      <c r="N1302" s="26" t="s">
        <v>21</v>
      </c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</row>
    <row r="1303">
      <c r="A1303" s="14" t="s">
        <v>4876</v>
      </c>
      <c r="B1303" s="17" t="s">
        <v>4877</v>
      </c>
      <c r="C1303" s="17" t="s">
        <v>4878</v>
      </c>
      <c r="D1303" s="19" t="s">
        <v>4879</v>
      </c>
      <c r="E1303" s="20" t="s">
        <v>632</v>
      </c>
      <c r="F1303" s="21">
        <v>19898.0</v>
      </c>
      <c r="G1303" s="14">
        <f t="shared" si="1"/>
        <v>72</v>
      </c>
      <c r="H1303" s="23" t="s">
        <v>26</v>
      </c>
      <c r="I1303" s="24" t="s">
        <v>33</v>
      </c>
      <c r="J1303" s="19" t="s">
        <v>68</v>
      </c>
      <c r="K1303" s="14">
        <v>29.0</v>
      </c>
      <c r="L1303" s="14">
        <v>1.0</v>
      </c>
      <c r="M1303" s="25"/>
      <c r="N1303" s="26" t="s">
        <v>21</v>
      </c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</row>
    <row r="1304">
      <c r="A1304" s="14" t="s">
        <v>4880</v>
      </c>
      <c r="B1304" s="17" t="s">
        <v>4877</v>
      </c>
      <c r="C1304" s="17" t="s">
        <v>4881</v>
      </c>
      <c r="D1304" s="19" t="s">
        <v>4882</v>
      </c>
      <c r="E1304" s="20" t="s">
        <v>632</v>
      </c>
      <c r="F1304" s="21">
        <v>19826.0</v>
      </c>
      <c r="G1304" s="14">
        <f t="shared" si="1"/>
        <v>72</v>
      </c>
      <c r="H1304" s="23" t="s">
        <v>26</v>
      </c>
      <c r="I1304" s="24" t="s">
        <v>27</v>
      </c>
      <c r="J1304" s="19" t="s">
        <v>68</v>
      </c>
      <c r="K1304" s="14">
        <v>29.0</v>
      </c>
      <c r="L1304" s="14">
        <v>0.0</v>
      </c>
      <c r="M1304" s="25"/>
      <c r="N1304" s="26" t="s">
        <v>21</v>
      </c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</row>
    <row r="1305">
      <c r="A1305" s="14" t="s">
        <v>4883</v>
      </c>
      <c r="B1305" s="17" t="s">
        <v>4884</v>
      </c>
      <c r="C1305" s="17" t="s">
        <v>4885</v>
      </c>
      <c r="D1305" s="19" t="s">
        <v>4886</v>
      </c>
      <c r="E1305" s="20" t="s">
        <v>104</v>
      </c>
      <c r="F1305" s="21">
        <v>30479.0</v>
      </c>
      <c r="G1305" s="14">
        <f t="shared" si="1"/>
        <v>43</v>
      </c>
      <c r="H1305" s="23" t="s">
        <v>26</v>
      </c>
      <c r="I1305" s="24" t="s">
        <v>27</v>
      </c>
      <c r="J1305" s="19" t="s">
        <v>146</v>
      </c>
      <c r="K1305" s="14">
        <v>1.0</v>
      </c>
      <c r="L1305" s="14">
        <v>0.0</v>
      </c>
      <c r="M1305" s="25"/>
      <c r="N1305" s="26" t="s">
        <v>21</v>
      </c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</row>
    <row r="1306">
      <c r="A1306" s="14" t="s">
        <v>4887</v>
      </c>
      <c r="B1306" s="17" t="s">
        <v>4884</v>
      </c>
      <c r="C1306" s="17" t="s">
        <v>4888</v>
      </c>
      <c r="D1306" s="19" t="s">
        <v>4889</v>
      </c>
      <c r="E1306" s="20" t="s">
        <v>104</v>
      </c>
      <c r="F1306" s="21">
        <v>29382.0</v>
      </c>
      <c r="G1306" s="14">
        <f t="shared" si="1"/>
        <v>46</v>
      </c>
      <c r="H1306" s="23" t="s">
        <v>26</v>
      </c>
      <c r="I1306" s="24" t="s">
        <v>33</v>
      </c>
      <c r="J1306" s="19" t="s">
        <v>146</v>
      </c>
      <c r="K1306" s="14">
        <v>1.0</v>
      </c>
      <c r="L1306" s="14">
        <v>0.0</v>
      </c>
      <c r="M1306" s="25"/>
      <c r="N1306" s="26" t="s">
        <v>21</v>
      </c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</row>
    <row r="1307">
      <c r="A1307" s="14" t="s">
        <v>4890</v>
      </c>
      <c r="B1307" s="17" t="s">
        <v>4891</v>
      </c>
      <c r="C1307" s="17" t="s">
        <v>4892</v>
      </c>
      <c r="D1307" s="19" t="s">
        <v>4893</v>
      </c>
      <c r="E1307" s="20" t="s">
        <v>104</v>
      </c>
      <c r="F1307" s="21">
        <v>36943.0</v>
      </c>
      <c r="G1307" s="14">
        <f t="shared" si="1"/>
        <v>25</v>
      </c>
      <c r="H1307" s="23" t="s">
        <v>100</v>
      </c>
      <c r="I1307" s="24" t="s">
        <v>33</v>
      </c>
      <c r="J1307" s="19" t="s">
        <v>146</v>
      </c>
      <c r="K1307" s="14">
        <v>1.0</v>
      </c>
      <c r="L1307" s="14">
        <v>0.0</v>
      </c>
      <c r="M1307" s="25"/>
      <c r="N1307" s="26" t="s">
        <v>21</v>
      </c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</row>
    <row r="1308">
      <c r="A1308" s="14" t="s">
        <v>4894</v>
      </c>
      <c r="B1308" s="17" t="s">
        <v>4891</v>
      </c>
      <c r="C1308" s="17" t="s">
        <v>4895</v>
      </c>
      <c r="D1308" s="19" t="s">
        <v>4896</v>
      </c>
      <c r="E1308" s="20" t="s">
        <v>104</v>
      </c>
      <c r="F1308" s="21">
        <v>37856.0</v>
      </c>
      <c r="G1308" s="14">
        <f t="shared" si="1"/>
        <v>23</v>
      </c>
      <c r="H1308" s="23" t="s">
        <v>100</v>
      </c>
      <c r="I1308" s="24" t="s">
        <v>33</v>
      </c>
      <c r="J1308" s="19" t="s">
        <v>146</v>
      </c>
      <c r="K1308" s="14">
        <v>1.0</v>
      </c>
      <c r="L1308" s="14">
        <v>0.0</v>
      </c>
      <c r="M1308" s="25"/>
      <c r="N1308" s="26" t="s">
        <v>21</v>
      </c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</row>
    <row r="1309">
      <c r="A1309" s="14" t="s">
        <v>4897</v>
      </c>
      <c r="B1309" s="17" t="s">
        <v>4891</v>
      </c>
      <c r="C1309" s="17" t="s">
        <v>4898</v>
      </c>
      <c r="D1309" s="19" t="s">
        <v>4899</v>
      </c>
      <c r="E1309" s="20" t="s">
        <v>219</v>
      </c>
      <c r="F1309" s="21">
        <v>26675.0</v>
      </c>
      <c r="G1309" s="14">
        <f t="shared" si="1"/>
        <v>53</v>
      </c>
      <c r="H1309" s="23" t="s">
        <v>26</v>
      </c>
      <c r="I1309" s="24" t="s">
        <v>33</v>
      </c>
      <c r="J1309" s="19" t="s">
        <v>146</v>
      </c>
      <c r="K1309" s="14">
        <v>1.0</v>
      </c>
      <c r="L1309" s="14">
        <v>0.0</v>
      </c>
      <c r="M1309" s="25"/>
      <c r="N1309" s="26" t="s">
        <v>21</v>
      </c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</row>
    <row r="1310">
      <c r="A1310" s="14" t="s">
        <v>4901</v>
      </c>
      <c r="B1310" s="17" t="s">
        <v>4891</v>
      </c>
      <c r="C1310" s="17" t="s">
        <v>4902</v>
      </c>
      <c r="D1310" s="19" t="s">
        <v>4903</v>
      </c>
      <c r="E1310" s="20" t="s">
        <v>104</v>
      </c>
      <c r="F1310" s="21">
        <v>29984.0</v>
      </c>
      <c r="G1310" s="14">
        <f t="shared" si="1"/>
        <v>44</v>
      </c>
      <c r="H1310" s="23" t="s">
        <v>26</v>
      </c>
      <c r="I1310" s="24" t="s">
        <v>27</v>
      </c>
      <c r="J1310" s="19" t="s">
        <v>146</v>
      </c>
      <c r="K1310" s="14">
        <v>1.0</v>
      </c>
      <c r="L1310" s="14">
        <v>0.0</v>
      </c>
      <c r="M1310" s="25"/>
      <c r="N1310" s="26" t="s">
        <v>21</v>
      </c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</row>
    <row r="1311">
      <c r="A1311" s="14" t="s">
        <v>4904</v>
      </c>
      <c r="B1311" s="17" t="s">
        <v>4905</v>
      </c>
      <c r="C1311" s="17" t="s">
        <v>4906</v>
      </c>
      <c r="D1311" s="19" t="s">
        <v>4907</v>
      </c>
      <c r="E1311" s="20" t="s">
        <v>53</v>
      </c>
      <c r="F1311" s="21">
        <v>31589.0</v>
      </c>
      <c r="G1311" s="14">
        <f t="shared" si="1"/>
        <v>40</v>
      </c>
      <c r="H1311" s="23" t="s">
        <v>27</v>
      </c>
      <c r="I1311" s="24" t="s">
        <v>33</v>
      </c>
      <c r="J1311" s="19" t="s">
        <v>517</v>
      </c>
      <c r="K1311" s="14">
        <v>8.0</v>
      </c>
      <c r="L1311" s="14">
        <v>0.0</v>
      </c>
      <c r="M1311" s="25"/>
      <c r="N1311" s="26" t="s">
        <v>21</v>
      </c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</row>
    <row r="1312">
      <c r="A1312" s="14" t="s">
        <v>4908</v>
      </c>
      <c r="B1312" s="17" t="s">
        <v>4909</v>
      </c>
      <c r="C1312" s="17" t="s">
        <v>4910</v>
      </c>
      <c r="D1312" s="19" t="s">
        <v>4911</v>
      </c>
      <c r="E1312" s="20" t="s">
        <v>53</v>
      </c>
      <c r="F1312" s="21">
        <v>33276.0</v>
      </c>
      <c r="G1312" s="14">
        <f t="shared" si="1"/>
        <v>35</v>
      </c>
      <c r="H1312" s="23" t="s">
        <v>26</v>
      </c>
      <c r="I1312" s="24" t="s">
        <v>33</v>
      </c>
      <c r="J1312" s="19" t="s">
        <v>68</v>
      </c>
      <c r="K1312" s="14">
        <v>32.0</v>
      </c>
      <c r="L1312" s="14">
        <v>0.0</v>
      </c>
      <c r="M1312" s="25"/>
      <c r="N1312" s="26" t="s">
        <v>21</v>
      </c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</row>
    <row r="1313">
      <c r="A1313" s="14" t="s">
        <v>4912</v>
      </c>
      <c r="B1313" s="17" t="s">
        <v>4909</v>
      </c>
      <c r="C1313" s="17" t="s">
        <v>4913</v>
      </c>
      <c r="D1313" s="19" t="s">
        <v>4914</v>
      </c>
      <c r="E1313" s="20" t="s">
        <v>4915</v>
      </c>
      <c r="F1313" s="21">
        <v>34553.0</v>
      </c>
      <c r="G1313" s="14">
        <f t="shared" si="1"/>
        <v>32</v>
      </c>
      <c r="H1313" s="23" t="s">
        <v>26</v>
      </c>
      <c r="I1313" s="24" t="s">
        <v>27</v>
      </c>
      <c r="J1313" s="19" t="s">
        <v>68</v>
      </c>
      <c r="K1313" s="14">
        <v>32.0</v>
      </c>
      <c r="L1313" s="14">
        <v>0.0</v>
      </c>
      <c r="M1313" s="25"/>
      <c r="N1313" s="26" t="s">
        <v>21</v>
      </c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</row>
    <row r="1314">
      <c r="A1314" s="14" t="s">
        <v>4916</v>
      </c>
      <c r="B1314" s="17" t="s">
        <v>4917</v>
      </c>
      <c r="C1314" s="17" t="s">
        <v>4918</v>
      </c>
      <c r="D1314" s="19" t="s">
        <v>4919</v>
      </c>
      <c r="E1314" s="20" t="s">
        <v>53</v>
      </c>
      <c r="F1314" s="21">
        <v>33468.0</v>
      </c>
      <c r="G1314" s="14">
        <f t="shared" si="1"/>
        <v>35</v>
      </c>
      <c r="H1314" s="23" t="s">
        <v>26</v>
      </c>
      <c r="I1314" s="24" t="s">
        <v>33</v>
      </c>
      <c r="J1314" s="19" t="s">
        <v>328</v>
      </c>
      <c r="K1314" s="14">
        <v>22.0</v>
      </c>
      <c r="L1314" s="14">
        <v>0.0</v>
      </c>
      <c r="M1314" s="25"/>
      <c r="N1314" s="26" t="s">
        <v>21</v>
      </c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</row>
    <row r="1315">
      <c r="A1315" s="14" t="s">
        <v>4920</v>
      </c>
      <c r="B1315" s="17" t="s">
        <v>4917</v>
      </c>
      <c r="C1315" s="17" t="s">
        <v>4921</v>
      </c>
      <c r="D1315" s="19" t="s">
        <v>4922</v>
      </c>
      <c r="E1315" s="20" t="s">
        <v>4923</v>
      </c>
      <c r="F1315" s="21">
        <v>35200.0</v>
      </c>
      <c r="G1315" s="14">
        <f t="shared" si="1"/>
        <v>30</v>
      </c>
      <c r="H1315" s="23" t="s">
        <v>26</v>
      </c>
      <c r="I1315" s="24" t="s">
        <v>27</v>
      </c>
      <c r="J1315" s="19" t="s">
        <v>328</v>
      </c>
      <c r="K1315" s="14">
        <v>22.0</v>
      </c>
      <c r="L1315" s="14">
        <v>0.0</v>
      </c>
      <c r="M1315" s="25"/>
      <c r="N1315" s="26" t="s">
        <v>21</v>
      </c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</row>
    <row r="1316">
      <c r="A1316" s="14" t="s">
        <v>4924</v>
      </c>
      <c r="B1316" s="17" t="s">
        <v>4925</v>
      </c>
      <c r="C1316" s="17" t="s">
        <v>4926</v>
      </c>
      <c r="D1316" s="19" t="s">
        <v>4927</v>
      </c>
      <c r="E1316" s="20" t="s">
        <v>53</v>
      </c>
      <c r="F1316" s="21">
        <v>35590.0</v>
      </c>
      <c r="G1316" s="14">
        <f t="shared" si="1"/>
        <v>29</v>
      </c>
      <c r="H1316" s="23" t="s">
        <v>26</v>
      </c>
      <c r="I1316" s="24" t="s">
        <v>33</v>
      </c>
      <c r="J1316" s="19" t="s">
        <v>257</v>
      </c>
      <c r="K1316" s="14">
        <v>32.0</v>
      </c>
      <c r="L1316" s="14">
        <v>7.0</v>
      </c>
      <c r="M1316" s="28" t="s">
        <v>5102</v>
      </c>
      <c r="N1316" s="26" t="s">
        <v>21</v>
      </c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</row>
    <row r="1317">
      <c r="A1317" s="14" t="s">
        <v>4928</v>
      </c>
      <c r="B1317" s="17" t="s">
        <v>4925</v>
      </c>
      <c r="C1317" s="17" t="s">
        <v>4929</v>
      </c>
      <c r="D1317" s="19" t="s">
        <v>4930</v>
      </c>
      <c r="E1317" s="20" t="s">
        <v>1346</v>
      </c>
      <c r="F1317" s="21">
        <v>35866.0</v>
      </c>
      <c r="G1317" s="14">
        <f t="shared" si="1"/>
        <v>28</v>
      </c>
      <c r="H1317" s="23" t="s">
        <v>26</v>
      </c>
      <c r="I1317" s="24" t="s">
        <v>27</v>
      </c>
      <c r="J1317" s="19" t="s">
        <v>257</v>
      </c>
      <c r="K1317" s="14">
        <v>32.0</v>
      </c>
      <c r="L1317" s="14">
        <v>5.0</v>
      </c>
      <c r="M1317" s="28" t="s">
        <v>5107</v>
      </c>
      <c r="N1317" s="26" t="s">
        <v>21</v>
      </c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</row>
    <row r="1318">
      <c r="A1318" s="14" t="s">
        <v>4931</v>
      </c>
      <c r="B1318" s="17" t="s">
        <v>4932</v>
      </c>
      <c r="C1318" s="17" t="s">
        <v>4933</v>
      </c>
      <c r="D1318" s="19" t="s">
        <v>1143</v>
      </c>
      <c r="E1318" s="20" t="s">
        <v>1370</v>
      </c>
      <c r="F1318" s="21">
        <v>27705.0</v>
      </c>
      <c r="G1318" s="14">
        <f t="shared" si="1"/>
        <v>50</v>
      </c>
      <c r="H1318" s="23" t="s">
        <v>26</v>
      </c>
      <c r="I1318" s="24" t="s">
        <v>33</v>
      </c>
      <c r="J1318" s="19" t="s">
        <v>2336</v>
      </c>
      <c r="K1318" s="14">
        <v>24.0</v>
      </c>
      <c r="L1318" s="14">
        <v>0.0</v>
      </c>
      <c r="M1318" s="25"/>
      <c r="N1318" s="26" t="s">
        <v>21</v>
      </c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</row>
    <row r="1319">
      <c r="A1319" s="14" t="s">
        <v>4934</v>
      </c>
      <c r="B1319" s="17" t="s">
        <v>4932</v>
      </c>
      <c r="C1319" s="17" t="s">
        <v>4935</v>
      </c>
      <c r="D1319" s="19" t="s">
        <v>4936</v>
      </c>
      <c r="E1319" s="20" t="s">
        <v>210</v>
      </c>
      <c r="F1319" s="21">
        <v>31474.0</v>
      </c>
      <c r="G1319" s="14">
        <f t="shared" si="1"/>
        <v>40</v>
      </c>
      <c r="H1319" s="23" t="s">
        <v>26</v>
      </c>
      <c r="I1319" s="24" t="s">
        <v>27</v>
      </c>
      <c r="J1319" s="19" t="s">
        <v>362</v>
      </c>
      <c r="K1319" s="14">
        <v>24.0</v>
      </c>
      <c r="L1319" s="14">
        <v>0.0</v>
      </c>
      <c r="M1319" s="25"/>
      <c r="N1319" s="26" t="s">
        <v>21</v>
      </c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</row>
    <row r="1320">
      <c r="A1320" s="14" t="s">
        <v>4937</v>
      </c>
      <c r="B1320" s="17" t="s">
        <v>4938</v>
      </c>
      <c r="C1320" s="17" t="s">
        <v>4939</v>
      </c>
      <c r="D1320" s="19" t="s">
        <v>4940</v>
      </c>
      <c r="E1320" s="20" t="s">
        <v>1468</v>
      </c>
      <c r="F1320" s="21">
        <v>34568.0</v>
      </c>
      <c r="G1320" s="14">
        <f t="shared" si="1"/>
        <v>32</v>
      </c>
      <c r="H1320" s="23" t="s">
        <v>26</v>
      </c>
      <c r="I1320" s="24" t="s">
        <v>33</v>
      </c>
      <c r="J1320" s="19" t="s">
        <v>206</v>
      </c>
      <c r="K1320" s="14">
        <v>10.0</v>
      </c>
      <c r="L1320" s="14">
        <v>0.0</v>
      </c>
      <c r="M1320" s="25"/>
      <c r="N1320" s="26" t="s">
        <v>21</v>
      </c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</row>
    <row r="1321">
      <c r="A1321" s="14" t="s">
        <v>4941</v>
      </c>
      <c r="B1321" s="17" t="s">
        <v>4938</v>
      </c>
      <c r="C1321" s="17" t="s">
        <v>4942</v>
      </c>
      <c r="D1321" s="19" t="s">
        <v>4943</v>
      </c>
      <c r="E1321" s="20" t="s">
        <v>104</v>
      </c>
      <c r="F1321" s="27">
        <v>37981.0</v>
      </c>
      <c r="G1321" s="14">
        <f t="shared" si="1"/>
        <v>22</v>
      </c>
      <c r="H1321" s="23" t="s">
        <v>26</v>
      </c>
      <c r="I1321" s="24" t="s">
        <v>27</v>
      </c>
      <c r="J1321" s="19" t="s">
        <v>206</v>
      </c>
      <c r="K1321" s="14">
        <v>10.0</v>
      </c>
      <c r="L1321" s="14">
        <v>0.0</v>
      </c>
      <c r="M1321" s="25"/>
      <c r="N1321" s="26" t="s">
        <v>21</v>
      </c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</row>
    <row r="1322">
      <c r="A1322" s="14" t="s">
        <v>4944</v>
      </c>
      <c r="B1322" s="17" t="s">
        <v>4945</v>
      </c>
      <c r="C1322" s="17" t="s">
        <v>4946</v>
      </c>
      <c r="D1322" s="19" t="s">
        <v>4947</v>
      </c>
      <c r="E1322" s="20" t="s">
        <v>2773</v>
      </c>
      <c r="F1322" s="21">
        <v>35337.0</v>
      </c>
      <c r="G1322" s="14">
        <f t="shared" si="1"/>
        <v>30</v>
      </c>
      <c r="H1322" s="23" t="s">
        <v>26</v>
      </c>
      <c r="I1322" s="24" t="s">
        <v>33</v>
      </c>
      <c r="J1322" s="19" t="s">
        <v>68</v>
      </c>
      <c r="K1322" s="14">
        <v>28.0</v>
      </c>
      <c r="L1322" s="14">
        <v>0.0</v>
      </c>
      <c r="M1322" s="25"/>
      <c r="N1322" s="26" t="s">
        <v>21</v>
      </c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</row>
    <row r="1323">
      <c r="A1323" s="14" t="s">
        <v>4948</v>
      </c>
      <c r="B1323" s="17" t="s">
        <v>4945</v>
      </c>
      <c r="C1323" s="17" t="s">
        <v>4949</v>
      </c>
      <c r="D1323" s="19" t="s">
        <v>4950</v>
      </c>
      <c r="E1323" s="20" t="s">
        <v>53</v>
      </c>
      <c r="F1323" s="21">
        <v>35402.0</v>
      </c>
      <c r="G1323" s="14">
        <f t="shared" si="1"/>
        <v>29</v>
      </c>
      <c r="H1323" s="23" t="s">
        <v>26</v>
      </c>
      <c r="I1323" s="24" t="s">
        <v>27</v>
      </c>
      <c r="J1323" s="19" t="s">
        <v>68</v>
      </c>
      <c r="K1323" s="14">
        <v>28.0</v>
      </c>
      <c r="L1323" s="14">
        <v>0.0</v>
      </c>
      <c r="M1323" s="25"/>
      <c r="N1323" s="26" t="s">
        <v>21</v>
      </c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</row>
    <row r="1324">
      <c r="A1324" s="14" t="s">
        <v>4951</v>
      </c>
      <c r="B1324" s="17" t="s">
        <v>4952</v>
      </c>
      <c r="C1324" s="17" t="s">
        <v>4953</v>
      </c>
      <c r="D1324" s="19" t="s">
        <v>4954</v>
      </c>
      <c r="E1324" s="20" t="s">
        <v>104</v>
      </c>
      <c r="F1324" s="27">
        <v>36879.0</v>
      </c>
      <c r="G1324" s="14">
        <f t="shared" si="1"/>
        <v>25</v>
      </c>
      <c r="H1324" s="23" t="s">
        <v>100</v>
      </c>
      <c r="I1324" s="24" t="s">
        <v>33</v>
      </c>
      <c r="J1324" s="19" t="s">
        <v>282</v>
      </c>
      <c r="K1324" s="14">
        <v>13.0</v>
      </c>
      <c r="L1324" s="14">
        <v>0.0</v>
      </c>
      <c r="M1324" s="25"/>
      <c r="N1324" s="26" t="s">
        <v>21</v>
      </c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</row>
    <row r="1325">
      <c r="A1325" s="14" t="s">
        <v>4955</v>
      </c>
      <c r="B1325" s="17" t="s">
        <v>4952</v>
      </c>
      <c r="C1325" s="17" t="s">
        <v>4956</v>
      </c>
      <c r="D1325" s="19" t="s">
        <v>4957</v>
      </c>
      <c r="E1325" s="20" t="s">
        <v>4958</v>
      </c>
      <c r="F1325" s="21">
        <v>25065.0</v>
      </c>
      <c r="G1325" s="14">
        <f t="shared" si="1"/>
        <v>58</v>
      </c>
      <c r="H1325" s="23" t="s">
        <v>26</v>
      </c>
      <c r="I1325" s="24" t="s">
        <v>33</v>
      </c>
      <c r="J1325" s="19" t="s">
        <v>282</v>
      </c>
      <c r="K1325" s="14">
        <v>13.0</v>
      </c>
      <c r="L1325" s="14">
        <v>0.0</v>
      </c>
      <c r="M1325" s="25"/>
      <c r="N1325" s="26" t="s">
        <v>21</v>
      </c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</row>
    <row r="1326">
      <c r="A1326" s="14" t="s">
        <v>4959</v>
      </c>
      <c r="B1326" s="17" t="s">
        <v>4952</v>
      </c>
      <c r="C1326" s="17" t="s">
        <v>4960</v>
      </c>
      <c r="D1326" s="19" t="s">
        <v>1549</v>
      </c>
      <c r="E1326" s="20" t="s">
        <v>429</v>
      </c>
      <c r="F1326" s="21">
        <v>27629.0</v>
      </c>
      <c r="G1326" s="14">
        <f t="shared" si="1"/>
        <v>51</v>
      </c>
      <c r="H1326" s="23" t="s">
        <v>26</v>
      </c>
      <c r="I1326" s="24" t="s">
        <v>27</v>
      </c>
      <c r="J1326" s="19" t="s">
        <v>53</v>
      </c>
      <c r="K1326" s="14">
        <v>13.0</v>
      </c>
      <c r="L1326" s="14">
        <v>0.0</v>
      </c>
      <c r="M1326" s="25"/>
      <c r="N1326" s="26" t="s">
        <v>21</v>
      </c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</row>
    <row r="1327">
      <c r="A1327" s="14" t="s">
        <v>4961</v>
      </c>
      <c r="B1327" s="17" t="s">
        <v>4962</v>
      </c>
      <c r="C1327" s="17" t="s">
        <v>4963</v>
      </c>
      <c r="D1327" s="19" t="s">
        <v>4964</v>
      </c>
      <c r="E1327" s="20" t="s">
        <v>104</v>
      </c>
      <c r="F1327" s="21">
        <v>39347.0</v>
      </c>
      <c r="G1327" s="14">
        <f t="shared" si="1"/>
        <v>19</v>
      </c>
      <c r="H1327" s="23" t="s">
        <v>100</v>
      </c>
      <c r="I1327" s="24" t="s">
        <v>33</v>
      </c>
      <c r="J1327" s="19" t="s">
        <v>68</v>
      </c>
      <c r="K1327" s="14">
        <v>30.0</v>
      </c>
      <c r="L1327" s="14">
        <v>5.0</v>
      </c>
      <c r="M1327" s="28" t="s">
        <v>5158</v>
      </c>
      <c r="N1327" s="26" t="s">
        <v>21</v>
      </c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</row>
    <row r="1328">
      <c r="A1328" s="14" t="s">
        <v>4965</v>
      </c>
      <c r="B1328" s="17" t="s">
        <v>4962</v>
      </c>
      <c r="C1328" s="17" t="s">
        <v>4966</v>
      </c>
      <c r="D1328" s="19" t="s">
        <v>4967</v>
      </c>
      <c r="E1328" s="20" t="s">
        <v>195</v>
      </c>
      <c r="F1328" s="21">
        <v>32202.0</v>
      </c>
      <c r="G1328" s="14">
        <f t="shared" si="1"/>
        <v>38</v>
      </c>
      <c r="H1328" s="23" t="s">
        <v>26</v>
      </c>
      <c r="I1328" s="24" t="s">
        <v>27</v>
      </c>
      <c r="J1328" s="19" t="s">
        <v>68</v>
      </c>
      <c r="K1328" s="14">
        <v>30.0</v>
      </c>
      <c r="L1328" s="14">
        <v>5.0</v>
      </c>
      <c r="M1328" s="28" t="s">
        <v>5158</v>
      </c>
      <c r="N1328" s="26" t="s">
        <v>21</v>
      </c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</row>
    <row r="1329">
      <c r="A1329" s="14" t="s">
        <v>4968</v>
      </c>
      <c r="B1329" s="17" t="s">
        <v>4962</v>
      </c>
      <c r="C1329" s="17" t="s">
        <v>4969</v>
      </c>
      <c r="D1329" s="19" t="s">
        <v>4970</v>
      </c>
      <c r="E1329" s="20" t="s">
        <v>104</v>
      </c>
      <c r="F1329" s="27">
        <v>30967.0</v>
      </c>
      <c r="G1329" s="14">
        <f t="shared" si="1"/>
        <v>42</v>
      </c>
      <c r="H1329" s="23" t="s">
        <v>26</v>
      </c>
      <c r="I1329" s="24" t="s">
        <v>33</v>
      </c>
      <c r="J1329" s="19" t="s">
        <v>68</v>
      </c>
      <c r="K1329" s="14">
        <v>30.0</v>
      </c>
      <c r="L1329" s="14">
        <v>5.0</v>
      </c>
      <c r="M1329" s="28" t="s">
        <v>5158</v>
      </c>
      <c r="N1329" s="26" t="s">
        <v>21</v>
      </c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</row>
    <row r="1330">
      <c r="A1330" s="14" t="s">
        <v>4972</v>
      </c>
      <c r="B1330" s="17" t="s">
        <v>4973</v>
      </c>
      <c r="C1330" s="17" t="s">
        <v>4974</v>
      </c>
      <c r="D1330" s="19" t="s">
        <v>4975</v>
      </c>
      <c r="E1330" s="20" t="s">
        <v>4976</v>
      </c>
      <c r="F1330" s="27">
        <v>30607.0</v>
      </c>
      <c r="G1330" s="14">
        <f t="shared" si="1"/>
        <v>43</v>
      </c>
      <c r="H1330" s="23" t="s">
        <v>26</v>
      </c>
      <c r="I1330" s="24" t="s">
        <v>33</v>
      </c>
      <c r="J1330" s="19" t="s">
        <v>53</v>
      </c>
      <c r="K1330" s="14">
        <v>11.0</v>
      </c>
      <c r="L1330" s="14">
        <v>0.0</v>
      </c>
      <c r="M1330" s="25"/>
      <c r="N1330" s="26" t="s">
        <v>21</v>
      </c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</row>
    <row r="1331">
      <c r="A1331" s="14" t="s">
        <v>4977</v>
      </c>
      <c r="B1331" s="17" t="s">
        <v>4973</v>
      </c>
      <c r="C1331" s="17" t="s">
        <v>4978</v>
      </c>
      <c r="D1331" s="19" t="s">
        <v>4979</v>
      </c>
      <c r="E1331" s="20" t="s">
        <v>112</v>
      </c>
      <c r="F1331" s="21">
        <v>32995.0</v>
      </c>
      <c r="G1331" s="14">
        <f t="shared" si="1"/>
        <v>36</v>
      </c>
      <c r="H1331" s="23" t="s">
        <v>26</v>
      </c>
      <c r="I1331" s="24" t="s">
        <v>27</v>
      </c>
      <c r="J1331" s="19" t="s">
        <v>53</v>
      </c>
      <c r="K1331" s="14">
        <v>11.0</v>
      </c>
      <c r="L1331" s="14">
        <v>0.0</v>
      </c>
      <c r="M1331" s="25"/>
      <c r="N1331" s="26" t="s">
        <v>21</v>
      </c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</row>
    <row r="1332">
      <c r="A1332" s="14" t="s">
        <v>4980</v>
      </c>
      <c r="B1332" s="17" t="s">
        <v>4981</v>
      </c>
      <c r="C1332" s="17" t="s">
        <v>4982</v>
      </c>
      <c r="D1332" s="19" t="s">
        <v>4983</v>
      </c>
      <c r="E1332" s="20" t="s">
        <v>544</v>
      </c>
      <c r="F1332" s="21">
        <v>32394.0</v>
      </c>
      <c r="G1332" s="14">
        <f t="shared" si="1"/>
        <v>38</v>
      </c>
      <c r="H1332" s="23" t="s">
        <v>26</v>
      </c>
      <c r="I1332" s="24" t="s">
        <v>33</v>
      </c>
      <c r="J1332" s="19" t="s">
        <v>206</v>
      </c>
      <c r="K1332" s="14">
        <v>36.0</v>
      </c>
      <c r="L1332" s="14">
        <v>0.0</v>
      </c>
      <c r="M1332" s="28" t="s">
        <v>947</v>
      </c>
      <c r="N1332" s="26" t="s">
        <v>21</v>
      </c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</row>
    <row r="1333">
      <c r="A1333" s="14" t="s">
        <v>4984</v>
      </c>
      <c r="B1333" s="17" t="s">
        <v>4981</v>
      </c>
      <c r="C1333" s="17" t="s">
        <v>4985</v>
      </c>
      <c r="D1333" s="19" t="s">
        <v>4986</v>
      </c>
      <c r="E1333" s="20" t="s">
        <v>104</v>
      </c>
      <c r="F1333" s="21">
        <v>34386.0</v>
      </c>
      <c r="G1333" s="14">
        <f t="shared" si="1"/>
        <v>32</v>
      </c>
      <c r="H1333" s="23" t="s">
        <v>26</v>
      </c>
      <c r="I1333" s="24" t="s">
        <v>27</v>
      </c>
      <c r="J1333" s="19" t="s">
        <v>206</v>
      </c>
      <c r="K1333" s="14">
        <v>36.0</v>
      </c>
      <c r="L1333" s="14">
        <v>0.0</v>
      </c>
      <c r="M1333" s="28" t="s">
        <v>947</v>
      </c>
      <c r="N1333" s="26" t="s">
        <v>21</v>
      </c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</row>
    <row r="1334">
      <c r="A1334" s="14" t="s">
        <v>4987</v>
      </c>
      <c r="B1334" s="17" t="s">
        <v>4988</v>
      </c>
      <c r="C1334" s="17" t="s">
        <v>4989</v>
      </c>
      <c r="D1334" s="19" t="s">
        <v>4990</v>
      </c>
      <c r="E1334" s="20" t="s">
        <v>104</v>
      </c>
      <c r="F1334" s="27">
        <v>37214.0</v>
      </c>
      <c r="G1334" s="14">
        <f t="shared" si="1"/>
        <v>24</v>
      </c>
      <c r="H1334" s="23" t="s">
        <v>100</v>
      </c>
      <c r="I1334" s="24" t="s">
        <v>33</v>
      </c>
      <c r="J1334" s="19" t="s">
        <v>206</v>
      </c>
      <c r="K1334" s="14">
        <v>10.0</v>
      </c>
      <c r="L1334" s="14">
        <v>0.0</v>
      </c>
      <c r="M1334" s="25"/>
      <c r="N1334" s="26" t="s">
        <v>21</v>
      </c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</row>
    <row r="1335">
      <c r="A1335" s="14" t="s">
        <v>4991</v>
      </c>
      <c r="B1335" s="17" t="s">
        <v>4988</v>
      </c>
      <c r="C1335" s="17" t="s">
        <v>4992</v>
      </c>
      <c r="D1335" s="19" t="s">
        <v>861</v>
      </c>
      <c r="E1335" s="20" t="s">
        <v>187</v>
      </c>
      <c r="F1335" s="27">
        <v>27677.0</v>
      </c>
      <c r="G1335" s="14">
        <f t="shared" si="1"/>
        <v>51</v>
      </c>
      <c r="H1335" s="23" t="s">
        <v>26</v>
      </c>
      <c r="I1335" s="24" t="s">
        <v>27</v>
      </c>
      <c r="J1335" s="19" t="s">
        <v>206</v>
      </c>
      <c r="K1335" s="14">
        <v>10.0</v>
      </c>
      <c r="L1335" s="14">
        <v>0.0</v>
      </c>
      <c r="M1335" s="25"/>
      <c r="N1335" s="26" t="s">
        <v>21</v>
      </c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</row>
    <row r="1336">
      <c r="A1336" s="14" t="s">
        <v>4993</v>
      </c>
      <c r="B1336" s="17" t="s">
        <v>4988</v>
      </c>
      <c r="C1336" s="17" t="s">
        <v>4994</v>
      </c>
      <c r="D1336" s="51" t="s">
        <v>4995</v>
      </c>
      <c r="E1336" s="20" t="s">
        <v>4996</v>
      </c>
      <c r="F1336" s="21">
        <v>26086.0</v>
      </c>
      <c r="G1336" s="14">
        <f t="shared" si="1"/>
        <v>55</v>
      </c>
      <c r="H1336" s="23" t="s">
        <v>26</v>
      </c>
      <c r="I1336" s="24" t="s">
        <v>33</v>
      </c>
      <c r="J1336" s="19" t="s">
        <v>206</v>
      </c>
      <c r="K1336" s="14">
        <v>10.0</v>
      </c>
      <c r="L1336" s="14">
        <v>0.0</v>
      </c>
      <c r="M1336" s="25"/>
      <c r="N1336" s="26" t="s">
        <v>21</v>
      </c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</row>
    <row r="1337">
      <c r="A1337" s="14" t="s">
        <v>4997</v>
      </c>
      <c r="B1337" s="17" t="s">
        <v>5193</v>
      </c>
      <c r="C1337" s="17" t="s">
        <v>4999</v>
      </c>
      <c r="D1337" s="19" t="s">
        <v>5000</v>
      </c>
      <c r="E1337" s="20" t="s">
        <v>53</v>
      </c>
      <c r="F1337" s="21">
        <v>35829.0</v>
      </c>
      <c r="G1337" s="14">
        <f t="shared" si="1"/>
        <v>28</v>
      </c>
      <c r="H1337" s="23" t="s">
        <v>100</v>
      </c>
      <c r="I1337" s="24" t="s">
        <v>33</v>
      </c>
      <c r="J1337" s="19" t="s">
        <v>206</v>
      </c>
      <c r="K1337" s="14">
        <v>10.0</v>
      </c>
      <c r="L1337" s="14">
        <v>0.0</v>
      </c>
      <c r="M1337" s="25"/>
      <c r="N1337" s="26" t="s">
        <v>21</v>
      </c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</row>
    <row r="1338">
      <c r="A1338" s="14" t="s">
        <v>5001</v>
      </c>
      <c r="B1338" s="17" t="s">
        <v>4998</v>
      </c>
      <c r="C1338" s="17" t="s">
        <v>5002</v>
      </c>
      <c r="D1338" s="19" t="s">
        <v>5003</v>
      </c>
      <c r="E1338" s="20" t="s">
        <v>5004</v>
      </c>
      <c r="F1338" s="21">
        <v>26037.0</v>
      </c>
      <c r="G1338" s="14">
        <f t="shared" si="1"/>
        <v>55</v>
      </c>
      <c r="H1338" s="23" t="s">
        <v>26</v>
      </c>
      <c r="I1338" s="24" t="s">
        <v>27</v>
      </c>
      <c r="J1338" s="19" t="s">
        <v>206</v>
      </c>
      <c r="K1338" s="14">
        <v>10.0</v>
      </c>
      <c r="L1338" s="14">
        <v>0.0</v>
      </c>
      <c r="M1338" s="25"/>
      <c r="N1338" s="26" t="s">
        <v>21</v>
      </c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</row>
    <row r="1339">
      <c r="A1339" s="14" t="s">
        <v>5005</v>
      </c>
      <c r="B1339" s="17" t="s">
        <v>4998</v>
      </c>
      <c r="C1339" s="17" t="s">
        <v>5006</v>
      </c>
      <c r="D1339" s="19" t="s">
        <v>5007</v>
      </c>
      <c r="E1339" s="20" t="s">
        <v>632</v>
      </c>
      <c r="F1339" s="21">
        <v>25695.0</v>
      </c>
      <c r="G1339" s="14">
        <f t="shared" si="1"/>
        <v>56</v>
      </c>
      <c r="H1339" s="23" t="s">
        <v>26</v>
      </c>
      <c r="I1339" s="24" t="s">
        <v>33</v>
      </c>
      <c r="J1339" s="19" t="s">
        <v>206</v>
      </c>
      <c r="K1339" s="14">
        <v>10.0</v>
      </c>
      <c r="L1339" s="14">
        <v>0.0</v>
      </c>
      <c r="M1339" s="25"/>
      <c r="N1339" s="26" t="s">
        <v>21</v>
      </c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</row>
    <row r="1340">
      <c r="A1340" s="14" t="s">
        <v>5008</v>
      </c>
      <c r="B1340" s="17" t="s">
        <v>5009</v>
      </c>
      <c r="C1340" s="17" t="s">
        <v>5010</v>
      </c>
      <c r="D1340" s="19" t="s">
        <v>5011</v>
      </c>
      <c r="E1340" s="20" t="s">
        <v>231</v>
      </c>
      <c r="F1340" s="21">
        <v>33102.0</v>
      </c>
      <c r="G1340" s="14">
        <f t="shared" si="1"/>
        <v>36</v>
      </c>
      <c r="H1340" s="23" t="s">
        <v>26</v>
      </c>
      <c r="I1340" s="24" t="s">
        <v>33</v>
      </c>
      <c r="J1340" s="19" t="s">
        <v>146</v>
      </c>
      <c r="K1340" s="14">
        <v>10.0</v>
      </c>
      <c r="L1340" s="14">
        <v>0.0</v>
      </c>
      <c r="M1340" s="25"/>
      <c r="N1340" s="26" t="s">
        <v>21</v>
      </c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</row>
    <row r="1341">
      <c r="A1341" s="14" t="s">
        <v>5012</v>
      </c>
      <c r="B1341" s="17" t="s">
        <v>5009</v>
      </c>
      <c r="C1341" s="17" t="s">
        <v>5013</v>
      </c>
      <c r="D1341" s="19" t="s">
        <v>4186</v>
      </c>
      <c r="E1341" s="20" t="s">
        <v>53</v>
      </c>
      <c r="F1341" s="21">
        <v>32935.0</v>
      </c>
      <c r="G1341" s="14">
        <f t="shared" si="1"/>
        <v>36</v>
      </c>
      <c r="H1341" s="23" t="s">
        <v>26</v>
      </c>
      <c r="I1341" s="24" t="s">
        <v>27</v>
      </c>
      <c r="J1341" s="19" t="s">
        <v>146</v>
      </c>
      <c r="K1341" s="14">
        <v>10.0</v>
      </c>
      <c r="L1341" s="14">
        <v>0.0</v>
      </c>
      <c r="M1341" s="25"/>
      <c r="N1341" s="26" t="s">
        <v>21</v>
      </c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</row>
    <row r="1342">
      <c r="A1342" s="14" t="s">
        <v>5014</v>
      </c>
      <c r="B1342" s="17" t="s">
        <v>5015</v>
      </c>
      <c r="C1342" s="17" t="s">
        <v>5016</v>
      </c>
      <c r="D1342" s="19" t="s">
        <v>5017</v>
      </c>
      <c r="E1342" s="20" t="s">
        <v>53</v>
      </c>
      <c r="F1342" s="21">
        <v>35129.0</v>
      </c>
      <c r="G1342" s="14">
        <f t="shared" si="1"/>
        <v>30</v>
      </c>
      <c r="H1342" s="23" t="s">
        <v>26</v>
      </c>
      <c r="I1342" s="24" t="s">
        <v>27</v>
      </c>
      <c r="J1342" s="19" t="s">
        <v>146</v>
      </c>
      <c r="K1342" s="14">
        <v>10.0</v>
      </c>
      <c r="L1342" s="14">
        <v>0.0</v>
      </c>
      <c r="M1342" s="25"/>
      <c r="N1342" s="26" t="s">
        <v>21</v>
      </c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</row>
    <row r="1343">
      <c r="A1343" s="14" t="s">
        <v>5018</v>
      </c>
      <c r="B1343" s="17" t="s">
        <v>5015</v>
      </c>
      <c r="C1343" s="17" t="s">
        <v>5019</v>
      </c>
      <c r="D1343" s="19" t="s">
        <v>5020</v>
      </c>
      <c r="E1343" s="20" t="s">
        <v>195</v>
      </c>
      <c r="F1343" s="21">
        <v>32193.0</v>
      </c>
      <c r="G1343" s="14">
        <f t="shared" si="1"/>
        <v>38</v>
      </c>
      <c r="H1343" s="23" t="s">
        <v>26</v>
      </c>
      <c r="I1343" s="24" t="s">
        <v>33</v>
      </c>
      <c r="J1343" s="19" t="s">
        <v>146</v>
      </c>
      <c r="K1343" s="14">
        <v>10.0</v>
      </c>
      <c r="L1343" s="14">
        <v>0.0</v>
      </c>
      <c r="M1343" s="25"/>
      <c r="N1343" s="26" t="s">
        <v>21</v>
      </c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</row>
    <row r="1344">
      <c r="A1344" s="14" t="s">
        <v>5021</v>
      </c>
      <c r="B1344" s="17" t="s">
        <v>5022</v>
      </c>
      <c r="C1344" s="17" t="s">
        <v>5023</v>
      </c>
      <c r="D1344" s="19" t="s">
        <v>344</v>
      </c>
      <c r="E1344" s="20" t="s">
        <v>187</v>
      </c>
      <c r="F1344" s="21">
        <v>35943.0</v>
      </c>
      <c r="G1344" s="14">
        <f t="shared" si="1"/>
        <v>28</v>
      </c>
      <c r="H1344" s="23" t="s">
        <v>100</v>
      </c>
      <c r="I1344" s="24" t="s">
        <v>33</v>
      </c>
      <c r="J1344" s="19" t="s">
        <v>53</v>
      </c>
      <c r="K1344" s="14">
        <v>8.0</v>
      </c>
      <c r="L1344" s="14">
        <v>0.0</v>
      </c>
      <c r="M1344" s="25"/>
      <c r="N1344" s="26" t="s">
        <v>21</v>
      </c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</row>
    <row r="1345">
      <c r="A1345" s="14" t="s">
        <v>5024</v>
      </c>
      <c r="B1345" s="17" t="s">
        <v>5025</v>
      </c>
      <c r="C1345" s="17" t="s">
        <v>5026</v>
      </c>
      <c r="D1345" s="19" t="s">
        <v>5027</v>
      </c>
      <c r="E1345" s="20" t="s">
        <v>624</v>
      </c>
      <c r="F1345" s="21">
        <v>22109.0</v>
      </c>
      <c r="G1345" s="14">
        <f t="shared" si="1"/>
        <v>66</v>
      </c>
      <c r="H1345" s="23" t="s">
        <v>27</v>
      </c>
      <c r="I1345" s="24" t="s">
        <v>33</v>
      </c>
      <c r="J1345" s="19" t="s">
        <v>726</v>
      </c>
      <c r="K1345" s="14">
        <v>13.0</v>
      </c>
      <c r="L1345" s="14">
        <v>0.0</v>
      </c>
      <c r="M1345" s="25"/>
      <c r="N1345" s="26" t="s">
        <v>21</v>
      </c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</row>
    <row r="1346">
      <c r="A1346" s="14" t="s">
        <v>5028</v>
      </c>
      <c r="B1346" s="17" t="s">
        <v>5029</v>
      </c>
      <c r="C1346" s="17" t="s">
        <v>5030</v>
      </c>
      <c r="D1346" s="19" t="s">
        <v>5031</v>
      </c>
      <c r="E1346" s="20" t="s">
        <v>104</v>
      </c>
      <c r="F1346" s="27">
        <v>28834.0</v>
      </c>
      <c r="G1346" s="14">
        <f t="shared" si="1"/>
        <v>47</v>
      </c>
      <c r="H1346" s="23" t="s">
        <v>26</v>
      </c>
      <c r="I1346" s="24" t="s">
        <v>33</v>
      </c>
      <c r="J1346" s="19" t="s">
        <v>68</v>
      </c>
      <c r="K1346" s="14">
        <v>32.0</v>
      </c>
      <c r="L1346" s="14">
        <v>0.0</v>
      </c>
      <c r="M1346" s="25"/>
      <c r="N1346" s="26" t="s">
        <v>21</v>
      </c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</row>
    <row r="1347">
      <c r="A1347" s="14" t="s">
        <v>5032</v>
      </c>
      <c r="B1347" s="17" t="s">
        <v>5029</v>
      </c>
      <c r="C1347" s="17" t="s">
        <v>5033</v>
      </c>
      <c r="D1347" s="19" t="s">
        <v>5034</v>
      </c>
      <c r="E1347" s="20" t="s">
        <v>5035</v>
      </c>
      <c r="F1347" s="21">
        <v>30176.0</v>
      </c>
      <c r="G1347" s="14">
        <f t="shared" si="1"/>
        <v>44</v>
      </c>
      <c r="H1347" s="23" t="s">
        <v>26</v>
      </c>
      <c r="I1347" s="24" t="s">
        <v>27</v>
      </c>
      <c r="J1347" s="19" t="s">
        <v>68</v>
      </c>
      <c r="K1347" s="14">
        <v>32.0</v>
      </c>
      <c r="L1347" s="14">
        <v>0.0</v>
      </c>
      <c r="M1347" s="25"/>
      <c r="N1347" s="26" t="s">
        <v>21</v>
      </c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</row>
    <row r="1348">
      <c r="A1348" s="14" t="s">
        <v>5036</v>
      </c>
      <c r="B1348" s="17" t="s">
        <v>5029</v>
      </c>
      <c r="C1348" s="17" t="s">
        <v>5037</v>
      </c>
      <c r="D1348" s="19" t="s">
        <v>5038</v>
      </c>
      <c r="E1348" s="20" t="s">
        <v>67</v>
      </c>
      <c r="F1348" s="21">
        <v>19068.0</v>
      </c>
      <c r="G1348" s="14">
        <f t="shared" si="1"/>
        <v>74</v>
      </c>
      <c r="H1348" s="23" t="s">
        <v>27</v>
      </c>
      <c r="I1348" s="24" t="s">
        <v>27</v>
      </c>
      <c r="J1348" s="19" t="s">
        <v>68</v>
      </c>
      <c r="K1348" s="14">
        <v>32.0</v>
      </c>
      <c r="L1348" s="14">
        <v>0.0</v>
      </c>
      <c r="M1348" s="25"/>
      <c r="N1348" s="26" t="s">
        <v>21</v>
      </c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</row>
    <row r="1349">
      <c r="A1349" s="14" t="s">
        <v>5039</v>
      </c>
      <c r="B1349" s="17" t="s">
        <v>5040</v>
      </c>
      <c r="C1349" s="17" t="s">
        <v>5041</v>
      </c>
      <c r="D1349" s="19" t="s">
        <v>5042</v>
      </c>
      <c r="E1349" s="20" t="s">
        <v>104</v>
      </c>
      <c r="F1349" s="21">
        <v>37877.0</v>
      </c>
      <c r="G1349" s="14">
        <f t="shared" si="1"/>
        <v>23</v>
      </c>
      <c r="H1349" s="23" t="s">
        <v>100</v>
      </c>
      <c r="I1349" s="24" t="s">
        <v>27</v>
      </c>
      <c r="J1349" s="19" t="s">
        <v>362</v>
      </c>
      <c r="K1349" s="14">
        <v>27.0</v>
      </c>
      <c r="L1349" s="14">
        <v>0.0</v>
      </c>
      <c r="M1349" s="25"/>
      <c r="N1349" s="26" t="s">
        <v>21</v>
      </c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</row>
    <row r="1350">
      <c r="A1350" s="14" t="s">
        <v>5043</v>
      </c>
      <c r="B1350" s="17" t="s">
        <v>5040</v>
      </c>
      <c r="C1350" s="17" t="s">
        <v>5044</v>
      </c>
      <c r="D1350" s="19" t="s">
        <v>5045</v>
      </c>
      <c r="E1350" s="20" t="s">
        <v>5046</v>
      </c>
      <c r="F1350" s="21">
        <v>25634.0</v>
      </c>
      <c r="G1350" s="14">
        <f t="shared" si="1"/>
        <v>56</v>
      </c>
      <c r="H1350" s="23" t="s">
        <v>26</v>
      </c>
      <c r="I1350" s="24" t="s">
        <v>33</v>
      </c>
      <c r="J1350" s="19" t="s">
        <v>362</v>
      </c>
      <c r="K1350" s="14">
        <v>27.0</v>
      </c>
      <c r="L1350" s="14">
        <v>0.0</v>
      </c>
      <c r="M1350" s="25"/>
      <c r="N1350" s="26" t="s">
        <v>21</v>
      </c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</row>
    <row r="1351">
      <c r="A1351" s="14" t="s">
        <v>5047</v>
      </c>
      <c r="B1351" s="17" t="s">
        <v>5040</v>
      </c>
      <c r="C1351" s="17" t="s">
        <v>5048</v>
      </c>
      <c r="D1351" s="19" t="s">
        <v>5049</v>
      </c>
      <c r="E1351" s="20" t="s">
        <v>632</v>
      </c>
      <c r="F1351" s="21">
        <v>27185.0</v>
      </c>
      <c r="G1351" s="14">
        <f t="shared" si="1"/>
        <v>52</v>
      </c>
      <c r="H1351" s="23" t="s">
        <v>26</v>
      </c>
      <c r="I1351" s="24" t="s">
        <v>27</v>
      </c>
      <c r="J1351" s="19" t="s">
        <v>362</v>
      </c>
      <c r="K1351" s="14">
        <v>27.0</v>
      </c>
      <c r="L1351" s="14">
        <v>0.0</v>
      </c>
      <c r="M1351" s="25"/>
      <c r="N1351" s="26" t="s">
        <v>21</v>
      </c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</row>
    <row r="1352">
      <c r="A1352" s="14" t="s">
        <v>5050</v>
      </c>
      <c r="B1352" s="17" t="s">
        <v>5051</v>
      </c>
      <c r="C1352" s="17" t="s">
        <v>5052</v>
      </c>
      <c r="D1352" s="19" t="s">
        <v>5053</v>
      </c>
      <c r="E1352" s="20" t="s">
        <v>5054</v>
      </c>
      <c r="F1352" s="21">
        <v>38514.0</v>
      </c>
      <c r="G1352" s="14">
        <f t="shared" si="1"/>
        <v>21</v>
      </c>
      <c r="H1352" s="23" t="s">
        <v>100</v>
      </c>
      <c r="I1352" s="24" t="s">
        <v>27</v>
      </c>
      <c r="J1352" s="19" t="s">
        <v>68</v>
      </c>
      <c r="K1352" s="14">
        <v>34.0</v>
      </c>
      <c r="L1352" s="14">
        <v>0.0</v>
      </c>
      <c r="M1352" s="25"/>
      <c r="N1352" s="26" t="s">
        <v>21</v>
      </c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</row>
    <row r="1353">
      <c r="A1353" s="14" t="s">
        <v>5055</v>
      </c>
      <c r="B1353" s="17" t="s">
        <v>5051</v>
      </c>
      <c r="C1353" s="17" t="s">
        <v>5056</v>
      </c>
      <c r="D1353" s="19" t="s">
        <v>5057</v>
      </c>
      <c r="E1353" s="20" t="s">
        <v>210</v>
      </c>
      <c r="F1353" s="21">
        <v>27508.0</v>
      </c>
      <c r="G1353" s="14">
        <f t="shared" si="1"/>
        <v>51</v>
      </c>
      <c r="H1353" s="23" t="s">
        <v>26</v>
      </c>
      <c r="I1353" s="24" t="s">
        <v>33</v>
      </c>
      <c r="J1353" s="19" t="s">
        <v>68</v>
      </c>
      <c r="K1353" s="14">
        <v>34.0</v>
      </c>
      <c r="L1353" s="14">
        <v>0.0</v>
      </c>
      <c r="M1353" s="25"/>
      <c r="N1353" s="26" t="s">
        <v>21</v>
      </c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</row>
    <row r="1354">
      <c r="A1354" s="14" t="s">
        <v>5058</v>
      </c>
      <c r="B1354" s="17" t="s">
        <v>5051</v>
      </c>
      <c r="C1354" s="17" t="s">
        <v>5059</v>
      </c>
      <c r="D1354" s="19" t="s">
        <v>5060</v>
      </c>
      <c r="E1354" s="20" t="s">
        <v>210</v>
      </c>
      <c r="F1354" s="21">
        <v>30469.0</v>
      </c>
      <c r="G1354" s="14">
        <f t="shared" si="1"/>
        <v>43</v>
      </c>
      <c r="H1354" s="23" t="s">
        <v>26</v>
      </c>
      <c r="I1354" s="24" t="s">
        <v>27</v>
      </c>
      <c r="J1354" s="19" t="s">
        <v>68</v>
      </c>
      <c r="K1354" s="14">
        <v>34.0</v>
      </c>
      <c r="L1354" s="14">
        <v>0.0</v>
      </c>
      <c r="M1354" s="25"/>
      <c r="N1354" s="26" t="s">
        <v>21</v>
      </c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</row>
    <row r="1355">
      <c r="A1355" s="14" t="s">
        <v>5061</v>
      </c>
      <c r="B1355" s="17" t="s">
        <v>5062</v>
      </c>
      <c r="C1355" s="17" t="s">
        <v>5063</v>
      </c>
      <c r="D1355" s="19" t="s">
        <v>5064</v>
      </c>
      <c r="E1355" s="20" t="s">
        <v>104</v>
      </c>
      <c r="F1355" s="21">
        <v>31127.0</v>
      </c>
      <c r="G1355" s="14">
        <f t="shared" si="1"/>
        <v>41</v>
      </c>
      <c r="H1355" s="23" t="s">
        <v>26</v>
      </c>
      <c r="I1355" s="24" t="s">
        <v>33</v>
      </c>
      <c r="J1355" s="19" t="s">
        <v>58</v>
      </c>
      <c r="K1355" s="14">
        <v>36.0</v>
      </c>
      <c r="L1355" s="14">
        <v>0.0</v>
      </c>
      <c r="M1355" s="25"/>
      <c r="N1355" s="26" t="s">
        <v>21</v>
      </c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</row>
    <row r="1356">
      <c r="A1356" s="14" t="s">
        <v>5065</v>
      </c>
      <c r="B1356" s="17" t="s">
        <v>5062</v>
      </c>
      <c r="C1356" s="17" t="s">
        <v>5066</v>
      </c>
      <c r="D1356" s="19" t="s">
        <v>5067</v>
      </c>
      <c r="E1356" s="20" t="s">
        <v>53</v>
      </c>
      <c r="F1356" s="21">
        <v>33743.0</v>
      </c>
      <c r="G1356" s="14">
        <f t="shared" si="1"/>
        <v>34</v>
      </c>
      <c r="H1356" s="23" t="s">
        <v>26</v>
      </c>
      <c r="I1356" s="24" t="s">
        <v>27</v>
      </c>
      <c r="J1356" s="19" t="s">
        <v>58</v>
      </c>
      <c r="K1356" s="14">
        <v>36.0</v>
      </c>
      <c r="L1356" s="14">
        <v>0.0</v>
      </c>
      <c r="M1356" s="25"/>
      <c r="N1356" s="26" t="s">
        <v>21</v>
      </c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</row>
    <row r="1357">
      <c r="A1357" s="14" t="s">
        <v>5068</v>
      </c>
      <c r="B1357" s="17" t="s">
        <v>5069</v>
      </c>
      <c r="C1357" s="17" t="s">
        <v>5070</v>
      </c>
      <c r="D1357" s="19" t="s">
        <v>5071</v>
      </c>
      <c r="E1357" s="20" t="s">
        <v>104</v>
      </c>
      <c r="F1357" s="21">
        <v>30787.0</v>
      </c>
      <c r="G1357" s="14">
        <f t="shared" si="1"/>
        <v>42</v>
      </c>
      <c r="H1357" s="23" t="s">
        <v>26</v>
      </c>
      <c r="I1357" s="24" t="s">
        <v>33</v>
      </c>
      <c r="J1357" s="19" t="s">
        <v>53</v>
      </c>
      <c r="K1357" s="14">
        <v>10.0</v>
      </c>
      <c r="L1357" s="14">
        <v>0.0</v>
      </c>
      <c r="M1357" s="25"/>
      <c r="N1357" s="26" t="s">
        <v>21</v>
      </c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</row>
    <row r="1358">
      <c r="A1358" s="14" t="s">
        <v>5072</v>
      </c>
      <c r="B1358" s="17" t="s">
        <v>5073</v>
      </c>
      <c r="C1358" s="17" t="s">
        <v>5074</v>
      </c>
      <c r="D1358" s="19" t="s">
        <v>5075</v>
      </c>
      <c r="E1358" s="20" t="s">
        <v>104</v>
      </c>
      <c r="F1358" s="21">
        <v>36195.0</v>
      </c>
      <c r="G1358" s="14">
        <f t="shared" si="1"/>
        <v>27</v>
      </c>
      <c r="H1358" s="23" t="s">
        <v>100</v>
      </c>
      <c r="I1358" s="24" t="s">
        <v>33</v>
      </c>
      <c r="J1358" s="19" t="s">
        <v>146</v>
      </c>
      <c r="K1358" s="14">
        <v>3.0</v>
      </c>
      <c r="L1358" s="14">
        <v>0.0</v>
      </c>
      <c r="M1358" s="25"/>
      <c r="N1358" s="26" t="s">
        <v>21</v>
      </c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</row>
    <row r="1359">
      <c r="A1359" s="14" t="s">
        <v>5076</v>
      </c>
      <c r="B1359" s="17" t="s">
        <v>5073</v>
      </c>
      <c r="C1359" s="17" t="s">
        <v>5077</v>
      </c>
      <c r="D1359" s="19" t="s">
        <v>5078</v>
      </c>
      <c r="E1359" s="20" t="s">
        <v>53</v>
      </c>
      <c r="F1359" s="21">
        <v>37461.0</v>
      </c>
      <c r="G1359" s="14">
        <f t="shared" si="1"/>
        <v>24</v>
      </c>
      <c r="H1359" s="23" t="s">
        <v>100</v>
      </c>
      <c r="I1359" s="24" t="s">
        <v>27</v>
      </c>
      <c r="J1359" s="19" t="s">
        <v>146</v>
      </c>
      <c r="K1359" s="14">
        <v>3.0</v>
      </c>
      <c r="L1359" s="14">
        <v>0.0</v>
      </c>
      <c r="M1359" s="25"/>
      <c r="N1359" s="26" t="s">
        <v>21</v>
      </c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</row>
    <row r="1360">
      <c r="A1360" s="14" t="s">
        <v>5079</v>
      </c>
      <c r="B1360" s="17" t="s">
        <v>5073</v>
      </c>
      <c r="C1360" s="17" t="s">
        <v>5080</v>
      </c>
      <c r="D1360" s="19" t="s">
        <v>4053</v>
      </c>
      <c r="E1360" s="20" t="s">
        <v>880</v>
      </c>
      <c r="F1360" s="21">
        <v>27163.0</v>
      </c>
      <c r="G1360" s="14">
        <f t="shared" si="1"/>
        <v>52</v>
      </c>
      <c r="H1360" s="23" t="s">
        <v>27</v>
      </c>
      <c r="I1360" s="24" t="s">
        <v>27</v>
      </c>
      <c r="J1360" s="19" t="s">
        <v>146</v>
      </c>
      <c r="K1360" s="14">
        <v>3.0</v>
      </c>
      <c r="L1360" s="14">
        <v>0.0</v>
      </c>
      <c r="M1360" s="25"/>
      <c r="N1360" s="26" t="s">
        <v>21</v>
      </c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</row>
    <row r="1361">
      <c r="A1361" s="14" t="s">
        <v>5081</v>
      </c>
      <c r="B1361" s="17" t="s">
        <v>5082</v>
      </c>
      <c r="C1361" s="17" t="s">
        <v>5083</v>
      </c>
      <c r="D1361" s="19" t="s">
        <v>5084</v>
      </c>
      <c r="E1361" s="20" t="s">
        <v>104</v>
      </c>
      <c r="F1361" s="21">
        <v>36297.0</v>
      </c>
      <c r="G1361" s="14">
        <f t="shared" si="1"/>
        <v>27</v>
      </c>
      <c r="H1361" s="23" t="s">
        <v>100</v>
      </c>
      <c r="I1361" s="24" t="s">
        <v>33</v>
      </c>
      <c r="J1361" s="19" t="s">
        <v>1915</v>
      </c>
      <c r="K1361" s="14">
        <v>12.0</v>
      </c>
      <c r="L1361" s="14">
        <v>0.0</v>
      </c>
      <c r="M1361" s="25"/>
      <c r="N1361" s="26" t="s">
        <v>21</v>
      </c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</row>
    <row r="1362">
      <c r="A1362" s="14" t="s">
        <v>5085</v>
      </c>
      <c r="B1362" s="17" t="s">
        <v>5082</v>
      </c>
      <c r="C1362" s="17" t="s">
        <v>5086</v>
      </c>
      <c r="D1362" s="19" t="s">
        <v>5087</v>
      </c>
      <c r="E1362" s="20" t="s">
        <v>1816</v>
      </c>
      <c r="F1362" s="21">
        <v>22843.0</v>
      </c>
      <c r="G1362" s="14">
        <f t="shared" si="1"/>
        <v>64</v>
      </c>
      <c r="H1362" s="23" t="s">
        <v>26</v>
      </c>
      <c r="I1362" s="24" t="s">
        <v>27</v>
      </c>
      <c r="J1362" s="19" t="s">
        <v>1915</v>
      </c>
      <c r="K1362" s="14">
        <v>12.0</v>
      </c>
      <c r="L1362" s="14">
        <v>0.0</v>
      </c>
      <c r="M1362" s="25"/>
      <c r="N1362" s="26" t="s">
        <v>21</v>
      </c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</row>
    <row r="1363">
      <c r="A1363" s="14" t="s">
        <v>5088</v>
      </c>
      <c r="B1363" s="17" t="s">
        <v>5082</v>
      </c>
      <c r="C1363" s="17" t="s">
        <v>5089</v>
      </c>
      <c r="D1363" s="19" t="s">
        <v>5090</v>
      </c>
      <c r="E1363" s="20" t="s">
        <v>53</v>
      </c>
      <c r="F1363" s="21">
        <v>21959.0</v>
      </c>
      <c r="G1363" s="14">
        <f t="shared" si="1"/>
        <v>66</v>
      </c>
      <c r="H1363" s="23" t="s">
        <v>26</v>
      </c>
      <c r="I1363" s="24" t="s">
        <v>33</v>
      </c>
      <c r="J1363" s="19" t="s">
        <v>1915</v>
      </c>
      <c r="K1363" s="14">
        <v>12.0</v>
      </c>
      <c r="L1363" s="14">
        <v>0.0</v>
      </c>
      <c r="M1363" s="25"/>
      <c r="N1363" s="26" t="s">
        <v>21</v>
      </c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</row>
    <row r="1364">
      <c r="A1364" s="14" t="s">
        <v>5091</v>
      </c>
      <c r="B1364" s="17" t="s">
        <v>5092</v>
      </c>
      <c r="C1364" s="17" t="s">
        <v>5093</v>
      </c>
      <c r="D1364" s="19" t="s">
        <v>5094</v>
      </c>
      <c r="E1364" s="20" t="s">
        <v>104</v>
      </c>
      <c r="F1364" s="21">
        <v>38939.0</v>
      </c>
      <c r="G1364" s="14">
        <f t="shared" si="1"/>
        <v>20</v>
      </c>
      <c r="H1364" s="23" t="s">
        <v>100</v>
      </c>
      <c r="I1364" s="24" t="s">
        <v>33</v>
      </c>
      <c r="J1364" s="19" t="s">
        <v>1915</v>
      </c>
      <c r="K1364" s="14">
        <v>12.0</v>
      </c>
      <c r="L1364" s="14">
        <v>0.0</v>
      </c>
      <c r="M1364" s="25"/>
      <c r="N1364" s="26" t="s">
        <v>21</v>
      </c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</row>
    <row r="1365">
      <c r="A1365" s="14" t="s">
        <v>5095</v>
      </c>
      <c r="B1365" s="17" t="s">
        <v>5092</v>
      </c>
      <c r="C1365" s="17" t="s">
        <v>5096</v>
      </c>
      <c r="D1365" s="19" t="s">
        <v>5097</v>
      </c>
      <c r="E1365" s="20" t="s">
        <v>5098</v>
      </c>
      <c r="F1365" s="21">
        <v>27948.0</v>
      </c>
      <c r="G1365" s="14">
        <f t="shared" si="1"/>
        <v>50</v>
      </c>
      <c r="H1365" s="23" t="s">
        <v>26</v>
      </c>
      <c r="I1365" s="24" t="s">
        <v>27</v>
      </c>
      <c r="J1365" s="19" t="s">
        <v>1915</v>
      </c>
      <c r="K1365" s="14">
        <v>12.0</v>
      </c>
      <c r="L1365" s="14">
        <v>0.0</v>
      </c>
      <c r="M1365" s="25"/>
      <c r="N1365" s="26" t="s">
        <v>21</v>
      </c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</row>
    <row r="1366">
      <c r="A1366" s="14" t="s">
        <v>5099</v>
      </c>
      <c r="B1366" s="17" t="s">
        <v>5092</v>
      </c>
      <c r="C1366" s="17" t="s">
        <v>5100</v>
      </c>
      <c r="D1366" s="19" t="s">
        <v>5101</v>
      </c>
      <c r="E1366" s="20" t="s">
        <v>2038</v>
      </c>
      <c r="F1366" s="21">
        <v>27517.0</v>
      </c>
      <c r="G1366" s="14">
        <f t="shared" si="1"/>
        <v>51</v>
      </c>
      <c r="H1366" s="23" t="s">
        <v>26</v>
      </c>
      <c r="I1366" s="24" t="s">
        <v>33</v>
      </c>
      <c r="J1366" s="19" t="s">
        <v>1915</v>
      </c>
      <c r="K1366" s="14">
        <v>12.0</v>
      </c>
      <c r="L1366" s="14">
        <v>0.0</v>
      </c>
      <c r="M1366" s="25"/>
      <c r="N1366" s="26" t="s">
        <v>21</v>
      </c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</row>
    <row r="1367">
      <c r="A1367" s="14" t="s">
        <v>5103</v>
      </c>
      <c r="B1367" s="17" t="s">
        <v>5104</v>
      </c>
      <c r="C1367" s="17" t="s">
        <v>5105</v>
      </c>
      <c r="D1367" s="19" t="s">
        <v>5106</v>
      </c>
      <c r="E1367" s="20" t="s">
        <v>654</v>
      </c>
      <c r="F1367" s="21">
        <v>27222.0</v>
      </c>
      <c r="G1367" s="14">
        <f t="shared" si="1"/>
        <v>52</v>
      </c>
      <c r="H1367" s="23" t="s">
        <v>26</v>
      </c>
      <c r="I1367" s="24" t="s">
        <v>27</v>
      </c>
      <c r="J1367" s="19" t="s">
        <v>362</v>
      </c>
      <c r="K1367" s="14">
        <v>24.0</v>
      </c>
      <c r="L1367" s="14">
        <v>0.0</v>
      </c>
      <c r="M1367" s="25"/>
      <c r="N1367" s="26" t="s">
        <v>21</v>
      </c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</row>
    <row r="1368">
      <c r="A1368" s="14" t="s">
        <v>5108</v>
      </c>
      <c r="B1368" s="17" t="s">
        <v>5104</v>
      </c>
      <c r="C1368" s="17" t="s">
        <v>5109</v>
      </c>
      <c r="D1368" s="19" t="s">
        <v>5110</v>
      </c>
      <c r="E1368" s="20" t="s">
        <v>3760</v>
      </c>
      <c r="F1368" s="21">
        <v>23532.0</v>
      </c>
      <c r="G1368" s="14">
        <f t="shared" si="1"/>
        <v>62</v>
      </c>
      <c r="H1368" s="23" t="s">
        <v>26</v>
      </c>
      <c r="I1368" s="24" t="s">
        <v>33</v>
      </c>
      <c r="J1368" s="19" t="s">
        <v>362</v>
      </c>
      <c r="K1368" s="14">
        <v>24.0</v>
      </c>
      <c r="L1368" s="14">
        <v>0.0</v>
      </c>
      <c r="M1368" s="25"/>
      <c r="N1368" s="26" t="s">
        <v>21</v>
      </c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</row>
    <row r="1369">
      <c r="A1369" s="14" t="s">
        <v>5111</v>
      </c>
      <c r="B1369" s="17" t="s">
        <v>5112</v>
      </c>
      <c r="C1369" s="17" t="s">
        <v>5113</v>
      </c>
      <c r="D1369" s="19" t="s">
        <v>5114</v>
      </c>
      <c r="E1369" s="20" t="s">
        <v>112</v>
      </c>
      <c r="F1369" s="21">
        <v>20226.0</v>
      </c>
      <c r="G1369" s="14">
        <f t="shared" si="1"/>
        <v>71</v>
      </c>
      <c r="H1369" s="23" t="s">
        <v>26</v>
      </c>
      <c r="I1369" s="24" t="s">
        <v>33</v>
      </c>
      <c r="J1369" s="19" t="s">
        <v>517</v>
      </c>
      <c r="K1369" s="14">
        <v>9.0</v>
      </c>
      <c r="L1369" s="14">
        <v>0.0</v>
      </c>
      <c r="M1369" s="25"/>
      <c r="N1369" s="26" t="s">
        <v>21</v>
      </c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</row>
    <row r="1370">
      <c r="A1370" s="14" t="s">
        <v>5115</v>
      </c>
      <c r="B1370" s="17" t="s">
        <v>5112</v>
      </c>
      <c r="C1370" s="17" t="s">
        <v>5116</v>
      </c>
      <c r="D1370" s="19" t="s">
        <v>5117</v>
      </c>
      <c r="E1370" s="20" t="s">
        <v>632</v>
      </c>
      <c r="F1370" s="21">
        <v>23146.0</v>
      </c>
      <c r="G1370" s="14">
        <f t="shared" si="1"/>
        <v>63</v>
      </c>
      <c r="H1370" s="23" t="s">
        <v>26</v>
      </c>
      <c r="I1370" s="24" t="s">
        <v>27</v>
      </c>
      <c r="J1370" s="19" t="s">
        <v>517</v>
      </c>
      <c r="K1370" s="14">
        <v>9.0</v>
      </c>
      <c r="L1370" s="14">
        <v>0.0</v>
      </c>
      <c r="M1370" s="25"/>
      <c r="N1370" s="26" t="s">
        <v>21</v>
      </c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</row>
    <row r="1371">
      <c r="A1371" s="14" t="s">
        <v>5118</v>
      </c>
      <c r="B1371" s="17" t="s">
        <v>5119</v>
      </c>
      <c r="C1371" s="17" t="s">
        <v>5120</v>
      </c>
      <c r="D1371" s="19" t="s">
        <v>5121</v>
      </c>
      <c r="E1371" s="20" t="s">
        <v>632</v>
      </c>
      <c r="F1371" s="21">
        <v>24922.0</v>
      </c>
      <c r="G1371" s="14">
        <f t="shared" si="1"/>
        <v>58</v>
      </c>
      <c r="H1371" s="23" t="s">
        <v>26</v>
      </c>
      <c r="I1371" s="24" t="s">
        <v>27</v>
      </c>
      <c r="J1371" s="19" t="s">
        <v>146</v>
      </c>
      <c r="K1371" s="14">
        <v>3.0</v>
      </c>
      <c r="L1371" s="14">
        <v>0.0</v>
      </c>
      <c r="M1371" s="25"/>
      <c r="N1371" s="26" t="s">
        <v>21</v>
      </c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</row>
    <row r="1372">
      <c r="A1372" s="14" t="s">
        <v>5122</v>
      </c>
      <c r="B1372" s="17" t="s">
        <v>5119</v>
      </c>
      <c r="C1372" s="17" t="s">
        <v>5123</v>
      </c>
      <c r="D1372" s="19" t="s">
        <v>5124</v>
      </c>
      <c r="E1372" s="20" t="s">
        <v>5125</v>
      </c>
      <c r="F1372" s="21">
        <v>22292.0</v>
      </c>
      <c r="G1372" s="14">
        <f t="shared" si="1"/>
        <v>65</v>
      </c>
      <c r="H1372" s="23" t="s">
        <v>26</v>
      </c>
      <c r="I1372" s="24" t="s">
        <v>33</v>
      </c>
      <c r="J1372" s="19" t="s">
        <v>146</v>
      </c>
      <c r="K1372" s="14">
        <v>3.0</v>
      </c>
      <c r="L1372" s="14">
        <v>0.0</v>
      </c>
      <c r="M1372" s="25"/>
      <c r="N1372" s="26" t="s">
        <v>21</v>
      </c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</row>
    <row r="1373">
      <c r="A1373" s="14" t="s">
        <v>5126</v>
      </c>
      <c r="B1373" s="17" t="s">
        <v>5127</v>
      </c>
      <c r="C1373" s="17" t="s">
        <v>5128</v>
      </c>
      <c r="D1373" s="19" t="s">
        <v>5129</v>
      </c>
      <c r="E1373" s="20" t="s">
        <v>5130</v>
      </c>
      <c r="F1373" s="21">
        <v>37165.0</v>
      </c>
      <c r="G1373" s="14">
        <f t="shared" si="1"/>
        <v>25</v>
      </c>
      <c r="H1373" s="23" t="s">
        <v>100</v>
      </c>
      <c r="I1373" s="24" t="s">
        <v>33</v>
      </c>
      <c r="J1373" s="19" t="s">
        <v>53</v>
      </c>
      <c r="K1373" s="14">
        <v>5.0</v>
      </c>
      <c r="L1373" s="14">
        <v>0.0</v>
      </c>
      <c r="M1373" s="25"/>
      <c r="N1373" s="26" t="s">
        <v>21</v>
      </c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</row>
    <row r="1374">
      <c r="A1374" s="14" t="s">
        <v>5131</v>
      </c>
      <c r="B1374" s="17" t="s">
        <v>5127</v>
      </c>
      <c r="C1374" s="17" t="s">
        <v>5132</v>
      </c>
      <c r="D1374" s="19" t="s">
        <v>5133</v>
      </c>
      <c r="E1374" s="20" t="s">
        <v>5130</v>
      </c>
      <c r="F1374" s="21">
        <v>22827.0</v>
      </c>
      <c r="G1374" s="14">
        <f t="shared" si="1"/>
        <v>64</v>
      </c>
      <c r="H1374" s="23" t="s">
        <v>26</v>
      </c>
      <c r="I1374" s="24" t="s">
        <v>33</v>
      </c>
      <c r="J1374" s="19" t="s">
        <v>53</v>
      </c>
      <c r="K1374" s="14">
        <v>28.0</v>
      </c>
      <c r="L1374" s="14">
        <v>0.0</v>
      </c>
      <c r="M1374" s="25"/>
      <c r="N1374" s="26" t="s">
        <v>21</v>
      </c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</row>
    <row r="1375">
      <c r="A1375" s="14" t="s">
        <v>5134</v>
      </c>
      <c r="B1375" s="17" t="s">
        <v>5127</v>
      </c>
      <c r="C1375" s="17" t="s">
        <v>5135</v>
      </c>
      <c r="D1375" s="19" t="s">
        <v>2213</v>
      </c>
      <c r="E1375" s="20" t="s">
        <v>5136</v>
      </c>
      <c r="F1375" s="21">
        <v>23168.0</v>
      </c>
      <c r="G1375" s="14">
        <f t="shared" si="1"/>
        <v>63</v>
      </c>
      <c r="H1375" s="23" t="s">
        <v>26</v>
      </c>
      <c r="I1375" s="24" t="s">
        <v>27</v>
      </c>
      <c r="J1375" s="19" t="s">
        <v>53</v>
      </c>
      <c r="K1375" s="14">
        <v>28.0</v>
      </c>
      <c r="L1375" s="14">
        <v>0.0</v>
      </c>
      <c r="M1375" s="25"/>
      <c r="N1375" s="26" t="s">
        <v>21</v>
      </c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</row>
    <row r="1376">
      <c r="A1376" s="14" t="s">
        <v>5137</v>
      </c>
      <c r="B1376" s="17" t="s">
        <v>5127</v>
      </c>
      <c r="C1376" s="17" t="s">
        <v>5138</v>
      </c>
      <c r="D1376" s="19" t="s">
        <v>5139</v>
      </c>
      <c r="E1376" s="20" t="s">
        <v>5130</v>
      </c>
      <c r="F1376" s="21">
        <v>38977.0</v>
      </c>
      <c r="G1376" s="14">
        <f t="shared" si="1"/>
        <v>20</v>
      </c>
      <c r="H1376" s="23" t="s">
        <v>100</v>
      </c>
      <c r="I1376" s="24" t="s">
        <v>33</v>
      </c>
      <c r="J1376" s="19" t="s">
        <v>53</v>
      </c>
      <c r="K1376" s="14">
        <v>5.0</v>
      </c>
      <c r="L1376" s="14">
        <v>0.0</v>
      </c>
      <c r="M1376" s="25"/>
      <c r="N1376" s="26" t="s">
        <v>21</v>
      </c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</row>
    <row r="1377">
      <c r="A1377" s="14" t="s">
        <v>5140</v>
      </c>
      <c r="B1377" s="17" t="s">
        <v>5141</v>
      </c>
      <c r="C1377" s="17" t="s">
        <v>5142</v>
      </c>
      <c r="D1377" s="19" t="s">
        <v>5143</v>
      </c>
      <c r="E1377" s="20" t="s">
        <v>104</v>
      </c>
      <c r="F1377" s="21">
        <v>34965.0</v>
      </c>
      <c r="G1377" s="14">
        <f t="shared" si="1"/>
        <v>31</v>
      </c>
      <c r="H1377" s="23" t="s">
        <v>26</v>
      </c>
      <c r="I1377" s="24" t="s">
        <v>33</v>
      </c>
      <c r="J1377" s="19" t="s">
        <v>328</v>
      </c>
      <c r="K1377" s="14">
        <v>23.0</v>
      </c>
      <c r="L1377" s="14">
        <v>0.0</v>
      </c>
      <c r="M1377" s="25"/>
      <c r="N1377" s="26" t="s">
        <v>21</v>
      </c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</row>
    <row r="1378">
      <c r="A1378" s="14" t="s">
        <v>5144</v>
      </c>
      <c r="B1378" s="17" t="s">
        <v>5141</v>
      </c>
      <c r="C1378" s="17" t="s">
        <v>5145</v>
      </c>
      <c r="D1378" s="19" t="s">
        <v>5146</v>
      </c>
      <c r="E1378" s="20" t="s">
        <v>104</v>
      </c>
      <c r="F1378" s="21">
        <v>32510.0</v>
      </c>
      <c r="G1378" s="14">
        <f t="shared" si="1"/>
        <v>37</v>
      </c>
      <c r="H1378" s="23" t="s">
        <v>26</v>
      </c>
      <c r="I1378" s="24" t="s">
        <v>27</v>
      </c>
      <c r="J1378" s="19" t="s">
        <v>328</v>
      </c>
      <c r="K1378" s="14">
        <v>23.0</v>
      </c>
      <c r="L1378" s="14">
        <v>0.0</v>
      </c>
      <c r="M1378" s="25"/>
      <c r="N1378" s="26" t="s">
        <v>21</v>
      </c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</row>
    <row r="1379">
      <c r="A1379" s="14" t="s">
        <v>5147</v>
      </c>
      <c r="B1379" s="17" t="s">
        <v>5148</v>
      </c>
      <c r="C1379" s="17" t="s">
        <v>5149</v>
      </c>
      <c r="D1379" s="19" t="s">
        <v>5150</v>
      </c>
      <c r="E1379" s="20" t="s">
        <v>5151</v>
      </c>
      <c r="F1379" s="21">
        <v>26504.0</v>
      </c>
      <c r="G1379" s="14">
        <f t="shared" si="1"/>
        <v>54</v>
      </c>
      <c r="H1379" s="23" t="s">
        <v>26</v>
      </c>
      <c r="I1379" s="24" t="s">
        <v>27</v>
      </c>
      <c r="J1379" s="19" t="s">
        <v>5152</v>
      </c>
      <c r="K1379" s="14">
        <v>17.0</v>
      </c>
      <c r="L1379" s="14">
        <v>0.0</v>
      </c>
      <c r="M1379" s="25"/>
      <c r="N1379" s="26" t="s">
        <v>21</v>
      </c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</row>
    <row r="1380">
      <c r="A1380" s="14" t="s">
        <v>5153</v>
      </c>
      <c r="B1380" s="17" t="s">
        <v>5148</v>
      </c>
      <c r="C1380" s="17" t="s">
        <v>5154</v>
      </c>
      <c r="D1380" s="19" t="s">
        <v>5155</v>
      </c>
      <c r="E1380" s="20" t="s">
        <v>5156</v>
      </c>
      <c r="F1380" s="21">
        <v>37009.0</v>
      </c>
      <c r="G1380" s="14">
        <f t="shared" si="1"/>
        <v>25</v>
      </c>
      <c r="H1380" s="23" t="s">
        <v>100</v>
      </c>
      <c r="I1380" s="24" t="s">
        <v>27</v>
      </c>
      <c r="J1380" s="19" t="s">
        <v>5152</v>
      </c>
      <c r="K1380" s="14">
        <v>17.0</v>
      </c>
      <c r="L1380" s="14">
        <v>0.0</v>
      </c>
      <c r="M1380" s="25"/>
      <c r="N1380" s="26" t="s">
        <v>21</v>
      </c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</row>
    <row r="1381">
      <c r="A1381" s="14" t="s">
        <v>5157</v>
      </c>
      <c r="B1381" s="17" t="s">
        <v>5148</v>
      </c>
      <c r="C1381" s="17" t="s">
        <v>5159</v>
      </c>
      <c r="D1381" s="19" t="s">
        <v>5160</v>
      </c>
      <c r="E1381" s="20" t="s">
        <v>5161</v>
      </c>
      <c r="F1381" s="27">
        <v>24758.0</v>
      </c>
      <c r="G1381" s="14">
        <f t="shared" si="1"/>
        <v>59</v>
      </c>
      <c r="H1381" s="23" t="s">
        <v>26</v>
      </c>
      <c r="I1381" s="24" t="s">
        <v>33</v>
      </c>
      <c r="J1381" s="19" t="s">
        <v>5152</v>
      </c>
      <c r="K1381" s="14">
        <v>17.0</v>
      </c>
      <c r="L1381" s="14">
        <v>0.0</v>
      </c>
      <c r="M1381" s="25"/>
      <c r="N1381" s="26" t="s">
        <v>21</v>
      </c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</row>
    <row r="1382">
      <c r="A1382" s="14" t="s">
        <v>5162</v>
      </c>
      <c r="B1382" s="17" t="s">
        <v>5148</v>
      </c>
      <c r="C1382" s="17" t="s">
        <v>5163</v>
      </c>
      <c r="D1382" s="19" t="s">
        <v>5164</v>
      </c>
      <c r="E1382" s="20" t="s">
        <v>3003</v>
      </c>
      <c r="F1382" s="21">
        <v>36593.0</v>
      </c>
      <c r="G1382" s="14">
        <f t="shared" si="1"/>
        <v>26</v>
      </c>
      <c r="H1382" s="23" t="s">
        <v>100</v>
      </c>
      <c r="I1382" s="24" t="s">
        <v>33</v>
      </c>
      <c r="J1382" s="19" t="s">
        <v>5152</v>
      </c>
      <c r="K1382" s="14">
        <v>17.0</v>
      </c>
      <c r="L1382" s="14">
        <v>0.0</v>
      </c>
      <c r="M1382" s="25"/>
      <c r="N1382" s="26" t="s">
        <v>21</v>
      </c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</row>
    <row r="1383">
      <c r="A1383" s="14" t="s">
        <v>5165</v>
      </c>
      <c r="B1383" s="17" t="s">
        <v>5148</v>
      </c>
      <c r="C1383" s="17" t="s">
        <v>5166</v>
      </c>
      <c r="D1383" s="19" t="s">
        <v>5167</v>
      </c>
      <c r="E1383" s="20" t="s">
        <v>1095</v>
      </c>
      <c r="F1383" s="27">
        <v>38276.0</v>
      </c>
      <c r="G1383" s="14">
        <f t="shared" si="1"/>
        <v>22</v>
      </c>
      <c r="H1383" s="23" t="s">
        <v>100</v>
      </c>
      <c r="I1383" s="24" t="s">
        <v>33</v>
      </c>
      <c r="J1383" s="19" t="s">
        <v>5152</v>
      </c>
      <c r="K1383" s="14">
        <v>17.0</v>
      </c>
      <c r="L1383" s="14">
        <v>0.0</v>
      </c>
      <c r="M1383" s="25"/>
      <c r="N1383" s="26" t="s">
        <v>21</v>
      </c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</row>
    <row r="1384">
      <c r="A1384" s="14" t="s">
        <v>5168</v>
      </c>
      <c r="B1384" s="17" t="s">
        <v>5169</v>
      </c>
      <c r="C1384" s="17" t="s">
        <v>5170</v>
      </c>
      <c r="D1384" s="19" t="s">
        <v>344</v>
      </c>
      <c r="E1384" s="20" t="s">
        <v>632</v>
      </c>
      <c r="F1384" s="21">
        <v>25648.0</v>
      </c>
      <c r="G1384" s="14">
        <f t="shared" si="1"/>
        <v>56</v>
      </c>
      <c r="H1384" s="23" t="s">
        <v>26</v>
      </c>
      <c r="I1384" s="24" t="s">
        <v>33</v>
      </c>
      <c r="J1384" s="19" t="s">
        <v>362</v>
      </c>
      <c r="K1384" s="14">
        <v>25.0</v>
      </c>
      <c r="L1384" s="14">
        <v>1.0</v>
      </c>
      <c r="M1384" s="25"/>
      <c r="N1384" s="26" t="s">
        <v>21</v>
      </c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</row>
    <row r="1385">
      <c r="A1385" s="14" t="s">
        <v>5171</v>
      </c>
      <c r="B1385" s="17" t="s">
        <v>5169</v>
      </c>
      <c r="C1385" s="17" t="s">
        <v>5172</v>
      </c>
      <c r="D1385" s="19" t="s">
        <v>5173</v>
      </c>
      <c r="E1385" s="20" t="s">
        <v>1291</v>
      </c>
      <c r="F1385" s="27">
        <v>27353.0</v>
      </c>
      <c r="G1385" s="14">
        <f t="shared" si="1"/>
        <v>51</v>
      </c>
      <c r="H1385" s="23" t="s">
        <v>26</v>
      </c>
      <c r="I1385" s="24" t="s">
        <v>27</v>
      </c>
      <c r="J1385" s="19" t="s">
        <v>362</v>
      </c>
      <c r="K1385" s="14">
        <v>25.0</v>
      </c>
      <c r="L1385" s="14">
        <v>0.0</v>
      </c>
      <c r="M1385" s="25"/>
      <c r="N1385" s="26" t="s">
        <v>21</v>
      </c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</row>
    <row r="1386">
      <c r="A1386" s="14" t="s">
        <v>5174</v>
      </c>
      <c r="B1386" s="17" t="s">
        <v>5175</v>
      </c>
      <c r="C1386" s="17" t="s">
        <v>5176</v>
      </c>
      <c r="D1386" s="19" t="s">
        <v>5177</v>
      </c>
      <c r="E1386" s="20" t="s">
        <v>2680</v>
      </c>
      <c r="F1386" s="27">
        <v>36480.0</v>
      </c>
      <c r="G1386" s="14">
        <f t="shared" si="1"/>
        <v>26</v>
      </c>
      <c r="H1386" s="23" t="s">
        <v>100</v>
      </c>
      <c r="I1386" s="24" t="s">
        <v>33</v>
      </c>
      <c r="J1386" s="19" t="s">
        <v>328</v>
      </c>
      <c r="K1386" s="14">
        <v>25.0</v>
      </c>
      <c r="L1386" s="14">
        <v>0.0</v>
      </c>
      <c r="M1386" s="25"/>
      <c r="N1386" s="26" t="s">
        <v>21</v>
      </c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</row>
    <row r="1387">
      <c r="A1387" s="14" t="s">
        <v>5178</v>
      </c>
      <c r="B1387" s="17" t="s">
        <v>5175</v>
      </c>
      <c r="C1387" s="17" t="s">
        <v>5179</v>
      </c>
      <c r="D1387" s="19" t="s">
        <v>235</v>
      </c>
      <c r="E1387" s="20" t="s">
        <v>2680</v>
      </c>
      <c r="F1387" s="27">
        <v>30306.0</v>
      </c>
      <c r="G1387" s="14">
        <f t="shared" si="1"/>
        <v>43</v>
      </c>
      <c r="H1387" s="23" t="s">
        <v>26</v>
      </c>
      <c r="I1387" s="24" t="s">
        <v>27</v>
      </c>
      <c r="J1387" s="19" t="s">
        <v>328</v>
      </c>
      <c r="K1387" s="14">
        <v>25.0</v>
      </c>
      <c r="L1387" s="14">
        <v>0.0</v>
      </c>
      <c r="M1387" s="25"/>
      <c r="N1387" s="26" t="s">
        <v>21</v>
      </c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</row>
    <row r="1388">
      <c r="A1388" s="14" t="s">
        <v>5180</v>
      </c>
      <c r="B1388" s="17" t="s">
        <v>5175</v>
      </c>
      <c r="C1388" s="17" t="s">
        <v>5181</v>
      </c>
      <c r="D1388" s="19" t="s">
        <v>5182</v>
      </c>
      <c r="E1388" s="20" t="s">
        <v>1291</v>
      </c>
      <c r="F1388" s="21">
        <v>27160.0</v>
      </c>
      <c r="G1388" s="14">
        <f t="shared" si="1"/>
        <v>52</v>
      </c>
      <c r="H1388" s="23" t="s">
        <v>26</v>
      </c>
      <c r="I1388" s="24" t="s">
        <v>33</v>
      </c>
      <c r="J1388" s="19" t="s">
        <v>328</v>
      </c>
      <c r="K1388" s="14">
        <v>25.0</v>
      </c>
      <c r="L1388" s="14">
        <v>0.0</v>
      </c>
      <c r="M1388" s="25"/>
      <c r="N1388" s="26" t="s">
        <v>21</v>
      </c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</row>
    <row r="1389">
      <c r="A1389" s="14" t="s">
        <v>5183</v>
      </c>
      <c r="B1389" s="17" t="s">
        <v>5184</v>
      </c>
      <c r="C1389" s="17" t="s">
        <v>5185</v>
      </c>
      <c r="D1389" s="19" t="s">
        <v>5186</v>
      </c>
      <c r="E1389" s="20" t="s">
        <v>434</v>
      </c>
      <c r="F1389" s="21">
        <v>19060.0</v>
      </c>
      <c r="G1389" s="14">
        <f t="shared" si="1"/>
        <v>74</v>
      </c>
      <c r="H1389" s="23" t="s">
        <v>26</v>
      </c>
      <c r="I1389" s="24" t="s">
        <v>33</v>
      </c>
      <c r="J1389" s="19" t="s">
        <v>146</v>
      </c>
      <c r="K1389" s="14">
        <v>2.0</v>
      </c>
      <c r="L1389" s="14">
        <v>0.0</v>
      </c>
      <c r="M1389" s="25"/>
      <c r="N1389" s="26" t="s">
        <v>21</v>
      </c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</row>
    <row r="1390">
      <c r="A1390" s="14" t="s">
        <v>5187</v>
      </c>
      <c r="B1390" s="17" t="s">
        <v>5188</v>
      </c>
      <c r="C1390" s="17" t="s">
        <v>5189</v>
      </c>
      <c r="D1390" s="19" t="s">
        <v>5190</v>
      </c>
      <c r="E1390" s="20" t="s">
        <v>53</v>
      </c>
      <c r="F1390" s="21">
        <v>38235.0</v>
      </c>
      <c r="G1390" s="14">
        <f t="shared" si="1"/>
        <v>22</v>
      </c>
      <c r="H1390" s="23" t="s">
        <v>100</v>
      </c>
      <c r="I1390" s="24" t="s">
        <v>27</v>
      </c>
      <c r="J1390" s="19" t="s">
        <v>58</v>
      </c>
      <c r="K1390" s="14">
        <v>7.0</v>
      </c>
      <c r="L1390" s="14">
        <v>0.0</v>
      </c>
      <c r="M1390" s="25"/>
      <c r="N1390" s="26" t="s">
        <v>21</v>
      </c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</row>
    <row r="1391">
      <c r="A1391" s="14" t="s">
        <v>5191</v>
      </c>
      <c r="B1391" s="17" t="s">
        <v>5188</v>
      </c>
      <c r="C1391" s="17" t="s">
        <v>5192</v>
      </c>
      <c r="D1391" s="19" t="s">
        <v>3729</v>
      </c>
      <c r="E1391" s="20" t="s">
        <v>53</v>
      </c>
      <c r="F1391" s="21">
        <v>31910.0</v>
      </c>
      <c r="G1391" s="14">
        <f t="shared" si="1"/>
        <v>39</v>
      </c>
      <c r="H1391" s="23" t="s">
        <v>26</v>
      </c>
      <c r="I1391" s="24" t="s">
        <v>27</v>
      </c>
      <c r="J1391" s="19" t="s">
        <v>58</v>
      </c>
      <c r="K1391" s="14">
        <v>7.0</v>
      </c>
      <c r="L1391" s="14">
        <v>0.0</v>
      </c>
      <c r="M1391" s="25"/>
      <c r="N1391" s="26" t="s">
        <v>21</v>
      </c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</row>
    <row r="1392">
      <c r="A1392" s="14" t="s">
        <v>5194</v>
      </c>
      <c r="B1392" s="17" t="s">
        <v>5188</v>
      </c>
      <c r="C1392" s="17" t="s">
        <v>5195</v>
      </c>
      <c r="D1392" s="19" t="s">
        <v>5196</v>
      </c>
      <c r="E1392" s="20" t="s">
        <v>5197</v>
      </c>
      <c r="F1392" s="27">
        <v>28472.0</v>
      </c>
      <c r="G1392" s="14">
        <f t="shared" si="1"/>
        <v>48</v>
      </c>
      <c r="H1392" s="23" t="s">
        <v>26</v>
      </c>
      <c r="I1392" s="24" t="s">
        <v>33</v>
      </c>
      <c r="J1392" s="19" t="s">
        <v>58</v>
      </c>
      <c r="K1392" s="14">
        <v>7.0</v>
      </c>
      <c r="L1392" s="14">
        <v>0.0</v>
      </c>
      <c r="M1392" s="25"/>
      <c r="N1392" s="26" t="s">
        <v>21</v>
      </c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</row>
    <row r="1393">
      <c r="A1393" s="14" t="s">
        <v>5198</v>
      </c>
      <c r="B1393" s="17" t="s">
        <v>5188</v>
      </c>
      <c r="C1393" s="17" t="s">
        <v>5199</v>
      </c>
      <c r="D1393" s="19" t="s">
        <v>5200</v>
      </c>
      <c r="E1393" s="20" t="s">
        <v>1870</v>
      </c>
      <c r="F1393" s="21">
        <v>38918.0</v>
      </c>
      <c r="G1393" s="14">
        <f t="shared" si="1"/>
        <v>20</v>
      </c>
      <c r="H1393" s="23" t="s">
        <v>100</v>
      </c>
      <c r="I1393" s="24" t="s">
        <v>33</v>
      </c>
      <c r="J1393" s="19" t="s">
        <v>58</v>
      </c>
      <c r="K1393" s="14">
        <v>7.0</v>
      </c>
      <c r="L1393" s="14">
        <v>0.0</v>
      </c>
      <c r="M1393" s="25"/>
      <c r="N1393" s="26" t="s">
        <v>21</v>
      </c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</row>
    <row r="1394">
      <c r="A1394" s="14" t="s">
        <v>5201</v>
      </c>
      <c r="B1394" s="17" t="s">
        <v>5202</v>
      </c>
      <c r="C1394" s="17" t="s">
        <v>5203</v>
      </c>
      <c r="D1394" s="19" t="s">
        <v>5204</v>
      </c>
      <c r="E1394" s="20" t="s">
        <v>53</v>
      </c>
      <c r="F1394" s="21">
        <v>38142.0</v>
      </c>
      <c r="G1394" s="14">
        <f t="shared" si="1"/>
        <v>22</v>
      </c>
      <c r="H1394" s="23" t="s">
        <v>100</v>
      </c>
      <c r="I1394" s="24" t="s">
        <v>27</v>
      </c>
      <c r="J1394" s="19" t="s">
        <v>282</v>
      </c>
      <c r="K1394" s="14">
        <v>17.0</v>
      </c>
      <c r="L1394" s="14">
        <v>0.0</v>
      </c>
      <c r="M1394" s="25"/>
      <c r="N1394" s="26" t="s">
        <v>21</v>
      </c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</row>
    <row r="1395">
      <c r="A1395" s="14" t="s">
        <v>5205</v>
      </c>
      <c r="B1395" s="17" t="s">
        <v>5202</v>
      </c>
      <c r="C1395" s="17" t="s">
        <v>5206</v>
      </c>
      <c r="D1395" s="19" t="s">
        <v>5207</v>
      </c>
      <c r="E1395" s="20" t="s">
        <v>5208</v>
      </c>
      <c r="F1395" s="21">
        <v>25818.0</v>
      </c>
      <c r="G1395" s="14">
        <f t="shared" si="1"/>
        <v>56</v>
      </c>
      <c r="H1395" s="23" t="s">
        <v>26</v>
      </c>
      <c r="I1395" s="24" t="s">
        <v>33</v>
      </c>
      <c r="J1395" s="19" t="s">
        <v>282</v>
      </c>
      <c r="K1395" s="14">
        <v>17.0</v>
      </c>
      <c r="L1395" s="14">
        <v>0.0</v>
      </c>
      <c r="M1395" s="25"/>
      <c r="N1395" s="26" t="s">
        <v>21</v>
      </c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</row>
    <row r="1396">
      <c r="A1396" s="14" t="s">
        <v>5209</v>
      </c>
      <c r="B1396" s="17" t="s">
        <v>5202</v>
      </c>
      <c r="C1396" s="17" t="s">
        <v>5210</v>
      </c>
      <c r="D1396" s="19" t="s">
        <v>4053</v>
      </c>
      <c r="E1396" s="20" t="s">
        <v>632</v>
      </c>
      <c r="F1396" s="21">
        <v>25261.0</v>
      </c>
      <c r="G1396" s="14">
        <f t="shared" si="1"/>
        <v>57</v>
      </c>
      <c r="H1396" s="23" t="s">
        <v>26</v>
      </c>
      <c r="I1396" s="24" t="s">
        <v>27</v>
      </c>
      <c r="J1396" s="19" t="s">
        <v>282</v>
      </c>
      <c r="K1396" s="14">
        <v>17.0</v>
      </c>
      <c r="L1396" s="14">
        <v>0.0</v>
      </c>
      <c r="M1396" s="25"/>
      <c r="N1396" s="26" t="s">
        <v>21</v>
      </c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</row>
    <row r="1397">
      <c r="A1397" s="14" t="s">
        <v>5211</v>
      </c>
      <c r="B1397" s="17" t="s">
        <v>5212</v>
      </c>
      <c r="C1397" s="17" t="s">
        <v>5213</v>
      </c>
      <c r="D1397" s="19" t="s">
        <v>5214</v>
      </c>
      <c r="E1397" s="20" t="s">
        <v>5215</v>
      </c>
      <c r="F1397" s="21">
        <v>38440.0</v>
      </c>
      <c r="G1397" s="14">
        <f t="shared" si="1"/>
        <v>21</v>
      </c>
      <c r="H1397" s="23" t="s">
        <v>100</v>
      </c>
      <c r="I1397" s="24" t="s">
        <v>33</v>
      </c>
      <c r="J1397" s="19" t="s">
        <v>146</v>
      </c>
      <c r="K1397" s="14">
        <v>6.0</v>
      </c>
      <c r="L1397" s="14">
        <v>0.0</v>
      </c>
      <c r="M1397" s="25"/>
      <c r="N1397" s="26" t="s">
        <v>21</v>
      </c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</row>
    <row r="1398">
      <c r="A1398" s="14" t="s">
        <v>5216</v>
      </c>
      <c r="B1398" s="17" t="s">
        <v>5212</v>
      </c>
      <c r="C1398" s="17" t="s">
        <v>5217</v>
      </c>
      <c r="D1398" s="19" t="s">
        <v>5218</v>
      </c>
      <c r="E1398" s="20" t="s">
        <v>104</v>
      </c>
      <c r="F1398" s="21">
        <v>35269.0</v>
      </c>
      <c r="G1398" s="14">
        <f t="shared" si="1"/>
        <v>30</v>
      </c>
      <c r="H1398" s="23" t="s">
        <v>100</v>
      </c>
      <c r="I1398" s="24" t="s">
        <v>33</v>
      </c>
      <c r="J1398" s="19" t="s">
        <v>146</v>
      </c>
      <c r="K1398" s="14">
        <v>6.0</v>
      </c>
      <c r="L1398" s="14">
        <v>0.0</v>
      </c>
      <c r="M1398" s="25"/>
      <c r="N1398" s="26" t="s">
        <v>21</v>
      </c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</row>
    <row r="1399">
      <c r="A1399" s="14" t="s">
        <v>5219</v>
      </c>
      <c r="B1399" s="17" t="s">
        <v>5212</v>
      </c>
      <c r="C1399" s="17" t="s">
        <v>5220</v>
      </c>
      <c r="D1399" s="19" t="s">
        <v>5221</v>
      </c>
      <c r="E1399" s="20" t="s">
        <v>544</v>
      </c>
      <c r="F1399" s="21">
        <v>26512.0</v>
      </c>
      <c r="G1399" s="14">
        <f t="shared" si="1"/>
        <v>54</v>
      </c>
      <c r="H1399" s="23" t="s">
        <v>26</v>
      </c>
      <c r="I1399" s="24" t="s">
        <v>27</v>
      </c>
      <c r="J1399" s="19" t="s">
        <v>146</v>
      </c>
      <c r="K1399" s="14">
        <v>6.0</v>
      </c>
      <c r="L1399" s="14">
        <v>0.0</v>
      </c>
      <c r="M1399" s="25"/>
      <c r="N1399" s="26" t="s">
        <v>21</v>
      </c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</row>
    <row r="1400">
      <c r="A1400" s="14" t="s">
        <v>5222</v>
      </c>
      <c r="B1400" s="17" t="s">
        <v>5212</v>
      </c>
      <c r="C1400" s="17" t="s">
        <v>5223</v>
      </c>
      <c r="D1400" s="19" t="s">
        <v>5224</v>
      </c>
      <c r="E1400" s="20" t="s">
        <v>544</v>
      </c>
      <c r="F1400" s="21">
        <v>23230.0</v>
      </c>
      <c r="G1400" s="14">
        <f t="shared" si="1"/>
        <v>63</v>
      </c>
      <c r="H1400" s="23" t="s">
        <v>26</v>
      </c>
      <c r="I1400" s="24" t="s">
        <v>33</v>
      </c>
      <c r="J1400" s="19" t="s">
        <v>146</v>
      </c>
      <c r="K1400" s="14">
        <v>6.0</v>
      </c>
      <c r="L1400" s="14">
        <v>0.0</v>
      </c>
      <c r="M1400" s="25"/>
      <c r="N1400" s="26" t="s">
        <v>21</v>
      </c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</row>
    <row r="1401">
      <c r="A1401" s="14" t="s">
        <v>5225</v>
      </c>
      <c r="B1401" s="17" t="s">
        <v>5226</v>
      </c>
      <c r="C1401" s="17" t="s">
        <v>5227</v>
      </c>
      <c r="D1401" s="19" t="s">
        <v>5228</v>
      </c>
      <c r="E1401" s="20" t="s">
        <v>5229</v>
      </c>
      <c r="F1401" s="21">
        <v>32084.0</v>
      </c>
      <c r="G1401" s="14">
        <f t="shared" si="1"/>
        <v>38</v>
      </c>
      <c r="H1401" s="23" t="s">
        <v>26</v>
      </c>
      <c r="I1401" s="24" t="s">
        <v>27</v>
      </c>
      <c r="J1401" s="19" t="s">
        <v>68</v>
      </c>
      <c r="K1401" s="14">
        <v>33.0</v>
      </c>
      <c r="L1401" s="14">
        <v>0.0</v>
      </c>
      <c r="M1401" s="25"/>
      <c r="N1401" s="26" t="s">
        <v>21</v>
      </c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</row>
    <row r="1402">
      <c r="A1402" s="14" t="s">
        <v>5230</v>
      </c>
      <c r="B1402" s="17" t="s">
        <v>5226</v>
      </c>
      <c r="C1402" s="17" t="s">
        <v>5231</v>
      </c>
      <c r="D1402" s="19" t="s">
        <v>5232</v>
      </c>
      <c r="E1402" s="20" t="s">
        <v>104</v>
      </c>
      <c r="F1402" s="21">
        <v>28554.0</v>
      </c>
      <c r="G1402" s="14">
        <f t="shared" si="1"/>
        <v>48</v>
      </c>
      <c r="H1402" s="23" t="s">
        <v>26</v>
      </c>
      <c r="I1402" s="24" t="s">
        <v>33</v>
      </c>
      <c r="J1402" s="19" t="s">
        <v>68</v>
      </c>
      <c r="K1402" s="14">
        <v>33.0</v>
      </c>
      <c r="L1402" s="14">
        <v>0.0</v>
      </c>
      <c r="M1402" s="25"/>
      <c r="N1402" s="26" t="s">
        <v>21</v>
      </c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</row>
    <row r="1403">
      <c r="A1403" s="14" t="s">
        <v>5233</v>
      </c>
      <c r="B1403" s="17" t="s">
        <v>5234</v>
      </c>
      <c r="C1403" s="17" t="s">
        <v>5235</v>
      </c>
      <c r="D1403" s="19" t="s">
        <v>5236</v>
      </c>
      <c r="E1403" s="20" t="s">
        <v>104</v>
      </c>
      <c r="F1403" s="21">
        <v>32907.0</v>
      </c>
      <c r="G1403" s="14">
        <f t="shared" si="1"/>
        <v>36</v>
      </c>
      <c r="H1403" s="23" t="s">
        <v>26</v>
      </c>
      <c r="I1403" s="24" t="s">
        <v>27</v>
      </c>
      <c r="J1403" s="19" t="s">
        <v>328</v>
      </c>
      <c r="K1403" s="14">
        <v>19.0</v>
      </c>
      <c r="L1403" s="14">
        <v>0.0</v>
      </c>
      <c r="M1403" s="25"/>
      <c r="N1403" s="26" t="s">
        <v>21</v>
      </c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</row>
    <row r="1404">
      <c r="A1404" s="14" t="s">
        <v>5237</v>
      </c>
      <c r="B1404" s="17" t="s">
        <v>5234</v>
      </c>
      <c r="C1404" s="17" t="s">
        <v>5238</v>
      </c>
      <c r="D1404" s="19" t="s">
        <v>5239</v>
      </c>
      <c r="E1404" s="20" t="s">
        <v>104</v>
      </c>
      <c r="F1404" s="21">
        <v>31528.0</v>
      </c>
      <c r="G1404" s="14">
        <f t="shared" si="1"/>
        <v>40</v>
      </c>
      <c r="H1404" s="23" t="s">
        <v>26</v>
      </c>
      <c r="I1404" s="24" t="s">
        <v>33</v>
      </c>
      <c r="J1404" s="19" t="s">
        <v>328</v>
      </c>
      <c r="K1404" s="14">
        <v>19.0</v>
      </c>
      <c r="L1404" s="14">
        <v>0.0</v>
      </c>
      <c r="M1404" s="25"/>
      <c r="N1404" s="26" t="s">
        <v>21</v>
      </c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</row>
    <row r="1405">
      <c r="A1405" s="14" t="s">
        <v>5240</v>
      </c>
      <c r="B1405" s="17" t="s">
        <v>5241</v>
      </c>
      <c r="C1405" s="17" t="s">
        <v>5242</v>
      </c>
      <c r="D1405" s="19" t="s">
        <v>5243</v>
      </c>
      <c r="E1405" s="20" t="s">
        <v>53</v>
      </c>
      <c r="F1405" s="21">
        <v>32847.0</v>
      </c>
      <c r="G1405" s="14">
        <f t="shared" si="1"/>
        <v>36</v>
      </c>
      <c r="H1405" s="23" t="s">
        <v>26</v>
      </c>
      <c r="I1405" s="24" t="s">
        <v>27</v>
      </c>
      <c r="J1405" s="19" t="s">
        <v>5244</v>
      </c>
      <c r="K1405" s="14">
        <v>24.0</v>
      </c>
      <c r="L1405" s="14">
        <v>0.0</v>
      </c>
      <c r="M1405" s="25"/>
      <c r="N1405" s="26" t="s">
        <v>21</v>
      </c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</row>
    <row r="1406">
      <c r="A1406" s="14" t="s">
        <v>5245</v>
      </c>
      <c r="B1406" s="17" t="s">
        <v>5241</v>
      </c>
      <c r="C1406" s="17" t="s">
        <v>5246</v>
      </c>
      <c r="D1406" s="19" t="s">
        <v>5247</v>
      </c>
      <c r="E1406" s="20" t="s">
        <v>53</v>
      </c>
      <c r="F1406" s="21">
        <v>38788.0</v>
      </c>
      <c r="G1406" s="14">
        <f t="shared" si="1"/>
        <v>20</v>
      </c>
      <c r="H1406" s="23" t="s">
        <v>100</v>
      </c>
      <c r="I1406" s="24" t="s">
        <v>33</v>
      </c>
      <c r="J1406" s="19" t="s">
        <v>5244</v>
      </c>
      <c r="K1406" s="14">
        <v>24.0</v>
      </c>
      <c r="L1406" s="14">
        <v>0.0</v>
      </c>
      <c r="M1406" s="25"/>
      <c r="N1406" s="26" t="s">
        <v>21</v>
      </c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</row>
    <row r="1407">
      <c r="A1407" s="14" t="s">
        <v>5248</v>
      </c>
      <c r="B1407" s="17" t="s">
        <v>5241</v>
      </c>
      <c r="C1407" s="17" t="s">
        <v>5249</v>
      </c>
      <c r="D1407" s="19" t="s">
        <v>5250</v>
      </c>
      <c r="E1407" s="20" t="s">
        <v>53</v>
      </c>
      <c r="F1407" s="21">
        <v>28196.0</v>
      </c>
      <c r="G1407" s="14">
        <f t="shared" si="1"/>
        <v>49</v>
      </c>
      <c r="H1407" s="23" t="s">
        <v>26</v>
      </c>
      <c r="I1407" s="24" t="s">
        <v>33</v>
      </c>
      <c r="J1407" s="19" t="s">
        <v>5244</v>
      </c>
      <c r="K1407" s="14">
        <v>24.0</v>
      </c>
      <c r="L1407" s="14">
        <v>0.0</v>
      </c>
      <c r="M1407" s="25"/>
      <c r="N1407" s="26" t="s">
        <v>21</v>
      </c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</row>
    <row r="1408">
      <c r="A1408" s="14" t="s">
        <v>5251</v>
      </c>
      <c r="B1408" s="17" t="s">
        <v>5252</v>
      </c>
      <c r="C1408" s="17" t="s">
        <v>5253</v>
      </c>
      <c r="D1408" s="19" t="s">
        <v>5254</v>
      </c>
      <c r="E1408" s="20" t="s">
        <v>5255</v>
      </c>
      <c r="F1408" s="21">
        <v>38259.0</v>
      </c>
      <c r="G1408" s="14">
        <f t="shared" si="1"/>
        <v>22</v>
      </c>
      <c r="H1408" s="23" t="s">
        <v>100</v>
      </c>
      <c r="I1408" s="24" t="s">
        <v>27</v>
      </c>
      <c r="J1408" s="19" t="s">
        <v>146</v>
      </c>
      <c r="K1408" s="14">
        <v>10.0</v>
      </c>
      <c r="L1408" s="14">
        <v>5.0</v>
      </c>
      <c r="M1408" s="25"/>
      <c r="N1408" s="26" t="s">
        <v>21</v>
      </c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</row>
    <row r="1409">
      <c r="A1409" s="14" t="s">
        <v>5256</v>
      </c>
      <c r="B1409" s="17" t="s">
        <v>5252</v>
      </c>
      <c r="C1409" s="17" t="s">
        <v>5257</v>
      </c>
      <c r="D1409" s="19" t="s">
        <v>5258</v>
      </c>
      <c r="E1409" s="20" t="s">
        <v>104</v>
      </c>
      <c r="F1409" s="21">
        <v>31640.0</v>
      </c>
      <c r="G1409" s="14">
        <f t="shared" si="1"/>
        <v>40</v>
      </c>
      <c r="H1409" s="23" t="s">
        <v>26</v>
      </c>
      <c r="I1409" s="24" t="s">
        <v>27</v>
      </c>
      <c r="J1409" s="19" t="s">
        <v>146</v>
      </c>
      <c r="K1409" s="14">
        <v>10.0</v>
      </c>
      <c r="L1409" s="14">
        <v>0.0</v>
      </c>
      <c r="M1409" s="25"/>
      <c r="N1409" s="26" t="s">
        <v>21</v>
      </c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</row>
    <row r="1410">
      <c r="A1410" s="14" t="s">
        <v>5259</v>
      </c>
      <c r="B1410" s="17" t="s">
        <v>5252</v>
      </c>
      <c r="C1410" s="17" t="s">
        <v>5260</v>
      </c>
      <c r="D1410" s="19" t="s">
        <v>5261</v>
      </c>
      <c r="E1410" s="20" t="s">
        <v>1786</v>
      </c>
      <c r="F1410" s="21">
        <v>28727.0</v>
      </c>
      <c r="G1410" s="14">
        <f t="shared" si="1"/>
        <v>48</v>
      </c>
      <c r="H1410" s="23" t="s">
        <v>26</v>
      </c>
      <c r="I1410" s="24" t="s">
        <v>33</v>
      </c>
      <c r="J1410" s="19" t="s">
        <v>146</v>
      </c>
      <c r="K1410" s="14">
        <v>10.0</v>
      </c>
      <c r="L1410" s="14">
        <v>0.0</v>
      </c>
      <c r="M1410" s="25"/>
      <c r="N1410" s="26" t="s">
        <v>21</v>
      </c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</row>
    <row r="1411">
      <c r="A1411" s="14" t="s">
        <v>5262</v>
      </c>
      <c r="B1411" s="17" t="s">
        <v>5263</v>
      </c>
      <c r="C1411" s="17" t="s">
        <v>5264</v>
      </c>
      <c r="D1411" s="19" t="s">
        <v>5265</v>
      </c>
      <c r="E1411" s="20" t="s">
        <v>5266</v>
      </c>
      <c r="F1411" s="21">
        <v>14721.0</v>
      </c>
      <c r="G1411" s="14">
        <f t="shared" si="1"/>
        <v>86</v>
      </c>
      <c r="H1411" s="23" t="s">
        <v>27</v>
      </c>
      <c r="I1411" s="24" t="s">
        <v>27</v>
      </c>
      <c r="J1411" s="19" t="s">
        <v>53</v>
      </c>
      <c r="K1411" s="14">
        <v>13.0</v>
      </c>
      <c r="L1411" s="14">
        <v>1.0</v>
      </c>
      <c r="M1411" s="25"/>
      <c r="N1411" s="26" t="s">
        <v>21</v>
      </c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</row>
    <row r="1412">
      <c r="A1412" s="14" t="s">
        <v>5267</v>
      </c>
      <c r="B1412" s="17" t="s">
        <v>5268</v>
      </c>
      <c r="C1412" s="17" t="s">
        <v>5269</v>
      </c>
      <c r="D1412" s="19" t="s">
        <v>5270</v>
      </c>
      <c r="E1412" s="20" t="s">
        <v>5271</v>
      </c>
      <c r="F1412" s="21">
        <v>30073.0</v>
      </c>
      <c r="G1412" s="14">
        <f t="shared" si="1"/>
        <v>44</v>
      </c>
      <c r="H1412" s="23" t="s">
        <v>26</v>
      </c>
      <c r="I1412" s="24" t="s">
        <v>33</v>
      </c>
      <c r="J1412" s="19" t="s">
        <v>517</v>
      </c>
      <c r="K1412" s="14">
        <v>9.0</v>
      </c>
      <c r="L1412" s="14">
        <v>0.0</v>
      </c>
      <c r="M1412" s="25"/>
      <c r="N1412" s="26" t="s">
        <v>21</v>
      </c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</row>
    <row r="1413">
      <c r="A1413" s="14" t="s">
        <v>5272</v>
      </c>
      <c r="B1413" s="17" t="s">
        <v>5273</v>
      </c>
      <c r="C1413" s="17" t="s">
        <v>5274</v>
      </c>
      <c r="D1413" s="19" t="s">
        <v>5275</v>
      </c>
      <c r="E1413" s="20" t="s">
        <v>3127</v>
      </c>
      <c r="F1413" s="21">
        <v>25697.0</v>
      </c>
      <c r="G1413" s="14">
        <f t="shared" si="1"/>
        <v>56</v>
      </c>
      <c r="H1413" s="23" t="s">
        <v>26</v>
      </c>
      <c r="I1413" s="24" t="s">
        <v>33</v>
      </c>
      <c r="J1413" s="19" t="s">
        <v>517</v>
      </c>
      <c r="K1413" s="14">
        <v>9.0</v>
      </c>
      <c r="L1413" s="14">
        <v>0.0</v>
      </c>
      <c r="M1413" s="25"/>
      <c r="N1413" s="26" t="s">
        <v>21</v>
      </c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</row>
    <row r="1414">
      <c r="A1414" s="14" t="s">
        <v>5276</v>
      </c>
      <c r="B1414" s="17" t="s">
        <v>5273</v>
      </c>
      <c r="C1414" s="17" t="s">
        <v>5277</v>
      </c>
      <c r="D1414" s="19" t="s">
        <v>5278</v>
      </c>
      <c r="E1414" s="20" t="s">
        <v>5271</v>
      </c>
      <c r="F1414" s="27">
        <v>24452.0</v>
      </c>
      <c r="G1414" s="14">
        <f t="shared" si="1"/>
        <v>59</v>
      </c>
      <c r="H1414" s="23" t="s">
        <v>26</v>
      </c>
      <c r="I1414" s="24" t="s">
        <v>27</v>
      </c>
      <c r="J1414" s="19" t="s">
        <v>517</v>
      </c>
      <c r="K1414" s="14">
        <v>9.0</v>
      </c>
      <c r="L1414" s="14">
        <v>0.0</v>
      </c>
      <c r="M1414" s="25"/>
      <c r="N1414" s="26" t="s">
        <v>21</v>
      </c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</row>
    <row r="1415">
      <c r="A1415" s="14" t="s">
        <v>5279</v>
      </c>
      <c r="B1415" s="17" t="s">
        <v>5280</v>
      </c>
      <c r="C1415" s="17" t="s">
        <v>5281</v>
      </c>
      <c r="D1415" s="19" t="s">
        <v>5282</v>
      </c>
      <c r="E1415" s="20" t="s">
        <v>5283</v>
      </c>
      <c r="F1415" s="21">
        <v>38416.0</v>
      </c>
      <c r="G1415" s="14">
        <f t="shared" si="1"/>
        <v>21</v>
      </c>
      <c r="H1415" s="23" t="s">
        <v>100</v>
      </c>
      <c r="I1415" s="24" t="s">
        <v>27</v>
      </c>
      <c r="J1415" s="19" t="s">
        <v>68</v>
      </c>
      <c r="K1415" s="14">
        <v>34.0</v>
      </c>
      <c r="L1415" s="14">
        <v>0.0</v>
      </c>
      <c r="M1415" s="25"/>
      <c r="N1415" s="26" t="s">
        <v>21</v>
      </c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</row>
    <row r="1416">
      <c r="A1416" s="14" t="s">
        <v>5284</v>
      </c>
      <c r="B1416" s="17" t="s">
        <v>5280</v>
      </c>
      <c r="C1416" s="17" t="s">
        <v>5285</v>
      </c>
      <c r="D1416" s="19" t="s">
        <v>5286</v>
      </c>
      <c r="E1416" s="20" t="s">
        <v>5287</v>
      </c>
      <c r="F1416" s="27">
        <v>31336.0</v>
      </c>
      <c r="G1416" s="14">
        <f t="shared" si="1"/>
        <v>41</v>
      </c>
      <c r="H1416" s="23" t="s">
        <v>26</v>
      </c>
      <c r="I1416" s="24" t="s">
        <v>27</v>
      </c>
      <c r="J1416" s="19" t="s">
        <v>68</v>
      </c>
      <c r="K1416" s="14">
        <v>34.0</v>
      </c>
      <c r="L1416" s="14">
        <v>0.0</v>
      </c>
      <c r="M1416" s="25"/>
      <c r="N1416" s="26" t="s">
        <v>21</v>
      </c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</row>
    <row r="1417">
      <c r="A1417" s="14" t="s">
        <v>5288</v>
      </c>
      <c r="B1417" s="17" t="s">
        <v>5280</v>
      </c>
      <c r="C1417" s="17" t="s">
        <v>5289</v>
      </c>
      <c r="D1417" s="19" t="s">
        <v>5290</v>
      </c>
      <c r="E1417" s="20" t="s">
        <v>104</v>
      </c>
      <c r="F1417" s="21">
        <v>27609.0</v>
      </c>
      <c r="G1417" s="14">
        <f t="shared" si="1"/>
        <v>51</v>
      </c>
      <c r="H1417" s="23" t="s">
        <v>26</v>
      </c>
      <c r="I1417" s="24" t="s">
        <v>33</v>
      </c>
      <c r="J1417" s="19" t="s">
        <v>68</v>
      </c>
      <c r="K1417" s="14">
        <v>34.0</v>
      </c>
      <c r="L1417" s="14">
        <v>0.0</v>
      </c>
      <c r="M1417" s="25"/>
      <c r="N1417" s="26" t="s">
        <v>21</v>
      </c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</row>
    <row r="1418">
      <c r="A1418" s="14" t="s">
        <v>5291</v>
      </c>
      <c r="B1418" s="17" t="s">
        <v>5292</v>
      </c>
      <c r="C1418" s="17" t="s">
        <v>5293</v>
      </c>
      <c r="D1418" s="19" t="s">
        <v>5294</v>
      </c>
      <c r="E1418" s="20" t="s">
        <v>1782</v>
      </c>
      <c r="F1418" s="21">
        <v>37164.0</v>
      </c>
      <c r="G1418" s="14">
        <f t="shared" si="1"/>
        <v>25</v>
      </c>
      <c r="H1418" s="23" t="s">
        <v>100</v>
      </c>
      <c r="I1418" s="24" t="s">
        <v>27</v>
      </c>
      <c r="J1418" s="19" t="s">
        <v>5295</v>
      </c>
      <c r="K1418" s="14">
        <v>12.0</v>
      </c>
      <c r="L1418" s="14">
        <v>0.0</v>
      </c>
      <c r="M1418" s="25"/>
      <c r="N1418" s="26" t="s">
        <v>21</v>
      </c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</row>
    <row r="1419">
      <c r="A1419" s="14" t="s">
        <v>5296</v>
      </c>
      <c r="B1419" s="17" t="s">
        <v>5297</v>
      </c>
      <c r="C1419" s="17" t="s">
        <v>5298</v>
      </c>
      <c r="D1419" s="19" t="s">
        <v>5299</v>
      </c>
      <c r="E1419" s="20" t="s">
        <v>1058</v>
      </c>
      <c r="F1419" s="21">
        <v>19769.0</v>
      </c>
      <c r="G1419" s="14">
        <f t="shared" si="1"/>
        <v>72</v>
      </c>
      <c r="H1419" s="23" t="s">
        <v>27</v>
      </c>
      <c r="I1419" s="24" t="s">
        <v>27</v>
      </c>
      <c r="J1419" s="19" t="s">
        <v>282</v>
      </c>
      <c r="K1419" s="14">
        <v>15.0</v>
      </c>
      <c r="L1419" s="14">
        <v>0.0</v>
      </c>
      <c r="M1419" s="25"/>
      <c r="N1419" s="26" t="s">
        <v>21</v>
      </c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</row>
    <row r="1420">
      <c r="A1420" s="14" t="s">
        <v>5300</v>
      </c>
      <c r="B1420" s="17" t="s">
        <v>5301</v>
      </c>
      <c r="C1420" s="17" t="s">
        <v>5302</v>
      </c>
      <c r="D1420" s="19" t="s">
        <v>5303</v>
      </c>
      <c r="E1420" s="20" t="s">
        <v>104</v>
      </c>
      <c r="F1420" s="21">
        <v>33640.0</v>
      </c>
      <c r="G1420" s="14">
        <f t="shared" si="1"/>
        <v>34</v>
      </c>
      <c r="H1420" s="23" t="s">
        <v>26</v>
      </c>
      <c r="I1420" s="24" t="s">
        <v>33</v>
      </c>
      <c r="J1420" s="19" t="s">
        <v>53</v>
      </c>
      <c r="K1420" s="14">
        <v>17.0</v>
      </c>
      <c r="L1420" s="14">
        <v>0.0</v>
      </c>
      <c r="M1420" s="25"/>
      <c r="N1420" s="26" t="s">
        <v>21</v>
      </c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</row>
    <row r="1421">
      <c r="A1421" s="14" t="s">
        <v>5304</v>
      </c>
      <c r="B1421" s="17" t="s">
        <v>5301</v>
      </c>
      <c r="C1421" s="17" t="s">
        <v>5305</v>
      </c>
      <c r="D1421" s="19" t="s">
        <v>5306</v>
      </c>
      <c r="E1421" s="20" t="s">
        <v>53</v>
      </c>
      <c r="F1421" s="21">
        <v>35938.0</v>
      </c>
      <c r="G1421" s="14">
        <f t="shared" si="1"/>
        <v>28</v>
      </c>
      <c r="H1421" s="23" t="s">
        <v>26</v>
      </c>
      <c r="I1421" s="24" t="s">
        <v>27</v>
      </c>
      <c r="J1421" s="19" t="s">
        <v>53</v>
      </c>
      <c r="K1421" s="14">
        <v>17.0</v>
      </c>
      <c r="L1421" s="14">
        <v>0.0</v>
      </c>
      <c r="M1421" s="25"/>
      <c r="N1421" s="26" t="s">
        <v>21</v>
      </c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</row>
    <row r="1422">
      <c r="A1422" s="14" t="s">
        <v>5307</v>
      </c>
      <c r="B1422" s="17" t="s">
        <v>5308</v>
      </c>
      <c r="C1422" s="17" t="s">
        <v>5309</v>
      </c>
      <c r="D1422" s="19" t="s">
        <v>5310</v>
      </c>
      <c r="E1422" s="20" t="s">
        <v>632</v>
      </c>
      <c r="F1422" s="21">
        <v>21315.0</v>
      </c>
      <c r="G1422" s="14">
        <f t="shared" si="1"/>
        <v>68</v>
      </c>
      <c r="H1422" s="23" t="s">
        <v>27</v>
      </c>
      <c r="I1422" s="24" t="s">
        <v>33</v>
      </c>
      <c r="J1422" s="19" t="s">
        <v>282</v>
      </c>
      <c r="K1422" s="14">
        <v>17.0</v>
      </c>
      <c r="L1422" s="14">
        <v>0.0</v>
      </c>
      <c r="M1422" s="25"/>
      <c r="N1422" s="26" t="s">
        <v>21</v>
      </c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</row>
    <row r="1423">
      <c r="A1423" s="14" t="s">
        <v>5311</v>
      </c>
      <c r="B1423" s="17" t="s">
        <v>5312</v>
      </c>
      <c r="C1423" s="17" t="s">
        <v>5313</v>
      </c>
      <c r="D1423" s="19" t="s">
        <v>5314</v>
      </c>
      <c r="E1423" s="20" t="s">
        <v>187</v>
      </c>
      <c r="F1423" s="21">
        <v>31153.0</v>
      </c>
      <c r="G1423" s="14">
        <f t="shared" si="1"/>
        <v>41</v>
      </c>
      <c r="H1423" s="23" t="s">
        <v>26</v>
      </c>
      <c r="I1423" s="24" t="s">
        <v>33</v>
      </c>
      <c r="J1423" s="19" t="s">
        <v>53</v>
      </c>
      <c r="K1423" s="14">
        <v>4.0</v>
      </c>
      <c r="L1423" s="14">
        <v>0.0</v>
      </c>
      <c r="M1423" s="25"/>
      <c r="N1423" s="26" t="s">
        <v>21</v>
      </c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</row>
    <row r="1424">
      <c r="A1424" s="14" t="s">
        <v>5315</v>
      </c>
      <c r="B1424" s="17" t="s">
        <v>5312</v>
      </c>
      <c r="C1424" s="17" t="s">
        <v>5316</v>
      </c>
      <c r="D1424" s="19" t="s">
        <v>5317</v>
      </c>
      <c r="E1424" s="20" t="s">
        <v>104</v>
      </c>
      <c r="F1424" s="21">
        <v>37076.0</v>
      </c>
      <c r="G1424" s="14">
        <f t="shared" si="1"/>
        <v>25</v>
      </c>
      <c r="H1424" s="23" t="s">
        <v>100</v>
      </c>
      <c r="I1424" s="24" t="s">
        <v>27</v>
      </c>
      <c r="J1424" s="19" t="s">
        <v>53</v>
      </c>
      <c r="K1424" s="14">
        <v>4.0</v>
      </c>
      <c r="L1424" s="14">
        <v>0.0</v>
      </c>
      <c r="M1424" s="25"/>
      <c r="N1424" s="26" t="s">
        <v>21</v>
      </c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</row>
    <row r="1425">
      <c r="A1425" s="14" t="s">
        <v>5318</v>
      </c>
      <c r="B1425" s="17" t="s">
        <v>5312</v>
      </c>
      <c r="C1425" s="17" t="s">
        <v>5319</v>
      </c>
      <c r="D1425" s="19" t="s">
        <v>5320</v>
      </c>
      <c r="E1425" s="20" t="s">
        <v>104</v>
      </c>
      <c r="F1425" s="21">
        <v>29419.0</v>
      </c>
      <c r="G1425" s="14">
        <f t="shared" si="1"/>
        <v>46</v>
      </c>
      <c r="H1425" s="23" t="s">
        <v>26</v>
      </c>
      <c r="I1425" s="24" t="s">
        <v>27</v>
      </c>
      <c r="J1425" s="19" t="s">
        <v>53</v>
      </c>
      <c r="K1425" s="14">
        <v>4.0</v>
      </c>
      <c r="L1425" s="14">
        <v>0.0</v>
      </c>
      <c r="M1425" s="25"/>
      <c r="N1425" s="26" t="s">
        <v>21</v>
      </c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</row>
    <row r="1426">
      <c r="A1426" s="14" t="s">
        <v>5321</v>
      </c>
      <c r="B1426" s="17" t="s">
        <v>5322</v>
      </c>
      <c r="C1426" s="17" t="s">
        <v>5323</v>
      </c>
      <c r="D1426" s="19" t="s">
        <v>5324</v>
      </c>
      <c r="E1426" s="20" t="s">
        <v>1058</v>
      </c>
      <c r="F1426" s="21">
        <v>21642.0</v>
      </c>
      <c r="G1426" s="14">
        <f t="shared" si="1"/>
        <v>67</v>
      </c>
      <c r="H1426" s="23" t="s">
        <v>26</v>
      </c>
      <c r="I1426" s="24" t="s">
        <v>33</v>
      </c>
      <c r="J1426" s="19" t="s">
        <v>282</v>
      </c>
      <c r="K1426" s="14">
        <v>14.0</v>
      </c>
      <c r="L1426" s="14">
        <v>0.0</v>
      </c>
      <c r="M1426" s="25"/>
      <c r="N1426" s="26" t="s">
        <v>21</v>
      </c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</row>
    <row r="1427">
      <c r="A1427" s="14" t="s">
        <v>5325</v>
      </c>
      <c r="B1427" s="17" t="s">
        <v>5326</v>
      </c>
      <c r="C1427" s="17" t="s">
        <v>5327</v>
      </c>
      <c r="D1427" s="19" t="s">
        <v>5328</v>
      </c>
      <c r="E1427" s="20" t="s">
        <v>195</v>
      </c>
      <c r="F1427" s="27">
        <v>34334.0</v>
      </c>
      <c r="G1427" s="14">
        <f t="shared" si="1"/>
        <v>32</v>
      </c>
      <c r="H1427" s="23" t="s">
        <v>26</v>
      </c>
      <c r="I1427" s="24" t="s">
        <v>27</v>
      </c>
      <c r="J1427" s="19" t="s">
        <v>53</v>
      </c>
      <c r="K1427" s="14">
        <v>25.0</v>
      </c>
      <c r="L1427" s="14">
        <v>0.0</v>
      </c>
      <c r="M1427" s="25"/>
      <c r="N1427" s="26" t="s">
        <v>21</v>
      </c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</row>
    <row r="1428">
      <c r="A1428" s="14" t="s">
        <v>5329</v>
      </c>
      <c r="B1428" s="17" t="s">
        <v>5326</v>
      </c>
      <c r="C1428" s="17" t="s">
        <v>5330</v>
      </c>
      <c r="D1428" s="19" t="s">
        <v>5331</v>
      </c>
      <c r="E1428" s="20" t="s">
        <v>176</v>
      </c>
      <c r="F1428" s="21">
        <v>31961.0</v>
      </c>
      <c r="G1428" s="14">
        <f t="shared" si="1"/>
        <v>39</v>
      </c>
      <c r="H1428" s="23" t="s">
        <v>26</v>
      </c>
      <c r="I1428" s="24" t="s">
        <v>33</v>
      </c>
      <c r="J1428" s="19" t="s">
        <v>53</v>
      </c>
      <c r="K1428" s="14">
        <v>25.0</v>
      </c>
      <c r="L1428" s="14">
        <v>0.0</v>
      </c>
      <c r="M1428" s="25"/>
      <c r="N1428" s="26" t="s">
        <v>21</v>
      </c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</row>
    <row r="1429">
      <c r="A1429" s="14" t="s">
        <v>5332</v>
      </c>
      <c r="B1429" s="17" t="s">
        <v>5333</v>
      </c>
      <c r="C1429" s="17" t="s">
        <v>5334</v>
      </c>
      <c r="D1429" s="19" t="s">
        <v>5335</v>
      </c>
      <c r="E1429" s="20" t="s">
        <v>654</v>
      </c>
      <c r="F1429" s="27">
        <v>21915.0</v>
      </c>
      <c r="G1429" s="14">
        <f t="shared" si="1"/>
        <v>66</v>
      </c>
      <c r="H1429" s="23" t="s">
        <v>27</v>
      </c>
      <c r="I1429" s="24" t="s">
        <v>27</v>
      </c>
      <c r="J1429" s="19" t="s">
        <v>95</v>
      </c>
      <c r="K1429" s="14">
        <v>16.0</v>
      </c>
      <c r="L1429" s="14">
        <v>0.0</v>
      </c>
      <c r="M1429" s="25"/>
      <c r="N1429" s="26" t="s">
        <v>21</v>
      </c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</row>
    <row r="1430">
      <c r="A1430" s="14" t="s">
        <v>5336</v>
      </c>
      <c r="B1430" s="17" t="s">
        <v>2831</v>
      </c>
      <c r="C1430" s="17" t="s">
        <v>5337</v>
      </c>
      <c r="D1430" s="19" t="s">
        <v>5338</v>
      </c>
      <c r="E1430" s="20" t="s">
        <v>219</v>
      </c>
      <c r="F1430" s="21">
        <v>26846.0</v>
      </c>
      <c r="G1430" s="14">
        <f t="shared" si="1"/>
        <v>53</v>
      </c>
      <c r="H1430" s="23" t="s">
        <v>26</v>
      </c>
      <c r="I1430" s="24" t="s">
        <v>27</v>
      </c>
      <c r="J1430" s="19" t="s">
        <v>4020</v>
      </c>
      <c r="K1430" s="14">
        <v>24.0</v>
      </c>
      <c r="L1430" s="14">
        <v>0.0</v>
      </c>
      <c r="M1430" s="25"/>
      <c r="N1430" s="26" t="s">
        <v>21</v>
      </c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</row>
    <row r="1431">
      <c r="A1431" s="14" t="s">
        <v>5339</v>
      </c>
      <c r="B1431" s="17" t="s">
        <v>2831</v>
      </c>
      <c r="C1431" s="17" t="s">
        <v>5340</v>
      </c>
      <c r="D1431" s="19" t="s">
        <v>5341</v>
      </c>
      <c r="E1431" s="20" t="s">
        <v>654</v>
      </c>
      <c r="F1431" s="21">
        <v>25755.0</v>
      </c>
      <c r="G1431" s="14">
        <f t="shared" si="1"/>
        <v>56</v>
      </c>
      <c r="H1431" s="23" t="s">
        <v>26</v>
      </c>
      <c r="I1431" s="24" t="s">
        <v>33</v>
      </c>
      <c r="J1431" s="19" t="s">
        <v>4020</v>
      </c>
      <c r="K1431" s="14">
        <v>24.0</v>
      </c>
      <c r="L1431" s="14">
        <v>0.0</v>
      </c>
      <c r="M1431" s="25"/>
      <c r="N1431" s="26" t="s">
        <v>21</v>
      </c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</row>
    <row r="1432">
      <c r="A1432" s="14" t="s">
        <v>5342</v>
      </c>
      <c r="B1432" s="17" t="s">
        <v>5343</v>
      </c>
      <c r="C1432" s="17" t="s">
        <v>5344</v>
      </c>
      <c r="D1432" s="19" t="s">
        <v>5345</v>
      </c>
      <c r="E1432" s="20" t="s">
        <v>654</v>
      </c>
      <c r="F1432" s="21">
        <v>22042.0</v>
      </c>
      <c r="G1432" s="14">
        <f t="shared" si="1"/>
        <v>66</v>
      </c>
      <c r="H1432" s="23" t="s">
        <v>26</v>
      </c>
      <c r="I1432" s="24" t="s">
        <v>33</v>
      </c>
      <c r="J1432" s="19" t="s">
        <v>58</v>
      </c>
      <c r="K1432" s="14">
        <v>36.0</v>
      </c>
      <c r="L1432" s="14">
        <v>0.0</v>
      </c>
      <c r="M1432" s="25"/>
      <c r="N1432" s="26" t="s">
        <v>21</v>
      </c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</row>
    <row r="1433">
      <c r="A1433" s="14" t="s">
        <v>5346</v>
      </c>
      <c r="B1433" s="17" t="s">
        <v>5343</v>
      </c>
      <c r="C1433" s="17" t="s">
        <v>5347</v>
      </c>
      <c r="D1433" s="19" t="s">
        <v>5348</v>
      </c>
      <c r="E1433" s="20" t="s">
        <v>654</v>
      </c>
      <c r="F1433" s="21">
        <v>23840.0</v>
      </c>
      <c r="G1433" s="14">
        <f t="shared" si="1"/>
        <v>61</v>
      </c>
      <c r="H1433" s="23" t="s">
        <v>26</v>
      </c>
      <c r="I1433" s="24" t="s">
        <v>27</v>
      </c>
      <c r="J1433" s="19" t="s">
        <v>58</v>
      </c>
      <c r="K1433" s="14">
        <v>36.0</v>
      </c>
      <c r="L1433" s="14">
        <v>0.0</v>
      </c>
      <c r="M1433" s="25"/>
      <c r="N1433" s="26" t="s">
        <v>21</v>
      </c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</row>
    <row r="1434">
      <c r="A1434" s="14" t="s">
        <v>5349</v>
      </c>
      <c r="B1434" s="17" t="s">
        <v>5350</v>
      </c>
      <c r="C1434" s="17" t="s">
        <v>5351</v>
      </c>
      <c r="D1434" s="19" t="s">
        <v>5352</v>
      </c>
      <c r="E1434" s="20" t="s">
        <v>5353</v>
      </c>
      <c r="F1434" s="21">
        <v>25385.0</v>
      </c>
      <c r="G1434" s="14">
        <f t="shared" si="1"/>
        <v>57</v>
      </c>
      <c r="H1434" s="23" t="s">
        <v>26</v>
      </c>
      <c r="I1434" s="24" t="s">
        <v>33</v>
      </c>
      <c r="J1434" s="19" t="s">
        <v>328</v>
      </c>
      <c r="K1434" s="14">
        <v>27.0</v>
      </c>
      <c r="L1434" s="14">
        <v>0.0</v>
      </c>
      <c r="M1434" s="25"/>
      <c r="N1434" s="26" t="s">
        <v>21</v>
      </c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</row>
    <row r="1435">
      <c r="A1435" s="14" t="s">
        <v>5354</v>
      </c>
      <c r="B1435" s="17" t="s">
        <v>5350</v>
      </c>
      <c r="C1435" s="17" t="s">
        <v>5355</v>
      </c>
      <c r="D1435" s="19" t="s">
        <v>5356</v>
      </c>
      <c r="E1435" s="20" t="s">
        <v>1291</v>
      </c>
      <c r="F1435" s="21">
        <v>26481.0</v>
      </c>
      <c r="G1435" s="14">
        <f t="shared" si="1"/>
        <v>54</v>
      </c>
      <c r="H1435" s="23" t="s">
        <v>26</v>
      </c>
      <c r="I1435" s="24" t="s">
        <v>27</v>
      </c>
      <c r="J1435" s="19" t="s">
        <v>328</v>
      </c>
      <c r="K1435" s="14">
        <v>27.0</v>
      </c>
      <c r="L1435" s="14">
        <v>0.0</v>
      </c>
      <c r="M1435" s="25"/>
      <c r="N1435" s="26" t="s">
        <v>21</v>
      </c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</row>
    <row r="1436">
      <c r="A1436" s="14" t="s">
        <v>5357</v>
      </c>
      <c r="B1436" s="17" t="s">
        <v>5358</v>
      </c>
      <c r="C1436" s="17" t="s">
        <v>5359</v>
      </c>
      <c r="D1436" s="19" t="s">
        <v>5360</v>
      </c>
      <c r="E1436" s="20" t="s">
        <v>104</v>
      </c>
      <c r="F1436" s="21">
        <v>27977.0</v>
      </c>
      <c r="G1436" s="14">
        <f t="shared" si="1"/>
        <v>50</v>
      </c>
      <c r="H1436" s="23" t="s">
        <v>26</v>
      </c>
      <c r="I1436" s="24" t="s">
        <v>33</v>
      </c>
      <c r="J1436" s="19" t="s">
        <v>328</v>
      </c>
      <c r="K1436" s="14">
        <v>27.0</v>
      </c>
      <c r="L1436" s="14">
        <v>0.0</v>
      </c>
      <c r="M1436" s="25"/>
      <c r="N1436" s="26" t="s">
        <v>21</v>
      </c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</row>
    <row r="1437">
      <c r="A1437" s="14" t="s">
        <v>5361</v>
      </c>
      <c r="B1437" s="17" t="s">
        <v>5358</v>
      </c>
      <c r="C1437" s="17" t="s">
        <v>5362</v>
      </c>
      <c r="D1437" s="19" t="s">
        <v>5363</v>
      </c>
      <c r="E1437" s="20" t="s">
        <v>5353</v>
      </c>
      <c r="F1437" s="21">
        <v>30108.0</v>
      </c>
      <c r="G1437" s="14">
        <f t="shared" si="1"/>
        <v>44</v>
      </c>
      <c r="H1437" s="23" t="s">
        <v>26</v>
      </c>
      <c r="I1437" s="24" t="s">
        <v>27</v>
      </c>
      <c r="J1437" s="19" t="s">
        <v>328</v>
      </c>
      <c r="K1437" s="14">
        <v>27.0</v>
      </c>
      <c r="L1437" s="14">
        <v>0.0</v>
      </c>
      <c r="M1437" s="25"/>
      <c r="N1437" s="26" t="s">
        <v>21</v>
      </c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</row>
    <row r="1438">
      <c r="A1438" s="14" t="s">
        <v>5364</v>
      </c>
      <c r="B1438" s="17" t="s">
        <v>5365</v>
      </c>
      <c r="C1438" s="17" t="s">
        <v>5366</v>
      </c>
      <c r="D1438" s="19" t="s">
        <v>5367</v>
      </c>
      <c r="E1438" s="20" t="s">
        <v>112</v>
      </c>
      <c r="F1438" s="21">
        <v>22377.0</v>
      </c>
      <c r="G1438" s="14">
        <f t="shared" si="1"/>
        <v>65</v>
      </c>
      <c r="H1438" s="23" t="s">
        <v>26</v>
      </c>
      <c r="I1438" s="24" t="s">
        <v>27</v>
      </c>
      <c r="J1438" s="19" t="s">
        <v>146</v>
      </c>
      <c r="K1438" s="14">
        <v>9.0</v>
      </c>
      <c r="L1438" s="14">
        <v>1.0</v>
      </c>
      <c r="M1438" s="25"/>
      <c r="N1438" s="26" t="s">
        <v>21</v>
      </c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</row>
    <row r="1439">
      <c r="A1439" s="14" t="s">
        <v>5368</v>
      </c>
      <c r="B1439" s="17" t="s">
        <v>5365</v>
      </c>
      <c r="C1439" s="17" t="s">
        <v>5369</v>
      </c>
      <c r="D1439" s="19" t="s">
        <v>5370</v>
      </c>
      <c r="E1439" s="20" t="s">
        <v>112</v>
      </c>
      <c r="F1439" s="21">
        <v>19056.0</v>
      </c>
      <c r="G1439" s="14">
        <f t="shared" si="1"/>
        <v>74</v>
      </c>
      <c r="H1439" s="23" t="s">
        <v>26</v>
      </c>
      <c r="I1439" s="24" t="s">
        <v>33</v>
      </c>
      <c r="J1439" s="19" t="s">
        <v>146</v>
      </c>
      <c r="K1439" s="14">
        <v>9.0</v>
      </c>
      <c r="L1439" s="14">
        <v>0.0</v>
      </c>
      <c r="M1439" s="25"/>
      <c r="N1439" s="26" t="s">
        <v>21</v>
      </c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</row>
    <row r="1440">
      <c r="A1440" s="14" t="s">
        <v>5371</v>
      </c>
      <c r="B1440" s="17" t="s">
        <v>5372</v>
      </c>
      <c r="C1440" s="17" t="s">
        <v>5373</v>
      </c>
      <c r="D1440" s="19" t="s">
        <v>5374</v>
      </c>
      <c r="E1440" s="20" t="s">
        <v>1413</v>
      </c>
      <c r="F1440" s="27">
        <v>27021.0</v>
      </c>
      <c r="G1440" s="14">
        <f t="shared" si="1"/>
        <v>52</v>
      </c>
      <c r="H1440" s="23" t="s">
        <v>26</v>
      </c>
      <c r="I1440" s="24" t="s">
        <v>33</v>
      </c>
      <c r="J1440" s="19" t="s">
        <v>58</v>
      </c>
      <c r="K1440" s="14">
        <v>9.0</v>
      </c>
      <c r="L1440" s="14">
        <v>0.0</v>
      </c>
      <c r="M1440" s="25"/>
      <c r="N1440" s="26" t="s">
        <v>21</v>
      </c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</row>
    <row r="1441">
      <c r="A1441" s="14" t="s">
        <v>5375</v>
      </c>
      <c r="B1441" s="17" t="s">
        <v>5372</v>
      </c>
      <c r="C1441" s="17" t="s">
        <v>5376</v>
      </c>
      <c r="D1441" s="19" t="s">
        <v>5377</v>
      </c>
      <c r="E1441" s="20" t="s">
        <v>53</v>
      </c>
      <c r="F1441" s="21">
        <v>37990.0</v>
      </c>
      <c r="G1441" s="14">
        <f t="shared" si="1"/>
        <v>22</v>
      </c>
      <c r="H1441" s="23" t="s">
        <v>100</v>
      </c>
      <c r="I1441" s="24" t="s">
        <v>27</v>
      </c>
      <c r="J1441" s="19" t="s">
        <v>58</v>
      </c>
      <c r="K1441" s="14">
        <v>9.0</v>
      </c>
      <c r="L1441" s="14">
        <v>0.0</v>
      </c>
      <c r="M1441" s="25"/>
      <c r="N1441" s="26" t="s">
        <v>21</v>
      </c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</row>
    <row r="1442">
      <c r="A1442" s="14" t="s">
        <v>5378</v>
      </c>
      <c r="B1442" s="17" t="s">
        <v>5372</v>
      </c>
      <c r="C1442" s="17" t="s">
        <v>5379</v>
      </c>
      <c r="D1442" s="19" t="s">
        <v>5380</v>
      </c>
      <c r="E1442" s="20" t="s">
        <v>195</v>
      </c>
      <c r="F1442" s="21">
        <v>26299.0</v>
      </c>
      <c r="G1442" s="14">
        <f t="shared" si="1"/>
        <v>54</v>
      </c>
      <c r="H1442" s="23" t="s">
        <v>26</v>
      </c>
      <c r="I1442" s="24" t="s">
        <v>27</v>
      </c>
      <c r="J1442" s="19" t="s">
        <v>58</v>
      </c>
      <c r="K1442" s="14">
        <v>9.0</v>
      </c>
      <c r="L1442" s="14">
        <v>0.0</v>
      </c>
      <c r="M1442" s="25"/>
      <c r="N1442" s="26" t="s">
        <v>21</v>
      </c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</row>
    <row r="1443">
      <c r="A1443" s="14" t="s">
        <v>5381</v>
      </c>
      <c r="B1443" s="17" t="s">
        <v>5382</v>
      </c>
      <c r="C1443" s="17" t="s">
        <v>5383</v>
      </c>
      <c r="D1443" s="19" t="s">
        <v>5384</v>
      </c>
      <c r="E1443" s="20" t="s">
        <v>650</v>
      </c>
      <c r="F1443" s="21">
        <v>7138.0</v>
      </c>
      <c r="G1443" s="14">
        <f t="shared" si="1"/>
        <v>107</v>
      </c>
      <c r="H1443" s="23" t="s">
        <v>26</v>
      </c>
      <c r="I1443" s="24" t="s">
        <v>33</v>
      </c>
      <c r="J1443" s="19" t="s">
        <v>4237</v>
      </c>
      <c r="K1443" s="14">
        <v>5.0</v>
      </c>
      <c r="L1443" s="14">
        <v>0.0</v>
      </c>
      <c r="M1443" s="25"/>
      <c r="N1443" s="26" t="s">
        <v>21</v>
      </c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</row>
    <row r="1444">
      <c r="A1444" s="14" t="s">
        <v>5385</v>
      </c>
      <c r="B1444" s="17" t="s">
        <v>5386</v>
      </c>
      <c r="C1444" s="17" t="s">
        <v>5387</v>
      </c>
      <c r="D1444" s="19" t="s">
        <v>5388</v>
      </c>
      <c r="E1444" s="20" t="s">
        <v>5389</v>
      </c>
      <c r="F1444" s="21">
        <v>25366.0</v>
      </c>
      <c r="G1444" s="14">
        <f t="shared" si="1"/>
        <v>57</v>
      </c>
      <c r="H1444" s="23" t="s">
        <v>26</v>
      </c>
      <c r="I1444" s="24" t="s">
        <v>27</v>
      </c>
      <c r="J1444" s="19" t="s">
        <v>156</v>
      </c>
      <c r="K1444" s="14">
        <v>35.0</v>
      </c>
      <c r="L1444" s="14">
        <v>0.0</v>
      </c>
      <c r="M1444" s="25"/>
      <c r="N1444" s="26" t="s">
        <v>21</v>
      </c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</row>
    <row r="1445">
      <c r="A1445" s="14" t="s">
        <v>5390</v>
      </c>
      <c r="B1445" s="17" t="s">
        <v>5386</v>
      </c>
      <c r="C1445" s="17" t="s">
        <v>5391</v>
      </c>
      <c r="D1445" s="19" t="s">
        <v>5392</v>
      </c>
      <c r="E1445" s="20" t="s">
        <v>372</v>
      </c>
      <c r="F1445" s="21">
        <v>22046.0</v>
      </c>
      <c r="G1445" s="14">
        <f t="shared" si="1"/>
        <v>66</v>
      </c>
      <c r="H1445" s="23" t="s">
        <v>26</v>
      </c>
      <c r="I1445" s="24" t="s">
        <v>33</v>
      </c>
      <c r="J1445" s="19" t="s">
        <v>156</v>
      </c>
      <c r="K1445" s="14">
        <v>35.0</v>
      </c>
      <c r="L1445" s="14">
        <v>0.0</v>
      </c>
      <c r="M1445" s="25"/>
      <c r="N1445" s="26" t="s">
        <v>21</v>
      </c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</row>
    <row r="1446">
      <c r="A1446" s="14" t="s">
        <v>5393</v>
      </c>
      <c r="B1446" s="17" t="s">
        <v>5394</v>
      </c>
      <c r="C1446" s="17" t="s">
        <v>5395</v>
      </c>
      <c r="D1446" s="19" t="s">
        <v>5396</v>
      </c>
      <c r="E1446" s="20" t="s">
        <v>2353</v>
      </c>
      <c r="F1446" s="27">
        <v>32806.0</v>
      </c>
      <c r="G1446" s="14">
        <f t="shared" si="1"/>
        <v>37</v>
      </c>
      <c r="H1446" s="23" t="s">
        <v>26</v>
      </c>
      <c r="I1446" s="24" t="s">
        <v>27</v>
      </c>
      <c r="J1446" s="19" t="s">
        <v>517</v>
      </c>
      <c r="K1446" s="14">
        <v>36.0</v>
      </c>
      <c r="L1446" s="14">
        <v>5.0</v>
      </c>
      <c r="M1446" s="25"/>
      <c r="N1446" s="26" t="s">
        <v>21</v>
      </c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</row>
    <row r="1447">
      <c r="A1447" s="14" t="s">
        <v>5397</v>
      </c>
      <c r="B1447" s="17" t="s">
        <v>5394</v>
      </c>
      <c r="C1447" s="17" t="s">
        <v>5398</v>
      </c>
      <c r="D1447" s="19" t="s">
        <v>5399</v>
      </c>
      <c r="E1447" s="20" t="s">
        <v>5389</v>
      </c>
      <c r="F1447" s="21">
        <v>28957.0</v>
      </c>
      <c r="G1447" s="14">
        <f t="shared" si="1"/>
        <v>47</v>
      </c>
      <c r="H1447" s="23" t="s">
        <v>26</v>
      </c>
      <c r="I1447" s="24" t="s">
        <v>33</v>
      </c>
      <c r="J1447" s="19" t="s">
        <v>517</v>
      </c>
      <c r="K1447" s="14">
        <v>36.0</v>
      </c>
      <c r="L1447" s="14">
        <v>0.0</v>
      </c>
      <c r="M1447" s="25"/>
      <c r="N1447" s="26" t="s">
        <v>21</v>
      </c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</row>
    <row r="1448">
      <c r="A1448" s="14" t="s">
        <v>5400</v>
      </c>
      <c r="B1448" s="17" t="s">
        <v>5401</v>
      </c>
      <c r="C1448" s="17" t="s">
        <v>5402</v>
      </c>
      <c r="D1448" s="19" t="s">
        <v>5403</v>
      </c>
      <c r="E1448" s="20" t="s">
        <v>1370</v>
      </c>
      <c r="F1448" s="21">
        <v>33749.0</v>
      </c>
      <c r="G1448" s="14">
        <f t="shared" si="1"/>
        <v>34</v>
      </c>
      <c r="H1448" s="23" t="s">
        <v>26</v>
      </c>
      <c r="I1448" s="24" t="s">
        <v>33</v>
      </c>
      <c r="J1448" s="19" t="s">
        <v>3387</v>
      </c>
      <c r="K1448" s="14">
        <v>9.0</v>
      </c>
      <c r="L1448" s="14">
        <v>0.0</v>
      </c>
      <c r="M1448" s="25"/>
      <c r="N1448" s="26" t="s">
        <v>21</v>
      </c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</row>
    <row r="1449">
      <c r="A1449" s="14" t="s">
        <v>5404</v>
      </c>
      <c r="B1449" s="17" t="s">
        <v>5401</v>
      </c>
      <c r="C1449" s="17" t="s">
        <v>5405</v>
      </c>
      <c r="D1449" s="19" t="s">
        <v>5406</v>
      </c>
      <c r="E1449" s="20" t="s">
        <v>104</v>
      </c>
      <c r="F1449" s="27">
        <v>35369.0</v>
      </c>
      <c r="G1449" s="14">
        <f t="shared" si="1"/>
        <v>29</v>
      </c>
      <c r="H1449" s="23" t="s">
        <v>26</v>
      </c>
      <c r="I1449" s="24" t="s">
        <v>27</v>
      </c>
      <c r="J1449" s="19" t="s">
        <v>3387</v>
      </c>
      <c r="K1449" s="14">
        <v>9.0</v>
      </c>
      <c r="L1449" s="14">
        <v>0.0</v>
      </c>
      <c r="M1449" s="25"/>
      <c r="N1449" s="26" t="s">
        <v>21</v>
      </c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</row>
    <row r="1450">
      <c r="A1450" s="14" t="s">
        <v>5407</v>
      </c>
      <c r="B1450" s="17" t="s">
        <v>5408</v>
      </c>
      <c r="C1450" s="17" t="s">
        <v>5409</v>
      </c>
      <c r="D1450" s="19" t="s">
        <v>5410</v>
      </c>
      <c r="E1450" s="20" t="s">
        <v>138</v>
      </c>
      <c r="F1450" s="27">
        <v>37922.0</v>
      </c>
      <c r="G1450" s="14">
        <f t="shared" si="1"/>
        <v>23</v>
      </c>
      <c r="H1450" s="23" t="s">
        <v>26</v>
      </c>
      <c r="I1450" s="24" t="s">
        <v>27</v>
      </c>
      <c r="J1450" s="19" t="s">
        <v>68</v>
      </c>
      <c r="K1450" s="14">
        <v>35.0</v>
      </c>
      <c r="L1450" s="14">
        <v>0.0</v>
      </c>
      <c r="M1450" s="25"/>
      <c r="N1450" s="26" t="s">
        <v>21</v>
      </c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</row>
    <row r="1451">
      <c r="A1451" s="14" t="s">
        <v>5411</v>
      </c>
      <c r="B1451" s="17" t="s">
        <v>5408</v>
      </c>
      <c r="C1451" s="17" t="s">
        <v>5412</v>
      </c>
      <c r="D1451" s="19" t="s">
        <v>5413</v>
      </c>
      <c r="E1451" s="20" t="s">
        <v>138</v>
      </c>
      <c r="F1451" s="27">
        <v>37190.0</v>
      </c>
      <c r="G1451" s="14">
        <f t="shared" si="1"/>
        <v>25</v>
      </c>
      <c r="H1451" s="23" t="s">
        <v>26</v>
      </c>
      <c r="I1451" s="24" t="s">
        <v>33</v>
      </c>
      <c r="J1451" s="19" t="s">
        <v>68</v>
      </c>
      <c r="K1451" s="14">
        <v>35.0</v>
      </c>
      <c r="L1451" s="14">
        <v>0.0</v>
      </c>
      <c r="M1451" s="25"/>
      <c r="N1451" s="26" t="s">
        <v>21</v>
      </c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</row>
    <row r="1452">
      <c r="A1452" s="14" t="s">
        <v>5414</v>
      </c>
      <c r="B1452" s="17" t="s">
        <v>5415</v>
      </c>
      <c r="C1452" s="17" t="s">
        <v>5416</v>
      </c>
      <c r="D1452" s="19" t="s">
        <v>5417</v>
      </c>
      <c r="E1452" s="20" t="s">
        <v>3544</v>
      </c>
      <c r="F1452" s="21">
        <v>26761.0</v>
      </c>
      <c r="G1452" s="14">
        <f t="shared" si="1"/>
        <v>53</v>
      </c>
      <c r="H1452" s="23" t="s">
        <v>26</v>
      </c>
      <c r="I1452" s="24" t="s">
        <v>27</v>
      </c>
      <c r="J1452" s="19" t="s">
        <v>257</v>
      </c>
      <c r="K1452" s="14">
        <v>16.0</v>
      </c>
      <c r="L1452" s="14">
        <v>5.0</v>
      </c>
      <c r="M1452" s="25"/>
      <c r="N1452" s="26" t="s">
        <v>21</v>
      </c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</row>
    <row r="1453">
      <c r="A1453" s="14" t="s">
        <v>5418</v>
      </c>
      <c r="B1453" s="17" t="s">
        <v>5419</v>
      </c>
      <c r="C1453" s="17" t="s">
        <v>5420</v>
      </c>
      <c r="D1453" s="19" t="s">
        <v>5421</v>
      </c>
      <c r="E1453" s="20" t="s">
        <v>3263</v>
      </c>
      <c r="F1453" s="27">
        <v>18577.0</v>
      </c>
      <c r="G1453" s="14">
        <f t="shared" si="1"/>
        <v>75</v>
      </c>
      <c r="H1453" s="23" t="s">
        <v>27</v>
      </c>
      <c r="I1453" s="24" t="s">
        <v>33</v>
      </c>
      <c r="J1453" s="19" t="s">
        <v>5422</v>
      </c>
      <c r="K1453" s="14">
        <v>26.0</v>
      </c>
      <c r="L1453" s="14">
        <v>0.0</v>
      </c>
      <c r="M1453" s="25"/>
      <c r="N1453" s="26" t="s">
        <v>21</v>
      </c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</row>
    <row r="1454">
      <c r="A1454" s="14" t="s">
        <v>5423</v>
      </c>
      <c r="B1454" s="17" t="s">
        <v>5424</v>
      </c>
      <c r="C1454" s="17" t="s">
        <v>5425</v>
      </c>
      <c r="D1454" s="19" t="s">
        <v>5426</v>
      </c>
      <c r="E1454" s="20" t="s">
        <v>53</v>
      </c>
      <c r="F1454" s="21">
        <v>30079.0</v>
      </c>
      <c r="G1454" s="14">
        <f t="shared" si="1"/>
        <v>44</v>
      </c>
      <c r="H1454" s="23" t="s">
        <v>26</v>
      </c>
      <c r="I1454" s="24" t="s">
        <v>33</v>
      </c>
      <c r="J1454" s="19" t="s">
        <v>726</v>
      </c>
      <c r="K1454" s="14">
        <v>17.0</v>
      </c>
      <c r="L1454" s="14">
        <v>0.0</v>
      </c>
      <c r="M1454" s="25"/>
      <c r="N1454" s="26" t="s">
        <v>21</v>
      </c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</row>
    <row r="1455">
      <c r="A1455" s="14" t="s">
        <v>5427</v>
      </c>
      <c r="B1455" s="17" t="s">
        <v>5424</v>
      </c>
      <c r="C1455" s="17" t="s">
        <v>5428</v>
      </c>
      <c r="D1455" s="19" t="s">
        <v>5429</v>
      </c>
      <c r="E1455" s="20" t="s">
        <v>104</v>
      </c>
      <c r="F1455" s="21">
        <v>38802.0</v>
      </c>
      <c r="G1455" s="14">
        <f t="shared" si="1"/>
        <v>20</v>
      </c>
      <c r="H1455" s="23" t="s">
        <v>100</v>
      </c>
      <c r="I1455" s="24" t="s">
        <v>33</v>
      </c>
      <c r="J1455" s="19" t="s">
        <v>726</v>
      </c>
      <c r="K1455" s="14">
        <v>17.0</v>
      </c>
      <c r="L1455" s="14">
        <v>0.0</v>
      </c>
      <c r="M1455" s="25"/>
      <c r="N1455" s="26" t="s">
        <v>21</v>
      </c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</row>
    <row r="1456">
      <c r="A1456" s="14" t="s">
        <v>5430</v>
      </c>
      <c r="B1456" s="17" t="s">
        <v>5424</v>
      </c>
      <c r="C1456" s="17" t="s">
        <v>5431</v>
      </c>
      <c r="D1456" s="19" t="s">
        <v>5432</v>
      </c>
      <c r="E1456" s="20" t="s">
        <v>104</v>
      </c>
      <c r="F1456" s="21">
        <v>31306.0</v>
      </c>
      <c r="G1456" s="14">
        <f t="shared" si="1"/>
        <v>41</v>
      </c>
      <c r="H1456" s="23" t="s">
        <v>26</v>
      </c>
      <c r="I1456" s="24" t="s">
        <v>27</v>
      </c>
      <c r="J1456" s="19" t="s">
        <v>726</v>
      </c>
      <c r="K1456" s="14">
        <v>17.0</v>
      </c>
      <c r="L1456" s="14">
        <v>0.0</v>
      </c>
      <c r="M1456" s="25"/>
      <c r="N1456" s="26" t="s">
        <v>21</v>
      </c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</row>
    <row r="1457">
      <c r="A1457" s="14" t="s">
        <v>5433</v>
      </c>
      <c r="B1457" s="17" t="s">
        <v>5434</v>
      </c>
      <c r="C1457" s="17" t="s">
        <v>5435</v>
      </c>
      <c r="D1457" s="19" t="s">
        <v>5436</v>
      </c>
      <c r="E1457" s="20" t="s">
        <v>3215</v>
      </c>
      <c r="F1457" s="21">
        <v>19862.0</v>
      </c>
      <c r="G1457" s="14">
        <f t="shared" si="1"/>
        <v>72</v>
      </c>
      <c r="H1457" s="23" t="s">
        <v>27</v>
      </c>
      <c r="I1457" s="24" t="s">
        <v>33</v>
      </c>
      <c r="J1457" s="19" t="s">
        <v>68</v>
      </c>
      <c r="K1457" s="14">
        <v>31.0</v>
      </c>
      <c r="L1457" s="14">
        <v>0.0</v>
      </c>
      <c r="M1457" s="25"/>
      <c r="N1457" s="26" t="s">
        <v>21</v>
      </c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</row>
    <row r="1458">
      <c r="A1458" s="14" t="s">
        <v>5437</v>
      </c>
      <c r="B1458" s="17" t="s">
        <v>5438</v>
      </c>
      <c r="C1458" s="17" t="s">
        <v>5439</v>
      </c>
      <c r="D1458" s="19" t="s">
        <v>5440</v>
      </c>
      <c r="E1458" s="20" t="s">
        <v>2680</v>
      </c>
      <c r="F1458" s="21">
        <v>33311.0</v>
      </c>
      <c r="G1458" s="14">
        <f t="shared" si="1"/>
        <v>35</v>
      </c>
      <c r="H1458" s="23" t="s">
        <v>26</v>
      </c>
      <c r="I1458" s="24" t="s">
        <v>33</v>
      </c>
      <c r="J1458" s="19" t="s">
        <v>206</v>
      </c>
      <c r="K1458" s="14">
        <v>1.0</v>
      </c>
      <c r="L1458" s="14">
        <v>0.0</v>
      </c>
      <c r="M1458" s="25"/>
      <c r="N1458" s="26" t="s">
        <v>21</v>
      </c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</row>
    <row r="1459">
      <c r="A1459" s="14" t="s">
        <v>5441</v>
      </c>
      <c r="B1459" s="17" t="s">
        <v>5438</v>
      </c>
      <c r="C1459" s="17" t="s">
        <v>5442</v>
      </c>
      <c r="D1459" s="19" t="s">
        <v>5443</v>
      </c>
      <c r="E1459" s="20" t="s">
        <v>104</v>
      </c>
      <c r="F1459" s="21">
        <v>34361.0</v>
      </c>
      <c r="G1459" s="14">
        <f t="shared" si="1"/>
        <v>32</v>
      </c>
      <c r="H1459" s="23" t="s">
        <v>26</v>
      </c>
      <c r="I1459" s="24" t="s">
        <v>27</v>
      </c>
      <c r="J1459" s="19" t="s">
        <v>206</v>
      </c>
      <c r="K1459" s="14">
        <v>1.0</v>
      </c>
      <c r="L1459" s="14">
        <v>0.0</v>
      </c>
      <c r="M1459" s="25"/>
      <c r="N1459" s="26" t="s">
        <v>21</v>
      </c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</row>
    <row r="1460">
      <c r="A1460" s="14" t="s">
        <v>5444</v>
      </c>
      <c r="B1460" s="17" t="s">
        <v>5445</v>
      </c>
      <c r="C1460" s="17" t="s">
        <v>5446</v>
      </c>
      <c r="D1460" s="19" t="s">
        <v>5447</v>
      </c>
      <c r="E1460" s="20" t="s">
        <v>632</v>
      </c>
      <c r="F1460" s="21">
        <v>15837.0</v>
      </c>
      <c r="G1460" s="14">
        <f t="shared" si="1"/>
        <v>83</v>
      </c>
      <c r="H1460" s="23" t="s">
        <v>26</v>
      </c>
      <c r="I1460" s="24" t="s">
        <v>27</v>
      </c>
      <c r="J1460" s="19" t="s">
        <v>53</v>
      </c>
      <c r="K1460" s="14">
        <v>21.0</v>
      </c>
      <c r="L1460" s="14">
        <v>0.0</v>
      </c>
      <c r="M1460" s="28" t="s">
        <v>5742</v>
      </c>
      <c r="N1460" s="26" t="s">
        <v>21</v>
      </c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</row>
    <row r="1461">
      <c r="A1461" s="14" t="s">
        <v>5448</v>
      </c>
      <c r="B1461" s="17" t="s">
        <v>5449</v>
      </c>
      <c r="C1461" s="17" t="s">
        <v>5450</v>
      </c>
      <c r="D1461" s="19" t="s">
        <v>5451</v>
      </c>
      <c r="E1461" s="20" t="s">
        <v>138</v>
      </c>
      <c r="F1461" s="21">
        <v>32209.0</v>
      </c>
      <c r="G1461" s="14">
        <f t="shared" si="1"/>
        <v>38</v>
      </c>
      <c r="H1461" s="23" t="s">
        <v>26</v>
      </c>
      <c r="I1461" s="24" t="s">
        <v>27</v>
      </c>
      <c r="J1461" s="19" t="s">
        <v>726</v>
      </c>
      <c r="K1461" s="14">
        <v>31.0</v>
      </c>
      <c r="L1461" s="14">
        <v>0.0</v>
      </c>
      <c r="M1461" s="25"/>
      <c r="N1461" s="26" t="s">
        <v>21</v>
      </c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</row>
    <row r="1462">
      <c r="A1462" s="14" t="s">
        <v>5452</v>
      </c>
      <c r="B1462" s="17" t="s">
        <v>5449</v>
      </c>
      <c r="C1462" s="17" t="s">
        <v>5453</v>
      </c>
      <c r="D1462" s="19" t="s">
        <v>5454</v>
      </c>
      <c r="E1462" s="20" t="s">
        <v>138</v>
      </c>
      <c r="F1462" s="27">
        <v>27709.0</v>
      </c>
      <c r="G1462" s="14">
        <f t="shared" si="1"/>
        <v>50</v>
      </c>
      <c r="H1462" s="23" t="s">
        <v>26</v>
      </c>
      <c r="I1462" s="24" t="s">
        <v>33</v>
      </c>
      <c r="J1462" s="19" t="s">
        <v>726</v>
      </c>
      <c r="K1462" s="14">
        <v>31.0</v>
      </c>
      <c r="L1462" s="14">
        <v>0.0</v>
      </c>
      <c r="M1462" s="25"/>
      <c r="N1462" s="26" t="s">
        <v>21</v>
      </c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</row>
    <row r="1463">
      <c r="A1463" s="14" t="s">
        <v>5455</v>
      </c>
      <c r="B1463" s="17" t="s">
        <v>5449</v>
      </c>
      <c r="C1463" s="17" t="s">
        <v>5456</v>
      </c>
      <c r="D1463" s="19" t="s">
        <v>5457</v>
      </c>
      <c r="E1463" s="20" t="s">
        <v>138</v>
      </c>
      <c r="F1463" s="21">
        <v>39212.0</v>
      </c>
      <c r="G1463" s="14">
        <f t="shared" si="1"/>
        <v>19</v>
      </c>
      <c r="H1463" s="23" t="s">
        <v>100</v>
      </c>
      <c r="I1463" s="24" t="s">
        <v>33</v>
      </c>
      <c r="J1463" s="19" t="s">
        <v>726</v>
      </c>
      <c r="K1463" s="14">
        <v>31.0</v>
      </c>
      <c r="L1463" s="14">
        <v>0.0</v>
      </c>
      <c r="M1463" s="25"/>
      <c r="N1463" s="26" t="s">
        <v>21</v>
      </c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</row>
    <row r="1464">
      <c r="A1464" s="14" t="s">
        <v>5458</v>
      </c>
      <c r="B1464" s="17" t="s">
        <v>5459</v>
      </c>
      <c r="C1464" s="17" t="s">
        <v>5460</v>
      </c>
      <c r="D1464" s="19" t="s">
        <v>5461</v>
      </c>
      <c r="E1464" s="20" t="s">
        <v>632</v>
      </c>
      <c r="F1464" s="21">
        <v>21193.0</v>
      </c>
      <c r="G1464" s="14">
        <f t="shared" si="1"/>
        <v>68</v>
      </c>
      <c r="H1464" s="23" t="s">
        <v>26</v>
      </c>
      <c r="I1464" s="24" t="s">
        <v>27</v>
      </c>
      <c r="J1464" s="19" t="s">
        <v>4237</v>
      </c>
      <c r="K1464" s="14">
        <v>30.0</v>
      </c>
      <c r="L1464" s="14">
        <v>1.0</v>
      </c>
      <c r="M1464" s="25"/>
      <c r="N1464" s="26" t="s">
        <v>21</v>
      </c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</row>
    <row r="1465">
      <c r="A1465" s="14" t="s">
        <v>5462</v>
      </c>
      <c r="B1465" s="17" t="s">
        <v>5463</v>
      </c>
      <c r="C1465" s="17" t="s">
        <v>5464</v>
      </c>
      <c r="D1465" s="19" t="s">
        <v>5465</v>
      </c>
      <c r="E1465" s="20" t="s">
        <v>2000</v>
      </c>
      <c r="F1465" s="21">
        <v>25252.0</v>
      </c>
      <c r="G1465" s="14">
        <f t="shared" si="1"/>
        <v>57</v>
      </c>
      <c r="H1465" s="23" t="s">
        <v>26</v>
      </c>
      <c r="I1465" s="24" t="s">
        <v>27</v>
      </c>
      <c r="J1465" s="19" t="s">
        <v>1915</v>
      </c>
      <c r="K1465" s="14">
        <v>12.0</v>
      </c>
      <c r="L1465" s="14">
        <v>0.0</v>
      </c>
      <c r="M1465" s="25"/>
      <c r="N1465" s="26" t="s">
        <v>21</v>
      </c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</row>
    <row r="1466">
      <c r="A1466" s="14" t="s">
        <v>5466</v>
      </c>
      <c r="B1466" s="17" t="s">
        <v>5463</v>
      </c>
      <c r="C1466" s="17" t="s">
        <v>5467</v>
      </c>
      <c r="D1466" s="19" t="s">
        <v>5468</v>
      </c>
      <c r="E1466" s="20" t="s">
        <v>429</v>
      </c>
      <c r="F1466" s="21">
        <v>27041.0</v>
      </c>
      <c r="G1466" s="14">
        <f t="shared" si="1"/>
        <v>52</v>
      </c>
      <c r="H1466" s="23" t="s">
        <v>26</v>
      </c>
      <c r="I1466" s="24" t="s">
        <v>33</v>
      </c>
      <c r="J1466" s="19" t="s">
        <v>1915</v>
      </c>
      <c r="K1466" s="14">
        <v>12.0</v>
      </c>
      <c r="L1466" s="14">
        <v>0.0</v>
      </c>
      <c r="M1466" s="25"/>
      <c r="N1466" s="26" t="s">
        <v>21</v>
      </c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</row>
    <row r="1467">
      <c r="A1467" s="14" t="s">
        <v>5469</v>
      </c>
      <c r="B1467" s="17" t="s">
        <v>5463</v>
      </c>
      <c r="C1467" s="17" t="s">
        <v>5470</v>
      </c>
      <c r="D1467" s="19" t="s">
        <v>5471</v>
      </c>
      <c r="E1467" s="20" t="s">
        <v>138</v>
      </c>
      <c r="F1467" s="21">
        <v>38476.0</v>
      </c>
      <c r="G1467" s="14">
        <f t="shared" si="1"/>
        <v>21</v>
      </c>
      <c r="H1467" s="23" t="s">
        <v>100</v>
      </c>
      <c r="I1467" s="24" t="s">
        <v>33</v>
      </c>
      <c r="J1467" s="19" t="s">
        <v>1915</v>
      </c>
      <c r="K1467" s="14">
        <v>12.0</v>
      </c>
      <c r="L1467" s="14">
        <v>0.0</v>
      </c>
      <c r="M1467" s="25"/>
      <c r="N1467" s="26" t="s">
        <v>21</v>
      </c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</row>
    <row r="1468">
      <c r="A1468" s="14" t="s">
        <v>5472</v>
      </c>
      <c r="B1468" s="17" t="s">
        <v>5473</v>
      </c>
      <c r="C1468" s="17" t="s">
        <v>5474</v>
      </c>
      <c r="D1468" s="19" t="s">
        <v>5475</v>
      </c>
      <c r="E1468" s="20" t="s">
        <v>5476</v>
      </c>
      <c r="F1468" s="27">
        <v>30284.0</v>
      </c>
      <c r="G1468" s="14">
        <f t="shared" si="1"/>
        <v>43</v>
      </c>
      <c r="H1468" s="23" t="s">
        <v>26</v>
      </c>
      <c r="I1468" s="24" t="s">
        <v>27</v>
      </c>
      <c r="J1468" s="19" t="s">
        <v>726</v>
      </c>
      <c r="K1468" s="14">
        <v>12.0</v>
      </c>
      <c r="L1468" s="14">
        <v>0.0</v>
      </c>
      <c r="M1468" s="25"/>
      <c r="N1468" s="26" t="s">
        <v>21</v>
      </c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</row>
    <row r="1469">
      <c r="A1469" s="14" t="s">
        <v>5477</v>
      </c>
      <c r="B1469" s="17" t="s">
        <v>5473</v>
      </c>
      <c r="C1469" s="17" t="s">
        <v>5478</v>
      </c>
      <c r="D1469" s="19" t="s">
        <v>5479</v>
      </c>
      <c r="E1469" s="20" t="s">
        <v>429</v>
      </c>
      <c r="F1469" s="21">
        <v>27465.0</v>
      </c>
      <c r="G1469" s="14">
        <f t="shared" si="1"/>
        <v>51</v>
      </c>
      <c r="H1469" s="23" t="s">
        <v>26</v>
      </c>
      <c r="I1469" s="24" t="s">
        <v>33</v>
      </c>
      <c r="J1469" s="19" t="s">
        <v>726</v>
      </c>
      <c r="K1469" s="14">
        <v>12.0</v>
      </c>
      <c r="L1469" s="14">
        <v>0.0</v>
      </c>
      <c r="M1469" s="25"/>
      <c r="N1469" s="26" t="s">
        <v>21</v>
      </c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</row>
    <row r="1470">
      <c r="A1470" s="14" t="s">
        <v>5480</v>
      </c>
      <c r="B1470" s="17" t="s">
        <v>5481</v>
      </c>
      <c r="C1470" s="17" t="s">
        <v>5482</v>
      </c>
      <c r="D1470" s="19" t="s">
        <v>5483</v>
      </c>
      <c r="E1470" s="20" t="s">
        <v>2038</v>
      </c>
      <c r="F1470" s="21">
        <v>34485.0</v>
      </c>
      <c r="G1470" s="14">
        <f t="shared" si="1"/>
        <v>32</v>
      </c>
      <c r="H1470" s="23" t="s">
        <v>100</v>
      </c>
      <c r="I1470" s="24" t="s">
        <v>33</v>
      </c>
      <c r="J1470" s="19" t="s">
        <v>1915</v>
      </c>
      <c r="K1470" s="14">
        <v>12.0</v>
      </c>
      <c r="L1470" s="14">
        <v>0.0</v>
      </c>
      <c r="M1470" s="25"/>
      <c r="N1470" s="26" t="s">
        <v>21</v>
      </c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</row>
    <row r="1471">
      <c r="A1471" s="14" t="s">
        <v>5484</v>
      </c>
      <c r="B1471" s="17" t="s">
        <v>5481</v>
      </c>
      <c r="C1471" s="17" t="s">
        <v>5485</v>
      </c>
      <c r="D1471" s="19" t="s">
        <v>5486</v>
      </c>
      <c r="E1471" s="20" t="s">
        <v>195</v>
      </c>
      <c r="F1471" s="27">
        <v>22585.0</v>
      </c>
      <c r="G1471" s="14">
        <f t="shared" si="1"/>
        <v>64</v>
      </c>
      <c r="H1471" s="23" t="s">
        <v>27</v>
      </c>
      <c r="I1471" s="24" t="s">
        <v>33</v>
      </c>
      <c r="J1471" s="19" t="s">
        <v>1915</v>
      </c>
      <c r="K1471" s="14">
        <v>12.0</v>
      </c>
      <c r="L1471" s="14">
        <v>0.0</v>
      </c>
      <c r="M1471" s="25"/>
      <c r="N1471" s="26" t="s">
        <v>21</v>
      </c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</row>
    <row r="1472">
      <c r="A1472" s="14" t="s">
        <v>5487</v>
      </c>
      <c r="B1472" s="17" t="s">
        <v>5488</v>
      </c>
      <c r="C1472" s="17" t="s">
        <v>5489</v>
      </c>
      <c r="D1472" s="19" t="s">
        <v>3759</v>
      </c>
      <c r="E1472" s="20" t="s">
        <v>429</v>
      </c>
      <c r="F1472" s="27">
        <v>19657.0</v>
      </c>
      <c r="G1472" s="14">
        <f t="shared" si="1"/>
        <v>73</v>
      </c>
      <c r="H1472" s="23" t="s">
        <v>27</v>
      </c>
      <c r="I1472" s="24" t="s">
        <v>27</v>
      </c>
      <c r="J1472" s="19" t="s">
        <v>1915</v>
      </c>
      <c r="K1472" s="14">
        <v>12.0</v>
      </c>
      <c r="L1472" s="14">
        <v>0.0</v>
      </c>
      <c r="M1472" s="25"/>
      <c r="N1472" s="26" t="s">
        <v>21</v>
      </c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</row>
    <row r="1473">
      <c r="A1473" s="14" t="s">
        <v>5490</v>
      </c>
      <c r="B1473" s="17" t="s">
        <v>5491</v>
      </c>
      <c r="C1473" s="17" t="s">
        <v>5492</v>
      </c>
      <c r="D1473" s="19" t="s">
        <v>5493</v>
      </c>
      <c r="E1473" s="20" t="s">
        <v>2014</v>
      </c>
      <c r="F1473" s="21">
        <v>20166.0</v>
      </c>
      <c r="G1473" s="14">
        <f t="shared" si="1"/>
        <v>71</v>
      </c>
      <c r="H1473" s="23" t="s">
        <v>27</v>
      </c>
      <c r="I1473" s="24" t="s">
        <v>27</v>
      </c>
      <c r="J1473" s="19" t="s">
        <v>53</v>
      </c>
      <c r="K1473" s="14">
        <v>12.0</v>
      </c>
      <c r="L1473" s="14">
        <v>0.0</v>
      </c>
      <c r="M1473" s="25"/>
      <c r="N1473" s="26" t="s">
        <v>21</v>
      </c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</row>
    <row r="1474">
      <c r="A1474" s="14" t="s">
        <v>5494</v>
      </c>
      <c r="B1474" s="17" t="s">
        <v>5495</v>
      </c>
      <c r="C1474" s="17" t="s">
        <v>5496</v>
      </c>
      <c r="D1474" s="19" t="s">
        <v>5497</v>
      </c>
      <c r="E1474" s="20" t="s">
        <v>53</v>
      </c>
      <c r="F1474" s="21">
        <v>37373.0</v>
      </c>
      <c r="G1474" s="14">
        <f t="shared" si="1"/>
        <v>24</v>
      </c>
      <c r="H1474" s="23" t="s">
        <v>100</v>
      </c>
      <c r="I1474" s="24" t="s">
        <v>33</v>
      </c>
      <c r="J1474" s="19" t="s">
        <v>517</v>
      </c>
      <c r="K1474" s="14">
        <v>9.0</v>
      </c>
      <c r="L1474" s="14">
        <v>0.0</v>
      </c>
      <c r="M1474" s="25"/>
      <c r="N1474" s="26" t="s">
        <v>21</v>
      </c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</row>
    <row r="1475">
      <c r="A1475" s="14" t="s">
        <v>5498</v>
      </c>
      <c r="B1475" s="17" t="s">
        <v>5495</v>
      </c>
      <c r="C1475" s="17" t="s">
        <v>5499</v>
      </c>
      <c r="D1475" s="19" t="s">
        <v>5500</v>
      </c>
      <c r="E1475" s="20" t="s">
        <v>53</v>
      </c>
      <c r="F1475" s="21">
        <v>39099.0</v>
      </c>
      <c r="G1475" s="14">
        <f t="shared" si="1"/>
        <v>19</v>
      </c>
      <c r="H1475" s="23" t="s">
        <v>100</v>
      </c>
      <c r="I1475" s="24" t="s">
        <v>27</v>
      </c>
      <c r="J1475" s="19" t="s">
        <v>517</v>
      </c>
      <c r="K1475" s="14">
        <v>9.0</v>
      </c>
      <c r="L1475" s="14">
        <v>0.0</v>
      </c>
      <c r="M1475" s="25"/>
      <c r="N1475" s="26" t="s">
        <v>21</v>
      </c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</row>
    <row r="1476">
      <c r="A1476" s="14" t="s">
        <v>5501</v>
      </c>
      <c r="B1476" s="17" t="s">
        <v>5495</v>
      </c>
      <c r="C1476" s="17" t="s">
        <v>5502</v>
      </c>
      <c r="D1476" s="19" t="s">
        <v>5503</v>
      </c>
      <c r="E1476" s="20" t="s">
        <v>195</v>
      </c>
      <c r="F1476" s="21">
        <v>27428.0</v>
      </c>
      <c r="G1476" s="14">
        <f t="shared" si="1"/>
        <v>51</v>
      </c>
      <c r="H1476" s="23" t="s">
        <v>26</v>
      </c>
      <c r="I1476" s="24" t="s">
        <v>27</v>
      </c>
      <c r="J1476" s="19" t="s">
        <v>517</v>
      </c>
      <c r="K1476" s="14">
        <v>9.0</v>
      </c>
      <c r="L1476" s="14">
        <v>0.0</v>
      </c>
      <c r="M1476" s="25"/>
      <c r="N1476" s="26" t="s">
        <v>21</v>
      </c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</row>
    <row r="1477">
      <c r="A1477" s="14" t="s">
        <v>5504</v>
      </c>
      <c r="B1477" s="17" t="s">
        <v>5495</v>
      </c>
      <c r="C1477" s="17" t="s">
        <v>5505</v>
      </c>
      <c r="D1477" s="19" t="s">
        <v>5506</v>
      </c>
      <c r="E1477" s="20" t="s">
        <v>319</v>
      </c>
      <c r="F1477" s="21">
        <v>27030.0</v>
      </c>
      <c r="G1477" s="14">
        <f t="shared" si="1"/>
        <v>52</v>
      </c>
      <c r="H1477" s="23" t="s">
        <v>26</v>
      </c>
      <c r="I1477" s="24" t="s">
        <v>33</v>
      </c>
      <c r="J1477" s="19" t="s">
        <v>517</v>
      </c>
      <c r="K1477" s="14">
        <v>9.0</v>
      </c>
      <c r="L1477" s="14">
        <v>0.0</v>
      </c>
      <c r="M1477" s="25"/>
      <c r="N1477" s="26" t="s">
        <v>21</v>
      </c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</row>
    <row r="1478">
      <c r="A1478" s="14" t="s">
        <v>5507</v>
      </c>
      <c r="B1478" s="17" t="s">
        <v>5508</v>
      </c>
      <c r="C1478" s="17" t="s">
        <v>5509</v>
      </c>
      <c r="D1478" s="19" t="s">
        <v>5510</v>
      </c>
      <c r="E1478" s="20" t="s">
        <v>104</v>
      </c>
      <c r="F1478" s="21">
        <v>35189.0</v>
      </c>
      <c r="G1478" s="14">
        <f t="shared" si="1"/>
        <v>30</v>
      </c>
      <c r="H1478" s="23" t="s">
        <v>26</v>
      </c>
      <c r="I1478" s="24" t="s">
        <v>27</v>
      </c>
      <c r="J1478" s="19" t="s">
        <v>95</v>
      </c>
      <c r="K1478" s="14">
        <v>17.0</v>
      </c>
      <c r="L1478" s="14">
        <v>0.0</v>
      </c>
      <c r="M1478" s="25"/>
      <c r="N1478" s="26" t="s">
        <v>21</v>
      </c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</row>
    <row r="1479">
      <c r="A1479" s="14" t="s">
        <v>5511</v>
      </c>
      <c r="B1479" s="17" t="s">
        <v>5508</v>
      </c>
      <c r="C1479" s="17" t="s">
        <v>5512</v>
      </c>
      <c r="D1479" s="19" t="s">
        <v>5513</v>
      </c>
      <c r="E1479" s="20" t="s">
        <v>274</v>
      </c>
      <c r="F1479" s="21">
        <v>33380.0</v>
      </c>
      <c r="G1479" s="14">
        <f t="shared" si="1"/>
        <v>35</v>
      </c>
      <c r="H1479" s="23" t="s">
        <v>26</v>
      </c>
      <c r="I1479" s="24" t="s">
        <v>33</v>
      </c>
      <c r="J1479" s="19" t="s">
        <v>95</v>
      </c>
      <c r="K1479" s="14">
        <v>17.0</v>
      </c>
      <c r="L1479" s="14">
        <v>0.0</v>
      </c>
      <c r="M1479" s="25"/>
      <c r="N1479" s="26" t="s">
        <v>21</v>
      </c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</row>
    <row r="1480">
      <c r="A1480" s="14" t="s">
        <v>5514</v>
      </c>
      <c r="B1480" s="17" t="s">
        <v>5515</v>
      </c>
      <c r="C1480" s="17" t="s">
        <v>5516</v>
      </c>
      <c r="D1480" s="19" t="s">
        <v>5517</v>
      </c>
      <c r="E1480" s="20" t="s">
        <v>1291</v>
      </c>
      <c r="F1480" s="21">
        <v>15342.0</v>
      </c>
      <c r="G1480" s="14">
        <f t="shared" si="1"/>
        <v>84</v>
      </c>
      <c r="H1480" s="23" t="s">
        <v>26</v>
      </c>
      <c r="I1480" s="24" t="s">
        <v>27</v>
      </c>
      <c r="J1480" s="19" t="s">
        <v>328</v>
      </c>
      <c r="K1480" s="14">
        <v>24.0</v>
      </c>
      <c r="L1480" s="14">
        <v>1.0</v>
      </c>
      <c r="M1480" s="25"/>
      <c r="N1480" s="26" t="s">
        <v>21</v>
      </c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</row>
    <row r="1481">
      <c r="A1481" s="14" t="s">
        <v>5518</v>
      </c>
      <c r="B1481" s="17" t="s">
        <v>5515</v>
      </c>
      <c r="C1481" s="17" t="s">
        <v>5519</v>
      </c>
      <c r="D1481" s="19" t="s">
        <v>5520</v>
      </c>
      <c r="E1481" s="20" t="s">
        <v>104</v>
      </c>
      <c r="F1481" s="27">
        <v>32435.0</v>
      </c>
      <c r="G1481" s="14">
        <f t="shared" si="1"/>
        <v>38</v>
      </c>
      <c r="H1481" s="23" t="s">
        <v>100</v>
      </c>
      <c r="I1481" s="24" t="s">
        <v>27</v>
      </c>
      <c r="J1481" s="19" t="s">
        <v>328</v>
      </c>
      <c r="K1481" s="14">
        <v>24.0</v>
      </c>
      <c r="L1481" s="14">
        <v>0.0</v>
      </c>
      <c r="M1481" s="25"/>
      <c r="N1481" s="26" t="s">
        <v>21</v>
      </c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</row>
    <row r="1482">
      <c r="A1482" s="14" t="s">
        <v>5521</v>
      </c>
      <c r="B1482" s="17" t="s">
        <v>5515</v>
      </c>
      <c r="C1482" s="17" t="s">
        <v>5522</v>
      </c>
      <c r="D1482" s="19" t="s">
        <v>5523</v>
      </c>
      <c r="E1482" s="20" t="s">
        <v>1291</v>
      </c>
      <c r="F1482" s="21">
        <v>9133.0</v>
      </c>
      <c r="G1482" s="14">
        <f t="shared" si="1"/>
        <v>101</v>
      </c>
      <c r="H1482" s="23" t="s">
        <v>26</v>
      </c>
      <c r="I1482" s="24" t="s">
        <v>33</v>
      </c>
      <c r="J1482" s="19" t="s">
        <v>328</v>
      </c>
      <c r="K1482" s="14">
        <v>24.0</v>
      </c>
      <c r="L1482" s="14">
        <v>0.0</v>
      </c>
      <c r="M1482" s="25"/>
      <c r="N1482" s="26" t="s">
        <v>21</v>
      </c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</row>
    <row r="1483">
      <c r="A1483" s="14" t="s">
        <v>5524</v>
      </c>
      <c r="B1483" s="17" t="s">
        <v>5525</v>
      </c>
      <c r="C1483" s="17" t="s">
        <v>5526</v>
      </c>
      <c r="D1483" s="19" t="s">
        <v>5527</v>
      </c>
      <c r="E1483" s="20" t="s">
        <v>104</v>
      </c>
      <c r="F1483" s="21">
        <v>32942.0</v>
      </c>
      <c r="G1483" s="14">
        <f t="shared" si="1"/>
        <v>36</v>
      </c>
      <c r="H1483" s="23" t="s">
        <v>26</v>
      </c>
      <c r="I1483" s="24" t="s">
        <v>33</v>
      </c>
      <c r="J1483" s="19" t="s">
        <v>146</v>
      </c>
      <c r="K1483" s="14">
        <v>7.0</v>
      </c>
      <c r="L1483" s="14">
        <v>0.0</v>
      </c>
      <c r="M1483" s="25"/>
      <c r="N1483" s="26" t="s">
        <v>21</v>
      </c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</row>
    <row r="1484">
      <c r="A1484" s="14" t="s">
        <v>5528</v>
      </c>
      <c r="B1484" s="17" t="s">
        <v>5525</v>
      </c>
      <c r="C1484" s="17" t="s">
        <v>5529</v>
      </c>
      <c r="D1484" s="19" t="s">
        <v>5530</v>
      </c>
      <c r="E1484" s="20" t="s">
        <v>5531</v>
      </c>
      <c r="F1484" s="21">
        <v>35574.0</v>
      </c>
      <c r="G1484" s="14">
        <f t="shared" si="1"/>
        <v>29</v>
      </c>
      <c r="H1484" s="23" t="s">
        <v>26</v>
      </c>
      <c r="I1484" s="24" t="s">
        <v>27</v>
      </c>
      <c r="J1484" s="19" t="s">
        <v>146</v>
      </c>
      <c r="K1484" s="14">
        <v>7.0</v>
      </c>
      <c r="L1484" s="14">
        <v>0.0</v>
      </c>
      <c r="M1484" s="25"/>
      <c r="N1484" s="26" t="s">
        <v>21</v>
      </c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</row>
    <row r="1485">
      <c r="A1485" s="14" t="s">
        <v>5532</v>
      </c>
      <c r="B1485" s="17" t="s">
        <v>5533</v>
      </c>
      <c r="C1485" s="17" t="s">
        <v>5534</v>
      </c>
      <c r="D1485" s="19" t="s">
        <v>5535</v>
      </c>
      <c r="E1485" s="20" t="s">
        <v>1816</v>
      </c>
      <c r="F1485" s="21">
        <v>27576.0</v>
      </c>
      <c r="G1485" s="14">
        <f t="shared" si="1"/>
        <v>51</v>
      </c>
      <c r="H1485" s="23" t="s">
        <v>27</v>
      </c>
      <c r="I1485" s="24" t="s">
        <v>33</v>
      </c>
      <c r="J1485" s="19" t="s">
        <v>53</v>
      </c>
      <c r="K1485" s="14">
        <v>28.0</v>
      </c>
      <c r="L1485" s="14">
        <v>0.0</v>
      </c>
      <c r="M1485" s="25"/>
      <c r="N1485" s="26" t="s">
        <v>21</v>
      </c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</row>
    <row r="1486">
      <c r="A1486" s="14" t="s">
        <v>5536</v>
      </c>
      <c r="B1486" s="17" t="s">
        <v>5537</v>
      </c>
      <c r="C1486" s="17" t="s">
        <v>5538</v>
      </c>
      <c r="D1486" s="19" t="s">
        <v>5539</v>
      </c>
      <c r="E1486" s="20" t="s">
        <v>53</v>
      </c>
      <c r="F1486" s="21">
        <v>38990.0</v>
      </c>
      <c r="G1486" s="14">
        <f t="shared" si="1"/>
        <v>20</v>
      </c>
      <c r="H1486" s="23" t="s">
        <v>100</v>
      </c>
      <c r="I1486" s="24" t="s">
        <v>33</v>
      </c>
      <c r="J1486" s="19" t="s">
        <v>156</v>
      </c>
      <c r="K1486" s="14">
        <v>32.0</v>
      </c>
      <c r="L1486" s="14">
        <v>0.0</v>
      </c>
      <c r="M1486" s="25"/>
      <c r="N1486" s="26" t="s">
        <v>21</v>
      </c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</row>
    <row r="1487">
      <c r="A1487" s="14" t="s">
        <v>5540</v>
      </c>
      <c r="B1487" s="17" t="s">
        <v>5537</v>
      </c>
      <c r="C1487" s="17" t="s">
        <v>5541</v>
      </c>
      <c r="D1487" s="19" t="s">
        <v>5542</v>
      </c>
      <c r="E1487" s="20" t="s">
        <v>104</v>
      </c>
      <c r="F1487" s="21">
        <v>30823.0</v>
      </c>
      <c r="G1487" s="14">
        <f t="shared" si="1"/>
        <v>42</v>
      </c>
      <c r="H1487" s="23" t="s">
        <v>27</v>
      </c>
      <c r="I1487" s="24" t="s">
        <v>27</v>
      </c>
      <c r="J1487" s="19" t="s">
        <v>156</v>
      </c>
      <c r="K1487" s="14">
        <v>32.0</v>
      </c>
      <c r="L1487" s="14">
        <v>0.0</v>
      </c>
      <c r="M1487" s="25"/>
      <c r="N1487" s="26" t="s">
        <v>21</v>
      </c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</row>
    <row r="1488">
      <c r="A1488" s="14" t="s">
        <v>5543</v>
      </c>
      <c r="B1488" s="17" t="s">
        <v>5544</v>
      </c>
      <c r="C1488" s="17" t="s">
        <v>5545</v>
      </c>
      <c r="D1488" s="19" t="s">
        <v>5546</v>
      </c>
      <c r="E1488" s="20" t="s">
        <v>138</v>
      </c>
      <c r="F1488" s="21">
        <v>35237.0</v>
      </c>
      <c r="G1488" s="14">
        <f t="shared" si="1"/>
        <v>30</v>
      </c>
      <c r="H1488" s="23" t="s">
        <v>26</v>
      </c>
      <c r="I1488" s="24" t="s">
        <v>27</v>
      </c>
      <c r="J1488" s="19" t="s">
        <v>328</v>
      </c>
      <c r="K1488" s="14">
        <v>22.0</v>
      </c>
      <c r="L1488" s="14">
        <v>0.0</v>
      </c>
      <c r="M1488" s="25"/>
      <c r="N1488" s="26" t="s">
        <v>21</v>
      </c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</row>
    <row r="1489">
      <c r="A1489" s="14" t="s">
        <v>5547</v>
      </c>
      <c r="B1489" s="17" t="s">
        <v>5544</v>
      </c>
      <c r="C1489" s="17" t="s">
        <v>5548</v>
      </c>
      <c r="D1489" s="19" t="s">
        <v>5549</v>
      </c>
      <c r="E1489" s="20" t="s">
        <v>104</v>
      </c>
      <c r="F1489" s="27">
        <v>32791.0</v>
      </c>
      <c r="G1489" s="14">
        <f t="shared" si="1"/>
        <v>37</v>
      </c>
      <c r="H1489" s="23" t="s">
        <v>26</v>
      </c>
      <c r="I1489" s="24" t="s">
        <v>33</v>
      </c>
      <c r="J1489" s="19" t="s">
        <v>328</v>
      </c>
      <c r="K1489" s="14">
        <v>22.0</v>
      </c>
      <c r="L1489" s="14">
        <v>0.0</v>
      </c>
      <c r="M1489" s="25"/>
      <c r="N1489" s="26" t="s">
        <v>21</v>
      </c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</row>
    <row r="1490">
      <c r="A1490" s="14" t="s">
        <v>5550</v>
      </c>
      <c r="B1490" s="17" t="s">
        <v>5551</v>
      </c>
      <c r="C1490" s="17" t="s">
        <v>5552</v>
      </c>
      <c r="D1490" s="19" t="s">
        <v>5553</v>
      </c>
      <c r="E1490" s="20" t="s">
        <v>104</v>
      </c>
      <c r="F1490" s="21">
        <v>29273.0</v>
      </c>
      <c r="G1490" s="14">
        <f t="shared" si="1"/>
        <v>46</v>
      </c>
      <c r="H1490" s="23" t="s">
        <v>26</v>
      </c>
      <c r="I1490" s="24" t="s">
        <v>33</v>
      </c>
      <c r="J1490" s="19" t="s">
        <v>362</v>
      </c>
      <c r="K1490" s="14">
        <v>20.0</v>
      </c>
      <c r="L1490" s="14">
        <v>0.0</v>
      </c>
      <c r="M1490" s="25"/>
      <c r="N1490" s="26" t="s">
        <v>21</v>
      </c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</row>
    <row r="1491">
      <c r="A1491" s="14" t="s">
        <v>5554</v>
      </c>
      <c r="B1491" s="17" t="s">
        <v>5551</v>
      </c>
      <c r="C1491" s="17" t="s">
        <v>5555</v>
      </c>
      <c r="D1491" s="19" t="s">
        <v>5556</v>
      </c>
      <c r="E1491" s="20" t="s">
        <v>3295</v>
      </c>
      <c r="F1491" s="21">
        <v>38993.0</v>
      </c>
      <c r="G1491" s="14">
        <f t="shared" si="1"/>
        <v>20</v>
      </c>
      <c r="H1491" s="23" t="s">
        <v>100</v>
      </c>
      <c r="I1491" s="24" t="s">
        <v>33</v>
      </c>
      <c r="J1491" s="19" t="s">
        <v>362</v>
      </c>
      <c r="K1491" s="14">
        <v>20.0</v>
      </c>
      <c r="L1491" s="14">
        <v>0.0</v>
      </c>
      <c r="M1491" s="25"/>
      <c r="N1491" s="26" t="s">
        <v>21</v>
      </c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</row>
    <row r="1492">
      <c r="A1492" s="14" t="s">
        <v>5557</v>
      </c>
      <c r="B1492" s="17" t="s">
        <v>5551</v>
      </c>
      <c r="C1492" s="17" t="s">
        <v>5558</v>
      </c>
      <c r="D1492" s="19" t="s">
        <v>5559</v>
      </c>
      <c r="E1492" s="20" t="s">
        <v>104</v>
      </c>
      <c r="F1492" s="21">
        <v>32728.0</v>
      </c>
      <c r="G1492" s="14">
        <f t="shared" si="1"/>
        <v>37</v>
      </c>
      <c r="H1492" s="23" t="s">
        <v>26</v>
      </c>
      <c r="I1492" s="24" t="s">
        <v>27</v>
      </c>
      <c r="J1492" s="19" t="s">
        <v>362</v>
      </c>
      <c r="K1492" s="14">
        <v>20.0</v>
      </c>
      <c r="L1492" s="14">
        <v>0.0</v>
      </c>
      <c r="M1492" s="25"/>
      <c r="N1492" s="26" t="s">
        <v>21</v>
      </c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</row>
    <row r="1493">
      <c r="A1493" s="14" t="s">
        <v>5560</v>
      </c>
      <c r="B1493" s="17" t="s">
        <v>5561</v>
      </c>
      <c r="C1493" s="17" t="s">
        <v>5562</v>
      </c>
      <c r="D1493" s="19" t="s">
        <v>5563</v>
      </c>
      <c r="E1493" s="20" t="s">
        <v>53</v>
      </c>
      <c r="F1493" s="21">
        <v>34520.0</v>
      </c>
      <c r="G1493" s="14">
        <f t="shared" si="1"/>
        <v>32</v>
      </c>
      <c r="H1493" s="23" t="s">
        <v>26</v>
      </c>
      <c r="I1493" s="24" t="s">
        <v>27</v>
      </c>
      <c r="J1493" s="19" t="s">
        <v>282</v>
      </c>
      <c r="K1493" s="14">
        <v>17.0</v>
      </c>
      <c r="L1493" s="14">
        <v>0.0</v>
      </c>
      <c r="M1493" s="25"/>
      <c r="N1493" s="26" t="s">
        <v>21</v>
      </c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</row>
    <row r="1494">
      <c r="A1494" s="14" t="s">
        <v>5564</v>
      </c>
      <c r="B1494" s="17" t="s">
        <v>5561</v>
      </c>
      <c r="C1494" s="17" t="s">
        <v>5565</v>
      </c>
      <c r="D1494" s="19" t="s">
        <v>5566</v>
      </c>
      <c r="E1494" s="20" t="s">
        <v>337</v>
      </c>
      <c r="F1494" s="21">
        <v>33268.0</v>
      </c>
      <c r="G1494" s="14">
        <f t="shared" si="1"/>
        <v>35</v>
      </c>
      <c r="H1494" s="23" t="s">
        <v>26</v>
      </c>
      <c r="I1494" s="24" t="s">
        <v>33</v>
      </c>
      <c r="J1494" s="19" t="s">
        <v>282</v>
      </c>
      <c r="K1494" s="14">
        <v>17.0</v>
      </c>
      <c r="L1494" s="14">
        <v>0.0</v>
      </c>
      <c r="M1494" s="25"/>
      <c r="N1494" s="26" t="s">
        <v>21</v>
      </c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</row>
    <row r="1495">
      <c r="A1495" s="14" t="s">
        <v>5567</v>
      </c>
      <c r="B1495" s="17" t="s">
        <v>5568</v>
      </c>
      <c r="C1495" s="17" t="s">
        <v>5569</v>
      </c>
      <c r="D1495" s="19" t="s">
        <v>2199</v>
      </c>
      <c r="E1495" s="20" t="s">
        <v>5570</v>
      </c>
      <c r="F1495" s="21">
        <v>33100.0</v>
      </c>
      <c r="G1495" s="14">
        <f t="shared" si="1"/>
        <v>36</v>
      </c>
      <c r="H1495" s="23" t="s">
        <v>26</v>
      </c>
      <c r="I1495" s="24" t="s">
        <v>33</v>
      </c>
      <c r="J1495" s="19" t="s">
        <v>282</v>
      </c>
      <c r="K1495" s="14">
        <v>17.0</v>
      </c>
      <c r="L1495" s="14">
        <v>0.0</v>
      </c>
      <c r="M1495" s="25"/>
      <c r="N1495" s="26" t="s">
        <v>21</v>
      </c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</row>
    <row r="1496">
      <c r="A1496" s="14" t="s">
        <v>5571</v>
      </c>
      <c r="B1496" s="17" t="s">
        <v>5568</v>
      </c>
      <c r="C1496" s="17" t="s">
        <v>5572</v>
      </c>
      <c r="D1496" s="19" t="s">
        <v>5573</v>
      </c>
      <c r="E1496" s="20" t="s">
        <v>53</v>
      </c>
      <c r="F1496" s="21">
        <v>35377.0</v>
      </c>
      <c r="G1496" s="14">
        <f t="shared" si="1"/>
        <v>29</v>
      </c>
      <c r="H1496" s="23" t="s">
        <v>26</v>
      </c>
      <c r="I1496" s="24" t="s">
        <v>27</v>
      </c>
      <c r="J1496" s="19" t="s">
        <v>282</v>
      </c>
      <c r="K1496" s="14">
        <v>17.0</v>
      </c>
      <c r="L1496" s="14">
        <v>0.0</v>
      </c>
      <c r="M1496" s="25"/>
      <c r="N1496" s="26" t="s">
        <v>21</v>
      </c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</row>
    <row r="1497">
      <c r="A1497" s="14" t="s">
        <v>5574</v>
      </c>
      <c r="B1497" s="17" t="s">
        <v>5575</v>
      </c>
      <c r="C1497" s="17" t="s">
        <v>5576</v>
      </c>
      <c r="D1497" s="19" t="s">
        <v>5577</v>
      </c>
      <c r="E1497" s="20" t="s">
        <v>5578</v>
      </c>
      <c r="F1497" s="21">
        <v>26895.0</v>
      </c>
      <c r="G1497" s="14">
        <f t="shared" si="1"/>
        <v>53</v>
      </c>
      <c r="H1497" s="23" t="s">
        <v>26</v>
      </c>
      <c r="I1497" s="24" t="s">
        <v>33</v>
      </c>
      <c r="J1497" s="19" t="s">
        <v>68</v>
      </c>
      <c r="K1497" s="14">
        <v>29.0</v>
      </c>
      <c r="L1497" s="14">
        <v>0.0</v>
      </c>
      <c r="M1497" s="25"/>
      <c r="N1497" s="26" t="s">
        <v>21</v>
      </c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</row>
    <row r="1498">
      <c r="A1498" s="14" t="s">
        <v>5579</v>
      </c>
      <c r="B1498" s="17" t="s">
        <v>5575</v>
      </c>
      <c r="C1498" s="17" t="s">
        <v>5580</v>
      </c>
      <c r="D1498" s="19" t="s">
        <v>5581</v>
      </c>
      <c r="E1498" s="20" t="s">
        <v>104</v>
      </c>
      <c r="F1498" s="21">
        <v>30149.0</v>
      </c>
      <c r="G1498" s="14">
        <f t="shared" si="1"/>
        <v>44</v>
      </c>
      <c r="H1498" s="23" t="s">
        <v>26</v>
      </c>
      <c r="I1498" s="24" t="s">
        <v>27</v>
      </c>
      <c r="J1498" s="19" t="s">
        <v>68</v>
      </c>
      <c r="K1498" s="14">
        <v>29.0</v>
      </c>
      <c r="L1498" s="14">
        <v>5.0</v>
      </c>
      <c r="M1498" s="25"/>
      <c r="N1498" s="26" t="s">
        <v>21</v>
      </c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</row>
    <row r="1499">
      <c r="A1499" s="14" t="s">
        <v>5582</v>
      </c>
      <c r="B1499" s="17" t="s">
        <v>5583</v>
      </c>
      <c r="C1499" s="17" t="s">
        <v>5584</v>
      </c>
      <c r="D1499" s="19" t="s">
        <v>5585</v>
      </c>
      <c r="E1499" s="20" t="s">
        <v>5586</v>
      </c>
      <c r="F1499" s="21">
        <v>20479.0</v>
      </c>
      <c r="G1499" s="14">
        <f t="shared" si="1"/>
        <v>70</v>
      </c>
      <c r="H1499" s="23" t="s">
        <v>27</v>
      </c>
      <c r="I1499" s="24" t="s">
        <v>27</v>
      </c>
      <c r="J1499" s="19" t="s">
        <v>156</v>
      </c>
      <c r="K1499" s="14">
        <v>28.0</v>
      </c>
      <c r="L1499" s="14">
        <v>0.0</v>
      </c>
      <c r="M1499" s="25"/>
      <c r="N1499" s="26" t="s">
        <v>21</v>
      </c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</row>
    <row r="1500">
      <c r="A1500" s="14" t="s">
        <v>5587</v>
      </c>
      <c r="B1500" s="17" t="s">
        <v>5588</v>
      </c>
      <c r="C1500" s="17" t="s">
        <v>5589</v>
      </c>
      <c r="D1500" s="19" t="s">
        <v>5590</v>
      </c>
      <c r="E1500" s="20" t="s">
        <v>5591</v>
      </c>
      <c r="F1500" s="21">
        <v>28978.0</v>
      </c>
      <c r="G1500" s="14">
        <f t="shared" si="1"/>
        <v>47</v>
      </c>
      <c r="H1500" s="23" t="s">
        <v>27</v>
      </c>
      <c r="I1500" s="24" t="s">
        <v>27</v>
      </c>
      <c r="J1500" s="19" t="s">
        <v>53</v>
      </c>
      <c r="K1500" s="14">
        <v>5.0</v>
      </c>
      <c r="L1500" s="14">
        <v>0.0</v>
      </c>
      <c r="M1500" s="25"/>
      <c r="N1500" s="26" t="s">
        <v>21</v>
      </c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</row>
    <row r="1501">
      <c r="A1501" s="14" t="s">
        <v>5592</v>
      </c>
      <c r="B1501" s="17" t="s">
        <v>5593</v>
      </c>
      <c r="C1501" s="17" t="s">
        <v>5594</v>
      </c>
      <c r="D1501" s="19" t="s">
        <v>1053</v>
      </c>
      <c r="E1501" s="20" t="s">
        <v>104</v>
      </c>
      <c r="F1501" s="21">
        <v>28008.0</v>
      </c>
      <c r="G1501" s="14">
        <f t="shared" si="1"/>
        <v>50</v>
      </c>
      <c r="H1501" s="23" t="s">
        <v>27</v>
      </c>
      <c r="I1501" s="24" t="s">
        <v>27</v>
      </c>
      <c r="J1501" s="19" t="s">
        <v>58</v>
      </c>
      <c r="K1501" s="14">
        <v>36.0</v>
      </c>
      <c r="L1501" s="14">
        <v>5.0</v>
      </c>
      <c r="M1501" s="25"/>
      <c r="N1501" s="26" t="s">
        <v>21</v>
      </c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</row>
    <row r="1502">
      <c r="A1502" s="14" t="s">
        <v>5595</v>
      </c>
      <c r="B1502" s="17" t="s">
        <v>5596</v>
      </c>
      <c r="C1502" s="17" t="s">
        <v>5597</v>
      </c>
      <c r="D1502" s="19" t="s">
        <v>5598</v>
      </c>
      <c r="E1502" s="20" t="s">
        <v>53</v>
      </c>
      <c r="F1502" s="21">
        <v>33858.0</v>
      </c>
      <c r="G1502" s="14">
        <f t="shared" si="1"/>
        <v>34</v>
      </c>
      <c r="H1502" s="23" t="s">
        <v>26</v>
      </c>
      <c r="I1502" s="24" t="s">
        <v>33</v>
      </c>
      <c r="J1502" s="19" t="s">
        <v>726</v>
      </c>
      <c r="K1502" s="14">
        <v>17.0</v>
      </c>
      <c r="L1502" s="14">
        <v>0.0</v>
      </c>
      <c r="M1502" s="25"/>
      <c r="N1502" s="26" t="s">
        <v>21</v>
      </c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</row>
    <row r="1503">
      <c r="A1503" s="14" t="s">
        <v>5599</v>
      </c>
      <c r="B1503" s="17" t="s">
        <v>5596</v>
      </c>
      <c r="C1503" s="17" t="s">
        <v>5600</v>
      </c>
      <c r="D1503" s="19" t="s">
        <v>5601</v>
      </c>
      <c r="E1503" s="20" t="s">
        <v>53</v>
      </c>
      <c r="F1503" s="21">
        <v>33021.0</v>
      </c>
      <c r="G1503" s="14">
        <f t="shared" si="1"/>
        <v>36</v>
      </c>
      <c r="H1503" s="23" t="s">
        <v>26</v>
      </c>
      <c r="I1503" s="24" t="s">
        <v>27</v>
      </c>
      <c r="J1503" s="19" t="s">
        <v>726</v>
      </c>
      <c r="K1503" s="14">
        <v>17.0</v>
      </c>
      <c r="L1503" s="14">
        <v>0.0</v>
      </c>
      <c r="M1503" s="25"/>
      <c r="N1503" s="26" t="s">
        <v>21</v>
      </c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</row>
    <row r="1504">
      <c r="A1504" s="14" t="s">
        <v>5602</v>
      </c>
      <c r="B1504" s="17" t="s">
        <v>5603</v>
      </c>
      <c r="C1504" s="17" t="s">
        <v>5604</v>
      </c>
      <c r="D1504" s="19" t="s">
        <v>5605</v>
      </c>
      <c r="E1504" s="20" t="s">
        <v>1038</v>
      </c>
      <c r="F1504" s="21">
        <v>18368.0</v>
      </c>
      <c r="G1504" s="14">
        <f t="shared" si="1"/>
        <v>76</v>
      </c>
      <c r="H1504" s="23" t="s">
        <v>26</v>
      </c>
      <c r="I1504" s="24" t="s">
        <v>33</v>
      </c>
      <c r="J1504" s="19" t="s">
        <v>68</v>
      </c>
      <c r="K1504" s="14">
        <v>35.0</v>
      </c>
      <c r="L1504" s="14">
        <v>0.0</v>
      </c>
      <c r="M1504" s="25"/>
      <c r="N1504" s="26" t="s">
        <v>21</v>
      </c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</row>
    <row r="1505">
      <c r="A1505" s="14" t="s">
        <v>5606</v>
      </c>
      <c r="B1505" s="17" t="s">
        <v>5603</v>
      </c>
      <c r="C1505" s="17" t="s">
        <v>5607</v>
      </c>
      <c r="D1505" s="19" t="s">
        <v>3966</v>
      </c>
      <c r="E1505" s="20" t="s">
        <v>1038</v>
      </c>
      <c r="F1505" s="21">
        <v>20625.0</v>
      </c>
      <c r="G1505" s="14">
        <f t="shared" si="1"/>
        <v>70</v>
      </c>
      <c r="H1505" s="23" t="s">
        <v>26</v>
      </c>
      <c r="I1505" s="24" t="s">
        <v>27</v>
      </c>
      <c r="J1505" s="19" t="s">
        <v>68</v>
      </c>
      <c r="K1505" s="14">
        <v>35.0</v>
      </c>
      <c r="L1505" s="14">
        <v>0.0</v>
      </c>
      <c r="M1505" s="25"/>
      <c r="N1505" s="26" t="s">
        <v>21</v>
      </c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</row>
    <row r="1506">
      <c r="A1506" s="14" t="s">
        <v>5608</v>
      </c>
      <c r="B1506" s="17" t="s">
        <v>5609</v>
      </c>
      <c r="C1506" s="17" t="s">
        <v>5610</v>
      </c>
      <c r="D1506" s="19" t="s">
        <v>5611</v>
      </c>
      <c r="E1506" s="20" t="s">
        <v>138</v>
      </c>
      <c r="F1506" s="21">
        <v>37709.0</v>
      </c>
      <c r="G1506" s="14">
        <f t="shared" si="1"/>
        <v>23</v>
      </c>
      <c r="H1506" s="23" t="s">
        <v>100</v>
      </c>
      <c r="I1506" s="24" t="s">
        <v>33</v>
      </c>
      <c r="J1506" s="19" t="s">
        <v>68</v>
      </c>
      <c r="K1506" s="14">
        <v>34.0</v>
      </c>
      <c r="L1506" s="14">
        <v>0.0</v>
      </c>
      <c r="M1506" s="25"/>
      <c r="N1506" s="26" t="s">
        <v>21</v>
      </c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</row>
    <row r="1507">
      <c r="A1507" s="14" t="s">
        <v>5612</v>
      </c>
      <c r="B1507" s="17" t="s">
        <v>5609</v>
      </c>
      <c r="C1507" s="17" t="s">
        <v>5613</v>
      </c>
      <c r="D1507" s="19" t="s">
        <v>5614</v>
      </c>
      <c r="E1507" s="20" t="s">
        <v>67</v>
      </c>
      <c r="F1507" s="21">
        <v>25178.0</v>
      </c>
      <c r="G1507" s="14">
        <f t="shared" si="1"/>
        <v>57</v>
      </c>
      <c r="H1507" s="23" t="s">
        <v>26</v>
      </c>
      <c r="I1507" s="24" t="s">
        <v>27</v>
      </c>
      <c r="J1507" s="19" t="s">
        <v>68</v>
      </c>
      <c r="K1507" s="14">
        <v>34.0</v>
      </c>
      <c r="L1507" s="14">
        <v>0.0</v>
      </c>
      <c r="M1507" s="25"/>
      <c r="N1507" s="26" t="s">
        <v>21</v>
      </c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</row>
    <row r="1508">
      <c r="A1508" s="14" t="s">
        <v>5615</v>
      </c>
      <c r="B1508" s="17" t="s">
        <v>5609</v>
      </c>
      <c r="C1508" s="17" t="s">
        <v>5616</v>
      </c>
      <c r="D1508" s="19" t="s">
        <v>5617</v>
      </c>
      <c r="E1508" s="20" t="s">
        <v>67</v>
      </c>
      <c r="F1508" s="21">
        <v>20101.0</v>
      </c>
      <c r="G1508" s="14">
        <f t="shared" si="1"/>
        <v>71</v>
      </c>
      <c r="H1508" s="23" t="s">
        <v>26</v>
      </c>
      <c r="I1508" s="24" t="s">
        <v>33</v>
      </c>
      <c r="J1508" s="19" t="s">
        <v>68</v>
      </c>
      <c r="K1508" s="14">
        <v>34.0</v>
      </c>
      <c r="L1508" s="14">
        <v>0.0</v>
      </c>
      <c r="M1508" s="25"/>
      <c r="N1508" s="26" t="s">
        <v>21</v>
      </c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</row>
    <row r="1509">
      <c r="A1509" s="14" t="s">
        <v>5618</v>
      </c>
      <c r="B1509" s="17" t="s">
        <v>5609</v>
      </c>
      <c r="C1509" s="17" t="s">
        <v>5619</v>
      </c>
      <c r="D1509" s="19" t="s">
        <v>5620</v>
      </c>
      <c r="E1509" s="20" t="s">
        <v>104</v>
      </c>
      <c r="F1509" s="21">
        <v>38589.0</v>
      </c>
      <c r="G1509" s="14">
        <f t="shared" si="1"/>
        <v>21</v>
      </c>
      <c r="H1509" s="23" t="s">
        <v>100</v>
      </c>
      <c r="I1509" s="24" t="s">
        <v>33</v>
      </c>
      <c r="J1509" s="19" t="s">
        <v>68</v>
      </c>
      <c r="K1509" s="14">
        <v>34.0</v>
      </c>
      <c r="L1509" s="14">
        <v>0.0</v>
      </c>
      <c r="M1509" s="25"/>
      <c r="N1509" s="26" t="s">
        <v>21</v>
      </c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</row>
    <row r="1510">
      <c r="A1510" s="14" t="s">
        <v>5621</v>
      </c>
      <c r="B1510" s="17" t="s">
        <v>5622</v>
      </c>
      <c r="C1510" s="17" t="s">
        <v>5623</v>
      </c>
      <c r="D1510" s="19" t="s">
        <v>5624</v>
      </c>
      <c r="E1510" s="20" t="s">
        <v>104</v>
      </c>
      <c r="F1510" s="21">
        <v>31872.0</v>
      </c>
      <c r="G1510" s="14">
        <f t="shared" si="1"/>
        <v>39</v>
      </c>
      <c r="H1510" s="23" t="s">
        <v>26</v>
      </c>
      <c r="I1510" s="24" t="s">
        <v>33</v>
      </c>
      <c r="J1510" s="19" t="s">
        <v>726</v>
      </c>
      <c r="K1510" s="14">
        <v>12.0</v>
      </c>
      <c r="L1510" s="14">
        <v>0.0</v>
      </c>
      <c r="M1510" s="25"/>
      <c r="N1510" s="26" t="s">
        <v>21</v>
      </c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</row>
    <row r="1511">
      <c r="A1511" s="14" t="s">
        <v>5625</v>
      </c>
      <c r="B1511" s="17" t="s">
        <v>5622</v>
      </c>
      <c r="C1511" s="17" t="s">
        <v>5626</v>
      </c>
      <c r="D1511" s="19" t="s">
        <v>5627</v>
      </c>
      <c r="E1511" s="20" t="s">
        <v>53</v>
      </c>
      <c r="F1511" s="27">
        <v>33205.0</v>
      </c>
      <c r="G1511" s="14">
        <f t="shared" si="1"/>
        <v>35</v>
      </c>
      <c r="H1511" s="23" t="s">
        <v>26</v>
      </c>
      <c r="I1511" s="24" t="s">
        <v>27</v>
      </c>
      <c r="J1511" s="19" t="s">
        <v>726</v>
      </c>
      <c r="K1511" s="14">
        <v>12.0</v>
      </c>
      <c r="L1511" s="14">
        <v>0.0</v>
      </c>
      <c r="M1511" s="25"/>
      <c r="N1511" s="26" t="s">
        <v>21</v>
      </c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</row>
    <row r="1512">
      <c r="A1512" s="14" t="s">
        <v>5628</v>
      </c>
      <c r="B1512" s="17" t="s">
        <v>5629</v>
      </c>
      <c r="C1512" s="17" t="s">
        <v>5630</v>
      </c>
      <c r="D1512" s="19" t="s">
        <v>5631</v>
      </c>
      <c r="E1512" s="20" t="s">
        <v>104</v>
      </c>
      <c r="F1512" s="21">
        <v>33974.0</v>
      </c>
      <c r="G1512" s="14">
        <f t="shared" si="1"/>
        <v>33</v>
      </c>
      <c r="H1512" s="23" t="s">
        <v>26</v>
      </c>
      <c r="I1512" s="24" t="s">
        <v>33</v>
      </c>
      <c r="J1512" s="19" t="s">
        <v>206</v>
      </c>
      <c r="K1512" s="14">
        <v>2.0</v>
      </c>
      <c r="L1512" s="14">
        <v>0.0</v>
      </c>
      <c r="M1512" s="25"/>
      <c r="N1512" s="26" t="s">
        <v>21</v>
      </c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</row>
    <row r="1513">
      <c r="A1513" s="14" t="s">
        <v>5632</v>
      </c>
      <c r="B1513" s="17" t="s">
        <v>5629</v>
      </c>
      <c r="C1513" s="17" t="s">
        <v>5633</v>
      </c>
      <c r="D1513" s="19" t="s">
        <v>5634</v>
      </c>
      <c r="E1513" s="20" t="s">
        <v>104</v>
      </c>
      <c r="F1513" s="21">
        <v>36360.0</v>
      </c>
      <c r="G1513" s="14">
        <f t="shared" si="1"/>
        <v>27</v>
      </c>
      <c r="H1513" s="23" t="s">
        <v>26</v>
      </c>
      <c r="I1513" s="24" t="s">
        <v>27</v>
      </c>
      <c r="J1513" s="19" t="s">
        <v>206</v>
      </c>
      <c r="K1513" s="14">
        <v>2.0</v>
      </c>
      <c r="L1513" s="14">
        <v>0.0</v>
      </c>
      <c r="M1513" s="25"/>
      <c r="N1513" s="26" t="s">
        <v>21</v>
      </c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</row>
    <row r="1514">
      <c r="A1514" s="14" t="s">
        <v>5635</v>
      </c>
      <c r="B1514" s="17" t="s">
        <v>5636</v>
      </c>
      <c r="C1514" s="17" t="s">
        <v>5637</v>
      </c>
      <c r="D1514" s="19" t="s">
        <v>5638</v>
      </c>
      <c r="E1514" s="20" t="s">
        <v>5639</v>
      </c>
      <c r="F1514" s="21">
        <v>24992.0</v>
      </c>
      <c r="G1514" s="14">
        <f t="shared" si="1"/>
        <v>58</v>
      </c>
      <c r="H1514" s="23" t="s">
        <v>26</v>
      </c>
      <c r="I1514" s="24" t="s">
        <v>33</v>
      </c>
      <c r="J1514" s="19" t="s">
        <v>68</v>
      </c>
      <c r="K1514" s="14">
        <v>35.0</v>
      </c>
      <c r="L1514" s="14">
        <v>0.0</v>
      </c>
      <c r="M1514" s="25"/>
      <c r="N1514" s="26" t="s">
        <v>21</v>
      </c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</row>
    <row r="1515">
      <c r="A1515" s="14" t="s">
        <v>5640</v>
      </c>
      <c r="B1515" s="17" t="s">
        <v>5636</v>
      </c>
      <c r="C1515" s="17" t="s">
        <v>5641</v>
      </c>
      <c r="D1515" s="19" t="s">
        <v>5642</v>
      </c>
      <c r="E1515" s="20" t="s">
        <v>1291</v>
      </c>
      <c r="F1515" s="21">
        <v>27152.0</v>
      </c>
      <c r="G1515" s="14">
        <f t="shared" si="1"/>
        <v>52</v>
      </c>
      <c r="H1515" s="23" t="s">
        <v>26</v>
      </c>
      <c r="I1515" s="24" t="s">
        <v>27</v>
      </c>
      <c r="J1515" s="19" t="s">
        <v>68</v>
      </c>
      <c r="K1515" s="14">
        <v>35.0</v>
      </c>
      <c r="L1515" s="14">
        <v>0.0</v>
      </c>
      <c r="M1515" s="25"/>
      <c r="N1515" s="26" t="s">
        <v>21</v>
      </c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</row>
    <row r="1516">
      <c r="A1516" s="14" t="s">
        <v>5643</v>
      </c>
      <c r="B1516" s="17" t="s">
        <v>5644</v>
      </c>
      <c r="C1516" s="17" t="s">
        <v>5645</v>
      </c>
      <c r="D1516" s="19" t="s">
        <v>5646</v>
      </c>
      <c r="E1516" s="20" t="s">
        <v>219</v>
      </c>
      <c r="F1516" s="21">
        <v>29533.0</v>
      </c>
      <c r="G1516" s="14">
        <f t="shared" si="1"/>
        <v>45</v>
      </c>
      <c r="H1516" s="23" t="s">
        <v>26</v>
      </c>
      <c r="I1516" s="24" t="s">
        <v>33</v>
      </c>
      <c r="J1516" s="19" t="s">
        <v>1156</v>
      </c>
      <c r="K1516" s="14">
        <v>20.0</v>
      </c>
      <c r="L1516" s="14">
        <v>0.0</v>
      </c>
      <c r="M1516" s="25"/>
      <c r="N1516" s="26" t="s">
        <v>21</v>
      </c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</row>
    <row r="1517">
      <c r="A1517" s="14" t="s">
        <v>5647</v>
      </c>
      <c r="B1517" s="17" t="s">
        <v>5644</v>
      </c>
      <c r="C1517" s="17" t="s">
        <v>5648</v>
      </c>
      <c r="D1517" s="19" t="s">
        <v>5649</v>
      </c>
      <c r="E1517" s="20" t="s">
        <v>104</v>
      </c>
      <c r="F1517" s="21">
        <v>31250.0</v>
      </c>
      <c r="G1517" s="14">
        <f t="shared" si="1"/>
        <v>41</v>
      </c>
      <c r="H1517" s="23" t="s">
        <v>26</v>
      </c>
      <c r="I1517" s="24" t="s">
        <v>27</v>
      </c>
      <c r="J1517" s="19" t="s">
        <v>1156</v>
      </c>
      <c r="K1517" s="14">
        <v>20.0</v>
      </c>
      <c r="L1517" s="14">
        <v>0.0</v>
      </c>
      <c r="M1517" s="25"/>
      <c r="N1517" s="26" t="s">
        <v>21</v>
      </c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</row>
    <row r="1518">
      <c r="A1518" s="14" t="s">
        <v>5650</v>
      </c>
      <c r="B1518" s="17" t="s">
        <v>5644</v>
      </c>
      <c r="C1518" s="17" t="s">
        <v>5651</v>
      </c>
      <c r="D1518" s="19" t="s">
        <v>5652</v>
      </c>
      <c r="E1518" s="20" t="s">
        <v>104</v>
      </c>
      <c r="F1518" s="21">
        <v>38694.0</v>
      </c>
      <c r="G1518" s="14">
        <f t="shared" si="1"/>
        <v>20</v>
      </c>
      <c r="H1518" s="23" t="s">
        <v>100</v>
      </c>
      <c r="I1518" s="24" t="s">
        <v>33</v>
      </c>
      <c r="J1518" s="19" t="s">
        <v>1156</v>
      </c>
      <c r="K1518" s="14">
        <v>20.0</v>
      </c>
      <c r="L1518" s="14">
        <v>0.0</v>
      </c>
      <c r="M1518" s="25"/>
      <c r="N1518" s="26" t="s">
        <v>21</v>
      </c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</row>
    <row r="1519">
      <c r="A1519" s="14" t="s">
        <v>5653</v>
      </c>
      <c r="B1519" s="17" t="s">
        <v>5654</v>
      </c>
      <c r="C1519" s="17" t="s">
        <v>5655</v>
      </c>
      <c r="D1519" s="19" t="s">
        <v>1308</v>
      </c>
      <c r="E1519" s="20" t="s">
        <v>104</v>
      </c>
      <c r="F1519" s="21">
        <v>29436.0</v>
      </c>
      <c r="G1519" s="14">
        <f t="shared" si="1"/>
        <v>46</v>
      </c>
      <c r="H1519" s="23" t="s">
        <v>26</v>
      </c>
      <c r="I1519" s="24" t="s">
        <v>33</v>
      </c>
      <c r="J1519" s="19" t="s">
        <v>58</v>
      </c>
      <c r="K1519" s="14">
        <v>8.0</v>
      </c>
      <c r="L1519" s="14">
        <v>0.0</v>
      </c>
      <c r="M1519" s="25"/>
      <c r="N1519" s="26" t="s">
        <v>21</v>
      </c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</row>
    <row r="1520">
      <c r="A1520" s="14" t="s">
        <v>5656</v>
      </c>
      <c r="B1520" s="17" t="s">
        <v>5654</v>
      </c>
      <c r="C1520" s="17" t="s">
        <v>5657</v>
      </c>
      <c r="D1520" s="19" t="s">
        <v>1549</v>
      </c>
      <c r="E1520" s="20" t="s">
        <v>104</v>
      </c>
      <c r="F1520" s="27">
        <v>32854.0</v>
      </c>
      <c r="G1520" s="14">
        <f t="shared" si="1"/>
        <v>36</v>
      </c>
      <c r="H1520" s="23" t="s">
        <v>26</v>
      </c>
      <c r="I1520" s="24" t="s">
        <v>27</v>
      </c>
      <c r="J1520" s="19" t="s">
        <v>58</v>
      </c>
      <c r="K1520" s="14">
        <v>8.0</v>
      </c>
      <c r="L1520" s="14">
        <v>0.0</v>
      </c>
      <c r="M1520" s="25"/>
      <c r="N1520" s="26" t="s">
        <v>21</v>
      </c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</row>
    <row r="1521">
      <c r="A1521" s="14" t="s">
        <v>5658</v>
      </c>
      <c r="B1521" s="17" t="s">
        <v>5659</v>
      </c>
      <c r="C1521" s="17" t="s">
        <v>5660</v>
      </c>
      <c r="D1521" s="19" t="s">
        <v>5661</v>
      </c>
      <c r="E1521" s="20" t="s">
        <v>104</v>
      </c>
      <c r="F1521" s="21">
        <v>29346.0</v>
      </c>
      <c r="G1521" s="14">
        <f t="shared" si="1"/>
        <v>46</v>
      </c>
      <c r="H1521" s="23" t="s">
        <v>26</v>
      </c>
      <c r="I1521" s="24" t="s">
        <v>27</v>
      </c>
      <c r="J1521" s="19" t="s">
        <v>68</v>
      </c>
      <c r="K1521" s="14">
        <v>34.0</v>
      </c>
      <c r="L1521" s="14">
        <v>0.0</v>
      </c>
      <c r="M1521" s="25"/>
      <c r="N1521" s="26" t="s">
        <v>21</v>
      </c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</row>
    <row r="1522">
      <c r="A1522" s="14" t="s">
        <v>5662</v>
      </c>
      <c r="B1522" s="17" t="s">
        <v>5659</v>
      </c>
      <c r="C1522" s="17" t="s">
        <v>5663</v>
      </c>
      <c r="D1522" s="19" t="s">
        <v>5664</v>
      </c>
      <c r="E1522" s="20" t="s">
        <v>654</v>
      </c>
      <c r="F1522" s="21">
        <v>27772.0</v>
      </c>
      <c r="G1522" s="14">
        <f t="shared" si="1"/>
        <v>50</v>
      </c>
      <c r="H1522" s="23" t="s">
        <v>26</v>
      </c>
      <c r="I1522" s="24" t="s">
        <v>33</v>
      </c>
      <c r="J1522" s="19" t="s">
        <v>68</v>
      </c>
      <c r="K1522" s="14">
        <v>34.0</v>
      </c>
      <c r="L1522" s="14">
        <v>0.0</v>
      </c>
      <c r="M1522" s="25"/>
      <c r="N1522" s="26" t="s">
        <v>21</v>
      </c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</row>
    <row r="1523">
      <c r="A1523" s="14" t="s">
        <v>5665</v>
      </c>
      <c r="B1523" s="17" t="s">
        <v>5666</v>
      </c>
      <c r="C1523" s="17" t="s">
        <v>5667</v>
      </c>
      <c r="D1523" s="19" t="s">
        <v>3033</v>
      </c>
      <c r="E1523" s="20" t="s">
        <v>138</v>
      </c>
      <c r="F1523" s="21">
        <v>36294.0</v>
      </c>
      <c r="G1523" s="14">
        <f t="shared" si="1"/>
        <v>27</v>
      </c>
      <c r="H1523" s="23" t="s">
        <v>26</v>
      </c>
      <c r="I1523" s="24" t="s">
        <v>27</v>
      </c>
      <c r="J1523" s="19" t="s">
        <v>362</v>
      </c>
      <c r="K1523" s="14">
        <v>28.0</v>
      </c>
      <c r="L1523" s="14">
        <v>0.0</v>
      </c>
      <c r="M1523" s="25"/>
      <c r="N1523" s="26" t="s">
        <v>21</v>
      </c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</row>
    <row r="1524">
      <c r="A1524" s="14" t="s">
        <v>5668</v>
      </c>
      <c r="B1524" s="17" t="s">
        <v>5666</v>
      </c>
      <c r="C1524" s="17" t="s">
        <v>5669</v>
      </c>
      <c r="D1524" s="19" t="s">
        <v>5670</v>
      </c>
      <c r="E1524" s="20" t="s">
        <v>104</v>
      </c>
      <c r="F1524" s="21">
        <v>34775.0</v>
      </c>
      <c r="G1524" s="14">
        <f t="shared" si="1"/>
        <v>31</v>
      </c>
      <c r="H1524" s="23" t="s">
        <v>26</v>
      </c>
      <c r="I1524" s="24" t="s">
        <v>33</v>
      </c>
      <c r="J1524" s="19" t="s">
        <v>362</v>
      </c>
      <c r="K1524" s="14">
        <v>28.0</v>
      </c>
      <c r="L1524" s="14">
        <v>0.0</v>
      </c>
      <c r="M1524" s="25"/>
      <c r="N1524" s="26" t="s">
        <v>21</v>
      </c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</row>
    <row r="1525">
      <c r="A1525" s="14" t="s">
        <v>5671</v>
      </c>
      <c r="B1525" s="17" t="s">
        <v>5672</v>
      </c>
      <c r="C1525" s="17" t="s">
        <v>5673</v>
      </c>
      <c r="D1525" s="19" t="s">
        <v>5674</v>
      </c>
      <c r="E1525" s="20" t="s">
        <v>104</v>
      </c>
      <c r="F1525" s="21">
        <v>31273.0</v>
      </c>
      <c r="G1525" s="14">
        <f t="shared" si="1"/>
        <v>41</v>
      </c>
      <c r="H1525" s="23" t="s">
        <v>26</v>
      </c>
      <c r="I1525" s="24" t="s">
        <v>33</v>
      </c>
      <c r="J1525" s="19" t="s">
        <v>68</v>
      </c>
      <c r="K1525" s="14">
        <v>29.0</v>
      </c>
      <c r="L1525" s="14">
        <v>0.0</v>
      </c>
      <c r="M1525" s="25"/>
      <c r="N1525" s="26" t="s">
        <v>21</v>
      </c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</row>
    <row r="1526">
      <c r="A1526" s="14" t="s">
        <v>5675</v>
      </c>
      <c r="B1526" s="17" t="s">
        <v>5672</v>
      </c>
      <c r="C1526" s="17" t="s">
        <v>5676</v>
      </c>
      <c r="D1526" s="19" t="s">
        <v>5677</v>
      </c>
      <c r="E1526" s="20" t="s">
        <v>5678</v>
      </c>
      <c r="F1526" s="21">
        <v>33012.0</v>
      </c>
      <c r="G1526" s="14">
        <f t="shared" si="1"/>
        <v>36</v>
      </c>
      <c r="H1526" s="23" t="s">
        <v>26</v>
      </c>
      <c r="I1526" s="24" t="s">
        <v>27</v>
      </c>
      <c r="J1526" s="19" t="s">
        <v>68</v>
      </c>
      <c r="K1526" s="14">
        <v>29.0</v>
      </c>
      <c r="L1526" s="14">
        <v>0.0</v>
      </c>
      <c r="M1526" s="25"/>
      <c r="N1526" s="26" t="s">
        <v>21</v>
      </c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</row>
    <row r="1527">
      <c r="A1527" s="14" t="s">
        <v>5679</v>
      </c>
      <c r="B1527" s="17" t="s">
        <v>5680</v>
      </c>
      <c r="C1527" s="17" t="s">
        <v>5681</v>
      </c>
      <c r="D1527" s="19" t="s">
        <v>5682</v>
      </c>
      <c r="E1527" s="20" t="s">
        <v>5683</v>
      </c>
      <c r="F1527" s="21">
        <v>32674.0</v>
      </c>
      <c r="G1527" s="14">
        <f t="shared" si="1"/>
        <v>37</v>
      </c>
      <c r="H1527" s="23" t="s">
        <v>26</v>
      </c>
      <c r="I1527" s="24" t="s">
        <v>33</v>
      </c>
      <c r="J1527" s="19" t="s">
        <v>1387</v>
      </c>
      <c r="K1527" s="14">
        <v>5.0</v>
      </c>
      <c r="L1527" s="14">
        <v>0.0</v>
      </c>
      <c r="M1527" s="25"/>
      <c r="N1527" s="26" t="s">
        <v>21</v>
      </c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</row>
    <row r="1528">
      <c r="A1528" s="14" t="s">
        <v>5684</v>
      </c>
      <c r="B1528" s="17" t="s">
        <v>5680</v>
      </c>
      <c r="C1528" s="17" t="s">
        <v>5685</v>
      </c>
      <c r="D1528" s="19" t="s">
        <v>5686</v>
      </c>
      <c r="E1528" s="20" t="s">
        <v>53</v>
      </c>
      <c r="F1528" s="21">
        <v>35871.0</v>
      </c>
      <c r="G1528" s="14">
        <f t="shared" si="1"/>
        <v>28</v>
      </c>
      <c r="H1528" s="23" t="s">
        <v>26</v>
      </c>
      <c r="I1528" s="24" t="s">
        <v>27</v>
      </c>
      <c r="J1528" s="19" t="s">
        <v>1387</v>
      </c>
      <c r="K1528" s="14">
        <v>5.0</v>
      </c>
      <c r="L1528" s="14">
        <v>0.0</v>
      </c>
      <c r="M1528" s="25"/>
      <c r="N1528" s="26" t="s">
        <v>21</v>
      </c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</row>
    <row r="1529">
      <c r="A1529" s="14" t="s">
        <v>5687</v>
      </c>
      <c r="B1529" s="17" t="s">
        <v>5688</v>
      </c>
      <c r="C1529" s="17" t="s">
        <v>5689</v>
      </c>
      <c r="D1529" s="19" t="s">
        <v>5690</v>
      </c>
      <c r="E1529" s="20" t="s">
        <v>1639</v>
      </c>
      <c r="F1529" s="27">
        <v>33898.0</v>
      </c>
      <c r="G1529" s="14">
        <f t="shared" si="1"/>
        <v>34</v>
      </c>
      <c r="H1529" s="23" t="s">
        <v>26</v>
      </c>
      <c r="I1529" s="24" t="s">
        <v>33</v>
      </c>
      <c r="J1529" s="19" t="s">
        <v>5691</v>
      </c>
      <c r="K1529" s="14">
        <v>11.0</v>
      </c>
      <c r="L1529" s="14">
        <v>0.0</v>
      </c>
      <c r="M1529" s="25"/>
      <c r="N1529" s="26" t="s">
        <v>21</v>
      </c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</row>
    <row r="1530">
      <c r="A1530" s="14" t="s">
        <v>5692</v>
      </c>
      <c r="B1530" s="17" t="s">
        <v>5688</v>
      </c>
      <c r="C1530" s="17" t="s">
        <v>5693</v>
      </c>
      <c r="D1530" s="19" t="s">
        <v>5694</v>
      </c>
      <c r="E1530" s="20" t="s">
        <v>337</v>
      </c>
      <c r="F1530" s="21">
        <v>32747.0</v>
      </c>
      <c r="G1530" s="14">
        <f t="shared" si="1"/>
        <v>37</v>
      </c>
      <c r="H1530" s="23" t="s">
        <v>26</v>
      </c>
      <c r="I1530" s="24" t="s">
        <v>27</v>
      </c>
      <c r="J1530" s="19" t="s">
        <v>5691</v>
      </c>
      <c r="K1530" s="14">
        <v>11.0</v>
      </c>
      <c r="L1530" s="14">
        <v>0.0</v>
      </c>
      <c r="M1530" s="25"/>
      <c r="N1530" s="26" t="s">
        <v>21</v>
      </c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</row>
    <row r="1531">
      <c r="A1531" s="14" t="s">
        <v>5695</v>
      </c>
      <c r="B1531" s="17" t="s">
        <v>5696</v>
      </c>
      <c r="C1531" s="17" t="s">
        <v>5697</v>
      </c>
      <c r="D1531" s="19" t="s">
        <v>5698</v>
      </c>
      <c r="E1531" s="20" t="s">
        <v>104</v>
      </c>
      <c r="F1531" s="21">
        <v>38130.0</v>
      </c>
      <c r="G1531" s="14">
        <f t="shared" si="1"/>
        <v>22</v>
      </c>
      <c r="H1531" s="23" t="s">
        <v>100</v>
      </c>
      <c r="I1531" s="24" t="s">
        <v>27</v>
      </c>
      <c r="J1531" s="19" t="s">
        <v>4237</v>
      </c>
      <c r="K1531" s="14">
        <v>9.0</v>
      </c>
      <c r="L1531" s="14">
        <v>0.0</v>
      </c>
      <c r="M1531" s="25"/>
      <c r="N1531" s="26" t="s">
        <v>21</v>
      </c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</row>
    <row r="1532">
      <c r="A1532" s="14" t="s">
        <v>5699</v>
      </c>
      <c r="B1532" s="17" t="s">
        <v>5696</v>
      </c>
      <c r="C1532" s="17" t="s">
        <v>5700</v>
      </c>
      <c r="D1532" s="19" t="s">
        <v>5701</v>
      </c>
      <c r="E1532" s="20" t="s">
        <v>104</v>
      </c>
      <c r="F1532" s="21">
        <v>39264.0</v>
      </c>
      <c r="G1532" s="14">
        <f t="shared" si="1"/>
        <v>19</v>
      </c>
      <c r="H1532" s="23" t="s">
        <v>100</v>
      </c>
      <c r="I1532" s="24" t="s">
        <v>33</v>
      </c>
      <c r="J1532" s="19" t="s">
        <v>4237</v>
      </c>
      <c r="K1532" s="14">
        <v>9.0</v>
      </c>
      <c r="L1532" s="14">
        <v>0.0</v>
      </c>
      <c r="M1532" s="25"/>
      <c r="N1532" s="26" t="s">
        <v>21</v>
      </c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</row>
    <row r="1533">
      <c r="A1533" s="14" t="s">
        <v>5702</v>
      </c>
      <c r="B1533" s="17" t="s">
        <v>5696</v>
      </c>
      <c r="C1533" s="17" t="s">
        <v>5703</v>
      </c>
      <c r="D1533" s="19" t="s">
        <v>5704</v>
      </c>
      <c r="E1533" s="20" t="s">
        <v>654</v>
      </c>
      <c r="F1533" s="21">
        <v>27179.0</v>
      </c>
      <c r="G1533" s="14">
        <f t="shared" si="1"/>
        <v>52</v>
      </c>
      <c r="H1533" s="23" t="s">
        <v>26</v>
      </c>
      <c r="I1533" s="24" t="s">
        <v>27</v>
      </c>
      <c r="J1533" s="19" t="s">
        <v>4237</v>
      </c>
      <c r="K1533" s="14">
        <v>9.0</v>
      </c>
      <c r="L1533" s="14">
        <v>0.0</v>
      </c>
      <c r="M1533" s="25"/>
      <c r="N1533" s="26" t="s">
        <v>21</v>
      </c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</row>
    <row r="1534">
      <c r="A1534" s="14" t="s">
        <v>5705</v>
      </c>
      <c r="B1534" s="17" t="s">
        <v>5696</v>
      </c>
      <c r="C1534" s="17" t="s">
        <v>5706</v>
      </c>
      <c r="D1534" s="19" t="s">
        <v>1955</v>
      </c>
      <c r="E1534" s="20" t="s">
        <v>104</v>
      </c>
      <c r="F1534" s="21">
        <v>28282.0</v>
      </c>
      <c r="G1534" s="14">
        <f t="shared" si="1"/>
        <v>49</v>
      </c>
      <c r="H1534" s="23" t="s">
        <v>26</v>
      </c>
      <c r="I1534" s="24" t="s">
        <v>33</v>
      </c>
      <c r="J1534" s="19" t="s">
        <v>4237</v>
      </c>
      <c r="K1534" s="14">
        <v>9.0</v>
      </c>
      <c r="L1534" s="14">
        <v>0.0</v>
      </c>
      <c r="M1534" s="25"/>
      <c r="N1534" s="26" t="s">
        <v>21</v>
      </c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</row>
    <row r="1535">
      <c r="A1535" s="14" t="s">
        <v>5707</v>
      </c>
      <c r="B1535" s="17" t="s">
        <v>5708</v>
      </c>
      <c r="C1535" s="17" t="s">
        <v>5709</v>
      </c>
      <c r="D1535" s="19" t="s">
        <v>5710</v>
      </c>
      <c r="E1535" s="20" t="s">
        <v>654</v>
      </c>
      <c r="F1535" s="21">
        <v>28688.0</v>
      </c>
      <c r="G1535" s="14">
        <f t="shared" si="1"/>
        <v>48</v>
      </c>
      <c r="H1535" s="23" t="s">
        <v>26</v>
      </c>
      <c r="I1535" s="24" t="s">
        <v>33</v>
      </c>
      <c r="J1535" s="19" t="s">
        <v>4237</v>
      </c>
      <c r="K1535" s="14">
        <v>9.0</v>
      </c>
      <c r="L1535" s="14">
        <v>5.0</v>
      </c>
      <c r="M1535" s="25"/>
      <c r="N1535" s="26" t="s">
        <v>21</v>
      </c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</row>
    <row r="1536">
      <c r="A1536" s="14" t="s">
        <v>5711</v>
      </c>
      <c r="B1536" s="17" t="s">
        <v>5712</v>
      </c>
      <c r="C1536" s="17" t="s">
        <v>5713</v>
      </c>
      <c r="D1536" s="19" t="s">
        <v>5714</v>
      </c>
      <c r="E1536" s="20" t="s">
        <v>5715</v>
      </c>
      <c r="F1536" s="27">
        <v>36094.0</v>
      </c>
      <c r="G1536" s="14">
        <f t="shared" si="1"/>
        <v>28</v>
      </c>
      <c r="H1536" s="23" t="s">
        <v>26</v>
      </c>
      <c r="I1536" s="24" t="s">
        <v>33</v>
      </c>
      <c r="J1536" s="19" t="s">
        <v>5716</v>
      </c>
      <c r="K1536" s="14">
        <v>9.0</v>
      </c>
      <c r="L1536" s="14">
        <v>0.0</v>
      </c>
      <c r="M1536" s="25"/>
      <c r="N1536" s="26" t="s">
        <v>21</v>
      </c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</row>
    <row r="1537">
      <c r="A1537" s="14" t="s">
        <v>5717</v>
      </c>
      <c r="B1537" s="17" t="s">
        <v>5712</v>
      </c>
      <c r="C1537" s="17" t="s">
        <v>5718</v>
      </c>
      <c r="D1537" s="19" t="s">
        <v>3219</v>
      </c>
      <c r="E1537" s="20" t="s">
        <v>5719</v>
      </c>
      <c r="F1537" s="21">
        <v>25766.0</v>
      </c>
      <c r="G1537" s="14">
        <f t="shared" si="1"/>
        <v>56</v>
      </c>
      <c r="H1537" s="23" t="s">
        <v>26</v>
      </c>
      <c r="I1537" s="24" t="s">
        <v>27</v>
      </c>
      <c r="J1537" s="19" t="s">
        <v>3224</v>
      </c>
      <c r="K1537" s="14">
        <v>9.0</v>
      </c>
      <c r="L1537" s="14">
        <v>0.0</v>
      </c>
      <c r="M1537" s="25"/>
      <c r="N1537" s="26" t="s">
        <v>21</v>
      </c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</row>
    <row r="1538">
      <c r="A1538" s="14" t="s">
        <v>5720</v>
      </c>
      <c r="B1538" s="17" t="s">
        <v>5712</v>
      </c>
      <c r="C1538" s="17" t="s">
        <v>5721</v>
      </c>
      <c r="D1538" s="19" t="s">
        <v>5722</v>
      </c>
      <c r="E1538" s="20" t="s">
        <v>219</v>
      </c>
      <c r="F1538" s="21">
        <v>26131.0</v>
      </c>
      <c r="G1538" s="14">
        <f t="shared" si="1"/>
        <v>55</v>
      </c>
      <c r="H1538" s="23" t="s">
        <v>26</v>
      </c>
      <c r="I1538" s="24" t="s">
        <v>33</v>
      </c>
      <c r="J1538" s="19" t="s">
        <v>58</v>
      </c>
      <c r="K1538" s="14">
        <v>9.0</v>
      </c>
      <c r="L1538" s="14">
        <v>0.0</v>
      </c>
      <c r="M1538" s="25"/>
      <c r="N1538" s="26" t="s">
        <v>21</v>
      </c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</row>
    <row r="1539">
      <c r="A1539" s="14" t="s">
        <v>5723</v>
      </c>
      <c r="B1539" s="17" t="s">
        <v>5724</v>
      </c>
      <c r="C1539" s="17" t="s">
        <v>5725</v>
      </c>
      <c r="D1539" s="19" t="s">
        <v>5726</v>
      </c>
      <c r="E1539" s="20" t="s">
        <v>112</v>
      </c>
      <c r="F1539" s="27">
        <v>32852.0</v>
      </c>
      <c r="G1539" s="14">
        <f t="shared" si="1"/>
        <v>36</v>
      </c>
      <c r="H1539" s="23" t="s">
        <v>26</v>
      </c>
      <c r="I1539" s="24" t="s">
        <v>27</v>
      </c>
      <c r="J1539" s="19" t="s">
        <v>362</v>
      </c>
      <c r="K1539" s="14">
        <v>19.0</v>
      </c>
      <c r="L1539" s="14">
        <v>0.0</v>
      </c>
      <c r="M1539" s="25"/>
      <c r="N1539" s="26" t="s">
        <v>21</v>
      </c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</row>
    <row r="1540">
      <c r="A1540" s="14" t="s">
        <v>5727</v>
      </c>
      <c r="B1540" s="17" t="s">
        <v>5724</v>
      </c>
      <c r="C1540" s="17" t="s">
        <v>5728</v>
      </c>
      <c r="D1540" s="19" t="s">
        <v>2976</v>
      </c>
      <c r="E1540" s="20" t="s">
        <v>112</v>
      </c>
      <c r="F1540" s="21">
        <v>31913.0</v>
      </c>
      <c r="G1540" s="14">
        <f t="shared" si="1"/>
        <v>39</v>
      </c>
      <c r="H1540" s="23" t="s">
        <v>26</v>
      </c>
      <c r="I1540" s="24" t="s">
        <v>33</v>
      </c>
      <c r="J1540" s="19" t="s">
        <v>362</v>
      </c>
      <c r="K1540" s="14">
        <v>19.0</v>
      </c>
      <c r="L1540" s="14">
        <v>0.0</v>
      </c>
      <c r="M1540" s="25"/>
      <c r="N1540" s="26" t="s">
        <v>21</v>
      </c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</row>
    <row r="1541">
      <c r="A1541" s="14" t="s">
        <v>5729</v>
      </c>
      <c r="B1541" s="17" t="s">
        <v>5730</v>
      </c>
      <c r="C1541" s="17" t="s">
        <v>5731</v>
      </c>
      <c r="D1541" s="19" t="s">
        <v>5732</v>
      </c>
      <c r="E1541" s="20" t="s">
        <v>104</v>
      </c>
      <c r="F1541" s="21">
        <v>30518.0</v>
      </c>
      <c r="G1541" s="14">
        <f t="shared" si="1"/>
        <v>43</v>
      </c>
      <c r="H1541" s="23" t="s">
        <v>26</v>
      </c>
      <c r="I1541" s="24" t="s">
        <v>33</v>
      </c>
      <c r="J1541" s="19" t="s">
        <v>53</v>
      </c>
      <c r="K1541" s="14">
        <v>17.0</v>
      </c>
      <c r="L1541" s="14">
        <v>0.0</v>
      </c>
      <c r="M1541" s="25"/>
      <c r="N1541" s="26" t="s">
        <v>21</v>
      </c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</row>
    <row r="1542">
      <c r="A1542" s="14" t="s">
        <v>5733</v>
      </c>
      <c r="B1542" s="17" t="s">
        <v>5730</v>
      </c>
      <c r="C1542" s="17" t="s">
        <v>5734</v>
      </c>
      <c r="D1542" s="19" t="s">
        <v>5735</v>
      </c>
      <c r="E1542" s="20" t="s">
        <v>104</v>
      </c>
      <c r="F1542" s="21">
        <v>38162.0</v>
      </c>
      <c r="G1542" s="14">
        <f t="shared" si="1"/>
        <v>22</v>
      </c>
      <c r="H1542" s="23" t="s">
        <v>100</v>
      </c>
      <c r="I1542" s="24" t="s">
        <v>27</v>
      </c>
      <c r="J1542" s="19" t="s">
        <v>53</v>
      </c>
      <c r="K1542" s="14">
        <v>17.0</v>
      </c>
      <c r="L1542" s="14">
        <v>0.0</v>
      </c>
      <c r="M1542" s="25"/>
      <c r="N1542" s="26" t="s">
        <v>21</v>
      </c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</row>
    <row r="1543">
      <c r="A1543" s="14" t="s">
        <v>5736</v>
      </c>
      <c r="B1543" s="17" t="s">
        <v>5730</v>
      </c>
      <c r="C1543" s="17" t="s">
        <v>5737</v>
      </c>
      <c r="D1543" s="19" t="s">
        <v>1781</v>
      </c>
      <c r="E1543" s="20" t="s">
        <v>5570</v>
      </c>
      <c r="F1543" s="27">
        <v>30999.0</v>
      </c>
      <c r="G1543" s="14">
        <f t="shared" si="1"/>
        <v>41</v>
      </c>
      <c r="H1543" s="23" t="s">
        <v>26</v>
      </c>
      <c r="I1543" s="24" t="s">
        <v>27</v>
      </c>
      <c r="J1543" s="19" t="s">
        <v>53</v>
      </c>
      <c r="K1543" s="14">
        <v>17.0</v>
      </c>
      <c r="L1543" s="14">
        <v>0.0</v>
      </c>
      <c r="M1543" s="25"/>
      <c r="N1543" s="26" t="s">
        <v>21</v>
      </c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</row>
    <row r="1544">
      <c r="A1544" s="14" t="s">
        <v>5738</v>
      </c>
      <c r="B1544" s="17" t="s">
        <v>5739</v>
      </c>
      <c r="C1544" s="17" t="s">
        <v>5740</v>
      </c>
      <c r="D1544" s="19" t="s">
        <v>5741</v>
      </c>
      <c r="E1544" s="20" t="s">
        <v>104</v>
      </c>
      <c r="F1544" s="21">
        <v>38140.0</v>
      </c>
      <c r="G1544" s="14">
        <f t="shared" si="1"/>
        <v>22</v>
      </c>
      <c r="H1544" s="23" t="s">
        <v>100</v>
      </c>
      <c r="I1544" s="24" t="s">
        <v>27</v>
      </c>
      <c r="J1544" s="19" t="s">
        <v>39</v>
      </c>
      <c r="K1544" s="14">
        <v>18.0</v>
      </c>
      <c r="L1544" s="14">
        <v>0.0</v>
      </c>
      <c r="M1544" s="25"/>
      <c r="N1544" s="26" t="s">
        <v>21</v>
      </c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</row>
    <row r="1545">
      <c r="A1545" s="14" t="s">
        <v>5743</v>
      </c>
      <c r="B1545" s="17" t="s">
        <v>5744</v>
      </c>
      <c r="C1545" s="17" t="s">
        <v>5745</v>
      </c>
      <c r="D1545" s="19" t="s">
        <v>5746</v>
      </c>
      <c r="E1545" s="20" t="s">
        <v>67</v>
      </c>
      <c r="F1545" s="21">
        <v>25379.0</v>
      </c>
      <c r="G1545" s="14">
        <f t="shared" si="1"/>
        <v>57</v>
      </c>
      <c r="H1545" s="23" t="s">
        <v>27</v>
      </c>
      <c r="I1545" s="24" t="s">
        <v>27</v>
      </c>
      <c r="J1545" s="19" t="s">
        <v>68</v>
      </c>
      <c r="K1545" s="14">
        <v>27.0</v>
      </c>
      <c r="L1545" s="14">
        <v>0.0</v>
      </c>
      <c r="M1545" s="25"/>
      <c r="N1545" s="26" t="s">
        <v>21</v>
      </c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</row>
    <row r="1546">
      <c r="A1546" s="14" t="s">
        <v>5747</v>
      </c>
      <c r="B1546" s="17" t="s">
        <v>5748</v>
      </c>
      <c r="C1546" s="17" t="s">
        <v>5749</v>
      </c>
      <c r="D1546" s="19" t="s">
        <v>5750</v>
      </c>
      <c r="E1546" s="20" t="s">
        <v>53</v>
      </c>
      <c r="F1546" s="21">
        <v>35896.0</v>
      </c>
      <c r="G1546" s="14">
        <f t="shared" si="1"/>
        <v>28</v>
      </c>
      <c r="H1546" s="23" t="s">
        <v>26</v>
      </c>
      <c r="I1546" s="24" t="s">
        <v>33</v>
      </c>
      <c r="J1546" s="19" t="s">
        <v>3291</v>
      </c>
      <c r="K1546" s="14">
        <v>27.0</v>
      </c>
      <c r="L1546" s="14">
        <v>7.0</v>
      </c>
      <c r="M1546" s="25"/>
      <c r="N1546" s="26" t="s">
        <v>21</v>
      </c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</row>
    <row r="1547">
      <c r="A1547" s="14" t="s">
        <v>5751</v>
      </c>
      <c r="B1547" s="17" t="s">
        <v>5748</v>
      </c>
      <c r="C1547" s="17" t="s">
        <v>5752</v>
      </c>
      <c r="D1547" s="19" t="s">
        <v>5753</v>
      </c>
      <c r="E1547" s="20" t="s">
        <v>1846</v>
      </c>
      <c r="F1547" s="21">
        <v>35951.0</v>
      </c>
      <c r="G1547" s="14">
        <f t="shared" si="1"/>
        <v>28</v>
      </c>
      <c r="H1547" s="23" t="s">
        <v>26</v>
      </c>
      <c r="I1547" s="24" t="s">
        <v>27</v>
      </c>
      <c r="J1547" s="19" t="s">
        <v>3291</v>
      </c>
      <c r="K1547" s="14">
        <v>27.0</v>
      </c>
      <c r="L1547" s="14">
        <v>0.0</v>
      </c>
      <c r="M1547" s="25"/>
      <c r="N1547" s="26" t="s">
        <v>21</v>
      </c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</row>
    <row r="1548">
      <c r="A1548" s="14" t="s">
        <v>5754</v>
      </c>
      <c r="B1548" s="17" t="s">
        <v>5755</v>
      </c>
      <c r="C1548" s="17" t="s">
        <v>5756</v>
      </c>
      <c r="D1548" s="19" t="s">
        <v>5757</v>
      </c>
      <c r="E1548" s="20" t="s">
        <v>2551</v>
      </c>
      <c r="F1548" s="27">
        <v>36822.0</v>
      </c>
      <c r="G1548" s="14">
        <f t="shared" si="1"/>
        <v>26</v>
      </c>
      <c r="H1548" s="23" t="s">
        <v>100</v>
      </c>
      <c r="I1548" s="24" t="s">
        <v>33</v>
      </c>
      <c r="J1548" s="19" t="s">
        <v>146</v>
      </c>
      <c r="K1548" s="14">
        <v>4.0</v>
      </c>
      <c r="L1548" s="14">
        <v>0.0</v>
      </c>
      <c r="M1548" s="25"/>
      <c r="N1548" s="26" t="s">
        <v>21</v>
      </c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</row>
    <row r="1549">
      <c r="A1549" s="14" t="s">
        <v>5758</v>
      </c>
      <c r="B1549" s="17" t="s">
        <v>5755</v>
      </c>
      <c r="C1549" s="17" t="s">
        <v>5759</v>
      </c>
      <c r="D1549" s="19" t="s">
        <v>5760</v>
      </c>
      <c r="E1549" s="20" t="s">
        <v>1550</v>
      </c>
      <c r="F1549" s="21">
        <v>24367.0</v>
      </c>
      <c r="G1549" s="14">
        <f t="shared" si="1"/>
        <v>60</v>
      </c>
      <c r="H1549" s="23" t="s">
        <v>26</v>
      </c>
      <c r="I1549" s="24" t="s">
        <v>33</v>
      </c>
      <c r="J1549" s="19" t="s">
        <v>146</v>
      </c>
      <c r="K1549" s="14">
        <v>4.0</v>
      </c>
      <c r="L1549" s="14">
        <v>0.0</v>
      </c>
      <c r="M1549" s="25"/>
      <c r="N1549" s="26" t="s">
        <v>21</v>
      </c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</row>
    <row r="1550">
      <c r="A1550" s="14" t="s">
        <v>5761</v>
      </c>
      <c r="B1550" s="17" t="s">
        <v>5755</v>
      </c>
      <c r="C1550" s="17" t="s">
        <v>5762</v>
      </c>
      <c r="D1550" s="19" t="s">
        <v>5763</v>
      </c>
      <c r="E1550" s="20" t="s">
        <v>104</v>
      </c>
      <c r="F1550" s="21">
        <v>37867.0</v>
      </c>
      <c r="G1550" s="14">
        <f t="shared" si="1"/>
        <v>23</v>
      </c>
      <c r="H1550" s="23" t="s">
        <v>100</v>
      </c>
      <c r="I1550" s="24" t="s">
        <v>27</v>
      </c>
      <c r="J1550" s="19" t="s">
        <v>146</v>
      </c>
      <c r="K1550" s="14">
        <v>4.0</v>
      </c>
      <c r="L1550" s="14">
        <v>0.0</v>
      </c>
      <c r="M1550" s="25"/>
      <c r="N1550" s="26" t="s">
        <v>21</v>
      </c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</row>
    <row r="1551">
      <c r="A1551" s="14" t="s">
        <v>5764</v>
      </c>
      <c r="B1551" s="17" t="s">
        <v>5755</v>
      </c>
      <c r="C1551" s="17" t="s">
        <v>5765</v>
      </c>
      <c r="D1551" s="19" t="s">
        <v>5493</v>
      </c>
      <c r="E1551" s="20" t="s">
        <v>632</v>
      </c>
      <c r="F1551" s="21">
        <v>26945.0</v>
      </c>
      <c r="G1551" s="14">
        <f t="shared" si="1"/>
        <v>53</v>
      </c>
      <c r="H1551" s="23" t="s">
        <v>26</v>
      </c>
      <c r="I1551" s="24" t="s">
        <v>27</v>
      </c>
      <c r="J1551" s="19" t="s">
        <v>146</v>
      </c>
      <c r="K1551" s="14">
        <v>4.0</v>
      </c>
      <c r="L1551" s="14">
        <v>0.0</v>
      </c>
      <c r="M1551" s="25"/>
      <c r="N1551" s="26" t="s">
        <v>21</v>
      </c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</row>
    <row r="1552">
      <c r="A1552" s="14" t="s">
        <v>5766</v>
      </c>
      <c r="B1552" s="17" t="s">
        <v>5767</v>
      </c>
      <c r="C1552" s="17" t="s">
        <v>5768</v>
      </c>
      <c r="D1552" s="19" t="s">
        <v>5769</v>
      </c>
      <c r="E1552" s="20" t="s">
        <v>3357</v>
      </c>
      <c r="F1552" s="21">
        <v>29302.0</v>
      </c>
      <c r="G1552" s="14">
        <f t="shared" si="1"/>
        <v>46</v>
      </c>
      <c r="H1552" s="23" t="s">
        <v>26</v>
      </c>
      <c r="I1552" s="24" t="s">
        <v>33</v>
      </c>
      <c r="J1552" s="19" t="s">
        <v>5770</v>
      </c>
      <c r="K1552" s="14">
        <v>22.0</v>
      </c>
      <c r="L1552" s="14">
        <v>0.0</v>
      </c>
      <c r="M1552" s="25"/>
      <c r="N1552" s="26" t="s">
        <v>21</v>
      </c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</row>
    <row r="1553">
      <c r="A1553" s="14" t="s">
        <v>5771</v>
      </c>
      <c r="B1553" s="17" t="s">
        <v>5767</v>
      </c>
      <c r="C1553" s="17" t="s">
        <v>5772</v>
      </c>
      <c r="D1553" s="19" t="s">
        <v>5773</v>
      </c>
      <c r="E1553" s="20" t="s">
        <v>2038</v>
      </c>
      <c r="F1553" s="21">
        <v>29561.0</v>
      </c>
      <c r="G1553" s="14">
        <f t="shared" si="1"/>
        <v>45</v>
      </c>
      <c r="H1553" s="23" t="s">
        <v>26</v>
      </c>
      <c r="I1553" s="24" t="s">
        <v>27</v>
      </c>
      <c r="J1553" s="19" t="s">
        <v>5770</v>
      </c>
      <c r="K1553" s="14">
        <v>22.0</v>
      </c>
      <c r="L1553" s="14">
        <v>0.0</v>
      </c>
      <c r="M1553" s="25"/>
      <c r="N1553" s="26" t="s">
        <v>21</v>
      </c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</row>
    <row r="1554">
      <c r="A1554" s="14" t="s">
        <v>5774</v>
      </c>
      <c r="B1554" s="17" t="s">
        <v>6167</v>
      </c>
      <c r="C1554" s="17" t="s">
        <v>5775</v>
      </c>
      <c r="D1554" s="19" t="s">
        <v>5776</v>
      </c>
      <c r="E1554" s="20" t="s">
        <v>53</v>
      </c>
      <c r="F1554" s="21">
        <v>36397.0</v>
      </c>
      <c r="G1554" s="14">
        <f t="shared" si="1"/>
        <v>27</v>
      </c>
      <c r="H1554" s="23" t="s">
        <v>100</v>
      </c>
      <c r="I1554" s="24" t="s">
        <v>27</v>
      </c>
      <c r="J1554" s="19" t="s">
        <v>5770</v>
      </c>
      <c r="K1554" s="14">
        <v>22.0</v>
      </c>
      <c r="L1554" s="14">
        <v>7.0</v>
      </c>
      <c r="M1554" s="25"/>
      <c r="N1554" s="26" t="s">
        <v>21</v>
      </c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</row>
    <row r="1555">
      <c r="A1555" s="14" t="s">
        <v>5777</v>
      </c>
      <c r="B1555" s="17" t="s">
        <v>5778</v>
      </c>
      <c r="C1555" s="17" t="s">
        <v>5779</v>
      </c>
      <c r="D1555" s="19" t="s">
        <v>5780</v>
      </c>
      <c r="E1555" s="20" t="s">
        <v>104</v>
      </c>
      <c r="F1555" s="21">
        <v>34555.0</v>
      </c>
      <c r="G1555" s="14">
        <f t="shared" si="1"/>
        <v>32</v>
      </c>
      <c r="H1555" s="23" t="s">
        <v>26</v>
      </c>
      <c r="I1555" s="24" t="s">
        <v>27</v>
      </c>
      <c r="J1555" s="19" t="s">
        <v>58</v>
      </c>
      <c r="K1555" s="14">
        <v>8.0</v>
      </c>
      <c r="L1555" s="14">
        <v>0.0</v>
      </c>
      <c r="M1555" s="25"/>
      <c r="N1555" s="26" t="s">
        <v>21</v>
      </c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</row>
    <row r="1556">
      <c r="A1556" s="14" t="s">
        <v>5781</v>
      </c>
      <c r="B1556" s="17" t="s">
        <v>5778</v>
      </c>
      <c r="C1556" s="17" t="s">
        <v>5782</v>
      </c>
      <c r="D1556" s="19" t="s">
        <v>190</v>
      </c>
      <c r="E1556" s="20" t="s">
        <v>274</v>
      </c>
      <c r="F1556" s="21">
        <v>33844.0</v>
      </c>
      <c r="G1556" s="14">
        <f t="shared" si="1"/>
        <v>34</v>
      </c>
      <c r="H1556" s="23" t="s">
        <v>26</v>
      </c>
      <c r="I1556" s="24" t="s">
        <v>33</v>
      </c>
      <c r="J1556" s="19" t="s">
        <v>58</v>
      </c>
      <c r="K1556" s="14">
        <v>8.0</v>
      </c>
      <c r="L1556" s="14">
        <v>0.0</v>
      </c>
      <c r="M1556" s="25"/>
      <c r="N1556" s="26" t="s">
        <v>21</v>
      </c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</row>
    <row r="1557">
      <c r="A1557" s="14" t="s">
        <v>5783</v>
      </c>
      <c r="B1557" s="17" t="s">
        <v>5784</v>
      </c>
      <c r="C1557" s="17" t="s">
        <v>5785</v>
      </c>
      <c r="D1557" s="19" t="s">
        <v>5786</v>
      </c>
      <c r="E1557" s="20" t="s">
        <v>104</v>
      </c>
      <c r="F1557" s="27">
        <v>35362.0</v>
      </c>
      <c r="G1557" s="14">
        <f t="shared" si="1"/>
        <v>30</v>
      </c>
      <c r="H1557" s="23" t="s">
        <v>26</v>
      </c>
      <c r="I1557" s="24" t="s">
        <v>33</v>
      </c>
      <c r="J1557" s="19" t="s">
        <v>328</v>
      </c>
      <c r="K1557" s="14">
        <v>21.0</v>
      </c>
      <c r="L1557" s="14">
        <v>0.0</v>
      </c>
      <c r="M1557" s="25"/>
      <c r="N1557" s="26" t="s">
        <v>21</v>
      </c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</row>
    <row r="1558">
      <c r="A1558" s="14" t="s">
        <v>5787</v>
      </c>
      <c r="B1558" s="17" t="s">
        <v>5784</v>
      </c>
      <c r="C1558" s="17" t="s">
        <v>5788</v>
      </c>
      <c r="D1558" s="19" t="s">
        <v>5789</v>
      </c>
      <c r="E1558" s="20" t="s">
        <v>53</v>
      </c>
      <c r="F1558" s="21">
        <v>36599.0</v>
      </c>
      <c r="G1558" s="14">
        <f t="shared" si="1"/>
        <v>26</v>
      </c>
      <c r="H1558" s="23" t="s">
        <v>26</v>
      </c>
      <c r="I1558" s="24" t="s">
        <v>27</v>
      </c>
      <c r="J1558" s="19" t="s">
        <v>328</v>
      </c>
      <c r="K1558" s="14">
        <v>21.0</v>
      </c>
      <c r="L1558" s="14">
        <v>0.0</v>
      </c>
      <c r="M1558" s="25"/>
      <c r="N1558" s="26" t="s">
        <v>21</v>
      </c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</row>
    <row r="1559">
      <c r="A1559" s="14" t="s">
        <v>5790</v>
      </c>
      <c r="B1559" s="17" t="s">
        <v>5791</v>
      </c>
      <c r="C1559" s="17" t="s">
        <v>5792</v>
      </c>
      <c r="D1559" s="19" t="s">
        <v>5793</v>
      </c>
      <c r="E1559" s="20" t="s">
        <v>632</v>
      </c>
      <c r="F1559" s="21">
        <v>26361.0</v>
      </c>
      <c r="G1559" s="14">
        <f t="shared" si="1"/>
        <v>54</v>
      </c>
      <c r="H1559" s="23" t="s">
        <v>26</v>
      </c>
      <c r="I1559" s="24" t="s">
        <v>33</v>
      </c>
      <c r="J1559" s="19" t="s">
        <v>328</v>
      </c>
      <c r="K1559" s="14">
        <v>25.0</v>
      </c>
      <c r="L1559" s="14">
        <v>0.0</v>
      </c>
      <c r="M1559" s="25"/>
      <c r="N1559" s="26" t="s">
        <v>21</v>
      </c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</row>
    <row r="1560">
      <c r="A1560" s="14" t="s">
        <v>5794</v>
      </c>
      <c r="B1560" s="17" t="s">
        <v>5791</v>
      </c>
      <c r="C1560" s="17" t="s">
        <v>5795</v>
      </c>
      <c r="D1560" s="19" t="s">
        <v>5796</v>
      </c>
      <c r="E1560" s="20" t="s">
        <v>53</v>
      </c>
      <c r="F1560" s="21">
        <v>36466.0</v>
      </c>
      <c r="G1560" s="14">
        <f t="shared" si="1"/>
        <v>26</v>
      </c>
      <c r="H1560" s="23" t="s">
        <v>100</v>
      </c>
      <c r="I1560" s="24" t="s">
        <v>27</v>
      </c>
      <c r="J1560" s="19" t="s">
        <v>328</v>
      </c>
      <c r="K1560" s="14">
        <v>25.0</v>
      </c>
      <c r="L1560" s="14">
        <v>0.0</v>
      </c>
      <c r="M1560" s="25"/>
      <c r="N1560" s="26" t="s">
        <v>21</v>
      </c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</row>
    <row r="1561">
      <c r="A1561" s="14" t="s">
        <v>5797</v>
      </c>
      <c r="B1561" s="17" t="s">
        <v>5791</v>
      </c>
      <c r="C1561" s="17" t="s">
        <v>5798</v>
      </c>
      <c r="D1561" s="19" t="s">
        <v>5799</v>
      </c>
      <c r="E1561" s="20" t="s">
        <v>104</v>
      </c>
      <c r="F1561" s="21">
        <v>28406.0</v>
      </c>
      <c r="G1561" s="14">
        <f t="shared" si="1"/>
        <v>49</v>
      </c>
      <c r="H1561" s="23" t="s">
        <v>26</v>
      </c>
      <c r="I1561" s="24" t="s">
        <v>27</v>
      </c>
      <c r="J1561" s="19" t="s">
        <v>328</v>
      </c>
      <c r="K1561" s="14">
        <v>25.0</v>
      </c>
      <c r="L1561" s="14">
        <v>0.0</v>
      </c>
      <c r="M1561" s="25"/>
      <c r="N1561" s="26" t="s">
        <v>21</v>
      </c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</row>
    <row r="1562">
      <c r="A1562" s="14" t="s">
        <v>5800</v>
      </c>
      <c r="B1562" s="17" t="s">
        <v>5801</v>
      </c>
      <c r="C1562" s="17" t="s">
        <v>5802</v>
      </c>
      <c r="D1562" s="19" t="s">
        <v>5803</v>
      </c>
      <c r="E1562" s="20" t="s">
        <v>5804</v>
      </c>
      <c r="F1562" s="21">
        <v>35250.0</v>
      </c>
      <c r="G1562" s="14">
        <f t="shared" si="1"/>
        <v>30</v>
      </c>
      <c r="H1562" s="23" t="s">
        <v>100</v>
      </c>
      <c r="I1562" s="24" t="s">
        <v>27</v>
      </c>
      <c r="J1562" s="19" t="s">
        <v>3387</v>
      </c>
      <c r="K1562" s="14">
        <v>36.0</v>
      </c>
      <c r="L1562" s="14">
        <v>6.0</v>
      </c>
      <c r="M1562" s="28" t="s">
        <v>6203</v>
      </c>
      <c r="N1562" s="26" t="s">
        <v>21</v>
      </c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</row>
    <row r="1563">
      <c r="A1563" s="14" t="s">
        <v>5805</v>
      </c>
      <c r="B1563" s="17" t="s">
        <v>5801</v>
      </c>
      <c r="C1563" s="17" t="s">
        <v>5806</v>
      </c>
      <c r="D1563" s="19" t="s">
        <v>5049</v>
      </c>
      <c r="E1563" s="20" t="s">
        <v>67</v>
      </c>
      <c r="F1563" s="21">
        <v>21261.0</v>
      </c>
      <c r="G1563" s="14">
        <f t="shared" si="1"/>
        <v>68</v>
      </c>
      <c r="H1563" s="23" t="s">
        <v>26</v>
      </c>
      <c r="I1563" s="24" t="s">
        <v>27</v>
      </c>
      <c r="J1563" s="19" t="s">
        <v>3387</v>
      </c>
      <c r="K1563" s="14">
        <v>36.0</v>
      </c>
      <c r="L1563" s="14">
        <v>1.0</v>
      </c>
      <c r="M1563" s="25"/>
      <c r="N1563" s="26" t="s">
        <v>21</v>
      </c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</row>
    <row r="1564">
      <c r="A1564" s="14" t="s">
        <v>5807</v>
      </c>
      <c r="B1564" s="17" t="s">
        <v>5801</v>
      </c>
      <c r="C1564" s="17" t="s">
        <v>5808</v>
      </c>
      <c r="D1564" s="19" t="s">
        <v>250</v>
      </c>
      <c r="E1564" s="20" t="s">
        <v>67</v>
      </c>
      <c r="F1564" s="21">
        <v>19992.0</v>
      </c>
      <c r="G1564" s="14">
        <f t="shared" si="1"/>
        <v>72</v>
      </c>
      <c r="H1564" s="23" t="s">
        <v>26</v>
      </c>
      <c r="I1564" s="24" t="s">
        <v>33</v>
      </c>
      <c r="J1564" s="19" t="s">
        <v>3387</v>
      </c>
      <c r="K1564" s="14">
        <v>36.0</v>
      </c>
      <c r="L1564" s="14">
        <v>1.0</v>
      </c>
      <c r="M1564" s="25"/>
      <c r="N1564" s="26" t="s">
        <v>21</v>
      </c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</row>
    <row r="1565">
      <c r="A1565" s="14" t="s">
        <v>5809</v>
      </c>
      <c r="B1565" s="17" t="s">
        <v>5810</v>
      </c>
      <c r="C1565" s="17" t="s">
        <v>5811</v>
      </c>
      <c r="D1565" s="19" t="s">
        <v>5812</v>
      </c>
      <c r="E1565" s="20" t="s">
        <v>112</v>
      </c>
      <c r="F1565" s="27">
        <v>26620.0</v>
      </c>
      <c r="G1565" s="14">
        <f t="shared" si="1"/>
        <v>53</v>
      </c>
      <c r="H1565" s="23" t="s">
        <v>26</v>
      </c>
      <c r="I1565" s="24" t="s">
        <v>33</v>
      </c>
      <c r="J1565" s="19" t="s">
        <v>3211</v>
      </c>
      <c r="K1565" s="14">
        <v>19.0</v>
      </c>
      <c r="L1565" s="14">
        <v>0.0</v>
      </c>
      <c r="M1565" s="25"/>
      <c r="N1565" s="26" t="s">
        <v>21</v>
      </c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</row>
    <row r="1566">
      <c r="A1566" s="14" t="s">
        <v>5813</v>
      </c>
      <c r="B1566" s="17" t="s">
        <v>5810</v>
      </c>
      <c r="C1566" s="17" t="s">
        <v>5814</v>
      </c>
      <c r="D1566" s="19" t="s">
        <v>5815</v>
      </c>
      <c r="E1566" s="20" t="s">
        <v>5816</v>
      </c>
      <c r="F1566" s="21">
        <v>30211.0</v>
      </c>
      <c r="G1566" s="14">
        <f t="shared" si="1"/>
        <v>44</v>
      </c>
      <c r="H1566" s="23" t="s">
        <v>26</v>
      </c>
      <c r="I1566" s="24" t="s">
        <v>27</v>
      </c>
      <c r="J1566" s="19" t="s">
        <v>3211</v>
      </c>
      <c r="K1566" s="14">
        <v>19.0</v>
      </c>
      <c r="L1566" s="14">
        <v>0.0</v>
      </c>
      <c r="M1566" s="25"/>
      <c r="N1566" s="26" t="s">
        <v>21</v>
      </c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</row>
    <row r="1567">
      <c r="A1567" s="14" t="s">
        <v>5817</v>
      </c>
      <c r="B1567" s="17" t="s">
        <v>5818</v>
      </c>
      <c r="C1567" s="17" t="s">
        <v>5819</v>
      </c>
      <c r="D1567" s="19" t="s">
        <v>5820</v>
      </c>
      <c r="E1567" s="20" t="s">
        <v>67</v>
      </c>
      <c r="F1567" s="21">
        <v>38464.0</v>
      </c>
      <c r="G1567" s="14">
        <f t="shared" si="1"/>
        <v>21</v>
      </c>
      <c r="H1567" s="23" t="s">
        <v>100</v>
      </c>
      <c r="I1567" s="24" t="s">
        <v>27</v>
      </c>
      <c r="J1567" s="19" t="s">
        <v>53</v>
      </c>
      <c r="K1567" s="14">
        <v>32.0</v>
      </c>
      <c r="L1567" s="14">
        <v>0.0</v>
      </c>
      <c r="M1567" s="25"/>
      <c r="N1567" s="26" t="s">
        <v>21</v>
      </c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</row>
    <row r="1568">
      <c r="A1568" s="14" t="s">
        <v>5821</v>
      </c>
      <c r="B1568" s="17" t="s">
        <v>5818</v>
      </c>
      <c r="C1568" s="17" t="s">
        <v>5822</v>
      </c>
      <c r="D1568" s="19" t="s">
        <v>3966</v>
      </c>
      <c r="E1568" s="20" t="s">
        <v>67</v>
      </c>
      <c r="F1568" s="27">
        <v>24802.0</v>
      </c>
      <c r="G1568" s="14">
        <f t="shared" si="1"/>
        <v>58</v>
      </c>
      <c r="H1568" s="23" t="s">
        <v>26</v>
      </c>
      <c r="I1568" s="24" t="s">
        <v>27</v>
      </c>
      <c r="J1568" s="19" t="s">
        <v>53</v>
      </c>
      <c r="K1568" s="14">
        <v>32.0</v>
      </c>
      <c r="L1568" s="14">
        <v>0.0</v>
      </c>
      <c r="M1568" s="25"/>
      <c r="N1568" s="26" t="s">
        <v>21</v>
      </c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</row>
    <row r="1569">
      <c r="A1569" s="14" t="s">
        <v>5823</v>
      </c>
      <c r="B1569" s="17" t="s">
        <v>5818</v>
      </c>
      <c r="C1569" s="17" t="s">
        <v>5824</v>
      </c>
      <c r="D1569" s="19" t="s">
        <v>5825</v>
      </c>
      <c r="E1569" s="20" t="s">
        <v>67</v>
      </c>
      <c r="F1569" s="21">
        <v>21731.0</v>
      </c>
      <c r="G1569" s="14">
        <f t="shared" si="1"/>
        <v>67</v>
      </c>
      <c r="H1569" s="23" t="s">
        <v>26</v>
      </c>
      <c r="I1569" s="24" t="s">
        <v>33</v>
      </c>
      <c r="J1569" s="19" t="s">
        <v>53</v>
      </c>
      <c r="K1569" s="14">
        <v>32.0</v>
      </c>
      <c r="L1569" s="14">
        <v>0.0</v>
      </c>
      <c r="M1569" s="25"/>
      <c r="N1569" s="26" t="s">
        <v>21</v>
      </c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</row>
    <row r="1570">
      <c r="A1570" s="14" t="s">
        <v>5826</v>
      </c>
      <c r="B1570" s="17" t="s">
        <v>5827</v>
      </c>
      <c r="C1570" s="17" t="s">
        <v>5828</v>
      </c>
      <c r="D1570" s="19" t="s">
        <v>5829</v>
      </c>
      <c r="E1570" s="20" t="s">
        <v>53</v>
      </c>
      <c r="F1570" s="21">
        <v>31246.0</v>
      </c>
      <c r="G1570" s="14">
        <f t="shared" si="1"/>
        <v>41</v>
      </c>
      <c r="H1570" s="23" t="s">
        <v>26</v>
      </c>
      <c r="I1570" s="24" t="s">
        <v>27</v>
      </c>
      <c r="J1570" s="19" t="s">
        <v>206</v>
      </c>
      <c r="K1570" s="14">
        <v>4.0</v>
      </c>
      <c r="L1570" s="14">
        <v>0.0</v>
      </c>
      <c r="M1570" s="25"/>
      <c r="N1570" s="26" t="s">
        <v>21</v>
      </c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</row>
    <row r="1571">
      <c r="A1571" s="14" t="s">
        <v>5830</v>
      </c>
      <c r="B1571" s="17" t="s">
        <v>5827</v>
      </c>
      <c r="C1571" s="17" t="s">
        <v>5831</v>
      </c>
      <c r="D1571" s="19" t="s">
        <v>5832</v>
      </c>
      <c r="E1571" s="20" t="s">
        <v>104</v>
      </c>
      <c r="F1571" s="27">
        <v>30298.0</v>
      </c>
      <c r="G1571" s="14">
        <f t="shared" si="1"/>
        <v>43</v>
      </c>
      <c r="H1571" s="23" t="s">
        <v>26</v>
      </c>
      <c r="I1571" s="24" t="s">
        <v>33</v>
      </c>
      <c r="J1571" s="19" t="s">
        <v>206</v>
      </c>
      <c r="K1571" s="14">
        <v>4.0</v>
      </c>
      <c r="L1571" s="14">
        <v>0.0</v>
      </c>
      <c r="M1571" s="25"/>
      <c r="N1571" s="26" t="s">
        <v>21</v>
      </c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</row>
    <row r="1572">
      <c r="A1572" s="14" t="s">
        <v>5833</v>
      </c>
      <c r="B1572" s="17" t="s">
        <v>5827</v>
      </c>
      <c r="C1572" s="17" t="s">
        <v>5834</v>
      </c>
      <c r="D1572" s="19" t="s">
        <v>5835</v>
      </c>
      <c r="E1572" s="20" t="s">
        <v>104</v>
      </c>
      <c r="F1572" s="27">
        <v>39376.0</v>
      </c>
      <c r="G1572" s="14">
        <f t="shared" si="1"/>
        <v>19</v>
      </c>
      <c r="H1572" s="23" t="s">
        <v>100</v>
      </c>
      <c r="I1572" s="24" t="s">
        <v>33</v>
      </c>
      <c r="J1572" s="19" t="s">
        <v>206</v>
      </c>
      <c r="K1572" s="14">
        <v>4.0</v>
      </c>
      <c r="L1572" s="14">
        <v>0.0</v>
      </c>
      <c r="M1572" s="25"/>
      <c r="N1572" s="26" t="s">
        <v>21</v>
      </c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</row>
    <row r="1573">
      <c r="A1573" s="14" t="s">
        <v>5836</v>
      </c>
      <c r="B1573" s="17" t="s">
        <v>5837</v>
      </c>
      <c r="C1573" s="17" t="s">
        <v>5838</v>
      </c>
      <c r="D1573" s="19" t="s">
        <v>5839</v>
      </c>
      <c r="E1573" s="20" t="s">
        <v>104</v>
      </c>
      <c r="F1573" s="21">
        <v>35522.0</v>
      </c>
      <c r="G1573" s="14">
        <f t="shared" si="1"/>
        <v>29</v>
      </c>
      <c r="H1573" s="23" t="s">
        <v>100</v>
      </c>
      <c r="I1573" s="24" t="s">
        <v>33</v>
      </c>
      <c r="J1573" s="19" t="s">
        <v>257</v>
      </c>
      <c r="K1573" s="14">
        <v>1.0</v>
      </c>
      <c r="L1573" s="14">
        <v>7.0</v>
      </c>
      <c r="M1573" s="28" t="s">
        <v>5102</v>
      </c>
      <c r="N1573" s="26" t="s">
        <v>21</v>
      </c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</row>
    <row r="1574">
      <c r="A1574" s="14" t="s">
        <v>5840</v>
      </c>
      <c r="B1574" s="17" t="s">
        <v>5837</v>
      </c>
      <c r="C1574" s="17" t="s">
        <v>5841</v>
      </c>
      <c r="D1574" s="19" t="s">
        <v>5842</v>
      </c>
      <c r="E1574" s="20" t="s">
        <v>1291</v>
      </c>
      <c r="F1574" s="21">
        <v>26421.0</v>
      </c>
      <c r="G1574" s="14">
        <f t="shared" si="1"/>
        <v>54</v>
      </c>
      <c r="H1574" s="23" t="s">
        <v>26</v>
      </c>
      <c r="I1574" s="24" t="s">
        <v>27</v>
      </c>
      <c r="J1574" s="19" t="s">
        <v>257</v>
      </c>
      <c r="K1574" s="14">
        <v>1.0</v>
      </c>
      <c r="L1574" s="14">
        <v>0.0</v>
      </c>
      <c r="M1574" s="25"/>
      <c r="N1574" s="26" t="s">
        <v>21</v>
      </c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</row>
    <row r="1575">
      <c r="A1575" s="14" t="s">
        <v>5843</v>
      </c>
      <c r="B1575" s="17" t="s">
        <v>5837</v>
      </c>
      <c r="C1575" s="17" t="s">
        <v>5844</v>
      </c>
      <c r="D1575" s="19" t="s">
        <v>5845</v>
      </c>
      <c r="E1575" s="20" t="s">
        <v>434</v>
      </c>
      <c r="F1575" s="21">
        <v>24169.0</v>
      </c>
      <c r="G1575" s="14">
        <f t="shared" si="1"/>
        <v>60</v>
      </c>
      <c r="H1575" s="23" t="s">
        <v>26</v>
      </c>
      <c r="I1575" s="24" t="s">
        <v>33</v>
      </c>
      <c r="J1575" s="19" t="s">
        <v>257</v>
      </c>
      <c r="K1575" s="14">
        <v>1.0</v>
      </c>
      <c r="L1575" s="14">
        <v>0.0</v>
      </c>
      <c r="M1575" s="25"/>
      <c r="N1575" s="26" t="s">
        <v>21</v>
      </c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</row>
    <row r="1576">
      <c r="A1576" s="14" t="s">
        <v>5846</v>
      </c>
      <c r="B1576" s="17" t="s">
        <v>5847</v>
      </c>
      <c r="C1576" s="17" t="s">
        <v>5848</v>
      </c>
      <c r="D1576" s="19" t="s">
        <v>5849</v>
      </c>
      <c r="E1576" s="20" t="s">
        <v>104</v>
      </c>
      <c r="F1576" s="27">
        <v>37966.0</v>
      </c>
      <c r="G1576" s="14">
        <f t="shared" si="1"/>
        <v>22</v>
      </c>
      <c r="H1576" s="23" t="s">
        <v>100</v>
      </c>
      <c r="I1576" s="24" t="s">
        <v>27</v>
      </c>
      <c r="J1576" s="19" t="s">
        <v>517</v>
      </c>
      <c r="K1576" s="14">
        <v>5.0</v>
      </c>
      <c r="L1576" s="14">
        <v>0.0</v>
      </c>
      <c r="M1576" s="25"/>
      <c r="N1576" s="26" t="s">
        <v>21</v>
      </c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</row>
    <row r="1577">
      <c r="A1577" s="14" t="s">
        <v>5850</v>
      </c>
      <c r="B1577" s="17" t="s">
        <v>5847</v>
      </c>
      <c r="C1577" s="17" t="s">
        <v>5851</v>
      </c>
      <c r="D1577" s="19" t="s">
        <v>5852</v>
      </c>
      <c r="E1577" s="20" t="s">
        <v>654</v>
      </c>
      <c r="F1577" s="21">
        <v>25204.0</v>
      </c>
      <c r="G1577" s="14">
        <f t="shared" si="1"/>
        <v>57</v>
      </c>
      <c r="H1577" s="23" t="s">
        <v>26</v>
      </c>
      <c r="I1577" s="24" t="s">
        <v>33</v>
      </c>
      <c r="J1577" s="19" t="s">
        <v>517</v>
      </c>
      <c r="K1577" s="14">
        <v>5.0</v>
      </c>
      <c r="L1577" s="14">
        <v>0.0</v>
      </c>
      <c r="M1577" s="25"/>
      <c r="N1577" s="26" t="s">
        <v>21</v>
      </c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</row>
    <row r="1578">
      <c r="A1578" s="14" t="s">
        <v>5853</v>
      </c>
      <c r="B1578" s="17" t="s">
        <v>5847</v>
      </c>
      <c r="C1578" s="17" t="s">
        <v>5854</v>
      </c>
      <c r="D1578" s="19" t="s">
        <v>5855</v>
      </c>
      <c r="E1578" s="20" t="s">
        <v>104</v>
      </c>
      <c r="F1578" s="21">
        <v>28742.0</v>
      </c>
      <c r="G1578" s="14">
        <f t="shared" si="1"/>
        <v>48</v>
      </c>
      <c r="H1578" s="23" t="s">
        <v>26</v>
      </c>
      <c r="I1578" s="24" t="s">
        <v>27</v>
      </c>
      <c r="J1578" s="19" t="s">
        <v>517</v>
      </c>
      <c r="K1578" s="14">
        <v>5.0</v>
      </c>
      <c r="L1578" s="14">
        <v>0.0</v>
      </c>
      <c r="M1578" s="25"/>
      <c r="N1578" s="26" t="s">
        <v>21</v>
      </c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</row>
    <row r="1579">
      <c r="A1579" s="14" t="s">
        <v>5856</v>
      </c>
      <c r="B1579" s="17" t="s">
        <v>5857</v>
      </c>
      <c r="C1579" s="17" t="s">
        <v>5858</v>
      </c>
      <c r="D1579" s="19" t="s">
        <v>5859</v>
      </c>
      <c r="E1579" s="20" t="s">
        <v>434</v>
      </c>
      <c r="F1579" s="21">
        <v>26820.0</v>
      </c>
      <c r="G1579" s="14">
        <f t="shared" si="1"/>
        <v>53</v>
      </c>
      <c r="H1579" s="23" t="s">
        <v>26</v>
      </c>
      <c r="I1579" s="24" t="s">
        <v>27</v>
      </c>
      <c r="J1579" s="19" t="s">
        <v>2762</v>
      </c>
      <c r="K1579" s="14">
        <v>1.0</v>
      </c>
      <c r="L1579" s="14">
        <v>0.0</v>
      </c>
      <c r="M1579" s="25"/>
      <c r="N1579" s="26" t="s">
        <v>21</v>
      </c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</row>
    <row r="1580">
      <c r="A1580" s="14" t="s">
        <v>5860</v>
      </c>
      <c r="B1580" s="17" t="s">
        <v>5857</v>
      </c>
      <c r="C1580" s="17" t="s">
        <v>5861</v>
      </c>
      <c r="D1580" s="19" t="s">
        <v>5862</v>
      </c>
      <c r="E1580" s="20" t="s">
        <v>5863</v>
      </c>
      <c r="F1580" s="21">
        <v>24564.0</v>
      </c>
      <c r="G1580" s="14">
        <f t="shared" si="1"/>
        <v>59</v>
      </c>
      <c r="H1580" s="23" t="s">
        <v>26</v>
      </c>
      <c r="I1580" s="24" t="s">
        <v>33</v>
      </c>
      <c r="J1580" s="19" t="s">
        <v>2762</v>
      </c>
      <c r="K1580" s="14">
        <v>1.0</v>
      </c>
      <c r="L1580" s="14">
        <v>0.0</v>
      </c>
      <c r="M1580" s="25"/>
      <c r="N1580" s="26" t="s">
        <v>21</v>
      </c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</row>
    <row r="1581">
      <c r="A1581" s="14" t="s">
        <v>5864</v>
      </c>
      <c r="B1581" s="17" t="s">
        <v>662</v>
      </c>
      <c r="C1581" s="17" t="s">
        <v>5866</v>
      </c>
      <c r="D1581" s="19" t="s">
        <v>5867</v>
      </c>
      <c r="E1581" s="20" t="s">
        <v>337</v>
      </c>
      <c r="F1581" s="21">
        <v>36465.0</v>
      </c>
      <c r="G1581" s="14">
        <f t="shared" si="1"/>
        <v>26</v>
      </c>
      <c r="H1581" s="23" t="s">
        <v>26</v>
      </c>
      <c r="I1581" s="24" t="s">
        <v>27</v>
      </c>
      <c r="J1581" s="19" t="s">
        <v>2762</v>
      </c>
      <c r="K1581" s="14">
        <v>16.0</v>
      </c>
      <c r="L1581" s="14">
        <v>0.0</v>
      </c>
      <c r="M1581" s="25"/>
      <c r="N1581" s="26" t="s">
        <v>21</v>
      </c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</row>
    <row r="1582">
      <c r="A1582" s="14" t="s">
        <v>5868</v>
      </c>
      <c r="B1582" s="17" t="s">
        <v>5865</v>
      </c>
      <c r="C1582" s="38" t="s">
        <v>6280</v>
      </c>
      <c r="D1582" s="19" t="s">
        <v>5870</v>
      </c>
      <c r="E1582" s="20" t="s">
        <v>5871</v>
      </c>
      <c r="F1582" s="21">
        <v>25373.0</v>
      </c>
      <c r="G1582" s="14">
        <f t="shared" si="1"/>
        <v>57</v>
      </c>
      <c r="H1582" s="23" t="s">
        <v>26</v>
      </c>
      <c r="I1582" s="24" t="s">
        <v>33</v>
      </c>
      <c r="J1582" s="19" t="s">
        <v>146</v>
      </c>
      <c r="K1582" s="14">
        <v>1.0</v>
      </c>
      <c r="L1582" s="14">
        <v>0.0</v>
      </c>
      <c r="M1582" s="25"/>
      <c r="N1582" s="26" t="s">
        <v>21</v>
      </c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</row>
    <row r="1583">
      <c r="A1583" s="14" t="s">
        <v>5872</v>
      </c>
      <c r="B1583" s="17" t="s">
        <v>5865</v>
      </c>
      <c r="C1583" s="17" t="s">
        <v>5873</v>
      </c>
      <c r="D1583" s="19" t="s">
        <v>5874</v>
      </c>
      <c r="E1583" s="20" t="s">
        <v>219</v>
      </c>
      <c r="F1583" s="21">
        <v>26423.0</v>
      </c>
      <c r="G1583" s="14">
        <f t="shared" si="1"/>
        <v>54</v>
      </c>
      <c r="H1583" s="23" t="s">
        <v>26</v>
      </c>
      <c r="I1583" s="24" t="s">
        <v>27</v>
      </c>
      <c r="J1583" s="19" t="s">
        <v>2762</v>
      </c>
      <c r="K1583" s="14">
        <v>1.0</v>
      </c>
      <c r="L1583" s="14">
        <v>0.0</v>
      </c>
      <c r="M1583" s="25"/>
      <c r="N1583" s="26" t="s">
        <v>21</v>
      </c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</row>
    <row r="1584">
      <c r="A1584" s="14" t="s">
        <v>5875</v>
      </c>
      <c r="B1584" s="17" t="s">
        <v>5876</v>
      </c>
      <c r="C1584" s="17" t="s">
        <v>5877</v>
      </c>
      <c r="D1584" s="19" t="s">
        <v>5878</v>
      </c>
      <c r="E1584" s="20" t="s">
        <v>53</v>
      </c>
      <c r="F1584" s="21">
        <v>29779.0</v>
      </c>
      <c r="G1584" s="14">
        <f t="shared" si="1"/>
        <v>45</v>
      </c>
      <c r="H1584" s="23" t="s">
        <v>26</v>
      </c>
      <c r="I1584" s="24" t="s">
        <v>27</v>
      </c>
      <c r="J1584" s="19" t="s">
        <v>257</v>
      </c>
      <c r="K1584" s="14">
        <v>9.0</v>
      </c>
      <c r="L1584" s="14">
        <v>0.0</v>
      </c>
      <c r="M1584" s="25"/>
      <c r="N1584" s="26" t="s">
        <v>21</v>
      </c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</row>
    <row r="1585">
      <c r="A1585" s="14" t="s">
        <v>5879</v>
      </c>
      <c r="B1585" s="17" t="s">
        <v>5876</v>
      </c>
      <c r="C1585" s="17" t="s">
        <v>5880</v>
      </c>
      <c r="D1585" s="19" t="s">
        <v>5881</v>
      </c>
      <c r="E1585" s="20" t="s">
        <v>112</v>
      </c>
      <c r="F1585" s="21">
        <v>29687.0</v>
      </c>
      <c r="G1585" s="14">
        <f t="shared" si="1"/>
        <v>45</v>
      </c>
      <c r="H1585" s="23" t="s">
        <v>26</v>
      </c>
      <c r="I1585" s="24" t="s">
        <v>33</v>
      </c>
      <c r="J1585" s="19" t="s">
        <v>257</v>
      </c>
      <c r="K1585" s="14">
        <v>9.0</v>
      </c>
      <c r="L1585" s="14">
        <v>0.0</v>
      </c>
      <c r="M1585" s="25"/>
      <c r="N1585" s="26" t="s">
        <v>21</v>
      </c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</row>
    <row r="1586">
      <c r="A1586" s="14" t="s">
        <v>5882</v>
      </c>
      <c r="B1586" s="17" t="s">
        <v>5883</v>
      </c>
      <c r="C1586" s="17" t="s">
        <v>5884</v>
      </c>
      <c r="D1586" s="19" t="s">
        <v>5885</v>
      </c>
      <c r="E1586" s="20" t="s">
        <v>434</v>
      </c>
      <c r="F1586" s="21">
        <v>27552.0</v>
      </c>
      <c r="G1586" s="14">
        <f t="shared" si="1"/>
        <v>51</v>
      </c>
      <c r="H1586" s="23" t="s">
        <v>26</v>
      </c>
      <c r="I1586" s="24" t="s">
        <v>27</v>
      </c>
      <c r="J1586" s="19" t="s">
        <v>2762</v>
      </c>
      <c r="K1586" s="14">
        <v>1.0</v>
      </c>
      <c r="L1586" s="14">
        <v>0.0</v>
      </c>
      <c r="M1586" s="25"/>
      <c r="N1586" s="26" t="s">
        <v>21</v>
      </c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</row>
    <row r="1587">
      <c r="A1587" s="14" t="s">
        <v>5886</v>
      </c>
      <c r="B1587" s="17" t="s">
        <v>5883</v>
      </c>
      <c r="C1587" s="17" t="s">
        <v>5887</v>
      </c>
      <c r="D1587" s="19" t="s">
        <v>3173</v>
      </c>
      <c r="E1587" s="20" t="s">
        <v>5888</v>
      </c>
      <c r="F1587" s="21">
        <v>28968.0</v>
      </c>
      <c r="G1587" s="14">
        <f t="shared" si="1"/>
        <v>47</v>
      </c>
      <c r="H1587" s="23" t="s">
        <v>26</v>
      </c>
      <c r="I1587" s="24" t="s">
        <v>33</v>
      </c>
      <c r="J1587" s="19" t="s">
        <v>2762</v>
      </c>
      <c r="K1587" s="14">
        <v>1.0</v>
      </c>
      <c r="L1587" s="14">
        <v>0.0</v>
      </c>
      <c r="M1587" s="25"/>
      <c r="N1587" s="26" t="s">
        <v>21</v>
      </c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</row>
    <row r="1588">
      <c r="A1588" s="14" t="s">
        <v>5889</v>
      </c>
      <c r="B1588" s="17" t="s">
        <v>5890</v>
      </c>
      <c r="C1588" s="17" t="s">
        <v>5891</v>
      </c>
      <c r="D1588" s="19" t="s">
        <v>5892</v>
      </c>
      <c r="E1588" s="20" t="s">
        <v>434</v>
      </c>
      <c r="F1588" s="27">
        <v>26633.0</v>
      </c>
      <c r="G1588" s="14">
        <f t="shared" si="1"/>
        <v>53</v>
      </c>
      <c r="H1588" s="23" t="s">
        <v>26</v>
      </c>
      <c r="I1588" s="24" t="s">
        <v>33</v>
      </c>
      <c r="J1588" s="19" t="s">
        <v>2762</v>
      </c>
      <c r="K1588" s="14">
        <v>1.0</v>
      </c>
      <c r="L1588" s="14">
        <v>0.0</v>
      </c>
      <c r="M1588" s="25"/>
      <c r="N1588" s="26" t="s">
        <v>21</v>
      </c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</row>
    <row r="1589">
      <c r="A1589" s="14" t="s">
        <v>5893</v>
      </c>
      <c r="B1589" s="17" t="s">
        <v>5890</v>
      </c>
      <c r="C1589" s="17" t="s">
        <v>5894</v>
      </c>
      <c r="D1589" s="19" t="s">
        <v>3509</v>
      </c>
      <c r="E1589" s="20" t="s">
        <v>434</v>
      </c>
      <c r="F1589" s="21">
        <v>28009.0</v>
      </c>
      <c r="G1589" s="14">
        <f t="shared" si="1"/>
        <v>50</v>
      </c>
      <c r="H1589" s="23" t="s">
        <v>26</v>
      </c>
      <c r="I1589" s="24" t="s">
        <v>27</v>
      </c>
      <c r="J1589" s="19" t="s">
        <v>2762</v>
      </c>
      <c r="K1589" s="14">
        <v>1.0</v>
      </c>
      <c r="L1589" s="14">
        <v>0.0</v>
      </c>
      <c r="M1589" s="25"/>
      <c r="N1589" s="26" t="s">
        <v>21</v>
      </c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</row>
    <row r="1590">
      <c r="A1590" s="14" t="s">
        <v>5895</v>
      </c>
      <c r="B1590" s="17" t="s">
        <v>5896</v>
      </c>
      <c r="C1590" s="17" t="s">
        <v>5897</v>
      </c>
      <c r="D1590" s="19" t="s">
        <v>5898</v>
      </c>
      <c r="E1590" s="20" t="s">
        <v>104</v>
      </c>
      <c r="F1590" s="21">
        <v>28135.0</v>
      </c>
      <c r="G1590" s="14">
        <f t="shared" si="1"/>
        <v>49</v>
      </c>
      <c r="H1590" s="23" t="s">
        <v>26</v>
      </c>
      <c r="I1590" s="24" t="s">
        <v>27</v>
      </c>
      <c r="J1590" s="19" t="s">
        <v>53</v>
      </c>
      <c r="K1590" s="14">
        <v>18.0</v>
      </c>
      <c r="L1590" s="14">
        <v>0.0</v>
      </c>
      <c r="M1590" s="25"/>
      <c r="N1590" s="26" t="s">
        <v>21</v>
      </c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</row>
    <row r="1591">
      <c r="A1591" s="14" t="s">
        <v>5899</v>
      </c>
      <c r="B1591" s="17" t="s">
        <v>5896</v>
      </c>
      <c r="C1591" s="17" t="s">
        <v>5900</v>
      </c>
      <c r="D1591" s="19" t="s">
        <v>5901</v>
      </c>
      <c r="E1591" s="20" t="s">
        <v>104</v>
      </c>
      <c r="F1591" s="27">
        <v>39039.0</v>
      </c>
      <c r="G1591" s="14">
        <f t="shared" si="1"/>
        <v>19</v>
      </c>
      <c r="H1591" s="23" t="s">
        <v>100</v>
      </c>
      <c r="I1591" s="24" t="s">
        <v>27</v>
      </c>
      <c r="J1591" s="19" t="s">
        <v>53</v>
      </c>
      <c r="K1591" s="14">
        <v>18.0</v>
      </c>
      <c r="L1591" s="14">
        <v>0.0</v>
      </c>
      <c r="M1591" s="25"/>
      <c r="N1591" s="26" t="s">
        <v>21</v>
      </c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</row>
    <row r="1592">
      <c r="A1592" s="14" t="s">
        <v>5902</v>
      </c>
      <c r="B1592" s="17" t="s">
        <v>5896</v>
      </c>
      <c r="C1592" s="17" t="s">
        <v>5903</v>
      </c>
      <c r="D1592" s="19" t="s">
        <v>5904</v>
      </c>
      <c r="E1592" s="20" t="s">
        <v>67</v>
      </c>
      <c r="F1592" s="27">
        <v>26584.0</v>
      </c>
      <c r="G1592" s="14">
        <f t="shared" si="1"/>
        <v>54</v>
      </c>
      <c r="H1592" s="23" t="s">
        <v>26</v>
      </c>
      <c r="I1592" s="24" t="s">
        <v>33</v>
      </c>
      <c r="J1592" s="19" t="s">
        <v>53</v>
      </c>
      <c r="K1592" s="14">
        <v>18.0</v>
      </c>
      <c r="L1592" s="14">
        <v>0.0</v>
      </c>
      <c r="M1592" s="25"/>
      <c r="N1592" s="26" t="s">
        <v>21</v>
      </c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</row>
    <row r="1593">
      <c r="A1593" s="14" t="s">
        <v>5905</v>
      </c>
      <c r="B1593" s="17" t="s">
        <v>5906</v>
      </c>
      <c r="C1593" s="17" t="s">
        <v>5907</v>
      </c>
      <c r="D1593" s="19" t="s">
        <v>5908</v>
      </c>
      <c r="E1593" s="20" t="s">
        <v>5909</v>
      </c>
      <c r="F1593" s="27">
        <v>31728.0</v>
      </c>
      <c r="G1593" s="14">
        <f t="shared" si="1"/>
        <v>39</v>
      </c>
      <c r="H1593" s="23" t="s">
        <v>26</v>
      </c>
      <c r="I1593" s="24" t="s">
        <v>27</v>
      </c>
      <c r="J1593" s="19" t="s">
        <v>53</v>
      </c>
      <c r="K1593" s="14">
        <v>20.0</v>
      </c>
      <c r="L1593" s="14">
        <v>0.0</v>
      </c>
      <c r="M1593" s="25"/>
      <c r="N1593" s="26" t="s">
        <v>21</v>
      </c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</row>
    <row r="1594">
      <c r="A1594" s="14" t="s">
        <v>5910</v>
      </c>
      <c r="B1594" s="17" t="s">
        <v>5906</v>
      </c>
      <c r="C1594" s="17" t="s">
        <v>5911</v>
      </c>
      <c r="D1594" s="19" t="s">
        <v>5912</v>
      </c>
      <c r="E1594" s="20" t="s">
        <v>104</v>
      </c>
      <c r="F1594" s="21">
        <v>31055.0</v>
      </c>
      <c r="G1594" s="14">
        <f t="shared" si="1"/>
        <v>41</v>
      </c>
      <c r="H1594" s="23" t="s">
        <v>26</v>
      </c>
      <c r="I1594" s="24" t="s">
        <v>33</v>
      </c>
      <c r="J1594" s="19" t="s">
        <v>53</v>
      </c>
      <c r="K1594" s="14">
        <v>20.0</v>
      </c>
      <c r="L1594" s="14">
        <v>0.0</v>
      </c>
      <c r="M1594" s="25"/>
      <c r="N1594" s="26" t="s">
        <v>21</v>
      </c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</row>
    <row r="1595">
      <c r="A1595" s="14" t="s">
        <v>5913</v>
      </c>
      <c r="B1595" s="17" t="s">
        <v>5914</v>
      </c>
      <c r="C1595" s="17" t="s">
        <v>5915</v>
      </c>
      <c r="D1595" s="19" t="s">
        <v>5916</v>
      </c>
      <c r="E1595" s="20" t="s">
        <v>632</v>
      </c>
      <c r="F1595" s="21">
        <v>21858.0</v>
      </c>
      <c r="G1595" s="14">
        <f t="shared" si="1"/>
        <v>66</v>
      </c>
      <c r="H1595" s="23" t="s">
        <v>26</v>
      </c>
      <c r="I1595" s="24" t="s">
        <v>27</v>
      </c>
      <c r="J1595" s="19" t="s">
        <v>58</v>
      </c>
      <c r="K1595" s="14">
        <v>36.0</v>
      </c>
      <c r="L1595" s="14">
        <v>0.0</v>
      </c>
      <c r="M1595" s="25"/>
      <c r="N1595" s="26" t="s">
        <v>21</v>
      </c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</row>
    <row r="1596">
      <c r="A1596" s="14" t="s">
        <v>5917</v>
      </c>
      <c r="B1596" s="17" t="s">
        <v>5914</v>
      </c>
      <c r="C1596" s="17" t="s">
        <v>5918</v>
      </c>
      <c r="D1596" s="19" t="s">
        <v>5919</v>
      </c>
      <c r="E1596" s="20" t="s">
        <v>544</v>
      </c>
      <c r="F1596" s="27">
        <v>24032.0</v>
      </c>
      <c r="G1596" s="14">
        <f t="shared" si="1"/>
        <v>61</v>
      </c>
      <c r="H1596" s="23" t="s">
        <v>26</v>
      </c>
      <c r="I1596" s="24" t="s">
        <v>33</v>
      </c>
      <c r="J1596" s="19" t="s">
        <v>58</v>
      </c>
      <c r="K1596" s="14">
        <v>36.0</v>
      </c>
      <c r="L1596" s="14">
        <v>0.0</v>
      </c>
      <c r="M1596" s="25"/>
      <c r="N1596" s="26" t="s">
        <v>21</v>
      </c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</row>
    <row r="1597">
      <c r="A1597" s="14" t="s">
        <v>5920</v>
      </c>
      <c r="B1597" s="17" t="s">
        <v>5921</v>
      </c>
      <c r="C1597" s="17" t="s">
        <v>5922</v>
      </c>
      <c r="D1597" s="19" t="s">
        <v>5923</v>
      </c>
      <c r="E1597" s="20" t="s">
        <v>138</v>
      </c>
      <c r="F1597" s="27">
        <v>39044.0</v>
      </c>
      <c r="G1597" s="14">
        <f t="shared" si="1"/>
        <v>19</v>
      </c>
      <c r="H1597" s="23" t="s">
        <v>100</v>
      </c>
      <c r="I1597" s="24" t="s">
        <v>27</v>
      </c>
      <c r="J1597" s="19" t="s">
        <v>5924</v>
      </c>
      <c r="K1597" s="14">
        <v>16.0</v>
      </c>
      <c r="L1597" s="14">
        <v>0.0</v>
      </c>
      <c r="M1597" s="25"/>
      <c r="N1597" s="26" t="s">
        <v>21</v>
      </c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</row>
    <row r="1598">
      <c r="A1598" s="14" t="s">
        <v>5925</v>
      </c>
      <c r="B1598" s="17" t="s">
        <v>5921</v>
      </c>
      <c r="C1598" s="17" t="s">
        <v>5926</v>
      </c>
      <c r="D1598" s="19" t="s">
        <v>5454</v>
      </c>
      <c r="E1598" s="20" t="s">
        <v>104</v>
      </c>
      <c r="F1598" s="27">
        <v>31030.0</v>
      </c>
      <c r="G1598" s="14">
        <f t="shared" si="1"/>
        <v>41</v>
      </c>
      <c r="H1598" s="23" t="s">
        <v>26</v>
      </c>
      <c r="I1598" s="24" t="s">
        <v>33</v>
      </c>
      <c r="J1598" s="19" t="s">
        <v>5924</v>
      </c>
      <c r="K1598" s="14">
        <v>16.0</v>
      </c>
      <c r="L1598" s="14">
        <v>0.0</v>
      </c>
      <c r="M1598" s="25"/>
      <c r="N1598" s="26" t="s">
        <v>21</v>
      </c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</row>
    <row r="1599">
      <c r="A1599" s="14" t="s">
        <v>5927</v>
      </c>
      <c r="B1599" s="17" t="s">
        <v>5921</v>
      </c>
      <c r="C1599" s="17" t="s">
        <v>5928</v>
      </c>
      <c r="D1599" s="19" t="s">
        <v>5929</v>
      </c>
      <c r="E1599" s="20" t="s">
        <v>104</v>
      </c>
      <c r="F1599" s="21">
        <v>32568.0</v>
      </c>
      <c r="G1599" s="14">
        <f t="shared" si="1"/>
        <v>37</v>
      </c>
      <c r="H1599" s="23" t="s">
        <v>26</v>
      </c>
      <c r="I1599" s="24" t="s">
        <v>27</v>
      </c>
      <c r="J1599" s="19" t="s">
        <v>5924</v>
      </c>
      <c r="K1599" s="14">
        <v>16.0</v>
      </c>
      <c r="L1599" s="14">
        <v>0.0</v>
      </c>
      <c r="M1599" s="25"/>
      <c r="N1599" s="26" t="s">
        <v>21</v>
      </c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</row>
    <row r="1600">
      <c r="A1600" s="14" t="s">
        <v>5930</v>
      </c>
      <c r="B1600" s="17" t="s">
        <v>5931</v>
      </c>
      <c r="C1600" s="17" t="s">
        <v>5932</v>
      </c>
      <c r="D1600" s="19" t="s">
        <v>5933</v>
      </c>
      <c r="E1600" s="20" t="s">
        <v>1095</v>
      </c>
      <c r="F1600" s="21">
        <v>33278.0</v>
      </c>
      <c r="G1600" s="14">
        <f t="shared" si="1"/>
        <v>35</v>
      </c>
      <c r="H1600" s="23" t="s">
        <v>27</v>
      </c>
      <c r="I1600" s="24" t="s">
        <v>33</v>
      </c>
      <c r="J1600" s="19" t="s">
        <v>362</v>
      </c>
      <c r="K1600" s="14">
        <v>24.0</v>
      </c>
      <c r="L1600" s="14">
        <v>0.0</v>
      </c>
      <c r="M1600" s="28" t="s">
        <v>6351</v>
      </c>
      <c r="N1600" s="26" t="s">
        <v>21</v>
      </c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</row>
    <row r="1601">
      <c r="A1601" s="14" t="s">
        <v>5934</v>
      </c>
      <c r="B1601" s="17" t="s">
        <v>5935</v>
      </c>
      <c r="C1601" s="17" t="s">
        <v>5936</v>
      </c>
      <c r="D1601" s="19" t="s">
        <v>5937</v>
      </c>
      <c r="E1601" s="20" t="s">
        <v>104</v>
      </c>
      <c r="F1601" s="21">
        <v>33278.0</v>
      </c>
      <c r="G1601" s="14">
        <f t="shared" si="1"/>
        <v>35</v>
      </c>
      <c r="H1601" s="23" t="s">
        <v>26</v>
      </c>
      <c r="I1601" s="24" t="s">
        <v>33</v>
      </c>
      <c r="J1601" s="19" t="s">
        <v>68</v>
      </c>
      <c r="K1601" s="14">
        <v>31.0</v>
      </c>
      <c r="L1601" s="14">
        <v>0.0</v>
      </c>
      <c r="M1601" s="25"/>
      <c r="N1601" s="26" t="s">
        <v>21</v>
      </c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</row>
    <row r="1602">
      <c r="A1602" s="14" t="s">
        <v>5938</v>
      </c>
      <c r="B1602" s="17" t="s">
        <v>5939</v>
      </c>
      <c r="C1602" s="17" t="s">
        <v>5940</v>
      </c>
      <c r="D1602" s="19" t="s">
        <v>5941</v>
      </c>
      <c r="E1602" s="20" t="s">
        <v>53</v>
      </c>
      <c r="F1602" s="21">
        <v>37593.0</v>
      </c>
      <c r="G1602" s="14">
        <f t="shared" si="1"/>
        <v>23</v>
      </c>
      <c r="H1602" s="23" t="s">
        <v>100</v>
      </c>
      <c r="I1602" s="24" t="s">
        <v>33</v>
      </c>
      <c r="J1602" s="19" t="s">
        <v>5942</v>
      </c>
      <c r="K1602" s="14">
        <v>18.0</v>
      </c>
      <c r="L1602" s="14">
        <v>0.0</v>
      </c>
      <c r="M1602" s="25"/>
      <c r="N1602" s="26" t="s">
        <v>21</v>
      </c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</row>
    <row r="1603">
      <c r="A1603" s="14" t="s">
        <v>5943</v>
      </c>
      <c r="B1603" s="17" t="s">
        <v>5939</v>
      </c>
      <c r="C1603" s="17" t="s">
        <v>5944</v>
      </c>
      <c r="D1603" s="19" t="s">
        <v>5945</v>
      </c>
      <c r="E1603" s="20" t="s">
        <v>104</v>
      </c>
      <c r="F1603" s="27">
        <v>29573.0</v>
      </c>
      <c r="G1603" s="14">
        <f t="shared" si="1"/>
        <v>45</v>
      </c>
      <c r="H1603" s="23" t="s">
        <v>26</v>
      </c>
      <c r="I1603" s="24" t="s">
        <v>27</v>
      </c>
      <c r="J1603" s="19" t="s">
        <v>5942</v>
      </c>
      <c r="K1603" s="14">
        <v>18.0</v>
      </c>
      <c r="L1603" s="14">
        <v>0.0</v>
      </c>
      <c r="M1603" s="25"/>
      <c r="N1603" s="26" t="s">
        <v>21</v>
      </c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</row>
    <row r="1604">
      <c r="A1604" s="14" t="s">
        <v>5946</v>
      </c>
      <c r="B1604" s="17" t="s">
        <v>5939</v>
      </c>
      <c r="C1604" s="17" t="s">
        <v>5947</v>
      </c>
      <c r="D1604" s="19" t="s">
        <v>5948</v>
      </c>
      <c r="E1604" s="20" t="s">
        <v>5271</v>
      </c>
      <c r="F1604" s="27">
        <v>28048.0</v>
      </c>
      <c r="G1604" s="14">
        <f t="shared" si="1"/>
        <v>50</v>
      </c>
      <c r="H1604" s="23" t="s">
        <v>26</v>
      </c>
      <c r="I1604" s="24" t="s">
        <v>33</v>
      </c>
      <c r="J1604" s="19" t="s">
        <v>5942</v>
      </c>
      <c r="K1604" s="14">
        <v>18.0</v>
      </c>
      <c r="L1604" s="14">
        <v>0.0</v>
      </c>
      <c r="M1604" s="25"/>
      <c r="N1604" s="26" t="s">
        <v>21</v>
      </c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</row>
    <row r="1605">
      <c r="A1605" s="14" t="s">
        <v>5949</v>
      </c>
      <c r="B1605" s="17" t="s">
        <v>5950</v>
      </c>
      <c r="C1605" s="17" t="s">
        <v>6365</v>
      </c>
      <c r="D1605" s="19" t="s">
        <v>5952</v>
      </c>
      <c r="E1605" s="20" t="s">
        <v>654</v>
      </c>
      <c r="F1605" s="27">
        <v>15655.0</v>
      </c>
      <c r="G1605" s="14">
        <f t="shared" si="1"/>
        <v>83</v>
      </c>
      <c r="H1605" s="23" t="s">
        <v>27</v>
      </c>
      <c r="I1605" s="24" t="s">
        <v>33</v>
      </c>
      <c r="J1605" s="19" t="s">
        <v>5953</v>
      </c>
      <c r="K1605" s="14">
        <v>17.0</v>
      </c>
      <c r="L1605" s="14">
        <v>0.0</v>
      </c>
      <c r="M1605" s="25"/>
      <c r="N1605" s="26" t="s">
        <v>21</v>
      </c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</row>
    <row r="1606">
      <c r="A1606" s="14" t="s">
        <v>5954</v>
      </c>
      <c r="B1606" s="17" t="s">
        <v>5955</v>
      </c>
      <c r="C1606" s="17" t="s">
        <v>5956</v>
      </c>
      <c r="D1606" s="19" t="s">
        <v>5957</v>
      </c>
      <c r="E1606" s="20" t="s">
        <v>104</v>
      </c>
      <c r="F1606" s="21">
        <v>29891.0</v>
      </c>
      <c r="G1606" s="14">
        <f t="shared" si="1"/>
        <v>44</v>
      </c>
      <c r="H1606" s="23" t="s">
        <v>26</v>
      </c>
      <c r="I1606" s="24" t="s">
        <v>27</v>
      </c>
      <c r="J1606" s="19" t="s">
        <v>362</v>
      </c>
      <c r="K1606" s="14">
        <v>27.0</v>
      </c>
      <c r="L1606" s="14">
        <v>0.0</v>
      </c>
      <c r="M1606" s="25"/>
      <c r="N1606" s="26" t="s">
        <v>21</v>
      </c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</row>
    <row r="1607">
      <c r="A1607" s="14" t="s">
        <v>5958</v>
      </c>
      <c r="B1607" s="17" t="s">
        <v>5955</v>
      </c>
      <c r="C1607" s="17" t="s">
        <v>5959</v>
      </c>
      <c r="D1607" s="19" t="s">
        <v>5960</v>
      </c>
      <c r="E1607" s="20" t="s">
        <v>104</v>
      </c>
      <c r="F1607" s="21">
        <v>39284.0</v>
      </c>
      <c r="G1607" s="14">
        <f t="shared" si="1"/>
        <v>19</v>
      </c>
      <c r="H1607" s="23" t="s">
        <v>100</v>
      </c>
      <c r="I1607" s="24" t="s">
        <v>33</v>
      </c>
      <c r="J1607" s="19" t="s">
        <v>362</v>
      </c>
      <c r="K1607" s="14">
        <v>27.0</v>
      </c>
      <c r="L1607" s="14">
        <v>0.0</v>
      </c>
      <c r="M1607" s="25"/>
      <c r="N1607" s="26" t="s">
        <v>21</v>
      </c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</row>
    <row r="1608">
      <c r="A1608" s="14" t="s">
        <v>5961</v>
      </c>
      <c r="B1608" s="17" t="s">
        <v>5955</v>
      </c>
      <c r="C1608" s="17" t="s">
        <v>5962</v>
      </c>
      <c r="D1608" s="19" t="s">
        <v>5963</v>
      </c>
      <c r="E1608" s="20" t="s">
        <v>104</v>
      </c>
      <c r="F1608" s="21">
        <v>29619.0</v>
      </c>
      <c r="G1608" s="14">
        <f t="shared" si="1"/>
        <v>45</v>
      </c>
      <c r="H1608" s="23" t="s">
        <v>26</v>
      </c>
      <c r="I1608" s="24" t="s">
        <v>33</v>
      </c>
      <c r="J1608" s="19" t="s">
        <v>362</v>
      </c>
      <c r="K1608" s="14">
        <v>27.0</v>
      </c>
      <c r="L1608" s="14">
        <v>0.0</v>
      </c>
      <c r="M1608" s="25"/>
      <c r="N1608" s="26" t="s">
        <v>21</v>
      </c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</row>
    <row r="1609">
      <c r="A1609" s="14" t="s">
        <v>5964</v>
      </c>
      <c r="B1609" s="17" t="s">
        <v>5965</v>
      </c>
      <c r="C1609" s="17" t="s">
        <v>5966</v>
      </c>
      <c r="D1609" s="19" t="s">
        <v>5967</v>
      </c>
      <c r="E1609" s="20" t="s">
        <v>5968</v>
      </c>
      <c r="F1609" s="21">
        <v>37989.0</v>
      </c>
      <c r="G1609" s="14">
        <f t="shared" si="1"/>
        <v>22</v>
      </c>
      <c r="H1609" s="23" t="s">
        <v>100</v>
      </c>
      <c r="I1609" s="24" t="s">
        <v>27</v>
      </c>
      <c r="J1609" s="19" t="s">
        <v>68</v>
      </c>
      <c r="K1609" s="14">
        <v>29.0</v>
      </c>
      <c r="L1609" s="14">
        <v>0.0</v>
      </c>
      <c r="M1609" s="25"/>
      <c r="N1609" s="26" t="s">
        <v>21</v>
      </c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</row>
    <row r="1610">
      <c r="A1610" s="14" t="s">
        <v>5969</v>
      </c>
      <c r="B1610" s="17" t="s">
        <v>5965</v>
      </c>
      <c r="C1610" s="17" t="s">
        <v>5970</v>
      </c>
      <c r="D1610" s="19" t="s">
        <v>5971</v>
      </c>
      <c r="E1610" s="20" t="s">
        <v>290</v>
      </c>
      <c r="F1610" s="21">
        <v>24511.0</v>
      </c>
      <c r="G1610" s="14">
        <f t="shared" si="1"/>
        <v>59</v>
      </c>
      <c r="H1610" s="23" t="s">
        <v>26</v>
      </c>
      <c r="I1610" s="24" t="s">
        <v>33</v>
      </c>
      <c r="J1610" s="19" t="s">
        <v>68</v>
      </c>
      <c r="K1610" s="14">
        <v>29.0</v>
      </c>
      <c r="L1610" s="14">
        <v>0.0</v>
      </c>
      <c r="M1610" s="25"/>
      <c r="N1610" s="26" t="s">
        <v>21</v>
      </c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</row>
    <row r="1611">
      <c r="A1611" s="14" t="s">
        <v>5972</v>
      </c>
      <c r="B1611" s="17" t="s">
        <v>5965</v>
      </c>
      <c r="C1611" s="17" t="s">
        <v>5973</v>
      </c>
      <c r="D1611" s="19" t="s">
        <v>3818</v>
      </c>
      <c r="E1611" s="20" t="s">
        <v>4976</v>
      </c>
      <c r="F1611" s="21">
        <v>25822.0</v>
      </c>
      <c r="G1611" s="14">
        <f t="shared" si="1"/>
        <v>56</v>
      </c>
      <c r="H1611" s="23" t="s">
        <v>26</v>
      </c>
      <c r="I1611" s="24" t="s">
        <v>27</v>
      </c>
      <c r="J1611" s="19" t="s">
        <v>68</v>
      </c>
      <c r="K1611" s="14">
        <v>29.0</v>
      </c>
      <c r="L1611" s="14">
        <v>0.0</v>
      </c>
      <c r="M1611" s="25"/>
      <c r="N1611" s="26" t="s">
        <v>21</v>
      </c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</row>
    <row r="1612">
      <c r="A1612" s="14" t="s">
        <v>5974</v>
      </c>
      <c r="B1612" s="17" t="s">
        <v>5975</v>
      </c>
      <c r="C1612" s="17" t="s">
        <v>5976</v>
      </c>
      <c r="D1612" s="19" t="s">
        <v>5977</v>
      </c>
      <c r="E1612" s="20" t="s">
        <v>53</v>
      </c>
      <c r="F1612" s="21">
        <v>31282.0</v>
      </c>
      <c r="G1612" s="14">
        <f t="shared" si="1"/>
        <v>41</v>
      </c>
      <c r="H1612" s="23" t="s">
        <v>26</v>
      </c>
      <c r="I1612" s="24" t="s">
        <v>33</v>
      </c>
      <c r="J1612" s="19" t="s">
        <v>146</v>
      </c>
      <c r="K1612" s="14">
        <v>8.0</v>
      </c>
      <c r="L1612" s="14">
        <v>0.0</v>
      </c>
      <c r="M1612" s="25"/>
      <c r="N1612" s="26" t="s">
        <v>21</v>
      </c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</row>
    <row r="1613">
      <c r="A1613" s="14" t="s">
        <v>5978</v>
      </c>
      <c r="B1613" s="17" t="s">
        <v>5975</v>
      </c>
      <c r="C1613" s="17" t="s">
        <v>5979</v>
      </c>
      <c r="D1613" s="19" t="s">
        <v>5980</v>
      </c>
      <c r="E1613" s="20" t="s">
        <v>5981</v>
      </c>
      <c r="F1613" s="21">
        <v>32975.0</v>
      </c>
      <c r="G1613" s="14">
        <f t="shared" si="1"/>
        <v>36</v>
      </c>
      <c r="H1613" s="23" t="s">
        <v>26</v>
      </c>
      <c r="I1613" s="24" t="s">
        <v>27</v>
      </c>
      <c r="J1613" s="19" t="s">
        <v>146</v>
      </c>
      <c r="K1613" s="14">
        <v>8.0</v>
      </c>
      <c r="L1613" s="14">
        <v>0.0</v>
      </c>
      <c r="M1613" s="25"/>
      <c r="N1613" s="26" t="s">
        <v>21</v>
      </c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</row>
    <row r="1614">
      <c r="A1614" s="14" t="s">
        <v>5982</v>
      </c>
      <c r="B1614" s="17" t="s">
        <v>5983</v>
      </c>
      <c r="C1614" s="17" t="s">
        <v>5984</v>
      </c>
      <c r="D1614" s="19" t="s">
        <v>5985</v>
      </c>
      <c r="E1614" s="20" t="s">
        <v>1846</v>
      </c>
      <c r="F1614" s="21">
        <v>30838.0</v>
      </c>
      <c r="G1614" s="14">
        <f t="shared" si="1"/>
        <v>42</v>
      </c>
      <c r="H1614" s="23" t="s">
        <v>26</v>
      </c>
      <c r="I1614" s="24" t="s">
        <v>33</v>
      </c>
      <c r="J1614" s="19" t="s">
        <v>5770</v>
      </c>
      <c r="K1614" s="14">
        <v>25.0</v>
      </c>
      <c r="L1614" s="14">
        <v>0.0</v>
      </c>
      <c r="M1614" s="25"/>
      <c r="N1614" s="26" t="s">
        <v>21</v>
      </c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</row>
    <row r="1615">
      <c r="A1615" s="14" t="s">
        <v>5986</v>
      </c>
      <c r="B1615" s="17" t="s">
        <v>5983</v>
      </c>
      <c r="C1615" s="17" t="s">
        <v>5987</v>
      </c>
      <c r="D1615" s="19" t="s">
        <v>5988</v>
      </c>
      <c r="E1615" s="20" t="s">
        <v>104</v>
      </c>
      <c r="F1615" s="21">
        <v>39345.0</v>
      </c>
      <c r="G1615" s="14">
        <f t="shared" si="1"/>
        <v>19</v>
      </c>
      <c r="H1615" s="23" t="s">
        <v>100</v>
      </c>
      <c r="I1615" s="24" t="s">
        <v>27</v>
      </c>
      <c r="J1615" s="19" t="s">
        <v>362</v>
      </c>
      <c r="K1615" s="14">
        <v>25.0</v>
      </c>
      <c r="L1615" s="14">
        <v>0.0</v>
      </c>
      <c r="M1615" s="25"/>
      <c r="N1615" s="26" t="s">
        <v>21</v>
      </c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</row>
    <row r="1616">
      <c r="A1616" s="14" t="s">
        <v>5989</v>
      </c>
      <c r="B1616" s="17" t="s">
        <v>5983</v>
      </c>
      <c r="C1616" s="17" t="s">
        <v>5990</v>
      </c>
      <c r="D1616" s="19" t="s">
        <v>5991</v>
      </c>
      <c r="E1616" s="20" t="s">
        <v>104</v>
      </c>
      <c r="F1616" s="27">
        <v>28818.0</v>
      </c>
      <c r="G1616" s="14">
        <f t="shared" si="1"/>
        <v>47</v>
      </c>
      <c r="H1616" s="23" t="s">
        <v>26</v>
      </c>
      <c r="I1616" s="24" t="s">
        <v>27</v>
      </c>
      <c r="J1616" s="19" t="s">
        <v>362</v>
      </c>
      <c r="K1616" s="14">
        <v>25.0</v>
      </c>
      <c r="L1616" s="14">
        <v>0.0</v>
      </c>
      <c r="M1616" s="25"/>
      <c r="N1616" s="26" t="s">
        <v>21</v>
      </c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</row>
    <row r="1617">
      <c r="A1617" s="14" t="s">
        <v>5992</v>
      </c>
      <c r="B1617" s="17" t="s">
        <v>5983</v>
      </c>
      <c r="C1617" s="17" t="s">
        <v>5993</v>
      </c>
      <c r="D1617" s="19" t="s">
        <v>5994</v>
      </c>
      <c r="E1617" s="20" t="s">
        <v>104</v>
      </c>
      <c r="F1617" s="21">
        <v>37327.0</v>
      </c>
      <c r="G1617" s="14">
        <f t="shared" si="1"/>
        <v>24</v>
      </c>
      <c r="H1617" s="23" t="s">
        <v>100</v>
      </c>
      <c r="I1617" s="24" t="s">
        <v>27</v>
      </c>
      <c r="J1617" s="19" t="s">
        <v>362</v>
      </c>
      <c r="K1617" s="14">
        <v>25.0</v>
      </c>
      <c r="L1617" s="14">
        <v>0.0</v>
      </c>
      <c r="M1617" s="25"/>
      <c r="N1617" s="26" t="s">
        <v>21</v>
      </c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</row>
    <row r="1618">
      <c r="A1618" s="14" t="s">
        <v>5995</v>
      </c>
      <c r="B1618" s="17" t="s">
        <v>5996</v>
      </c>
      <c r="C1618" s="17" t="s">
        <v>5997</v>
      </c>
      <c r="D1618" s="19" t="s">
        <v>5998</v>
      </c>
      <c r="E1618" s="20" t="s">
        <v>104</v>
      </c>
      <c r="F1618" s="21">
        <v>35622.0</v>
      </c>
      <c r="G1618" s="14">
        <f t="shared" si="1"/>
        <v>29</v>
      </c>
      <c r="H1618" s="23" t="s">
        <v>26</v>
      </c>
      <c r="I1618" s="24" t="s">
        <v>33</v>
      </c>
      <c r="J1618" s="19" t="s">
        <v>53</v>
      </c>
      <c r="K1618" s="14">
        <v>25.0</v>
      </c>
      <c r="L1618" s="14">
        <v>0.0</v>
      </c>
      <c r="M1618" s="25"/>
      <c r="N1618" s="26" t="s">
        <v>21</v>
      </c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</row>
    <row r="1619">
      <c r="A1619" s="14" t="s">
        <v>5999</v>
      </c>
      <c r="B1619" s="17" t="s">
        <v>5996</v>
      </c>
      <c r="C1619" s="17" t="s">
        <v>6000</v>
      </c>
      <c r="D1619" s="19" t="s">
        <v>6001</v>
      </c>
      <c r="E1619" s="20" t="s">
        <v>6002</v>
      </c>
      <c r="F1619" s="21">
        <v>35529.0</v>
      </c>
      <c r="G1619" s="14">
        <f t="shared" si="1"/>
        <v>29</v>
      </c>
      <c r="H1619" s="23" t="s">
        <v>26</v>
      </c>
      <c r="I1619" s="24" t="s">
        <v>27</v>
      </c>
      <c r="J1619" s="19" t="s">
        <v>53</v>
      </c>
      <c r="K1619" s="14">
        <v>25.0</v>
      </c>
      <c r="L1619" s="14">
        <v>0.0</v>
      </c>
      <c r="M1619" s="25"/>
      <c r="N1619" s="26" t="s">
        <v>21</v>
      </c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</row>
    <row r="1620">
      <c r="A1620" s="14" t="s">
        <v>6003</v>
      </c>
      <c r="B1620" s="32" t="s">
        <v>6004</v>
      </c>
      <c r="C1620" s="17" t="s">
        <v>6005</v>
      </c>
      <c r="D1620" s="19" t="s">
        <v>6006</v>
      </c>
      <c r="E1620" s="20" t="s">
        <v>104</v>
      </c>
      <c r="F1620" s="21">
        <v>38773.0</v>
      </c>
      <c r="G1620" s="14">
        <f t="shared" si="1"/>
        <v>20</v>
      </c>
      <c r="H1620" s="23" t="s">
        <v>26</v>
      </c>
      <c r="I1620" s="24" t="s">
        <v>27</v>
      </c>
      <c r="J1620" s="19" t="s">
        <v>726</v>
      </c>
      <c r="K1620" s="14">
        <v>12.0</v>
      </c>
      <c r="L1620" s="14">
        <v>0.0</v>
      </c>
      <c r="M1620" s="25"/>
      <c r="N1620" s="26" t="s">
        <v>21</v>
      </c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</row>
    <row r="1621">
      <c r="A1621" s="14" t="s">
        <v>6007</v>
      </c>
      <c r="B1621" s="38" t="s">
        <v>6423</v>
      </c>
      <c r="C1621" s="17" t="s">
        <v>6009</v>
      </c>
      <c r="D1621" s="19" t="s">
        <v>6010</v>
      </c>
      <c r="E1621" s="20" t="s">
        <v>104</v>
      </c>
      <c r="F1621" s="21">
        <v>34509.0</v>
      </c>
      <c r="G1621" s="14">
        <f t="shared" si="1"/>
        <v>32</v>
      </c>
      <c r="H1621" s="23" t="s">
        <v>100</v>
      </c>
      <c r="I1621" s="24" t="s">
        <v>33</v>
      </c>
      <c r="J1621" s="19" t="s">
        <v>53</v>
      </c>
      <c r="K1621" s="14">
        <v>10.0</v>
      </c>
      <c r="L1621" s="14">
        <v>0.0</v>
      </c>
      <c r="M1621" s="25"/>
      <c r="N1621" s="26" t="s">
        <v>21</v>
      </c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</row>
    <row r="1622">
      <c r="A1622" s="14" t="s">
        <v>6011</v>
      </c>
      <c r="B1622" s="17" t="s">
        <v>6012</v>
      </c>
      <c r="C1622" s="17" t="s">
        <v>6013</v>
      </c>
      <c r="D1622" s="19" t="s">
        <v>6014</v>
      </c>
      <c r="E1622" s="20" t="s">
        <v>104</v>
      </c>
      <c r="F1622" s="21">
        <v>29271.0</v>
      </c>
      <c r="G1622" s="14">
        <f t="shared" si="1"/>
        <v>46</v>
      </c>
      <c r="H1622" s="23" t="s">
        <v>26</v>
      </c>
      <c r="I1622" s="24" t="s">
        <v>33</v>
      </c>
      <c r="J1622" s="19" t="s">
        <v>517</v>
      </c>
      <c r="K1622" s="14">
        <v>36.0</v>
      </c>
      <c r="L1622" s="14">
        <v>0.0</v>
      </c>
      <c r="M1622" s="28" t="s">
        <v>947</v>
      </c>
      <c r="N1622" s="26" t="s">
        <v>21</v>
      </c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</row>
    <row r="1623">
      <c r="A1623" s="14" t="s">
        <v>6015</v>
      </c>
      <c r="B1623" s="17" t="s">
        <v>6012</v>
      </c>
      <c r="C1623" s="17" t="s">
        <v>6016</v>
      </c>
      <c r="D1623" s="19" t="s">
        <v>6017</v>
      </c>
      <c r="E1623" s="20" t="s">
        <v>104</v>
      </c>
      <c r="F1623" s="21">
        <v>32010.0</v>
      </c>
      <c r="G1623" s="14">
        <f t="shared" si="1"/>
        <v>39</v>
      </c>
      <c r="H1623" s="23" t="s">
        <v>26</v>
      </c>
      <c r="I1623" s="24" t="s">
        <v>27</v>
      </c>
      <c r="J1623" s="19" t="s">
        <v>517</v>
      </c>
      <c r="K1623" s="14">
        <v>36.0</v>
      </c>
      <c r="L1623" s="14">
        <v>0.0</v>
      </c>
      <c r="M1623" s="28" t="s">
        <v>947</v>
      </c>
      <c r="N1623" s="26" t="s">
        <v>21</v>
      </c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</row>
    <row r="1624">
      <c r="A1624" s="14" t="s">
        <v>6018</v>
      </c>
      <c r="B1624" s="17" t="s">
        <v>6019</v>
      </c>
      <c r="C1624" s="17" t="s">
        <v>6020</v>
      </c>
      <c r="D1624" s="19" t="s">
        <v>3756</v>
      </c>
      <c r="E1624" s="20" t="s">
        <v>624</v>
      </c>
      <c r="F1624" s="21">
        <v>23743.0</v>
      </c>
      <c r="G1624" s="14">
        <f t="shared" si="1"/>
        <v>61</v>
      </c>
      <c r="H1624" s="23" t="s">
        <v>26</v>
      </c>
      <c r="I1624" s="24" t="s">
        <v>33</v>
      </c>
      <c r="J1624" s="19" t="s">
        <v>282</v>
      </c>
      <c r="K1624" s="14">
        <v>18.0</v>
      </c>
      <c r="L1624" s="14">
        <v>0.0</v>
      </c>
      <c r="M1624" s="25"/>
      <c r="N1624" s="26" t="s">
        <v>21</v>
      </c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</row>
    <row r="1625">
      <c r="A1625" s="14" t="s">
        <v>6021</v>
      </c>
      <c r="B1625" s="17" t="s">
        <v>6019</v>
      </c>
      <c r="C1625" s="17" t="s">
        <v>6022</v>
      </c>
      <c r="D1625" s="19" t="s">
        <v>6023</v>
      </c>
      <c r="E1625" s="20" t="s">
        <v>104</v>
      </c>
      <c r="F1625" s="21">
        <v>39097.0</v>
      </c>
      <c r="G1625" s="14">
        <f t="shared" si="1"/>
        <v>19</v>
      </c>
      <c r="H1625" s="23" t="s">
        <v>100</v>
      </c>
      <c r="I1625" s="24" t="s">
        <v>33</v>
      </c>
      <c r="J1625" s="19" t="s">
        <v>282</v>
      </c>
      <c r="K1625" s="14">
        <v>18.0</v>
      </c>
      <c r="L1625" s="14">
        <v>0.0</v>
      </c>
      <c r="M1625" s="25"/>
      <c r="N1625" s="26" t="s">
        <v>21</v>
      </c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</row>
    <row r="1626">
      <c r="A1626" s="14" t="s">
        <v>6024</v>
      </c>
      <c r="B1626" s="17" t="s">
        <v>6019</v>
      </c>
      <c r="C1626" s="17" t="s">
        <v>6025</v>
      </c>
      <c r="D1626" s="19" t="s">
        <v>6026</v>
      </c>
      <c r="E1626" s="20" t="s">
        <v>337</v>
      </c>
      <c r="F1626" s="21">
        <v>36035.0</v>
      </c>
      <c r="G1626" s="14">
        <f t="shared" si="1"/>
        <v>28</v>
      </c>
      <c r="H1626" s="23" t="s">
        <v>100</v>
      </c>
      <c r="I1626" s="24" t="s">
        <v>33</v>
      </c>
      <c r="J1626" s="19" t="s">
        <v>282</v>
      </c>
      <c r="K1626" s="14">
        <v>18.0</v>
      </c>
      <c r="L1626" s="14">
        <v>0.0</v>
      </c>
      <c r="M1626" s="25"/>
      <c r="N1626" s="26" t="s">
        <v>21</v>
      </c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</row>
    <row r="1627">
      <c r="A1627" s="14" t="s">
        <v>6027</v>
      </c>
      <c r="B1627" s="17" t="s">
        <v>6019</v>
      </c>
      <c r="C1627" s="17" t="s">
        <v>6028</v>
      </c>
      <c r="D1627" s="19" t="s">
        <v>6029</v>
      </c>
      <c r="E1627" s="20" t="s">
        <v>624</v>
      </c>
      <c r="F1627" s="21">
        <v>26790.0</v>
      </c>
      <c r="G1627" s="14">
        <f t="shared" si="1"/>
        <v>53</v>
      </c>
      <c r="H1627" s="23" t="s">
        <v>26</v>
      </c>
      <c r="I1627" s="24" t="s">
        <v>27</v>
      </c>
      <c r="J1627" s="19" t="s">
        <v>282</v>
      </c>
      <c r="K1627" s="14">
        <v>18.0</v>
      </c>
      <c r="L1627" s="14">
        <v>0.0</v>
      </c>
      <c r="M1627" s="25"/>
      <c r="N1627" s="26" t="s">
        <v>21</v>
      </c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</row>
    <row r="1628">
      <c r="A1628" s="14" t="s">
        <v>6030</v>
      </c>
      <c r="B1628" s="17" t="s">
        <v>4653</v>
      </c>
      <c r="C1628" s="17" t="s">
        <v>6032</v>
      </c>
      <c r="D1628" s="19" t="s">
        <v>6033</v>
      </c>
      <c r="E1628" s="20" t="s">
        <v>138</v>
      </c>
      <c r="F1628" s="21">
        <v>36563.0</v>
      </c>
      <c r="G1628" s="14">
        <f t="shared" si="1"/>
        <v>26</v>
      </c>
      <c r="H1628" s="23" t="s">
        <v>100</v>
      </c>
      <c r="I1628" s="24" t="s">
        <v>27</v>
      </c>
      <c r="J1628" s="19" t="s">
        <v>146</v>
      </c>
      <c r="K1628" s="14">
        <v>4.0</v>
      </c>
      <c r="L1628" s="14">
        <v>7.0</v>
      </c>
      <c r="M1628" s="25"/>
      <c r="N1628" s="26" t="s">
        <v>21</v>
      </c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</row>
    <row r="1629">
      <c r="A1629" s="14" t="s">
        <v>6034</v>
      </c>
      <c r="B1629" s="17" t="s">
        <v>6031</v>
      </c>
      <c r="C1629" s="17" t="s">
        <v>6035</v>
      </c>
      <c r="D1629" s="19" t="s">
        <v>6036</v>
      </c>
      <c r="E1629" s="20" t="s">
        <v>138</v>
      </c>
      <c r="F1629" s="21">
        <v>26153.0</v>
      </c>
      <c r="G1629" s="14">
        <f t="shared" si="1"/>
        <v>55</v>
      </c>
      <c r="H1629" s="23" t="s">
        <v>26</v>
      </c>
      <c r="I1629" s="24" t="s">
        <v>33</v>
      </c>
      <c r="J1629" s="19" t="s">
        <v>146</v>
      </c>
      <c r="K1629" s="14">
        <v>1.0</v>
      </c>
      <c r="L1629" s="14">
        <v>0.0</v>
      </c>
      <c r="M1629" s="25"/>
      <c r="N1629" s="26" t="s">
        <v>21</v>
      </c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</row>
    <row r="1630">
      <c r="A1630" s="14" t="s">
        <v>6037</v>
      </c>
      <c r="B1630" s="17" t="s">
        <v>6031</v>
      </c>
      <c r="C1630" s="17" t="s">
        <v>6038</v>
      </c>
      <c r="D1630" s="19" t="s">
        <v>2360</v>
      </c>
      <c r="E1630" s="20" t="s">
        <v>434</v>
      </c>
      <c r="F1630" s="21">
        <v>26568.0</v>
      </c>
      <c r="G1630" s="14">
        <f t="shared" si="1"/>
        <v>54</v>
      </c>
      <c r="H1630" s="23" t="s">
        <v>26</v>
      </c>
      <c r="I1630" s="24" t="s">
        <v>27</v>
      </c>
      <c r="J1630" s="19" t="s">
        <v>146</v>
      </c>
      <c r="K1630" s="14">
        <v>1.0</v>
      </c>
      <c r="L1630" s="14">
        <v>0.0</v>
      </c>
      <c r="M1630" s="25"/>
      <c r="N1630" s="26" t="s">
        <v>21</v>
      </c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</row>
    <row r="1631">
      <c r="A1631" s="14" t="s">
        <v>6039</v>
      </c>
      <c r="B1631" s="17" t="s">
        <v>6031</v>
      </c>
      <c r="C1631" s="17" t="s">
        <v>6040</v>
      </c>
      <c r="D1631" s="19" t="s">
        <v>6041</v>
      </c>
      <c r="E1631" s="20" t="s">
        <v>138</v>
      </c>
      <c r="F1631" s="21">
        <v>39297.0</v>
      </c>
      <c r="G1631" s="14">
        <f t="shared" si="1"/>
        <v>19</v>
      </c>
      <c r="H1631" s="23" t="s">
        <v>100</v>
      </c>
      <c r="I1631" s="24" t="s">
        <v>33</v>
      </c>
      <c r="J1631" s="19" t="s">
        <v>146</v>
      </c>
      <c r="K1631" s="14">
        <v>1.0</v>
      </c>
      <c r="L1631" s="14">
        <v>0.0</v>
      </c>
      <c r="M1631" s="25"/>
      <c r="N1631" s="26" t="s">
        <v>21</v>
      </c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</row>
    <row r="1632">
      <c r="A1632" s="14" t="s">
        <v>6042</v>
      </c>
      <c r="B1632" s="17" t="s">
        <v>6043</v>
      </c>
      <c r="C1632" s="17" t="s">
        <v>6044</v>
      </c>
      <c r="D1632" s="19" t="s">
        <v>879</v>
      </c>
      <c r="E1632" s="20" t="s">
        <v>104</v>
      </c>
      <c r="F1632" s="21">
        <v>27918.0</v>
      </c>
      <c r="G1632" s="14">
        <f t="shared" si="1"/>
        <v>50</v>
      </c>
      <c r="H1632" s="23" t="s">
        <v>26</v>
      </c>
      <c r="I1632" s="24" t="s">
        <v>33</v>
      </c>
      <c r="J1632" s="19" t="s">
        <v>328</v>
      </c>
      <c r="K1632" s="14">
        <v>24.0</v>
      </c>
      <c r="L1632" s="14">
        <v>0.0</v>
      </c>
      <c r="M1632" s="25"/>
      <c r="N1632" s="26" t="s">
        <v>21</v>
      </c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</row>
    <row r="1633">
      <c r="A1633" s="14" t="s">
        <v>6045</v>
      </c>
      <c r="B1633" s="17" t="s">
        <v>6043</v>
      </c>
      <c r="C1633" s="17" t="s">
        <v>6046</v>
      </c>
      <c r="D1633" s="19" t="s">
        <v>6047</v>
      </c>
      <c r="E1633" s="20" t="s">
        <v>6048</v>
      </c>
      <c r="F1633" s="21">
        <v>30869.0</v>
      </c>
      <c r="G1633" s="14">
        <f t="shared" si="1"/>
        <v>42</v>
      </c>
      <c r="H1633" s="23" t="s">
        <v>26</v>
      </c>
      <c r="I1633" s="24" t="s">
        <v>27</v>
      </c>
      <c r="J1633" s="19" t="s">
        <v>328</v>
      </c>
      <c r="K1633" s="14">
        <v>24.0</v>
      </c>
      <c r="L1633" s="14">
        <v>0.0</v>
      </c>
      <c r="M1633" s="25"/>
      <c r="N1633" s="26" t="s">
        <v>21</v>
      </c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</row>
    <row r="1634">
      <c r="A1634" s="14" t="s">
        <v>6049</v>
      </c>
      <c r="B1634" s="17" t="s">
        <v>6043</v>
      </c>
      <c r="C1634" s="17" t="s">
        <v>6050</v>
      </c>
      <c r="D1634" s="19" t="s">
        <v>6051</v>
      </c>
      <c r="E1634" s="20" t="s">
        <v>104</v>
      </c>
      <c r="F1634" s="21">
        <v>37375.0</v>
      </c>
      <c r="G1634" s="14">
        <f t="shared" si="1"/>
        <v>24</v>
      </c>
      <c r="H1634" s="23" t="s">
        <v>100</v>
      </c>
      <c r="I1634" s="24" t="s">
        <v>27</v>
      </c>
      <c r="J1634" s="19" t="s">
        <v>328</v>
      </c>
      <c r="K1634" s="14">
        <v>24.0</v>
      </c>
      <c r="L1634" s="14">
        <v>7.0</v>
      </c>
      <c r="M1634" s="28" t="s">
        <v>6467</v>
      </c>
      <c r="N1634" s="26" t="s">
        <v>21</v>
      </c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</row>
    <row r="1635">
      <c r="A1635" s="14" t="s">
        <v>6052</v>
      </c>
      <c r="B1635" s="17" t="s">
        <v>6053</v>
      </c>
      <c r="C1635" s="17" t="s">
        <v>6054</v>
      </c>
      <c r="D1635" s="19" t="s">
        <v>6055</v>
      </c>
      <c r="E1635" s="20" t="s">
        <v>104</v>
      </c>
      <c r="F1635" s="21">
        <v>38391.0</v>
      </c>
      <c r="G1635" s="14">
        <f t="shared" si="1"/>
        <v>21</v>
      </c>
      <c r="H1635" s="23" t="s">
        <v>100</v>
      </c>
      <c r="I1635" s="24" t="s">
        <v>33</v>
      </c>
      <c r="J1635" s="19" t="s">
        <v>39</v>
      </c>
      <c r="K1635" s="14">
        <v>16.0</v>
      </c>
      <c r="L1635" s="14">
        <v>0.0</v>
      </c>
      <c r="M1635" s="25"/>
      <c r="N1635" s="26" t="s">
        <v>21</v>
      </c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</row>
    <row r="1636">
      <c r="A1636" s="14" t="s">
        <v>6056</v>
      </c>
      <c r="B1636" s="17" t="s">
        <v>6053</v>
      </c>
      <c r="C1636" s="17" t="s">
        <v>6057</v>
      </c>
      <c r="D1636" s="19" t="s">
        <v>6058</v>
      </c>
      <c r="E1636" s="20" t="s">
        <v>104</v>
      </c>
      <c r="F1636" s="21">
        <v>30409.0</v>
      </c>
      <c r="G1636" s="14">
        <f t="shared" si="1"/>
        <v>43</v>
      </c>
      <c r="H1636" s="23" t="s">
        <v>26</v>
      </c>
      <c r="I1636" s="24" t="s">
        <v>33</v>
      </c>
      <c r="J1636" s="19" t="s">
        <v>39</v>
      </c>
      <c r="K1636" s="14">
        <v>16.0</v>
      </c>
      <c r="L1636" s="14">
        <v>0.0</v>
      </c>
      <c r="M1636" s="25"/>
      <c r="N1636" s="26" t="s">
        <v>21</v>
      </c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</row>
    <row r="1637">
      <c r="A1637" s="14" t="s">
        <v>6059</v>
      </c>
      <c r="B1637" s="17" t="s">
        <v>6053</v>
      </c>
      <c r="C1637" s="17" t="s">
        <v>6060</v>
      </c>
      <c r="D1637" s="19" t="s">
        <v>6061</v>
      </c>
      <c r="E1637" s="20" t="s">
        <v>104</v>
      </c>
      <c r="F1637" s="27">
        <v>32092.0</v>
      </c>
      <c r="G1637" s="14">
        <f t="shared" si="1"/>
        <v>38</v>
      </c>
      <c r="H1637" s="23" t="s">
        <v>26</v>
      </c>
      <c r="I1637" s="24" t="s">
        <v>27</v>
      </c>
      <c r="J1637" s="19" t="s">
        <v>39</v>
      </c>
      <c r="K1637" s="14">
        <v>16.0</v>
      </c>
      <c r="L1637" s="14">
        <v>0.0</v>
      </c>
      <c r="M1637" s="25"/>
      <c r="N1637" s="26" t="s">
        <v>21</v>
      </c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</row>
    <row r="1638">
      <c r="A1638" s="14" t="s">
        <v>6062</v>
      </c>
      <c r="B1638" s="17" t="s">
        <v>6063</v>
      </c>
      <c r="C1638" s="17" t="s">
        <v>6064</v>
      </c>
      <c r="D1638" s="19" t="s">
        <v>6065</v>
      </c>
      <c r="E1638" s="20" t="s">
        <v>104</v>
      </c>
      <c r="F1638" s="21">
        <v>29412.0</v>
      </c>
      <c r="G1638" s="14">
        <f t="shared" si="1"/>
        <v>46</v>
      </c>
      <c r="H1638" s="23" t="s">
        <v>27</v>
      </c>
      <c r="I1638" s="24" t="s">
        <v>33</v>
      </c>
      <c r="J1638" s="19" t="s">
        <v>68</v>
      </c>
      <c r="K1638" s="14">
        <v>18.0</v>
      </c>
      <c r="L1638" s="14">
        <v>0.0</v>
      </c>
      <c r="M1638" s="25"/>
      <c r="N1638" s="26" t="s">
        <v>21</v>
      </c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</row>
    <row r="1639">
      <c r="A1639" s="14" t="s">
        <v>6066</v>
      </c>
      <c r="B1639" s="17" t="s">
        <v>6067</v>
      </c>
      <c r="C1639" s="17" t="s">
        <v>6068</v>
      </c>
      <c r="D1639" s="19" t="s">
        <v>6069</v>
      </c>
      <c r="E1639" s="20" t="s">
        <v>671</v>
      </c>
      <c r="F1639" s="21">
        <v>29015.0</v>
      </c>
      <c r="G1639" s="14">
        <f t="shared" si="1"/>
        <v>47</v>
      </c>
      <c r="H1639" s="23" t="s">
        <v>26</v>
      </c>
      <c r="I1639" s="24" t="s">
        <v>33</v>
      </c>
      <c r="J1639" s="19" t="s">
        <v>726</v>
      </c>
      <c r="K1639" s="14">
        <v>11.0</v>
      </c>
      <c r="L1639" s="14">
        <v>0.0</v>
      </c>
      <c r="M1639" s="25"/>
      <c r="N1639" s="26" t="s">
        <v>21</v>
      </c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</row>
    <row r="1640">
      <c r="A1640" s="14" t="s">
        <v>6070</v>
      </c>
      <c r="B1640" s="17" t="s">
        <v>6067</v>
      </c>
      <c r="C1640" s="17" t="s">
        <v>6071</v>
      </c>
      <c r="D1640" s="19" t="s">
        <v>6072</v>
      </c>
      <c r="E1640" s="20" t="s">
        <v>6073</v>
      </c>
      <c r="F1640" s="27">
        <v>29200.0</v>
      </c>
      <c r="G1640" s="14">
        <f t="shared" si="1"/>
        <v>46</v>
      </c>
      <c r="H1640" s="23" t="s">
        <v>26</v>
      </c>
      <c r="I1640" s="24" t="s">
        <v>27</v>
      </c>
      <c r="J1640" s="19" t="s">
        <v>726</v>
      </c>
      <c r="K1640" s="14">
        <v>11.0</v>
      </c>
      <c r="L1640" s="14">
        <v>0.0</v>
      </c>
      <c r="M1640" s="25"/>
      <c r="N1640" s="26" t="s">
        <v>21</v>
      </c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</row>
    <row r="1641">
      <c r="A1641" s="14" t="s">
        <v>6074</v>
      </c>
      <c r="B1641" s="17" t="s">
        <v>6075</v>
      </c>
      <c r="C1641" s="17" t="s">
        <v>6076</v>
      </c>
      <c r="D1641" s="19" t="s">
        <v>6077</v>
      </c>
      <c r="E1641" s="20" t="s">
        <v>138</v>
      </c>
      <c r="F1641" s="21">
        <v>38962.0</v>
      </c>
      <c r="G1641" s="14">
        <f t="shared" si="1"/>
        <v>20</v>
      </c>
      <c r="H1641" s="23" t="s">
        <v>100</v>
      </c>
      <c r="I1641" s="24" t="s">
        <v>27</v>
      </c>
      <c r="J1641" s="19" t="s">
        <v>328</v>
      </c>
      <c r="K1641" s="14">
        <v>24.0</v>
      </c>
      <c r="L1641" s="14">
        <v>0.0</v>
      </c>
      <c r="M1641" s="25"/>
      <c r="N1641" s="26" t="s">
        <v>21</v>
      </c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</row>
    <row r="1642">
      <c r="A1642" s="14" t="s">
        <v>6078</v>
      </c>
      <c r="B1642" s="17" t="s">
        <v>6075</v>
      </c>
      <c r="C1642" s="17" t="s">
        <v>6079</v>
      </c>
      <c r="D1642" s="19" t="s">
        <v>6080</v>
      </c>
      <c r="E1642" s="20" t="s">
        <v>6081</v>
      </c>
      <c r="F1642" s="21">
        <v>28285.0</v>
      </c>
      <c r="G1642" s="14">
        <f t="shared" si="1"/>
        <v>49</v>
      </c>
      <c r="H1642" s="23" t="s">
        <v>26</v>
      </c>
      <c r="I1642" s="24" t="s">
        <v>27</v>
      </c>
      <c r="J1642" s="19" t="s">
        <v>328</v>
      </c>
      <c r="K1642" s="14">
        <v>24.0</v>
      </c>
      <c r="L1642" s="14">
        <v>0.0</v>
      </c>
      <c r="M1642" s="25"/>
      <c r="N1642" s="26" t="s">
        <v>21</v>
      </c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</row>
    <row r="1643">
      <c r="A1643" s="14" t="s">
        <v>6082</v>
      </c>
      <c r="B1643" s="17" t="s">
        <v>6075</v>
      </c>
      <c r="C1643" s="17" t="s">
        <v>6083</v>
      </c>
      <c r="D1643" s="19" t="s">
        <v>6084</v>
      </c>
      <c r="E1643" s="20" t="s">
        <v>104</v>
      </c>
      <c r="F1643" s="27">
        <v>28839.0</v>
      </c>
      <c r="G1643" s="14">
        <f t="shared" si="1"/>
        <v>47</v>
      </c>
      <c r="H1643" s="23" t="s">
        <v>26</v>
      </c>
      <c r="I1643" s="24" t="s">
        <v>33</v>
      </c>
      <c r="J1643" s="19" t="s">
        <v>328</v>
      </c>
      <c r="K1643" s="14">
        <v>24.0</v>
      </c>
      <c r="L1643" s="14">
        <v>0.0</v>
      </c>
      <c r="M1643" s="25"/>
      <c r="N1643" s="26" t="s">
        <v>21</v>
      </c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</row>
    <row r="1644">
      <c r="A1644" s="14" t="s">
        <v>6085</v>
      </c>
      <c r="B1644" s="17" t="s">
        <v>1421</v>
      </c>
      <c r="C1644" s="17" t="s">
        <v>6086</v>
      </c>
      <c r="D1644" s="19" t="s">
        <v>6087</v>
      </c>
      <c r="E1644" s="20" t="s">
        <v>6088</v>
      </c>
      <c r="F1644" s="21">
        <v>32935.0</v>
      </c>
      <c r="G1644" s="14">
        <f t="shared" si="1"/>
        <v>36</v>
      </c>
      <c r="H1644" s="23" t="s">
        <v>26</v>
      </c>
      <c r="I1644" s="24" t="s">
        <v>27</v>
      </c>
      <c r="J1644" s="19" t="s">
        <v>68</v>
      </c>
      <c r="K1644" s="14">
        <v>34.0</v>
      </c>
      <c r="L1644" s="14">
        <v>0.0</v>
      </c>
      <c r="M1644" s="25"/>
      <c r="N1644" s="26" t="s">
        <v>21</v>
      </c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</row>
    <row r="1645">
      <c r="A1645" s="14" t="s">
        <v>6089</v>
      </c>
      <c r="B1645" s="17" t="s">
        <v>1421</v>
      </c>
      <c r="C1645" s="17" t="s">
        <v>6090</v>
      </c>
      <c r="D1645" s="19" t="s">
        <v>6091</v>
      </c>
      <c r="E1645" s="20" t="s">
        <v>53</v>
      </c>
      <c r="F1645" s="21">
        <v>32025.0</v>
      </c>
      <c r="G1645" s="14">
        <f t="shared" si="1"/>
        <v>39</v>
      </c>
      <c r="H1645" s="23" t="s">
        <v>26</v>
      </c>
      <c r="I1645" s="24" t="s">
        <v>33</v>
      </c>
      <c r="J1645" s="19" t="s">
        <v>68</v>
      </c>
      <c r="K1645" s="14">
        <v>34.0</v>
      </c>
      <c r="L1645" s="14">
        <v>0.0</v>
      </c>
      <c r="M1645" s="25"/>
      <c r="N1645" s="26" t="s">
        <v>21</v>
      </c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</row>
    <row r="1646">
      <c r="A1646" s="14" t="s">
        <v>6092</v>
      </c>
      <c r="B1646" s="17" t="s">
        <v>6093</v>
      </c>
      <c r="C1646" s="17" t="s">
        <v>6094</v>
      </c>
      <c r="D1646" s="19" t="s">
        <v>6095</v>
      </c>
      <c r="E1646" s="20" t="s">
        <v>53</v>
      </c>
      <c r="F1646" s="21">
        <v>36062.0</v>
      </c>
      <c r="G1646" s="14">
        <f t="shared" si="1"/>
        <v>28</v>
      </c>
      <c r="H1646" s="23" t="s">
        <v>100</v>
      </c>
      <c r="I1646" s="24" t="s">
        <v>33</v>
      </c>
      <c r="J1646" s="19" t="s">
        <v>68</v>
      </c>
      <c r="K1646" s="14">
        <v>30.0</v>
      </c>
      <c r="L1646" s="14">
        <v>0.0</v>
      </c>
      <c r="M1646" s="25"/>
      <c r="N1646" s="26" t="s">
        <v>21</v>
      </c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</row>
    <row r="1647">
      <c r="A1647" s="14" t="s">
        <v>6096</v>
      </c>
      <c r="B1647" s="17" t="s">
        <v>6093</v>
      </c>
      <c r="C1647" s="17" t="s">
        <v>6097</v>
      </c>
      <c r="D1647" s="19" t="s">
        <v>6098</v>
      </c>
      <c r="E1647" s="20" t="s">
        <v>138</v>
      </c>
      <c r="F1647" s="27">
        <v>38673.0</v>
      </c>
      <c r="G1647" s="14">
        <f t="shared" si="1"/>
        <v>20</v>
      </c>
      <c r="H1647" s="23" t="s">
        <v>100</v>
      </c>
      <c r="I1647" s="24" t="s">
        <v>27</v>
      </c>
      <c r="J1647" s="19" t="s">
        <v>68</v>
      </c>
      <c r="K1647" s="14">
        <v>30.0</v>
      </c>
      <c r="L1647" s="14">
        <v>0.0</v>
      </c>
      <c r="M1647" s="25"/>
      <c r="N1647" s="26" t="s">
        <v>21</v>
      </c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</row>
    <row r="1648">
      <c r="A1648" s="14" t="s">
        <v>6099</v>
      </c>
      <c r="B1648" s="17" t="s">
        <v>6093</v>
      </c>
      <c r="C1648" s="17" t="s">
        <v>6100</v>
      </c>
      <c r="D1648" s="19" t="s">
        <v>6101</v>
      </c>
      <c r="E1648" s="20" t="s">
        <v>6102</v>
      </c>
      <c r="F1648" s="21">
        <v>27885.0</v>
      </c>
      <c r="G1648" s="14">
        <f t="shared" si="1"/>
        <v>50</v>
      </c>
      <c r="H1648" s="23" t="s">
        <v>26</v>
      </c>
      <c r="I1648" s="24" t="s">
        <v>33</v>
      </c>
      <c r="J1648" s="19" t="s">
        <v>68</v>
      </c>
      <c r="K1648" s="14">
        <v>30.0</v>
      </c>
      <c r="L1648" s="14">
        <v>0.0</v>
      </c>
      <c r="M1648" s="25"/>
      <c r="N1648" s="26" t="s">
        <v>21</v>
      </c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</row>
    <row r="1649">
      <c r="A1649" s="14" t="s">
        <v>6103</v>
      </c>
      <c r="B1649" s="17" t="s">
        <v>6093</v>
      </c>
      <c r="C1649" s="17" t="s">
        <v>6104</v>
      </c>
      <c r="D1649" s="19" t="s">
        <v>6105</v>
      </c>
      <c r="E1649" s="20" t="s">
        <v>2672</v>
      </c>
      <c r="F1649" s="21">
        <v>27760.0</v>
      </c>
      <c r="G1649" s="14">
        <f t="shared" si="1"/>
        <v>50</v>
      </c>
      <c r="H1649" s="23" t="s">
        <v>26</v>
      </c>
      <c r="I1649" s="24" t="s">
        <v>27</v>
      </c>
      <c r="J1649" s="19" t="s">
        <v>68</v>
      </c>
      <c r="K1649" s="14">
        <v>30.0</v>
      </c>
      <c r="L1649" s="14">
        <v>0.0</v>
      </c>
      <c r="M1649" s="25"/>
      <c r="N1649" s="26" t="s">
        <v>21</v>
      </c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</row>
    <row r="1650">
      <c r="A1650" s="14" t="s">
        <v>6106</v>
      </c>
      <c r="B1650" s="17" t="s">
        <v>6107</v>
      </c>
      <c r="C1650" s="17" t="s">
        <v>6108</v>
      </c>
      <c r="D1650" s="19" t="s">
        <v>6109</v>
      </c>
      <c r="E1650" s="20" t="s">
        <v>2505</v>
      </c>
      <c r="F1650" s="21">
        <v>30558.0</v>
      </c>
      <c r="G1650" s="14">
        <f t="shared" si="1"/>
        <v>43</v>
      </c>
      <c r="H1650" s="23" t="s">
        <v>26</v>
      </c>
      <c r="I1650" s="24" t="s">
        <v>27</v>
      </c>
      <c r="J1650" s="19" t="s">
        <v>362</v>
      </c>
      <c r="K1650" s="14">
        <v>24.0</v>
      </c>
      <c r="L1650" s="14">
        <v>0.0</v>
      </c>
      <c r="M1650" s="25"/>
      <c r="N1650" s="26" t="s">
        <v>21</v>
      </c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</row>
    <row r="1651">
      <c r="A1651" s="14" t="s">
        <v>6110</v>
      </c>
      <c r="B1651" s="17" t="s">
        <v>6107</v>
      </c>
      <c r="C1651" s="17" t="s">
        <v>6111</v>
      </c>
      <c r="D1651" s="19" t="s">
        <v>6112</v>
      </c>
      <c r="E1651" s="20" t="s">
        <v>274</v>
      </c>
      <c r="F1651" s="21">
        <v>30042.0</v>
      </c>
      <c r="G1651" s="14">
        <f t="shared" si="1"/>
        <v>44</v>
      </c>
      <c r="H1651" s="23" t="s">
        <v>26</v>
      </c>
      <c r="I1651" s="24" t="s">
        <v>33</v>
      </c>
      <c r="J1651" s="19" t="s">
        <v>362</v>
      </c>
      <c r="K1651" s="14">
        <v>24.0</v>
      </c>
      <c r="L1651" s="14">
        <v>0.0</v>
      </c>
      <c r="M1651" s="25"/>
      <c r="N1651" s="26" t="s">
        <v>21</v>
      </c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</row>
    <row r="1652">
      <c r="A1652" s="14" t="s">
        <v>6113</v>
      </c>
      <c r="B1652" s="17" t="s">
        <v>6114</v>
      </c>
      <c r="C1652" s="17" t="s">
        <v>6115</v>
      </c>
      <c r="D1652" s="19" t="s">
        <v>6116</v>
      </c>
      <c r="E1652" s="20" t="s">
        <v>6117</v>
      </c>
      <c r="F1652" s="27">
        <v>19704.0</v>
      </c>
      <c r="G1652" s="14">
        <f t="shared" si="1"/>
        <v>72</v>
      </c>
      <c r="H1652" s="23" t="s">
        <v>27</v>
      </c>
      <c r="I1652" s="24" t="s">
        <v>27</v>
      </c>
      <c r="J1652" s="19" t="s">
        <v>68</v>
      </c>
      <c r="K1652" s="14">
        <v>28.0</v>
      </c>
      <c r="L1652" s="14">
        <v>0.0</v>
      </c>
      <c r="M1652" s="25"/>
      <c r="N1652" s="26" t="s">
        <v>21</v>
      </c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</row>
    <row r="1653">
      <c r="A1653" s="14" t="s">
        <v>6118</v>
      </c>
      <c r="B1653" s="17" t="s">
        <v>6119</v>
      </c>
      <c r="C1653" s="17" t="s">
        <v>6120</v>
      </c>
      <c r="D1653" s="19" t="s">
        <v>6121</v>
      </c>
      <c r="E1653" s="20" t="s">
        <v>880</v>
      </c>
      <c r="F1653" s="21">
        <v>17293.0</v>
      </c>
      <c r="G1653" s="14">
        <f t="shared" si="1"/>
        <v>79</v>
      </c>
      <c r="H1653" s="23" t="s">
        <v>26</v>
      </c>
      <c r="I1653" s="24" t="s">
        <v>33</v>
      </c>
      <c r="J1653" s="19" t="s">
        <v>328</v>
      </c>
      <c r="K1653" s="14">
        <v>25.0</v>
      </c>
      <c r="L1653" s="14">
        <v>0.0</v>
      </c>
      <c r="M1653" s="25"/>
      <c r="N1653" s="26" t="s">
        <v>21</v>
      </c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</row>
    <row r="1654">
      <c r="A1654" s="14" t="s">
        <v>6122</v>
      </c>
      <c r="B1654" s="17" t="s">
        <v>6119</v>
      </c>
      <c r="C1654" s="17" t="s">
        <v>6123</v>
      </c>
      <c r="D1654" s="19" t="s">
        <v>5299</v>
      </c>
      <c r="E1654" s="20" t="s">
        <v>1058</v>
      </c>
      <c r="F1654" s="21">
        <v>24159.0</v>
      </c>
      <c r="G1654" s="14">
        <f t="shared" si="1"/>
        <v>60</v>
      </c>
      <c r="H1654" s="23" t="s">
        <v>26</v>
      </c>
      <c r="I1654" s="24" t="s">
        <v>27</v>
      </c>
      <c r="J1654" s="19" t="s">
        <v>328</v>
      </c>
      <c r="K1654" s="14">
        <v>25.0</v>
      </c>
      <c r="L1654" s="14">
        <v>0.0</v>
      </c>
      <c r="M1654" s="25"/>
      <c r="N1654" s="26" t="s">
        <v>21</v>
      </c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</row>
    <row r="1655">
      <c r="A1655" s="14" t="s">
        <v>6124</v>
      </c>
      <c r="B1655" s="17" t="s">
        <v>6125</v>
      </c>
      <c r="C1655" s="17" t="s">
        <v>6126</v>
      </c>
      <c r="D1655" s="19" t="s">
        <v>6127</v>
      </c>
      <c r="E1655" s="20" t="s">
        <v>4652</v>
      </c>
      <c r="F1655" s="21">
        <v>28198.0</v>
      </c>
      <c r="G1655" s="14">
        <f t="shared" si="1"/>
        <v>49</v>
      </c>
      <c r="H1655" s="23" t="s">
        <v>27</v>
      </c>
      <c r="I1655" s="24" t="s">
        <v>33</v>
      </c>
      <c r="J1655" s="19" t="s">
        <v>726</v>
      </c>
      <c r="K1655" s="14">
        <v>17.0</v>
      </c>
      <c r="L1655" s="14">
        <v>5.0</v>
      </c>
      <c r="M1655" s="25"/>
      <c r="N1655" s="26" t="s">
        <v>21</v>
      </c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</row>
    <row r="1656">
      <c r="A1656" s="14" t="s">
        <v>6128</v>
      </c>
      <c r="B1656" s="17" t="s">
        <v>6129</v>
      </c>
      <c r="C1656" s="17" t="s">
        <v>6130</v>
      </c>
      <c r="D1656" s="19" t="s">
        <v>6131</v>
      </c>
      <c r="E1656" s="20" t="s">
        <v>104</v>
      </c>
      <c r="F1656" s="21">
        <v>37779.0</v>
      </c>
      <c r="G1656" s="14">
        <f t="shared" si="1"/>
        <v>23</v>
      </c>
      <c r="H1656" s="23" t="s">
        <v>100</v>
      </c>
      <c r="I1656" s="24" t="s">
        <v>33</v>
      </c>
      <c r="J1656" s="19" t="s">
        <v>68</v>
      </c>
      <c r="K1656" s="14">
        <v>34.0</v>
      </c>
      <c r="L1656" s="14">
        <v>0.0</v>
      </c>
      <c r="M1656" s="25"/>
      <c r="N1656" s="26" t="s">
        <v>21</v>
      </c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</row>
    <row r="1657">
      <c r="A1657" s="14" t="s">
        <v>6132</v>
      </c>
      <c r="B1657" s="17" t="s">
        <v>6129</v>
      </c>
      <c r="C1657" s="17" t="s">
        <v>6133</v>
      </c>
      <c r="D1657" s="19" t="s">
        <v>6134</v>
      </c>
      <c r="E1657" s="20" t="s">
        <v>104</v>
      </c>
      <c r="F1657" s="21">
        <v>35212.0</v>
      </c>
      <c r="G1657" s="14">
        <f t="shared" si="1"/>
        <v>30</v>
      </c>
      <c r="H1657" s="23" t="s">
        <v>100</v>
      </c>
      <c r="I1657" s="24" t="s">
        <v>33</v>
      </c>
      <c r="J1657" s="19" t="s">
        <v>68</v>
      </c>
      <c r="K1657" s="14">
        <v>34.0</v>
      </c>
      <c r="L1657" s="14">
        <v>0.0</v>
      </c>
      <c r="M1657" s="25"/>
      <c r="N1657" s="26" t="s">
        <v>21</v>
      </c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</row>
    <row r="1658">
      <c r="A1658" s="14" t="s">
        <v>6135</v>
      </c>
      <c r="B1658" s="17" t="s">
        <v>6129</v>
      </c>
      <c r="C1658" s="17" t="s">
        <v>6136</v>
      </c>
      <c r="D1658" s="19" t="s">
        <v>6137</v>
      </c>
      <c r="E1658" s="20" t="s">
        <v>1291</v>
      </c>
      <c r="F1658" s="21">
        <v>19826.0</v>
      </c>
      <c r="G1658" s="14">
        <f t="shared" si="1"/>
        <v>72</v>
      </c>
      <c r="H1658" s="23" t="s">
        <v>26</v>
      </c>
      <c r="I1658" s="24" t="s">
        <v>33</v>
      </c>
      <c r="J1658" s="19" t="s">
        <v>68</v>
      </c>
      <c r="K1658" s="14">
        <v>34.0</v>
      </c>
      <c r="L1658" s="14">
        <v>0.0</v>
      </c>
      <c r="M1658" s="25"/>
      <c r="N1658" s="26" t="s">
        <v>21</v>
      </c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</row>
    <row r="1659">
      <c r="A1659" s="14" t="s">
        <v>6138</v>
      </c>
      <c r="B1659" s="17" t="s">
        <v>6129</v>
      </c>
      <c r="C1659" s="17" t="s">
        <v>6139</v>
      </c>
      <c r="D1659" s="19" t="s">
        <v>6140</v>
      </c>
      <c r="E1659" s="20" t="s">
        <v>1291</v>
      </c>
      <c r="F1659" s="21">
        <v>24701.0</v>
      </c>
      <c r="G1659" s="14">
        <f t="shared" si="1"/>
        <v>59</v>
      </c>
      <c r="H1659" s="23" t="s">
        <v>26</v>
      </c>
      <c r="I1659" s="24" t="s">
        <v>27</v>
      </c>
      <c r="J1659" s="19" t="s">
        <v>68</v>
      </c>
      <c r="K1659" s="14">
        <v>34.0</v>
      </c>
      <c r="L1659" s="14">
        <v>0.0</v>
      </c>
      <c r="M1659" s="25"/>
      <c r="N1659" s="26" t="s">
        <v>21</v>
      </c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</row>
    <row r="1660">
      <c r="A1660" s="14" t="s">
        <v>6141</v>
      </c>
      <c r="B1660" s="17" t="s">
        <v>6142</v>
      </c>
      <c r="C1660" s="17" t="s">
        <v>6143</v>
      </c>
      <c r="D1660" s="19" t="s">
        <v>6144</v>
      </c>
      <c r="E1660" s="20" t="s">
        <v>231</v>
      </c>
      <c r="F1660" s="27">
        <v>35384.0</v>
      </c>
      <c r="G1660" s="14">
        <f t="shared" si="1"/>
        <v>29</v>
      </c>
      <c r="H1660" s="23" t="s">
        <v>26</v>
      </c>
      <c r="I1660" s="24" t="s">
        <v>33</v>
      </c>
      <c r="J1660" s="19" t="s">
        <v>68</v>
      </c>
      <c r="K1660" s="14">
        <v>34.0</v>
      </c>
      <c r="L1660" s="14">
        <v>0.0</v>
      </c>
      <c r="M1660" s="25"/>
      <c r="N1660" s="26" t="s">
        <v>21</v>
      </c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</row>
    <row r="1661">
      <c r="A1661" s="14" t="s">
        <v>6145</v>
      </c>
      <c r="B1661" s="17" t="s">
        <v>6142</v>
      </c>
      <c r="C1661" s="17" t="s">
        <v>6146</v>
      </c>
      <c r="D1661" s="19" t="s">
        <v>6147</v>
      </c>
      <c r="E1661" s="20" t="s">
        <v>6148</v>
      </c>
      <c r="F1661" s="21">
        <v>36323.0</v>
      </c>
      <c r="G1661" s="14">
        <f t="shared" si="1"/>
        <v>27</v>
      </c>
      <c r="H1661" s="23" t="s">
        <v>26</v>
      </c>
      <c r="I1661" s="24" t="s">
        <v>27</v>
      </c>
      <c r="J1661" s="19" t="s">
        <v>68</v>
      </c>
      <c r="K1661" s="14">
        <v>34.0</v>
      </c>
      <c r="L1661" s="14">
        <v>0.0</v>
      </c>
      <c r="M1661" s="25"/>
      <c r="N1661" s="26" t="s">
        <v>21</v>
      </c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</row>
    <row r="1662">
      <c r="A1662" s="14" t="s">
        <v>6149</v>
      </c>
      <c r="B1662" s="17" t="s">
        <v>6150</v>
      </c>
      <c r="C1662" s="17" t="s">
        <v>6151</v>
      </c>
      <c r="D1662" s="19" t="s">
        <v>6152</v>
      </c>
      <c r="E1662" s="20" t="s">
        <v>219</v>
      </c>
      <c r="F1662" s="21">
        <v>31857.0</v>
      </c>
      <c r="G1662" s="14">
        <f t="shared" si="1"/>
        <v>39</v>
      </c>
      <c r="H1662" s="23" t="s">
        <v>26</v>
      </c>
      <c r="I1662" s="24" t="s">
        <v>33</v>
      </c>
      <c r="J1662" s="19" t="s">
        <v>446</v>
      </c>
      <c r="K1662" s="14">
        <v>33.0</v>
      </c>
      <c r="L1662" s="14">
        <v>0.0</v>
      </c>
      <c r="M1662" s="25"/>
      <c r="N1662" s="26" t="s">
        <v>21</v>
      </c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</row>
    <row r="1663">
      <c r="A1663" s="14" t="s">
        <v>6153</v>
      </c>
      <c r="B1663" s="17" t="s">
        <v>6150</v>
      </c>
      <c r="C1663" s="17" t="s">
        <v>6154</v>
      </c>
      <c r="D1663" s="19" t="s">
        <v>6155</v>
      </c>
      <c r="E1663" s="20" t="s">
        <v>4915</v>
      </c>
      <c r="F1663" s="21">
        <v>32239.0</v>
      </c>
      <c r="G1663" s="14">
        <f t="shared" si="1"/>
        <v>38</v>
      </c>
      <c r="H1663" s="23" t="s">
        <v>26</v>
      </c>
      <c r="I1663" s="24" t="s">
        <v>27</v>
      </c>
      <c r="J1663" s="19" t="s">
        <v>446</v>
      </c>
      <c r="K1663" s="14">
        <v>33.0</v>
      </c>
      <c r="L1663" s="14">
        <v>0.0</v>
      </c>
      <c r="M1663" s="25"/>
      <c r="N1663" s="26" t="s">
        <v>21</v>
      </c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</row>
    <row r="1664">
      <c r="A1664" s="14" t="s">
        <v>6156</v>
      </c>
      <c r="B1664" s="17" t="s">
        <v>6157</v>
      </c>
      <c r="C1664" s="17" t="s">
        <v>6158</v>
      </c>
      <c r="D1664" s="19" t="s">
        <v>6159</v>
      </c>
      <c r="E1664" s="20" t="s">
        <v>195</v>
      </c>
      <c r="F1664" s="21">
        <v>37408.0</v>
      </c>
      <c r="G1664" s="14">
        <f t="shared" si="1"/>
        <v>24</v>
      </c>
      <c r="H1664" s="23" t="s">
        <v>26</v>
      </c>
      <c r="I1664" s="24" t="s">
        <v>27</v>
      </c>
      <c r="J1664" s="19" t="s">
        <v>53</v>
      </c>
      <c r="K1664" s="14">
        <v>3.0</v>
      </c>
      <c r="L1664" s="14">
        <v>0.0</v>
      </c>
      <c r="M1664" s="25"/>
      <c r="N1664" s="26" t="s">
        <v>21</v>
      </c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</row>
    <row r="1665">
      <c r="A1665" s="14" t="s">
        <v>6160</v>
      </c>
      <c r="B1665" s="17" t="s">
        <v>6157</v>
      </c>
      <c r="C1665" s="17" t="s">
        <v>6161</v>
      </c>
      <c r="D1665" s="19" t="s">
        <v>6162</v>
      </c>
      <c r="E1665" s="20" t="s">
        <v>104</v>
      </c>
      <c r="F1665" s="21">
        <v>35146.0</v>
      </c>
      <c r="G1665" s="14">
        <f t="shared" si="1"/>
        <v>30</v>
      </c>
      <c r="H1665" s="23" t="s">
        <v>26</v>
      </c>
      <c r="I1665" s="24" t="s">
        <v>33</v>
      </c>
      <c r="J1665" s="19" t="s">
        <v>53</v>
      </c>
      <c r="K1665" s="14">
        <v>3.0</v>
      </c>
      <c r="L1665" s="14">
        <v>0.0</v>
      </c>
      <c r="M1665" s="25"/>
      <c r="N1665" s="26" t="s">
        <v>21</v>
      </c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</row>
    <row r="1666">
      <c r="A1666" s="14" t="s">
        <v>6163</v>
      </c>
      <c r="B1666" s="17" t="s">
        <v>6576</v>
      </c>
      <c r="C1666" s="17" t="s">
        <v>6165</v>
      </c>
      <c r="D1666" s="19" t="s">
        <v>6166</v>
      </c>
      <c r="E1666" s="20" t="s">
        <v>104</v>
      </c>
      <c r="F1666" s="21">
        <v>36867.0</v>
      </c>
      <c r="G1666" s="14">
        <f t="shared" si="1"/>
        <v>25</v>
      </c>
      <c r="H1666" s="23" t="s">
        <v>27</v>
      </c>
      <c r="I1666" s="24" t="s">
        <v>27</v>
      </c>
      <c r="J1666" s="19" t="s">
        <v>146</v>
      </c>
      <c r="K1666" s="14">
        <v>10.0</v>
      </c>
      <c r="L1666" s="14">
        <v>0.0</v>
      </c>
      <c r="M1666" s="25"/>
      <c r="N1666" s="26" t="s">
        <v>21</v>
      </c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</row>
    <row r="1667">
      <c r="A1667" s="14" t="s">
        <v>6168</v>
      </c>
      <c r="B1667" s="17" t="s">
        <v>6169</v>
      </c>
      <c r="C1667" s="17" t="s">
        <v>6170</v>
      </c>
      <c r="D1667" s="19" t="s">
        <v>6171</v>
      </c>
      <c r="E1667" s="20" t="s">
        <v>632</v>
      </c>
      <c r="F1667" s="21">
        <v>23996.0</v>
      </c>
      <c r="G1667" s="14">
        <f t="shared" si="1"/>
        <v>61</v>
      </c>
      <c r="H1667" s="23" t="s">
        <v>26</v>
      </c>
      <c r="I1667" s="24" t="s">
        <v>27</v>
      </c>
      <c r="J1667" s="19" t="s">
        <v>328</v>
      </c>
      <c r="K1667" s="14">
        <v>21.0</v>
      </c>
      <c r="L1667" s="14">
        <v>0.0</v>
      </c>
      <c r="M1667" s="25"/>
      <c r="N1667" s="26" t="s">
        <v>21</v>
      </c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</row>
    <row r="1668">
      <c r="A1668" s="14" t="s">
        <v>6172</v>
      </c>
      <c r="B1668" s="17" t="s">
        <v>6169</v>
      </c>
      <c r="C1668" s="17" t="s">
        <v>6173</v>
      </c>
      <c r="D1668" s="19" t="s">
        <v>6174</v>
      </c>
      <c r="E1668" s="20" t="s">
        <v>104</v>
      </c>
      <c r="F1668" s="21">
        <v>37047.0</v>
      </c>
      <c r="G1668" s="14">
        <f t="shared" si="1"/>
        <v>25</v>
      </c>
      <c r="H1668" s="23" t="s">
        <v>100</v>
      </c>
      <c r="I1668" s="24" t="s">
        <v>33</v>
      </c>
      <c r="J1668" s="19" t="s">
        <v>328</v>
      </c>
      <c r="K1668" s="14">
        <v>21.0</v>
      </c>
      <c r="L1668" s="14">
        <v>0.0</v>
      </c>
      <c r="M1668" s="25"/>
      <c r="N1668" s="26" t="s">
        <v>21</v>
      </c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</row>
    <row r="1669">
      <c r="A1669" s="14" t="s">
        <v>6175</v>
      </c>
      <c r="B1669" s="17" t="s">
        <v>6169</v>
      </c>
      <c r="C1669" s="17" t="s">
        <v>6176</v>
      </c>
      <c r="D1669" s="19" t="s">
        <v>6177</v>
      </c>
      <c r="E1669" s="20" t="s">
        <v>1291</v>
      </c>
      <c r="F1669" s="21">
        <v>21495.0</v>
      </c>
      <c r="G1669" s="14">
        <f t="shared" si="1"/>
        <v>67</v>
      </c>
      <c r="H1669" s="23" t="s">
        <v>26</v>
      </c>
      <c r="I1669" s="24" t="s">
        <v>33</v>
      </c>
      <c r="J1669" s="19" t="s">
        <v>328</v>
      </c>
      <c r="K1669" s="14">
        <v>21.0</v>
      </c>
      <c r="L1669" s="14">
        <v>0.0</v>
      </c>
      <c r="M1669" s="25"/>
      <c r="N1669" s="26" t="s">
        <v>21</v>
      </c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</row>
    <row r="1670">
      <c r="A1670" s="14" t="s">
        <v>6178</v>
      </c>
      <c r="B1670" s="17" t="s">
        <v>6179</v>
      </c>
      <c r="C1670" s="17" t="s">
        <v>6180</v>
      </c>
      <c r="D1670" s="19" t="s">
        <v>6181</v>
      </c>
      <c r="E1670" s="20" t="s">
        <v>1816</v>
      </c>
      <c r="F1670" s="21">
        <v>20853.0</v>
      </c>
      <c r="G1670" s="14">
        <f t="shared" si="1"/>
        <v>69</v>
      </c>
      <c r="H1670" s="23" t="s">
        <v>26</v>
      </c>
      <c r="I1670" s="24" t="s">
        <v>33</v>
      </c>
      <c r="J1670" s="19" t="s">
        <v>68</v>
      </c>
      <c r="K1670" s="14">
        <v>28.0</v>
      </c>
      <c r="L1670" s="14">
        <v>0.0</v>
      </c>
      <c r="M1670" s="25"/>
      <c r="N1670" s="26" t="s">
        <v>21</v>
      </c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</row>
    <row r="1671">
      <c r="A1671" s="14" t="s">
        <v>6182</v>
      </c>
      <c r="B1671" s="17" t="s">
        <v>6179</v>
      </c>
      <c r="C1671" s="17" t="s">
        <v>6183</v>
      </c>
      <c r="D1671" s="19" t="s">
        <v>6184</v>
      </c>
      <c r="E1671" s="20" t="s">
        <v>1816</v>
      </c>
      <c r="F1671" s="27">
        <v>22932.0</v>
      </c>
      <c r="G1671" s="14">
        <f t="shared" si="1"/>
        <v>64</v>
      </c>
      <c r="H1671" s="23" t="s">
        <v>26</v>
      </c>
      <c r="I1671" s="24" t="s">
        <v>27</v>
      </c>
      <c r="J1671" s="19" t="s">
        <v>68</v>
      </c>
      <c r="K1671" s="14">
        <v>28.0</v>
      </c>
      <c r="L1671" s="14">
        <v>0.0</v>
      </c>
      <c r="M1671" s="25"/>
      <c r="N1671" s="26" t="s">
        <v>21</v>
      </c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</row>
    <row r="1672">
      <c r="A1672" s="14" t="s">
        <v>6185</v>
      </c>
      <c r="B1672" s="17" t="s">
        <v>6186</v>
      </c>
      <c r="C1672" s="17" t="s">
        <v>6187</v>
      </c>
      <c r="D1672" s="19" t="s">
        <v>6188</v>
      </c>
      <c r="E1672" s="20" t="s">
        <v>104</v>
      </c>
      <c r="F1672" s="21">
        <v>30456.0</v>
      </c>
      <c r="G1672" s="14">
        <f t="shared" si="1"/>
        <v>43</v>
      </c>
      <c r="H1672" s="23" t="s">
        <v>26</v>
      </c>
      <c r="I1672" s="24" t="s">
        <v>33</v>
      </c>
      <c r="J1672" s="19" t="s">
        <v>4079</v>
      </c>
      <c r="K1672" s="14">
        <v>24.0</v>
      </c>
      <c r="L1672" s="14">
        <v>0.0</v>
      </c>
      <c r="M1672" s="25"/>
      <c r="N1672" s="26" t="s">
        <v>21</v>
      </c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</row>
    <row r="1673">
      <c r="A1673" s="14" t="s">
        <v>6189</v>
      </c>
      <c r="B1673" s="17" t="s">
        <v>6186</v>
      </c>
      <c r="C1673" s="17" t="s">
        <v>6190</v>
      </c>
      <c r="D1673" s="19" t="s">
        <v>6191</v>
      </c>
      <c r="E1673" s="20" t="s">
        <v>6192</v>
      </c>
      <c r="F1673" s="21">
        <v>30931.0</v>
      </c>
      <c r="G1673" s="14">
        <f t="shared" si="1"/>
        <v>42</v>
      </c>
      <c r="H1673" s="23" t="s">
        <v>26</v>
      </c>
      <c r="I1673" s="24" t="s">
        <v>27</v>
      </c>
      <c r="J1673" s="19" t="s">
        <v>4079</v>
      </c>
      <c r="K1673" s="14">
        <v>24.0</v>
      </c>
      <c r="L1673" s="14">
        <v>0.0</v>
      </c>
      <c r="M1673" s="25"/>
      <c r="N1673" s="26" t="s">
        <v>21</v>
      </c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</row>
    <row r="1674">
      <c r="A1674" s="14" t="s">
        <v>6193</v>
      </c>
      <c r="B1674" s="17" t="s">
        <v>6194</v>
      </c>
      <c r="C1674" s="17" t="s">
        <v>6195</v>
      </c>
      <c r="D1674" s="19" t="s">
        <v>6196</v>
      </c>
      <c r="E1674" s="20" t="s">
        <v>104</v>
      </c>
      <c r="F1674" s="21">
        <v>38633.0</v>
      </c>
      <c r="G1674" s="14">
        <f t="shared" si="1"/>
        <v>21</v>
      </c>
      <c r="H1674" s="23" t="s">
        <v>100</v>
      </c>
      <c r="I1674" s="24" t="s">
        <v>33</v>
      </c>
      <c r="J1674" s="19" t="s">
        <v>53</v>
      </c>
      <c r="K1674" s="14">
        <v>4.0</v>
      </c>
      <c r="L1674" s="14">
        <v>0.0</v>
      </c>
      <c r="M1674" s="25"/>
      <c r="N1674" s="26" t="s">
        <v>21</v>
      </c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</row>
    <row r="1675">
      <c r="A1675" s="14" t="s">
        <v>6197</v>
      </c>
      <c r="B1675" s="17" t="s">
        <v>6194</v>
      </c>
      <c r="C1675" s="17" t="s">
        <v>6198</v>
      </c>
      <c r="D1675" s="19" t="s">
        <v>6199</v>
      </c>
      <c r="E1675" s="20" t="s">
        <v>650</v>
      </c>
      <c r="F1675" s="21">
        <v>25401.0</v>
      </c>
      <c r="G1675" s="14">
        <f t="shared" si="1"/>
        <v>57</v>
      </c>
      <c r="H1675" s="23" t="s">
        <v>26</v>
      </c>
      <c r="I1675" s="24" t="s">
        <v>27</v>
      </c>
      <c r="J1675" s="19" t="s">
        <v>53</v>
      </c>
      <c r="K1675" s="14">
        <v>4.0</v>
      </c>
      <c r="L1675" s="14">
        <v>0.0</v>
      </c>
      <c r="M1675" s="25"/>
      <c r="N1675" s="26" t="s">
        <v>21</v>
      </c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</row>
    <row r="1676">
      <c r="A1676" s="14" t="s">
        <v>6200</v>
      </c>
      <c r="B1676" s="17" t="s">
        <v>6194</v>
      </c>
      <c r="C1676" s="17" t="s">
        <v>6201</v>
      </c>
      <c r="D1676" s="19" t="s">
        <v>4125</v>
      </c>
      <c r="E1676" s="20" t="s">
        <v>650</v>
      </c>
      <c r="F1676" s="21">
        <v>23872.0</v>
      </c>
      <c r="G1676" s="14">
        <f t="shared" si="1"/>
        <v>61</v>
      </c>
      <c r="H1676" s="23" t="s">
        <v>26</v>
      </c>
      <c r="I1676" s="24" t="s">
        <v>33</v>
      </c>
      <c r="J1676" s="19" t="s">
        <v>206</v>
      </c>
      <c r="K1676" s="14">
        <v>4.0</v>
      </c>
      <c r="L1676" s="14">
        <v>0.0</v>
      </c>
      <c r="M1676" s="25"/>
      <c r="N1676" s="26" t="s">
        <v>21</v>
      </c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</row>
    <row r="1677">
      <c r="A1677" s="14" t="s">
        <v>6202</v>
      </c>
      <c r="B1677" s="17" t="s">
        <v>6194</v>
      </c>
      <c r="C1677" s="17" t="s">
        <v>6204</v>
      </c>
      <c r="D1677" s="19" t="s">
        <v>6205</v>
      </c>
      <c r="E1677" s="20" t="s">
        <v>104</v>
      </c>
      <c r="F1677" s="21">
        <v>37419.0</v>
      </c>
      <c r="G1677" s="14">
        <f t="shared" si="1"/>
        <v>24</v>
      </c>
      <c r="H1677" s="23" t="s">
        <v>100</v>
      </c>
      <c r="I1677" s="24" t="s">
        <v>27</v>
      </c>
      <c r="J1677" s="19" t="s">
        <v>53</v>
      </c>
      <c r="K1677" s="14">
        <v>4.0</v>
      </c>
      <c r="L1677" s="14">
        <v>5.0</v>
      </c>
      <c r="M1677" s="25"/>
      <c r="N1677" s="26" t="s">
        <v>21</v>
      </c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</row>
    <row r="1678">
      <c r="A1678" s="14" t="s">
        <v>6206</v>
      </c>
      <c r="B1678" s="17" t="s">
        <v>6207</v>
      </c>
      <c r="C1678" s="17" t="s">
        <v>6208</v>
      </c>
      <c r="D1678" s="19" t="s">
        <v>6209</v>
      </c>
      <c r="E1678" s="20" t="s">
        <v>104</v>
      </c>
      <c r="F1678" s="21">
        <v>34897.0</v>
      </c>
      <c r="G1678" s="14">
        <f t="shared" si="1"/>
        <v>31</v>
      </c>
      <c r="H1678" s="23" t="s">
        <v>100</v>
      </c>
      <c r="I1678" s="24" t="s">
        <v>33</v>
      </c>
      <c r="J1678" s="19" t="s">
        <v>2019</v>
      </c>
      <c r="K1678" s="14">
        <v>4.0</v>
      </c>
      <c r="L1678" s="14">
        <v>0.0</v>
      </c>
      <c r="M1678" s="25"/>
      <c r="N1678" s="26" t="s">
        <v>21</v>
      </c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</row>
    <row r="1679">
      <c r="A1679" s="14" t="s">
        <v>6210</v>
      </c>
      <c r="B1679" s="17" t="s">
        <v>6207</v>
      </c>
      <c r="C1679" s="17" t="s">
        <v>6211</v>
      </c>
      <c r="D1679" s="19" t="s">
        <v>6212</v>
      </c>
      <c r="E1679" s="20" t="s">
        <v>650</v>
      </c>
      <c r="F1679" s="21">
        <v>23940.0</v>
      </c>
      <c r="G1679" s="14">
        <f t="shared" si="1"/>
        <v>61</v>
      </c>
      <c r="H1679" s="23" t="s">
        <v>26</v>
      </c>
      <c r="I1679" s="24" t="s">
        <v>27</v>
      </c>
      <c r="J1679" s="19" t="s">
        <v>2019</v>
      </c>
      <c r="K1679" s="14">
        <v>4.0</v>
      </c>
      <c r="L1679" s="14">
        <v>0.0</v>
      </c>
      <c r="M1679" s="25"/>
      <c r="N1679" s="26" t="s">
        <v>21</v>
      </c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</row>
    <row r="1680">
      <c r="A1680" s="14" t="s">
        <v>6213</v>
      </c>
      <c r="B1680" s="17" t="s">
        <v>6207</v>
      </c>
      <c r="C1680" s="17" t="s">
        <v>6214</v>
      </c>
      <c r="D1680" s="19" t="s">
        <v>6215</v>
      </c>
      <c r="E1680" s="20" t="s">
        <v>654</v>
      </c>
      <c r="F1680" s="21">
        <v>22773.0</v>
      </c>
      <c r="G1680" s="14">
        <f t="shared" si="1"/>
        <v>64</v>
      </c>
      <c r="H1680" s="23" t="s">
        <v>26</v>
      </c>
      <c r="I1680" s="24" t="s">
        <v>33</v>
      </c>
      <c r="J1680" s="19" t="s">
        <v>2019</v>
      </c>
      <c r="K1680" s="14">
        <v>4.0</v>
      </c>
      <c r="L1680" s="14">
        <v>0.0</v>
      </c>
      <c r="M1680" s="25"/>
      <c r="N1680" s="26" t="s">
        <v>21</v>
      </c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</row>
    <row r="1681">
      <c r="A1681" s="14" t="s">
        <v>6216</v>
      </c>
      <c r="B1681" s="17" t="s">
        <v>6217</v>
      </c>
      <c r="C1681" s="17" t="s">
        <v>6218</v>
      </c>
      <c r="D1681" s="19" t="s">
        <v>6219</v>
      </c>
      <c r="E1681" s="20" t="s">
        <v>210</v>
      </c>
      <c r="F1681" s="21">
        <v>28720.0</v>
      </c>
      <c r="G1681" s="14">
        <f t="shared" si="1"/>
        <v>48</v>
      </c>
      <c r="H1681" s="23" t="s">
        <v>26</v>
      </c>
      <c r="I1681" s="24" t="s">
        <v>33</v>
      </c>
      <c r="J1681" s="19" t="s">
        <v>6220</v>
      </c>
      <c r="K1681" s="14">
        <v>4.0</v>
      </c>
      <c r="L1681" s="14">
        <v>0.0</v>
      </c>
      <c r="M1681" s="25"/>
      <c r="N1681" s="26" t="s">
        <v>21</v>
      </c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</row>
    <row r="1682">
      <c r="A1682" s="14" t="s">
        <v>6221</v>
      </c>
      <c r="B1682" s="17" t="s">
        <v>6217</v>
      </c>
      <c r="C1682" s="17" t="s">
        <v>6222</v>
      </c>
      <c r="D1682" s="19" t="s">
        <v>3519</v>
      </c>
      <c r="E1682" s="20" t="s">
        <v>53</v>
      </c>
      <c r="F1682" s="27">
        <v>36522.0</v>
      </c>
      <c r="G1682" s="14">
        <f t="shared" si="1"/>
        <v>26</v>
      </c>
      <c r="H1682" s="23" t="s">
        <v>100</v>
      </c>
      <c r="I1682" s="24" t="s">
        <v>33</v>
      </c>
      <c r="J1682" s="19" t="s">
        <v>6220</v>
      </c>
      <c r="K1682" s="14">
        <v>4.0</v>
      </c>
      <c r="L1682" s="14">
        <v>5.0</v>
      </c>
      <c r="M1682" s="25"/>
      <c r="N1682" s="26" t="s">
        <v>21</v>
      </c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</row>
    <row r="1683">
      <c r="A1683" s="14" t="s">
        <v>6223</v>
      </c>
      <c r="B1683" s="17" t="s">
        <v>6217</v>
      </c>
      <c r="C1683" s="17" t="s">
        <v>6224</v>
      </c>
      <c r="D1683" s="19" t="s">
        <v>6225</v>
      </c>
      <c r="E1683" s="20" t="s">
        <v>210</v>
      </c>
      <c r="F1683" s="21">
        <v>27854.0</v>
      </c>
      <c r="G1683" s="14">
        <f t="shared" si="1"/>
        <v>50</v>
      </c>
      <c r="H1683" s="23" t="s">
        <v>26</v>
      </c>
      <c r="I1683" s="24" t="s">
        <v>27</v>
      </c>
      <c r="J1683" s="19" t="s">
        <v>6220</v>
      </c>
      <c r="K1683" s="14">
        <v>4.0</v>
      </c>
      <c r="L1683" s="14">
        <v>0.0</v>
      </c>
      <c r="M1683" s="25"/>
      <c r="N1683" s="26" t="s">
        <v>21</v>
      </c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</row>
    <row r="1684">
      <c r="A1684" s="14" t="s">
        <v>6226</v>
      </c>
      <c r="B1684" s="17" t="s">
        <v>6227</v>
      </c>
      <c r="C1684" s="17" t="s">
        <v>6228</v>
      </c>
      <c r="D1684" s="19" t="s">
        <v>6229</v>
      </c>
      <c r="E1684" s="20" t="s">
        <v>1622</v>
      </c>
      <c r="F1684" s="21">
        <v>35912.0</v>
      </c>
      <c r="G1684" s="14">
        <f t="shared" si="1"/>
        <v>28</v>
      </c>
      <c r="H1684" s="23" t="s">
        <v>26</v>
      </c>
      <c r="I1684" s="24" t="s">
        <v>33</v>
      </c>
      <c r="J1684" s="19" t="s">
        <v>1915</v>
      </c>
      <c r="K1684" s="14">
        <v>12.0</v>
      </c>
      <c r="L1684" s="14">
        <v>0.0</v>
      </c>
      <c r="M1684" s="25"/>
      <c r="N1684" s="26" t="s">
        <v>21</v>
      </c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</row>
    <row r="1685">
      <c r="A1685" s="14" t="s">
        <v>6230</v>
      </c>
      <c r="B1685" s="17" t="s">
        <v>6227</v>
      </c>
      <c r="C1685" s="17" t="s">
        <v>6231</v>
      </c>
      <c r="D1685" s="19" t="s">
        <v>6232</v>
      </c>
      <c r="E1685" s="20" t="s">
        <v>6233</v>
      </c>
      <c r="F1685" s="21">
        <v>37096.0</v>
      </c>
      <c r="G1685" s="14">
        <f t="shared" si="1"/>
        <v>25</v>
      </c>
      <c r="H1685" s="23" t="s">
        <v>26</v>
      </c>
      <c r="I1685" s="24" t="s">
        <v>27</v>
      </c>
      <c r="J1685" s="19" t="s">
        <v>1915</v>
      </c>
      <c r="K1685" s="14">
        <v>12.0</v>
      </c>
      <c r="L1685" s="14">
        <v>0.0</v>
      </c>
      <c r="M1685" s="25"/>
      <c r="N1685" s="26" t="s">
        <v>21</v>
      </c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</row>
    <row r="1686">
      <c r="A1686" s="14" t="s">
        <v>6234</v>
      </c>
      <c r="B1686" s="17" t="s">
        <v>6235</v>
      </c>
      <c r="C1686" s="17" t="s">
        <v>6236</v>
      </c>
      <c r="D1686" s="19" t="s">
        <v>6237</v>
      </c>
      <c r="E1686" s="20" t="s">
        <v>6238</v>
      </c>
      <c r="F1686" s="21">
        <v>24204.0</v>
      </c>
      <c r="G1686" s="14">
        <f t="shared" si="1"/>
        <v>60</v>
      </c>
      <c r="H1686" s="23" t="s">
        <v>26</v>
      </c>
      <c r="I1686" s="24" t="s">
        <v>27</v>
      </c>
      <c r="J1686" s="19" t="s">
        <v>328</v>
      </c>
      <c r="K1686" s="14">
        <v>24.0</v>
      </c>
      <c r="L1686" s="14">
        <v>0.0</v>
      </c>
      <c r="M1686" s="25"/>
      <c r="N1686" s="26" t="s">
        <v>21</v>
      </c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</row>
    <row r="1687">
      <c r="A1687" s="14" t="s">
        <v>6239</v>
      </c>
      <c r="B1687" s="17" t="s">
        <v>6235</v>
      </c>
      <c r="C1687" s="17" t="s">
        <v>6240</v>
      </c>
      <c r="D1687" s="19" t="s">
        <v>6241</v>
      </c>
      <c r="E1687" s="20" t="s">
        <v>632</v>
      </c>
      <c r="F1687" s="21">
        <v>21953.0</v>
      </c>
      <c r="G1687" s="14">
        <f t="shared" si="1"/>
        <v>66</v>
      </c>
      <c r="H1687" s="23" t="s">
        <v>26</v>
      </c>
      <c r="I1687" s="24" t="s">
        <v>33</v>
      </c>
      <c r="J1687" s="19" t="s">
        <v>328</v>
      </c>
      <c r="K1687" s="14">
        <v>24.0</v>
      </c>
      <c r="L1687" s="14">
        <v>0.0</v>
      </c>
      <c r="M1687" s="25"/>
      <c r="N1687" s="26" t="s">
        <v>21</v>
      </c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</row>
    <row r="1688">
      <c r="A1688" s="14" t="s">
        <v>6242</v>
      </c>
      <c r="B1688" s="17" t="s">
        <v>6738</v>
      </c>
      <c r="C1688" s="17" t="s">
        <v>6243</v>
      </c>
      <c r="D1688" s="19" t="s">
        <v>6244</v>
      </c>
      <c r="E1688" s="20" t="s">
        <v>53</v>
      </c>
      <c r="F1688" s="27">
        <v>36455.0</v>
      </c>
      <c r="G1688" s="14">
        <f t="shared" si="1"/>
        <v>27</v>
      </c>
      <c r="H1688" s="23" t="s">
        <v>100</v>
      </c>
      <c r="I1688" s="24" t="s">
        <v>27</v>
      </c>
      <c r="J1688" s="19" t="s">
        <v>328</v>
      </c>
      <c r="K1688" s="14">
        <v>26.0</v>
      </c>
      <c r="L1688" s="14">
        <v>0.0</v>
      </c>
      <c r="M1688" s="25"/>
      <c r="N1688" s="26" t="s">
        <v>21</v>
      </c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</row>
    <row r="1689">
      <c r="A1689" s="14" t="s">
        <v>6245</v>
      </c>
      <c r="B1689" s="17" t="s">
        <v>6246</v>
      </c>
      <c r="C1689" s="17" t="s">
        <v>6247</v>
      </c>
      <c r="D1689" s="19" t="s">
        <v>6248</v>
      </c>
      <c r="E1689" s="20" t="s">
        <v>650</v>
      </c>
      <c r="F1689" s="21">
        <v>19906.0</v>
      </c>
      <c r="G1689" s="14">
        <f t="shared" si="1"/>
        <v>72</v>
      </c>
      <c r="H1689" s="23" t="s">
        <v>26</v>
      </c>
      <c r="I1689" s="24" t="s">
        <v>33</v>
      </c>
      <c r="J1689" s="19" t="s">
        <v>2336</v>
      </c>
      <c r="K1689" s="14">
        <v>24.0</v>
      </c>
      <c r="L1689" s="14">
        <v>0.0</v>
      </c>
      <c r="M1689" s="25"/>
      <c r="N1689" s="26" t="s">
        <v>21</v>
      </c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</row>
    <row r="1690">
      <c r="A1690" s="14" t="s">
        <v>6249</v>
      </c>
      <c r="B1690" s="17" t="s">
        <v>6246</v>
      </c>
      <c r="C1690" s="17" t="s">
        <v>6250</v>
      </c>
      <c r="D1690" s="19" t="s">
        <v>6251</v>
      </c>
      <c r="E1690" s="20" t="s">
        <v>650</v>
      </c>
      <c r="F1690" s="21">
        <v>22463.0</v>
      </c>
      <c r="G1690" s="14">
        <f t="shared" si="1"/>
        <v>65</v>
      </c>
      <c r="H1690" s="23" t="s">
        <v>26</v>
      </c>
      <c r="I1690" s="24" t="s">
        <v>27</v>
      </c>
      <c r="J1690" s="19" t="s">
        <v>2336</v>
      </c>
      <c r="K1690" s="14">
        <v>24.0</v>
      </c>
      <c r="L1690" s="14">
        <v>0.0</v>
      </c>
      <c r="M1690" s="25"/>
      <c r="N1690" s="26" t="s">
        <v>21</v>
      </c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</row>
    <row r="1691">
      <c r="A1691" s="14" t="s">
        <v>6252</v>
      </c>
      <c r="B1691" s="17" t="s">
        <v>6253</v>
      </c>
      <c r="C1691" s="17" t="s">
        <v>6254</v>
      </c>
      <c r="D1691" s="19" t="s">
        <v>6255</v>
      </c>
      <c r="E1691" s="20" t="s">
        <v>6256</v>
      </c>
      <c r="F1691" s="27">
        <v>34989.0</v>
      </c>
      <c r="G1691" s="14">
        <f t="shared" si="1"/>
        <v>31</v>
      </c>
      <c r="H1691" s="23" t="s">
        <v>26</v>
      </c>
      <c r="I1691" s="24" t="s">
        <v>33</v>
      </c>
      <c r="J1691" s="19" t="s">
        <v>53</v>
      </c>
      <c r="K1691" s="14">
        <v>3.0</v>
      </c>
      <c r="L1691" s="14">
        <v>0.0</v>
      </c>
      <c r="M1691" s="25"/>
      <c r="N1691" s="26" t="s">
        <v>21</v>
      </c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</row>
    <row r="1692">
      <c r="A1692" s="14" t="s">
        <v>6257</v>
      </c>
      <c r="B1692" s="17" t="s">
        <v>6253</v>
      </c>
      <c r="C1692" s="17" t="s">
        <v>6258</v>
      </c>
      <c r="D1692" s="19" t="s">
        <v>6259</v>
      </c>
      <c r="E1692" s="20" t="s">
        <v>6260</v>
      </c>
      <c r="F1692" s="21">
        <v>37118.0</v>
      </c>
      <c r="G1692" s="14">
        <f t="shared" si="1"/>
        <v>25</v>
      </c>
      <c r="H1692" s="23" t="s">
        <v>26</v>
      </c>
      <c r="I1692" s="24" t="s">
        <v>27</v>
      </c>
      <c r="J1692" s="19" t="s">
        <v>53</v>
      </c>
      <c r="K1692" s="14">
        <v>3.0</v>
      </c>
      <c r="L1692" s="14">
        <v>0.0</v>
      </c>
      <c r="M1692" s="25"/>
      <c r="N1692" s="26" t="s">
        <v>21</v>
      </c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</row>
    <row r="1693">
      <c r="A1693" s="14" t="s">
        <v>6261</v>
      </c>
      <c r="B1693" s="17" t="s">
        <v>6262</v>
      </c>
      <c r="C1693" s="17" t="s">
        <v>6263</v>
      </c>
      <c r="D1693" s="19" t="s">
        <v>6264</v>
      </c>
      <c r="E1693" s="20" t="s">
        <v>6265</v>
      </c>
      <c r="F1693" s="21">
        <v>36307.0</v>
      </c>
      <c r="G1693" s="14">
        <f t="shared" si="1"/>
        <v>27</v>
      </c>
      <c r="H1693" s="23" t="s">
        <v>26</v>
      </c>
      <c r="I1693" s="24" t="s">
        <v>27</v>
      </c>
      <c r="J1693" s="19" t="s">
        <v>53</v>
      </c>
      <c r="K1693" s="14">
        <v>6.0</v>
      </c>
      <c r="L1693" s="14">
        <v>0.0</v>
      </c>
      <c r="M1693" s="25"/>
      <c r="N1693" s="26" t="s">
        <v>21</v>
      </c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</row>
    <row r="1694">
      <c r="A1694" s="14" t="s">
        <v>6266</v>
      </c>
      <c r="B1694" s="17" t="s">
        <v>6262</v>
      </c>
      <c r="C1694" s="17" t="s">
        <v>6267</v>
      </c>
      <c r="D1694" s="19" t="s">
        <v>6268</v>
      </c>
      <c r="E1694" s="20" t="s">
        <v>6269</v>
      </c>
      <c r="F1694" s="21">
        <v>34540.0</v>
      </c>
      <c r="G1694" s="14">
        <f t="shared" si="1"/>
        <v>32</v>
      </c>
      <c r="H1694" s="23" t="s">
        <v>26</v>
      </c>
      <c r="I1694" s="24" t="s">
        <v>33</v>
      </c>
      <c r="J1694" s="19" t="s">
        <v>53</v>
      </c>
      <c r="K1694" s="14">
        <v>6.0</v>
      </c>
      <c r="L1694" s="14">
        <v>0.0</v>
      </c>
      <c r="M1694" s="25"/>
      <c r="N1694" s="26" t="s">
        <v>21</v>
      </c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</row>
    <row r="1695">
      <c r="A1695" s="14" t="s">
        <v>6270</v>
      </c>
      <c r="B1695" s="17" t="s">
        <v>6271</v>
      </c>
      <c r="C1695" s="17" t="s">
        <v>6272</v>
      </c>
      <c r="D1695" s="19" t="s">
        <v>6273</v>
      </c>
      <c r="E1695" s="20" t="s">
        <v>104</v>
      </c>
      <c r="F1695" s="21">
        <v>38058.0</v>
      </c>
      <c r="G1695" s="14">
        <f t="shared" si="1"/>
        <v>22</v>
      </c>
      <c r="H1695" s="23" t="s">
        <v>100</v>
      </c>
      <c r="I1695" s="24" t="s">
        <v>33</v>
      </c>
      <c r="J1695" s="19" t="s">
        <v>757</v>
      </c>
      <c r="K1695" s="14">
        <v>10.0</v>
      </c>
      <c r="L1695" s="14">
        <v>0.0</v>
      </c>
      <c r="M1695" s="25"/>
      <c r="N1695" s="26" t="s">
        <v>21</v>
      </c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</row>
    <row r="1696">
      <c r="A1696" s="14" t="s">
        <v>6274</v>
      </c>
      <c r="B1696" s="17" t="s">
        <v>6271</v>
      </c>
      <c r="C1696" s="17" t="s">
        <v>6275</v>
      </c>
      <c r="D1696" s="19" t="s">
        <v>6276</v>
      </c>
      <c r="E1696" s="20" t="s">
        <v>104</v>
      </c>
      <c r="F1696" s="21">
        <v>37099.0</v>
      </c>
      <c r="G1696" s="14">
        <f t="shared" si="1"/>
        <v>25</v>
      </c>
      <c r="H1696" s="23" t="s">
        <v>100</v>
      </c>
      <c r="I1696" s="24" t="s">
        <v>33</v>
      </c>
      <c r="J1696" s="19" t="s">
        <v>206</v>
      </c>
      <c r="K1696" s="14">
        <v>10.0</v>
      </c>
      <c r="L1696" s="14">
        <v>5.0</v>
      </c>
      <c r="M1696" s="25"/>
      <c r="N1696" s="26" t="s">
        <v>21</v>
      </c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</row>
    <row r="1697">
      <c r="A1697" s="14" t="s">
        <v>6277</v>
      </c>
      <c r="B1697" s="17" t="s">
        <v>6271</v>
      </c>
      <c r="C1697" s="17" t="s">
        <v>6278</v>
      </c>
      <c r="D1697" s="19" t="s">
        <v>6279</v>
      </c>
      <c r="E1697" s="20" t="s">
        <v>654</v>
      </c>
      <c r="F1697" s="21">
        <v>26838.0</v>
      </c>
      <c r="G1697" s="14">
        <f t="shared" si="1"/>
        <v>53</v>
      </c>
      <c r="H1697" s="23" t="s">
        <v>27</v>
      </c>
      <c r="I1697" s="24" t="s">
        <v>27</v>
      </c>
      <c r="J1697" s="19" t="s">
        <v>206</v>
      </c>
      <c r="K1697" s="14">
        <v>10.0</v>
      </c>
      <c r="L1697" s="14">
        <v>0.0</v>
      </c>
      <c r="M1697" s="25"/>
      <c r="N1697" s="26" t="s">
        <v>21</v>
      </c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</row>
    <row r="1698">
      <c r="A1698" s="14" t="s">
        <v>6281</v>
      </c>
      <c r="B1698" s="17" t="s">
        <v>6282</v>
      </c>
      <c r="C1698" s="17" t="s">
        <v>6283</v>
      </c>
      <c r="D1698" s="19" t="s">
        <v>1986</v>
      </c>
      <c r="E1698" s="20" t="s">
        <v>231</v>
      </c>
      <c r="F1698" s="21">
        <v>30093.0</v>
      </c>
      <c r="G1698" s="14">
        <f t="shared" si="1"/>
        <v>44</v>
      </c>
      <c r="H1698" s="23" t="s">
        <v>27</v>
      </c>
      <c r="I1698" s="24" t="s">
        <v>33</v>
      </c>
      <c r="J1698" s="19" t="s">
        <v>6284</v>
      </c>
      <c r="K1698" s="14">
        <v>30.0</v>
      </c>
      <c r="L1698" s="14">
        <v>5.0</v>
      </c>
      <c r="M1698" s="28" t="s">
        <v>6783</v>
      </c>
      <c r="N1698" s="26" t="s">
        <v>21</v>
      </c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</row>
    <row r="1699">
      <c r="A1699" s="14" t="s">
        <v>6285</v>
      </c>
      <c r="B1699" s="17" t="s">
        <v>6286</v>
      </c>
      <c r="C1699" s="17" t="s">
        <v>6287</v>
      </c>
      <c r="D1699" s="19" t="s">
        <v>6288</v>
      </c>
      <c r="E1699" s="20" t="s">
        <v>104</v>
      </c>
      <c r="F1699" s="21">
        <v>32525.0</v>
      </c>
      <c r="G1699" s="14">
        <f t="shared" si="1"/>
        <v>37</v>
      </c>
      <c r="H1699" s="23" t="s">
        <v>26</v>
      </c>
      <c r="I1699" s="24" t="s">
        <v>27</v>
      </c>
      <c r="J1699" s="19" t="s">
        <v>328</v>
      </c>
      <c r="K1699" s="14">
        <v>23.0</v>
      </c>
      <c r="L1699" s="14">
        <v>0.0</v>
      </c>
      <c r="M1699" s="25"/>
      <c r="N1699" s="26" t="s">
        <v>21</v>
      </c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</row>
    <row r="1700">
      <c r="A1700" s="14" t="s">
        <v>6289</v>
      </c>
      <c r="B1700" s="17" t="s">
        <v>6286</v>
      </c>
      <c r="C1700" s="17" t="s">
        <v>6290</v>
      </c>
      <c r="D1700" s="19" t="s">
        <v>2657</v>
      </c>
      <c r="E1700" s="20" t="s">
        <v>104</v>
      </c>
      <c r="F1700" s="21">
        <v>31284.0</v>
      </c>
      <c r="G1700" s="14">
        <f t="shared" si="1"/>
        <v>41</v>
      </c>
      <c r="H1700" s="23" t="s">
        <v>26</v>
      </c>
      <c r="I1700" s="24" t="s">
        <v>33</v>
      </c>
      <c r="J1700" s="19" t="s">
        <v>328</v>
      </c>
      <c r="K1700" s="14">
        <v>23.0</v>
      </c>
      <c r="L1700" s="14">
        <v>0.0</v>
      </c>
      <c r="M1700" s="25"/>
      <c r="N1700" s="26" t="s">
        <v>21</v>
      </c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</row>
    <row r="1701">
      <c r="A1701" s="14" t="s">
        <v>6291</v>
      </c>
      <c r="B1701" s="17" t="s">
        <v>6292</v>
      </c>
      <c r="C1701" s="17" t="s">
        <v>6293</v>
      </c>
      <c r="D1701" s="19" t="s">
        <v>6294</v>
      </c>
      <c r="E1701" s="20" t="s">
        <v>53</v>
      </c>
      <c r="F1701" s="21">
        <v>36018.0</v>
      </c>
      <c r="G1701" s="14">
        <f t="shared" si="1"/>
        <v>28</v>
      </c>
      <c r="H1701" s="23" t="s">
        <v>100</v>
      </c>
      <c r="I1701" s="24" t="s">
        <v>33</v>
      </c>
      <c r="J1701" s="19" t="s">
        <v>282</v>
      </c>
      <c r="K1701" s="14">
        <v>11.0</v>
      </c>
      <c r="L1701" s="14">
        <v>0.0</v>
      </c>
      <c r="M1701" s="25"/>
      <c r="N1701" s="26" t="s">
        <v>21</v>
      </c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</row>
    <row r="1702">
      <c r="A1702" s="14" t="s">
        <v>6295</v>
      </c>
      <c r="B1702" s="17" t="s">
        <v>6292</v>
      </c>
      <c r="C1702" s="17" t="s">
        <v>6296</v>
      </c>
      <c r="D1702" s="19" t="s">
        <v>6297</v>
      </c>
      <c r="E1702" s="20" t="s">
        <v>1903</v>
      </c>
      <c r="F1702" s="21">
        <v>26146.0</v>
      </c>
      <c r="G1702" s="14">
        <f t="shared" si="1"/>
        <v>55</v>
      </c>
      <c r="H1702" s="23" t="s">
        <v>26</v>
      </c>
      <c r="I1702" s="24" t="s">
        <v>27</v>
      </c>
      <c r="J1702" s="19" t="s">
        <v>282</v>
      </c>
      <c r="K1702" s="14">
        <v>11.0</v>
      </c>
      <c r="L1702" s="14">
        <v>0.0</v>
      </c>
      <c r="M1702" s="25"/>
      <c r="N1702" s="26" t="s">
        <v>21</v>
      </c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</row>
    <row r="1703">
      <c r="A1703" s="14" t="s">
        <v>6298</v>
      </c>
      <c r="B1703" s="17" t="s">
        <v>6292</v>
      </c>
      <c r="C1703" s="17" t="s">
        <v>6299</v>
      </c>
      <c r="D1703" s="19" t="s">
        <v>6300</v>
      </c>
      <c r="E1703" s="20" t="s">
        <v>3047</v>
      </c>
      <c r="F1703" s="21">
        <v>25629.0</v>
      </c>
      <c r="G1703" s="14">
        <f t="shared" si="1"/>
        <v>56</v>
      </c>
      <c r="H1703" s="23" t="s">
        <v>26</v>
      </c>
      <c r="I1703" s="24" t="s">
        <v>33</v>
      </c>
      <c r="J1703" s="19" t="s">
        <v>282</v>
      </c>
      <c r="K1703" s="14">
        <v>11.0</v>
      </c>
      <c r="L1703" s="14">
        <v>0.0</v>
      </c>
      <c r="M1703" s="25"/>
      <c r="N1703" s="26" t="s">
        <v>21</v>
      </c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</row>
    <row r="1704">
      <c r="A1704" s="14" t="s">
        <v>6301</v>
      </c>
      <c r="B1704" s="17" t="s">
        <v>6302</v>
      </c>
      <c r="C1704" s="17" t="s">
        <v>6303</v>
      </c>
      <c r="D1704" s="19" t="s">
        <v>6304</v>
      </c>
      <c r="E1704" s="20" t="s">
        <v>632</v>
      </c>
      <c r="F1704" s="27">
        <v>27743.0</v>
      </c>
      <c r="G1704" s="14">
        <f t="shared" si="1"/>
        <v>50</v>
      </c>
      <c r="H1704" s="23" t="s">
        <v>26</v>
      </c>
      <c r="I1704" s="24" t="s">
        <v>33</v>
      </c>
      <c r="J1704" s="19" t="s">
        <v>146</v>
      </c>
      <c r="K1704" s="14">
        <v>4.0</v>
      </c>
      <c r="L1704" s="14">
        <v>0.0</v>
      </c>
      <c r="M1704" s="25"/>
      <c r="N1704" s="26" t="s">
        <v>21</v>
      </c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</row>
    <row r="1705">
      <c r="A1705" s="14" t="s">
        <v>6305</v>
      </c>
      <c r="B1705" s="17" t="s">
        <v>6302</v>
      </c>
      <c r="C1705" s="17" t="s">
        <v>6306</v>
      </c>
      <c r="D1705" s="19" t="s">
        <v>6307</v>
      </c>
      <c r="E1705" s="20" t="s">
        <v>6308</v>
      </c>
      <c r="F1705" s="21">
        <v>26165.0</v>
      </c>
      <c r="G1705" s="14">
        <f t="shared" si="1"/>
        <v>55</v>
      </c>
      <c r="H1705" s="23" t="s">
        <v>26</v>
      </c>
      <c r="I1705" s="24" t="s">
        <v>27</v>
      </c>
      <c r="J1705" s="19" t="s">
        <v>146</v>
      </c>
      <c r="K1705" s="14">
        <v>4.0</v>
      </c>
      <c r="L1705" s="14">
        <v>0.0</v>
      </c>
      <c r="M1705" s="25"/>
      <c r="N1705" s="26" t="s">
        <v>21</v>
      </c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</row>
    <row r="1706">
      <c r="A1706" s="14" t="s">
        <v>6309</v>
      </c>
      <c r="B1706" s="17" t="s">
        <v>6310</v>
      </c>
      <c r="C1706" s="17" t="s">
        <v>6311</v>
      </c>
      <c r="D1706" s="19" t="s">
        <v>6312</v>
      </c>
      <c r="E1706" s="20" t="s">
        <v>195</v>
      </c>
      <c r="F1706" s="21">
        <v>37286.0</v>
      </c>
      <c r="G1706" s="14">
        <f t="shared" si="1"/>
        <v>24</v>
      </c>
      <c r="H1706" s="23" t="s">
        <v>100</v>
      </c>
      <c r="I1706" s="24" t="s">
        <v>33</v>
      </c>
      <c r="J1706" s="19" t="s">
        <v>517</v>
      </c>
      <c r="K1706" s="14">
        <v>5.0</v>
      </c>
      <c r="L1706" s="14">
        <v>0.0</v>
      </c>
      <c r="M1706" s="25"/>
      <c r="N1706" s="26" t="s">
        <v>21</v>
      </c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</row>
    <row r="1707">
      <c r="A1707" s="14" t="s">
        <v>6313</v>
      </c>
      <c r="B1707" s="17" t="s">
        <v>6310</v>
      </c>
      <c r="C1707" s="17" t="s">
        <v>6314</v>
      </c>
      <c r="D1707" s="19" t="s">
        <v>6315</v>
      </c>
      <c r="E1707" s="20" t="s">
        <v>104</v>
      </c>
      <c r="F1707" s="21">
        <v>28163.0</v>
      </c>
      <c r="G1707" s="14">
        <f t="shared" si="1"/>
        <v>49</v>
      </c>
      <c r="H1707" s="23" t="s">
        <v>26</v>
      </c>
      <c r="I1707" s="24" t="s">
        <v>27</v>
      </c>
      <c r="J1707" s="19" t="s">
        <v>517</v>
      </c>
      <c r="K1707" s="14">
        <v>5.0</v>
      </c>
      <c r="L1707" s="14">
        <v>0.0</v>
      </c>
      <c r="M1707" s="25"/>
      <c r="N1707" s="26" t="s">
        <v>21</v>
      </c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</row>
    <row r="1708">
      <c r="A1708" s="14" t="s">
        <v>6316</v>
      </c>
      <c r="B1708" s="17" t="s">
        <v>6310</v>
      </c>
      <c r="C1708" s="17" t="s">
        <v>6317</v>
      </c>
      <c r="D1708" s="19" t="s">
        <v>3087</v>
      </c>
      <c r="E1708" s="20" t="s">
        <v>632</v>
      </c>
      <c r="F1708" s="21">
        <v>24596.0</v>
      </c>
      <c r="G1708" s="14">
        <f t="shared" si="1"/>
        <v>59</v>
      </c>
      <c r="H1708" s="23" t="s">
        <v>26</v>
      </c>
      <c r="I1708" s="24" t="s">
        <v>33</v>
      </c>
      <c r="J1708" s="19" t="s">
        <v>517</v>
      </c>
      <c r="K1708" s="14">
        <v>5.0</v>
      </c>
      <c r="L1708" s="14">
        <v>0.0</v>
      </c>
      <c r="M1708" s="25"/>
      <c r="N1708" s="26" t="s">
        <v>21</v>
      </c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</row>
    <row r="1709">
      <c r="A1709" s="14" t="s">
        <v>6318</v>
      </c>
      <c r="B1709" s="17" t="s">
        <v>6319</v>
      </c>
      <c r="C1709" s="17" t="s">
        <v>6320</v>
      </c>
      <c r="D1709" s="19" t="s">
        <v>6321</v>
      </c>
      <c r="E1709" s="20" t="s">
        <v>650</v>
      </c>
      <c r="F1709" s="27">
        <v>23295.0</v>
      </c>
      <c r="G1709" s="14">
        <f t="shared" si="1"/>
        <v>63</v>
      </c>
      <c r="H1709" s="23" t="s">
        <v>26</v>
      </c>
      <c r="I1709" s="24" t="s">
        <v>33</v>
      </c>
      <c r="J1709" s="19" t="s">
        <v>58</v>
      </c>
      <c r="K1709" s="14">
        <v>5.0</v>
      </c>
      <c r="L1709" s="14">
        <v>0.0</v>
      </c>
      <c r="M1709" s="25"/>
      <c r="N1709" s="26" t="s">
        <v>21</v>
      </c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</row>
    <row r="1710">
      <c r="A1710" s="14" t="s">
        <v>6322</v>
      </c>
      <c r="B1710" s="17" t="s">
        <v>6319</v>
      </c>
      <c r="C1710" s="17" t="s">
        <v>6323</v>
      </c>
      <c r="D1710" s="19" t="s">
        <v>6324</v>
      </c>
      <c r="E1710" s="20" t="s">
        <v>654</v>
      </c>
      <c r="F1710" s="21">
        <v>27958.0</v>
      </c>
      <c r="G1710" s="14">
        <f t="shared" si="1"/>
        <v>50</v>
      </c>
      <c r="H1710" s="23" t="s">
        <v>26</v>
      </c>
      <c r="I1710" s="24" t="s">
        <v>27</v>
      </c>
      <c r="J1710" s="19" t="s">
        <v>58</v>
      </c>
      <c r="K1710" s="14">
        <v>5.0</v>
      </c>
      <c r="L1710" s="14">
        <v>0.0</v>
      </c>
      <c r="M1710" s="25"/>
      <c r="N1710" s="26" t="s">
        <v>21</v>
      </c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</row>
    <row r="1711">
      <c r="A1711" s="14" t="s">
        <v>6325</v>
      </c>
      <c r="B1711" s="17" t="s">
        <v>6326</v>
      </c>
      <c r="C1711" s="17" t="s">
        <v>6327</v>
      </c>
      <c r="D1711" s="19" t="s">
        <v>6328</v>
      </c>
      <c r="E1711" s="20" t="s">
        <v>1816</v>
      </c>
      <c r="F1711" s="21">
        <v>33280.0</v>
      </c>
      <c r="G1711" s="14">
        <f t="shared" si="1"/>
        <v>35</v>
      </c>
      <c r="H1711" s="23" t="s">
        <v>26</v>
      </c>
      <c r="I1711" s="24" t="s">
        <v>33</v>
      </c>
      <c r="J1711" s="19" t="s">
        <v>156</v>
      </c>
      <c r="K1711" s="14">
        <v>28.0</v>
      </c>
      <c r="L1711" s="14">
        <v>0.0</v>
      </c>
      <c r="M1711" s="25"/>
      <c r="N1711" s="26" t="s">
        <v>21</v>
      </c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</row>
    <row r="1712">
      <c r="A1712" s="14" t="s">
        <v>6329</v>
      </c>
      <c r="B1712" s="17" t="s">
        <v>6326</v>
      </c>
      <c r="C1712" s="17" t="s">
        <v>6330</v>
      </c>
      <c r="D1712" s="19" t="s">
        <v>6331</v>
      </c>
      <c r="E1712" s="20" t="s">
        <v>6332</v>
      </c>
      <c r="F1712" s="21">
        <v>36348.0</v>
      </c>
      <c r="G1712" s="14">
        <f t="shared" si="1"/>
        <v>27</v>
      </c>
      <c r="H1712" s="23" t="s">
        <v>26</v>
      </c>
      <c r="I1712" s="24" t="s">
        <v>27</v>
      </c>
      <c r="J1712" s="19" t="s">
        <v>156</v>
      </c>
      <c r="K1712" s="14">
        <v>28.0</v>
      </c>
      <c r="L1712" s="14">
        <v>0.0</v>
      </c>
      <c r="M1712" s="25"/>
      <c r="N1712" s="26" t="s">
        <v>21</v>
      </c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</row>
    <row r="1713">
      <c r="A1713" s="14" t="s">
        <v>6333</v>
      </c>
      <c r="B1713" s="17" t="s">
        <v>6334</v>
      </c>
      <c r="C1713" s="17" t="s">
        <v>6335</v>
      </c>
      <c r="D1713" s="19" t="s">
        <v>6336</v>
      </c>
      <c r="E1713" s="20" t="s">
        <v>2038</v>
      </c>
      <c r="F1713" s="21">
        <v>38510.0</v>
      </c>
      <c r="G1713" s="14">
        <f t="shared" si="1"/>
        <v>21</v>
      </c>
      <c r="H1713" s="23" t="s">
        <v>100</v>
      </c>
      <c r="I1713" s="24" t="s">
        <v>33</v>
      </c>
      <c r="J1713" s="19" t="s">
        <v>1437</v>
      </c>
      <c r="K1713" s="14">
        <v>33.0</v>
      </c>
      <c r="L1713" s="14">
        <v>0.0</v>
      </c>
      <c r="M1713" s="25"/>
      <c r="N1713" s="26" t="s">
        <v>21</v>
      </c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</row>
    <row r="1714">
      <c r="A1714" s="14" t="s">
        <v>6337</v>
      </c>
      <c r="B1714" s="17" t="s">
        <v>6334</v>
      </c>
      <c r="C1714" s="17" t="s">
        <v>6338</v>
      </c>
      <c r="D1714" s="19" t="s">
        <v>6339</v>
      </c>
      <c r="E1714" s="20" t="s">
        <v>67</v>
      </c>
      <c r="F1714" s="21">
        <v>27163.0</v>
      </c>
      <c r="G1714" s="14">
        <f t="shared" si="1"/>
        <v>52</v>
      </c>
      <c r="H1714" s="23" t="s">
        <v>26</v>
      </c>
      <c r="I1714" s="24" t="s">
        <v>33</v>
      </c>
      <c r="J1714" s="19" t="s">
        <v>1437</v>
      </c>
      <c r="K1714" s="14">
        <v>33.0</v>
      </c>
      <c r="L1714" s="14">
        <v>0.0</v>
      </c>
      <c r="M1714" s="25"/>
      <c r="N1714" s="26" t="s">
        <v>21</v>
      </c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</row>
    <row r="1715">
      <c r="A1715" s="14" t="s">
        <v>6340</v>
      </c>
      <c r="B1715" s="17" t="s">
        <v>6334</v>
      </c>
      <c r="C1715" s="17" t="s">
        <v>6341</v>
      </c>
      <c r="D1715" s="19" t="s">
        <v>4603</v>
      </c>
      <c r="E1715" s="20" t="s">
        <v>104</v>
      </c>
      <c r="F1715" s="21">
        <v>29596.0</v>
      </c>
      <c r="G1715" s="14">
        <f t="shared" si="1"/>
        <v>45</v>
      </c>
      <c r="H1715" s="23" t="s">
        <v>26</v>
      </c>
      <c r="I1715" s="24" t="s">
        <v>27</v>
      </c>
      <c r="J1715" s="19" t="s">
        <v>1437</v>
      </c>
      <c r="K1715" s="14">
        <v>33.0</v>
      </c>
      <c r="L1715" s="14">
        <v>0.0</v>
      </c>
      <c r="M1715" s="25"/>
      <c r="N1715" s="26" t="s">
        <v>21</v>
      </c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</row>
    <row r="1716">
      <c r="A1716" s="14" t="s">
        <v>6342</v>
      </c>
      <c r="B1716" s="17" t="s">
        <v>6343</v>
      </c>
      <c r="C1716" s="17" t="s">
        <v>6344</v>
      </c>
      <c r="D1716" s="19" t="s">
        <v>6345</v>
      </c>
      <c r="E1716" s="20" t="s">
        <v>138</v>
      </c>
      <c r="F1716" s="21">
        <v>38969.0</v>
      </c>
      <c r="G1716" s="14">
        <f t="shared" si="1"/>
        <v>20</v>
      </c>
      <c r="H1716" s="23" t="s">
        <v>100</v>
      </c>
      <c r="I1716" s="24" t="s">
        <v>33</v>
      </c>
      <c r="J1716" s="19" t="s">
        <v>328</v>
      </c>
      <c r="K1716" s="14">
        <v>25.0</v>
      </c>
      <c r="L1716" s="14">
        <v>0.0</v>
      </c>
      <c r="M1716" s="25"/>
      <c r="N1716" s="26" t="s">
        <v>21</v>
      </c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</row>
    <row r="1717">
      <c r="A1717" s="14" t="s">
        <v>6346</v>
      </c>
      <c r="B1717" s="17" t="s">
        <v>6343</v>
      </c>
      <c r="C1717" s="17" t="s">
        <v>6347</v>
      </c>
      <c r="D1717" s="19" t="s">
        <v>6348</v>
      </c>
      <c r="E1717" s="20" t="s">
        <v>6349</v>
      </c>
      <c r="F1717" s="21">
        <v>26424.0</v>
      </c>
      <c r="G1717" s="14">
        <f t="shared" si="1"/>
        <v>54</v>
      </c>
      <c r="H1717" s="23" t="s">
        <v>26</v>
      </c>
      <c r="I1717" s="24" t="s">
        <v>27</v>
      </c>
      <c r="J1717" s="19" t="s">
        <v>328</v>
      </c>
      <c r="K1717" s="14">
        <v>25.0</v>
      </c>
      <c r="L1717" s="14">
        <v>0.0</v>
      </c>
      <c r="M1717" s="25"/>
      <c r="N1717" s="26" t="s">
        <v>21</v>
      </c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</row>
    <row r="1718">
      <c r="A1718" s="14" t="s">
        <v>6350</v>
      </c>
      <c r="B1718" s="17" t="s">
        <v>6343</v>
      </c>
      <c r="C1718" s="17" t="s">
        <v>6352</v>
      </c>
      <c r="D1718" s="19" t="s">
        <v>6353</v>
      </c>
      <c r="E1718" s="20" t="s">
        <v>632</v>
      </c>
      <c r="F1718" s="21">
        <v>25817.0</v>
      </c>
      <c r="G1718" s="14">
        <f t="shared" si="1"/>
        <v>56</v>
      </c>
      <c r="H1718" s="23" t="s">
        <v>26</v>
      </c>
      <c r="I1718" s="24" t="s">
        <v>33</v>
      </c>
      <c r="J1718" s="19" t="s">
        <v>328</v>
      </c>
      <c r="K1718" s="14">
        <v>25.0</v>
      </c>
      <c r="L1718" s="14">
        <v>1.0</v>
      </c>
      <c r="M1718" s="25"/>
      <c r="N1718" s="26" t="s">
        <v>21</v>
      </c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</row>
    <row r="1719">
      <c r="A1719" s="14" t="s">
        <v>6354</v>
      </c>
      <c r="B1719" s="17" t="s">
        <v>6343</v>
      </c>
      <c r="C1719" s="17" t="s">
        <v>6355</v>
      </c>
      <c r="D1719" s="19" t="s">
        <v>6356</v>
      </c>
      <c r="E1719" s="20" t="s">
        <v>3345</v>
      </c>
      <c r="F1719" s="27">
        <v>36476.0</v>
      </c>
      <c r="G1719" s="14">
        <f t="shared" si="1"/>
        <v>26</v>
      </c>
      <c r="H1719" s="23" t="s">
        <v>100</v>
      </c>
      <c r="I1719" s="24" t="s">
        <v>27</v>
      </c>
      <c r="J1719" s="19" t="s">
        <v>328</v>
      </c>
      <c r="K1719" s="14">
        <v>25.0</v>
      </c>
      <c r="L1719" s="14">
        <v>0.0</v>
      </c>
      <c r="M1719" s="25"/>
      <c r="N1719" s="26" t="s">
        <v>21</v>
      </c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</row>
    <row r="1720">
      <c r="A1720" s="14" t="s">
        <v>6357</v>
      </c>
      <c r="B1720" s="17" t="s">
        <v>6358</v>
      </c>
      <c r="C1720" s="17" t="s">
        <v>6359</v>
      </c>
      <c r="D1720" s="19" t="s">
        <v>6360</v>
      </c>
      <c r="E1720" s="20" t="s">
        <v>138</v>
      </c>
      <c r="F1720" s="21">
        <v>32083.0</v>
      </c>
      <c r="G1720" s="14">
        <f t="shared" si="1"/>
        <v>38</v>
      </c>
      <c r="H1720" s="23" t="s">
        <v>26</v>
      </c>
      <c r="I1720" s="24" t="s">
        <v>33</v>
      </c>
      <c r="J1720" s="19" t="s">
        <v>68</v>
      </c>
      <c r="K1720" s="14">
        <v>35.0</v>
      </c>
      <c r="L1720" s="14">
        <v>0.0</v>
      </c>
      <c r="M1720" s="25"/>
      <c r="N1720" s="26" t="s">
        <v>21</v>
      </c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</row>
    <row r="1721">
      <c r="A1721" s="14" t="s">
        <v>6361</v>
      </c>
      <c r="B1721" s="17" t="s">
        <v>6358</v>
      </c>
      <c r="C1721" s="17" t="s">
        <v>6362</v>
      </c>
      <c r="D1721" s="19" t="s">
        <v>6363</v>
      </c>
      <c r="E1721" s="20" t="s">
        <v>53</v>
      </c>
      <c r="F1721" s="21">
        <v>31278.0</v>
      </c>
      <c r="G1721" s="14">
        <f t="shared" si="1"/>
        <v>41</v>
      </c>
      <c r="H1721" s="23" t="s">
        <v>26</v>
      </c>
      <c r="I1721" s="24" t="s">
        <v>27</v>
      </c>
      <c r="J1721" s="19" t="s">
        <v>68</v>
      </c>
      <c r="K1721" s="14">
        <v>35.0</v>
      </c>
      <c r="L1721" s="14">
        <v>0.0</v>
      </c>
      <c r="M1721" s="25"/>
      <c r="N1721" s="26" t="s">
        <v>21</v>
      </c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</row>
    <row r="1722">
      <c r="A1722" s="14" t="s">
        <v>6364</v>
      </c>
      <c r="B1722" s="17" t="s">
        <v>6358</v>
      </c>
      <c r="C1722" s="17" t="s">
        <v>6366</v>
      </c>
      <c r="D1722" s="19" t="s">
        <v>6367</v>
      </c>
      <c r="E1722" s="20" t="s">
        <v>1291</v>
      </c>
      <c r="F1722" s="21">
        <v>14661.0</v>
      </c>
      <c r="G1722" s="14">
        <f t="shared" si="1"/>
        <v>86</v>
      </c>
      <c r="H1722" s="23" t="s">
        <v>27</v>
      </c>
      <c r="I1722" s="24" t="s">
        <v>27</v>
      </c>
      <c r="J1722" s="19" t="s">
        <v>68</v>
      </c>
      <c r="K1722" s="14">
        <v>35.0</v>
      </c>
      <c r="L1722" s="14">
        <v>0.0</v>
      </c>
      <c r="M1722" s="25"/>
      <c r="N1722" s="26" t="s">
        <v>21</v>
      </c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</row>
    <row r="1723">
      <c r="A1723" s="14" t="s">
        <v>6368</v>
      </c>
      <c r="B1723" s="17" t="s">
        <v>6369</v>
      </c>
      <c r="C1723" s="17" t="s">
        <v>6370</v>
      </c>
      <c r="D1723" s="19" t="s">
        <v>6371</v>
      </c>
      <c r="E1723" s="20" t="s">
        <v>104</v>
      </c>
      <c r="F1723" s="21">
        <v>31116.0</v>
      </c>
      <c r="G1723" s="14">
        <f t="shared" si="1"/>
        <v>41</v>
      </c>
      <c r="H1723" s="23" t="s">
        <v>26</v>
      </c>
      <c r="I1723" s="24" t="s">
        <v>33</v>
      </c>
      <c r="J1723" s="19" t="s">
        <v>53</v>
      </c>
      <c r="K1723" s="14">
        <v>5.0</v>
      </c>
      <c r="L1723" s="14">
        <v>0.0</v>
      </c>
      <c r="M1723" s="25"/>
      <c r="N1723" s="26" t="s">
        <v>21</v>
      </c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</row>
    <row r="1724">
      <c r="A1724" s="14" t="s">
        <v>6372</v>
      </c>
      <c r="B1724" s="17" t="s">
        <v>6369</v>
      </c>
      <c r="C1724" s="17" t="s">
        <v>6373</v>
      </c>
      <c r="D1724" s="19" t="s">
        <v>6374</v>
      </c>
      <c r="E1724" s="20" t="s">
        <v>210</v>
      </c>
      <c r="F1724" s="21">
        <v>33338.0</v>
      </c>
      <c r="G1724" s="14">
        <f t="shared" si="1"/>
        <v>35</v>
      </c>
      <c r="H1724" s="23" t="s">
        <v>26</v>
      </c>
      <c r="I1724" s="24" t="s">
        <v>27</v>
      </c>
      <c r="J1724" s="19" t="s">
        <v>53</v>
      </c>
      <c r="K1724" s="14">
        <v>5.0</v>
      </c>
      <c r="L1724" s="14">
        <v>0.0</v>
      </c>
      <c r="M1724" s="25"/>
      <c r="N1724" s="26" t="s">
        <v>21</v>
      </c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</row>
    <row r="1725">
      <c r="A1725" s="14" t="s">
        <v>6375</v>
      </c>
      <c r="B1725" s="17" t="s">
        <v>6376</v>
      </c>
      <c r="C1725" s="17" t="s">
        <v>6377</v>
      </c>
      <c r="D1725" s="19" t="s">
        <v>6378</v>
      </c>
      <c r="E1725" s="20" t="s">
        <v>104</v>
      </c>
      <c r="F1725" s="21">
        <v>34756.0</v>
      </c>
      <c r="G1725" s="14">
        <f t="shared" si="1"/>
        <v>31</v>
      </c>
      <c r="H1725" s="23" t="s">
        <v>26</v>
      </c>
      <c r="I1725" s="24" t="s">
        <v>33</v>
      </c>
      <c r="J1725" s="19" t="s">
        <v>68</v>
      </c>
      <c r="K1725" s="14">
        <v>35.0</v>
      </c>
      <c r="L1725" s="14">
        <v>0.0</v>
      </c>
      <c r="M1725" s="25"/>
      <c r="N1725" s="26" t="s">
        <v>21</v>
      </c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</row>
    <row r="1726">
      <c r="A1726" s="14" t="s">
        <v>6379</v>
      </c>
      <c r="B1726" s="17" t="s">
        <v>6380</v>
      </c>
      <c r="C1726" s="17" t="s">
        <v>6381</v>
      </c>
      <c r="D1726" s="19" t="s">
        <v>6087</v>
      </c>
      <c r="E1726" s="20" t="s">
        <v>6382</v>
      </c>
      <c r="F1726" s="27">
        <v>26298.0</v>
      </c>
      <c r="G1726" s="14">
        <f t="shared" si="1"/>
        <v>54</v>
      </c>
      <c r="H1726" s="23" t="s">
        <v>27</v>
      </c>
      <c r="I1726" s="24" t="s">
        <v>27</v>
      </c>
      <c r="J1726" s="19" t="s">
        <v>362</v>
      </c>
      <c r="K1726" s="14">
        <v>19.0</v>
      </c>
      <c r="L1726" s="14">
        <v>0.0</v>
      </c>
      <c r="M1726" s="25"/>
      <c r="N1726" s="26" t="s">
        <v>21</v>
      </c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</row>
    <row r="1727">
      <c r="A1727" s="14" t="s">
        <v>6383</v>
      </c>
      <c r="B1727" s="17" t="s">
        <v>6384</v>
      </c>
      <c r="C1727" s="17" t="s">
        <v>6385</v>
      </c>
      <c r="D1727" s="19" t="s">
        <v>6386</v>
      </c>
      <c r="E1727" s="20" t="s">
        <v>104</v>
      </c>
      <c r="F1727" s="21">
        <v>31255.0</v>
      </c>
      <c r="G1727" s="14">
        <f t="shared" si="1"/>
        <v>41</v>
      </c>
      <c r="H1727" s="23" t="s">
        <v>26</v>
      </c>
      <c r="I1727" s="24" t="s">
        <v>33</v>
      </c>
      <c r="J1727" s="19" t="s">
        <v>68</v>
      </c>
      <c r="K1727" s="14">
        <v>30.0</v>
      </c>
      <c r="L1727" s="14">
        <v>0.0</v>
      </c>
      <c r="M1727" s="25"/>
      <c r="N1727" s="26" t="s">
        <v>21</v>
      </c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</row>
    <row r="1728">
      <c r="A1728" s="14" t="s">
        <v>6387</v>
      </c>
      <c r="B1728" s="17" t="s">
        <v>6384</v>
      </c>
      <c r="C1728" s="17" t="s">
        <v>6388</v>
      </c>
      <c r="D1728" s="19" t="s">
        <v>6389</v>
      </c>
      <c r="E1728" s="20" t="s">
        <v>104</v>
      </c>
      <c r="F1728" s="21">
        <v>31753.0</v>
      </c>
      <c r="G1728" s="14">
        <f t="shared" si="1"/>
        <v>39</v>
      </c>
      <c r="H1728" s="23" t="s">
        <v>26</v>
      </c>
      <c r="I1728" s="24" t="s">
        <v>27</v>
      </c>
      <c r="J1728" s="19" t="s">
        <v>68</v>
      </c>
      <c r="K1728" s="14">
        <v>30.0</v>
      </c>
      <c r="L1728" s="14">
        <v>0.0</v>
      </c>
      <c r="M1728" s="25"/>
      <c r="N1728" s="26" t="s">
        <v>21</v>
      </c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</row>
    <row r="1729">
      <c r="A1729" s="14" t="s">
        <v>6390</v>
      </c>
      <c r="B1729" s="17" t="s">
        <v>6391</v>
      </c>
      <c r="C1729" s="17" t="s">
        <v>6392</v>
      </c>
      <c r="D1729" s="19" t="s">
        <v>6393</v>
      </c>
      <c r="E1729" s="20" t="s">
        <v>403</v>
      </c>
      <c r="F1729" s="21">
        <v>28716.0</v>
      </c>
      <c r="G1729" s="14">
        <f t="shared" si="1"/>
        <v>48</v>
      </c>
      <c r="H1729" s="23" t="s">
        <v>26</v>
      </c>
      <c r="I1729" s="24" t="s">
        <v>27</v>
      </c>
      <c r="J1729" s="19" t="s">
        <v>156</v>
      </c>
      <c r="K1729" s="14">
        <v>35.0</v>
      </c>
      <c r="L1729" s="14">
        <v>0.0</v>
      </c>
      <c r="M1729" s="25"/>
      <c r="N1729" s="26" t="s">
        <v>21</v>
      </c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</row>
    <row r="1730">
      <c r="A1730" s="14" t="s">
        <v>6394</v>
      </c>
      <c r="B1730" s="17" t="s">
        <v>6391</v>
      </c>
      <c r="C1730" s="17" t="s">
        <v>6395</v>
      </c>
      <c r="D1730" s="19" t="s">
        <v>6396</v>
      </c>
      <c r="E1730" s="20" t="s">
        <v>104</v>
      </c>
      <c r="F1730" s="21">
        <v>37452.0</v>
      </c>
      <c r="G1730" s="14">
        <f t="shared" si="1"/>
        <v>24</v>
      </c>
      <c r="H1730" s="23" t="s">
        <v>100</v>
      </c>
      <c r="I1730" s="24" t="s">
        <v>33</v>
      </c>
      <c r="J1730" s="19" t="s">
        <v>156</v>
      </c>
      <c r="K1730" s="14">
        <v>35.0</v>
      </c>
      <c r="L1730" s="14">
        <v>0.0</v>
      </c>
      <c r="M1730" s="25"/>
      <c r="N1730" s="26" t="s">
        <v>21</v>
      </c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</row>
    <row r="1731">
      <c r="A1731" s="14" t="s">
        <v>6397</v>
      </c>
      <c r="B1731" s="17" t="s">
        <v>6391</v>
      </c>
      <c r="C1731" s="17" t="s">
        <v>6398</v>
      </c>
      <c r="D1731" s="19" t="s">
        <v>2006</v>
      </c>
      <c r="E1731" s="20" t="s">
        <v>1291</v>
      </c>
      <c r="F1731" s="21">
        <v>27550.0</v>
      </c>
      <c r="G1731" s="14">
        <f t="shared" si="1"/>
        <v>51</v>
      </c>
      <c r="H1731" s="23" t="s">
        <v>26</v>
      </c>
      <c r="I1731" s="24" t="s">
        <v>33</v>
      </c>
      <c r="J1731" s="19" t="s">
        <v>68</v>
      </c>
      <c r="K1731" s="14">
        <v>35.0</v>
      </c>
      <c r="L1731" s="14">
        <v>0.0</v>
      </c>
      <c r="M1731" s="25"/>
      <c r="N1731" s="26" t="s">
        <v>21</v>
      </c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</row>
    <row r="1732">
      <c r="A1732" s="14" t="s">
        <v>6399</v>
      </c>
      <c r="B1732" s="17" t="s">
        <v>6400</v>
      </c>
      <c r="C1732" s="17" t="s">
        <v>6401</v>
      </c>
      <c r="D1732" s="19" t="s">
        <v>6402</v>
      </c>
      <c r="E1732" s="20" t="s">
        <v>104</v>
      </c>
      <c r="F1732" s="21">
        <v>36368.0</v>
      </c>
      <c r="G1732" s="14">
        <f t="shared" si="1"/>
        <v>27</v>
      </c>
      <c r="H1732" s="23" t="s">
        <v>26</v>
      </c>
      <c r="I1732" s="24" t="s">
        <v>27</v>
      </c>
      <c r="J1732" s="19" t="s">
        <v>362</v>
      </c>
      <c r="K1732" s="14">
        <v>25.0</v>
      </c>
      <c r="L1732" s="14">
        <v>0.0</v>
      </c>
      <c r="M1732" s="25"/>
      <c r="N1732" s="26" t="s">
        <v>21</v>
      </c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</row>
    <row r="1733">
      <c r="A1733" s="14" t="s">
        <v>6403</v>
      </c>
      <c r="B1733" s="17" t="s">
        <v>6400</v>
      </c>
      <c r="C1733" s="17" t="s">
        <v>6404</v>
      </c>
      <c r="D1733" s="19" t="s">
        <v>6405</v>
      </c>
      <c r="E1733" s="20" t="s">
        <v>536</v>
      </c>
      <c r="F1733" s="21">
        <v>35242.0</v>
      </c>
      <c r="G1733" s="14">
        <f t="shared" si="1"/>
        <v>30</v>
      </c>
      <c r="H1733" s="23" t="s">
        <v>26</v>
      </c>
      <c r="I1733" s="24" t="s">
        <v>33</v>
      </c>
      <c r="J1733" s="19" t="s">
        <v>362</v>
      </c>
      <c r="K1733" s="14">
        <v>25.0</v>
      </c>
      <c r="L1733" s="14">
        <v>0.0</v>
      </c>
      <c r="M1733" s="25"/>
      <c r="N1733" s="26" t="s">
        <v>21</v>
      </c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</row>
    <row r="1734">
      <c r="A1734" s="14" t="s">
        <v>6406</v>
      </c>
      <c r="B1734" s="17" t="s">
        <v>6407</v>
      </c>
      <c r="C1734" s="17" t="s">
        <v>6408</v>
      </c>
      <c r="D1734" s="19" t="s">
        <v>6409</v>
      </c>
      <c r="E1734" s="20" t="s">
        <v>104</v>
      </c>
      <c r="F1734" s="21">
        <v>35296.0</v>
      </c>
      <c r="G1734" s="14">
        <f t="shared" si="1"/>
        <v>30</v>
      </c>
      <c r="H1734" s="23" t="s">
        <v>26</v>
      </c>
      <c r="I1734" s="24" t="s">
        <v>27</v>
      </c>
      <c r="J1734" s="19" t="s">
        <v>58</v>
      </c>
      <c r="K1734" s="14">
        <v>36.0</v>
      </c>
      <c r="L1734" s="14">
        <v>0.0</v>
      </c>
      <c r="M1734" s="25"/>
      <c r="N1734" s="26" t="s">
        <v>21</v>
      </c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</row>
    <row r="1735">
      <c r="A1735" s="14" t="s">
        <v>6410</v>
      </c>
      <c r="B1735" s="17" t="s">
        <v>6407</v>
      </c>
      <c r="C1735" s="17" t="s">
        <v>6411</v>
      </c>
      <c r="D1735" s="19" t="s">
        <v>6412</v>
      </c>
      <c r="E1735" s="20" t="s">
        <v>6413</v>
      </c>
      <c r="F1735" s="21">
        <v>31151.0</v>
      </c>
      <c r="G1735" s="14">
        <f t="shared" si="1"/>
        <v>41</v>
      </c>
      <c r="H1735" s="23" t="s">
        <v>26</v>
      </c>
      <c r="I1735" s="24" t="s">
        <v>33</v>
      </c>
      <c r="J1735" s="19" t="s">
        <v>58</v>
      </c>
      <c r="K1735" s="14">
        <v>36.0</v>
      </c>
      <c r="L1735" s="14">
        <v>0.0</v>
      </c>
      <c r="M1735" s="25"/>
      <c r="N1735" s="26" t="s">
        <v>21</v>
      </c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</row>
    <row r="1736">
      <c r="A1736" s="14" t="s">
        <v>6414</v>
      </c>
      <c r="B1736" s="17" t="s">
        <v>6415</v>
      </c>
      <c r="C1736" s="17" t="s">
        <v>6416</v>
      </c>
      <c r="D1736" s="19" t="s">
        <v>6417</v>
      </c>
      <c r="E1736" s="20" t="s">
        <v>104</v>
      </c>
      <c r="F1736" s="21">
        <v>36004.0</v>
      </c>
      <c r="G1736" s="14">
        <f t="shared" si="1"/>
        <v>28</v>
      </c>
      <c r="H1736" s="23" t="s">
        <v>100</v>
      </c>
      <c r="I1736" s="24" t="s">
        <v>33</v>
      </c>
      <c r="J1736" s="19" t="s">
        <v>58</v>
      </c>
      <c r="K1736" s="14">
        <v>9.0</v>
      </c>
      <c r="L1736" s="14">
        <v>0.0</v>
      </c>
      <c r="M1736" s="25"/>
      <c r="N1736" s="26" t="s">
        <v>21</v>
      </c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</row>
    <row r="1737">
      <c r="A1737" s="14" t="s">
        <v>6418</v>
      </c>
      <c r="B1737" s="17" t="s">
        <v>6415</v>
      </c>
      <c r="C1737" s="17" t="s">
        <v>6419</v>
      </c>
      <c r="D1737" s="19" t="s">
        <v>4075</v>
      </c>
      <c r="E1737" s="20" t="s">
        <v>6420</v>
      </c>
      <c r="F1737" s="21">
        <v>27520.0</v>
      </c>
      <c r="G1737" s="14">
        <f t="shared" si="1"/>
        <v>51</v>
      </c>
      <c r="H1737" s="23" t="s">
        <v>26</v>
      </c>
      <c r="I1737" s="24" t="s">
        <v>27</v>
      </c>
      <c r="J1737" s="19" t="s">
        <v>58</v>
      </c>
      <c r="K1737" s="14">
        <v>9.0</v>
      </c>
      <c r="L1737" s="14">
        <v>0.0</v>
      </c>
      <c r="M1737" s="25"/>
      <c r="N1737" s="26" t="s">
        <v>21</v>
      </c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</row>
    <row r="1738">
      <c r="A1738" s="14" t="s">
        <v>6421</v>
      </c>
      <c r="B1738" s="17" t="s">
        <v>6415</v>
      </c>
      <c r="C1738" s="17" t="s">
        <v>6422</v>
      </c>
      <c r="D1738" s="19" t="s">
        <v>4536</v>
      </c>
      <c r="E1738" s="20" t="s">
        <v>6420</v>
      </c>
      <c r="F1738" s="27">
        <v>26963.0</v>
      </c>
      <c r="G1738" s="14">
        <f t="shared" si="1"/>
        <v>53</v>
      </c>
      <c r="H1738" s="23" t="s">
        <v>26</v>
      </c>
      <c r="I1738" s="24" t="s">
        <v>33</v>
      </c>
      <c r="J1738" s="19" t="s">
        <v>58</v>
      </c>
      <c r="K1738" s="14">
        <v>9.0</v>
      </c>
      <c r="L1738" s="14">
        <v>0.0</v>
      </c>
      <c r="M1738" s="25"/>
      <c r="N1738" s="26" t="s">
        <v>21</v>
      </c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</row>
    <row r="1739">
      <c r="A1739" s="14" t="s">
        <v>6424</v>
      </c>
      <c r="B1739" s="17" t="s">
        <v>6425</v>
      </c>
      <c r="C1739" s="17" t="s">
        <v>6426</v>
      </c>
      <c r="D1739" s="19" t="s">
        <v>6427</v>
      </c>
      <c r="E1739" s="20" t="s">
        <v>2680</v>
      </c>
      <c r="F1739" s="21">
        <v>31793.0</v>
      </c>
      <c r="G1739" s="14">
        <f t="shared" si="1"/>
        <v>39</v>
      </c>
      <c r="H1739" s="23" t="s">
        <v>26</v>
      </c>
      <c r="I1739" s="24" t="s">
        <v>27</v>
      </c>
      <c r="J1739" s="19" t="s">
        <v>282</v>
      </c>
      <c r="K1739" s="14">
        <v>11.0</v>
      </c>
      <c r="L1739" s="14">
        <v>0.0</v>
      </c>
      <c r="M1739" s="25"/>
      <c r="N1739" s="26" t="s">
        <v>21</v>
      </c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</row>
    <row r="1740">
      <c r="A1740" s="14" t="s">
        <v>6428</v>
      </c>
      <c r="B1740" s="17" t="s">
        <v>6425</v>
      </c>
      <c r="C1740" s="17" t="s">
        <v>6429</v>
      </c>
      <c r="D1740" s="19" t="s">
        <v>6430</v>
      </c>
      <c r="E1740" s="20" t="s">
        <v>104</v>
      </c>
      <c r="F1740" s="21">
        <v>31079.0</v>
      </c>
      <c r="G1740" s="14">
        <f t="shared" si="1"/>
        <v>41</v>
      </c>
      <c r="H1740" s="23" t="s">
        <v>26</v>
      </c>
      <c r="I1740" s="24" t="s">
        <v>33</v>
      </c>
      <c r="J1740" s="19" t="s">
        <v>282</v>
      </c>
      <c r="K1740" s="14">
        <v>11.0</v>
      </c>
      <c r="L1740" s="14">
        <v>0.0</v>
      </c>
      <c r="M1740" s="25"/>
      <c r="N1740" s="26" t="s">
        <v>21</v>
      </c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</row>
    <row r="1741">
      <c r="A1741" s="14" t="s">
        <v>6431</v>
      </c>
      <c r="B1741" s="17" t="s">
        <v>6432</v>
      </c>
      <c r="C1741" s="17" t="s">
        <v>6433</v>
      </c>
      <c r="D1741" s="19" t="s">
        <v>6434</v>
      </c>
      <c r="E1741" s="20" t="s">
        <v>1830</v>
      </c>
      <c r="F1741" s="21">
        <v>34166.0</v>
      </c>
      <c r="G1741" s="14">
        <f t="shared" si="1"/>
        <v>33</v>
      </c>
      <c r="H1741" s="23" t="s">
        <v>100</v>
      </c>
      <c r="I1741" s="24" t="s">
        <v>33</v>
      </c>
      <c r="J1741" s="19" t="s">
        <v>6435</v>
      </c>
      <c r="K1741" s="14">
        <v>9.0</v>
      </c>
      <c r="L1741" s="14">
        <v>5.0</v>
      </c>
      <c r="M1741" s="25"/>
      <c r="N1741" s="26" t="s">
        <v>21</v>
      </c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</row>
    <row r="1742">
      <c r="A1742" s="14" t="s">
        <v>6436</v>
      </c>
      <c r="B1742" s="17" t="s">
        <v>6432</v>
      </c>
      <c r="C1742" s="17" t="s">
        <v>6437</v>
      </c>
      <c r="D1742" s="19" t="s">
        <v>6438</v>
      </c>
      <c r="E1742" s="20" t="s">
        <v>1830</v>
      </c>
      <c r="F1742" s="21">
        <v>33093.0</v>
      </c>
      <c r="G1742" s="14">
        <f t="shared" si="1"/>
        <v>36</v>
      </c>
      <c r="H1742" s="23" t="s">
        <v>100</v>
      </c>
      <c r="I1742" s="24" t="s">
        <v>33</v>
      </c>
      <c r="J1742" s="19" t="s">
        <v>53</v>
      </c>
      <c r="K1742" s="14">
        <v>9.0</v>
      </c>
      <c r="L1742" s="14">
        <v>5.0</v>
      </c>
      <c r="M1742" s="25"/>
      <c r="N1742" s="26" t="s">
        <v>21</v>
      </c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</row>
    <row r="1743">
      <c r="A1743" s="14" t="s">
        <v>6439</v>
      </c>
      <c r="B1743" s="17" t="s">
        <v>6432</v>
      </c>
      <c r="C1743" s="17" t="s">
        <v>6440</v>
      </c>
      <c r="D1743" s="19" t="s">
        <v>6441</v>
      </c>
      <c r="E1743" s="20" t="s">
        <v>138</v>
      </c>
      <c r="F1743" s="21">
        <v>39257.0</v>
      </c>
      <c r="G1743" s="14">
        <f t="shared" si="1"/>
        <v>19</v>
      </c>
      <c r="H1743" s="23" t="s">
        <v>100</v>
      </c>
      <c r="I1743" s="24" t="s">
        <v>33</v>
      </c>
      <c r="J1743" s="19" t="s">
        <v>53</v>
      </c>
      <c r="K1743" s="14">
        <v>9.0</v>
      </c>
      <c r="L1743" s="14">
        <v>5.0</v>
      </c>
      <c r="M1743" s="25"/>
      <c r="N1743" s="26" t="s">
        <v>21</v>
      </c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</row>
    <row r="1744">
      <c r="A1744" s="14" t="s">
        <v>6442</v>
      </c>
      <c r="B1744" s="17" t="s">
        <v>6432</v>
      </c>
      <c r="C1744" s="17" t="s">
        <v>6443</v>
      </c>
      <c r="D1744" s="19" t="s">
        <v>6444</v>
      </c>
      <c r="E1744" s="20" t="s">
        <v>1830</v>
      </c>
      <c r="F1744" s="21">
        <v>21635.0</v>
      </c>
      <c r="G1744" s="14">
        <f t="shared" si="1"/>
        <v>67</v>
      </c>
      <c r="H1744" s="23" t="s">
        <v>26</v>
      </c>
      <c r="I1744" s="24" t="s">
        <v>33</v>
      </c>
      <c r="J1744" s="19" t="s">
        <v>53</v>
      </c>
      <c r="K1744" s="14">
        <v>9.0</v>
      </c>
      <c r="L1744" s="14">
        <v>5.0</v>
      </c>
      <c r="M1744" s="25"/>
      <c r="N1744" s="26" t="s">
        <v>21</v>
      </c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</row>
    <row r="1745">
      <c r="A1745" s="14" t="s">
        <v>6445</v>
      </c>
      <c r="B1745" s="17" t="s">
        <v>6432</v>
      </c>
      <c r="C1745" s="17" t="s">
        <v>6446</v>
      </c>
      <c r="D1745" s="19" t="s">
        <v>1053</v>
      </c>
      <c r="E1745" s="20" t="s">
        <v>1830</v>
      </c>
      <c r="F1745" s="21">
        <v>23235.0</v>
      </c>
      <c r="G1745" s="14">
        <f t="shared" si="1"/>
        <v>63</v>
      </c>
      <c r="H1745" s="23" t="s">
        <v>26</v>
      </c>
      <c r="I1745" s="24" t="s">
        <v>27</v>
      </c>
      <c r="J1745" s="19" t="s">
        <v>53</v>
      </c>
      <c r="K1745" s="14">
        <v>9.0</v>
      </c>
      <c r="L1745" s="14">
        <v>5.0</v>
      </c>
      <c r="M1745" s="25"/>
      <c r="N1745" s="26" t="s">
        <v>21</v>
      </c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</row>
    <row r="1746">
      <c r="A1746" s="14" t="s">
        <v>6447</v>
      </c>
      <c r="B1746" s="17" t="s">
        <v>6432</v>
      </c>
      <c r="C1746" s="17" t="s">
        <v>6448</v>
      </c>
      <c r="D1746" s="19" t="s">
        <v>6449</v>
      </c>
      <c r="E1746" s="20" t="s">
        <v>138</v>
      </c>
      <c r="F1746" s="21">
        <v>38420.0</v>
      </c>
      <c r="G1746" s="14">
        <f t="shared" si="1"/>
        <v>21</v>
      </c>
      <c r="H1746" s="23" t="s">
        <v>100</v>
      </c>
      <c r="I1746" s="24" t="s">
        <v>27</v>
      </c>
      <c r="J1746" s="19" t="s">
        <v>53</v>
      </c>
      <c r="K1746" s="14">
        <v>9.0</v>
      </c>
      <c r="L1746" s="14">
        <v>5.0</v>
      </c>
      <c r="M1746" s="25"/>
      <c r="N1746" s="26" t="s">
        <v>21</v>
      </c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</row>
    <row r="1747">
      <c r="A1747" s="14" t="s">
        <v>6450</v>
      </c>
      <c r="B1747" s="17" t="s">
        <v>6432</v>
      </c>
      <c r="C1747" s="17" t="s">
        <v>6451</v>
      </c>
      <c r="D1747" s="19" t="s">
        <v>6452</v>
      </c>
      <c r="E1747" s="20" t="s">
        <v>138</v>
      </c>
      <c r="F1747" s="21">
        <v>38420.0</v>
      </c>
      <c r="G1747" s="14">
        <f t="shared" si="1"/>
        <v>21</v>
      </c>
      <c r="H1747" s="23" t="s">
        <v>100</v>
      </c>
      <c r="I1747" s="24" t="s">
        <v>27</v>
      </c>
      <c r="J1747" s="19" t="s">
        <v>53</v>
      </c>
      <c r="K1747" s="14">
        <v>9.0</v>
      </c>
      <c r="L1747" s="14">
        <v>5.0</v>
      </c>
      <c r="M1747" s="25"/>
      <c r="N1747" s="26" t="s">
        <v>21</v>
      </c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</row>
    <row r="1748">
      <c r="A1748" s="14" t="s">
        <v>6453</v>
      </c>
      <c r="B1748" s="17" t="s">
        <v>6432</v>
      </c>
      <c r="C1748" s="17" t="s">
        <v>6454</v>
      </c>
      <c r="D1748" s="19" t="s">
        <v>6455</v>
      </c>
      <c r="E1748" s="20" t="s">
        <v>1830</v>
      </c>
      <c r="F1748" s="27">
        <v>37586.0</v>
      </c>
      <c r="G1748" s="14">
        <f t="shared" si="1"/>
        <v>23</v>
      </c>
      <c r="H1748" s="23" t="s">
        <v>100</v>
      </c>
      <c r="I1748" s="24" t="s">
        <v>33</v>
      </c>
      <c r="J1748" s="19" t="s">
        <v>6435</v>
      </c>
      <c r="K1748" s="14">
        <v>9.0</v>
      </c>
      <c r="L1748" s="14">
        <v>5.0</v>
      </c>
      <c r="M1748" s="25"/>
      <c r="N1748" s="26" t="s">
        <v>21</v>
      </c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</row>
    <row r="1749">
      <c r="A1749" s="14" t="s">
        <v>6456</v>
      </c>
      <c r="B1749" s="17" t="s">
        <v>6432</v>
      </c>
      <c r="C1749" s="17" t="s">
        <v>6457</v>
      </c>
      <c r="D1749" s="19" t="s">
        <v>6458</v>
      </c>
      <c r="E1749" s="20" t="s">
        <v>1830</v>
      </c>
      <c r="F1749" s="21">
        <v>35199.0</v>
      </c>
      <c r="G1749" s="14">
        <f t="shared" si="1"/>
        <v>30</v>
      </c>
      <c r="H1749" s="23" t="s">
        <v>100</v>
      </c>
      <c r="I1749" s="24" t="s">
        <v>33</v>
      </c>
      <c r="J1749" s="19" t="s">
        <v>6435</v>
      </c>
      <c r="K1749" s="14">
        <v>9.0</v>
      </c>
      <c r="L1749" s="14">
        <v>5.0</v>
      </c>
      <c r="M1749" s="25"/>
      <c r="N1749" s="26" t="s">
        <v>21</v>
      </c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</row>
    <row r="1750">
      <c r="A1750" s="14" t="s">
        <v>6459</v>
      </c>
      <c r="B1750" s="17" t="s">
        <v>6460</v>
      </c>
      <c r="C1750" s="17" t="s">
        <v>6461</v>
      </c>
      <c r="D1750" s="19" t="s">
        <v>6462</v>
      </c>
      <c r="E1750" s="20" t="s">
        <v>337</v>
      </c>
      <c r="F1750" s="21">
        <v>37516.0</v>
      </c>
      <c r="G1750" s="14">
        <f t="shared" si="1"/>
        <v>24</v>
      </c>
      <c r="H1750" s="23" t="s">
        <v>26</v>
      </c>
      <c r="I1750" s="24" t="s">
        <v>33</v>
      </c>
      <c r="J1750" s="19" t="s">
        <v>53</v>
      </c>
      <c r="K1750" s="14">
        <v>12.0</v>
      </c>
      <c r="L1750" s="14">
        <v>0.0</v>
      </c>
      <c r="M1750" s="25"/>
      <c r="N1750" s="26" t="s">
        <v>21</v>
      </c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</row>
    <row r="1751">
      <c r="A1751" s="14" t="s">
        <v>6463</v>
      </c>
      <c r="B1751" s="17" t="s">
        <v>6464</v>
      </c>
      <c r="C1751" s="17" t="s">
        <v>6465</v>
      </c>
      <c r="D1751" s="19" t="s">
        <v>6466</v>
      </c>
      <c r="E1751" s="20" t="s">
        <v>104</v>
      </c>
      <c r="F1751" s="21">
        <v>29787.0</v>
      </c>
      <c r="G1751" s="14">
        <f t="shared" si="1"/>
        <v>45</v>
      </c>
      <c r="H1751" s="23" t="s">
        <v>26</v>
      </c>
      <c r="I1751" s="24" t="s">
        <v>27</v>
      </c>
      <c r="J1751" s="19" t="s">
        <v>282</v>
      </c>
      <c r="K1751" s="14">
        <v>17.0</v>
      </c>
      <c r="L1751" s="14">
        <v>0.0</v>
      </c>
      <c r="M1751" s="25"/>
      <c r="N1751" s="26" t="s">
        <v>21</v>
      </c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</row>
    <row r="1752">
      <c r="A1752" s="14" t="s">
        <v>6468</v>
      </c>
      <c r="B1752" s="17" t="s">
        <v>6464</v>
      </c>
      <c r="C1752" s="17" t="s">
        <v>6469</v>
      </c>
      <c r="D1752" s="19" t="s">
        <v>6470</v>
      </c>
      <c r="E1752" s="20" t="s">
        <v>231</v>
      </c>
      <c r="F1752" s="21">
        <v>25678.0</v>
      </c>
      <c r="G1752" s="14">
        <f t="shared" si="1"/>
        <v>56</v>
      </c>
      <c r="H1752" s="23" t="s">
        <v>26</v>
      </c>
      <c r="I1752" s="24" t="s">
        <v>33</v>
      </c>
      <c r="J1752" s="19" t="s">
        <v>282</v>
      </c>
      <c r="K1752" s="14">
        <v>17.0</v>
      </c>
      <c r="L1752" s="14">
        <v>0.0</v>
      </c>
      <c r="M1752" s="25"/>
      <c r="N1752" s="26" t="s">
        <v>21</v>
      </c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</row>
    <row r="1753">
      <c r="A1753" s="14" t="s">
        <v>6471</v>
      </c>
      <c r="B1753" s="17" t="s">
        <v>6464</v>
      </c>
      <c r="C1753" s="17" t="s">
        <v>6472</v>
      </c>
      <c r="D1753" s="19" t="s">
        <v>6473</v>
      </c>
      <c r="E1753" s="20" t="s">
        <v>1095</v>
      </c>
      <c r="F1753" s="21">
        <v>37695.0</v>
      </c>
      <c r="G1753" s="14">
        <f t="shared" si="1"/>
        <v>23</v>
      </c>
      <c r="H1753" s="23" t="s">
        <v>100</v>
      </c>
      <c r="I1753" s="24" t="s">
        <v>27</v>
      </c>
      <c r="J1753" s="19" t="s">
        <v>282</v>
      </c>
      <c r="K1753" s="14">
        <v>17.0</v>
      </c>
      <c r="L1753" s="14">
        <v>0.0</v>
      </c>
      <c r="M1753" s="25"/>
      <c r="N1753" s="26" t="s">
        <v>21</v>
      </c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</row>
    <row r="1754">
      <c r="A1754" s="14" t="s">
        <v>6474</v>
      </c>
      <c r="B1754" s="17" t="s">
        <v>6475</v>
      </c>
      <c r="C1754" s="17" t="s">
        <v>6476</v>
      </c>
      <c r="D1754" s="19" t="s">
        <v>6477</v>
      </c>
      <c r="E1754" s="20" t="s">
        <v>769</v>
      </c>
      <c r="F1754" s="21">
        <v>33820.0</v>
      </c>
      <c r="G1754" s="14">
        <f t="shared" si="1"/>
        <v>34</v>
      </c>
      <c r="H1754" s="23" t="s">
        <v>26</v>
      </c>
      <c r="I1754" s="24" t="s">
        <v>27</v>
      </c>
      <c r="J1754" s="19" t="s">
        <v>328</v>
      </c>
      <c r="K1754" s="14">
        <v>28.0</v>
      </c>
      <c r="L1754" s="14">
        <v>0.0</v>
      </c>
      <c r="M1754" s="25"/>
      <c r="N1754" s="26" t="s">
        <v>21</v>
      </c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</row>
    <row r="1755">
      <c r="A1755" s="14" t="s">
        <v>6478</v>
      </c>
      <c r="B1755" s="17" t="s">
        <v>6475</v>
      </c>
      <c r="C1755" s="17" t="s">
        <v>6479</v>
      </c>
      <c r="D1755" s="19" t="s">
        <v>6480</v>
      </c>
      <c r="E1755" s="20" t="s">
        <v>1095</v>
      </c>
      <c r="F1755" s="21">
        <v>29597.0</v>
      </c>
      <c r="G1755" s="14">
        <f t="shared" si="1"/>
        <v>45</v>
      </c>
      <c r="H1755" s="23" t="s">
        <v>26</v>
      </c>
      <c r="I1755" s="24" t="s">
        <v>33</v>
      </c>
      <c r="J1755" s="19" t="s">
        <v>328</v>
      </c>
      <c r="K1755" s="14">
        <v>28.0</v>
      </c>
      <c r="L1755" s="14">
        <v>0.0</v>
      </c>
      <c r="M1755" s="25"/>
      <c r="N1755" s="26" t="s">
        <v>21</v>
      </c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</row>
    <row r="1756">
      <c r="A1756" s="14" t="s">
        <v>6481</v>
      </c>
      <c r="B1756" s="17" t="s">
        <v>6482</v>
      </c>
      <c r="C1756" s="17" t="s">
        <v>6483</v>
      </c>
      <c r="D1756" s="19" t="s">
        <v>6484</v>
      </c>
      <c r="E1756" s="20" t="s">
        <v>654</v>
      </c>
      <c r="F1756" s="27">
        <v>27386.0</v>
      </c>
      <c r="G1756" s="14">
        <f t="shared" si="1"/>
        <v>51</v>
      </c>
      <c r="H1756" s="23" t="s">
        <v>26</v>
      </c>
      <c r="I1756" s="24" t="s">
        <v>27</v>
      </c>
      <c r="J1756" s="19" t="s">
        <v>53</v>
      </c>
      <c r="K1756" s="14">
        <v>19.0</v>
      </c>
      <c r="L1756" s="14">
        <v>0.0</v>
      </c>
      <c r="M1756" s="25"/>
      <c r="N1756" s="26" t="s">
        <v>21</v>
      </c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</row>
    <row r="1757">
      <c r="A1757" s="14" t="s">
        <v>6485</v>
      </c>
      <c r="B1757" s="17" t="s">
        <v>6482</v>
      </c>
      <c r="C1757" s="17" t="s">
        <v>6486</v>
      </c>
      <c r="D1757" s="19" t="s">
        <v>6487</v>
      </c>
      <c r="E1757" s="20" t="s">
        <v>650</v>
      </c>
      <c r="F1757" s="21">
        <v>25708.0</v>
      </c>
      <c r="G1757" s="14">
        <f t="shared" si="1"/>
        <v>56</v>
      </c>
      <c r="H1757" s="23" t="s">
        <v>26</v>
      </c>
      <c r="I1757" s="24" t="s">
        <v>33</v>
      </c>
      <c r="J1757" s="19" t="s">
        <v>53</v>
      </c>
      <c r="K1757" s="14">
        <v>19.0</v>
      </c>
      <c r="L1757" s="14">
        <v>0.0</v>
      </c>
      <c r="M1757" s="25"/>
      <c r="N1757" s="26" t="s">
        <v>21</v>
      </c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</row>
    <row r="1758">
      <c r="A1758" s="14" t="s">
        <v>6488</v>
      </c>
      <c r="B1758" s="17" t="s">
        <v>6489</v>
      </c>
      <c r="C1758" s="17" t="s">
        <v>6490</v>
      </c>
      <c r="D1758" s="19" t="s">
        <v>6491</v>
      </c>
      <c r="E1758" s="20" t="s">
        <v>53</v>
      </c>
      <c r="F1758" s="21">
        <v>29284.0</v>
      </c>
      <c r="G1758" s="14">
        <f t="shared" si="1"/>
        <v>46</v>
      </c>
      <c r="H1758" s="23" t="s">
        <v>26</v>
      </c>
      <c r="I1758" s="24" t="s">
        <v>27</v>
      </c>
      <c r="J1758" s="19" t="s">
        <v>257</v>
      </c>
      <c r="K1758" s="14">
        <v>36.0</v>
      </c>
      <c r="L1758" s="14">
        <v>0.0</v>
      </c>
      <c r="M1758" s="25"/>
      <c r="N1758" s="26" t="s">
        <v>21</v>
      </c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</row>
    <row r="1759">
      <c r="A1759" s="14" t="s">
        <v>6492</v>
      </c>
      <c r="B1759" s="17" t="s">
        <v>6489</v>
      </c>
      <c r="C1759" s="17" t="s">
        <v>6493</v>
      </c>
      <c r="D1759" s="19" t="s">
        <v>6494</v>
      </c>
      <c r="E1759" s="20" t="s">
        <v>53</v>
      </c>
      <c r="F1759" s="21">
        <v>28950.0</v>
      </c>
      <c r="G1759" s="14">
        <f t="shared" si="1"/>
        <v>47</v>
      </c>
      <c r="H1759" s="23" t="s">
        <v>26</v>
      </c>
      <c r="I1759" s="24" t="s">
        <v>33</v>
      </c>
      <c r="J1759" s="19" t="s">
        <v>257</v>
      </c>
      <c r="K1759" s="14">
        <v>36.0</v>
      </c>
      <c r="L1759" s="14">
        <v>0.0</v>
      </c>
      <c r="M1759" s="25"/>
      <c r="N1759" s="26" t="s">
        <v>21</v>
      </c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</row>
    <row r="1760">
      <c r="A1760" s="14" t="s">
        <v>6495</v>
      </c>
      <c r="B1760" s="17" t="s">
        <v>6496</v>
      </c>
      <c r="C1760" s="17" t="s">
        <v>6497</v>
      </c>
      <c r="D1760" s="19" t="s">
        <v>6498</v>
      </c>
      <c r="E1760" s="20" t="s">
        <v>632</v>
      </c>
      <c r="F1760" s="21">
        <v>21777.0</v>
      </c>
      <c r="G1760" s="14">
        <f t="shared" si="1"/>
        <v>67</v>
      </c>
      <c r="H1760" s="23" t="s">
        <v>26</v>
      </c>
      <c r="I1760" s="24" t="s">
        <v>27</v>
      </c>
      <c r="J1760" s="19" t="s">
        <v>206</v>
      </c>
      <c r="K1760" s="14">
        <v>4.0</v>
      </c>
      <c r="L1760" s="14">
        <v>0.0</v>
      </c>
      <c r="M1760" s="25"/>
      <c r="N1760" s="26" t="s">
        <v>21</v>
      </c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</row>
    <row r="1761">
      <c r="A1761" s="14" t="s">
        <v>6499</v>
      </c>
      <c r="B1761" s="17" t="s">
        <v>6496</v>
      </c>
      <c r="C1761" s="17" t="s">
        <v>6500</v>
      </c>
      <c r="D1761" s="19" t="s">
        <v>2459</v>
      </c>
      <c r="E1761" s="20" t="s">
        <v>632</v>
      </c>
      <c r="F1761" s="27">
        <v>20390.0</v>
      </c>
      <c r="G1761" s="14">
        <f t="shared" si="1"/>
        <v>71</v>
      </c>
      <c r="H1761" s="23" t="s">
        <v>26</v>
      </c>
      <c r="I1761" s="24" t="s">
        <v>33</v>
      </c>
      <c r="J1761" s="19" t="s">
        <v>206</v>
      </c>
      <c r="K1761" s="14">
        <v>4.0</v>
      </c>
      <c r="L1761" s="14">
        <v>0.0</v>
      </c>
      <c r="M1761" s="25"/>
      <c r="N1761" s="26" t="s">
        <v>21</v>
      </c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</row>
    <row r="1762">
      <c r="A1762" s="14" t="s">
        <v>6501</v>
      </c>
      <c r="B1762" s="17" t="s">
        <v>6502</v>
      </c>
      <c r="C1762" s="17" t="s">
        <v>6503</v>
      </c>
      <c r="D1762" s="19" t="s">
        <v>6504</v>
      </c>
      <c r="E1762" s="20" t="s">
        <v>4958</v>
      </c>
      <c r="F1762" s="21">
        <v>37623.0</v>
      </c>
      <c r="G1762" s="14">
        <f t="shared" si="1"/>
        <v>23</v>
      </c>
      <c r="H1762" s="23" t="s">
        <v>100</v>
      </c>
      <c r="I1762" s="24" t="s">
        <v>27</v>
      </c>
      <c r="J1762" s="19" t="s">
        <v>53</v>
      </c>
      <c r="K1762" s="14">
        <v>33.0</v>
      </c>
      <c r="L1762" s="14">
        <v>0.0</v>
      </c>
      <c r="M1762" s="25"/>
      <c r="N1762" s="26" t="s">
        <v>21</v>
      </c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</row>
    <row r="1763">
      <c r="A1763" s="14" t="s">
        <v>6505</v>
      </c>
      <c r="B1763" s="17" t="s">
        <v>6502</v>
      </c>
      <c r="C1763" s="17" t="s">
        <v>6506</v>
      </c>
      <c r="D1763" s="19" t="s">
        <v>6507</v>
      </c>
      <c r="E1763" s="20" t="s">
        <v>67</v>
      </c>
      <c r="F1763" s="21">
        <v>26012.0</v>
      </c>
      <c r="G1763" s="14">
        <f t="shared" si="1"/>
        <v>55</v>
      </c>
      <c r="H1763" s="23" t="s">
        <v>27</v>
      </c>
      <c r="I1763" s="24" t="s">
        <v>33</v>
      </c>
      <c r="J1763" s="19" t="s">
        <v>53</v>
      </c>
      <c r="K1763" s="14">
        <v>33.0</v>
      </c>
      <c r="L1763" s="14">
        <v>0.0</v>
      </c>
      <c r="M1763" s="25"/>
      <c r="N1763" s="26" t="s">
        <v>21</v>
      </c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</row>
    <row r="1764">
      <c r="A1764" s="14" t="s">
        <v>6508</v>
      </c>
      <c r="B1764" s="17" t="s">
        <v>6509</v>
      </c>
      <c r="C1764" s="17" t="s">
        <v>6510</v>
      </c>
      <c r="D1764" s="19" t="s">
        <v>6511</v>
      </c>
      <c r="E1764" s="20" t="s">
        <v>6512</v>
      </c>
      <c r="F1764" s="21">
        <v>33338.0</v>
      </c>
      <c r="G1764" s="14">
        <f t="shared" si="1"/>
        <v>35</v>
      </c>
      <c r="H1764" s="23" t="s">
        <v>26</v>
      </c>
      <c r="I1764" s="24" t="s">
        <v>33</v>
      </c>
      <c r="J1764" s="19" t="s">
        <v>726</v>
      </c>
      <c r="K1764" s="14">
        <v>17.0</v>
      </c>
      <c r="L1764" s="14">
        <v>0.0</v>
      </c>
      <c r="M1764" s="25"/>
      <c r="N1764" s="26" t="s">
        <v>21</v>
      </c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</row>
    <row r="1765">
      <c r="A1765" s="14" t="s">
        <v>6513</v>
      </c>
      <c r="B1765" s="17" t="s">
        <v>6509</v>
      </c>
      <c r="C1765" s="17" t="s">
        <v>6514</v>
      </c>
      <c r="D1765" s="19" t="s">
        <v>6515</v>
      </c>
      <c r="E1765" s="20" t="s">
        <v>104</v>
      </c>
      <c r="F1765" s="27">
        <v>35411.0</v>
      </c>
      <c r="G1765" s="14">
        <f t="shared" si="1"/>
        <v>29</v>
      </c>
      <c r="H1765" s="23" t="s">
        <v>26</v>
      </c>
      <c r="I1765" s="24" t="s">
        <v>27</v>
      </c>
      <c r="J1765" s="19" t="s">
        <v>726</v>
      </c>
      <c r="K1765" s="14">
        <v>17.0</v>
      </c>
      <c r="L1765" s="14">
        <v>0.0</v>
      </c>
      <c r="M1765" s="25"/>
      <c r="N1765" s="26" t="s">
        <v>21</v>
      </c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</row>
    <row r="1766">
      <c r="A1766" s="14" t="s">
        <v>6516</v>
      </c>
      <c r="B1766" s="17" t="s">
        <v>6517</v>
      </c>
      <c r="C1766" s="17" t="s">
        <v>6518</v>
      </c>
      <c r="D1766" s="19" t="s">
        <v>6519</v>
      </c>
      <c r="E1766" s="20" t="s">
        <v>104</v>
      </c>
      <c r="F1766" s="21">
        <v>28315.0</v>
      </c>
      <c r="G1766" s="14">
        <f t="shared" si="1"/>
        <v>49</v>
      </c>
      <c r="H1766" s="23" t="s">
        <v>26</v>
      </c>
      <c r="I1766" s="24" t="s">
        <v>33</v>
      </c>
      <c r="J1766" s="19" t="s">
        <v>58</v>
      </c>
      <c r="K1766" s="14">
        <v>5.0</v>
      </c>
      <c r="L1766" s="14">
        <v>0.0</v>
      </c>
      <c r="M1766" s="25"/>
      <c r="N1766" s="26" t="s">
        <v>21</v>
      </c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</row>
    <row r="1767">
      <c r="A1767" s="14" t="s">
        <v>6520</v>
      </c>
      <c r="B1767" s="17" t="s">
        <v>6517</v>
      </c>
      <c r="C1767" s="17" t="s">
        <v>6521</v>
      </c>
      <c r="D1767" s="19" t="s">
        <v>1279</v>
      </c>
      <c r="E1767" s="20" t="s">
        <v>150</v>
      </c>
      <c r="F1767" s="21">
        <v>37724.0</v>
      </c>
      <c r="G1767" s="14">
        <f t="shared" si="1"/>
        <v>23</v>
      </c>
      <c r="H1767" s="23" t="s">
        <v>100</v>
      </c>
      <c r="I1767" s="24" t="s">
        <v>27</v>
      </c>
      <c r="J1767" s="19" t="s">
        <v>58</v>
      </c>
      <c r="K1767" s="14">
        <v>5.0</v>
      </c>
      <c r="L1767" s="14">
        <v>0.0</v>
      </c>
      <c r="M1767" s="25"/>
      <c r="N1767" s="26" t="s">
        <v>21</v>
      </c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</row>
    <row r="1768">
      <c r="A1768" s="14" t="s">
        <v>6522</v>
      </c>
      <c r="B1768" s="17" t="s">
        <v>6517</v>
      </c>
      <c r="C1768" s="17" t="s">
        <v>6523</v>
      </c>
      <c r="D1768" s="19" t="s">
        <v>6524</v>
      </c>
      <c r="E1768" s="20" t="s">
        <v>104</v>
      </c>
      <c r="F1768" s="21">
        <v>30743.0</v>
      </c>
      <c r="G1768" s="14">
        <f t="shared" si="1"/>
        <v>42</v>
      </c>
      <c r="H1768" s="23" t="s">
        <v>26</v>
      </c>
      <c r="I1768" s="24" t="s">
        <v>27</v>
      </c>
      <c r="J1768" s="19" t="s">
        <v>58</v>
      </c>
      <c r="K1768" s="14">
        <v>5.0</v>
      </c>
      <c r="L1768" s="14">
        <v>0.0</v>
      </c>
      <c r="M1768" s="25"/>
      <c r="N1768" s="26" t="s">
        <v>21</v>
      </c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</row>
    <row r="1769">
      <c r="A1769" s="14" t="s">
        <v>6525</v>
      </c>
      <c r="B1769" s="17" t="s">
        <v>6526</v>
      </c>
      <c r="C1769" s="17" t="s">
        <v>6527</v>
      </c>
      <c r="D1769" s="19" t="s">
        <v>6528</v>
      </c>
      <c r="E1769" s="20" t="s">
        <v>337</v>
      </c>
      <c r="F1769" s="27">
        <v>37205.0</v>
      </c>
      <c r="G1769" s="14">
        <f t="shared" si="1"/>
        <v>24</v>
      </c>
      <c r="H1769" s="23" t="s">
        <v>100</v>
      </c>
      <c r="I1769" s="24" t="s">
        <v>33</v>
      </c>
      <c r="J1769" s="19" t="s">
        <v>53</v>
      </c>
      <c r="K1769" s="14">
        <v>9.0</v>
      </c>
      <c r="L1769" s="14">
        <v>0.0</v>
      </c>
      <c r="M1769" s="25"/>
      <c r="N1769" s="26" t="s">
        <v>21</v>
      </c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</row>
    <row r="1770">
      <c r="A1770" s="14" t="s">
        <v>6529</v>
      </c>
      <c r="B1770" s="17" t="s">
        <v>6526</v>
      </c>
      <c r="C1770" s="17" t="s">
        <v>6530</v>
      </c>
      <c r="D1770" s="19" t="s">
        <v>6531</v>
      </c>
      <c r="E1770" s="20" t="s">
        <v>650</v>
      </c>
      <c r="F1770" s="21">
        <v>26497.0</v>
      </c>
      <c r="G1770" s="14">
        <f t="shared" si="1"/>
        <v>54</v>
      </c>
      <c r="H1770" s="23" t="s">
        <v>26</v>
      </c>
      <c r="I1770" s="24" t="s">
        <v>27</v>
      </c>
      <c r="J1770" s="19" t="s">
        <v>53</v>
      </c>
      <c r="K1770" s="14">
        <v>9.0</v>
      </c>
      <c r="L1770" s="14">
        <v>0.0</v>
      </c>
      <c r="M1770" s="25"/>
      <c r="N1770" s="26" t="s">
        <v>21</v>
      </c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</row>
    <row r="1771">
      <c r="A1771" s="14" t="s">
        <v>6532</v>
      </c>
      <c r="B1771" s="17" t="s">
        <v>6526</v>
      </c>
      <c r="C1771" s="17" t="s">
        <v>6533</v>
      </c>
      <c r="D1771" s="19" t="s">
        <v>6534</v>
      </c>
      <c r="E1771" s="20" t="s">
        <v>650</v>
      </c>
      <c r="F1771" s="21">
        <v>23575.0</v>
      </c>
      <c r="G1771" s="14">
        <f t="shared" si="1"/>
        <v>62</v>
      </c>
      <c r="H1771" s="23" t="s">
        <v>26</v>
      </c>
      <c r="I1771" s="24" t="s">
        <v>33</v>
      </c>
      <c r="J1771" s="19" t="s">
        <v>53</v>
      </c>
      <c r="K1771" s="14">
        <v>9.0</v>
      </c>
      <c r="L1771" s="14">
        <v>0.0</v>
      </c>
      <c r="M1771" s="25"/>
      <c r="N1771" s="26" t="s">
        <v>21</v>
      </c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</row>
    <row r="1772">
      <c r="A1772" s="14" t="s">
        <v>6535</v>
      </c>
      <c r="B1772" s="17" t="s">
        <v>6536</v>
      </c>
      <c r="C1772" s="17" t="s">
        <v>6537</v>
      </c>
      <c r="D1772" s="19" t="s">
        <v>6538</v>
      </c>
      <c r="E1772" s="20" t="s">
        <v>231</v>
      </c>
      <c r="F1772" s="21">
        <v>23240.0</v>
      </c>
      <c r="G1772" s="14">
        <f t="shared" si="1"/>
        <v>63</v>
      </c>
      <c r="H1772" s="23" t="s">
        <v>26</v>
      </c>
      <c r="I1772" s="24" t="s">
        <v>33</v>
      </c>
      <c r="J1772" s="19" t="s">
        <v>146</v>
      </c>
      <c r="K1772" s="14">
        <v>9.0</v>
      </c>
      <c r="L1772" s="14">
        <v>0.0</v>
      </c>
      <c r="M1772" s="25"/>
      <c r="N1772" s="26" t="s">
        <v>21</v>
      </c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</row>
    <row r="1773">
      <c r="A1773" s="14" t="s">
        <v>6539</v>
      </c>
      <c r="B1773" s="17" t="s">
        <v>6536</v>
      </c>
      <c r="C1773" s="17" t="s">
        <v>6540</v>
      </c>
      <c r="D1773" s="19" t="s">
        <v>6541</v>
      </c>
      <c r="E1773" s="20" t="s">
        <v>104</v>
      </c>
      <c r="F1773" s="21">
        <v>36423.0</v>
      </c>
      <c r="G1773" s="14">
        <f t="shared" si="1"/>
        <v>27</v>
      </c>
      <c r="H1773" s="23" t="s">
        <v>100</v>
      </c>
      <c r="I1773" s="24" t="s">
        <v>33</v>
      </c>
      <c r="J1773" s="19" t="s">
        <v>146</v>
      </c>
      <c r="K1773" s="14">
        <v>9.0</v>
      </c>
      <c r="L1773" s="14">
        <v>0.0</v>
      </c>
      <c r="M1773" s="25"/>
      <c r="N1773" s="26" t="s">
        <v>21</v>
      </c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</row>
    <row r="1774">
      <c r="A1774" s="14" t="s">
        <v>6542</v>
      </c>
      <c r="B1774" s="17" t="s">
        <v>6536</v>
      </c>
      <c r="C1774" s="17" t="s">
        <v>6543</v>
      </c>
      <c r="D1774" s="19" t="s">
        <v>6544</v>
      </c>
      <c r="E1774" s="20" t="s">
        <v>654</v>
      </c>
      <c r="F1774" s="21">
        <v>25036.0</v>
      </c>
      <c r="G1774" s="14">
        <f t="shared" si="1"/>
        <v>58</v>
      </c>
      <c r="H1774" s="23" t="s">
        <v>26</v>
      </c>
      <c r="I1774" s="24" t="s">
        <v>27</v>
      </c>
      <c r="J1774" s="19" t="s">
        <v>146</v>
      </c>
      <c r="K1774" s="14">
        <v>9.0</v>
      </c>
      <c r="L1774" s="14">
        <v>0.0</v>
      </c>
      <c r="M1774" s="25"/>
      <c r="N1774" s="26" t="s">
        <v>21</v>
      </c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</row>
    <row r="1775">
      <c r="A1775" s="14" t="s">
        <v>6545</v>
      </c>
      <c r="B1775" s="17" t="s">
        <v>6546</v>
      </c>
      <c r="C1775" s="17" t="s">
        <v>6547</v>
      </c>
      <c r="D1775" s="19" t="s">
        <v>80</v>
      </c>
      <c r="E1775" s="20" t="s">
        <v>654</v>
      </c>
      <c r="F1775" s="21">
        <v>26819.0</v>
      </c>
      <c r="G1775" s="14">
        <f t="shared" si="1"/>
        <v>53</v>
      </c>
      <c r="H1775" s="23" t="s">
        <v>26</v>
      </c>
      <c r="I1775" s="24" t="s">
        <v>27</v>
      </c>
      <c r="J1775" s="19" t="s">
        <v>3387</v>
      </c>
      <c r="K1775" s="14">
        <v>9.0</v>
      </c>
      <c r="L1775" s="14">
        <v>0.0</v>
      </c>
      <c r="M1775" s="25"/>
      <c r="N1775" s="26" t="s">
        <v>21</v>
      </c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</row>
    <row r="1776">
      <c r="A1776" s="14" t="s">
        <v>6548</v>
      </c>
      <c r="B1776" s="17" t="s">
        <v>6546</v>
      </c>
      <c r="C1776" s="17" t="s">
        <v>6549</v>
      </c>
      <c r="D1776" s="19" t="s">
        <v>6550</v>
      </c>
      <c r="E1776" s="20" t="s">
        <v>650</v>
      </c>
      <c r="F1776" s="21">
        <v>25674.0</v>
      </c>
      <c r="G1776" s="14">
        <f t="shared" si="1"/>
        <v>56</v>
      </c>
      <c r="H1776" s="23" t="s">
        <v>26</v>
      </c>
      <c r="I1776" s="24" t="s">
        <v>33</v>
      </c>
      <c r="J1776" s="19" t="s">
        <v>3387</v>
      </c>
      <c r="K1776" s="14">
        <v>9.0</v>
      </c>
      <c r="L1776" s="14">
        <v>0.0</v>
      </c>
      <c r="M1776" s="25"/>
      <c r="N1776" s="26" t="s">
        <v>21</v>
      </c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</row>
    <row r="1777">
      <c r="A1777" s="14" t="s">
        <v>6551</v>
      </c>
      <c r="B1777" s="17" t="s">
        <v>6552</v>
      </c>
      <c r="C1777" s="17" t="s">
        <v>6553</v>
      </c>
      <c r="D1777" s="19" t="s">
        <v>6554</v>
      </c>
      <c r="E1777" s="20" t="s">
        <v>654</v>
      </c>
      <c r="F1777" s="21">
        <v>19922.0</v>
      </c>
      <c r="G1777" s="14">
        <f t="shared" si="1"/>
        <v>72</v>
      </c>
      <c r="H1777" s="23" t="s">
        <v>26</v>
      </c>
      <c r="I1777" s="24" t="s">
        <v>33</v>
      </c>
      <c r="J1777" s="19" t="s">
        <v>6555</v>
      </c>
      <c r="K1777" s="14">
        <v>9.0</v>
      </c>
      <c r="L1777" s="14">
        <v>0.0</v>
      </c>
      <c r="M1777" s="25"/>
      <c r="N1777" s="26" t="s">
        <v>21</v>
      </c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</row>
    <row r="1778">
      <c r="A1778" s="14" t="s">
        <v>6556</v>
      </c>
      <c r="B1778" s="17" t="s">
        <v>6552</v>
      </c>
      <c r="C1778" s="17" t="s">
        <v>6557</v>
      </c>
      <c r="D1778" s="19" t="s">
        <v>6558</v>
      </c>
      <c r="E1778" s="20" t="s">
        <v>104</v>
      </c>
      <c r="F1778" s="21">
        <v>24993.0</v>
      </c>
      <c r="G1778" s="14">
        <f t="shared" si="1"/>
        <v>58</v>
      </c>
      <c r="H1778" s="23" t="s">
        <v>26</v>
      </c>
      <c r="I1778" s="24" t="s">
        <v>27</v>
      </c>
      <c r="J1778" s="19" t="s">
        <v>6555</v>
      </c>
      <c r="K1778" s="14">
        <v>9.0</v>
      </c>
      <c r="L1778" s="14">
        <v>0.0</v>
      </c>
      <c r="M1778" s="25"/>
      <c r="N1778" s="26" t="s">
        <v>21</v>
      </c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</row>
    <row r="1779">
      <c r="A1779" s="14" t="s">
        <v>6559</v>
      </c>
      <c r="B1779" s="17" t="s">
        <v>6560</v>
      </c>
      <c r="C1779" s="17" t="s">
        <v>6561</v>
      </c>
      <c r="D1779" s="19" t="s">
        <v>6562</v>
      </c>
      <c r="E1779" s="20" t="s">
        <v>104</v>
      </c>
      <c r="F1779" s="27">
        <v>28790.0</v>
      </c>
      <c r="G1779" s="14">
        <f t="shared" si="1"/>
        <v>48</v>
      </c>
      <c r="H1779" s="23" t="s">
        <v>26</v>
      </c>
      <c r="I1779" s="24" t="s">
        <v>33</v>
      </c>
      <c r="J1779" s="19" t="s">
        <v>6563</v>
      </c>
      <c r="K1779" s="14">
        <v>9.0</v>
      </c>
      <c r="L1779" s="14">
        <v>0.0</v>
      </c>
      <c r="M1779" s="25"/>
      <c r="N1779" s="26" t="s">
        <v>21</v>
      </c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</row>
    <row r="1780">
      <c r="A1780" s="14" t="s">
        <v>6564</v>
      </c>
      <c r="B1780" s="17" t="s">
        <v>6560</v>
      </c>
      <c r="C1780" s="17" t="s">
        <v>6565</v>
      </c>
      <c r="D1780" s="19" t="s">
        <v>6566</v>
      </c>
      <c r="E1780" s="20" t="s">
        <v>104</v>
      </c>
      <c r="F1780" s="21">
        <v>31668.0</v>
      </c>
      <c r="G1780" s="14">
        <f t="shared" si="1"/>
        <v>40</v>
      </c>
      <c r="H1780" s="23" t="s">
        <v>26</v>
      </c>
      <c r="I1780" s="24" t="s">
        <v>27</v>
      </c>
      <c r="J1780" s="19" t="s">
        <v>6563</v>
      </c>
      <c r="K1780" s="14">
        <v>9.0</v>
      </c>
      <c r="L1780" s="14">
        <v>0.0</v>
      </c>
      <c r="M1780" s="25"/>
      <c r="N1780" s="26" t="s">
        <v>21</v>
      </c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</row>
    <row r="1781">
      <c r="A1781" s="14" t="s">
        <v>6567</v>
      </c>
      <c r="B1781" s="17" t="s">
        <v>6560</v>
      </c>
      <c r="C1781" s="17" t="s">
        <v>6568</v>
      </c>
      <c r="D1781" s="19" t="s">
        <v>6569</v>
      </c>
      <c r="E1781" s="20" t="s">
        <v>104</v>
      </c>
      <c r="F1781" s="21">
        <v>38783.0</v>
      </c>
      <c r="G1781" s="14">
        <f t="shared" si="1"/>
        <v>20</v>
      </c>
      <c r="H1781" s="23" t="s">
        <v>100</v>
      </c>
      <c r="I1781" s="24" t="s">
        <v>33</v>
      </c>
      <c r="J1781" s="19" t="s">
        <v>6563</v>
      </c>
      <c r="K1781" s="14">
        <v>9.0</v>
      </c>
      <c r="L1781" s="14">
        <v>0.0</v>
      </c>
      <c r="M1781" s="25"/>
      <c r="N1781" s="26" t="s">
        <v>21</v>
      </c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</row>
    <row r="1782">
      <c r="A1782" s="14" t="s">
        <v>6570</v>
      </c>
      <c r="B1782" s="17" t="s">
        <v>6571</v>
      </c>
      <c r="C1782" s="17" t="s">
        <v>6572</v>
      </c>
      <c r="D1782" s="19" t="s">
        <v>2185</v>
      </c>
      <c r="E1782" s="20" t="s">
        <v>434</v>
      </c>
      <c r="F1782" s="21">
        <v>16619.0</v>
      </c>
      <c r="G1782" s="14">
        <f t="shared" si="1"/>
        <v>81</v>
      </c>
      <c r="H1782" s="23" t="s">
        <v>27</v>
      </c>
      <c r="I1782" s="24" t="s">
        <v>27</v>
      </c>
      <c r="J1782" s="19" t="s">
        <v>3387</v>
      </c>
      <c r="K1782" s="14">
        <v>9.0</v>
      </c>
      <c r="L1782" s="14">
        <v>1.0</v>
      </c>
      <c r="M1782" s="25"/>
      <c r="N1782" s="26" t="s">
        <v>21</v>
      </c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</row>
    <row r="1783">
      <c r="A1783" s="14" t="s">
        <v>6573</v>
      </c>
      <c r="B1783" s="17" t="s">
        <v>6571</v>
      </c>
      <c r="C1783" s="17" t="s">
        <v>6574</v>
      </c>
      <c r="D1783" s="19" t="s">
        <v>6575</v>
      </c>
      <c r="E1783" s="20" t="s">
        <v>53</v>
      </c>
      <c r="F1783" s="21">
        <v>29125.0</v>
      </c>
      <c r="G1783" s="14">
        <f t="shared" si="1"/>
        <v>47</v>
      </c>
      <c r="H1783" s="23" t="s">
        <v>26</v>
      </c>
      <c r="I1783" s="24" t="s">
        <v>27</v>
      </c>
      <c r="J1783" s="19" t="s">
        <v>3387</v>
      </c>
      <c r="K1783" s="14">
        <v>9.0</v>
      </c>
      <c r="L1783" s="14">
        <v>0.0</v>
      </c>
      <c r="M1783" s="25"/>
      <c r="N1783" s="26" t="s">
        <v>21</v>
      </c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</row>
    <row r="1784">
      <c r="A1784" s="14" t="s">
        <v>6577</v>
      </c>
      <c r="B1784" s="17" t="s">
        <v>6571</v>
      </c>
      <c r="C1784" s="17" t="s">
        <v>6578</v>
      </c>
      <c r="D1784" s="19" t="s">
        <v>6579</v>
      </c>
      <c r="E1784" s="20" t="s">
        <v>53</v>
      </c>
      <c r="F1784" s="21">
        <v>28196.0</v>
      </c>
      <c r="G1784" s="14">
        <f t="shared" si="1"/>
        <v>49</v>
      </c>
      <c r="H1784" s="23" t="s">
        <v>26</v>
      </c>
      <c r="I1784" s="24" t="s">
        <v>33</v>
      </c>
      <c r="J1784" s="19" t="s">
        <v>3387</v>
      </c>
      <c r="K1784" s="14">
        <v>9.0</v>
      </c>
      <c r="L1784" s="14">
        <v>0.0</v>
      </c>
      <c r="M1784" s="25"/>
      <c r="N1784" s="26" t="s">
        <v>21</v>
      </c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</row>
    <row r="1785">
      <c r="A1785" s="14" t="s">
        <v>6580</v>
      </c>
      <c r="B1785" s="17" t="s">
        <v>6581</v>
      </c>
      <c r="C1785" s="17" t="s">
        <v>6582</v>
      </c>
      <c r="D1785" s="19" t="s">
        <v>6583</v>
      </c>
      <c r="E1785" s="20" t="s">
        <v>632</v>
      </c>
      <c r="F1785" s="21">
        <v>18810.0</v>
      </c>
      <c r="G1785" s="14">
        <f t="shared" si="1"/>
        <v>75</v>
      </c>
      <c r="H1785" s="23" t="s">
        <v>26</v>
      </c>
      <c r="I1785" s="24" t="s">
        <v>33</v>
      </c>
      <c r="J1785" s="19" t="s">
        <v>517</v>
      </c>
      <c r="K1785" s="14">
        <v>9.0</v>
      </c>
      <c r="L1785" s="14">
        <v>0.0</v>
      </c>
      <c r="M1785" s="25"/>
      <c r="N1785" s="26" t="s">
        <v>21</v>
      </c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</row>
    <row r="1786">
      <c r="A1786" s="14" t="s">
        <v>6584</v>
      </c>
      <c r="B1786" s="17" t="s">
        <v>6581</v>
      </c>
      <c r="C1786" s="17" t="s">
        <v>6585</v>
      </c>
      <c r="D1786" s="19" t="s">
        <v>6586</v>
      </c>
      <c r="E1786" s="20" t="s">
        <v>632</v>
      </c>
      <c r="F1786" s="21">
        <v>22828.0</v>
      </c>
      <c r="G1786" s="14">
        <f t="shared" si="1"/>
        <v>64</v>
      </c>
      <c r="H1786" s="23" t="s">
        <v>26</v>
      </c>
      <c r="I1786" s="24" t="s">
        <v>27</v>
      </c>
      <c r="J1786" s="19" t="s">
        <v>517</v>
      </c>
      <c r="K1786" s="14">
        <v>9.0</v>
      </c>
      <c r="L1786" s="14">
        <v>0.0</v>
      </c>
      <c r="M1786" s="25"/>
      <c r="N1786" s="26" t="s">
        <v>21</v>
      </c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</row>
    <row r="1787">
      <c r="A1787" s="14" t="s">
        <v>6587</v>
      </c>
      <c r="B1787" s="17" t="s">
        <v>6588</v>
      </c>
      <c r="C1787" s="17" t="s">
        <v>6589</v>
      </c>
      <c r="D1787" s="19" t="s">
        <v>6590</v>
      </c>
      <c r="E1787" s="20" t="s">
        <v>104</v>
      </c>
      <c r="F1787" s="21">
        <v>37142.0</v>
      </c>
      <c r="G1787" s="14">
        <f t="shared" si="1"/>
        <v>25</v>
      </c>
      <c r="H1787" s="23" t="s">
        <v>100</v>
      </c>
      <c r="I1787" s="24" t="s">
        <v>33</v>
      </c>
      <c r="J1787" s="19" t="s">
        <v>939</v>
      </c>
      <c r="K1787" s="14">
        <v>9.0</v>
      </c>
      <c r="L1787" s="14">
        <v>0.0</v>
      </c>
      <c r="M1787" s="25"/>
      <c r="N1787" s="26" t="s">
        <v>21</v>
      </c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</row>
    <row r="1788">
      <c r="A1788" s="14" t="s">
        <v>6591</v>
      </c>
      <c r="B1788" s="17" t="s">
        <v>6592</v>
      </c>
      <c r="C1788" s="17" t="s">
        <v>6593</v>
      </c>
      <c r="D1788" s="19" t="s">
        <v>5367</v>
      </c>
      <c r="E1788" s="20" t="s">
        <v>112</v>
      </c>
      <c r="F1788" s="21">
        <v>30053.0</v>
      </c>
      <c r="G1788" s="14">
        <f t="shared" si="1"/>
        <v>44</v>
      </c>
      <c r="H1788" s="23" t="s">
        <v>26</v>
      </c>
      <c r="I1788" s="24" t="s">
        <v>27</v>
      </c>
      <c r="J1788" s="19" t="s">
        <v>939</v>
      </c>
      <c r="K1788" s="14">
        <v>9.0</v>
      </c>
      <c r="L1788" s="14">
        <v>0.0</v>
      </c>
      <c r="M1788" s="25"/>
      <c r="N1788" s="26" t="s">
        <v>21</v>
      </c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</row>
    <row r="1789">
      <c r="A1789" s="14" t="s">
        <v>6594</v>
      </c>
      <c r="B1789" s="17" t="s">
        <v>6592</v>
      </c>
      <c r="C1789" s="17" t="s">
        <v>6595</v>
      </c>
      <c r="D1789" s="19" t="s">
        <v>6596</v>
      </c>
      <c r="E1789" s="20" t="s">
        <v>104</v>
      </c>
      <c r="F1789" s="21">
        <v>38777.0</v>
      </c>
      <c r="G1789" s="14">
        <f t="shared" si="1"/>
        <v>20</v>
      </c>
      <c r="H1789" s="23" t="s">
        <v>100</v>
      </c>
      <c r="I1789" s="24" t="s">
        <v>27</v>
      </c>
      <c r="J1789" s="19" t="s">
        <v>939</v>
      </c>
      <c r="K1789" s="14">
        <v>9.0</v>
      </c>
      <c r="L1789" s="14">
        <v>0.0</v>
      </c>
      <c r="M1789" s="25"/>
      <c r="N1789" s="26" t="s">
        <v>21</v>
      </c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</row>
    <row r="1790">
      <c r="A1790" s="14" t="s">
        <v>6597</v>
      </c>
      <c r="B1790" s="17" t="s">
        <v>6592</v>
      </c>
      <c r="C1790" s="17" t="s">
        <v>6598</v>
      </c>
      <c r="D1790" s="19" t="s">
        <v>6599</v>
      </c>
      <c r="E1790" s="20" t="s">
        <v>434</v>
      </c>
      <c r="F1790" s="21">
        <v>24574.0</v>
      </c>
      <c r="G1790" s="14">
        <f t="shared" si="1"/>
        <v>59</v>
      </c>
      <c r="H1790" s="23" t="s">
        <v>26</v>
      </c>
      <c r="I1790" s="24" t="s">
        <v>33</v>
      </c>
      <c r="J1790" s="19" t="s">
        <v>939</v>
      </c>
      <c r="K1790" s="14">
        <v>9.0</v>
      </c>
      <c r="L1790" s="14">
        <v>0.0</v>
      </c>
      <c r="M1790" s="25"/>
      <c r="N1790" s="26" t="s">
        <v>21</v>
      </c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</row>
    <row r="1791">
      <c r="A1791" s="14" t="s">
        <v>6600</v>
      </c>
      <c r="B1791" s="17" t="s">
        <v>6601</v>
      </c>
      <c r="C1791" s="17" t="s">
        <v>6602</v>
      </c>
      <c r="D1791" s="19" t="s">
        <v>1017</v>
      </c>
      <c r="E1791" s="20" t="s">
        <v>880</v>
      </c>
      <c r="F1791" s="21">
        <v>20196.0</v>
      </c>
      <c r="G1791" s="14">
        <f t="shared" si="1"/>
        <v>71</v>
      </c>
      <c r="H1791" s="23" t="s">
        <v>26</v>
      </c>
      <c r="I1791" s="24" t="s">
        <v>27</v>
      </c>
      <c r="J1791" s="19" t="s">
        <v>517</v>
      </c>
      <c r="K1791" s="14">
        <v>8.0</v>
      </c>
      <c r="L1791" s="14">
        <v>0.0</v>
      </c>
      <c r="M1791" s="25"/>
      <c r="N1791" s="26" t="s">
        <v>21</v>
      </c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</row>
    <row r="1792">
      <c r="A1792" s="14" t="s">
        <v>6603</v>
      </c>
      <c r="B1792" s="17" t="s">
        <v>6604</v>
      </c>
      <c r="C1792" s="17" t="s">
        <v>6605</v>
      </c>
      <c r="D1792" s="19" t="s">
        <v>235</v>
      </c>
      <c r="E1792" s="20" t="s">
        <v>104</v>
      </c>
      <c r="F1792" s="21">
        <v>29726.0</v>
      </c>
      <c r="G1792" s="14">
        <f t="shared" si="1"/>
        <v>45</v>
      </c>
      <c r="H1792" s="23" t="s">
        <v>26</v>
      </c>
      <c r="I1792" s="24" t="s">
        <v>27</v>
      </c>
      <c r="J1792" s="19" t="s">
        <v>517</v>
      </c>
      <c r="K1792" s="14">
        <v>8.0</v>
      </c>
      <c r="L1792" s="14">
        <v>0.0</v>
      </c>
      <c r="M1792" s="25"/>
      <c r="N1792" s="26" t="s">
        <v>21</v>
      </c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</row>
    <row r="1793">
      <c r="A1793" s="14" t="s">
        <v>6606</v>
      </c>
      <c r="B1793" s="17" t="s">
        <v>6604</v>
      </c>
      <c r="C1793" s="17" t="s">
        <v>6607</v>
      </c>
      <c r="D1793" s="19" t="s">
        <v>6608</v>
      </c>
      <c r="E1793" s="20" t="s">
        <v>104</v>
      </c>
      <c r="F1793" s="21">
        <v>39111.0</v>
      </c>
      <c r="G1793" s="14">
        <f t="shared" si="1"/>
        <v>19</v>
      </c>
      <c r="H1793" s="23" t="s">
        <v>100</v>
      </c>
      <c r="I1793" s="24" t="s">
        <v>33</v>
      </c>
      <c r="J1793" s="19" t="s">
        <v>517</v>
      </c>
      <c r="K1793" s="14">
        <v>8.0</v>
      </c>
      <c r="L1793" s="14">
        <v>0.0</v>
      </c>
      <c r="M1793" s="25"/>
      <c r="N1793" s="26" t="s">
        <v>21</v>
      </c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</row>
    <row r="1794">
      <c r="A1794" s="14" t="s">
        <v>6609</v>
      </c>
      <c r="B1794" s="17" t="s">
        <v>6604</v>
      </c>
      <c r="C1794" s="17" t="s">
        <v>6610</v>
      </c>
      <c r="D1794" s="19" t="s">
        <v>6611</v>
      </c>
      <c r="E1794" s="20" t="s">
        <v>650</v>
      </c>
      <c r="F1794" s="21">
        <v>27768.0</v>
      </c>
      <c r="G1794" s="14">
        <f t="shared" si="1"/>
        <v>50</v>
      </c>
      <c r="H1794" s="23" t="s">
        <v>26</v>
      </c>
      <c r="I1794" s="24" t="s">
        <v>33</v>
      </c>
      <c r="J1794" s="19" t="s">
        <v>517</v>
      </c>
      <c r="K1794" s="14">
        <v>8.0</v>
      </c>
      <c r="L1794" s="14">
        <v>0.0</v>
      </c>
      <c r="M1794" s="25"/>
      <c r="N1794" s="26" t="s">
        <v>21</v>
      </c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</row>
    <row r="1795">
      <c r="A1795" s="14" t="s">
        <v>6612</v>
      </c>
      <c r="B1795" s="17" t="s">
        <v>6613</v>
      </c>
      <c r="C1795" s="17" t="s">
        <v>6614</v>
      </c>
      <c r="D1795" s="19" t="s">
        <v>6615</v>
      </c>
      <c r="E1795" s="20" t="s">
        <v>53</v>
      </c>
      <c r="F1795" s="27">
        <v>36080.0</v>
      </c>
      <c r="G1795" s="14">
        <f t="shared" si="1"/>
        <v>28</v>
      </c>
      <c r="H1795" s="23" t="s">
        <v>100</v>
      </c>
      <c r="I1795" s="24" t="s">
        <v>33</v>
      </c>
      <c r="J1795" s="19" t="s">
        <v>58</v>
      </c>
      <c r="K1795" s="14">
        <v>8.0</v>
      </c>
      <c r="L1795" s="14">
        <v>0.0</v>
      </c>
      <c r="M1795" s="25"/>
      <c r="N1795" s="26" t="s">
        <v>21</v>
      </c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</row>
    <row r="1796">
      <c r="A1796" s="14" t="s">
        <v>6616</v>
      </c>
      <c r="B1796" s="17" t="s">
        <v>6613</v>
      </c>
      <c r="C1796" s="17" t="s">
        <v>6617</v>
      </c>
      <c r="D1796" s="19" t="s">
        <v>6618</v>
      </c>
      <c r="E1796" s="20" t="s">
        <v>104</v>
      </c>
      <c r="F1796" s="27">
        <v>34285.0</v>
      </c>
      <c r="G1796" s="14">
        <f t="shared" si="1"/>
        <v>32</v>
      </c>
      <c r="H1796" s="23" t="s">
        <v>100</v>
      </c>
      <c r="I1796" s="24" t="s">
        <v>27</v>
      </c>
      <c r="J1796" s="19" t="s">
        <v>58</v>
      </c>
      <c r="K1796" s="14">
        <v>8.0</v>
      </c>
      <c r="L1796" s="14">
        <v>0.0</v>
      </c>
      <c r="M1796" s="25"/>
      <c r="N1796" s="26" t="s">
        <v>21</v>
      </c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</row>
    <row r="1797">
      <c r="A1797" s="14" t="s">
        <v>6619</v>
      </c>
      <c r="B1797" s="17" t="s">
        <v>6613</v>
      </c>
      <c r="C1797" s="17" t="s">
        <v>6620</v>
      </c>
      <c r="D1797" s="19" t="s">
        <v>6621</v>
      </c>
      <c r="E1797" s="20" t="s">
        <v>434</v>
      </c>
      <c r="F1797" s="27">
        <v>19277.0</v>
      </c>
      <c r="G1797" s="14">
        <f t="shared" si="1"/>
        <v>74</v>
      </c>
      <c r="H1797" s="23" t="s">
        <v>26</v>
      </c>
      <c r="I1797" s="24" t="s">
        <v>33</v>
      </c>
      <c r="J1797" s="19" t="s">
        <v>58</v>
      </c>
      <c r="K1797" s="14">
        <v>8.0</v>
      </c>
      <c r="L1797" s="14">
        <v>0.0</v>
      </c>
      <c r="M1797" s="25"/>
      <c r="N1797" s="26" t="s">
        <v>21</v>
      </c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</row>
    <row r="1798">
      <c r="A1798" s="14" t="s">
        <v>6622</v>
      </c>
      <c r="B1798" s="17" t="s">
        <v>6623</v>
      </c>
      <c r="C1798" s="17" t="s">
        <v>6624</v>
      </c>
      <c r="D1798" s="19" t="s">
        <v>6625</v>
      </c>
      <c r="E1798" s="20" t="s">
        <v>104</v>
      </c>
      <c r="F1798" s="21">
        <v>37002.0</v>
      </c>
      <c r="G1798" s="14">
        <f t="shared" si="1"/>
        <v>25</v>
      </c>
      <c r="H1798" s="23" t="s">
        <v>100</v>
      </c>
      <c r="I1798" s="24" t="s">
        <v>27</v>
      </c>
      <c r="J1798" s="19" t="s">
        <v>517</v>
      </c>
      <c r="K1798" s="14">
        <v>8.0</v>
      </c>
      <c r="L1798" s="14">
        <v>0.0</v>
      </c>
      <c r="M1798" s="25"/>
      <c r="N1798" s="26" t="s">
        <v>21</v>
      </c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</row>
    <row r="1799">
      <c r="A1799" s="14" t="s">
        <v>6626</v>
      </c>
      <c r="B1799" s="17" t="s">
        <v>6623</v>
      </c>
      <c r="C1799" s="17" t="s">
        <v>6627</v>
      </c>
      <c r="D1799" s="19" t="s">
        <v>6628</v>
      </c>
      <c r="E1799" s="20" t="s">
        <v>632</v>
      </c>
      <c r="F1799" s="21">
        <v>23685.0</v>
      </c>
      <c r="G1799" s="14">
        <f t="shared" si="1"/>
        <v>61</v>
      </c>
      <c r="H1799" s="23" t="s">
        <v>26</v>
      </c>
      <c r="I1799" s="24" t="s">
        <v>33</v>
      </c>
      <c r="J1799" s="19" t="s">
        <v>517</v>
      </c>
      <c r="K1799" s="14">
        <v>8.0</v>
      </c>
      <c r="L1799" s="14">
        <v>0.0</v>
      </c>
      <c r="M1799" s="25"/>
      <c r="N1799" s="26" t="s">
        <v>21</v>
      </c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</row>
    <row r="1800">
      <c r="A1800" s="14" t="s">
        <v>6629</v>
      </c>
      <c r="B1800" s="17" t="s">
        <v>6630</v>
      </c>
      <c r="C1800" s="17" t="s">
        <v>6631</v>
      </c>
      <c r="D1800" s="19" t="s">
        <v>6632</v>
      </c>
      <c r="E1800" s="20" t="s">
        <v>53</v>
      </c>
      <c r="F1800" s="27">
        <v>37984.0</v>
      </c>
      <c r="G1800" s="14">
        <f t="shared" si="1"/>
        <v>22</v>
      </c>
      <c r="H1800" s="23" t="s">
        <v>100</v>
      </c>
      <c r="I1800" s="24" t="s">
        <v>33</v>
      </c>
      <c r="J1800" s="19" t="s">
        <v>517</v>
      </c>
      <c r="K1800" s="14">
        <v>8.0</v>
      </c>
      <c r="L1800" s="14">
        <v>0.0</v>
      </c>
      <c r="M1800" s="25"/>
      <c r="N1800" s="26" t="s">
        <v>21</v>
      </c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</row>
    <row r="1801">
      <c r="A1801" s="14" t="s">
        <v>6633</v>
      </c>
      <c r="B1801" s="17" t="s">
        <v>6630</v>
      </c>
      <c r="C1801" s="17" t="s">
        <v>6634</v>
      </c>
      <c r="D1801" s="19" t="s">
        <v>6635</v>
      </c>
      <c r="E1801" s="20" t="s">
        <v>632</v>
      </c>
      <c r="F1801" s="21">
        <v>23924.0</v>
      </c>
      <c r="G1801" s="14">
        <f t="shared" si="1"/>
        <v>61</v>
      </c>
      <c r="H1801" s="23" t="s">
        <v>26</v>
      </c>
      <c r="I1801" s="24" t="s">
        <v>33</v>
      </c>
      <c r="J1801" s="19" t="s">
        <v>517</v>
      </c>
      <c r="K1801" s="14">
        <v>8.0</v>
      </c>
      <c r="L1801" s="14">
        <v>0.0</v>
      </c>
      <c r="M1801" s="25"/>
      <c r="N1801" s="26" t="s">
        <v>21</v>
      </c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</row>
    <row r="1802">
      <c r="A1802" s="14" t="s">
        <v>6636</v>
      </c>
      <c r="B1802" s="17" t="s">
        <v>6630</v>
      </c>
      <c r="C1802" s="17" t="s">
        <v>6637</v>
      </c>
      <c r="D1802" s="19" t="s">
        <v>6638</v>
      </c>
      <c r="E1802" s="20" t="s">
        <v>632</v>
      </c>
      <c r="F1802" s="21">
        <v>26118.0</v>
      </c>
      <c r="G1802" s="14">
        <f t="shared" si="1"/>
        <v>55</v>
      </c>
      <c r="H1802" s="23" t="s">
        <v>26</v>
      </c>
      <c r="I1802" s="24" t="s">
        <v>27</v>
      </c>
      <c r="J1802" s="19" t="s">
        <v>517</v>
      </c>
      <c r="K1802" s="14">
        <v>8.0</v>
      </c>
      <c r="L1802" s="14">
        <v>0.0</v>
      </c>
      <c r="M1802" s="25"/>
      <c r="N1802" s="26" t="s">
        <v>21</v>
      </c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</row>
    <row r="1803">
      <c r="A1803" s="14" t="s">
        <v>6639</v>
      </c>
      <c r="B1803" s="52" t="s">
        <v>6640</v>
      </c>
      <c r="C1803" s="17" t="s">
        <v>6641</v>
      </c>
      <c r="D1803" s="19" t="s">
        <v>6642</v>
      </c>
      <c r="E1803" s="20" t="s">
        <v>290</v>
      </c>
      <c r="F1803" s="21">
        <v>25759.0</v>
      </c>
      <c r="G1803" s="14">
        <f t="shared" si="1"/>
        <v>56</v>
      </c>
      <c r="H1803" s="23" t="s">
        <v>26</v>
      </c>
      <c r="I1803" s="24" t="s">
        <v>33</v>
      </c>
      <c r="J1803" s="19" t="s">
        <v>58</v>
      </c>
      <c r="K1803" s="14">
        <v>7.0</v>
      </c>
      <c r="L1803" s="14">
        <v>0.0</v>
      </c>
      <c r="M1803" s="25"/>
      <c r="N1803" s="26" t="s">
        <v>21</v>
      </c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</row>
    <row r="1804">
      <c r="A1804" s="14" t="s">
        <v>6643</v>
      </c>
      <c r="B1804" s="52" t="s">
        <v>7249</v>
      </c>
      <c r="C1804" s="17" t="s">
        <v>6644</v>
      </c>
      <c r="D1804" s="19" t="s">
        <v>6645</v>
      </c>
      <c r="E1804" s="20" t="s">
        <v>53</v>
      </c>
      <c r="F1804" s="21">
        <v>37036.0</v>
      </c>
      <c r="G1804" s="14">
        <f t="shared" si="1"/>
        <v>25</v>
      </c>
      <c r="H1804" s="23" t="s">
        <v>100</v>
      </c>
      <c r="I1804" s="24" t="s">
        <v>27</v>
      </c>
      <c r="J1804" s="19" t="s">
        <v>58</v>
      </c>
      <c r="K1804" s="14">
        <v>7.0</v>
      </c>
      <c r="L1804" s="14">
        <v>0.0</v>
      </c>
      <c r="M1804" s="28" t="s">
        <v>5102</v>
      </c>
      <c r="N1804" s="26" t="s">
        <v>21</v>
      </c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</row>
    <row r="1805">
      <c r="A1805" s="14" t="s">
        <v>6646</v>
      </c>
      <c r="B1805" s="17" t="s">
        <v>6640</v>
      </c>
      <c r="C1805" s="17" t="s">
        <v>6647</v>
      </c>
      <c r="D1805" s="19" t="s">
        <v>6648</v>
      </c>
      <c r="E1805" s="20" t="s">
        <v>1870</v>
      </c>
      <c r="F1805" s="27">
        <v>39008.0</v>
      </c>
      <c r="G1805" s="14">
        <f t="shared" si="1"/>
        <v>20</v>
      </c>
      <c r="H1805" s="23" t="s">
        <v>100</v>
      </c>
      <c r="I1805" s="24" t="s">
        <v>33</v>
      </c>
      <c r="J1805" s="19" t="s">
        <v>58</v>
      </c>
      <c r="K1805" s="14">
        <v>7.0</v>
      </c>
      <c r="L1805" s="14">
        <v>0.0</v>
      </c>
      <c r="M1805" s="25"/>
      <c r="N1805" s="26" t="s">
        <v>21</v>
      </c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</row>
    <row r="1806">
      <c r="A1806" s="14" t="s">
        <v>6649</v>
      </c>
      <c r="B1806" s="17" t="s">
        <v>6640</v>
      </c>
      <c r="C1806" s="17" t="s">
        <v>6650</v>
      </c>
      <c r="D1806" s="19" t="s">
        <v>6651</v>
      </c>
      <c r="E1806" s="20" t="s">
        <v>6652</v>
      </c>
      <c r="F1806" s="21">
        <v>26791.0</v>
      </c>
      <c r="G1806" s="14">
        <f t="shared" si="1"/>
        <v>53</v>
      </c>
      <c r="H1806" s="23" t="s">
        <v>26</v>
      </c>
      <c r="I1806" s="24" t="s">
        <v>27</v>
      </c>
      <c r="J1806" s="19" t="s">
        <v>58</v>
      </c>
      <c r="K1806" s="14">
        <v>7.0</v>
      </c>
      <c r="L1806" s="14">
        <v>5.0</v>
      </c>
      <c r="M1806" s="25"/>
      <c r="N1806" s="26" t="s">
        <v>21</v>
      </c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</row>
    <row r="1807">
      <c r="A1807" s="14" t="s">
        <v>6653</v>
      </c>
      <c r="B1807" s="17" t="s">
        <v>6654</v>
      </c>
      <c r="C1807" s="17" t="s">
        <v>6655</v>
      </c>
      <c r="D1807" s="19" t="s">
        <v>6656</v>
      </c>
      <c r="E1807" s="20" t="s">
        <v>53</v>
      </c>
      <c r="F1807" s="21">
        <v>31281.0</v>
      </c>
      <c r="G1807" s="14">
        <f t="shared" si="1"/>
        <v>41</v>
      </c>
      <c r="H1807" s="23" t="s">
        <v>26</v>
      </c>
      <c r="I1807" s="24" t="s">
        <v>33</v>
      </c>
      <c r="J1807" s="19" t="s">
        <v>146</v>
      </c>
      <c r="K1807" s="14">
        <v>7.0</v>
      </c>
      <c r="L1807" s="14">
        <v>0.0</v>
      </c>
      <c r="M1807" s="25"/>
      <c r="N1807" s="26" t="s">
        <v>21</v>
      </c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</row>
    <row r="1808">
      <c r="A1808" s="14" t="s">
        <v>6657</v>
      </c>
      <c r="B1808" s="17" t="s">
        <v>6654</v>
      </c>
      <c r="C1808" s="17" t="s">
        <v>6658</v>
      </c>
      <c r="D1808" s="19" t="s">
        <v>361</v>
      </c>
      <c r="E1808" s="20" t="s">
        <v>53</v>
      </c>
      <c r="F1808" s="21">
        <v>39395.0</v>
      </c>
      <c r="G1808" s="14">
        <f t="shared" si="1"/>
        <v>18</v>
      </c>
      <c r="H1808" s="23" t="s">
        <v>100</v>
      </c>
      <c r="I1808" s="24" t="s">
        <v>27</v>
      </c>
      <c r="J1808" s="19" t="s">
        <v>146</v>
      </c>
      <c r="K1808" s="14">
        <v>7.0</v>
      </c>
      <c r="L1808" s="14">
        <v>0.0</v>
      </c>
      <c r="M1808" s="25"/>
      <c r="N1808" s="26" t="s">
        <v>21</v>
      </c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</row>
    <row r="1809">
      <c r="A1809" s="14" t="s">
        <v>6659</v>
      </c>
      <c r="B1809" s="17" t="s">
        <v>6654</v>
      </c>
      <c r="C1809" s="17" t="s">
        <v>6660</v>
      </c>
      <c r="D1809" s="19" t="s">
        <v>6661</v>
      </c>
      <c r="E1809" s="20" t="s">
        <v>53</v>
      </c>
      <c r="F1809" s="21">
        <v>32413.0</v>
      </c>
      <c r="G1809" s="14">
        <f t="shared" si="1"/>
        <v>38</v>
      </c>
      <c r="H1809" s="23" t="s">
        <v>26</v>
      </c>
      <c r="I1809" s="24" t="s">
        <v>27</v>
      </c>
      <c r="J1809" s="19" t="s">
        <v>146</v>
      </c>
      <c r="K1809" s="14">
        <v>7.0</v>
      </c>
      <c r="L1809" s="14">
        <v>0.0</v>
      </c>
      <c r="M1809" s="25"/>
      <c r="N1809" s="26" t="s">
        <v>21</v>
      </c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</row>
    <row r="1810">
      <c r="A1810" s="14" t="s">
        <v>6662</v>
      </c>
      <c r="B1810" s="17" t="s">
        <v>6663</v>
      </c>
      <c r="C1810" s="17" t="s">
        <v>6664</v>
      </c>
      <c r="D1810" s="19" t="s">
        <v>6665</v>
      </c>
      <c r="E1810" s="20" t="s">
        <v>104</v>
      </c>
      <c r="F1810" s="27">
        <v>30998.0</v>
      </c>
      <c r="G1810" s="14">
        <f t="shared" si="1"/>
        <v>41</v>
      </c>
      <c r="H1810" s="23" t="s">
        <v>27</v>
      </c>
      <c r="I1810" s="24" t="s">
        <v>27</v>
      </c>
      <c r="J1810" s="19" t="s">
        <v>362</v>
      </c>
      <c r="K1810" s="14">
        <v>23.0</v>
      </c>
      <c r="L1810" s="14">
        <v>0.0</v>
      </c>
      <c r="M1810" s="25"/>
      <c r="N1810" s="26" t="s">
        <v>21</v>
      </c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</row>
    <row r="1811">
      <c r="A1811" s="14" t="s">
        <v>6666</v>
      </c>
      <c r="B1811" s="17" t="s">
        <v>6663</v>
      </c>
      <c r="C1811" s="17" t="s">
        <v>6667</v>
      </c>
      <c r="D1811" s="19" t="s">
        <v>6668</v>
      </c>
      <c r="E1811" s="20" t="s">
        <v>5570</v>
      </c>
      <c r="F1811" s="21">
        <v>37479.0</v>
      </c>
      <c r="G1811" s="14">
        <f t="shared" si="1"/>
        <v>24</v>
      </c>
      <c r="H1811" s="23" t="s">
        <v>100</v>
      </c>
      <c r="I1811" s="24" t="s">
        <v>33</v>
      </c>
      <c r="J1811" s="19" t="s">
        <v>362</v>
      </c>
      <c r="K1811" s="14">
        <v>23.0</v>
      </c>
      <c r="L1811" s="14">
        <v>0.0</v>
      </c>
      <c r="M1811" s="25"/>
      <c r="N1811" s="26" t="s">
        <v>21</v>
      </c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</row>
    <row r="1812">
      <c r="A1812" s="14" t="s">
        <v>6669</v>
      </c>
      <c r="B1812" s="17" t="s">
        <v>6670</v>
      </c>
      <c r="C1812" s="17" t="s">
        <v>6671</v>
      </c>
      <c r="D1812" s="19" t="s">
        <v>6672</v>
      </c>
      <c r="E1812" s="20" t="s">
        <v>1291</v>
      </c>
      <c r="F1812" s="21">
        <v>18237.0</v>
      </c>
      <c r="G1812" s="14">
        <f t="shared" si="1"/>
        <v>76</v>
      </c>
      <c r="H1812" s="23" t="s">
        <v>27</v>
      </c>
      <c r="I1812" s="24" t="s">
        <v>33</v>
      </c>
      <c r="J1812" s="19" t="s">
        <v>53</v>
      </c>
      <c r="K1812" s="14">
        <v>20.0</v>
      </c>
      <c r="L1812" s="14">
        <v>1.0</v>
      </c>
      <c r="M1812" s="25"/>
      <c r="N1812" s="26" t="s">
        <v>21</v>
      </c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</row>
    <row r="1813">
      <c r="A1813" s="14" t="s">
        <v>6673</v>
      </c>
      <c r="B1813" s="17" t="s">
        <v>6670</v>
      </c>
      <c r="C1813" s="17" t="s">
        <v>6674</v>
      </c>
      <c r="D1813" s="19" t="s">
        <v>6675</v>
      </c>
      <c r="E1813" s="20" t="s">
        <v>104</v>
      </c>
      <c r="F1813" s="21">
        <v>28769.0</v>
      </c>
      <c r="G1813" s="14">
        <f t="shared" si="1"/>
        <v>48</v>
      </c>
      <c r="H1813" s="23" t="s">
        <v>26</v>
      </c>
      <c r="I1813" s="24" t="s">
        <v>33</v>
      </c>
      <c r="J1813" s="19" t="s">
        <v>53</v>
      </c>
      <c r="K1813" s="14">
        <v>20.0</v>
      </c>
      <c r="L1813" s="14">
        <v>0.0</v>
      </c>
      <c r="M1813" s="25"/>
      <c r="N1813" s="26" t="s">
        <v>21</v>
      </c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</row>
    <row r="1814">
      <c r="A1814" s="14" t="s">
        <v>6676</v>
      </c>
      <c r="B1814" s="17" t="s">
        <v>6670</v>
      </c>
      <c r="C1814" s="17" t="s">
        <v>6677</v>
      </c>
      <c r="D1814" s="19" t="s">
        <v>6678</v>
      </c>
      <c r="E1814" s="20" t="s">
        <v>104</v>
      </c>
      <c r="F1814" s="21">
        <v>32644.0</v>
      </c>
      <c r="G1814" s="14">
        <f t="shared" si="1"/>
        <v>37</v>
      </c>
      <c r="H1814" s="23" t="s">
        <v>26</v>
      </c>
      <c r="I1814" s="24" t="s">
        <v>27</v>
      </c>
      <c r="J1814" s="19" t="s">
        <v>53</v>
      </c>
      <c r="K1814" s="14">
        <v>20.0</v>
      </c>
      <c r="L1814" s="14">
        <v>0.0</v>
      </c>
      <c r="M1814" s="25"/>
      <c r="N1814" s="26" t="s">
        <v>21</v>
      </c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</row>
    <row r="1815">
      <c r="A1815" s="14" t="s">
        <v>6679</v>
      </c>
      <c r="B1815" s="17" t="s">
        <v>6680</v>
      </c>
      <c r="C1815" s="17" t="s">
        <v>6681</v>
      </c>
      <c r="D1815" s="19" t="s">
        <v>6682</v>
      </c>
      <c r="E1815" s="20" t="s">
        <v>53</v>
      </c>
      <c r="F1815" s="21">
        <v>39171.0</v>
      </c>
      <c r="G1815" s="14">
        <f t="shared" si="1"/>
        <v>19</v>
      </c>
      <c r="H1815" s="23" t="s">
        <v>100</v>
      </c>
      <c r="I1815" s="24" t="s">
        <v>33</v>
      </c>
      <c r="J1815" s="19" t="s">
        <v>53</v>
      </c>
      <c r="K1815" s="14">
        <v>22.0</v>
      </c>
      <c r="L1815" s="14">
        <v>0.0</v>
      </c>
      <c r="M1815" s="25"/>
      <c r="N1815" s="26" t="s">
        <v>21</v>
      </c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</row>
    <row r="1816">
      <c r="A1816" s="14" t="s">
        <v>6683</v>
      </c>
      <c r="B1816" s="17" t="s">
        <v>6680</v>
      </c>
      <c r="C1816" s="17" t="s">
        <v>6684</v>
      </c>
      <c r="D1816" s="19" t="s">
        <v>6685</v>
      </c>
      <c r="E1816" s="20" t="s">
        <v>53</v>
      </c>
      <c r="F1816" s="27">
        <v>32861.0</v>
      </c>
      <c r="G1816" s="14">
        <f t="shared" si="1"/>
        <v>36</v>
      </c>
      <c r="H1816" s="23" t="s">
        <v>26</v>
      </c>
      <c r="I1816" s="24" t="s">
        <v>27</v>
      </c>
      <c r="J1816" s="19" t="s">
        <v>53</v>
      </c>
      <c r="K1816" s="14">
        <v>22.0</v>
      </c>
      <c r="L1816" s="14">
        <v>0.0</v>
      </c>
      <c r="M1816" s="25"/>
      <c r="N1816" s="26" t="s">
        <v>21</v>
      </c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</row>
    <row r="1817">
      <c r="A1817" s="14" t="s">
        <v>6686</v>
      </c>
      <c r="B1817" s="17" t="s">
        <v>6680</v>
      </c>
      <c r="C1817" s="17" t="s">
        <v>6687</v>
      </c>
      <c r="D1817" s="19" t="s">
        <v>6688</v>
      </c>
      <c r="E1817" s="20" t="s">
        <v>1095</v>
      </c>
      <c r="F1817" s="21">
        <v>30652.0</v>
      </c>
      <c r="G1817" s="14">
        <f t="shared" si="1"/>
        <v>42</v>
      </c>
      <c r="H1817" s="23" t="s">
        <v>26</v>
      </c>
      <c r="I1817" s="24" t="s">
        <v>33</v>
      </c>
      <c r="J1817" s="19" t="s">
        <v>53</v>
      </c>
      <c r="K1817" s="14">
        <v>22.0</v>
      </c>
      <c r="L1817" s="14">
        <v>0.0</v>
      </c>
      <c r="M1817" s="25"/>
      <c r="N1817" s="26" t="s">
        <v>21</v>
      </c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</row>
    <row r="1818">
      <c r="A1818" s="14" t="s">
        <v>6689</v>
      </c>
      <c r="B1818" s="17" t="s">
        <v>6690</v>
      </c>
      <c r="C1818" s="17" t="s">
        <v>6691</v>
      </c>
      <c r="D1818" s="19" t="s">
        <v>6692</v>
      </c>
      <c r="E1818" s="20" t="s">
        <v>6693</v>
      </c>
      <c r="F1818" s="27">
        <v>24025.0</v>
      </c>
      <c r="G1818" s="14">
        <f t="shared" si="1"/>
        <v>61</v>
      </c>
      <c r="H1818" s="23" t="s">
        <v>26</v>
      </c>
      <c r="I1818" s="24" t="s">
        <v>33</v>
      </c>
      <c r="J1818" s="19" t="s">
        <v>104</v>
      </c>
      <c r="K1818" s="14">
        <v>21.0</v>
      </c>
      <c r="L1818" s="14">
        <v>0.0</v>
      </c>
      <c r="M1818" s="25"/>
      <c r="N1818" s="26" t="s">
        <v>21</v>
      </c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</row>
    <row r="1819">
      <c r="A1819" s="14" t="s">
        <v>6694</v>
      </c>
      <c r="B1819" s="17" t="s">
        <v>7317</v>
      </c>
      <c r="C1819" s="17" t="s">
        <v>6695</v>
      </c>
      <c r="D1819" s="19" t="s">
        <v>6696</v>
      </c>
      <c r="E1819" s="20" t="s">
        <v>53</v>
      </c>
      <c r="F1819" s="21">
        <v>34647.0</v>
      </c>
      <c r="G1819" s="14">
        <f t="shared" si="1"/>
        <v>31</v>
      </c>
      <c r="H1819" s="23" t="s">
        <v>100</v>
      </c>
      <c r="I1819" s="24" t="s">
        <v>33</v>
      </c>
      <c r="J1819" s="19" t="s">
        <v>104</v>
      </c>
      <c r="K1819" s="14">
        <v>21.0</v>
      </c>
      <c r="L1819" s="14">
        <v>7.0</v>
      </c>
      <c r="M1819" s="25"/>
      <c r="N1819" s="26" t="s">
        <v>21</v>
      </c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</row>
    <row r="1820">
      <c r="A1820" s="14" t="s">
        <v>6697</v>
      </c>
      <c r="B1820" s="17" t="s">
        <v>6690</v>
      </c>
      <c r="C1820" s="17" t="s">
        <v>6698</v>
      </c>
      <c r="D1820" s="19" t="s">
        <v>6699</v>
      </c>
      <c r="E1820" s="20" t="s">
        <v>6693</v>
      </c>
      <c r="F1820" s="21">
        <v>25725.0</v>
      </c>
      <c r="G1820" s="14">
        <f t="shared" si="1"/>
        <v>56</v>
      </c>
      <c r="H1820" s="23" t="s">
        <v>26</v>
      </c>
      <c r="I1820" s="24" t="s">
        <v>27</v>
      </c>
      <c r="J1820" s="19" t="s">
        <v>104</v>
      </c>
      <c r="K1820" s="14">
        <v>21.0</v>
      </c>
      <c r="L1820" s="14">
        <v>0.0</v>
      </c>
      <c r="M1820" s="25"/>
      <c r="N1820" s="26" t="s">
        <v>21</v>
      </c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</row>
    <row r="1821">
      <c r="A1821" s="14" t="s">
        <v>6700</v>
      </c>
      <c r="B1821" s="17" t="s">
        <v>6701</v>
      </c>
      <c r="C1821" s="17" t="s">
        <v>6702</v>
      </c>
      <c r="D1821" s="19" t="s">
        <v>6703</v>
      </c>
      <c r="E1821" s="20" t="s">
        <v>53</v>
      </c>
      <c r="F1821" s="21">
        <v>38609.0</v>
      </c>
      <c r="G1821" s="14">
        <f t="shared" si="1"/>
        <v>21</v>
      </c>
      <c r="H1821" s="23" t="s">
        <v>100</v>
      </c>
      <c r="I1821" s="24" t="s">
        <v>33</v>
      </c>
      <c r="J1821" s="19" t="s">
        <v>362</v>
      </c>
      <c r="K1821" s="14">
        <v>22.0</v>
      </c>
      <c r="L1821" s="14">
        <v>0.0</v>
      </c>
      <c r="M1821" s="25"/>
      <c r="N1821" s="26" t="s">
        <v>21</v>
      </c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</row>
    <row r="1822">
      <c r="A1822" s="14" t="s">
        <v>6704</v>
      </c>
      <c r="B1822" s="17" t="s">
        <v>6701</v>
      </c>
      <c r="C1822" s="17" t="s">
        <v>6705</v>
      </c>
      <c r="D1822" s="19" t="s">
        <v>6706</v>
      </c>
      <c r="E1822" s="20" t="s">
        <v>53</v>
      </c>
      <c r="F1822" s="21">
        <v>32558.0</v>
      </c>
      <c r="G1822" s="14">
        <f t="shared" si="1"/>
        <v>37</v>
      </c>
      <c r="H1822" s="23" t="s">
        <v>26</v>
      </c>
      <c r="I1822" s="24" t="s">
        <v>27</v>
      </c>
      <c r="J1822" s="19" t="s">
        <v>362</v>
      </c>
      <c r="K1822" s="14">
        <v>22.0</v>
      </c>
      <c r="L1822" s="14">
        <v>0.0</v>
      </c>
      <c r="M1822" s="25"/>
      <c r="N1822" s="26" t="s">
        <v>21</v>
      </c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</row>
    <row r="1823">
      <c r="A1823" s="14" t="s">
        <v>6707</v>
      </c>
      <c r="B1823" s="17" t="s">
        <v>6701</v>
      </c>
      <c r="C1823" s="17" t="s">
        <v>6708</v>
      </c>
      <c r="D1823" s="19" t="s">
        <v>5133</v>
      </c>
      <c r="E1823" s="20" t="s">
        <v>880</v>
      </c>
      <c r="F1823" s="27">
        <v>30599.0</v>
      </c>
      <c r="G1823" s="14">
        <f t="shared" si="1"/>
        <v>43</v>
      </c>
      <c r="H1823" s="23" t="s">
        <v>26</v>
      </c>
      <c r="I1823" s="24" t="s">
        <v>33</v>
      </c>
      <c r="J1823" s="19" t="s">
        <v>362</v>
      </c>
      <c r="K1823" s="14">
        <v>22.0</v>
      </c>
      <c r="L1823" s="14">
        <v>0.0</v>
      </c>
      <c r="M1823" s="25"/>
      <c r="N1823" s="26" t="s">
        <v>21</v>
      </c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</row>
    <row r="1824">
      <c r="A1824" s="14" t="s">
        <v>6709</v>
      </c>
      <c r="B1824" s="17" t="s">
        <v>6710</v>
      </c>
      <c r="C1824" s="17" t="s">
        <v>6711</v>
      </c>
      <c r="D1824" s="19" t="s">
        <v>6712</v>
      </c>
      <c r="E1824" s="20" t="s">
        <v>2680</v>
      </c>
      <c r="F1824" s="21">
        <v>38201.0</v>
      </c>
      <c r="G1824" s="14">
        <f t="shared" si="1"/>
        <v>22</v>
      </c>
      <c r="H1824" s="23" t="s">
        <v>100</v>
      </c>
      <c r="I1824" s="24" t="s">
        <v>27</v>
      </c>
      <c r="J1824" s="19" t="s">
        <v>104</v>
      </c>
      <c r="K1824" s="14">
        <v>20.0</v>
      </c>
      <c r="L1824" s="14">
        <v>0.0</v>
      </c>
      <c r="M1824" s="25"/>
      <c r="N1824" s="26" t="s">
        <v>21</v>
      </c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</row>
    <row r="1825">
      <c r="A1825" s="14" t="s">
        <v>6713</v>
      </c>
      <c r="B1825" s="17" t="s">
        <v>6710</v>
      </c>
      <c r="C1825" s="17" t="s">
        <v>6714</v>
      </c>
      <c r="D1825" s="19" t="s">
        <v>6715</v>
      </c>
      <c r="E1825" s="20" t="s">
        <v>104</v>
      </c>
      <c r="F1825" s="21">
        <v>29083.0</v>
      </c>
      <c r="G1825" s="14">
        <f t="shared" si="1"/>
        <v>47</v>
      </c>
      <c r="H1825" s="23" t="s">
        <v>26</v>
      </c>
      <c r="I1825" s="24" t="s">
        <v>33</v>
      </c>
      <c r="J1825" s="19" t="s">
        <v>104</v>
      </c>
      <c r="K1825" s="14">
        <v>20.0</v>
      </c>
      <c r="L1825" s="14">
        <v>0.0</v>
      </c>
      <c r="M1825" s="25"/>
      <c r="N1825" s="26" t="s">
        <v>21</v>
      </c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</row>
    <row r="1826">
      <c r="A1826" s="14" t="s">
        <v>6716</v>
      </c>
      <c r="B1826" s="17" t="s">
        <v>6710</v>
      </c>
      <c r="C1826" s="17" t="s">
        <v>6717</v>
      </c>
      <c r="D1826" s="19" t="s">
        <v>6718</v>
      </c>
      <c r="E1826" s="20" t="s">
        <v>2680</v>
      </c>
      <c r="F1826" s="21">
        <v>30472.0</v>
      </c>
      <c r="G1826" s="14">
        <f t="shared" si="1"/>
        <v>43</v>
      </c>
      <c r="H1826" s="23" t="s">
        <v>26</v>
      </c>
      <c r="I1826" s="24" t="s">
        <v>27</v>
      </c>
      <c r="J1826" s="19" t="s">
        <v>104</v>
      </c>
      <c r="K1826" s="14">
        <v>20.0</v>
      </c>
      <c r="L1826" s="14">
        <v>0.0</v>
      </c>
      <c r="M1826" s="25"/>
      <c r="N1826" s="26" t="s">
        <v>21</v>
      </c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</row>
    <row r="1827">
      <c r="A1827" s="14" t="s">
        <v>6719</v>
      </c>
      <c r="B1827" s="17" t="s">
        <v>6720</v>
      </c>
      <c r="C1827" s="17" t="s">
        <v>6721</v>
      </c>
      <c r="D1827" s="19" t="s">
        <v>6722</v>
      </c>
      <c r="E1827" s="20" t="s">
        <v>53</v>
      </c>
      <c r="F1827" s="21">
        <v>37160.0</v>
      </c>
      <c r="G1827" s="14">
        <f t="shared" si="1"/>
        <v>25</v>
      </c>
      <c r="H1827" s="23" t="s">
        <v>100</v>
      </c>
      <c r="I1827" s="24" t="s">
        <v>27</v>
      </c>
      <c r="J1827" s="19" t="s">
        <v>517</v>
      </c>
      <c r="K1827" s="14">
        <v>5.0</v>
      </c>
      <c r="L1827" s="14">
        <v>0.0</v>
      </c>
      <c r="M1827" s="25"/>
      <c r="N1827" s="26" t="s">
        <v>21</v>
      </c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</row>
    <row r="1828">
      <c r="A1828" s="14" t="s">
        <v>6723</v>
      </c>
      <c r="B1828" s="17" t="s">
        <v>6720</v>
      </c>
      <c r="C1828" s="17" t="s">
        <v>6724</v>
      </c>
      <c r="D1828" s="19" t="s">
        <v>6725</v>
      </c>
      <c r="E1828" s="20" t="s">
        <v>337</v>
      </c>
      <c r="F1828" s="21">
        <v>36557.0</v>
      </c>
      <c r="G1828" s="14">
        <f t="shared" si="1"/>
        <v>26</v>
      </c>
      <c r="H1828" s="23" t="s">
        <v>100</v>
      </c>
      <c r="I1828" s="24" t="s">
        <v>27</v>
      </c>
      <c r="J1828" s="19" t="s">
        <v>517</v>
      </c>
      <c r="K1828" s="14">
        <v>5.0</v>
      </c>
      <c r="L1828" s="14">
        <v>0.0</v>
      </c>
      <c r="M1828" s="25"/>
      <c r="N1828" s="26" t="s">
        <v>21</v>
      </c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</row>
    <row r="1829">
      <c r="A1829" s="14" t="s">
        <v>6726</v>
      </c>
      <c r="B1829" s="17" t="s">
        <v>6720</v>
      </c>
      <c r="C1829" s="17" t="s">
        <v>6727</v>
      </c>
      <c r="D1829" s="19" t="s">
        <v>6728</v>
      </c>
      <c r="E1829" s="20" t="s">
        <v>210</v>
      </c>
      <c r="F1829" s="21">
        <v>29850.0</v>
      </c>
      <c r="G1829" s="14">
        <f t="shared" si="1"/>
        <v>45</v>
      </c>
      <c r="H1829" s="23" t="s">
        <v>26</v>
      </c>
      <c r="I1829" s="24" t="s">
        <v>27</v>
      </c>
      <c r="J1829" s="19" t="s">
        <v>517</v>
      </c>
      <c r="K1829" s="14">
        <v>5.0</v>
      </c>
      <c r="L1829" s="14">
        <v>0.0</v>
      </c>
      <c r="M1829" s="25"/>
      <c r="N1829" s="26" t="s">
        <v>21</v>
      </c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</row>
    <row r="1830">
      <c r="A1830" s="14" t="s">
        <v>6729</v>
      </c>
      <c r="B1830" s="17" t="s">
        <v>6720</v>
      </c>
      <c r="C1830" s="17" t="s">
        <v>6730</v>
      </c>
      <c r="D1830" s="19" t="s">
        <v>6731</v>
      </c>
      <c r="E1830" s="20" t="s">
        <v>650</v>
      </c>
      <c r="F1830" s="27">
        <v>26251.0</v>
      </c>
      <c r="G1830" s="14">
        <f t="shared" si="1"/>
        <v>54</v>
      </c>
      <c r="H1830" s="23" t="s">
        <v>26</v>
      </c>
      <c r="I1830" s="24" t="s">
        <v>33</v>
      </c>
      <c r="J1830" s="19" t="s">
        <v>517</v>
      </c>
      <c r="K1830" s="14">
        <v>5.0</v>
      </c>
      <c r="L1830" s="14">
        <v>0.0</v>
      </c>
      <c r="M1830" s="25"/>
      <c r="N1830" s="26" t="s">
        <v>21</v>
      </c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</row>
    <row r="1831">
      <c r="A1831" s="14" t="s">
        <v>6732</v>
      </c>
      <c r="B1831" s="17" t="s">
        <v>6733</v>
      </c>
      <c r="C1831" s="17" t="s">
        <v>6734</v>
      </c>
      <c r="D1831" s="19" t="s">
        <v>6735</v>
      </c>
      <c r="E1831" s="20" t="s">
        <v>53</v>
      </c>
      <c r="F1831" s="21">
        <v>28867.0</v>
      </c>
      <c r="G1831" s="14">
        <f t="shared" si="1"/>
        <v>47</v>
      </c>
      <c r="H1831" s="23" t="s">
        <v>26</v>
      </c>
      <c r="I1831" s="24" t="s">
        <v>33</v>
      </c>
      <c r="J1831" s="19" t="s">
        <v>206</v>
      </c>
      <c r="K1831" s="14">
        <v>10.0</v>
      </c>
      <c r="L1831" s="14">
        <v>0.0</v>
      </c>
      <c r="M1831" s="25"/>
      <c r="N1831" s="26" t="s">
        <v>21</v>
      </c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</row>
    <row r="1832">
      <c r="A1832" s="14" t="s">
        <v>6736</v>
      </c>
      <c r="B1832" s="17" t="s">
        <v>6733</v>
      </c>
      <c r="C1832" s="17" t="s">
        <v>6737</v>
      </c>
      <c r="D1832" s="19" t="s">
        <v>4516</v>
      </c>
      <c r="E1832" s="20" t="s">
        <v>6269</v>
      </c>
      <c r="F1832" s="21">
        <v>30348.0</v>
      </c>
      <c r="G1832" s="14">
        <f t="shared" si="1"/>
        <v>43</v>
      </c>
      <c r="H1832" s="23" t="s">
        <v>26</v>
      </c>
      <c r="I1832" s="24" t="s">
        <v>27</v>
      </c>
      <c r="J1832" s="19" t="s">
        <v>206</v>
      </c>
      <c r="K1832" s="14">
        <v>10.0</v>
      </c>
      <c r="L1832" s="14">
        <v>0.0</v>
      </c>
      <c r="M1832" s="25"/>
      <c r="N1832" s="26" t="s">
        <v>21</v>
      </c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</row>
    <row r="1833">
      <c r="A1833" s="14" t="s">
        <v>6739</v>
      </c>
      <c r="B1833" s="17" t="s">
        <v>6740</v>
      </c>
      <c r="C1833" s="17" t="s">
        <v>6741</v>
      </c>
      <c r="D1833" s="19" t="s">
        <v>6742</v>
      </c>
      <c r="E1833" s="20" t="s">
        <v>2583</v>
      </c>
      <c r="F1833" s="21">
        <v>29810.0</v>
      </c>
      <c r="G1833" s="14">
        <f t="shared" si="1"/>
        <v>45</v>
      </c>
      <c r="H1833" s="23" t="s">
        <v>26</v>
      </c>
      <c r="I1833" s="24" t="s">
        <v>27</v>
      </c>
      <c r="J1833" s="19" t="s">
        <v>104</v>
      </c>
      <c r="K1833" s="14">
        <v>23.0</v>
      </c>
      <c r="L1833" s="14">
        <v>0.0</v>
      </c>
      <c r="M1833" s="25"/>
      <c r="N1833" s="26" t="s">
        <v>21</v>
      </c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</row>
    <row r="1834">
      <c r="A1834" s="14" t="s">
        <v>6743</v>
      </c>
      <c r="B1834" s="17" t="s">
        <v>6740</v>
      </c>
      <c r="C1834" s="17" t="s">
        <v>6744</v>
      </c>
      <c r="D1834" s="19" t="s">
        <v>6745</v>
      </c>
      <c r="E1834" s="20" t="s">
        <v>53</v>
      </c>
      <c r="F1834" s="21">
        <v>37471.0</v>
      </c>
      <c r="G1834" s="14">
        <f t="shared" si="1"/>
        <v>24</v>
      </c>
      <c r="H1834" s="23" t="s">
        <v>100</v>
      </c>
      <c r="I1834" s="24" t="s">
        <v>27</v>
      </c>
      <c r="J1834" s="19" t="s">
        <v>104</v>
      </c>
      <c r="K1834" s="14">
        <v>23.0</v>
      </c>
      <c r="L1834" s="14">
        <v>7.0</v>
      </c>
      <c r="M1834" s="28" t="s">
        <v>7393</v>
      </c>
      <c r="N1834" s="26" t="s">
        <v>21</v>
      </c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</row>
    <row r="1835">
      <c r="A1835" s="14" t="s">
        <v>6746</v>
      </c>
      <c r="B1835" s="17" t="s">
        <v>6740</v>
      </c>
      <c r="C1835" s="17" t="s">
        <v>6747</v>
      </c>
      <c r="D1835" s="19" t="s">
        <v>6748</v>
      </c>
      <c r="E1835" s="20" t="s">
        <v>372</v>
      </c>
      <c r="F1835" s="21">
        <v>29953.0</v>
      </c>
      <c r="G1835" s="14">
        <f t="shared" si="1"/>
        <v>44</v>
      </c>
      <c r="H1835" s="23" t="s">
        <v>26</v>
      </c>
      <c r="I1835" s="24" t="s">
        <v>33</v>
      </c>
      <c r="J1835" s="19" t="s">
        <v>104</v>
      </c>
      <c r="K1835" s="14">
        <v>23.0</v>
      </c>
      <c r="L1835" s="14">
        <v>5.0</v>
      </c>
      <c r="M1835" s="25"/>
      <c r="N1835" s="26" t="s">
        <v>21</v>
      </c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</row>
    <row r="1836">
      <c r="A1836" s="14" t="s">
        <v>6749</v>
      </c>
      <c r="B1836" s="17" t="s">
        <v>6750</v>
      </c>
      <c r="C1836" s="17" t="s">
        <v>6751</v>
      </c>
      <c r="D1836" s="19" t="s">
        <v>6752</v>
      </c>
      <c r="E1836" s="20" t="s">
        <v>104</v>
      </c>
      <c r="F1836" s="21">
        <v>33393.0</v>
      </c>
      <c r="G1836" s="14">
        <f t="shared" si="1"/>
        <v>35</v>
      </c>
      <c r="H1836" s="23" t="s">
        <v>26</v>
      </c>
      <c r="I1836" s="24" t="s">
        <v>33</v>
      </c>
      <c r="J1836" s="19" t="s">
        <v>783</v>
      </c>
      <c r="K1836" s="14">
        <v>26.0</v>
      </c>
      <c r="L1836" s="14">
        <v>0.0</v>
      </c>
      <c r="M1836" s="25"/>
      <c r="N1836" s="26" t="s">
        <v>21</v>
      </c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</row>
    <row r="1837">
      <c r="A1837" s="14" t="s">
        <v>6753</v>
      </c>
      <c r="B1837" s="17" t="s">
        <v>6750</v>
      </c>
      <c r="C1837" s="17" t="s">
        <v>6754</v>
      </c>
      <c r="D1837" s="19" t="s">
        <v>6755</v>
      </c>
      <c r="E1837" s="20" t="s">
        <v>138</v>
      </c>
      <c r="F1837" s="21">
        <v>36371.0</v>
      </c>
      <c r="G1837" s="14">
        <f t="shared" si="1"/>
        <v>27</v>
      </c>
      <c r="H1837" s="23" t="s">
        <v>26</v>
      </c>
      <c r="I1837" s="24" t="s">
        <v>27</v>
      </c>
      <c r="J1837" s="19" t="s">
        <v>783</v>
      </c>
      <c r="K1837" s="14">
        <v>26.0</v>
      </c>
      <c r="L1837" s="14">
        <v>0.0</v>
      </c>
      <c r="M1837" s="25"/>
      <c r="N1837" s="26" t="s">
        <v>21</v>
      </c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</row>
    <row r="1838">
      <c r="A1838" s="14" t="s">
        <v>6756</v>
      </c>
      <c r="B1838" s="17" t="s">
        <v>6757</v>
      </c>
      <c r="C1838" s="17" t="s">
        <v>6758</v>
      </c>
      <c r="D1838" s="19" t="s">
        <v>6759</v>
      </c>
      <c r="E1838" s="20" t="s">
        <v>210</v>
      </c>
      <c r="F1838" s="21">
        <v>36342.0</v>
      </c>
      <c r="G1838" s="14">
        <f t="shared" si="1"/>
        <v>27</v>
      </c>
      <c r="H1838" s="23" t="s">
        <v>100</v>
      </c>
      <c r="I1838" s="24" t="s">
        <v>27</v>
      </c>
      <c r="J1838" s="19" t="s">
        <v>472</v>
      </c>
      <c r="K1838" s="14">
        <v>27.0</v>
      </c>
      <c r="L1838" s="14">
        <v>0.0</v>
      </c>
      <c r="M1838" s="25"/>
      <c r="N1838" s="26" t="s">
        <v>21</v>
      </c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</row>
    <row r="1839">
      <c r="A1839" s="14" t="s">
        <v>6760</v>
      </c>
      <c r="B1839" s="17" t="s">
        <v>6757</v>
      </c>
      <c r="C1839" s="17" t="s">
        <v>6761</v>
      </c>
      <c r="D1839" s="19" t="s">
        <v>6762</v>
      </c>
      <c r="E1839" s="20" t="s">
        <v>53</v>
      </c>
      <c r="F1839" s="21">
        <v>38378.0</v>
      </c>
      <c r="G1839" s="14">
        <f t="shared" si="1"/>
        <v>21</v>
      </c>
      <c r="H1839" s="23" t="s">
        <v>100</v>
      </c>
      <c r="I1839" s="24" t="s">
        <v>27</v>
      </c>
      <c r="J1839" s="19" t="s">
        <v>472</v>
      </c>
      <c r="K1839" s="14">
        <v>27.0</v>
      </c>
      <c r="L1839" s="14">
        <v>0.0</v>
      </c>
      <c r="M1839" s="25"/>
      <c r="N1839" s="26" t="s">
        <v>21</v>
      </c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</row>
    <row r="1840">
      <c r="A1840" s="14" t="s">
        <v>6763</v>
      </c>
      <c r="B1840" s="17" t="s">
        <v>6757</v>
      </c>
      <c r="C1840" s="17" t="s">
        <v>6764</v>
      </c>
      <c r="D1840" s="19" t="s">
        <v>6765</v>
      </c>
      <c r="E1840" s="20" t="s">
        <v>210</v>
      </c>
      <c r="F1840" s="21">
        <v>26470.0</v>
      </c>
      <c r="G1840" s="14">
        <f t="shared" si="1"/>
        <v>54</v>
      </c>
      <c r="H1840" s="23" t="s">
        <v>26</v>
      </c>
      <c r="I1840" s="24" t="s">
        <v>33</v>
      </c>
      <c r="J1840" s="19" t="s">
        <v>472</v>
      </c>
      <c r="K1840" s="14">
        <v>27.0</v>
      </c>
      <c r="L1840" s="14">
        <v>0.0</v>
      </c>
      <c r="M1840" s="25"/>
      <c r="N1840" s="26" t="s">
        <v>21</v>
      </c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</row>
    <row r="1841">
      <c r="A1841" s="14" t="s">
        <v>6766</v>
      </c>
      <c r="B1841" s="17" t="s">
        <v>6757</v>
      </c>
      <c r="C1841" s="17" t="s">
        <v>6767</v>
      </c>
      <c r="D1841" s="19" t="s">
        <v>6768</v>
      </c>
      <c r="E1841" s="20" t="s">
        <v>2038</v>
      </c>
      <c r="F1841" s="21">
        <v>29095.0</v>
      </c>
      <c r="G1841" s="14">
        <f t="shared" si="1"/>
        <v>47</v>
      </c>
      <c r="H1841" s="23" t="s">
        <v>26</v>
      </c>
      <c r="I1841" s="24" t="s">
        <v>27</v>
      </c>
      <c r="J1841" s="19" t="s">
        <v>472</v>
      </c>
      <c r="K1841" s="14">
        <v>27.0</v>
      </c>
      <c r="L1841" s="14">
        <v>0.0</v>
      </c>
      <c r="M1841" s="25"/>
      <c r="N1841" s="26" t="s">
        <v>21</v>
      </c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</row>
    <row r="1842">
      <c r="A1842" s="14" t="s">
        <v>6769</v>
      </c>
      <c r="B1842" s="17" t="s">
        <v>6770</v>
      </c>
      <c r="C1842" s="17" t="s">
        <v>6771</v>
      </c>
      <c r="D1842" s="19" t="s">
        <v>6772</v>
      </c>
      <c r="E1842" s="20" t="s">
        <v>536</v>
      </c>
      <c r="F1842" s="27">
        <v>33532.0</v>
      </c>
      <c r="G1842" s="14">
        <f t="shared" si="1"/>
        <v>35</v>
      </c>
      <c r="H1842" s="23" t="s">
        <v>26</v>
      </c>
      <c r="I1842" s="24" t="s">
        <v>33</v>
      </c>
      <c r="J1842" s="19" t="s">
        <v>989</v>
      </c>
      <c r="K1842" s="14">
        <v>18.0</v>
      </c>
      <c r="L1842" s="14">
        <v>0.0</v>
      </c>
      <c r="M1842" s="25"/>
      <c r="N1842" s="26" t="s">
        <v>21</v>
      </c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</row>
    <row r="1843">
      <c r="A1843" s="14" t="s">
        <v>6773</v>
      </c>
      <c r="B1843" s="17" t="s">
        <v>6770</v>
      </c>
      <c r="C1843" s="17" t="s">
        <v>6774</v>
      </c>
      <c r="D1843" s="19" t="s">
        <v>6775</v>
      </c>
      <c r="E1843" s="20" t="s">
        <v>337</v>
      </c>
      <c r="F1843" s="21">
        <v>34101.0</v>
      </c>
      <c r="G1843" s="14">
        <f t="shared" si="1"/>
        <v>33</v>
      </c>
      <c r="H1843" s="23" t="s">
        <v>26</v>
      </c>
      <c r="I1843" s="24" t="s">
        <v>27</v>
      </c>
      <c r="J1843" s="19" t="s">
        <v>989</v>
      </c>
      <c r="K1843" s="14">
        <v>18.0</v>
      </c>
      <c r="L1843" s="14">
        <v>0.0</v>
      </c>
      <c r="M1843" s="25"/>
      <c r="N1843" s="26" t="s">
        <v>21</v>
      </c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</row>
    <row r="1844">
      <c r="A1844" s="14" t="s">
        <v>6776</v>
      </c>
      <c r="B1844" s="17" t="s">
        <v>6777</v>
      </c>
      <c r="C1844" s="17" t="s">
        <v>6778</v>
      </c>
      <c r="D1844" s="19" t="s">
        <v>6779</v>
      </c>
      <c r="E1844" s="20" t="s">
        <v>274</v>
      </c>
      <c r="F1844" s="21">
        <v>35119.0</v>
      </c>
      <c r="G1844" s="14">
        <f t="shared" si="1"/>
        <v>30</v>
      </c>
      <c r="H1844" s="23" t="s">
        <v>26</v>
      </c>
      <c r="I1844" s="24" t="s">
        <v>33</v>
      </c>
      <c r="J1844" s="19" t="s">
        <v>146</v>
      </c>
      <c r="K1844" s="14">
        <v>13.0</v>
      </c>
      <c r="L1844" s="14">
        <v>0.0</v>
      </c>
      <c r="M1844" s="25"/>
      <c r="N1844" s="26" t="s">
        <v>21</v>
      </c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</row>
    <row r="1845">
      <c r="A1845" s="14" t="s">
        <v>6780</v>
      </c>
      <c r="B1845" s="17" t="s">
        <v>6777</v>
      </c>
      <c r="C1845" s="17" t="s">
        <v>6781</v>
      </c>
      <c r="D1845" s="19" t="s">
        <v>6782</v>
      </c>
      <c r="E1845" s="20" t="s">
        <v>1357</v>
      </c>
      <c r="F1845" s="21">
        <v>36436.0</v>
      </c>
      <c r="G1845" s="14">
        <f t="shared" si="1"/>
        <v>27</v>
      </c>
      <c r="H1845" s="23" t="s">
        <v>26</v>
      </c>
      <c r="I1845" s="24" t="s">
        <v>27</v>
      </c>
      <c r="J1845" s="19" t="s">
        <v>146</v>
      </c>
      <c r="K1845" s="14">
        <v>13.0</v>
      </c>
      <c r="L1845" s="14">
        <v>0.0</v>
      </c>
      <c r="M1845" s="25"/>
      <c r="N1845" s="26" t="s">
        <v>21</v>
      </c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</row>
    <row r="1846">
      <c r="A1846" s="14" t="s">
        <v>6784</v>
      </c>
      <c r="B1846" s="17" t="s">
        <v>6785</v>
      </c>
      <c r="C1846" s="17" t="s">
        <v>6786</v>
      </c>
      <c r="D1846" s="19" t="s">
        <v>6787</v>
      </c>
      <c r="E1846" s="20" t="s">
        <v>195</v>
      </c>
      <c r="F1846" s="21">
        <v>38770.0</v>
      </c>
      <c r="G1846" s="14">
        <f t="shared" si="1"/>
        <v>20</v>
      </c>
      <c r="H1846" s="23" t="s">
        <v>100</v>
      </c>
      <c r="I1846" s="24" t="s">
        <v>33</v>
      </c>
      <c r="J1846" s="19" t="s">
        <v>2336</v>
      </c>
      <c r="K1846" s="14">
        <v>24.0</v>
      </c>
      <c r="L1846" s="14">
        <v>0.0</v>
      </c>
      <c r="M1846" s="25"/>
      <c r="N1846" s="26" t="s">
        <v>21</v>
      </c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</row>
    <row r="1847">
      <c r="A1847" s="14" t="s">
        <v>6788</v>
      </c>
      <c r="B1847" s="17" t="s">
        <v>6785</v>
      </c>
      <c r="C1847" s="17" t="s">
        <v>6789</v>
      </c>
      <c r="D1847" s="19" t="s">
        <v>1143</v>
      </c>
      <c r="E1847" s="20" t="s">
        <v>104</v>
      </c>
      <c r="F1847" s="27">
        <v>29155.0</v>
      </c>
      <c r="G1847" s="14">
        <f t="shared" si="1"/>
        <v>47</v>
      </c>
      <c r="H1847" s="23" t="s">
        <v>26</v>
      </c>
      <c r="I1847" s="24" t="s">
        <v>33</v>
      </c>
      <c r="J1847" s="19" t="s">
        <v>362</v>
      </c>
      <c r="K1847" s="14">
        <v>24.0</v>
      </c>
      <c r="L1847" s="14">
        <v>0.0</v>
      </c>
      <c r="M1847" s="25"/>
      <c r="N1847" s="26" t="s">
        <v>21</v>
      </c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</row>
    <row r="1848">
      <c r="A1848" s="14" t="s">
        <v>6790</v>
      </c>
      <c r="B1848" s="17" t="s">
        <v>6785</v>
      </c>
      <c r="C1848" s="17" t="s">
        <v>6791</v>
      </c>
      <c r="D1848" s="19" t="s">
        <v>6792</v>
      </c>
      <c r="E1848" s="20" t="s">
        <v>195</v>
      </c>
      <c r="F1848" s="21">
        <v>30867.0</v>
      </c>
      <c r="G1848" s="14">
        <f t="shared" si="1"/>
        <v>42</v>
      </c>
      <c r="H1848" s="23" t="s">
        <v>26</v>
      </c>
      <c r="I1848" s="24" t="s">
        <v>27</v>
      </c>
      <c r="J1848" s="19" t="s">
        <v>2336</v>
      </c>
      <c r="K1848" s="14">
        <v>24.0</v>
      </c>
      <c r="L1848" s="14">
        <v>0.0</v>
      </c>
      <c r="M1848" s="25"/>
      <c r="N1848" s="26" t="s">
        <v>21</v>
      </c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</row>
    <row r="1849">
      <c r="A1849" s="14" t="s">
        <v>6793</v>
      </c>
      <c r="B1849" s="17" t="s">
        <v>6794</v>
      </c>
      <c r="C1849" s="17" t="s">
        <v>6795</v>
      </c>
      <c r="D1849" s="19" t="s">
        <v>6796</v>
      </c>
      <c r="E1849" s="20" t="s">
        <v>53</v>
      </c>
      <c r="F1849" s="27">
        <v>36810.0</v>
      </c>
      <c r="G1849" s="14">
        <f t="shared" si="1"/>
        <v>26</v>
      </c>
      <c r="H1849" s="23" t="s">
        <v>26</v>
      </c>
      <c r="I1849" s="24" t="s">
        <v>27</v>
      </c>
      <c r="J1849" s="19" t="s">
        <v>6797</v>
      </c>
      <c r="K1849" s="14">
        <v>10.0</v>
      </c>
      <c r="L1849" s="14">
        <v>0.0</v>
      </c>
      <c r="M1849" s="25"/>
      <c r="N1849" s="26" t="s">
        <v>21</v>
      </c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</row>
    <row r="1850">
      <c r="A1850" s="14" t="s">
        <v>6798</v>
      </c>
      <c r="B1850" s="17" t="s">
        <v>6794</v>
      </c>
      <c r="C1850" s="17" t="s">
        <v>6799</v>
      </c>
      <c r="D1850" s="19" t="s">
        <v>6800</v>
      </c>
      <c r="E1850" s="20" t="s">
        <v>6801</v>
      </c>
      <c r="F1850" s="21">
        <v>34459.0</v>
      </c>
      <c r="G1850" s="14">
        <f t="shared" si="1"/>
        <v>32</v>
      </c>
      <c r="H1850" s="23" t="s">
        <v>26</v>
      </c>
      <c r="I1850" s="24" t="s">
        <v>33</v>
      </c>
      <c r="J1850" s="19" t="s">
        <v>6797</v>
      </c>
      <c r="K1850" s="14">
        <v>10.0</v>
      </c>
      <c r="L1850" s="14">
        <v>0.0</v>
      </c>
      <c r="M1850" s="25"/>
      <c r="N1850" s="26" t="s">
        <v>21</v>
      </c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</row>
    <row r="1851">
      <c r="A1851" s="14" t="s">
        <v>6802</v>
      </c>
      <c r="B1851" s="17" t="s">
        <v>6803</v>
      </c>
      <c r="C1851" s="17" t="s">
        <v>6804</v>
      </c>
      <c r="D1851" s="19" t="s">
        <v>6805</v>
      </c>
      <c r="E1851" s="20" t="s">
        <v>67</v>
      </c>
      <c r="F1851" s="21">
        <v>23924.0</v>
      </c>
      <c r="G1851" s="14">
        <f t="shared" si="1"/>
        <v>61</v>
      </c>
      <c r="H1851" s="23" t="s">
        <v>26</v>
      </c>
      <c r="I1851" s="24" t="s">
        <v>33</v>
      </c>
      <c r="J1851" s="19" t="s">
        <v>156</v>
      </c>
      <c r="K1851" s="14">
        <v>34.0</v>
      </c>
      <c r="L1851" s="14">
        <v>0.0</v>
      </c>
      <c r="M1851" s="25"/>
      <c r="N1851" s="26" t="s">
        <v>21</v>
      </c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</row>
    <row r="1852">
      <c r="A1852" s="14" t="s">
        <v>6806</v>
      </c>
      <c r="B1852" s="17" t="s">
        <v>6803</v>
      </c>
      <c r="C1852" s="17" t="s">
        <v>6807</v>
      </c>
      <c r="D1852" s="19" t="s">
        <v>6808</v>
      </c>
      <c r="E1852" s="20" t="s">
        <v>67</v>
      </c>
      <c r="F1852" s="21">
        <v>24232.0</v>
      </c>
      <c r="G1852" s="14">
        <f t="shared" si="1"/>
        <v>60</v>
      </c>
      <c r="H1852" s="23" t="s">
        <v>26</v>
      </c>
      <c r="I1852" s="24" t="s">
        <v>27</v>
      </c>
      <c r="J1852" s="19" t="s">
        <v>156</v>
      </c>
      <c r="K1852" s="14">
        <v>34.0</v>
      </c>
      <c r="L1852" s="14">
        <v>0.0</v>
      </c>
      <c r="M1852" s="25"/>
      <c r="N1852" s="26" t="s">
        <v>21</v>
      </c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</row>
    <row r="1853">
      <c r="A1853" s="14" t="s">
        <v>6809</v>
      </c>
      <c r="B1853" s="17" t="s">
        <v>6810</v>
      </c>
      <c r="C1853" s="17" t="s">
        <v>6811</v>
      </c>
      <c r="D1853" s="19" t="s">
        <v>6812</v>
      </c>
      <c r="E1853" s="20" t="s">
        <v>1038</v>
      </c>
      <c r="F1853" s="21">
        <v>25542.0</v>
      </c>
      <c r="G1853" s="14">
        <f t="shared" si="1"/>
        <v>56</v>
      </c>
      <c r="H1853" s="23" t="s">
        <v>26</v>
      </c>
      <c r="I1853" s="24" t="s">
        <v>27</v>
      </c>
      <c r="J1853" s="19" t="s">
        <v>6813</v>
      </c>
      <c r="K1853" s="14">
        <v>35.0</v>
      </c>
      <c r="L1853" s="14">
        <v>0.0</v>
      </c>
      <c r="M1853" s="25"/>
      <c r="N1853" s="26" t="s">
        <v>21</v>
      </c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</row>
    <row r="1854">
      <c r="A1854" s="14" t="s">
        <v>6814</v>
      </c>
      <c r="B1854" s="17" t="s">
        <v>6815</v>
      </c>
      <c r="C1854" s="17" t="s">
        <v>6816</v>
      </c>
      <c r="D1854" s="19" t="s">
        <v>6817</v>
      </c>
      <c r="E1854" s="20" t="s">
        <v>802</v>
      </c>
      <c r="F1854" s="21">
        <v>21815.0</v>
      </c>
      <c r="G1854" s="14">
        <f t="shared" si="1"/>
        <v>67</v>
      </c>
      <c r="H1854" s="23" t="s">
        <v>26</v>
      </c>
      <c r="I1854" s="24" t="s">
        <v>27</v>
      </c>
      <c r="J1854" s="19" t="s">
        <v>68</v>
      </c>
      <c r="K1854" s="14">
        <v>29.0</v>
      </c>
      <c r="L1854" s="14">
        <v>0.0</v>
      </c>
      <c r="M1854" s="25"/>
      <c r="N1854" s="26" t="s">
        <v>21</v>
      </c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</row>
    <row r="1855">
      <c r="A1855" s="14" t="s">
        <v>6818</v>
      </c>
      <c r="B1855" s="17" t="s">
        <v>6815</v>
      </c>
      <c r="C1855" s="17" t="s">
        <v>6819</v>
      </c>
      <c r="D1855" s="19" t="s">
        <v>6820</v>
      </c>
      <c r="E1855" s="20" t="s">
        <v>4741</v>
      </c>
      <c r="F1855" s="21">
        <v>33983.0</v>
      </c>
      <c r="G1855" s="14">
        <f t="shared" si="1"/>
        <v>33</v>
      </c>
      <c r="H1855" s="23" t="s">
        <v>100</v>
      </c>
      <c r="I1855" s="24" t="s">
        <v>27</v>
      </c>
      <c r="J1855" s="19" t="s">
        <v>68</v>
      </c>
      <c r="K1855" s="14">
        <v>29.0</v>
      </c>
      <c r="L1855" s="14">
        <v>0.0</v>
      </c>
      <c r="M1855" s="25"/>
      <c r="N1855" s="26" t="s">
        <v>21</v>
      </c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</row>
    <row r="1856">
      <c r="A1856" s="14" t="s">
        <v>6821</v>
      </c>
      <c r="B1856" s="17" t="s">
        <v>6822</v>
      </c>
      <c r="C1856" s="17" t="s">
        <v>6823</v>
      </c>
      <c r="D1856" s="19" t="s">
        <v>6824</v>
      </c>
      <c r="E1856" s="20" t="s">
        <v>536</v>
      </c>
      <c r="F1856" s="21">
        <v>34601.0</v>
      </c>
      <c r="G1856" s="14">
        <f t="shared" si="1"/>
        <v>32</v>
      </c>
      <c r="H1856" s="23" t="s">
        <v>26</v>
      </c>
      <c r="I1856" s="24" t="s">
        <v>27</v>
      </c>
      <c r="J1856" s="19" t="s">
        <v>206</v>
      </c>
      <c r="K1856" s="14">
        <v>1.0</v>
      </c>
      <c r="L1856" s="14">
        <v>0.0</v>
      </c>
      <c r="M1856" s="25"/>
      <c r="N1856" s="26" t="s">
        <v>21</v>
      </c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</row>
    <row r="1857">
      <c r="A1857" s="14" t="s">
        <v>6825</v>
      </c>
      <c r="B1857" s="17" t="s">
        <v>6822</v>
      </c>
      <c r="C1857" s="17" t="s">
        <v>6826</v>
      </c>
      <c r="D1857" s="19" t="s">
        <v>6827</v>
      </c>
      <c r="E1857" s="20" t="s">
        <v>104</v>
      </c>
      <c r="F1857" s="21">
        <v>33420.0</v>
      </c>
      <c r="G1857" s="14">
        <f t="shared" si="1"/>
        <v>35</v>
      </c>
      <c r="H1857" s="23" t="s">
        <v>26</v>
      </c>
      <c r="I1857" s="24" t="s">
        <v>33</v>
      </c>
      <c r="J1857" s="19" t="s">
        <v>206</v>
      </c>
      <c r="K1857" s="14">
        <v>1.0</v>
      </c>
      <c r="L1857" s="14">
        <v>0.0</v>
      </c>
      <c r="M1857" s="25"/>
      <c r="N1857" s="26" t="s">
        <v>21</v>
      </c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</row>
    <row r="1858">
      <c r="A1858" s="14" t="s">
        <v>6828</v>
      </c>
      <c r="B1858" s="17" t="s">
        <v>6829</v>
      </c>
      <c r="C1858" s="17" t="s">
        <v>6830</v>
      </c>
      <c r="D1858" s="19" t="s">
        <v>6831</v>
      </c>
      <c r="E1858" s="20" t="s">
        <v>104</v>
      </c>
      <c r="F1858" s="21">
        <v>34575.0</v>
      </c>
      <c r="G1858" s="14">
        <f t="shared" si="1"/>
        <v>32</v>
      </c>
      <c r="H1858" s="23" t="s">
        <v>26</v>
      </c>
      <c r="I1858" s="24" t="s">
        <v>27</v>
      </c>
      <c r="J1858" s="19" t="s">
        <v>68</v>
      </c>
      <c r="K1858" s="14">
        <v>35.0</v>
      </c>
      <c r="L1858" s="14">
        <v>0.0</v>
      </c>
      <c r="M1858" s="25"/>
      <c r="N1858" s="26" t="s">
        <v>21</v>
      </c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</row>
    <row r="1859">
      <c r="A1859" s="14" t="s">
        <v>6832</v>
      </c>
      <c r="B1859" s="17" t="s">
        <v>6833</v>
      </c>
      <c r="C1859" s="17" t="s">
        <v>6834</v>
      </c>
      <c r="D1859" s="19" t="s">
        <v>6835</v>
      </c>
      <c r="E1859" s="20" t="s">
        <v>6102</v>
      </c>
      <c r="F1859" s="21">
        <v>27305.0</v>
      </c>
      <c r="G1859" s="14">
        <f t="shared" si="1"/>
        <v>52</v>
      </c>
      <c r="H1859" s="23" t="s">
        <v>26</v>
      </c>
      <c r="I1859" s="24" t="s">
        <v>33</v>
      </c>
      <c r="J1859" s="19" t="s">
        <v>206</v>
      </c>
      <c r="K1859" s="14">
        <v>31.0</v>
      </c>
      <c r="L1859" s="14">
        <v>0.0</v>
      </c>
      <c r="M1859" s="25"/>
      <c r="N1859" s="26" t="s">
        <v>21</v>
      </c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</row>
    <row r="1860">
      <c r="A1860" s="14" t="s">
        <v>6836</v>
      </c>
      <c r="B1860" s="17" t="s">
        <v>6837</v>
      </c>
      <c r="C1860" s="17" t="s">
        <v>6838</v>
      </c>
      <c r="D1860" s="19" t="s">
        <v>6839</v>
      </c>
      <c r="E1860" s="20" t="s">
        <v>544</v>
      </c>
      <c r="F1860" s="21">
        <v>23488.0</v>
      </c>
      <c r="G1860" s="14">
        <f t="shared" si="1"/>
        <v>62</v>
      </c>
      <c r="H1860" s="23" t="s">
        <v>26</v>
      </c>
      <c r="I1860" s="24" t="s">
        <v>33</v>
      </c>
      <c r="J1860" s="19" t="s">
        <v>58</v>
      </c>
      <c r="K1860" s="14">
        <v>36.0</v>
      </c>
      <c r="L1860" s="14">
        <v>0.0</v>
      </c>
      <c r="M1860" s="25"/>
      <c r="N1860" s="26" t="s">
        <v>21</v>
      </c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</row>
    <row r="1861">
      <c r="A1861" s="14" t="s">
        <v>6840</v>
      </c>
      <c r="B1861" s="17" t="s">
        <v>6837</v>
      </c>
      <c r="C1861" s="17" t="s">
        <v>6841</v>
      </c>
      <c r="D1861" s="19" t="s">
        <v>3759</v>
      </c>
      <c r="E1861" s="20" t="s">
        <v>544</v>
      </c>
      <c r="F1861" s="21">
        <v>25180.0</v>
      </c>
      <c r="G1861" s="14">
        <f t="shared" si="1"/>
        <v>57</v>
      </c>
      <c r="H1861" s="23" t="s">
        <v>26</v>
      </c>
      <c r="I1861" s="24" t="s">
        <v>27</v>
      </c>
      <c r="J1861" s="19" t="s">
        <v>58</v>
      </c>
      <c r="K1861" s="14">
        <v>36.0</v>
      </c>
      <c r="L1861" s="14">
        <v>0.0</v>
      </c>
      <c r="M1861" s="25"/>
      <c r="N1861" s="26" t="s">
        <v>21</v>
      </c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</row>
    <row r="1862">
      <c r="A1862" s="14" t="s">
        <v>6842</v>
      </c>
      <c r="B1862" s="17" t="s">
        <v>6843</v>
      </c>
      <c r="C1862" s="17" t="s">
        <v>6844</v>
      </c>
      <c r="D1862" s="19" t="s">
        <v>4125</v>
      </c>
      <c r="E1862" s="20" t="s">
        <v>632</v>
      </c>
      <c r="F1862" s="21">
        <v>27597.0</v>
      </c>
      <c r="G1862" s="14">
        <f t="shared" si="1"/>
        <v>51</v>
      </c>
      <c r="H1862" s="23" t="s">
        <v>26</v>
      </c>
      <c r="I1862" s="24" t="s">
        <v>33</v>
      </c>
      <c r="J1862" s="19" t="s">
        <v>58</v>
      </c>
      <c r="K1862" s="14">
        <v>8.0</v>
      </c>
      <c r="L1862" s="14">
        <v>0.0</v>
      </c>
      <c r="M1862" s="25"/>
      <c r="N1862" s="26" t="s">
        <v>21</v>
      </c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</row>
    <row r="1863">
      <c r="A1863" s="14" t="s">
        <v>6845</v>
      </c>
      <c r="B1863" s="17" t="s">
        <v>6843</v>
      </c>
      <c r="C1863" s="17" t="s">
        <v>6846</v>
      </c>
      <c r="D1863" s="19" t="s">
        <v>6847</v>
      </c>
      <c r="E1863" s="20" t="s">
        <v>6848</v>
      </c>
      <c r="F1863" s="21">
        <v>29826.0</v>
      </c>
      <c r="G1863" s="14">
        <f t="shared" si="1"/>
        <v>45</v>
      </c>
      <c r="H1863" s="23" t="s">
        <v>26</v>
      </c>
      <c r="I1863" s="24" t="s">
        <v>27</v>
      </c>
      <c r="J1863" s="19" t="s">
        <v>58</v>
      </c>
      <c r="K1863" s="14">
        <v>8.0</v>
      </c>
      <c r="L1863" s="14">
        <v>0.0</v>
      </c>
      <c r="M1863" s="25"/>
      <c r="N1863" s="26" t="s">
        <v>21</v>
      </c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</row>
    <row r="1864">
      <c r="A1864" s="14" t="s">
        <v>6849</v>
      </c>
      <c r="B1864" s="17" t="s">
        <v>6850</v>
      </c>
      <c r="C1864" s="17" t="s">
        <v>6851</v>
      </c>
      <c r="D1864" s="19" t="s">
        <v>6852</v>
      </c>
      <c r="E1864" s="20" t="s">
        <v>104</v>
      </c>
      <c r="F1864" s="21">
        <v>35128.0</v>
      </c>
      <c r="G1864" s="14">
        <f t="shared" si="1"/>
        <v>30</v>
      </c>
      <c r="H1864" s="23" t="s">
        <v>26</v>
      </c>
      <c r="I1864" s="24" t="s">
        <v>27</v>
      </c>
      <c r="J1864" s="19" t="s">
        <v>146</v>
      </c>
      <c r="K1864" s="14">
        <v>2.0</v>
      </c>
      <c r="L1864" s="14">
        <v>0.0</v>
      </c>
      <c r="M1864" s="25"/>
      <c r="N1864" s="26" t="s">
        <v>21</v>
      </c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</row>
    <row r="1865">
      <c r="A1865" s="14" t="s">
        <v>6853</v>
      </c>
      <c r="B1865" s="17" t="s">
        <v>6850</v>
      </c>
      <c r="C1865" s="17" t="s">
        <v>6854</v>
      </c>
      <c r="D1865" s="19" t="s">
        <v>6855</v>
      </c>
      <c r="E1865" s="20" t="s">
        <v>104</v>
      </c>
      <c r="F1865" s="21">
        <v>32570.0</v>
      </c>
      <c r="G1865" s="14">
        <f t="shared" si="1"/>
        <v>37</v>
      </c>
      <c r="H1865" s="23" t="s">
        <v>26</v>
      </c>
      <c r="I1865" s="24" t="s">
        <v>33</v>
      </c>
      <c r="J1865" s="19" t="s">
        <v>146</v>
      </c>
      <c r="K1865" s="14">
        <v>2.0</v>
      </c>
      <c r="L1865" s="14">
        <v>0.0</v>
      </c>
      <c r="M1865" s="25"/>
      <c r="N1865" s="26" t="s">
        <v>21</v>
      </c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</row>
    <row r="1866">
      <c r="A1866" s="14" t="s">
        <v>6856</v>
      </c>
      <c r="B1866" s="17" t="s">
        <v>6857</v>
      </c>
      <c r="C1866" s="17" t="s">
        <v>6858</v>
      </c>
      <c r="D1866" s="19" t="s">
        <v>6859</v>
      </c>
      <c r="E1866" s="20" t="s">
        <v>295</v>
      </c>
      <c r="F1866" s="27">
        <v>35419.0</v>
      </c>
      <c r="G1866" s="14">
        <f t="shared" si="1"/>
        <v>29</v>
      </c>
      <c r="H1866" s="23" t="s">
        <v>26</v>
      </c>
      <c r="I1866" s="24" t="s">
        <v>33</v>
      </c>
      <c r="J1866" s="19" t="s">
        <v>58</v>
      </c>
      <c r="K1866" s="14">
        <v>36.0</v>
      </c>
      <c r="L1866" s="14">
        <v>0.0</v>
      </c>
      <c r="M1866" s="28" t="s">
        <v>947</v>
      </c>
      <c r="N1866" s="26" t="s">
        <v>21</v>
      </c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</row>
    <row r="1867">
      <c r="A1867" s="14" t="s">
        <v>6860</v>
      </c>
      <c r="B1867" s="17" t="s">
        <v>6857</v>
      </c>
      <c r="C1867" s="17" t="s">
        <v>6861</v>
      </c>
      <c r="D1867" s="19" t="s">
        <v>6862</v>
      </c>
      <c r="E1867" s="20" t="s">
        <v>337</v>
      </c>
      <c r="F1867" s="21">
        <v>37670.0</v>
      </c>
      <c r="G1867" s="14">
        <f t="shared" si="1"/>
        <v>23</v>
      </c>
      <c r="H1867" s="23" t="s">
        <v>26</v>
      </c>
      <c r="I1867" s="24" t="s">
        <v>27</v>
      </c>
      <c r="J1867" s="19" t="s">
        <v>58</v>
      </c>
      <c r="K1867" s="14">
        <v>36.0</v>
      </c>
      <c r="L1867" s="14">
        <v>0.0</v>
      </c>
      <c r="M1867" s="28" t="s">
        <v>947</v>
      </c>
      <c r="N1867" s="26" t="s">
        <v>21</v>
      </c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</row>
    <row r="1868">
      <c r="A1868" s="14" t="s">
        <v>6863</v>
      </c>
      <c r="B1868" s="17" t="s">
        <v>6864</v>
      </c>
      <c r="C1868" s="17" t="s">
        <v>6865</v>
      </c>
      <c r="D1868" s="19" t="s">
        <v>6866</v>
      </c>
      <c r="E1868" s="20" t="s">
        <v>104</v>
      </c>
      <c r="F1868" s="21">
        <v>36251.0</v>
      </c>
      <c r="G1868" s="14">
        <f t="shared" si="1"/>
        <v>27</v>
      </c>
      <c r="H1868" s="23" t="s">
        <v>100</v>
      </c>
      <c r="I1868" s="24" t="s">
        <v>27</v>
      </c>
      <c r="J1868" s="19" t="s">
        <v>146</v>
      </c>
      <c r="K1868" s="14">
        <v>5.0</v>
      </c>
      <c r="L1868" s="14">
        <v>0.0</v>
      </c>
      <c r="M1868" s="25"/>
      <c r="N1868" s="26" t="s">
        <v>21</v>
      </c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</row>
    <row r="1869">
      <c r="A1869" s="14" t="s">
        <v>6867</v>
      </c>
      <c r="B1869" s="17" t="s">
        <v>6864</v>
      </c>
      <c r="C1869" s="17" t="s">
        <v>6868</v>
      </c>
      <c r="D1869" s="19" t="s">
        <v>6869</v>
      </c>
      <c r="E1869" s="20" t="s">
        <v>6870</v>
      </c>
      <c r="F1869" s="21">
        <v>26153.0</v>
      </c>
      <c r="G1869" s="14">
        <f t="shared" si="1"/>
        <v>55</v>
      </c>
      <c r="H1869" s="23" t="s">
        <v>26</v>
      </c>
      <c r="I1869" s="24" t="s">
        <v>33</v>
      </c>
      <c r="J1869" s="19" t="s">
        <v>146</v>
      </c>
      <c r="K1869" s="14">
        <v>5.0</v>
      </c>
      <c r="L1869" s="14">
        <v>0.0</v>
      </c>
      <c r="M1869" s="25"/>
      <c r="N1869" s="26" t="s">
        <v>21</v>
      </c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</row>
    <row r="1870">
      <c r="A1870" s="14" t="s">
        <v>6871</v>
      </c>
      <c r="B1870" s="17" t="s">
        <v>6864</v>
      </c>
      <c r="C1870" s="17" t="s">
        <v>6872</v>
      </c>
      <c r="D1870" s="19" t="s">
        <v>6873</v>
      </c>
      <c r="E1870" s="20" t="s">
        <v>6874</v>
      </c>
      <c r="F1870" s="21">
        <v>26009.0</v>
      </c>
      <c r="G1870" s="14">
        <f t="shared" si="1"/>
        <v>55</v>
      </c>
      <c r="H1870" s="23" t="s">
        <v>26</v>
      </c>
      <c r="I1870" s="24" t="s">
        <v>27</v>
      </c>
      <c r="J1870" s="19" t="s">
        <v>146</v>
      </c>
      <c r="K1870" s="14">
        <v>5.0</v>
      </c>
      <c r="L1870" s="14">
        <v>1.0</v>
      </c>
      <c r="M1870" s="25"/>
      <c r="N1870" s="26" t="s">
        <v>21</v>
      </c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</row>
    <row r="1871">
      <c r="A1871" s="14" t="s">
        <v>6875</v>
      </c>
      <c r="B1871" s="17" t="s">
        <v>6876</v>
      </c>
      <c r="C1871" s="17" t="s">
        <v>6877</v>
      </c>
      <c r="D1871" s="19" t="s">
        <v>6878</v>
      </c>
      <c r="E1871" s="20" t="s">
        <v>104</v>
      </c>
      <c r="F1871" s="21">
        <v>38817.0</v>
      </c>
      <c r="G1871" s="14">
        <f t="shared" si="1"/>
        <v>20</v>
      </c>
      <c r="H1871" s="23" t="s">
        <v>100</v>
      </c>
      <c r="I1871" s="24" t="s">
        <v>33</v>
      </c>
      <c r="J1871" s="19" t="s">
        <v>328</v>
      </c>
      <c r="K1871" s="14">
        <v>24.0</v>
      </c>
      <c r="L1871" s="14">
        <v>0.0</v>
      </c>
      <c r="M1871" s="25"/>
      <c r="N1871" s="26" t="s">
        <v>21</v>
      </c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</row>
    <row r="1872">
      <c r="A1872" s="14" t="s">
        <v>6879</v>
      </c>
      <c r="B1872" s="17" t="s">
        <v>6876</v>
      </c>
      <c r="C1872" s="17" t="s">
        <v>6880</v>
      </c>
      <c r="D1872" s="19" t="s">
        <v>6881</v>
      </c>
      <c r="E1872" s="20" t="s">
        <v>2795</v>
      </c>
      <c r="F1872" s="21">
        <v>25838.0</v>
      </c>
      <c r="G1872" s="14">
        <f t="shared" si="1"/>
        <v>56</v>
      </c>
      <c r="H1872" s="23" t="s">
        <v>26</v>
      </c>
      <c r="I1872" s="24" t="s">
        <v>33</v>
      </c>
      <c r="J1872" s="19" t="s">
        <v>328</v>
      </c>
      <c r="K1872" s="14">
        <v>24.0</v>
      </c>
      <c r="L1872" s="14">
        <v>0.0</v>
      </c>
      <c r="M1872" s="25"/>
      <c r="N1872" s="26" t="s">
        <v>21</v>
      </c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</row>
    <row r="1873">
      <c r="A1873" s="14" t="s">
        <v>6882</v>
      </c>
      <c r="B1873" s="17" t="s">
        <v>6876</v>
      </c>
      <c r="C1873" s="17" t="s">
        <v>6883</v>
      </c>
      <c r="D1873" s="19" t="s">
        <v>6884</v>
      </c>
      <c r="E1873" s="20" t="s">
        <v>1291</v>
      </c>
      <c r="F1873" s="21">
        <v>27199.0</v>
      </c>
      <c r="G1873" s="14">
        <f t="shared" si="1"/>
        <v>52</v>
      </c>
      <c r="H1873" s="23" t="s">
        <v>26</v>
      </c>
      <c r="I1873" s="24" t="s">
        <v>27</v>
      </c>
      <c r="J1873" s="19" t="s">
        <v>328</v>
      </c>
      <c r="K1873" s="14">
        <v>24.0</v>
      </c>
      <c r="L1873" s="14">
        <v>0.0</v>
      </c>
      <c r="M1873" s="25"/>
      <c r="N1873" s="26" t="s">
        <v>21</v>
      </c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</row>
    <row r="1874">
      <c r="A1874" s="14" t="s">
        <v>6885</v>
      </c>
      <c r="B1874" s="17" t="s">
        <v>6876</v>
      </c>
      <c r="C1874" s="17" t="s">
        <v>6886</v>
      </c>
      <c r="D1874" s="19" t="s">
        <v>6887</v>
      </c>
      <c r="E1874" s="20" t="s">
        <v>104</v>
      </c>
      <c r="F1874" s="21">
        <v>36649.0</v>
      </c>
      <c r="G1874" s="14">
        <f t="shared" si="1"/>
        <v>26</v>
      </c>
      <c r="H1874" s="23" t="s">
        <v>100</v>
      </c>
      <c r="I1874" s="24" t="s">
        <v>33</v>
      </c>
      <c r="J1874" s="19" t="s">
        <v>328</v>
      </c>
      <c r="K1874" s="14">
        <v>24.0</v>
      </c>
      <c r="L1874" s="14">
        <v>0.0</v>
      </c>
      <c r="M1874" s="25"/>
      <c r="N1874" s="26" t="s">
        <v>21</v>
      </c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</row>
    <row r="1875">
      <c r="A1875" s="14" t="s">
        <v>6888</v>
      </c>
      <c r="B1875" s="17" t="s">
        <v>6876</v>
      </c>
      <c r="C1875" s="17" t="s">
        <v>6889</v>
      </c>
      <c r="D1875" s="19" t="s">
        <v>6890</v>
      </c>
      <c r="E1875" s="20" t="s">
        <v>337</v>
      </c>
      <c r="F1875" s="21">
        <v>35269.0</v>
      </c>
      <c r="G1875" s="14">
        <f t="shared" si="1"/>
        <v>30</v>
      </c>
      <c r="H1875" s="23" t="s">
        <v>100</v>
      </c>
      <c r="I1875" s="24" t="s">
        <v>33</v>
      </c>
      <c r="J1875" s="19" t="s">
        <v>328</v>
      </c>
      <c r="K1875" s="14">
        <v>24.0</v>
      </c>
      <c r="L1875" s="14">
        <v>0.0</v>
      </c>
      <c r="M1875" s="25"/>
      <c r="N1875" s="26" t="s">
        <v>21</v>
      </c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</row>
    <row r="1876">
      <c r="A1876" s="14" t="s">
        <v>6891</v>
      </c>
      <c r="B1876" s="17" t="s">
        <v>6892</v>
      </c>
      <c r="C1876" s="17" t="s">
        <v>6893</v>
      </c>
      <c r="D1876" s="19" t="s">
        <v>6894</v>
      </c>
      <c r="E1876" s="20" t="s">
        <v>104</v>
      </c>
      <c r="F1876" s="27">
        <v>37193.0</v>
      </c>
      <c r="G1876" s="14">
        <f t="shared" si="1"/>
        <v>25</v>
      </c>
      <c r="H1876" s="23" t="s">
        <v>100</v>
      </c>
      <c r="I1876" s="24" t="s">
        <v>27</v>
      </c>
      <c r="J1876" s="19" t="s">
        <v>156</v>
      </c>
      <c r="K1876" s="14">
        <v>33.0</v>
      </c>
      <c r="L1876" s="14">
        <v>0.0</v>
      </c>
      <c r="M1876" s="25"/>
      <c r="N1876" s="26" t="s">
        <v>21</v>
      </c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</row>
    <row r="1877">
      <c r="A1877" s="14" t="s">
        <v>6895</v>
      </c>
      <c r="B1877" s="17" t="s">
        <v>6892</v>
      </c>
      <c r="C1877" s="17" t="s">
        <v>6896</v>
      </c>
      <c r="D1877" s="19" t="s">
        <v>6897</v>
      </c>
      <c r="E1877" s="20" t="s">
        <v>6898</v>
      </c>
      <c r="F1877" s="21">
        <v>38853.0</v>
      </c>
      <c r="G1877" s="14">
        <f t="shared" si="1"/>
        <v>20</v>
      </c>
      <c r="H1877" s="23" t="s">
        <v>100</v>
      </c>
      <c r="I1877" s="24" t="s">
        <v>33</v>
      </c>
      <c r="J1877" s="19" t="s">
        <v>156</v>
      </c>
      <c r="K1877" s="14">
        <v>33.0</v>
      </c>
      <c r="L1877" s="14">
        <v>0.0</v>
      </c>
      <c r="M1877" s="25"/>
      <c r="N1877" s="26" t="s">
        <v>21</v>
      </c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</row>
    <row r="1878">
      <c r="A1878" s="14" t="s">
        <v>6899</v>
      </c>
      <c r="B1878" s="17" t="s">
        <v>6892</v>
      </c>
      <c r="C1878" s="17" t="s">
        <v>6900</v>
      </c>
      <c r="D1878" s="19" t="s">
        <v>6901</v>
      </c>
      <c r="E1878" s="20" t="s">
        <v>6902</v>
      </c>
      <c r="F1878" s="21">
        <v>29417.0</v>
      </c>
      <c r="G1878" s="14">
        <f t="shared" si="1"/>
        <v>46</v>
      </c>
      <c r="H1878" s="23" t="s">
        <v>26</v>
      </c>
      <c r="I1878" s="24" t="s">
        <v>27</v>
      </c>
      <c r="J1878" s="19" t="s">
        <v>156</v>
      </c>
      <c r="K1878" s="14">
        <v>33.0</v>
      </c>
      <c r="L1878" s="14">
        <v>0.0</v>
      </c>
      <c r="M1878" s="25"/>
      <c r="N1878" s="26" t="s">
        <v>21</v>
      </c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</row>
    <row r="1879">
      <c r="A1879" s="14" t="s">
        <v>6903</v>
      </c>
      <c r="B1879" s="17" t="s">
        <v>6892</v>
      </c>
      <c r="C1879" s="17" t="s">
        <v>6904</v>
      </c>
      <c r="D1879" s="19" t="s">
        <v>6905</v>
      </c>
      <c r="E1879" s="20" t="s">
        <v>1291</v>
      </c>
      <c r="F1879" s="21">
        <v>27622.0</v>
      </c>
      <c r="G1879" s="14">
        <f t="shared" si="1"/>
        <v>51</v>
      </c>
      <c r="H1879" s="23" t="s">
        <v>26</v>
      </c>
      <c r="I1879" s="24" t="s">
        <v>33</v>
      </c>
      <c r="J1879" s="19" t="s">
        <v>156</v>
      </c>
      <c r="K1879" s="14">
        <v>33.0</v>
      </c>
      <c r="L1879" s="14">
        <v>0.0</v>
      </c>
      <c r="M1879" s="25"/>
      <c r="N1879" s="26" t="s">
        <v>21</v>
      </c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</row>
    <row r="1880">
      <c r="A1880" s="14" t="s">
        <v>6906</v>
      </c>
      <c r="B1880" s="17" t="s">
        <v>6907</v>
      </c>
      <c r="C1880" s="17" t="s">
        <v>6908</v>
      </c>
      <c r="D1880" s="19" t="s">
        <v>6909</v>
      </c>
      <c r="E1880" s="20" t="s">
        <v>6910</v>
      </c>
      <c r="F1880" s="21">
        <v>28637.0</v>
      </c>
      <c r="G1880" s="14">
        <f t="shared" si="1"/>
        <v>48</v>
      </c>
      <c r="H1880" s="23" t="s">
        <v>26</v>
      </c>
      <c r="I1880" s="24" t="s">
        <v>33</v>
      </c>
      <c r="J1880" s="19" t="s">
        <v>362</v>
      </c>
      <c r="K1880" s="14">
        <v>25.0</v>
      </c>
      <c r="L1880" s="14">
        <v>0.0</v>
      </c>
      <c r="M1880" s="25"/>
      <c r="N1880" s="26" t="s">
        <v>21</v>
      </c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</row>
    <row r="1881">
      <c r="A1881" s="14" t="s">
        <v>6911</v>
      </c>
      <c r="B1881" s="17" t="s">
        <v>6907</v>
      </c>
      <c r="C1881" s="17" t="s">
        <v>6912</v>
      </c>
      <c r="D1881" s="19" t="s">
        <v>6913</v>
      </c>
      <c r="E1881" s="20" t="s">
        <v>6914</v>
      </c>
      <c r="F1881" s="27">
        <v>30982.0</v>
      </c>
      <c r="G1881" s="14">
        <f t="shared" si="1"/>
        <v>42</v>
      </c>
      <c r="H1881" s="23" t="s">
        <v>26</v>
      </c>
      <c r="I1881" s="24" t="s">
        <v>27</v>
      </c>
      <c r="J1881" s="19" t="s">
        <v>362</v>
      </c>
      <c r="K1881" s="14">
        <v>25.0</v>
      </c>
      <c r="L1881" s="14">
        <v>0.0</v>
      </c>
      <c r="M1881" s="25"/>
      <c r="N1881" s="26" t="s">
        <v>21</v>
      </c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</row>
    <row r="1882">
      <c r="A1882" s="14" t="s">
        <v>6915</v>
      </c>
      <c r="B1882" s="17" t="s">
        <v>6916</v>
      </c>
      <c r="C1882" s="17" t="s">
        <v>6917</v>
      </c>
      <c r="D1882" s="19" t="s">
        <v>6918</v>
      </c>
      <c r="E1882" s="20" t="s">
        <v>104</v>
      </c>
      <c r="F1882" s="21">
        <v>31192.0</v>
      </c>
      <c r="G1882" s="14">
        <f t="shared" si="1"/>
        <v>41</v>
      </c>
      <c r="H1882" s="23" t="s">
        <v>26</v>
      </c>
      <c r="I1882" s="24" t="s">
        <v>33</v>
      </c>
      <c r="J1882" s="19" t="s">
        <v>282</v>
      </c>
      <c r="K1882" s="14">
        <v>11.0</v>
      </c>
      <c r="L1882" s="14">
        <v>0.0</v>
      </c>
      <c r="M1882" s="25"/>
      <c r="N1882" s="26" t="s">
        <v>21</v>
      </c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</row>
    <row r="1883">
      <c r="A1883" s="14" t="s">
        <v>6919</v>
      </c>
      <c r="B1883" s="17" t="s">
        <v>6916</v>
      </c>
      <c r="C1883" s="17" t="s">
        <v>6920</v>
      </c>
      <c r="D1883" s="19" t="s">
        <v>6921</v>
      </c>
      <c r="E1883" s="20" t="s">
        <v>6922</v>
      </c>
      <c r="F1883" s="21">
        <v>32734.0</v>
      </c>
      <c r="G1883" s="14">
        <f t="shared" si="1"/>
        <v>37</v>
      </c>
      <c r="H1883" s="23" t="s">
        <v>26</v>
      </c>
      <c r="I1883" s="24" t="s">
        <v>27</v>
      </c>
      <c r="J1883" s="19" t="s">
        <v>282</v>
      </c>
      <c r="K1883" s="14">
        <v>11.0</v>
      </c>
      <c r="L1883" s="14">
        <v>0.0</v>
      </c>
      <c r="M1883" s="25"/>
      <c r="N1883" s="26" t="s">
        <v>21</v>
      </c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</row>
    <row r="1884">
      <c r="A1884" s="14" t="s">
        <v>6923</v>
      </c>
      <c r="B1884" s="17" t="s">
        <v>6924</v>
      </c>
      <c r="C1884" s="17" t="s">
        <v>6925</v>
      </c>
      <c r="D1884" s="19" t="s">
        <v>6926</v>
      </c>
      <c r="E1884" s="20" t="s">
        <v>536</v>
      </c>
      <c r="F1884" s="21">
        <v>33436.0</v>
      </c>
      <c r="G1884" s="14">
        <f t="shared" si="1"/>
        <v>35</v>
      </c>
      <c r="H1884" s="23" t="s">
        <v>26</v>
      </c>
      <c r="I1884" s="24" t="s">
        <v>27</v>
      </c>
      <c r="J1884" s="19" t="s">
        <v>517</v>
      </c>
      <c r="K1884" s="14">
        <v>7.0</v>
      </c>
      <c r="L1884" s="14">
        <v>0.0</v>
      </c>
      <c r="M1884" s="25"/>
      <c r="N1884" s="26" t="s">
        <v>21</v>
      </c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</row>
    <row r="1885">
      <c r="A1885" s="14" t="s">
        <v>6927</v>
      </c>
      <c r="B1885" s="17" t="s">
        <v>6924</v>
      </c>
      <c r="C1885" s="17" t="s">
        <v>6928</v>
      </c>
      <c r="D1885" s="19" t="s">
        <v>6929</v>
      </c>
      <c r="E1885" s="20" t="s">
        <v>337</v>
      </c>
      <c r="F1885" s="21">
        <v>32282.0</v>
      </c>
      <c r="G1885" s="14">
        <f t="shared" si="1"/>
        <v>38</v>
      </c>
      <c r="H1885" s="23" t="s">
        <v>26</v>
      </c>
      <c r="I1885" s="24" t="s">
        <v>33</v>
      </c>
      <c r="J1885" s="19" t="s">
        <v>517</v>
      </c>
      <c r="K1885" s="14">
        <v>7.0</v>
      </c>
      <c r="L1885" s="14">
        <v>0.0</v>
      </c>
      <c r="M1885" s="25"/>
      <c r="N1885" s="26" t="s">
        <v>21</v>
      </c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</row>
    <row r="1886">
      <c r="A1886" s="14" t="s">
        <v>6934</v>
      </c>
      <c r="B1886" s="17" t="s">
        <v>6931</v>
      </c>
      <c r="C1886" s="17" t="s">
        <v>6935</v>
      </c>
      <c r="D1886" s="19" t="s">
        <v>6936</v>
      </c>
      <c r="E1886" s="20" t="s">
        <v>195</v>
      </c>
      <c r="F1886" s="21">
        <v>34216.0</v>
      </c>
      <c r="G1886" s="14">
        <f t="shared" si="1"/>
        <v>33</v>
      </c>
      <c r="H1886" s="23" t="s">
        <v>26</v>
      </c>
      <c r="I1886" s="24" t="s">
        <v>33</v>
      </c>
      <c r="J1886" s="19" t="s">
        <v>146</v>
      </c>
      <c r="K1886" s="14">
        <v>5.0</v>
      </c>
      <c r="L1886" s="14">
        <v>0.0</v>
      </c>
      <c r="M1886" s="25"/>
      <c r="N1886" s="26" t="s">
        <v>21</v>
      </c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</row>
    <row r="1887">
      <c r="A1887" s="14" t="s">
        <v>6937</v>
      </c>
      <c r="B1887" s="17" t="s">
        <v>6938</v>
      </c>
      <c r="C1887" s="17" t="s">
        <v>6939</v>
      </c>
      <c r="D1887" s="19" t="s">
        <v>6940</v>
      </c>
      <c r="E1887" s="20" t="s">
        <v>2689</v>
      </c>
      <c r="F1887" s="21">
        <v>32696.0</v>
      </c>
      <c r="G1887" s="14">
        <f t="shared" si="1"/>
        <v>37</v>
      </c>
      <c r="H1887" s="23" t="s">
        <v>26</v>
      </c>
      <c r="I1887" s="24" t="s">
        <v>27</v>
      </c>
      <c r="J1887" s="19" t="s">
        <v>58</v>
      </c>
      <c r="K1887" s="14">
        <v>5.0</v>
      </c>
      <c r="L1887" s="14">
        <v>5.0</v>
      </c>
      <c r="M1887" s="25"/>
      <c r="N1887" s="26" t="s">
        <v>21</v>
      </c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</row>
    <row r="1888">
      <c r="A1888" s="14" t="s">
        <v>6941</v>
      </c>
      <c r="B1888" s="17" t="s">
        <v>6938</v>
      </c>
      <c r="C1888" s="17" t="s">
        <v>6942</v>
      </c>
      <c r="D1888" s="19" t="s">
        <v>6943</v>
      </c>
      <c r="E1888" s="20" t="s">
        <v>6944</v>
      </c>
      <c r="F1888" s="21">
        <v>30625.0</v>
      </c>
      <c r="G1888" s="14">
        <f t="shared" si="1"/>
        <v>42</v>
      </c>
      <c r="H1888" s="23" t="s">
        <v>26</v>
      </c>
      <c r="I1888" s="24" t="s">
        <v>33</v>
      </c>
      <c r="J1888" s="19" t="s">
        <v>58</v>
      </c>
      <c r="K1888" s="14">
        <v>5.0</v>
      </c>
      <c r="L1888" s="14">
        <v>5.0</v>
      </c>
      <c r="M1888" s="25"/>
      <c r="N1888" s="26" t="s">
        <v>21</v>
      </c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</row>
    <row r="1889">
      <c r="A1889" s="14" t="s">
        <v>6945</v>
      </c>
      <c r="B1889" s="17" t="s">
        <v>6946</v>
      </c>
      <c r="C1889" s="17" t="s">
        <v>6947</v>
      </c>
      <c r="D1889" s="19" t="s">
        <v>6948</v>
      </c>
      <c r="E1889" s="20" t="s">
        <v>53</v>
      </c>
      <c r="F1889" s="21">
        <v>35567.0</v>
      </c>
      <c r="G1889" s="14">
        <f t="shared" si="1"/>
        <v>29</v>
      </c>
      <c r="H1889" s="23" t="s">
        <v>26</v>
      </c>
      <c r="I1889" s="24" t="s">
        <v>27</v>
      </c>
      <c r="J1889" s="19" t="s">
        <v>282</v>
      </c>
      <c r="K1889" s="14">
        <v>12.0</v>
      </c>
      <c r="L1889" s="14">
        <v>5.0</v>
      </c>
      <c r="M1889" s="25"/>
      <c r="N1889" s="26" t="s">
        <v>21</v>
      </c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</row>
    <row r="1890">
      <c r="A1890" s="14" t="s">
        <v>6949</v>
      </c>
      <c r="B1890" s="17" t="s">
        <v>6946</v>
      </c>
      <c r="C1890" s="38" t="s">
        <v>7688</v>
      </c>
      <c r="D1890" s="19" t="s">
        <v>6951</v>
      </c>
      <c r="E1890" s="20" t="s">
        <v>671</v>
      </c>
      <c r="F1890" s="21">
        <v>27914.0</v>
      </c>
      <c r="G1890" s="14">
        <f t="shared" si="1"/>
        <v>50</v>
      </c>
      <c r="H1890" s="23" t="s">
        <v>26</v>
      </c>
      <c r="I1890" s="24" t="s">
        <v>27</v>
      </c>
      <c r="J1890" s="19" t="s">
        <v>282</v>
      </c>
      <c r="K1890" s="14">
        <v>12.0</v>
      </c>
      <c r="L1890" s="14">
        <v>0.0</v>
      </c>
      <c r="M1890" s="25"/>
      <c r="N1890" s="26" t="s">
        <v>21</v>
      </c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</row>
    <row r="1891">
      <c r="A1891" s="14" t="s">
        <v>6952</v>
      </c>
      <c r="B1891" s="17" t="s">
        <v>6946</v>
      </c>
      <c r="C1891" s="17" t="s">
        <v>6953</v>
      </c>
      <c r="D1891" s="19" t="s">
        <v>6954</v>
      </c>
      <c r="E1891" s="20" t="s">
        <v>624</v>
      </c>
      <c r="F1891" s="21">
        <v>27185.0</v>
      </c>
      <c r="G1891" s="14">
        <f t="shared" si="1"/>
        <v>52</v>
      </c>
      <c r="H1891" s="23" t="s">
        <v>26</v>
      </c>
      <c r="I1891" s="24" t="s">
        <v>33</v>
      </c>
      <c r="J1891" s="19" t="s">
        <v>282</v>
      </c>
      <c r="K1891" s="14">
        <v>12.0</v>
      </c>
      <c r="L1891" s="14">
        <v>0.0</v>
      </c>
      <c r="M1891" s="25"/>
      <c r="N1891" s="26" t="s">
        <v>21</v>
      </c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</row>
    <row r="1892">
      <c r="A1892" s="14" t="s">
        <v>6955</v>
      </c>
      <c r="B1892" s="17" t="s">
        <v>6956</v>
      </c>
      <c r="C1892" s="17" t="s">
        <v>6957</v>
      </c>
      <c r="D1892" s="19" t="s">
        <v>6958</v>
      </c>
      <c r="E1892" s="20" t="s">
        <v>429</v>
      </c>
      <c r="F1892" s="21">
        <v>16498.0</v>
      </c>
      <c r="G1892" s="14">
        <f t="shared" si="1"/>
        <v>81</v>
      </c>
      <c r="H1892" s="23" t="s">
        <v>27</v>
      </c>
      <c r="I1892" s="24" t="s">
        <v>27</v>
      </c>
      <c r="J1892" s="19" t="s">
        <v>362</v>
      </c>
      <c r="K1892" s="14">
        <v>25.0</v>
      </c>
      <c r="L1892" s="14">
        <v>1.0</v>
      </c>
      <c r="M1892" s="25"/>
      <c r="N1892" s="26" t="s">
        <v>21</v>
      </c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</row>
    <row r="1893">
      <c r="A1893" s="14" t="s">
        <v>6959</v>
      </c>
      <c r="B1893" s="17" t="s">
        <v>6960</v>
      </c>
      <c r="C1893" s="17" t="s">
        <v>6961</v>
      </c>
      <c r="D1893" s="19" t="s">
        <v>6962</v>
      </c>
      <c r="E1893" s="20" t="s">
        <v>219</v>
      </c>
      <c r="F1893" s="21">
        <v>25366.0</v>
      </c>
      <c r="G1893" s="14">
        <f t="shared" si="1"/>
        <v>57</v>
      </c>
      <c r="H1893" s="23" t="s">
        <v>26</v>
      </c>
      <c r="I1893" s="24" t="s">
        <v>33</v>
      </c>
      <c r="J1893" s="19" t="s">
        <v>282</v>
      </c>
      <c r="K1893" s="14">
        <v>18.0</v>
      </c>
      <c r="L1893" s="14">
        <v>0.0</v>
      </c>
      <c r="M1893" s="25"/>
      <c r="N1893" s="26" t="s">
        <v>21</v>
      </c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</row>
    <row r="1894">
      <c r="A1894" s="14" t="s">
        <v>6963</v>
      </c>
      <c r="B1894" s="17" t="s">
        <v>6960</v>
      </c>
      <c r="C1894" s="17" t="s">
        <v>6964</v>
      </c>
      <c r="D1894" s="19" t="s">
        <v>6965</v>
      </c>
      <c r="E1894" s="20" t="s">
        <v>219</v>
      </c>
      <c r="F1894" s="21">
        <v>25509.0</v>
      </c>
      <c r="G1894" s="14">
        <f t="shared" si="1"/>
        <v>56</v>
      </c>
      <c r="H1894" s="23" t="s">
        <v>26</v>
      </c>
      <c r="I1894" s="24" t="s">
        <v>27</v>
      </c>
      <c r="J1894" s="19" t="s">
        <v>282</v>
      </c>
      <c r="K1894" s="14">
        <v>18.0</v>
      </c>
      <c r="L1894" s="14">
        <v>0.0</v>
      </c>
      <c r="M1894" s="25"/>
      <c r="N1894" s="26" t="s">
        <v>21</v>
      </c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</row>
    <row r="1895">
      <c r="A1895" s="14" t="s">
        <v>6966</v>
      </c>
      <c r="B1895" s="17" t="s">
        <v>6967</v>
      </c>
      <c r="C1895" s="17" t="s">
        <v>6968</v>
      </c>
      <c r="D1895" s="19" t="s">
        <v>6969</v>
      </c>
      <c r="E1895" s="20" t="s">
        <v>6970</v>
      </c>
      <c r="F1895" s="21">
        <v>30031.0</v>
      </c>
      <c r="G1895" s="14">
        <f t="shared" si="1"/>
        <v>44</v>
      </c>
      <c r="H1895" s="23" t="s">
        <v>26</v>
      </c>
      <c r="I1895" s="24" t="s">
        <v>33</v>
      </c>
      <c r="J1895" s="19" t="s">
        <v>328</v>
      </c>
      <c r="K1895" s="14">
        <v>26.0</v>
      </c>
      <c r="L1895" s="14">
        <v>0.0</v>
      </c>
      <c r="M1895" s="25"/>
      <c r="N1895" s="26" t="s">
        <v>21</v>
      </c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</row>
    <row r="1896">
      <c r="A1896" s="14" t="s">
        <v>6971</v>
      </c>
      <c r="B1896" s="17" t="s">
        <v>6967</v>
      </c>
      <c r="C1896" s="17" t="s">
        <v>6972</v>
      </c>
      <c r="D1896" s="19" t="s">
        <v>1494</v>
      </c>
      <c r="E1896" s="20" t="s">
        <v>104</v>
      </c>
      <c r="F1896" s="21">
        <v>30331.0</v>
      </c>
      <c r="G1896" s="14">
        <f t="shared" si="1"/>
        <v>43</v>
      </c>
      <c r="H1896" s="23" t="s">
        <v>26</v>
      </c>
      <c r="I1896" s="24" t="s">
        <v>27</v>
      </c>
      <c r="J1896" s="19" t="s">
        <v>328</v>
      </c>
      <c r="K1896" s="14">
        <v>26.0</v>
      </c>
      <c r="L1896" s="14">
        <v>0.0</v>
      </c>
      <c r="M1896" s="25"/>
      <c r="N1896" s="26" t="s">
        <v>21</v>
      </c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</row>
    <row r="1897">
      <c r="A1897" s="14" t="s">
        <v>6973</v>
      </c>
      <c r="B1897" s="17" t="s">
        <v>6974</v>
      </c>
      <c r="C1897" s="17" t="s">
        <v>6975</v>
      </c>
      <c r="D1897" s="19" t="s">
        <v>6976</v>
      </c>
      <c r="E1897" s="20" t="s">
        <v>104</v>
      </c>
      <c r="F1897" s="21">
        <v>38516.0</v>
      </c>
      <c r="G1897" s="14">
        <f t="shared" si="1"/>
        <v>21</v>
      </c>
      <c r="H1897" s="23" t="s">
        <v>100</v>
      </c>
      <c r="I1897" s="24" t="s">
        <v>33</v>
      </c>
      <c r="J1897" s="19" t="s">
        <v>328</v>
      </c>
      <c r="K1897" s="14">
        <v>31.0</v>
      </c>
      <c r="L1897" s="14">
        <v>0.0</v>
      </c>
      <c r="M1897" s="25"/>
      <c r="N1897" s="26" t="s">
        <v>21</v>
      </c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</row>
    <row r="1898">
      <c r="A1898" s="14" t="s">
        <v>6977</v>
      </c>
      <c r="B1898" s="17" t="s">
        <v>6974</v>
      </c>
      <c r="C1898" s="17" t="s">
        <v>6978</v>
      </c>
      <c r="D1898" s="19" t="s">
        <v>6979</v>
      </c>
      <c r="E1898" s="20" t="s">
        <v>2505</v>
      </c>
      <c r="F1898" s="21">
        <v>25842.0</v>
      </c>
      <c r="G1898" s="14">
        <f t="shared" si="1"/>
        <v>56</v>
      </c>
      <c r="H1898" s="23" t="s">
        <v>26</v>
      </c>
      <c r="I1898" s="24" t="s">
        <v>27</v>
      </c>
      <c r="J1898" s="19" t="s">
        <v>328</v>
      </c>
      <c r="K1898" s="14">
        <v>31.0</v>
      </c>
      <c r="L1898" s="14">
        <v>0.0</v>
      </c>
      <c r="M1898" s="25"/>
      <c r="N1898" s="26" t="s">
        <v>21</v>
      </c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</row>
    <row r="1899">
      <c r="A1899" s="14" t="s">
        <v>6980</v>
      </c>
      <c r="B1899" s="17" t="s">
        <v>6974</v>
      </c>
      <c r="C1899" s="17" t="s">
        <v>6981</v>
      </c>
      <c r="D1899" s="19" t="s">
        <v>2629</v>
      </c>
      <c r="E1899" s="20" t="s">
        <v>429</v>
      </c>
      <c r="F1899" s="21">
        <v>24289.0</v>
      </c>
      <c r="G1899" s="14">
        <f t="shared" si="1"/>
        <v>60</v>
      </c>
      <c r="H1899" s="23" t="s">
        <v>26</v>
      </c>
      <c r="I1899" s="24" t="s">
        <v>33</v>
      </c>
      <c r="J1899" s="19" t="s">
        <v>328</v>
      </c>
      <c r="K1899" s="14">
        <v>31.0</v>
      </c>
      <c r="L1899" s="14">
        <v>0.0</v>
      </c>
      <c r="M1899" s="25"/>
      <c r="N1899" s="26" t="s">
        <v>21</v>
      </c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</row>
    <row r="1900">
      <c r="A1900" s="14" t="s">
        <v>6982</v>
      </c>
      <c r="B1900" s="17" t="s">
        <v>6974</v>
      </c>
      <c r="C1900" s="17" t="s">
        <v>6983</v>
      </c>
      <c r="D1900" s="19" t="s">
        <v>6984</v>
      </c>
      <c r="E1900" s="20" t="s">
        <v>104</v>
      </c>
      <c r="F1900" s="21">
        <v>36104.0</v>
      </c>
      <c r="G1900" s="14">
        <f t="shared" si="1"/>
        <v>27</v>
      </c>
      <c r="H1900" s="23" t="s">
        <v>100</v>
      </c>
      <c r="I1900" s="24" t="s">
        <v>33</v>
      </c>
      <c r="J1900" s="19" t="s">
        <v>328</v>
      </c>
      <c r="K1900" s="14">
        <v>31.0</v>
      </c>
      <c r="L1900" s="14">
        <v>0.0</v>
      </c>
      <c r="M1900" s="25"/>
      <c r="N1900" s="26" t="s">
        <v>21</v>
      </c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</row>
    <row r="1901">
      <c r="A1901" s="14" t="s">
        <v>6985</v>
      </c>
      <c r="B1901" s="17" t="s">
        <v>6986</v>
      </c>
      <c r="C1901" s="17" t="s">
        <v>6987</v>
      </c>
      <c r="D1901" s="19" t="s">
        <v>6988</v>
      </c>
      <c r="E1901" s="20" t="s">
        <v>429</v>
      </c>
      <c r="F1901" s="21">
        <v>19126.0</v>
      </c>
      <c r="G1901" s="14">
        <f t="shared" si="1"/>
        <v>74</v>
      </c>
      <c r="H1901" s="23" t="s">
        <v>26</v>
      </c>
      <c r="I1901" s="24" t="s">
        <v>27</v>
      </c>
      <c r="J1901" s="19" t="s">
        <v>328</v>
      </c>
      <c r="K1901" s="14">
        <v>25.0</v>
      </c>
      <c r="L1901" s="14">
        <v>0.0</v>
      </c>
      <c r="M1901" s="25"/>
      <c r="N1901" s="26" t="s">
        <v>21</v>
      </c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</row>
    <row r="1902">
      <c r="A1902" s="14" t="s">
        <v>6989</v>
      </c>
      <c r="B1902" s="17" t="s">
        <v>6986</v>
      </c>
      <c r="C1902" s="17" t="s">
        <v>6990</v>
      </c>
      <c r="D1902" s="19" t="s">
        <v>6991</v>
      </c>
      <c r="E1902" s="20" t="s">
        <v>429</v>
      </c>
      <c r="F1902" s="21">
        <v>22707.0</v>
      </c>
      <c r="G1902" s="14">
        <f t="shared" si="1"/>
        <v>64</v>
      </c>
      <c r="H1902" s="23" t="s">
        <v>26</v>
      </c>
      <c r="I1902" s="24" t="s">
        <v>33</v>
      </c>
      <c r="J1902" s="19" t="s">
        <v>328</v>
      </c>
      <c r="K1902" s="14">
        <v>25.0</v>
      </c>
      <c r="L1902" s="14">
        <v>0.0</v>
      </c>
      <c r="M1902" s="25"/>
      <c r="N1902" s="26" t="s">
        <v>21</v>
      </c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</row>
    <row r="1903">
      <c r="A1903" s="14" t="s">
        <v>6992</v>
      </c>
      <c r="B1903" s="17" t="s">
        <v>6993</v>
      </c>
      <c r="C1903" s="17" t="s">
        <v>6994</v>
      </c>
      <c r="D1903" s="19" t="s">
        <v>6995</v>
      </c>
      <c r="E1903" s="20" t="s">
        <v>3552</v>
      </c>
      <c r="F1903" s="21">
        <v>29753.0</v>
      </c>
      <c r="G1903" s="14">
        <f t="shared" si="1"/>
        <v>45</v>
      </c>
      <c r="H1903" s="23" t="s">
        <v>26</v>
      </c>
      <c r="I1903" s="24" t="s">
        <v>27</v>
      </c>
      <c r="J1903" s="19" t="s">
        <v>328</v>
      </c>
      <c r="K1903" s="14">
        <v>22.0</v>
      </c>
      <c r="L1903" s="14">
        <v>0.0</v>
      </c>
      <c r="M1903" s="25"/>
      <c r="N1903" s="26" t="s">
        <v>21</v>
      </c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</row>
    <row r="1904">
      <c r="A1904" s="14" t="s">
        <v>6996</v>
      </c>
      <c r="B1904" s="17" t="s">
        <v>6993</v>
      </c>
      <c r="C1904" s="17" t="s">
        <v>6997</v>
      </c>
      <c r="D1904" s="19" t="s">
        <v>6998</v>
      </c>
      <c r="E1904" s="20" t="s">
        <v>138</v>
      </c>
      <c r="F1904" s="21">
        <v>38329.0</v>
      </c>
      <c r="G1904" s="14">
        <f t="shared" si="1"/>
        <v>21</v>
      </c>
      <c r="H1904" s="23" t="s">
        <v>100</v>
      </c>
      <c r="I1904" s="24" t="s">
        <v>33</v>
      </c>
      <c r="J1904" s="19" t="s">
        <v>328</v>
      </c>
      <c r="K1904" s="14">
        <v>22.0</v>
      </c>
      <c r="L1904" s="14">
        <v>0.0</v>
      </c>
      <c r="M1904" s="25"/>
      <c r="N1904" s="26" t="s">
        <v>21</v>
      </c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</row>
    <row r="1905">
      <c r="A1905" s="14" t="s">
        <v>6999</v>
      </c>
      <c r="B1905" s="17" t="s">
        <v>6993</v>
      </c>
      <c r="C1905" s="17" t="s">
        <v>7000</v>
      </c>
      <c r="D1905" s="19" t="s">
        <v>7001</v>
      </c>
      <c r="E1905" s="20" t="s">
        <v>104</v>
      </c>
      <c r="F1905" s="21">
        <v>28265.0</v>
      </c>
      <c r="G1905" s="14">
        <f t="shared" si="1"/>
        <v>49</v>
      </c>
      <c r="H1905" s="23" t="s">
        <v>26</v>
      </c>
      <c r="I1905" s="24" t="s">
        <v>33</v>
      </c>
      <c r="J1905" s="19" t="s">
        <v>328</v>
      </c>
      <c r="K1905" s="14">
        <v>22.0</v>
      </c>
      <c r="L1905" s="14">
        <v>1.0</v>
      </c>
      <c r="M1905" s="25"/>
      <c r="N1905" s="26" t="s">
        <v>21</v>
      </c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</row>
    <row r="1906">
      <c r="A1906" s="14" t="s">
        <v>7002</v>
      </c>
      <c r="B1906" s="17" t="s">
        <v>7003</v>
      </c>
      <c r="C1906" s="17" t="s">
        <v>7004</v>
      </c>
      <c r="D1906" s="19" t="s">
        <v>7005</v>
      </c>
      <c r="E1906" s="20" t="s">
        <v>104</v>
      </c>
      <c r="F1906" s="21">
        <v>38929.0</v>
      </c>
      <c r="G1906" s="14">
        <f t="shared" si="1"/>
        <v>20</v>
      </c>
      <c r="H1906" s="23" t="s">
        <v>100</v>
      </c>
      <c r="I1906" s="24" t="s">
        <v>33</v>
      </c>
      <c r="J1906" s="19" t="s">
        <v>362</v>
      </c>
      <c r="K1906" s="14">
        <v>23.0</v>
      </c>
      <c r="L1906" s="14">
        <v>0.0</v>
      </c>
      <c r="M1906" s="25"/>
      <c r="N1906" s="26" t="s">
        <v>21</v>
      </c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</row>
    <row r="1907">
      <c r="A1907" s="14" t="s">
        <v>7006</v>
      </c>
      <c r="B1907" s="17" t="s">
        <v>7003</v>
      </c>
      <c r="C1907" s="17" t="s">
        <v>7007</v>
      </c>
      <c r="D1907" s="19" t="s">
        <v>879</v>
      </c>
      <c r="E1907" s="20" t="s">
        <v>632</v>
      </c>
      <c r="F1907" s="21">
        <v>29719.0</v>
      </c>
      <c r="G1907" s="14">
        <f t="shared" si="1"/>
        <v>45</v>
      </c>
      <c r="H1907" s="23" t="s">
        <v>26</v>
      </c>
      <c r="I1907" s="24" t="s">
        <v>33</v>
      </c>
      <c r="J1907" s="19" t="s">
        <v>362</v>
      </c>
      <c r="K1907" s="14">
        <v>23.0</v>
      </c>
      <c r="L1907" s="14">
        <v>0.0</v>
      </c>
      <c r="M1907" s="25"/>
      <c r="N1907" s="26" t="s">
        <v>21</v>
      </c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</row>
    <row r="1908">
      <c r="A1908" s="14" t="s">
        <v>7008</v>
      </c>
      <c r="B1908" s="17" t="s">
        <v>7003</v>
      </c>
      <c r="C1908" s="17" t="s">
        <v>7009</v>
      </c>
      <c r="D1908" s="19" t="s">
        <v>5017</v>
      </c>
      <c r="E1908" s="20" t="s">
        <v>104</v>
      </c>
      <c r="F1908" s="21">
        <v>31194.0</v>
      </c>
      <c r="G1908" s="14">
        <f t="shared" si="1"/>
        <v>41</v>
      </c>
      <c r="H1908" s="23" t="s">
        <v>26</v>
      </c>
      <c r="I1908" s="24" t="s">
        <v>27</v>
      </c>
      <c r="J1908" s="19" t="s">
        <v>362</v>
      </c>
      <c r="K1908" s="14">
        <v>23.0</v>
      </c>
      <c r="L1908" s="14">
        <v>0.0</v>
      </c>
      <c r="M1908" s="25"/>
      <c r="N1908" s="26" t="s">
        <v>21</v>
      </c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</row>
    <row r="1909">
      <c r="A1909" s="14" t="s">
        <v>7010</v>
      </c>
      <c r="B1909" s="17" t="s">
        <v>7011</v>
      </c>
      <c r="C1909" s="17" t="s">
        <v>7012</v>
      </c>
      <c r="D1909" s="19" t="s">
        <v>7013</v>
      </c>
      <c r="E1909" s="20" t="s">
        <v>53</v>
      </c>
      <c r="F1909" s="21">
        <v>37291.0</v>
      </c>
      <c r="G1909" s="14">
        <f t="shared" si="1"/>
        <v>24</v>
      </c>
      <c r="H1909" s="23" t="s">
        <v>100</v>
      </c>
      <c r="I1909" s="24" t="s">
        <v>27</v>
      </c>
      <c r="J1909" s="19" t="s">
        <v>156</v>
      </c>
      <c r="K1909" s="14">
        <v>35.0</v>
      </c>
      <c r="L1909" s="14">
        <v>0.0</v>
      </c>
      <c r="M1909" s="25"/>
      <c r="N1909" s="26" t="s">
        <v>21</v>
      </c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</row>
    <row r="1910">
      <c r="A1910" s="14" t="s">
        <v>7014</v>
      </c>
      <c r="B1910" s="17" t="s">
        <v>7011</v>
      </c>
      <c r="C1910" s="17" t="s">
        <v>7015</v>
      </c>
      <c r="D1910" s="19" t="s">
        <v>7016</v>
      </c>
      <c r="E1910" s="20" t="s">
        <v>4976</v>
      </c>
      <c r="F1910" s="27">
        <v>25167.0</v>
      </c>
      <c r="G1910" s="14">
        <f t="shared" si="1"/>
        <v>57</v>
      </c>
      <c r="H1910" s="23" t="s">
        <v>26</v>
      </c>
      <c r="I1910" s="24" t="s">
        <v>33</v>
      </c>
      <c r="J1910" s="19" t="s">
        <v>156</v>
      </c>
      <c r="K1910" s="14">
        <v>35.0</v>
      </c>
      <c r="L1910" s="14">
        <v>0.0</v>
      </c>
      <c r="M1910" s="25"/>
      <c r="N1910" s="26" t="s">
        <v>21</v>
      </c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</row>
    <row r="1911">
      <c r="A1911" s="14" t="s">
        <v>7017</v>
      </c>
      <c r="B1911" s="17" t="s">
        <v>7011</v>
      </c>
      <c r="C1911" s="17" t="s">
        <v>7018</v>
      </c>
      <c r="D1911" s="19" t="s">
        <v>7019</v>
      </c>
      <c r="E1911" s="20" t="s">
        <v>1291</v>
      </c>
      <c r="F1911" s="21">
        <v>26665.0</v>
      </c>
      <c r="G1911" s="14">
        <f t="shared" si="1"/>
        <v>53</v>
      </c>
      <c r="H1911" s="23" t="s">
        <v>26</v>
      </c>
      <c r="I1911" s="24" t="s">
        <v>27</v>
      </c>
      <c r="J1911" s="19" t="s">
        <v>156</v>
      </c>
      <c r="K1911" s="14">
        <v>35.0</v>
      </c>
      <c r="L1911" s="14">
        <v>0.0</v>
      </c>
      <c r="M1911" s="25"/>
      <c r="N1911" s="26" t="s">
        <v>21</v>
      </c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</row>
    <row r="1912">
      <c r="A1912" s="14" t="s">
        <v>7020</v>
      </c>
      <c r="B1912" s="17" t="s">
        <v>7021</v>
      </c>
      <c r="C1912" s="17" t="s">
        <v>7022</v>
      </c>
      <c r="D1912" s="19" t="s">
        <v>7023</v>
      </c>
      <c r="E1912" s="20" t="s">
        <v>104</v>
      </c>
      <c r="F1912" s="21">
        <v>29629.0</v>
      </c>
      <c r="G1912" s="14">
        <f t="shared" si="1"/>
        <v>45</v>
      </c>
      <c r="H1912" s="23" t="s">
        <v>26</v>
      </c>
      <c r="I1912" s="24" t="s">
        <v>33</v>
      </c>
      <c r="J1912" s="19" t="s">
        <v>328</v>
      </c>
      <c r="K1912" s="14">
        <v>25.0</v>
      </c>
      <c r="L1912" s="14">
        <v>0.0</v>
      </c>
      <c r="M1912" s="25"/>
      <c r="N1912" s="26" t="s">
        <v>21</v>
      </c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</row>
    <row r="1913">
      <c r="A1913" s="14" t="s">
        <v>7024</v>
      </c>
      <c r="B1913" s="17" t="s">
        <v>7021</v>
      </c>
      <c r="C1913" s="17" t="s">
        <v>7025</v>
      </c>
      <c r="D1913" s="19" t="s">
        <v>1268</v>
      </c>
      <c r="E1913" s="20" t="s">
        <v>195</v>
      </c>
      <c r="F1913" s="21">
        <v>29598.0</v>
      </c>
      <c r="G1913" s="14">
        <f t="shared" si="1"/>
        <v>45</v>
      </c>
      <c r="H1913" s="23" t="s">
        <v>26</v>
      </c>
      <c r="I1913" s="24" t="s">
        <v>27</v>
      </c>
      <c r="J1913" s="19" t="s">
        <v>68</v>
      </c>
      <c r="K1913" s="14">
        <v>25.0</v>
      </c>
      <c r="L1913" s="14">
        <v>0.0</v>
      </c>
      <c r="M1913" s="25"/>
      <c r="N1913" s="26" t="s">
        <v>21</v>
      </c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</row>
    <row r="1914">
      <c r="A1914" s="14" t="s">
        <v>7026</v>
      </c>
      <c r="B1914" s="17" t="s">
        <v>7021</v>
      </c>
      <c r="C1914" s="17" t="s">
        <v>7027</v>
      </c>
      <c r="D1914" s="19" t="s">
        <v>7028</v>
      </c>
      <c r="E1914" s="20" t="s">
        <v>195</v>
      </c>
      <c r="F1914" s="21">
        <v>38398.0</v>
      </c>
      <c r="G1914" s="14">
        <f t="shared" si="1"/>
        <v>21</v>
      </c>
      <c r="H1914" s="23" t="s">
        <v>100</v>
      </c>
      <c r="I1914" s="24" t="s">
        <v>27</v>
      </c>
      <c r="J1914" s="19" t="s">
        <v>328</v>
      </c>
      <c r="K1914" s="14">
        <v>25.0</v>
      </c>
      <c r="L1914" s="14">
        <v>0.0</v>
      </c>
      <c r="M1914" s="25"/>
      <c r="N1914" s="26" t="s">
        <v>21</v>
      </c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</row>
    <row r="1915">
      <c r="A1915" s="14" t="s">
        <v>7029</v>
      </c>
      <c r="B1915" s="17" t="s">
        <v>7021</v>
      </c>
      <c r="C1915" s="17" t="s">
        <v>7030</v>
      </c>
      <c r="D1915" s="19" t="s">
        <v>7031</v>
      </c>
      <c r="E1915" s="20" t="s">
        <v>7032</v>
      </c>
      <c r="F1915" s="21">
        <v>38931.0</v>
      </c>
      <c r="G1915" s="14">
        <f t="shared" si="1"/>
        <v>20</v>
      </c>
      <c r="H1915" s="23" t="s">
        <v>100</v>
      </c>
      <c r="I1915" s="24" t="s">
        <v>33</v>
      </c>
      <c r="J1915" s="19" t="s">
        <v>328</v>
      </c>
      <c r="K1915" s="14">
        <v>25.0</v>
      </c>
      <c r="L1915" s="14">
        <v>0.0</v>
      </c>
      <c r="M1915" s="25"/>
      <c r="N1915" s="26" t="s">
        <v>21</v>
      </c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</row>
    <row r="1916">
      <c r="A1916" s="14" t="s">
        <v>7033</v>
      </c>
      <c r="B1916" s="17" t="s">
        <v>7034</v>
      </c>
      <c r="C1916" s="17" t="s">
        <v>7035</v>
      </c>
      <c r="D1916" s="19" t="s">
        <v>7036</v>
      </c>
      <c r="E1916" s="20" t="s">
        <v>104</v>
      </c>
      <c r="F1916" s="21">
        <v>29501.0</v>
      </c>
      <c r="G1916" s="14">
        <f t="shared" si="1"/>
        <v>46</v>
      </c>
      <c r="H1916" s="23" t="s">
        <v>26</v>
      </c>
      <c r="I1916" s="24" t="s">
        <v>33</v>
      </c>
      <c r="J1916" s="19" t="s">
        <v>68</v>
      </c>
      <c r="K1916" s="14">
        <v>31.0</v>
      </c>
      <c r="L1916" s="14">
        <v>0.0</v>
      </c>
      <c r="M1916" s="25"/>
      <c r="N1916" s="26" t="s">
        <v>21</v>
      </c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</row>
    <row r="1917">
      <c r="A1917" s="14" t="s">
        <v>7037</v>
      </c>
      <c r="B1917" s="17" t="s">
        <v>7034</v>
      </c>
      <c r="C1917" s="17" t="s">
        <v>7038</v>
      </c>
      <c r="D1917" s="19" t="s">
        <v>7039</v>
      </c>
      <c r="E1917" s="20" t="s">
        <v>671</v>
      </c>
      <c r="F1917" s="21">
        <v>28878.0</v>
      </c>
      <c r="G1917" s="14">
        <f t="shared" si="1"/>
        <v>47</v>
      </c>
      <c r="H1917" s="23" t="s">
        <v>26</v>
      </c>
      <c r="I1917" s="24" t="s">
        <v>27</v>
      </c>
      <c r="J1917" s="19" t="s">
        <v>68</v>
      </c>
      <c r="K1917" s="14">
        <v>31.0</v>
      </c>
      <c r="L1917" s="14">
        <v>0.0</v>
      </c>
      <c r="M1917" s="25"/>
      <c r="N1917" s="26" t="s">
        <v>21</v>
      </c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</row>
    <row r="1918">
      <c r="A1918" s="14" t="s">
        <v>7040</v>
      </c>
      <c r="B1918" s="17" t="s">
        <v>7041</v>
      </c>
      <c r="C1918" s="17" t="s">
        <v>7042</v>
      </c>
      <c r="D1918" s="19" t="s">
        <v>7043</v>
      </c>
      <c r="E1918" s="20" t="s">
        <v>210</v>
      </c>
      <c r="F1918" s="21">
        <v>38500.0</v>
      </c>
      <c r="G1918" s="14">
        <f t="shared" si="1"/>
        <v>21</v>
      </c>
      <c r="H1918" s="23" t="s">
        <v>100</v>
      </c>
      <c r="I1918" s="24" t="s">
        <v>27</v>
      </c>
      <c r="J1918" s="19" t="s">
        <v>68</v>
      </c>
      <c r="K1918" s="14">
        <v>34.0</v>
      </c>
      <c r="L1918" s="14">
        <v>0.0</v>
      </c>
      <c r="M1918" s="25"/>
      <c r="N1918" s="26" t="s">
        <v>21</v>
      </c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</row>
    <row r="1919">
      <c r="A1919" s="14" t="s">
        <v>7044</v>
      </c>
      <c r="B1919" s="17" t="s">
        <v>7041</v>
      </c>
      <c r="C1919" s="17" t="s">
        <v>7045</v>
      </c>
      <c r="D1919" s="19" t="s">
        <v>7046</v>
      </c>
      <c r="E1919" s="20" t="s">
        <v>104</v>
      </c>
      <c r="F1919" s="21">
        <v>29193.0</v>
      </c>
      <c r="G1919" s="14">
        <f t="shared" si="1"/>
        <v>46</v>
      </c>
      <c r="H1919" s="23" t="s">
        <v>26</v>
      </c>
      <c r="I1919" s="24" t="s">
        <v>33</v>
      </c>
      <c r="J1919" s="19" t="s">
        <v>68</v>
      </c>
      <c r="K1919" s="14">
        <v>34.0</v>
      </c>
      <c r="L1919" s="14">
        <v>0.0</v>
      </c>
      <c r="M1919" s="25"/>
      <c r="N1919" s="26" t="s">
        <v>21</v>
      </c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</row>
    <row r="1920">
      <c r="A1920" s="14" t="s">
        <v>7047</v>
      </c>
      <c r="B1920" s="17" t="s">
        <v>7041</v>
      </c>
      <c r="C1920" s="17" t="s">
        <v>7048</v>
      </c>
      <c r="D1920" s="19" t="s">
        <v>7049</v>
      </c>
      <c r="E1920" s="20" t="s">
        <v>104</v>
      </c>
      <c r="F1920" s="21">
        <v>29479.0</v>
      </c>
      <c r="G1920" s="14">
        <f t="shared" si="1"/>
        <v>46</v>
      </c>
      <c r="H1920" s="23" t="s">
        <v>26</v>
      </c>
      <c r="I1920" s="24" t="s">
        <v>27</v>
      </c>
      <c r="J1920" s="19" t="s">
        <v>68</v>
      </c>
      <c r="K1920" s="14">
        <v>34.0</v>
      </c>
      <c r="L1920" s="14">
        <v>0.0</v>
      </c>
      <c r="M1920" s="25"/>
      <c r="N1920" s="26" t="s">
        <v>21</v>
      </c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</row>
    <row r="1921">
      <c r="A1921" s="14" t="s">
        <v>7050</v>
      </c>
      <c r="B1921" s="17" t="s">
        <v>7051</v>
      </c>
      <c r="C1921" s="17" t="s">
        <v>7052</v>
      </c>
      <c r="D1921" s="19" t="s">
        <v>4468</v>
      </c>
      <c r="E1921" s="20" t="s">
        <v>6048</v>
      </c>
      <c r="F1921" s="21">
        <v>30786.0</v>
      </c>
      <c r="G1921" s="14">
        <f t="shared" si="1"/>
        <v>42</v>
      </c>
      <c r="H1921" s="23" t="s">
        <v>26</v>
      </c>
      <c r="I1921" s="24" t="s">
        <v>33</v>
      </c>
      <c r="J1921" s="19" t="s">
        <v>68</v>
      </c>
      <c r="K1921" s="14">
        <v>34.0</v>
      </c>
      <c r="L1921" s="14">
        <v>0.0</v>
      </c>
      <c r="M1921" s="25"/>
      <c r="N1921" s="26" t="s">
        <v>21</v>
      </c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</row>
    <row r="1922">
      <c r="A1922" s="14" t="s">
        <v>7053</v>
      </c>
      <c r="B1922" s="17" t="s">
        <v>7051</v>
      </c>
      <c r="C1922" s="17" t="s">
        <v>7054</v>
      </c>
      <c r="D1922" s="19" t="s">
        <v>7055</v>
      </c>
      <c r="E1922" s="20" t="s">
        <v>53</v>
      </c>
      <c r="F1922" s="21">
        <v>30814.0</v>
      </c>
      <c r="G1922" s="14">
        <f t="shared" si="1"/>
        <v>42</v>
      </c>
      <c r="H1922" s="23" t="s">
        <v>26</v>
      </c>
      <c r="I1922" s="24" t="s">
        <v>27</v>
      </c>
      <c r="J1922" s="19" t="s">
        <v>68</v>
      </c>
      <c r="K1922" s="14">
        <v>34.0</v>
      </c>
      <c r="L1922" s="14">
        <v>0.0</v>
      </c>
      <c r="M1922" s="25"/>
      <c r="N1922" s="26" t="s">
        <v>21</v>
      </c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</row>
    <row r="1923">
      <c r="A1923" s="14" t="s">
        <v>7056</v>
      </c>
      <c r="B1923" s="17" t="s">
        <v>7057</v>
      </c>
      <c r="C1923" s="17" t="s">
        <v>7058</v>
      </c>
      <c r="D1923" s="19" t="s">
        <v>7059</v>
      </c>
      <c r="E1923" s="20" t="s">
        <v>337</v>
      </c>
      <c r="F1923" s="27">
        <v>36481.0</v>
      </c>
      <c r="G1923" s="14">
        <f t="shared" si="1"/>
        <v>26</v>
      </c>
      <c r="H1923" s="23" t="s">
        <v>100</v>
      </c>
      <c r="I1923" s="24" t="s">
        <v>33</v>
      </c>
      <c r="J1923" s="19" t="s">
        <v>3211</v>
      </c>
      <c r="K1923" s="14">
        <v>24.0</v>
      </c>
      <c r="L1923" s="14">
        <v>7.0</v>
      </c>
      <c r="M1923" s="28" t="s">
        <v>7852</v>
      </c>
      <c r="N1923" s="26" t="s">
        <v>21</v>
      </c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</row>
    <row r="1924">
      <c r="A1924" s="14" t="s">
        <v>7060</v>
      </c>
      <c r="B1924" s="17" t="s">
        <v>7057</v>
      </c>
      <c r="C1924" s="17" t="s">
        <v>7061</v>
      </c>
      <c r="D1924" s="19" t="s">
        <v>7062</v>
      </c>
      <c r="E1924" s="20" t="s">
        <v>1038</v>
      </c>
      <c r="F1924" s="21">
        <v>19041.0</v>
      </c>
      <c r="G1924" s="14">
        <f t="shared" si="1"/>
        <v>74</v>
      </c>
      <c r="H1924" s="23" t="s">
        <v>26</v>
      </c>
      <c r="I1924" s="24" t="s">
        <v>33</v>
      </c>
      <c r="J1924" s="19" t="s">
        <v>3211</v>
      </c>
      <c r="K1924" s="14">
        <v>24.0</v>
      </c>
      <c r="L1924" s="14">
        <v>0.0</v>
      </c>
      <c r="M1924" s="25"/>
      <c r="N1924" s="26" t="s">
        <v>21</v>
      </c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</row>
    <row r="1925">
      <c r="A1925" s="14" t="s">
        <v>7063</v>
      </c>
      <c r="B1925" s="17" t="s">
        <v>7057</v>
      </c>
      <c r="C1925" s="17" t="s">
        <v>7064</v>
      </c>
      <c r="D1925" s="19" t="s">
        <v>7065</v>
      </c>
      <c r="E1925" s="20" t="s">
        <v>67</v>
      </c>
      <c r="F1925" s="21">
        <v>24205.0</v>
      </c>
      <c r="G1925" s="14">
        <f t="shared" si="1"/>
        <v>60</v>
      </c>
      <c r="H1925" s="23" t="s">
        <v>26</v>
      </c>
      <c r="I1925" s="24" t="s">
        <v>27</v>
      </c>
      <c r="J1925" s="19" t="s">
        <v>3211</v>
      </c>
      <c r="K1925" s="14">
        <v>24.0</v>
      </c>
      <c r="L1925" s="14">
        <v>0.0</v>
      </c>
      <c r="M1925" s="25"/>
      <c r="N1925" s="26" t="s">
        <v>21</v>
      </c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</row>
    <row r="1926">
      <c r="A1926" s="14" t="s">
        <v>7066</v>
      </c>
      <c r="B1926" s="17" t="s">
        <v>7067</v>
      </c>
      <c r="C1926" s="17" t="s">
        <v>7068</v>
      </c>
      <c r="D1926" s="19" t="s">
        <v>7069</v>
      </c>
      <c r="E1926" s="20" t="s">
        <v>1058</v>
      </c>
      <c r="F1926" s="21">
        <v>24703.0</v>
      </c>
      <c r="G1926" s="14">
        <f t="shared" si="1"/>
        <v>59</v>
      </c>
      <c r="H1926" s="23" t="s">
        <v>26</v>
      </c>
      <c r="I1926" s="24" t="s">
        <v>33</v>
      </c>
      <c r="J1926" s="19" t="s">
        <v>68</v>
      </c>
      <c r="K1926" s="14">
        <v>31.0</v>
      </c>
      <c r="L1926" s="14">
        <v>0.0</v>
      </c>
      <c r="M1926" s="25"/>
      <c r="N1926" s="26" t="s">
        <v>21</v>
      </c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</row>
    <row r="1927">
      <c r="A1927" s="14" t="s">
        <v>7070</v>
      </c>
      <c r="B1927" s="17" t="s">
        <v>7067</v>
      </c>
      <c r="C1927" s="17" t="s">
        <v>7071</v>
      </c>
      <c r="D1927" s="19" t="s">
        <v>7072</v>
      </c>
      <c r="E1927" s="20" t="s">
        <v>104</v>
      </c>
      <c r="F1927" s="21">
        <v>35807.0</v>
      </c>
      <c r="G1927" s="14">
        <f t="shared" si="1"/>
        <v>28</v>
      </c>
      <c r="H1927" s="23" t="s">
        <v>100</v>
      </c>
      <c r="I1927" s="24" t="s">
        <v>33</v>
      </c>
      <c r="J1927" s="19" t="s">
        <v>68</v>
      </c>
      <c r="K1927" s="14">
        <v>31.0</v>
      </c>
      <c r="L1927" s="14">
        <v>0.0</v>
      </c>
      <c r="M1927" s="25"/>
      <c r="N1927" s="26" t="s">
        <v>21</v>
      </c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</row>
    <row r="1928">
      <c r="A1928" s="14" t="s">
        <v>7073</v>
      </c>
      <c r="B1928" s="17" t="s">
        <v>7067</v>
      </c>
      <c r="C1928" s="17" t="s">
        <v>7074</v>
      </c>
      <c r="D1928" s="19" t="s">
        <v>3759</v>
      </c>
      <c r="E1928" s="20" t="s">
        <v>104</v>
      </c>
      <c r="F1928" s="21">
        <v>28739.0</v>
      </c>
      <c r="G1928" s="14">
        <f t="shared" si="1"/>
        <v>48</v>
      </c>
      <c r="H1928" s="23" t="s">
        <v>26</v>
      </c>
      <c r="I1928" s="24" t="s">
        <v>27</v>
      </c>
      <c r="J1928" s="19" t="s">
        <v>68</v>
      </c>
      <c r="K1928" s="14">
        <v>31.0</v>
      </c>
      <c r="L1928" s="14">
        <v>0.0</v>
      </c>
      <c r="M1928" s="25"/>
      <c r="N1928" s="26" t="s">
        <v>21</v>
      </c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</row>
    <row r="1929">
      <c r="A1929" s="14" t="s">
        <v>7075</v>
      </c>
      <c r="B1929" s="17" t="s">
        <v>7076</v>
      </c>
      <c r="C1929" s="17" t="s">
        <v>7077</v>
      </c>
      <c r="D1929" s="19" t="s">
        <v>7078</v>
      </c>
      <c r="E1929" s="20" t="s">
        <v>67</v>
      </c>
      <c r="F1929" s="21">
        <v>25381.0</v>
      </c>
      <c r="G1929" s="14">
        <f t="shared" si="1"/>
        <v>57</v>
      </c>
      <c r="H1929" s="23" t="s">
        <v>26</v>
      </c>
      <c r="I1929" s="24" t="s">
        <v>33</v>
      </c>
      <c r="J1929" s="19" t="s">
        <v>156</v>
      </c>
      <c r="K1929" s="14">
        <v>31.0</v>
      </c>
      <c r="L1929" s="14">
        <v>0.0</v>
      </c>
      <c r="M1929" s="25"/>
      <c r="N1929" s="26" t="s">
        <v>21</v>
      </c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</row>
    <row r="1930">
      <c r="A1930" s="14" t="s">
        <v>7079</v>
      </c>
      <c r="B1930" s="17" t="s">
        <v>7076</v>
      </c>
      <c r="C1930" s="17" t="s">
        <v>7080</v>
      </c>
      <c r="D1930" s="19" t="s">
        <v>7081</v>
      </c>
      <c r="E1930" s="20" t="s">
        <v>7082</v>
      </c>
      <c r="F1930" s="21">
        <v>26852.0</v>
      </c>
      <c r="G1930" s="14">
        <f t="shared" si="1"/>
        <v>53</v>
      </c>
      <c r="H1930" s="23" t="s">
        <v>26</v>
      </c>
      <c r="I1930" s="24" t="s">
        <v>27</v>
      </c>
      <c r="J1930" s="19" t="s">
        <v>156</v>
      </c>
      <c r="K1930" s="14">
        <v>31.0</v>
      </c>
      <c r="L1930" s="14">
        <v>0.0</v>
      </c>
      <c r="M1930" s="25"/>
      <c r="N1930" s="26" t="s">
        <v>21</v>
      </c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</row>
    <row r="1931">
      <c r="A1931" s="14" t="s">
        <v>7083</v>
      </c>
      <c r="B1931" s="17" t="s">
        <v>7076</v>
      </c>
      <c r="C1931" s="17" t="s">
        <v>7084</v>
      </c>
      <c r="D1931" s="19" t="s">
        <v>7085</v>
      </c>
      <c r="E1931" s="20" t="s">
        <v>337</v>
      </c>
      <c r="F1931" s="21">
        <v>37231.0</v>
      </c>
      <c r="G1931" s="14">
        <f t="shared" si="1"/>
        <v>24</v>
      </c>
      <c r="H1931" s="23" t="s">
        <v>100</v>
      </c>
      <c r="I1931" s="24" t="s">
        <v>27</v>
      </c>
      <c r="J1931" s="19" t="s">
        <v>156</v>
      </c>
      <c r="K1931" s="14">
        <v>31.0</v>
      </c>
      <c r="L1931" s="14">
        <v>0.0</v>
      </c>
      <c r="M1931" s="25"/>
      <c r="N1931" s="26" t="s">
        <v>21</v>
      </c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</row>
    <row r="1932">
      <c r="A1932" s="14" t="s">
        <v>7086</v>
      </c>
      <c r="B1932" s="17" t="s">
        <v>7087</v>
      </c>
      <c r="C1932" s="17" t="s">
        <v>7088</v>
      </c>
      <c r="D1932" s="19" t="s">
        <v>7089</v>
      </c>
      <c r="E1932" s="20" t="s">
        <v>104</v>
      </c>
      <c r="F1932" s="21">
        <v>37438.0</v>
      </c>
      <c r="G1932" s="14">
        <f t="shared" si="1"/>
        <v>24</v>
      </c>
      <c r="H1932" s="23" t="s">
        <v>100</v>
      </c>
      <c r="I1932" s="24" t="s">
        <v>33</v>
      </c>
      <c r="J1932" s="19" t="s">
        <v>146</v>
      </c>
      <c r="K1932" s="14">
        <v>10.0</v>
      </c>
      <c r="L1932" s="14">
        <v>5.0</v>
      </c>
      <c r="M1932" s="25"/>
      <c r="N1932" s="26" t="s">
        <v>21</v>
      </c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</row>
    <row r="1933">
      <c r="A1933" s="14" t="s">
        <v>7090</v>
      </c>
      <c r="B1933" s="17" t="s">
        <v>7087</v>
      </c>
      <c r="C1933" s="17" t="s">
        <v>7091</v>
      </c>
      <c r="D1933" s="19" t="s">
        <v>6839</v>
      </c>
      <c r="E1933" s="20" t="s">
        <v>1058</v>
      </c>
      <c r="F1933" s="21">
        <v>19837.0</v>
      </c>
      <c r="G1933" s="14">
        <f t="shared" si="1"/>
        <v>72</v>
      </c>
      <c r="H1933" s="23" t="s">
        <v>26</v>
      </c>
      <c r="I1933" s="24" t="s">
        <v>33</v>
      </c>
      <c r="J1933" s="19" t="s">
        <v>146</v>
      </c>
      <c r="K1933" s="14">
        <v>10.0</v>
      </c>
      <c r="L1933" s="14">
        <v>0.0</v>
      </c>
      <c r="M1933" s="25"/>
      <c r="N1933" s="26" t="s">
        <v>21</v>
      </c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</row>
    <row r="1934">
      <c r="A1934" s="14" t="s">
        <v>7092</v>
      </c>
      <c r="B1934" s="17" t="s">
        <v>7087</v>
      </c>
      <c r="C1934" s="17" t="s">
        <v>7093</v>
      </c>
      <c r="D1934" s="19" t="s">
        <v>6988</v>
      </c>
      <c r="E1934" s="20" t="s">
        <v>632</v>
      </c>
      <c r="F1934" s="21">
        <v>23840.0</v>
      </c>
      <c r="G1934" s="14">
        <f t="shared" si="1"/>
        <v>61</v>
      </c>
      <c r="H1934" s="23" t="s">
        <v>26</v>
      </c>
      <c r="I1934" s="24" t="s">
        <v>27</v>
      </c>
      <c r="J1934" s="19" t="s">
        <v>146</v>
      </c>
      <c r="K1934" s="14">
        <v>10.0</v>
      </c>
      <c r="L1934" s="14">
        <v>0.0</v>
      </c>
      <c r="M1934" s="25"/>
      <c r="N1934" s="26" t="s">
        <v>21</v>
      </c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</row>
    <row r="1935">
      <c r="A1935" s="14" t="s">
        <v>7094</v>
      </c>
      <c r="B1935" s="17" t="s">
        <v>7087</v>
      </c>
      <c r="C1935" s="17" t="s">
        <v>7095</v>
      </c>
      <c r="D1935" s="19" t="s">
        <v>908</v>
      </c>
      <c r="E1935" s="20" t="s">
        <v>650</v>
      </c>
      <c r="F1935" s="21">
        <v>10669.0</v>
      </c>
      <c r="G1935" s="14">
        <f t="shared" si="1"/>
        <v>97</v>
      </c>
      <c r="H1935" s="23" t="s">
        <v>26</v>
      </c>
      <c r="I1935" s="24" t="s">
        <v>27</v>
      </c>
      <c r="J1935" s="19" t="s">
        <v>757</v>
      </c>
      <c r="K1935" s="14">
        <v>10.0</v>
      </c>
      <c r="L1935" s="14">
        <v>0.0</v>
      </c>
      <c r="M1935" s="25"/>
      <c r="N1935" s="26" t="s">
        <v>21</v>
      </c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</row>
    <row r="1936">
      <c r="A1936" s="14" t="s">
        <v>7096</v>
      </c>
      <c r="B1936" s="17" t="s">
        <v>7097</v>
      </c>
      <c r="C1936" s="17" t="s">
        <v>7098</v>
      </c>
      <c r="D1936" s="19" t="s">
        <v>7099</v>
      </c>
      <c r="E1936" s="20" t="s">
        <v>7100</v>
      </c>
      <c r="F1936" s="27">
        <v>38314.0</v>
      </c>
      <c r="G1936" s="14">
        <f t="shared" si="1"/>
        <v>21</v>
      </c>
      <c r="H1936" s="23" t="s">
        <v>100</v>
      </c>
      <c r="I1936" s="24" t="s">
        <v>27</v>
      </c>
      <c r="J1936" s="19" t="s">
        <v>156</v>
      </c>
      <c r="K1936" s="14">
        <v>1.0</v>
      </c>
      <c r="L1936" s="14">
        <v>0.0</v>
      </c>
      <c r="M1936" s="25"/>
      <c r="N1936" s="26" t="s">
        <v>21</v>
      </c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</row>
    <row r="1937">
      <c r="A1937" s="14" t="s">
        <v>7101</v>
      </c>
      <c r="B1937" s="17" t="s">
        <v>7097</v>
      </c>
      <c r="C1937" s="17" t="s">
        <v>7102</v>
      </c>
      <c r="D1937" s="19" t="s">
        <v>7103</v>
      </c>
      <c r="E1937" s="20" t="s">
        <v>5968</v>
      </c>
      <c r="F1937" s="21">
        <v>30910.0</v>
      </c>
      <c r="G1937" s="14">
        <f t="shared" si="1"/>
        <v>42</v>
      </c>
      <c r="H1937" s="23" t="s">
        <v>26</v>
      </c>
      <c r="I1937" s="24" t="s">
        <v>27</v>
      </c>
      <c r="J1937" s="19" t="s">
        <v>156</v>
      </c>
      <c r="K1937" s="14">
        <v>1.0</v>
      </c>
      <c r="L1937" s="14">
        <v>0.0</v>
      </c>
      <c r="M1937" s="25"/>
      <c r="N1937" s="26" t="s">
        <v>21</v>
      </c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</row>
    <row r="1938">
      <c r="A1938" s="14" t="s">
        <v>7104</v>
      </c>
      <c r="B1938" s="17" t="s">
        <v>7097</v>
      </c>
      <c r="C1938" s="17" t="s">
        <v>7105</v>
      </c>
      <c r="D1938" s="19" t="s">
        <v>7106</v>
      </c>
      <c r="E1938" s="20" t="s">
        <v>104</v>
      </c>
      <c r="F1938" s="21">
        <v>28163.0</v>
      </c>
      <c r="G1938" s="14">
        <f t="shared" si="1"/>
        <v>49</v>
      </c>
      <c r="H1938" s="23" t="s">
        <v>26</v>
      </c>
      <c r="I1938" s="24" t="s">
        <v>33</v>
      </c>
      <c r="J1938" s="19" t="s">
        <v>156</v>
      </c>
      <c r="K1938" s="14">
        <v>1.0</v>
      </c>
      <c r="L1938" s="14">
        <v>0.0</v>
      </c>
      <c r="M1938" s="25"/>
      <c r="N1938" s="26" t="s">
        <v>21</v>
      </c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</row>
    <row r="1939">
      <c r="A1939" s="14" t="s">
        <v>7107</v>
      </c>
      <c r="B1939" s="17" t="s">
        <v>7108</v>
      </c>
      <c r="C1939" s="17" t="s">
        <v>7109</v>
      </c>
      <c r="D1939" s="19" t="s">
        <v>7110</v>
      </c>
      <c r="E1939" s="20" t="s">
        <v>104</v>
      </c>
      <c r="F1939" s="21">
        <v>28002.0</v>
      </c>
      <c r="G1939" s="14">
        <f t="shared" si="1"/>
        <v>50</v>
      </c>
      <c r="H1939" s="23" t="s">
        <v>26</v>
      </c>
      <c r="I1939" s="24" t="s">
        <v>27</v>
      </c>
      <c r="J1939" s="19" t="s">
        <v>156</v>
      </c>
      <c r="K1939" s="14">
        <v>31.0</v>
      </c>
      <c r="L1939" s="14">
        <v>0.0</v>
      </c>
      <c r="M1939" s="25"/>
      <c r="N1939" s="26" t="s">
        <v>21</v>
      </c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</row>
    <row r="1940">
      <c r="A1940" s="14" t="s">
        <v>7111</v>
      </c>
      <c r="B1940" s="17" t="s">
        <v>7108</v>
      </c>
      <c r="C1940" s="17" t="s">
        <v>7112</v>
      </c>
      <c r="D1940" s="19" t="s">
        <v>7113</v>
      </c>
      <c r="E1940" s="20" t="s">
        <v>337</v>
      </c>
      <c r="F1940" s="21">
        <v>38839.0</v>
      </c>
      <c r="G1940" s="14">
        <f t="shared" si="1"/>
        <v>20</v>
      </c>
      <c r="H1940" s="23" t="s">
        <v>100</v>
      </c>
      <c r="I1940" s="24" t="s">
        <v>33</v>
      </c>
      <c r="J1940" s="19" t="s">
        <v>156</v>
      </c>
      <c r="K1940" s="14">
        <v>31.0</v>
      </c>
      <c r="L1940" s="14">
        <v>0.0</v>
      </c>
      <c r="M1940" s="25"/>
      <c r="N1940" s="26" t="s">
        <v>21</v>
      </c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</row>
    <row r="1941">
      <c r="A1941" s="14" t="s">
        <v>7114</v>
      </c>
      <c r="B1941" s="17" t="s">
        <v>7108</v>
      </c>
      <c r="C1941" s="17" t="s">
        <v>7115</v>
      </c>
      <c r="D1941" s="19" t="s">
        <v>6215</v>
      </c>
      <c r="E1941" s="20" t="s">
        <v>67</v>
      </c>
      <c r="F1941" s="21">
        <v>24617.0</v>
      </c>
      <c r="G1941" s="14">
        <f t="shared" si="1"/>
        <v>59</v>
      </c>
      <c r="H1941" s="23" t="s">
        <v>26</v>
      </c>
      <c r="I1941" s="24" t="s">
        <v>33</v>
      </c>
      <c r="J1941" s="19" t="s">
        <v>156</v>
      </c>
      <c r="K1941" s="14">
        <v>31.0</v>
      </c>
      <c r="L1941" s="14">
        <v>0.0</v>
      </c>
      <c r="M1941" s="25"/>
      <c r="N1941" s="26" t="s">
        <v>21</v>
      </c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</row>
    <row r="1942">
      <c r="A1942" s="14" t="s">
        <v>7116</v>
      </c>
      <c r="B1942" s="17" t="s">
        <v>7117</v>
      </c>
      <c r="C1942" s="17" t="s">
        <v>7118</v>
      </c>
      <c r="D1942" s="19" t="s">
        <v>7119</v>
      </c>
      <c r="E1942" s="20" t="s">
        <v>7120</v>
      </c>
      <c r="F1942" s="21">
        <v>39138.0</v>
      </c>
      <c r="G1942" s="14">
        <f t="shared" si="1"/>
        <v>19</v>
      </c>
      <c r="H1942" s="23" t="s">
        <v>100</v>
      </c>
      <c r="I1942" s="24" t="s">
        <v>33</v>
      </c>
      <c r="J1942" s="19" t="s">
        <v>58</v>
      </c>
      <c r="K1942" s="14">
        <v>6.0</v>
      </c>
      <c r="L1942" s="14">
        <v>0.0</v>
      </c>
      <c r="M1942" s="25"/>
      <c r="N1942" s="26" t="s">
        <v>21</v>
      </c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</row>
    <row r="1943">
      <c r="A1943" s="14" t="s">
        <v>7121</v>
      </c>
      <c r="B1943" s="17" t="s">
        <v>7117</v>
      </c>
      <c r="C1943" s="17" t="s">
        <v>7122</v>
      </c>
      <c r="D1943" s="19" t="s">
        <v>7123</v>
      </c>
      <c r="E1943" s="20" t="s">
        <v>7124</v>
      </c>
      <c r="F1943" s="27">
        <v>31726.0</v>
      </c>
      <c r="G1943" s="14">
        <f t="shared" si="1"/>
        <v>39</v>
      </c>
      <c r="H1943" s="23" t="s">
        <v>26</v>
      </c>
      <c r="I1943" s="24" t="s">
        <v>27</v>
      </c>
      <c r="J1943" s="19" t="s">
        <v>58</v>
      </c>
      <c r="K1943" s="14">
        <v>6.0</v>
      </c>
      <c r="L1943" s="14">
        <v>0.0</v>
      </c>
      <c r="M1943" s="25"/>
      <c r="N1943" s="26" t="s">
        <v>21</v>
      </c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</row>
    <row r="1944">
      <c r="A1944" s="14" t="s">
        <v>7125</v>
      </c>
      <c r="B1944" s="17" t="s">
        <v>7117</v>
      </c>
      <c r="C1944" s="17" t="s">
        <v>7126</v>
      </c>
      <c r="D1944" s="19" t="s">
        <v>7127</v>
      </c>
      <c r="E1944" s="20" t="s">
        <v>240</v>
      </c>
      <c r="F1944" s="21">
        <v>32337.0</v>
      </c>
      <c r="G1944" s="14">
        <f t="shared" si="1"/>
        <v>38</v>
      </c>
      <c r="H1944" s="23" t="s">
        <v>26</v>
      </c>
      <c r="I1944" s="24" t="s">
        <v>33</v>
      </c>
      <c r="J1944" s="19" t="s">
        <v>58</v>
      </c>
      <c r="K1944" s="14">
        <v>6.0</v>
      </c>
      <c r="L1944" s="14">
        <v>0.0</v>
      </c>
      <c r="M1944" s="25"/>
      <c r="N1944" s="26" t="s">
        <v>21</v>
      </c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</row>
    <row r="1945">
      <c r="A1945" s="14" t="s">
        <v>7128</v>
      </c>
      <c r="B1945" s="17" t="s">
        <v>7129</v>
      </c>
      <c r="C1945" s="17" t="s">
        <v>7130</v>
      </c>
      <c r="D1945" s="19" t="s">
        <v>7131</v>
      </c>
      <c r="E1945" s="20" t="s">
        <v>2038</v>
      </c>
      <c r="F1945" s="21">
        <v>38522.0</v>
      </c>
      <c r="G1945" s="14">
        <f t="shared" si="1"/>
        <v>21</v>
      </c>
      <c r="H1945" s="23" t="s">
        <v>100</v>
      </c>
      <c r="I1945" s="24" t="s">
        <v>27</v>
      </c>
      <c r="J1945" s="19" t="s">
        <v>282</v>
      </c>
      <c r="K1945" s="14">
        <v>17.0</v>
      </c>
      <c r="L1945" s="14">
        <v>0.0</v>
      </c>
      <c r="M1945" s="25"/>
      <c r="N1945" s="26" t="s">
        <v>21</v>
      </c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</row>
    <row r="1946">
      <c r="A1946" s="14" t="s">
        <v>7132</v>
      </c>
      <c r="B1946" s="17" t="s">
        <v>7129</v>
      </c>
      <c r="C1946" s="17" t="s">
        <v>7133</v>
      </c>
      <c r="D1946" s="19" t="s">
        <v>7134</v>
      </c>
      <c r="E1946" s="20" t="s">
        <v>195</v>
      </c>
      <c r="F1946" s="21">
        <v>29117.0</v>
      </c>
      <c r="G1946" s="14">
        <f t="shared" si="1"/>
        <v>47</v>
      </c>
      <c r="H1946" s="23" t="s">
        <v>26</v>
      </c>
      <c r="I1946" s="24" t="s">
        <v>33</v>
      </c>
      <c r="J1946" s="19" t="s">
        <v>282</v>
      </c>
      <c r="K1946" s="14">
        <v>17.0</v>
      </c>
      <c r="L1946" s="14">
        <v>0.0</v>
      </c>
      <c r="M1946" s="25"/>
      <c r="N1946" s="26" t="s">
        <v>21</v>
      </c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</row>
    <row r="1947">
      <c r="A1947" s="14" t="s">
        <v>7135</v>
      </c>
      <c r="B1947" s="17" t="s">
        <v>7129</v>
      </c>
      <c r="C1947" s="17" t="s">
        <v>7136</v>
      </c>
      <c r="D1947" s="19" t="s">
        <v>7137</v>
      </c>
      <c r="E1947" s="20" t="s">
        <v>104</v>
      </c>
      <c r="F1947" s="21">
        <v>29608.0</v>
      </c>
      <c r="G1947" s="14">
        <f t="shared" si="1"/>
        <v>45</v>
      </c>
      <c r="H1947" s="23" t="s">
        <v>26</v>
      </c>
      <c r="I1947" s="24" t="s">
        <v>27</v>
      </c>
      <c r="J1947" s="19" t="s">
        <v>282</v>
      </c>
      <c r="K1947" s="14">
        <v>17.0</v>
      </c>
      <c r="L1947" s="14">
        <v>0.0</v>
      </c>
      <c r="M1947" s="25"/>
      <c r="N1947" s="26" t="s">
        <v>21</v>
      </c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</row>
    <row r="1948">
      <c r="A1948" s="14" t="s">
        <v>7138</v>
      </c>
      <c r="B1948" s="17" t="s">
        <v>7139</v>
      </c>
      <c r="C1948" s="17" t="s">
        <v>7140</v>
      </c>
      <c r="D1948" s="19" t="s">
        <v>7141</v>
      </c>
      <c r="E1948" s="20" t="s">
        <v>654</v>
      </c>
      <c r="F1948" s="21">
        <v>29320.0</v>
      </c>
      <c r="G1948" s="14">
        <f t="shared" si="1"/>
        <v>46</v>
      </c>
      <c r="H1948" s="23" t="s">
        <v>26</v>
      </c>
      <c r="I1948" s="24" t="s">
        <v>33</v>
      </c>
      <c r="J1948" s="19" t="s">
        <v>5953</v>
      </c>
      <c r="K1948" s="14">
        <v>18.0</v>
      </c>
      <c r="L1948" s="14">
        <v>0.0</v>
      </c>
      <c r="M1948" s="25"/>
      <c r="N1948" s="26" t="s">
        <v>21</v>
      </c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</row>
    <row r="1949">
      <c r="A1949" s="14" t="s">
        <v>7142</v>
      </c>
      <c r="B1949" s="17" t="s">
        <v>7139</v>
      </c>
      <c r="C1949" s="17" t="s">
        <v>7143</v>
      </c>
      <c r="D1949" s="19" t="s">
        <v>7144</v>
      </c>
      <c r="E1949" s="20" t="s">
        <v>104</v>
      </c>
      <c r="F1949" s="21">
        <v>37873.0</v>
      </c>
      <c r="G1949" s="14">
        <f t="shared" si="1"/>
        <v>23</v>
      </c>
      <c r="H1949" s="23" t="s">
        <v>100</v>
      </c>
      <c r="I1949" s="24" t="s">
        <v>27</v>
      </c>
      <c r="J1949" s="19" t="s">
        <v>5953</v>
      </c>
      <c r="K1949" s="14">
        <v>18.0</v>
      </c>
      <c r="L1949" s="14">
        <v>0.0</v>
      </c>
      <c r="M1949" s="25"/>
      <c r="N1949" s="26" t="s">
        <v>21</v>
      </c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</row>
    <row r="1950">
      <c r="A1950" s="14" t="s">
        <v>7145</v>
      </c>
      <c r="B1950" s="17" t="s">
        <v>7139</v>
      </c>
      <c r="C1950" s="17" t="s">
        <v>7146</v>
      </c>
      <c r="D1950" s="19" t="s">
        <v>7147</v>
      </c>
      <c r="E1950" s="20" t="s">
        <v>5353</v>
      </c>
      <c r="F1950" s="21">
        <v>30944.0</v>
      </c>
      <c r="G1950" s="14">
        <f t="shared" si="1"/>
        <v>42</v>
      </c>
      <c r="H1950" s="23" t="s">
        <v>26</v>
      </c>
      <c r="I1950" s="24" t="s">
        <v>27</v>
      </c>
      <c r="J1950" s="19" t="s">
        <v>5953</v>
      </c>
      <c r="K1950" s="14">
        <v>18.0</v>
      </c>
      <c r="L1950" s="14">
        <v>0.0</v>
      </c>
      <c r="M1950" s="25"/>
      <c r="N1950" s="26" t="s">
        <v>21</v>
      </c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</row>
    <row r="1951">
      <c r="A1951" s="14" t="s">
        <v>7148</v>
      </c>
      <c r="B1951" s="17" t="s">
        <v>7149</v>
      </c>
      <c r="C1951" s="17" t="s">
        <v>7150</v>
      </c>
      <c r="D1951" s="19" t="s">
        <v>7151</v>
      </c>
      <c r="E1951" s="20" t="s">
        <v>104</v>
      </c>
      <c r="F1951" s="21">
        <v>36549.0</v>
      </c>
      <c r="G1951" s="14">
        <f t="shared" si="1"/>
        <v>26</v>
      </c>
      <c r="H1951" s="23" t="s">
        <v>100</v>
      </c>
      <c r="I1951" s="24" t="s">
        <v>33</v>
      </c>
      <c r="J1951" s="19" t="s">
        <v>328</v>
      </c>
      <c r="K1951" s="14">
        <v>19.0</v>
      </c>
      <c r="L1951" s="14">
        <v>0.0</v>
      </c>
      <c r="M1951" s="25"/>
      <c r="N1951" s="26" t="s">
        <v>21</v>
      </c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</row>
    <row r="1952">
      <c r="A1952" s="14" t="s">
        <v>7152</v>
      </c>
      <c r="B1952" s="17" t="s">
        <v>7149</v>
      </c>
      <c r="C1952" s="17" t="s">
        <v>7153</v>
      </c>
      <c r="D1952" s="19" t="s">
        <v>2757</v>
      </c>
      <c r="E1952" s="20" t="s">
        <v>654</v>
      </c>
      <c r="F1952" s="27">
        <v>24059.0</v>
      </c>
      <c r="G1952" s="14">
        <f t="shared" si="1"/>
        <v>60</v>
      </c>
      <c r="H1952" s="23" t="s">
        <v>27</v>
      </c>
      <c r="I1952" s="24" t="s">
        <v>27</v>
      </c>
      <c r="J1952" s="19" t="s">
        <v>328</v>
      </c>
      <c r="K1952" s="14">
        <v>19.0</v>
      </c>
      <c r="L1952" s="14">
        <v>0.0</v>
      </c>
      <c r="M1952" s="25"/>
      <c r="N1952" s="26" t="s">
        <v>21</v>
      </c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</row>
    <row r="1953">
      <c r="A1953" s="14" t="s">
        <v>7154</v>
      </c>
      <c r="B1953" s="17" t="s">
        <v>7155</v>
      </c>
      <c r="C1953" s="17" t="s">
        <v>7156</v>
      </c>
      <c r="D1953" s="19" t="s">
        <v>7157</v>
      </c>
      <c r="E1953" s="20" t="s">
        <v>6260</v>
      </c>
      <c r="F1953" s="21">
        <v>38880.0</v>
      </c>
      <c r="G1953" s="14">
        <f t="shared" si="1"/>
        <v>20</v>
      </c>
      <c r="H1953" s="23" t="s">
        <v>100</v>
      </c>
      <c r="I1953" s="24" t="s">
        <v>27</v>
      </c>
      <c r="J1953" s="19" t="s">
        <v>146</v>
      </c>
      <c r="K1953" s="14">
        <v>1.0</v>
      </c>
      <c r="L1953" s="14">
        <v>0.0</v>
      </c>
      <c r="M1953" s="25"/>
      <c r="N1953" s="26" t="s">
        <v>21</v>
      </c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</row>
    <row r="1954">
      <c r="A1954" s="14" t="s">
        <v>7158</v>
      </c>
      <c r="B1954" s="17" t="s">
        <v>7155</v>
      </c>
      <c r="C1954" s="17" t="s">
        <v>7159</v>
      </c>
      <c r="D1954" s="19" t="s">
        <v>7160</v>
      </c>
      <c r="E1954" s="20" t="s">
        <v>1468</v>
      </c>
      <c r="F1954" s="21">
        <v>31525.0</v>
      </c>
      <c r="G1954" s="14">
        <f t="shared" si="1"/>
        <v>40</v>
      </c>
      <c r="H1954" s="23" t="s">
        <v>26</v>
      </c>
      <c r="I1954" s="24" t="s">
        <v>27</v>
      </c>
      <c r="J1954" s="19" t="s">
        <v>146</v>
      </c>
      <c r="K1954" s="14">
        <v>1.0</v>
      </c>
      <c r="L1954" s="14">
        <v>0.0</v>
      </c>
      <c r="M1954" s="25"/>
      <c r="N1954" s="26" t="s">
        <v>21</v>
      </c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</row>
    <row r="1955">
      <c r="A1955" s="14" t="s">
        <v>7161</v>
      </c>
      <c r="B1955" s="17" t="s">
        <v>7155</v>
      </c>
      <c r="C1955" s="17" t="s">
        <v>7162</v>
      </c>
      <c r="D1955" s="19" t="s">
        <v>7163</v>
      </c>
      <c r="E1955" s="20" t="s">
        <v>434</v>
      </c>
      <c r="F1955" s="21">
        <v>27535.0</v>
      </c>
      <c r="G1955" s="14">
        <f t="shared" si="1"/>
        <v>51</v>
      </c>
      <c r="H1955" s="23" t="s">
        <v>26</v>
      </c>
      <c r="I1955" s="24" t="s">
        <v>33</v>
      </c>
      <c r="J1955" s="19" t="s">
        <v>146</v>
      </c>
      <c r="K1955" s="14">
        <v>1.0</v>
      </c>
      <c r="L1955" s="14">
        <v>0.0</v>
      </c>
      <c r="M1955" s="25"/>
      <c r="N1955" s="26" t="s">
        <v>21</v>
      </c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</row>
    <row r="1956">
      <c r="A1956" s="14" t="s">
        <v>7164</v>
      </c>
      <c r="B1956" s="17" t="s">
        <v>7165</v>
      </c>
      <c r="C1956" s="17" t="s">
        <v>7166</v>
      </c>
      <c r="D1956" s="19" t="s">
        <v>7167</v>
      </c>
      <c r="E1956" s="20" t="s">
        <v>112</v>
      </c>
      <c r="F1956" s="21">
        <v>28977.0</v>
      </c>
      <c r="G1956" s="14">
        <f t="shared" si="1"/>
        <v>47</v>
      </c>
      <c r="H1956" s="23" t="s">
        <v>100</v>
      </c>
      <c r="I1956" s="24" t="s">
        <v>33</v>
      </c>
      <c r="J1956" s="19" t="s">
        <v>7168</v>
      </c>
      <c r="K1956" s="14">
        <v>13.0</v>
      </c>
      <c r="L1956" s="14">
        <v>5.0</v>
      </c>
      <c r="M1956" s="25"/>
      <c r="N1956" s="26" t="s">
        <v>21</v>
      </c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</row>
    <row r="1957">
      <c r="A1957" s="14" t="s">
        <v>7169</v>
      </c>
      <c r="B1957" s="17" t="s">
        <v>7170</v>
      </c>
      <c r="C1957" s="17" t="s">
        <v>7171</v>
      </c>
      <c r="D1957" s="19" t="s">
        <v>3759</v>
      </c>
      <c r="E1957" s="20" t="s">
        <v>1084</v>
      </c>
      <c r="F1957" s="21">
        <v>24054.0</v>
      </c>
      <c r="G1957" s="14">
        <f t="shared" si="1"/>
        <v>60</v>
      </c>
      <c r="H1957" s="23" t="s">
        <v>26</v>
      </c>
      <c r="I1957" s="24" t="s">
        <v>27</v>
      </c>
      <c r="J1957" s="19" t="s">
        <v>146</v>
      </c>
      <c r="K1957" s="14">
        <v>2.0</v>
      </c>
      <c r="L1957" s="14">
        <v>0.0</v>
      </c>
      <c r="M1957" s="25"/>
      <c r="N1957" s="26" t="s">
        <v>21</v>
      </c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</row>
    <row r="1958">
      <c r="A1958" s="14" t="s">
        <v>7172</v>
      </c>
      <c r="B1958" s="17" t="s">
        <v>7170</v>
      </c>
      <c r="C1958" s="17" t="s">
        <v>7173</v>
      </c>
      <c r="D1958" s="19" t="s">
        <v>2657</v>
      </c>
      <c r="E1958" s="20" t="s">
        <v>7174</v>
      </c>
      <c r="F1958" s="21">
        <v>21059.0</v>
      </c>
      <c r="G1958" s="14">
        <f t="shared" si="1"/>
        <v>69</v>
      </c>
      <c r="H1958" s="23" t="s">
        <v>26</v>
      </c>
      <c r="I1958" s="24" t="s">
        <v>33</v>
      </c>
      <c r="J1958" s="19" t="s">
        <v>146</v>
      </c>
      <c r="K1958" s="14">
        <v>2.0</v>
      </c>
      <c r="L1958" s="14">
        <v>0.0</v>
      </c>
      <c r="M1958" s="25"/>
      <c r="N1958" s="26" t="s">
        <v>21</v>
      </c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</row>
    <row r="1959">
      <c r="A1959" s="14" t="s">
        <v>7175</v>
      </c>
      <c r="B1959" s="17" t="s">
        <v>7176</v>
      </c>
      <c r="C1959" s="17" t="s">
        <v>7177</v>
      </c>
      <c r="D1959" s="19" t="s">
        <v>7178</v>
      </c>
      <c r="E1959" s="20" t="s">
        <v>104</v>
      </c>
      <c r="F1959" s="21">
        <v>37492.0</v>
      </c>
      <c r="G1959" s="14">
        <f t="shared" si="1"/>
        <v>24</v>
      </c>
      <c r="H1959" s="23" t="s">
        <v>100</v>
      </c>
      <c r="I1959" s="24" t="s">
        <v>33</v>
      </c>
      <c r="J1959" s="19" t="s">
        <v>146</v>
      </c>
      <c r="K1959" s="14">
        <v>1.0</v>
      </c>
      <c r="L1959" s="14">
        <v>0.0</v>
      </c>
      <c r="M1959" s="25"/>
      <c r="N1959" s="26" t="s">
        <v>21</v>
      </c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</row>
    <row r="1960">
      <c r="A1960" s="14" t="s">
        <v>7179</v>
      </c>
      <c r="B1960" s="17" t="s">
        <v>7176</v>
      </c>
      <c r="C1960" s="17" t="s">
        <v>7180</v>
      </c>
      <c r="D1960" s="19" t="s">
        <v>7181</v>
      </c>
      <c r="E1960" s="20" t="s">
        <v>7182</v>
      </c>
      <c r="F1960" s="21">
        <v>30891.0</v>
      </c>
      <c r="G1960" s="14">
        <f t="shared" si="1"/>
        <v>42</v>
      </c>
      <c r="H1960" s="23" t="s">
        <v>26</v>
      </c>
      <c r="I1960" s="24" t="s">
        <v>27</v>
      </c>
      <c r="J1960" s="19" t="s">
        <v>146</v>
      </c>
      <c r="K1960" s="14">
        <v>1.0</v>
      </c>
      <c r="L1960" s="14">
        <v>0.0</v>
      </c>
      <c r="M1960" s="25"/>
      <c r="N1960" s="26" t="s">
        <v>21</v>
      </c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</row>
    <row r="1961">
      <c r="A1961" s="14" t="s">
        <v>7183</v>
      </c>
      <c r="B1961" s="17" t="s">
        <v>7176</v>
      </c>
      <c r="C1961" s="17" t="s">
        <v>7184</v>
      </c>
      <c r="D1961" s="19" t="s">
        <v>7185</v>
      </c>
      <c r="E1961" s="20" t="s">
        <v>434</v>
      </c>
      <c r="F1961" s="21">
        <v>27159.0</v>
      </c>
      <c r="G1961" s="14">
        <f t="shared" si="1"/>
        <v>52</v>
      </c>
      <c r="H1961" s="23" t="s">
        <v>26</v>
      </c>
      <c r="I1961" s="24" t="s">
        <v>33</v>
      </c>
      <c r="J1961" s="19" t="s">
        <v>146</v>
      </c>
      <c r="K1961" s="14">
        <v>1.0</v>
      </c>
      <c r="L1961" s="14">
        <v>0.0</v>
      </c>
      <c r="M1961" s="25"/>
      <c r="N1961" s="26" t="s">
        <v>21</v>
      </c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</row>
    <row r="1962">
      <c r="A1962" s="14" t="s">
        <v>7186</v>
      </c>
      <c r="B1962" s="17" t="s">
        <v>7187</v>
      </c>
      <c r="C1962" s="17" t="s">
        <v>7188</v>
      </c>
      <c r="D1962" s="19" t="s">
        <v>7189</v>
      </c>
      <c r="E1962" s="20" t="s">
        <v>104</v>
      </c>
      <c r="F1962" s="27">
        <v>36443.0</v>
      </c>
      <c r="G1962" s="14">
        <f t="shared" si="1"/>
        <v>27</v>
      </c>
      <c r="H1962" s="23" t="s">
        <v>100</v>
      </c>
      <c r="I1962" s="24" t="s">
        <v>33</v>
      </c>
      <c r="J1962" s="19" t="s">
        <v>146</v>
      </c>
      <c r="K1962" s="14">
        <v>1.0</v>
      </c>
      <c r="L1962" s="14">
        <v>0.0</v>
      </c>
      <c r="M1962" s="25"/>
      <c r="N1962" s="26" t="s">
        <v>21</v>
      </c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</row>
    <row r="1963">
      <c r="A1963" s="14" t="s">
        <v>7190</v>
      </c>
      <c r="B1963" s="17" t="s">
        <v>7187</v>
      </c>
      <c r="C1963" s="17" t="s">
        <v>7191</v>
      </c>
      <c r="D1963" s="19" t="s">
        <v>6991</v>
      </c>
      <c r="E1963" s="20" t="s">
        <v>434</v>
      </c>
      <c r="F1963" s="21">
        <v>24128.0</v>
      </c>
      <c r="G1963" s="14">
        <f t="shared" si="1"/>
        <v>60</v>
      </c>
      <c r="H1963" s="23" t="s">
        <v>26</v>
      </c>
      <c r="I1963" s="24" t="s">
        <v>33</v>
      </c>
      <c r="J1963" s="19" t="s">
        <v>146</v>
      </c>
      <c r="K1963" s="14">
        <v>1.0</v>
      </c>
      <c r="L1963" s="14">
        <v>0.0</v>
      </c>
      <c r="M1963" s="25"/>
      <c r="N1963" s="26" t="s">
        <v>21</v>
      </c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</row>
    <row r="1964">
      <c r="A1964" s="14" t="s">
        <v>7192</v>
      </c>
      <c r="B1964" s="17" t="s">
        <v>7193</v>
      </c>
      <c r="C1964" s="17" t="s">
        <v>7194</v>
      </c>
      <c r="D1964" s="19" t="s">
        <v>7195</v>
      </c>
      <c r="E1964" s="20" t="s">
        <v>7182</v>
      </c>
      <c r="F1964" s="21">
        <v>32180.0</v>
      </c>
      <c r="G1964" s="14">
        <f t="shared" si="1"/>
        <v>38</v>
      </c>
      <c r="H1964" s="23" t="s">
        <v>26</v>
      </c>
      <c r="I1964" s="24" t="s">
        <v>33</v>
      </c>
      <c r="J1964" s="19" t="s">
        <v>1874</v>
      </c>
      <c r="K1964" s="14">
        <v>27.0</v>
      </c>
      <c r="L1964" s="14">
        <v>0.0</v>
      </c>
      <c r="M1964" s="25"/>
      <c r="N1964" s="26" t="s">
        <v>21</v>
      </c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</row>
    <row r="1965">
      <c r="A1965" s="14" t="s">
        <v>7196</v>
      </c>
      <c r="B1965" s="17" t="s">
        <v>7193</v>
      </c>
      <c r="C1965" s="17" t="s">
        <v>7197</v>
      </c>
      <c r="D1965" s="19" t="s">
        <v>1873</v>
      </c>
      <c r="E1965" s="20" t="s">
        <v>104</v>
      </c>
      <c r="F1965" s="21">
        <v>35813.0</v>
      </c>
      <c r="G1965" s="14">
        <f t="shared" si="1"/>
        <v>28</v>
      </c>
      <c r="H1965" s="23" t="s">
        <v>26</v>
      </c>
      <c r="I1965" s="24" t="s">
        <v>27</v>
      </c>
      <c r="J1965" s="19" t="s">
        <v>1866</v>
      </c>
      <c r="K1965" s="14">
        <v>27.0</v>
      </c>
      <c r="L1965" s="14">
        <v>0.0</v>
      </c>
      <c r="M1965" s="25"/>
      <c r="N1965" s="26" t="s">
        <v>21</v>
      </c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</row>
    <row r="1966">
      <c r="A1966" s="14" t="s">
        <v>7198</v>
      </c>
      <c r="B1966" s="17" t="s">
        <v>7199</v>
      </c>
      <c r="C1966" s="17" t="s">
        <v>7200</v>
      </c>
      <c r="D1966" s="19" t="s">
        <v>7201</v>
      </c>
      <c r="E1966" s="20" t="s">
        <v>150</v>
      </c>
      <c r="F1966" s="21">
        <v>35222.0</v>
      </c>
      <c r="G1966" s="14">
        <f t="shared" si="1"/>
        <v>30</v>
      </c>
      <c r="H1966" s="23" t="s">
        <v>26</v>
      </c>
      <c r="I1966" s="24" t="s">
        <v>33</v>
      </c>
      <c r="J1966" s="19" t="s">
        <v>282</v>
      </c>
      <c r="K1966" s="14">
        <v>18.0</v>
      </c>
      <c r="L1966" s="14">
        <v>5.0</v>
      </c>
      <c r="M1966" s="25"/>
      <c r="N1966" s="26" t="s">
        <v>21</v>
      </c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</row>
    <row r="1967">
      <c r="A1967" s="14" t="s">
        <v>7202</v>
      </c>
      <c r="B1967" s="17" t="s">
        <v>7203</v>
      </c>
      <c r="C1967" s="17" t="s">
        <v>7204</v>
      </c>
      <c r="D1967" s="19" t="s">
        <v>7205</v>
      </c>
      <c r="E1967" s="20" t="s">
        <v>53</v>
      </c>
      <c r="F1967" s="21">
        <v>33729.0</v>
      </c>
      <c r="G1967" s="14">
        <f t="shared" si="1"/>
        <v>34</v>
      </c>
      <c r="H1967" s="23" t="s">
        <v>26</v>
      </c>
      <c r="I1967" s="24" t="s">
        <v>27</v>
      </c>
      <c r="J1967" s="19" t="s">
        <v>257</v>
      </c>
      <c r="K1967" s="14">
        <v>10.0</v>
      </c>
      <c r="L1967" s="14">
        <v>0.0</v>
      </c>
      <c r="M1967" s="25"/>
      <c r="N1967" s="26" t="s">
        <v>21</v>
      </c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</row>
    <row r="1968">
      <c r="A1968" s="14" t="s">
        <v>7206</v>
      </c>
      <c r="B1968" s="17" t="s">
        <v>7203</v>
      </c>
      <c r="C1968" s="17" t="s">
        <v>7207</v>
      </c>
      <c r="D1968" s="19" t="s">
        <v>2657</v>
      </c>
      <c r="E1968" s="20" t="s">
        <v>858</v>
      </c>
      <c r="F1968" s="21">
        <v>32672.0</v>
      </c>
      <c r="G1968" s="14">
        <f t="shared" si="1"/>
        <v>37</v>
      </c>
      <c r="H1968" s="23" t="s">
        <v>26</v>
      </c>
      <c r="I1968" s="24" t="s">
        <v>33</v>
      </c>
      <c r="J1968" s="19" t="s">
        <v>282</v>
      </c>
      <c r="K1968" s="14">
        <v>10.0</v>
      </c>
      <c r="L1968" s="14">
        <v>0.0</v>
      </c>
      <c r="M1968" s="25"/>
      <c r="N1968" s="26" t="s">
        <v>21</v>
      </c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</row>
    <row r="1969">
      <c r="A1969" s="14" t="s">
        <v>7208</v>
      </c>
      <c r="B1969" s="17" t="s">
        <v>7209</v>
      </c>
      <c r="C1969" s="17" t="s">
        <v>7210</v>
      </c>
      <c r="D1969" s="19" t="s">
        <v>7211</v>
      </c>
      <c r="E1969" s="20" t="s">
        <v>7212</v>
      </c>
      <c r="F1969" s="21">
        <v>28281.0</v>
      </c>
      <c r="G1969" s="14">
        <f t="shared" si="1"/>
        <v>49</v>
      </c>
      <c r="H1969" s="23" t="s">
        <v>26</v>
      </c>
      <c r="I1969" s="24" t="s">
        <v>33</v>
      </c>
      <c r="J1969" s="19" t="s">
        <v>146</v>
      </c>
      <c r="K1969" s="14">
        <v>10.0</v>
      </c>
      <c r="L1969" s="14">
        <v>0.0</v>
      </c>
      <c r="M1969" s="25"/>
      <c r="N1969" s="26" t="s">
        <v>21</v>
      </c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</row>
    <row r="1970">
      <c r="A1970" s="14" t="s">
        <v>7213</v>
      </c>
      <c r="B1970" s="17" t="s">
        <v>7209</v>
      </c>
      <c r="C1970" s="17" t="s">
        <v>7214</v>
      </c>
      <c r="D1970" s="19" t="s">
        <v>7215</v>
      </c>
      <c r="E1970" s="20" t="s">
        <v>67</v>
      </c>
      <c r="F1970" s="21">
        <v>31264.0</v>
      </c>
      <c r="G1970" s="14">
        <f t="shared" si="1"/>
        <v>41</v>
      </c>
      <c r="H1970" s="23" t="s">
        <v>26</v>
      </c>
      <c r="I1970" s="24" t="s">
        <v>27</v>
      </c>
      <c r="J1970" s="19" t="s">
        <v>146</v>
      </c>
      <c r="K1970" s="14">
        <v>10.0</v>
      </c>
      <c r="L1970" s="14">
        <v>0.0</v>
      </c>
      <c r="M1970" s="25"/>
      <c r="N1970" s="26" t="s">
        <v>21</v>
      </c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</row>
    <row r="1971">
      <c r="A1971" s="14" t="s">
        <v>7216</v>
      </c>
      <c r="B1971" s="17" t="s">
        <v>7209</v>
      </c>
      <c r="C1971" s="17" t="s">
        <v>7217</v>
      </c>
      <c r="D1971" s="19" t="s">
        <v>7218</v>
      </c>
      <c r="E1971" s="20" t="s">
        <v>1733</v>
      </c>
      <c r="F1971" s="21">
        <v>38323.0</v>
      </c>
      <c r="G1971" s="14">
        <f t="shared" si="1"/>
        <v>21</v>
      </c>
      <c r="H1971" s="23" t="s">
        <v>100</v>
      </c>
      <c r="I1971" s="24" t="s">
        <v>33</v>
      </c>
      <c r="J1971" s="19" t="s">
        <v>146</v>
      </c>
      <c r="K1971" s="14">
        <v>10.0</v>
      </c>
      <c r="L1971" s="14">
        <v>0.0</v>
      </c>
      <c r="M1971" s="25"/>
      <c r="N1971" s="26" t="s">
        <v>21</v>
      </c>
      <c r="O1971" s="7"/>
      <c r="P1971" s="7"/>
      <c r="Q1971" s="7"/>
      <c r="R1971" s="7"/>
      <c r="S1971" s="7"/>
      <c r="T1971" s="7"/>
      <c r="U1971" s="7"/>
      <c r="V1971" s="7"/>
      <c r="W1971" s="7"/>
      <c r="X1971" s="7"/>
      <c r="Y1971" s="7"/>
    </row>
    <row r="1972">
      <c r="A1972" s="14" t="s">
        <v>7219</v>
      </c>
      <c r="B1972" s="17" t="s">
        <v>7220</v>
      </c>
      <c r="C1972" s="17" t="s">
        <v>7221</v>
      </c>
      <c r="D1972" s="19" t="s">
        <v>7222</v>
      </c>
      <c r="E1972" s="20" t="s">
        <v>104</v>
      </c>
      <c r="F1972" s="21">
        <v>29369.0</v>
      </c>
      <c r="G1972" s="14">
        <f t="shared" si="1"/>
        <v>46</v>
      </c>
      <c r="H1972" s="23" t="s">
        <v>26</v>
      </c>
      <c r="I1972" s="24" t="s">
        <v>33</v>
      </c>
      <c r="J1972" s="19" t="s">
        <v>1960</v>
      </c>
      <c r="K1972" s="14">
        <v>31.0</v>
      </c>
      <c r="L1972" s="14">
        <v>0.0</v>
      </c>
      <c r="M1972" s="25"/>
      <c r="N1972" s="26" t="s">
        <v>21</v>
      </c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</row>
    <row r="1973">
      <c r="A1973" s="14" t="s">
        <v>7223</v>
      </c>
      <c r="B1973" s="17" t="s">
        <v>7220</v>
      </c>
      <c r="C1973" s="17" t="s">
        <v>7224</v>
      </c>
      <c r="D1973" s="19" t="s">
        <v>7225</v>
      </c>
      <c r="E1973" s="20" t="s">
        <v>7226</v>
      </c>
      <c r="F1973" s="21">
        <v>34230.0</v>
      </c>
      <c r="G1973" s="14">
        <f t="shared" si="1"/>
        <v>33</v>
      </c>
      <c r="H1973" s="23" t="s">
        <v>26</v>
      </c>
      <c r="I1973" s="24" t="s">
        <v>27</v>
      </c>
      <c r="J1973" s="19" t="s">
        <v>1960</v>
      </c>
      <c r="K1973" s="14">
        <v>31.0</v>
      </c>
      <c r="L1973" s="14">
        <v>0.0</v>
      </c>
      <c r="M1973" s="25"/>
      <c r="N1973" s="26" t="s">
        <v>21</v>
      </c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7"/>
    </row>
    <row r="1974">
      <c r="A1974" s="14" t="s">
        <v>7227</v>
      </c>
      <c r="B1974" s="17" t="s">
        <v>8061</v>
      </c>
      <c r="C1974" s="17" t="s">
        <v>7229</v>
      </c>
      <c r="D1974" s="19" t="s">
        <v>7230</v>
      </c>
      <c r="E1974" s="20" t="s">
        <v>104</v>
      </c>
      <c r="F1974" s="21">
        <v>36389.0</v>
      </c>
      <c r="G1974" s="14">
        <f t="shared" si="1"/>
        <v>27</v>
      </c>
      <c r="H1974" s="23" t="s">
        <v>100</v>
      </c>
      <c r="I1974" s="24" t="s">
        <v>33</v>
      </c>
      <c r="J1974" s="19" t="s">
        <v>3600</v>
      </c>
      <c r="K1974" s="14">
        <v>30.0</v>
      </c>
      <c r="L1974" s="14">
        <v>0.0</v>
      </c>
      <c r="M1974" s="28" t="s">
        <v>8063</v>
      </c>
      <c r="N1974" s="26" t="s">
        <v>21</v>
      </c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</row>
    <row r="1975">
      <c r="A1975" s="14" t="s">
        <v>7231</v>
      </c>
      <c r="B1975" s="17" t="s">
        <v>7228</v>
      </c>
      <c r="C1975" s="17" t="s">
        <v>7232</v>
      </c>
      <c r="D1975" s="19" t="s">
        <v>7233</v>
      </c>
      <c r="E1975" s="20" t="s">
        <v>2393</v>
      </c>
      <c r="F1975" s="21">
        <v>20705.0</v>
      </c>
      <c r="G1975" s="14">
        <f t="shared" si="1"/>
        <v>70</v>
      </c>
      <c r="H1975" s="23" t="s">
        <v>26</v>
      </c>
      <c r="I1975" s="24" t="s">
        <v>33</v>
      </c>
      <c r="J1975" s="19" t="s">
        <v>3600</v>
      </c>
      <c r="K1975" s="14">
        <v>30.0</v>
      </c>
      <c r="L1975" s="14">
        <v>0.0</v>
      </c>
      <c r="M1975" s="25"/>
      <c r="N1975" s="26" t="s">
        <v>21</v>
      </c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</row>
    <row r="1976">
      <c r="A1976" s="14" t="s">
        <v>7234</v>
      </c>
      <c r="B1976" s="17" t="s">
        <v>7228</v>
      </c>
      <c r="C1976" s="17" t="s">
        <v>7235</v>
      </c>
      <c r="D1976" s="19" t="s">
        <v>1539</v>
      </c>
      <c r="E1976" s="20" t="s">
        <v>1816</v>
      </c>
      <c r="F1976" s="21">
        <v>24016.0</v>
      </c>
      <c r="G1976" s="14">
        <f t="shared" si="1"/>
        <v>61</v>
      </c>
      <c r="H1976" s="23" t="s">
        <v>26</v>
      </c>
      <c r="I1976" s="24" t="s">
        <v>27</v>
      </c>
      <c r="J1976" s="19" t="s">
        <v>3600</v>
      </c>
      <c r="K1976" s="14">
        <v>30.0</v>
      </c>
      <c r="L1976" s="14">
        <v>0.0</v>
      </c>
      <c r="M1976" s="25"/>
      <c r="N1976" s="26" t="s">
        <v>21</v>
      </c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</row>
    <row r="1977">
      <c r="A1977" s="14" t="s">
        <v>7236</v>
      </c>
      <c r="B1977" s="17" t="s">
        <v>7237</v>
      </c>
      <c r="C1977" s="17" t="s">
        <v>7238</v>
      </c>
      <c r="D1977" s="19" t="s">
        <v>7239</v>
      </c>
      <c r="E1977" s="20" t="s">
        <v>7240</v>
      </c>
      <c r="F1977" s="21">
        <v>26490.0</v>
      </c>
      <c r="G1977" s="14">
        <f t="shared" si="1"/>
        <v>54</v>
      </c>
      <c r="H1977" s="23" t="s">
        <v>26</v>
      </c>
      <c r="I1977" s="24" t="s">
        <v>27</v>
      </c>
      <c r="J1977" s="19" t="s">
        <v>53</v>
      </c>
      <c r="K1977" s="14">
        <v>32.0</v>
      </c>
      <c r="L1977" s="14">
        <v>0.0</v>
      </c>
      <c r="M1977" s="25"/>
      <c r="N1977" s="26" t="s">
        <v>21</v>
      </c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</row>
    <row r="1978">
      <c r="A1978" s="14" t="s">
        <v>7241</v>
      </c>
      <c r="B1978" s="17" t="s">
        <v>7242</v>
      </c>
      <c r="C1978" s="17" t="s">
        <v>7243</v>
      </c>
      <c r="D1978" s="19" t="s">
        <v>7244</v>
      </c>
      <c r="E1978" s="20" t="s">
        <v>104</v>
      </c>
      <c r="F1978" s="27">
        <v>32861.0</v>
      </c>
      <c r="G1978" s="14">
        <f t="shared" si="1"/>
        <v>36</v>
      </c>
      <c r="H1978" s="23" t="s">
        <v>27</v>
      </c>
      <c r="I1978" s="24" t="s">
        <v>27</v>
      </c>
      <c r="J1978" s="19" t="s">
        <v>58</v>
      </c>
      <c r="K1978" s="14">
        <v>1.0</v>
      </c>
      <c r="L1978" s="14">
        <v>0.0</v>
      </c>
      <c r="M1978" s="25"/>
      <c r="N1978" s="26" t="s">
        <v>21</v>
      </c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</row>
    <row r="1979">
      <c r="A1979" s="14" t="s">
        <v>7245</v>
      </c>
      <c r="B1979" s="17" t="s">
        <v>7246</v>
      </c>
      <c r="C1979" s="17" t="s">
        <v>7247</v>
      </c>
      <c r="D1979" s="19" t="s">
        <v>7248</v>
      </c>
      <c r="E1979" s="20" t="s">
        <v>1049</v>
      </c>
      <c r="F1979" s="27">
        <v>23678.0</v>
      </c>
      <c r="G1979" s="14">
        <f t="shared" si="1"/>
        <v>62</v>
      </c>
      <c r="H1979" s="23" t="s">
        <v>27</v>
      </c>
      <c r="I1979" s="24" t="s">
        <v>27</v>
      </c>
      <c r="J1979" s="19" t="s">
        <v>95</v>
      </c>
      <c r="K1979" s="14">
        <v>15.0</v>
      </c>
      <c r="L1979" s="14">
        <v>0.0</v>
      </c>
      <c r="M1979" s="25"/>
      <c r="N1979" s="26" t="s">
        <v>21</v>
      </c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</row>
    <row r="1980">
      <c r="A1980" s="14" t="s">
        <v>7250</v>
      </c>
      <c r="B1980" s="17" t="s">
        <v>7246</v>
      </c>
      <c r="C1980" s="17" t="s">
        <v>7251</v>
      </c>
      <c r="D1980" s="19" t="s">
        <v>7252</v>
      </c>
      <c r="E1980" s="20" t="s">
        <v>104</v>
      </c>
      <c r="F1980" s="21">
        <v>32225.0</v>
      </c>
      <c r="G1980" s="14">
        <f t="shared" si="1"/>
        <v>38</v>
      </c>
      <c r="H1980" s="23" t="s">
        <v>100</v>
      </c>
      <c r="I1980" s="24" t="s">
        <v>33</v>
      </c>
      <c r="J1980" s="19" t="s">
        <v>95</v>
      </c>
      <c r="K1980" s="14">
        <v>15.0</v>
      </c>
      <c r="L1980" s="14">
        <v>0.0</v>
      </c>
      <c r="M1980" s="25"/>
      <c r="N1980" s="26" t="s">
        <v>21</v>
      </c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7"/>
    </row>
    <row r="1981">
      <c r="A1981" s="14" t="s">
        <v>7253</v>
      </c>
      <c r="B1981" s="17" t="s">
        <v>7254</v>
      </c>
      <c r="C1981" s="17" t="s">
        <v>7255</v>
      </c>
      <c r="D1981" s="19" t="s">
        <v>7256</v>
      </c>
      <c r="E1981" s="20" t="s">
        <v>210</v>
      </c>
      <c r="F1981" s="21">
        <v>30964.0</v>
      </c>
      <c r="G1981" s="14">
        <f t="shared" si="1"/>
        <v>42</v>
      </c>
      <c r="H1981" s="23" t="s">
        <v>26</v>
      </c>
      <c r="I1981" s="24" t="s">
        <v>27</v>
      </c>
      <c r="J1981" s="19" t="s">
        <v>517</v>
      </c>
      <c r="K1981" s="14">
        <v>5.0</v>
      </c>
      <c r="L1981" s="14">
        <v>0.0</v>
      </c>
      <c r="M1981" s="25"/>
      <c r="N1981" s="26" t="s">
        <v>21</v>
      </c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</row>
    <row r="1982">
      <c r="A1982" s="14" t="s">
        <v>7257</v>
      </c>
      <c r="B1982" s="17" t="s">
        <v>7254</v>
      </c>
      <c r="C1982" s="17" t="s">
        <v>7258</v>
      </c>
      <c r="D1982" s="19" t="s">
        <v>7259</v>
      </c>
      <c r="E1982" s="20" t="s">
        <v>337</v>
      </c>
      <c r="F1982" s="27">
        <v>38273.0</v>
      </c>
      <c r="G1982" s="14">
        <f t="shared" si="1"/>
        <v>22</v>
      </c>
      <c r="H1982" s="23" t="s">
        <v>100</v>
      </c>
      <c r="I1982" s="24" t="s">
        <v>27</v>
      </c>
      <c r="J1982" s="19" t="s">
        <v>517</v>
      </c>
      <c r="K1982" s="14">
        <v>5.0</v>
      </c>
      <c r="L1982" s="14">
        <v>0.0</v>
      </c>
      <c r="M1982" s="25"/>
      <c r="N1982" s="26" t="s">
        <v>21</v>
      </c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7"/>
    </row>
    <row r="1983">
      <c r="A1983" s="14" t="s">
        <v>7260</v>
      </c>
      <c r="B1983" s="17" t="s">
        <v>7254</v>
      </c>
      <c r="C1983" s="17" t="s">
        <v>7261</v>
      </c>
      <c r="D1983" s="19" t="s">
        <v>7262</v>
      </c>
      <c r="E1983" s="20" t="s">
        <v>104</v>
      </c>
      <c r="F1983" s="21">
        <v>29561.0</v>
      </c>
      <c r="G1983" s="14">
        <f t="shared" si="1"/>
        <v>45</v>
      </c>
      <c r="H1983" s="23" t="s">
        <v>26</v>
      </c>
      <c r="I1983" s="24" t="s">
        <v>33</v>
      </c>
      <c r="J1983" s="19" t="s">
        <v>517</v>
      </c>
      <c r="K1983" s="14">
        <v>5.0</v>
      </c>
      <c r="L1983" s="14">
        <v>0.0</v>
      </c>
      <c r="M1983" s="25"/>
      <c r="N1983" s="26" t="s">
        <v>21</v>
      </c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</row>
    <row r="1984">
      <c r="A1984" s="14" t="s">
        <v>7263</v>
      </c>
      <c r="B1984" s="17" t="s">
        <v>7264</v>
      </c>
      <c r="C1984" s="17" t="s">
        <v>7265</v>
      </c>
      <c r="D1984" s="19" t="s">
        <v>7266</v>
      </c>
      <c r="E1984" s="20" t="s">
        <v>650</v>
      </c>
      <c r="F1984" s="21">
        <v>19785.0</v>
      </c>
      <c r="G1984" s="14">
        <f t="shared" si="1"/>
        <v>72</v>
      </c>
      <c r="H1984" s="23" t="s">
        <v>26</v>
      </c>
      <c r="I1984" s="24" t="s">
        <v>33</v>
      </c>
      <c r="J1984" s="19" t="s">
        <v>146</v>
      </c>
      <c r="K1984" s="14">
        <v>5.0</v>
      </c>
      <c r="L1984" s="14">
        <v>0.0</v>
      </c>
      <c r="M1984" s="25"/>
      <c r="N1984" s="26" t="s">
        <v>21</v>
      </c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</row>
    <row r="1985">
      <c r="A1985" s="14" t="s">
        <v>7267</v>
      </c>
      <c r="B1985" s="17" t="s">
        <v>7264</v>
      </c>
      <c r="C1985" s="17" t="s">
        <v>7268</v>
      </c>
      <c r="D1985" s="19" t="s">
        <v>7269</v>
      </c>
      <c r="E1985" s="20" t="s">
        <v>650</v>
      </c>
      <c r="F1985" s="21">
        <v>22302.0</v>
      </c>
      <c r="G1985" s="14">
        <f t="shared" si="1"/>
        <v>65</v>
      </c>
      <c r="H1985" s="23" t="s">
        <v>26</v>
      </c>
      <c r="I1985" s="24" t="s">
        <v>27</v>
      </c>
      <c r="J1985" s="19" t="s">
        <v>146</v>
      </c>
      <c r="K1985" s="14">
        <v>5.0</v>
      </c>
      <c r="L1985" s="14">
        <v>1.0</v>
      </c>
      <c r="M1985" s="25"/>
      <c r="N1985" s="26" t="s">
        <v>21</v>
      </c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</row>
    <row r="1986">
      <c r="A1986" s="14" t="s">
        <v>7270</v>
      </c>
      <c r="B1986" s="17" t="s">
        <v>7271</v>
      </c>
      <c r="C1986" s="17" t="s">
        <v>7272</v>
      </c>
      <c r="D1986" s="19" t="s">
        <v>4603</v>
      </c>
      <c r="E1986" s="20" t="s">
        <v>650</v>
      </c>
      <c r="F1986" s="21">
        <v>22426.0</v>
      </c>
      <c r="G1986" s="14">
        <f t="shared" si="1"/>
        <v>65</v>
      </c>
      <c r="H1986" s="23" t="s">
        <v>26</v>
      </c>
      <c r="I1986" s="24" t="s">
        <v>27</v>
      </c>
      <c r="J1986" s="19" t="s">
        <v>2019</v>
      </c>
      <c r="K1986" s="14">
        <v>3.0</v>
      </c>
      <c r="L1986" s="14">
        <v>0.0</v>
      </c>
      <c r="M1986" s="25"/>
      <c r="N1986" s="26" t="s">
        <v>21</v>
      </c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</row>
    <row r="1987">
      <c r="A1987" s="14" t="s">
        <v>7273</v>
      </c>
      <c r="B1987" s="17" t="s">
        <v>7274</v>
      </c>
      <c r="C1987" s="17" t="s">
        <v>7275</v>
      </c>
      <c r="D1987" s="19" t="s">
        <v>7276</v>
      </c>
      <c r="E1987" s="20" t="s">
        <v>880</v>
      </c>
      <c r="F1987" s="27">
        <v>29177.0</v>
      </c>
      <c r="G1987" s="14">
        <f t="shared" si="1"/>
        <v>46</v>
      </c>
      <c r="H1987" s="23" t="s">
        <v>26</v>
      </c>
      <c r="I1987" s="24" t="s">
        <v>27</v>
      </c>
      <c r="J1987" s="19" t="s">
        <v>146</v>
      </c>
      <c r="K1987" s="14">
        <v>3.0</v>
      </c>
      <c r="L1987" s="14">
        <v>1.0</v>
      </c>
      <c r="M1987" s="25"/>
      <c r="N1987" s="26" t="s">
        <v>21</v>
      </c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</row>
    <row r="1988">
      <c r="A1988" s="14" t="s">
        <v>7277</v>
      </c>
      <c r="B1988" s="17" t="s">
        <v>7274</v>
      </c>
      <c r="C1988" s="17" t="s">
        <v>7278</v>
      </c>
      <c r="D1988" s="19" t="s">
        <v>7279</v>
      </c>
      <c r="E1988" s="20" t="s">
        <v>210</v>
      </c>
      <c r="F1988" s="21">
        <v>27519.0</v>
      </c>
      <c r="G1988" s="14">
        <f t="shared" si="1"/>
        <v>51</v>
      </c>
      <c r="H1988" s="23" t="s">
        <v>26</v>
      </c>
      <c r="I1988" s="24" t="s">
        <v>33</v>
      </c>
      <c r="J1988" s="19" t="s">
        <v>146</v>
      </c>
      <c r="K1988" s="14">
        <v>3.0</v>
      </c>
      <c r="L1988" s="14">
        <v>0.0</v>
      </c>
      <c r="M1988" s="25"/>
      <c r="N1988" s="26" t="s">
        <v>21</v>
      </c>
      <c r="O1988" s="7"/>
      <c r="P1988" s="7"/>
      <c r="Q1988" s="7"/>
      <c r="R1988" s="7"/>
      <c r="S1988" s="7"/>
      <c r="T1988" s="7"/>
      <c r="U1988" s="7"/>
      <c r="V1988" s="7"/>
      <c r="W1988" s="7"/>
      <c r="X1988" s="7"/>
      <c r="Y1988" s="7"/>
    </row>
    <row r="1989">
      <c r="A1989" s="14" t="s">
        <v>7280</v>
      </c>
      <c r="B1989" s="17" t="s">
        <v>7274</v>
      </c>
      <c r="C1989" s="17" t="s">
        <v>7281</v>
      </c>
      <c r="D1989" s="19" t="s">
        <v>7282</v>
      </c>
      <c r="E1989" s="20" t="s">
        <v>53</v>
      </c>
      <c r="F1989" s="27">
        <v>36079.0</v>
      </c>
      <c r="G1989" s="14">
        <f t="shared" si="1"/>
        <v>28</v>
      </c>
      <c r="H1989" s="23" t="s">
        <v>100</v>
      </c>
      <c r="I1989" s="24" t="s">
        <v>27</v>
      </c>
      <c r="J1989" s="19" t="s">
        <v>146</v>
      </c>
      <c r="K1989" s="14">
        <v>3.0</v>
      </c>
      <c r="L1989" s="14">
        <v>7.0</v>
      </c>
      <c r="M1989" s="25"/>
      <c r="N1989" s="26" t="s">
        <v>21</v>
      </c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</row>
    <row r="1990">
      <c r="A1990" s="14" t="s">
        <v>7283</v>
      </c>
      <c r="B1990" s="17" t="s">
        <v>7274</v>
      </c>
      <c r="C1990" s="17" t="s">
        <v>7284</v>
      </c>
      <c r="D1990" s="19" t="s">
        <v>7285</v>
      </c>
      <c r="E1990" s="20" t="s">
        <v>880</v>
      </c>
      <c r="F1990" s="21">
        <v>20653.0</v>
      </c>
      <c r="G1990" s="14">
        <f t="shared" si="1"/>
        <v>70</v>
      </c>
      <c r="H1990" s="23" t="s">
        <v>27</v>
      </c>
      <c r="I1990" s="24" t="s">
        <v>27</v>
      </c>
      <c r="J1990" s="19" t="s">
        <v>146</v>
      </c>
      <c r="K1990" s="14">
        <v>3.0</v>
      </c>
      <c r="L1990" s="14">
        <v>0.0</v>
      </c>
      <c r="M1990" s="25"/>
      <c r="N1990" s="26" t="s">
        <v>21</v>
      </c>
      <c r="O1990" s="7"/>
      <c r="P1990" s="7"/>
      <c r="Q1990" s="7"/>
      <c r="R1990" s="7"/>
      <c r="S1990" s="7"/>
      <c r="T1990" s="7"/>
      <c r="U1990" s="7"/>
      <c r="V1990" s="7"/>
      <c r="W1990" s="7"/>
      <c r="X1990" s="7"/>
      <c r="Y1990" s="7"/>
    </row>
    <row r="1991">
      <c r="A1991" s="14" t="s">
        <v>7286</v>
      </c>
      <c r="B1991" s="17" t="s">
        <v>7287</v>
      </c>
      <c r="C1991" s="17" t="s">
        <v>7288</v>
      </c>
      <c r="D1991" s="19" t="s">
        <v>7289</v>
      </c>
      <c r="E1991" s="20" t="s">
        <v>104</v>
      </c>
      <c r="F1991" s="27">
        <v>38283.0</v>
      </c>
      <c r="G1991" s="14">
        <f t="shared" si="1"/>
        <v>22</v>
      </c>
      <c r="H1991" s="23" t="s">
        <v>100</v>
      </c>
      <c r="I1991" s="24" t="s">
        <v>27</v>
      </c>
      <c r="J1991" s="19" t="s">
        <v>146</v>
      </c>
      <c r="K1991" s="14">
        <v>3.0</v>
      </c>
      <c r="L1991" s="14">
        <v>0.0</v>
      </c>
      <c r="M1991" s="25"/>
      <c r="N1991" s="26" t="s">
        <v>21</v>
      </c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</row>
    <row r="1992">
      <c r="A1992" s="14" t="s">
        <v>7290</v>
      </c>
      <c r="B1992" s="17" t="s">
        <v>7287</v>
      </c>
      <c r="C1992" s="17" t="s">
        <v>7291</v>
      </c>
      <c r="D1992" s="19" t="s">
        <v>7292</v>
      </c>
      <c r="E1992" s="20" t="s">
        <v>7293</v>
      </c>
      <c r="F1992" s="21">
        <v>25427.0</v>
      </c>
      <c r="G1992" s="14">
        <f t="shared" si="1"/>
        <v>57</v>
      </c>
      <c r="H1992" s="23" t="s">
        <v>26</v>
      </c>
      <c r="I1992" s="24" t="s">
        <v>33</v>
      </c>
      <c r="J1992" s="19" t="s">
        <v>146</v>
      </c>
      <c r="K1992" s="14">
        <v>3.0</v>
      </c>
      <c r="L1992" s="14">
        <v>0.0</v>
      </c>
      <c r="M1992" s="25"/>
      <c r="N1992" s="26" t="s">
        <v>21</v>
      </c>
      <c r="O1992" s="7"/>
      <c r="P1992" s="7"/>
      <c r="Q1992" s="7"/>
      <c r="R1992" s="7"/>
      <c r="S1992" s="7"/>
      <c r="T1992" s="7"/>
      <c r="U1992" s="7"/>
      <c r="V1992" s="7"/>
      <c r="W1992" s="7"/>
      <c r="X1992" s="7"/>
      <c r="Y1992" s="7"/>
    </row>
    <row r="1993">
      <c r="A1993" s="14" t="s">
        <v>7294</v>
      </c>
      <c r="B1993" s="17" t="s">
        <v>7287</v>
      </c>
      <c r="C1993" s="17" t="s">
        <v>7295</v>
      </c>
      <c r="D1993" s="19" t="s">
        <v>1053</v>
      </c>
      <c r="E1993" s="20" t="s">
        <v>7296</v>
      </c>
      <c r="F1993" s="21">
        <v>24692.0</v>
      </c>
      <c r="G1993" s="14">
        <f t="shared" si="1"/>
        <v>59</v>
      </c>
      <c r="H1993" s="23" t="s">
        <v>26</v>
      </c>
      <c r="I1993" s="24" t="s">
        <v>27</v>
      </c>
      <c r="J1993" s="19" t="s">
        <v>2038</v>
      </c>
      <c r="K1993" s="14">
        <v>3.0</v>
      </c>
      <c r="L1993" s="14">
        <v>0.0</v>
      </c>
      <c r="M1993" s="25"/>
      <c r="N1993" s="26" t="s">
        <v>21</v>
      </c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</row>
    <row r="1994">
      <c r="A1994" s="14" t="s">
        <v>7297</v>
      </c>
      <c r="B1994" s="17" t="s">
        <v>7298</v>
      </c>
      <c r="C1994" s="17" t="s">
        <v>7299</v>
      </c>
      <c r="D1994" s="19" t="s">
        <v>7300</v>
      </c>
      <c r="E1994" s="20" t="s">
        <v>53</v>
      </c>
      <c r="F1994" s="27">
        <v>36081.0</v>
      </c>
      <c r="G1994" s="14">
        <f t="shared" si="1"/>
        <v>28</v>
      </c>
      <c r="H1994" s="23" t="s">
        <v>100</v>
      </c>
      <c r="I1994" s="24" t="s">
        <v>27</v>
      </c>
      <c r="J1994" s="19" t="s">
        <v>328</v>
      </c>
      <c r="K1994" s="14">
        <v>24.0</v>
      </c>
      <c r="L1994" s="14">
        <v>0.0</v>
      </c>
      <c r="M1994" s="25"/>
      <c r="N1994" s="26" t="s">
        <v>21</v>
      </c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</row>
    <row r="1995">
      <c r="A1995" s="14" t="s">
        <v>7301</v>
      </c>
      <c r="B1995" s="17" t="s">
        <v>7298</v>
      </c>
      <c r="C1995" s="17" t="s">
        <v>7302</v>
      </c>
      <c r="D1995" s="19" t="s">
        <v>7303</v>
      </c>
      <c r="E1995" s="20" t="s">
        <v>429</v>
      </c>
      <c r="F1995" s="21">
        <v>25750.0</v>
      </c>
      <c r="G1995" s="14">
        <f t="shared" si="1"/>
        <v>56</v>
      </c>
      <c r="H1995" s="23" t="s">
        <v>26</v>
      </c>
      <c r="I1995" s="24" t="s">
        <v>27</v>
      </c>
      <c r="J1995" s="19" t="s">
        <v>328</v>
      </c>
      <c r="K1995" s="14">
        <v>24.0</v>
      </c>
      <c r="L1995" s="14">
        <v>0.0</v>
      </c>
      <c r="M1995" s="25"/>
      <c r="N1995" s="26" t="s">
        <v>21</v>
      </c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</row>
    <row r="1996">
      <c r="A1996" s="14" t="s">
        <v>7304</v>
      </c>
      <c r="B1996" s="17" t="s">
        <v>7298</v>
      </c>
      <c r="C1996" s="17" t="s">
        <v>7305</v>
      </c>
      <c r="D1996" s="19" t="s">
        <v>7306</v>
      </c>
      <c r="E1996" s="20" t="s">
        <v>429</v>
      </c>
      <c r="F1996" s="21">
        <v>21732.0</v>
      </c>
      <c r="G1996" s="14">
        <f t="shared" si="1"/>
        <v>67</v>
      </c>
      <c r="H1996" s="23" t="s">
        <v>26</v>
      </c>
      <c r="I1996" s="24" t="s">
        <v>33</v>
      </c>
      <c r="J1996" s="19" t="s">
        <v>328</v>
      </c>
      <c r="K1996" s="14">
        <v>24.0</v>
      </c>
      <c r="L1996" s="14">
        <v>0.0</v>
      </c>
      <c r="M1996" s="25"/>
      <c r="N1996" s="26" t="s">
        <v>21</v>
      </c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</row>
    <row r="1997">
      <c r="A1997" s="14" t="s">
        <v>7307</v>
      </c>
      <c r="B1997" s="17" t="s">
        <v>7298</v>
      </c>
      <c r="C1997" s="17" t="s">
        <v>7308</v>
      </c>
      <c r="D1997" s="19" t="s">
        <v>7309</v>
      </c>
      <c r="E1997" s="20" t="s">
        <v>53</v>
      </c>
      <c r="F1997" s="21">
        <v>34598.0</v>
      </c>
      <c r="G1997" s="14">
        <f t="shared" si="1"/>
        <v>32</v>
      </c>
      <c r="H1997" s="23" t="s">
        <v>100</v>
      </c>
      <c r="I1997" s="24" t="s">
        <v>33</v>
      </c>
      <c r="J1997" s="19" t="s">
        <v>328</v>
      </c>
      <c r="K1997" s="14">
        <v>24.0</v>
      </c>
      <c r="L1997" s="14">
        <v>7.0</v>
      </c>
      <c r="M1997" s="28" t="s">
        <v>8122</v>
      </c>
      <c r="N1997" s="26" t="s">
        <v>21</v>
      </c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</row>
    <row r="1998">
      <c r="A1998" s="14" t="s">
        <v>7310</v>
      </c>
      <c r="B1998" s="17" t="s">
        <v>7311</v>
      </c>
      <c r="C1998" s="17" t="s">
        <v>7312</v>
      </c>
      <c r="D1998" s="19" t="s">
        <v>7313</v>
      </c>
      <c r="E1998" s="20" t="s">
        <v>104</v>
      </c>
      <c r="F1998" s="27">
        <v>31760.0</v>
      </c>
      <c r="G1998" s="14">
        <f t="shared" si="1"/>
        <v>39</v>
      </c>
      <c r="H1998" s="23" t="s">
        <v>26</v>
      </c>
      <c r="I1998" s="24" t="s">
        <v>27</v>
      </c>
      <c r="J1998" s="19" t="s">
        <v>726</v>
      </c>
      <c r="K1998" s="14">
        <v>19.0</v>
      </c>
      <c r="L1998" s="14">
        <v>0.0</v>
      </c>
      <c r="M1998" s="25"/>
      <c r="N1998" s="26" t="s">
        <v>21</v>
      </c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</row>
    <row r="1999">
      <c r="A1999" s="14" t="s">
        <v>7314</v>
      </c>
      <c r="B1999" s="17" t="s">
        <v>7311</v>
      </c>
      <c r="C1999" s="17" t="s">
        <v>7315</v>
      </c>
      <c r="D1999" s="19" t="s">
        <v>7316</v>
      </c>
      <c r="E1999" s="20" t="s">
        <v>104</v>
      </c>
      <c r="F1999" s="27">
        <v>31330.0</v>
      </c>
      <c r="G1999" s="14">
        <f t="shared" si="1"/>
        <v>41</v>
      </c>
      <c r="H1999" s="23" t="s">
        <v>26</v>
      </c>
      <c r="I1999" s="24" t="s">
        <v>33</v>
      </c>
      <c r="J1999" s="19" t="s">
        <v>726</v>
      </c>
      <c r="K1999" s="14">
        <v>19.0</v>
      </c>
      <c r="L1999" s="14">
        <v>0.0</v>
      </c>
      <c r="M1999" s="25"/>
      <c r="N1999" s="26" t="s">
        <v>21</v>
      </c>
      <c r="O1999" s="7"/>
      <c r="P1999" s="7"/>
      <c r="Q1999" s="7"/>
      <c r="R1999" s="7"/>
      <c r="S1999" s="7"/>
      <c r="T1999" s="7"/>
      <c r="U1999" s="7"/>
      <c r="V1999" s="7"/>
      <c r="W1999" s="7"/>
      <c r="X1999" s="7"/>
      <c r="Y1999" s="7"/>
    </row>
    <row r="2000">
      <c r="A2000" s="14" t="s">
        <v>7318</v>
      </c>
      <c r="B2000" s="17" t="s">
        <v>7319</v>
      </c>
      <c r="C2000" s="17" t="s">
        <v>7320</v>
      </c>
      <c r="D2000" s="19" t="s">
        <v>7321</v>
      </c>
      <c r="E2000" s="20" t="s">
        <v>210</v>
      </c>
      <c r="F2000" s="21">
        <v>30442.0</v>
      </c>
      <c r="G2000" s="14">
        <f t="shared" si="1"/>
        <v>43</v>
      </c>
      <c r="H2000" s="23" t="s">
        <v>26</v>
      </c>
      <c r="I2000" s="24" t="s">
        <v>27</v>
      </c>
      <c r="J2000" s="19" t="s">
        <v>53</v>
      </c>
      <c r="K2000" s="14">
        <v>9.0</v>
      </c>
      <c r="L2000" s="14">
        <v>0.0</v>
      </c>
      <c r="M2000" s="25"/>
      <c r="N2000" s="26" t="s">
        <v>21</v>
      </c>
      <c r="O2000" s="7"/>
      <c r="P2000" s="7"/>
      <c r="Q2000" s="7"/>
      <c r="R2000" s="7"/>
      <c r="S2000" s="7"/>
      <c r="T2000" s="7"/>
      <c r="U2000" s="7"/>
      <c r="V2000" s="7"/>
      <c r="W2000" s="7"/>
      <c r="X2000" s="7"/>
      <c r="Y2000" s="7"/>
    </row>
    <row r="2001">
      <c r="A2001" s="14" t="s">
        <v>7322</v>
      </c>
      <c r="B2001" s="17" t="s">
        <v>7319</v>
      </c>
      <c r="C2001" s="17" t="s">
        <v>7323</v>
      </c>
      <c r="D2001" s="19" t="s">
        <v>7324</v>
      </c>
      <c r="E2001" s="20" t="s">
        <v>104</v>
      </c>
      <c r="F2001" s="21">
        <v>38750.0</v>
      </c>
      <c r="G2001" s="14">
        <f t="shared" si="1"/>
        <v>20</v>
      </c>
      <c r="H2001" s="23" t="s">
        <v>100</v>
      </c>
      <c r="I2001" s="24" t="s">
        <v>33</v>
      </c>
      <c r="J2001" s="19" t="s">
        <v>53</v>
      </c>
      <c r="K2001" s="14">
        <v>9.0</v>
      </c>
      <c r="L2001" s="14">
        <v>0.0</v>
      </c>
      <c r="M2001" s="25"/>
      <c r="N2001" s="26" t="s">
        <v>21</v>
      </c>
      <c r="O2001" s="7"/>
      <c r="P2001" s="7"/>
      <c r="Q2001" s="7"/>
      <c r="R2001" s="7"/>
      <c r="S2001" s="7"/>
      <c r="T2001" s="7"/>
      <c r="U2001" s="7"/>
      <c r="V2001" s="7"/>
      <c r="W2001" s="7"/>
      <c r="X2001" s="7"/>
      <c r="Y2001" s="7"/>
    </row>
    <row r="2002">
      <c r="A2002" s="14" t="s">
        <v>7325</v>
      </c>
      <c r="B2002" s="17" t="s">
        <v>7319</v>
      </c>
      <c r="C2002" s="17" t="s">
        <v>7326</v>
      </c>
      <c r="D2002" s="19" t="s">
        <v>7327</v>
      </c>
      <c r="E2002" s="20" t="s">
        <v>650</v>
      </c>
      <c r="F2002" s="21">
        <v>30015.0</v>
      </c>
      <c r="G2002" s="14">
        <f t="shared" si="1"/>
        <v>44</v>
      </c>
      <c r="H2002" s="23" t="s">
        <v>26</v>
      </c>
      <c r="I2002" s="24" t="s">
        <v>33</v>
      </c>
      <c r="J2002" s="19" t="s">
        <v>53</v>
      </c>
      <c r="K2002" s="14">
        <v>9.0</v>
      </c>
      <c r="L2002" s="14">
        <v>0.0</v>
      </c>
      <c r="M2002" s="25"/>
      <c r="N2002" s="26" t="s">
        <v>21</v>
      </c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</row>
    <row r="2003">
      <c r="A2003" s="14" t="s">
        <v>7328</v>
      </c>
      <c r="B2003" s="17" t="s">
        <v>7329</v>
      </c>
      <c r="C2003" s="17" t="s">
        <v>7330</v>
      </c>
      <c r="D2003" s="19" t="s">
        <v>7331</v>
      </c>
      <c r="E2003" s="20" t="s">
        <v>525</v>
      </c>
      <c r="F2003" s="21">
        <v>34019.0</v>
      </c>
      <c r="G2003" s="14">
        <f t="shared" si="1"/>
        <v>33</v>
      </c>
      <c r="H2003" s="23" t="s">
        <v>26</v>
      </c>
      <c r="I2003" s="24" t="s">
        <v>33</v>
      </c>
      <c r="J2003" s="19" t="s">
        <v>206</v>
      </c>
      <c r="K2003" s="14">
        <v>1.0</v>
      </c>
      <c r="L2003" s="14">
        <v>0.0</v>
      </c>
      <c r="M2003" s="25"/>
      <c r="N2003" s="26" t="s">
        <v>21</v>
      </c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</row>
    <row r="2004">
      <c r="A2004" s="14" t="s">
        <v>7332</v>
      </c>
      <c r="B2004" s="17" t="s">
        <v>7329</v>
      </c>
      <c r="C2004" s="17" t="s">
        <v>7333</v>
      </c>
      <c r="D2004" s="19" t="s">
        <v>7334</v>
      </c>
      <c r="E2004" s="20" t="s">
        <v>104</v>
      </c>
      <c r="F2004" s="21">
        <v>35552.0</v>
      </c>
      <c r="G2004" s="14">
        <f t="shared" si="1"/>
        <v>29</v>
      </c>
      <c r="H2004" s="23" t="s">
        <v>26</v>
      </c>
      <c r="I2004" s="24" t="s">
        <v>27</v>
      </c>
      <c r="J2004" s="19" t="s">
        <v>206</v>
      </c>
      <c r="K2004" s="14">
        <v>1.0</v>
      </c>
      <c r="L2004" s="14">
        <v>0.0</v>
      </c>
      <c r="M2004" s="25"/>
      <c r="N2004" s="26" t="s">
        <v>21</v>
      </c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</row>
    <row r="2005">
      <c r="A2005" s="14" t="s">
        <v>7335</v>
      </c>
      <c r="B2005" s="17" t="s">
        <v>7336</v>
      </c>
      <c r="C2005" s="17" t="s">
        <v>7337</v>
      </c>
      <c r="D2005" s="19" t="s">
        <v>7338</v>
      </c>
      <c r="E2005" s="20" t="s">
        <v>104</v>
      </c>
      <c r="F2005" s="21">
        <v>34570.0</v>
      </c>
      <c r="G2005" s="14">
        <f t="shared" si="1"/>
        <v>32</v>
      </c>
      <c r="H2005" s="23" t="s">
        <v>26</v>
      </c>
      <c r="I2005" s="24" t="s">
        <v>33</v>
      </c>
      <c r="J2005" s="19" t="s">
        <v>328</v>
      </c>
      <c r="K2005" s="14">
        <v>19.0</v>
      </c>
      <c r="L2005" s="14">
        <v>0.0</v>
      </c>
      <c r="M2005" s="25"/>
      <c r="N2005" s="26" t="s">
        <v>21</v>
      </c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</row>
    <row r="2006">
      <c r="A2006" s="14" t="s">
        <v>7339</v>
      </c>
      <c r="B2006" s="17" t="s">
        <v>7336</v>
      </c>
      <c r="C2006" s="17" t="s">
        <v>7340</v>
      </c>
      <c r="D2006" s="19" t="s">
        <v>7341</v>
      </c>
      <c r="E2006" s="20" t="s">
        <v>210</v>
      </c>
      <c r="F2006" s="21">
        <v>35938.0</v>
      </c>
      <c r="G2006" s="14">
        <f t="shared" si="1"/>
        <v>28</v>
      </c>
      <c r="H2006" s="23" t="s">
        <v>26</v>
      </c>
      <c r="I2006" s="24" t="s">
        <v>27</v>
      </c>
      <c r="J2006" s="19" t="s">
        <v>328</v>
      </c>
      <c r="K2006" s="14">
        <v>19.0</v>
      </c>
      <c r="L2006" s="14">
        <v>0.0</v>
      </c>
      <c r="M2006" s="25"/>
      <c r="N2006" s="26" t="s">
        <v>21</v>
      </c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</row>
    <row r="2007">
      <c r="A2007" s="14" t="s">
        <v>7342</v>
      </c>
      <c r="B2007" s="17" t="s">
        <v>7343</v>
      </c>
      <c r="C2007" s="17" t="s">
        <v>7344</v>
      </c>
      <c r="D2007" s="19" t="s">
        <v>7345</v>
      </c>
      <c r="E2007" s="20" t="s">
        <v>1370</v>
      </c>
      <c r="F2007" s="21">
        <v>31173.0</v>
      </c>
      <c r="G2007" s="14">
        <f t="shared" si="1"/>
        <v>41</v>
      </c>
      <c r="H2007" s="23" t="s">
        <v>26</v>
      </c>
      <c r="I2007" s="24" t="s">
        <v>27</v>
      </c>
      <c r="J2007" s="19" t="s">
        <v>53</v>
      </c>
      <c r="K2007" s="14">
        <v>14.0</v>
      </c>
      <c r="L2007" s="14">
        <v>0.0</v>
      </c>
      <c r="M2007" s="25"/>
      <c r="N2007" s="26" t="s">
        <v>21</v>
      </c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</row>
    <row r="2008">
      <c r="A2008" s="14" t="s">
        <v>7346</v>
      </c>
      <c r="B2008" s="17" t="s">
        <v>7343</v>
      </c>
      <c r="C2008" s="17" t="s">
        <v>7347</v>
      </c>
      <c r="D2008" s="19" t="s">
        <v>7348</v>
      </c>
      <c r="E2008" s="20" t="s">
        <v>1370</v>
      </c>
      <c r="F2008" s="21">
        <v>30055.0</v>
      </c>
      <c r="G2008" s="14">
        <f t="shared" si="1"/>
        <v>44</v>
      </c>
      <c r="H2008" s="23" t="s">
        <v>26</v>
      </c>
      <c r="I2008" s="24" t="s">
        <v>33</v>
      </c>
      <c r="J2008" s="19" t="s">
        <v>53</v>
      </c>
      <c r="K2008" s="14">
        <v>14.0</v>
      </c>
      <c r="L2008" s="14">
        <v>0.0</v>
      </c>
      <c r="M2008" s="25"/>
      <c r="N2008" s="26" t="s">
        <v>21</v>
      </c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</row>
    <row r="2009">
      <c r="A2009" s="14" t="s">
        <v>7349</v>
      </c>
      <c r="B2009" s="17" t="s">
        <v>7350</v>
      </c>
      <c r="C2009" s="17" t="s">
        <v>7351</v>
      </c>
      <c r="D2009" s="19" t="s">
        <v>7352</v>
      </c>
      <c r="E2009" s="20" t="s">
        <v>7353</v>
      </c>
      <c r="F2009" s="21">
        <v>26180.0</v>
      </c>
      <c r="G2009" s="14">
        <f t="shared" si="1"/>
        <v>55</v>
      </c>
      <c r="H2009" s="23" t="s">
        <v>26</v>
      </c>
      <c r="I2009" s="24" t="s">
        <v>33</v>
      </c>
      <c r="J2009" s="19" t="s">
        <v>53</v>
      </c>
      <c r="K2009" s="14">
        <v>11.0</v>
      </c>
      <c r="L2009" s="14">
        <v>0.0</v>
      </c>
      <c r="M2009" s="25"/>
      <c r="N2009" s="26" t="s">
        <v>21</v>
      </c>
      <c r="O2009" s="7"/>
      <c r="P2009" s="7"/>
      <c r="Q2009" s="7"/>
      <c r="R2009" s="7"/>
      <c r="S2009" s="7"/>
      <c r="T2009" s="7"/>
      <c r="U2009" s="7"/>
      <c r="V2009" s="7"/>
      <c r="W2009" s="7"/>
      <c r="X2009" s="7"/>
      <c r="Y2009" s="7"/>
    </row>
    <row r="2010">
      <c r="A2010" s="14" t="s">
        <v>7354</v>
      </c>
      <c r="B2010" s="17" t="s">
        <v>7350</v>
      </c>
      <c r="C2010" s="17" t="s">
        <v>7355</v>
      </c>
      <c r="D2010" s="19" t="s">
        <v>7356</v>
      </c>
      <c r="E2010" s="20" t="s">
        <v>53</v>
      </c>
      <c r="F2010" s="21">
        <v>36169.0</v>
      </c>
      <c r="G2010" s="14">
        <f t="shared" si="1"/>
        <v>27</v>
      </c>
      <c r="H2010" s="23" t="s">
        <v>100</v>
      </c>
      <c r="I2010" s="24" t="s">
        <v>33</v>
      </c>
      <c r="J2010" s="19" t="s">
        <v>53</v>
      </c>
      <c r="K2010" s="14">
        <v>11.0</v>
      </c>
      <c r="L2010" s="14">
        <v>0.0</v>
      </c>
      <c r="M2010" s="25"/>
      <c r="N2010" s="26" t="s">
        <v>21</v>
      </c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</row>
    <row r="2011">
      <c r="A2011" s="14" t="s">
        <v>7357</v>
      </c>
      <c r="B2011" s="17" t="s">
        <v>7350</v>
      </c>
      <c r="C2011" s="17" t="s">
        <v>7358</v>
      </c>
      <c r="D2011" s="19" t="s">
        <v>1951</v>
      </c>
      <c r="E2011" s="20" t="s">
        <v>104</v>
      </c>
      <c r="F2011" s="21">
        <v>29768.0</v>
      </c>
      <c r="G2011" s="14">
        <f t="shared" si="1"/>
        <v>45</v>
      </c>
      <c r="H2011" s="23" t="s">
        <v>26</v>
      </c>
      <c r="I2011" s="24" t="s">
        <v>27</v>
      </c>
      <c r="J2011" s="19" t="s">
        <v>53</v>
      </c>
      <c r="K2011" s="14">
        <v>11.0</v>
      </c>
      <c r="L2011" s="14">
        <v>0.0</v>
      </c>
      <c r="M2011" s="25"/>
      <c r="N2011" s="26" t="s">
        <v>21</v>
      </c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7"/>
    </row>
    <row r="2012">
      <c r="A2012" s="14" t="s">
        <v>7359</v>
      </c>
      <c r="B2012" s="17" t="s">
        <v>8155</v>
      </c>
      <c r="C2012" s="17" t="s">
        <v>7360</v>
      </c>
      <c r="D2012" s="19" t="s">
        <v>7361</v>
      </c>
      <c r="E2012" s="20" t="s">
        <v>138</v>
      </c>
      <c r="F2012" s="21">
        <v>39223.0</v>
      </c>
      <c r="G2012" s="14">
        <f t="shared" si="1"/>
        <v>19</v>
      </c>
      <c r="H2012" s="23" t="s">
        <v>100</v>
      </c>
      <c r="I2012" s="24" t="s">
        <v>27</v>
      </c>
      <c r="J2012" s="19" t="s">
        <v>39</v>
      </c>
      <c r="K2012" s="14">
        <v>11.0</v>
      </c>
      <c r="L2012" s="14">
        <v>0.0</v>
      </c>
      <c r="M2012" s="25"/>
      <c r="N2012" s="26" t="s">
        <v>21</v>
      </c>
      <c r="O2012" s="7"/>
      <c r="P2012" s="7"/>
      <c r="Q2012" s="7"/>
      <c r="R2012" s="7"/>
      <c r="S2012" s="7"/>
      <c r="T2012" s="7"/>
      <c r="U2012" s="7"/>
      <c r="V2012" s="7"/>
      <c r="W2012" s="7"/>
      <c r="X2012" s="7"/>
      <c r="Y2012" s="7"/>
    </row>
    <row r="2013">
      <c r="A2013" s="14" t="s">
        <v>7362</v>
      </c>
      <c r="B2013" s="17" t="s">
        <v>7363</v>
      </c>
      <c r="C2013" s="17" t="s">
        <v>7364</v>
      </c>
      <c r="D2013" s="19" t="s">
        <v>7365</v>
      </c>
      <c r="E2013" s="20" t="s">
        <v>7366</v>
      </c>
      <c r="F2013" s="21">
        <v>32007.0</v>
      </c>
      <c r="G2013" s="14">
        <f t="shared" si="1"/>
        <v>39</v>
      </c>
      <c r="H2013" s="23" t="s">
        <v>26</v>
      </c>
      <c r="I2013" s="24" t="s">
        <v>27</v>
      </c>
      <c r="J2013" s="19" t="s">
        <v>328</v>
      </c>
      <c r="K2013" s="14">
        <v>31.0</v>
      </c>
      <c r="L2013" s="14">
        <v>0.0</v>
      </c>
      <c r="M2013" s="25"/>
      <c r="N2013" s="26" t="s">
        <v>21</v>
      </c>
      <c r="O2013" s="7"/>
      <c r="P2013" s="7"/>
      <c r="Q2013" s="7"/>
      <c r="R2013" s="7"/>
      <c r="S2013" s="7"/>
      <c r="T2013" s="7"/>
      <c r="U2013" s="7"/>
      <c r="V2013" s="7"/>
      <c r="W2013" s="7"/>
      <c r="X2013" s="7"/>
      <c r="Y2013" s="7"/>
    </row>
    <row r="2014">
      <c r="A2014" s="14" t="s">
        <v>7367</v>
      </c>
      <c r="B2014" s="17" t="s">
        <v>7363</v>
      </c>
      <c r="C2014" s="17" t="s">
        <v>7368</v>
      </c>
      <c r="D2014" s="19" t="s">
        <v>6855</v>
      </c>
      <c r="E2014" s="20" t="s">
        <v>6256</v>
      </c>
      <c r="F2014" s="21">
        <v>30659.0</v>
      </c>
      <c r="G2014" s="14">
        <f t="shared" si="1"/>
        <v>42</v>
      </c>
      <c r="H2014" s="23" t="s">
        <v>26</v>
      </c>
      <c r="I2014" s="24" t="s">
        <v>33</v>
      </c>
      <c r="J2014" s="19" t="s">
        <v>328</v>
      </c>
      <c r="K2014" s="14">
        <v>31.0</v>
      </c>
      <c r="L2014" s="14">
        <v>0.0</v>
      </c>
      <c r="M2014" s="25"/>
      <c r="N2014" s="26" t="s">
        <v>21</v>
      </c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</row>
    <row r="2015">
      <c r="A2015" s="14" t="s">
        <v>7369</v>
      </c>
      <c r="B2015" s="17" t="s">
        <v>7370</v>
      </c>
      <c r="C2015" s="17" t="s">
        <v>7371</v>
      </c>
      <c r="D2015" s="19" t="s">
        <v>7372</v>
      </c>
      <c r="E2015" s="20" t="s">
        <v>231</v>
      </c>
      <c r="F2015" s="21">
        <v>28995.0</v>
      </c>
      <c r="G2015" s="14">
        <f t="shared" si="1"/>
        <v>47</v>
      </c>
      <c r="H2015" s="23" t="s">
        <v>27</v>
      </c>
      <c r="I2015" s="24" t="s">
        <v>33</v>
      </c>
      <c r="J2015" s="19" t="s">
        <v>156</v>
      </c>
      <c r="K2015" s="14">
        <v>34.0</v>
      </c>
      <c r="L2015" s="14">
        <v>5.0</v>
      </c>
      <c r="M2015" s="28" t="s">
        <v>8171</v>
      </c>
      <c r="N2015" s="26" t="s">
        <v>21</v>
      </c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</row>
    <row r="2016">
      <c r="A2016" s="14" t="s">
        <v>7373</v>
      </c>
      <c r="B2016" s="17" t="s">
        <v>7370</v>
      </c>
      <c r="C2016" s="17" t="s">
        <v>7374</v>
      </c>
      <c r="D2016" s="19" t="s">
        <v>7375</v>
      </c>
      <c r="E2016" s="20" t="s">
        <v>104</v>
      </c>
      <c r="F2016" s="21">
        <v>39271.0</v>
      </c>
      <c r="G2016" s="14">
        <f t="shared" si="1"/>
        <v>19</v>
      </c>
      <c r="H2016" s="23" t="s">
        <v>100</v>
      </c>
      <c r="I2016" s="24" t="s">
        <v>33</v>
      </c>
      <c r="J2016" s="19" t="s">
        <v>156</v>
      </c>
      <c r="K2016" s="14">
        <v>34.0</v>
      </c>
      <c r="L2016" s="14">
        <v>0.0</v>
      </c>
      <c r="M2016" s="25"/>
      <c r="N2016" s="26" t="s">
        <v>21</v>
      </c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</row>
    <row r="2017">
      <c r="A2017" s="14" t="s">
        <v>7376</v>
      </c>
      <c r="B2017" s="17" t="s">
        <v>7370</v>
      </c>
      <c r="C2017" s="17" t="s">
        <v>7377</v>
      </c>
      <c r="D2017" s="19" t="s">
        <v>7378</v>
      </c>
      <c r="E2017" s="20" t="s">
        <v>231</v>
      </c>
      <c r="F2017" s="21">
        <v>36942.0</v>
      </c>
      <c r="G2017" s="14">
        <f t="shared" si="1"/>
        <v>25</v>
      </c>
      <c r="H2017" s="23" t="s">
        <v>100</v>
      </c>
      <c r="I2017" s="24" t="s">
        <v>33</v>
      </c>
      <c r="J2017" s="19" t="s">
        <v>156</v>
      </c>
      <c r="K2017" s="14">
        <v>34.0</v>
      </c>
      <c r="L2017" s="14">
        <v>0.0</v>
      </c>
      <c r="M2017" s="25"/>
      <c r="N2017" s="26" t="s">
        <v>21</v>
      </c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</row>
    <row r="2018">
      <c r="A2018" s="14" t="s">
        <v>7379</v>
      </c>
      <c r="B2018" s="17" t="s">
        <v>7380</v>
      </c>
      <c r="C2018" s="17" t="s">
        <v>7381</v>
      </c>
      <c r="D2018" s="19" t="s">
        <v>7382</v>
      </c>
      <c r="E2018" s="20" t="s">
        <v>53</v>
      </c>
      <c r="F2018" s="27">
        <v>37217.0</v>
      </c>
      <c r="G2018" s="14">
        <f t="shared" si="1"/>
        <v>24</v>
      </c>
      <c r="H2018" s="23" t="s">
        <v>100</v>
      </c>
      <c r="I2018" s="24" t="s">
        <v>27</v>
      </c>
      <c r="J2018" s="19" t="s">
        <v>53</v>
      </c>
      <c r="K2018" s="14">
        <v>3.0</v>
      </c>
      <c r="L2018" s="14">
        <v>0.0</v>
      </c>
      <c r="M2018" s="25"/>
      <c r="N2018" s="26" t="s">
        <v>21</v>
      </c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</row>
    <row r="2019">
      <c r="A2019" s="14" t="s">
        <v>7383</v>
      </c>
      <c r="B2019" s="17" t="s">
        <v>7380</v>
      </c>
      <c r="C2019" s="17" t="s">
        <v>7384</v>
      </c>
      <c r="D2019" s="19" t="s">
        <v>7385</v>
      </c>
      <c r="E2019" s="20" t="s">
        <v>7386</v>
      </c>
      <c r="F2019" s="21">
        <v>25027.0</v>
      </c>
      <c r="G2019" s="14">
        <f t="shared" si="1"/>
        <v>58</v>
      </c>
      <c r="H2019" s="23" t="s">
        <v>26</v>
      </c>
      <c r="I2019" s="24" t="s">
        <v>33</v>
      </c>
      <c r="J2019" s="19" t="s">
        <v>53</v>
      </c>
      <c r="K2019" s="14">
        <v>3.0</v>
      </c>
      <c r="L2019" s="14">
        <v>0.0</v>
      </c>
      <c r="M2019" s="25"/>
      <c r="N2019" s="26" t="s">
        <v>21</v>
      </c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</row>
    <row r="2020">
      <c r="A2020" s="14" t="s">
        <v>7387</v>
      </c>
      <c r="B2020" s="17" t="s">
        <v>7380</v>
      </c>
      <c r="C2020" s="17" t="s">
        <v>7388</v>
      </c>
      <c r="D2020" s="19" t="s">
        <v>7389</v>
      </c>
      <c r="E2020" s="20" t="s">
        <v>650</v>
      </c>
      <c r="F2020" s="21">
        <v>27227.0</v>
      </c>
      <c r="G2020" s="14">
        <f t="shared" si="1"/>
        <v>52</v>
      </c>
      <c r="H2020" s="23" t="s">
        <v>26</v>
      </c>
      <c r="I2020" s="24" t="s">
        <v>27</v>
      </c>
      <c r="J2020" s="19" t="s">
        <v>53</v>
      </c>
      <c r="K2020" s="14">
        <v>3.0</v>
      </c>
      <c r="L2020" s="14">
        <v>0.0</v>
      </c>
      <c r="M2020" s="25"/>
      <c r="N2020" s="26" t="s">
        <v>21</v>
      </c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</row>
    <row r="2021">
      <c r="A2021" s="14" t="s">
        <v>7390</v>
      </c>
      <c r="B2021" s="17" t="s">
        <v>7391</v>
      </c>
      <c r="C2021" s="17" t="s">
        <v>7392</v>
      </c>
      <c r="D2021" s="19" t="s">
        <v>2835</v>
      </c>
      <c r="E2021" s="20" t="s">
        <v>104</v>
      </c>
      <c r="F2021" s="27">
        <v>31026.0</v>
      </c>
      <c r="G2021" s="14">
        <f t="shared" si="1"/>
        <v>41</v>
      </c>
      <c r="H2021" s="23" t="s">
        <v>26</v>
      </c>
      <c r="I2021" s="24" t="s">
        <v>27</v>
      </c>
      <c r="J2021" s="19" t="s">
        <v>53</v>
      </c>
      <c r="K2021" s="14">
        <v>3.0</v>
      </c>
      <c r="L2021" s="14">
        <v>0.0</v>
      </c>
      <c r="M2021" s="25"/>
      <c r="N2021" s="26" t="s">
        <v>21</v>
      </c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</row>
    <row r="2022">
      <c r="A2022" s="14" t="s">
        <v>7394</v>
      </c>
      <c r="B2022" s="17" t="s">
        <v>7391</v>
      </c>
      <c r="C2022" s="17" t="s">
        <v>7395</v>
      </c>
      <c r="D2022" s="19" t="s">
        <v>1143</v>
      </c>
      <c r="E2022" s="20" t="s">
        <v>104</v>
      </c>
      <c r="F2022" s="21">
        <v>28326.0</v>
      </c>
      <c r="G2022" s="14">
        <f t="shared" si="1"/>
        <v>49</v>
      </c>
      <c r="H2022" s="23" t="s">
        <v>26</v>
      </c>
      <c r="I2022" s="24" t="s">
        <v>33</v>
      </c>
      <c r="J2022" s="19" t="s">
        <v>53</v>
      </c>
      <c r="K2022" s="14">
        <v>3.0</v>
      </c>
      <c r="L2022" s="14">
        <v>0.0</v>
      </c>
      <c r="M2022" s="25"/>
      <c r="N2022" s="26" t="s">
        <v>21</v>
      </c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</row>
    <row r="2023">
      <c r="A2023" s="14" t="s">
        <v>7396</v>
      </c>
      <c r="B2023" s="17" t="s">
        <v>7397</v>
      </c>
      <c r="C2023" s="17" t="s">
        <v>7398</v>
      </c>
      <c r="D2023" s="19" t="s">
        <v>7399</v>
      </c>
      <c r="E2023" s="20" t="s">
        <v>650</v>
      </c>
      <c r="F2023" s="21">
        <v>19113.0</v>
      </c>
      <c r="G2023" s="14">
        <f t="shared" si="1"/>
        <v>74</v>
      </c>
      <c r="H2023" s="23" t="s">
        <v>26</v>
      </c>
      <c r="I2023" s="24" t="s">
        <v>33</v>
      </c>
      <c r="J2023" s="19" t="s">
        <v>53</v>
      </c>
      <c r="K2023" s="14">
        <v>3.0</v>
      </c>
      <c r="L2023" s="14">
        <v>0.0</v>
      </c>
      <c r="M2023" s="25"/>
      <c r="N2023" s="26" t="s">
        <v>21</v>
      </c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</row>
    <row r="2024">
      <c r="A2024" s="14" t="s">
        <v>7400</v>
      </c>
      <c r="B2024" s="17" t="s">
        <v>7397</v>
      </c>
      <c r="C2024" s="17" t="s">
        <v>7401</v>
      </c>
      <c r="D2024" s="19" t="s">
        <v>7402</v>
      </c>
      <c r="E2024" s="20" t="s">
        <v>650</v>
      </c>
      <c r="F2024" s="21">
        <v>21940.0</v>
      </c>
      <c r="G2024" s="14">
        <f t="shared" si="1"/>
        <v>66</v>
      </c>
      <c r="H2024" s="23" t="s">
        <v>26</v>
      </c>
      <c r="I2024" s="24" t="s">
        <v>27</v>
      </c>
      <c r="J2024" s="19" t="s">
        <v>53</v>
      </c>
      <c r="K2024" s="14">
        <v>3.0</v>
      </c>
      <c r="L2024" s="14">
        <v>0.0</v>
      </c>
      <c r="M2024" s="25"/>
      <c r="N2024" s="26" t="s">
        <v>21</v>
      </c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</row>
    <row r="2025">
      <c r="A2025" s="14" t="s">
        <v>7403</v>
      </c>
      <c r="B2025" s="17" t="s">
        <v>7404</v>
      </c>
      <c r="C2025" s="17" t="s">
        <v>7405</v>
      </c>
      <c r="D2025" s="19" t="s">
        <v>7406</v>
      </c>
      <c r="E2025" s="20" t="s">
        <v>53</v>
      </c>
      <c r="F2025" s="27">
        <v>31013.0</v>
      </c>
      <c r="G2025" s="14">
        <f t="shared" si="1"/>
        <v>41</v>
      </c>
      <c r="H2025" s="23" t="s">
        <v>26</v>
      </c>
      <c r="I2025" s="24" t="s">
        <v>27</v>
      </c>
      <c r="J2025" s="19" t="s">
        <v>53</v>
      </c>
      <c r="K2025" s="14">
        <v>3.0</v>
      </c>
      <c r="L2025" s="14">
        <v>0.0</v>
      </c>
      <c r="M2025" s="25"/>
      <c r="N2025" s="26" t="s">
        <v>21</v>
      </c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</row>
    <row r="2026">
      <c r="A2026" s="14" t="s">
        <v>7407</v>
      </c>
      <c r="B2026" s="17" t="s">
        <v>7404</v>
      </c>
      <c r="C2026" s="17" t="s">
        <v>7408</v>
      </c>
      <c r="D2026" s="19" t="s">
        <v>7409</v>
      </c>
      <c r="E2026" s="20" t="s">
        <v>104</v>
      </c>
      <c r="F2026" s="27">
        <v>37909.0</v>
      </c>
      <c r="G2026" s="14">
        <f t="shared" si="1"/>
        <v>23</v>
      </c>
      <c r="H2026" s="23" t="s">
        <v>100</v>
      </c>
      <c r="I2026" s="24" t="s">
        <v>33</v>
      </c>
      <c r="J2026" s="19" t="s">
        <v>53</v>
      </c>
      <c r="K2026" s="14">
        <v>3.0</v>
      </c>
      <c r="L2026" s="14">
        <v>0.0</v>
      </c>
      <c r="M2026" s="25"/>
      <c r="N2026" s="26" t="s">
        <v>21</v>
      </c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</row>
    <row r="2027">
      <c r="A2027" s="14" t="s">
        <v>7410</v>
      </c>
      <c r="B2027" s="17" t="s">
        <v>7404</v>
      </c>
      <c r="C2027" s="17" t="s">
        <v>7411</v>
      </c>
      <c r="D2027" s="19" t="s">
        <v>2657</v>
      </c>
      <c r="E2027" s="20" t="s">
        <v>3800</v>
      </c>
      <c r="F2027" s="21">
        <v>29385.0</v>
      </c>
      <c r="G2027" s="14">
        <f t="shared" si="1"/>
        <v>46</v>
      </c>
      <c r="H2027" s="23" t="s">
        <v>26</v>
      </c>
      <c r="I2027" s="24" t="s">
        <v>33</v>
      </c>
      <c r="J2027" s="19" t="s">
        <v>53</v>
      </c>
      <c r="K2027" s="14">
        <v>3.0</v>
      </c>
      <c r="L2027" s="14">
        <v>0.0</v>
      </c>
      <c r="M2027" s="25"/>
      <c r="N2027" s="26" t="s">
        <v>21</v>
      </c>
      <c r="O2027" s="7"/>
      <c r="P2027" s="7"/>
      <c r="Q2027" s="7"/>
      <c r="R2027" s="7"/>
      <c r="S2027" s="7"/>
      <c r="T2027" s="7"/>
      <c r="U2027" s="7"/>
      <c r="V2027" s="7"/>
      <c r="W2027" s="7"/>
      <c r="X2027" s="7"/>
      <c r="Y2027" s="7"/>
    </row>
    <row r="2028">
      <c r="A2028" s="14" t="s">
        <v>7412</v>
      </c>
      <c r="B2028" s="17" t="s">
        <v>7413</v>
      </c>
      <c r="C2028" s="17" t="s">
        <v>7414</v>
      </c>
      <c r="D2028" s="19" t="s">
        <v>7415</v>
      </c>
      <c r="E2028" s="20" t="s">
        <v>7416</v>
      </c>
      <c r="F2028" s="21">
        <v>28947.0</v>
      </c>
      <c r="G2028" s="14">
        <f t="shared" si="1"/>
        <v>47</v>
      </c>
      <c r="H2028" s="23" t="s">
        <v>26</v>
      </c>
      <c r="I2028" s="24" t="s">
        <v>33</v>
      </c>
      <c r="J2028" s="19" t="s">
        <v>53</v>
      </c>
      <c r="K2028" s="14">
        <v>24.0</v>
      </c>
      <c r="L2028" s="14">
        <v>0.0</v>
      </c>
      <c r="M2028" s="25"/>
      <c r="N2028" s="26" t="s">
        <v>21</v>
      </c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</row>
    <row r="2029">
      <c r="A2029" s="14" t="s">
        <v>7417</v>
      </c>
      <c r="B2029" s="17" t="s">
        <v>7413</v>
      </c>
      <c r="C2029" s="17" t="s">
        <v>7418</v>
      </c>
      <c r="D2029" s="19" t="s">
        <v>7419</v>
      </c>
      <c r="E2029" s="20" t="s">
        <v>112</v>
      </c>
      <c r="F2029" s="21">
        <v>31442.0</v>
      </c>
      <c r="G2029" s="14">
        <f t="shared" si="1"/>
        <v>40</v>
      </c>
      <c r="H2029" s="23" t="s">
        <v>26</v>
      </c>
      <c r="I2029" s="24" t="s">
        <v>27</v>
      </c>
      <c r="J2029" s="19" t="s">
        <v>53</v>
      </c>
      <c r="K2029" s="14">
        <v>24.0</v>
      </c>
      <c r="L2029" s="14">
        <v>0.0</v>
      </c>
      <c r="M2029" s="25"/>
      <c r="N2029" s="26" t="s">
        <v>21</v>
      </c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</row>
    <row r="2030">
      <c r="A2030" s="14" t="s">
        <v>7420</v>
      </c>
      <c r="B2030" s="17" t="s">
        <v>7421</v>
      </c>
      <c r="C2030" s="17" t="s">
        <v>7422</v>
      </c>
      <c r="D2030" s="19" t="s">
        <v>7423</v>
      </c>
      <c r="E2030" s="20" t="s">
        <v>429</v>
      </c>
      <c r="F2030" s="21">
        <v>17593.0</v>
      </c>
      <c r="G2030" s="14">
        <f t="shared" si="1"/>
        <v>78</v>
      </c>
      <c r="H2030" s="23" t="s">
        <v>26</v>
      </c>
      <c r="I2030" s="24" t="s">
        <v>33</v>
      </c>
      <c r="J2030" s="19" t="s">
        <v>53</v>
      </c>
      <c r="K2030" s="14">
        <v>14.0</v>
      </c>
      <c r="L2030" s="14">
        <v>1.0</v>
      </c>
      <c r="M2030" s="25"/>
      <c r="N2030" s="26" t="s">
        <v>21</v>
      </c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</row>
    <row r="2031">
      <c r="A2031" s="14" t="s">
        <v>7424</v>
      </c>
      <c r="B2031" s="17" t="s">
        <v>7421</v>
      </c>
      <c r="C2031" s="17" t="s">
        <v>7425</v>
      </c>
      <c r="D2031" s="19" t="s">
        <v>7426</v>
      </c>
      <c r="E2031" s="20" t="s">
        <v>429</v>
      </c>
      <c r="F2031" s="27">
        <v>23295.0</v>
      </c>
      <c r="G2031" s="14">
        <f t="shared" si="1"/>
        <v>63</v>
      </c>
      <c r="H2031" s="23" t="s">
        <v>26</v>
      </c>
      <c r="I2031" s="24" t="s">
        <v>27</v>
      </c>
      <c r="J2031" s="19" t="s">
        <v>53</v>
      </c>
      <c r="K2031" s="14">
        <v>14.0</v>
      </c>
      <c r="L2031" s="14">
        <v>0.0</v>
      </c>
      <c r="M2031" s="25"/>
      <c r="N2031" s="26" t="s">
        <v>21</v>
      </c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</row>
    <row r="2032">
      <c r="A2032" s="14" t="s">
        <v>7427</v>
      </c>
      <c r="B2032" s="17" t="s">
        <v>7428</v>
      </c>
      <c r="C2032" s="17" t="s">
        <v>7429</v>
      </c>
      <c r="D2032" s="19" t="s">
        <v>7430</v>
      </c>
      <c r="E2032" s="20" t="s">
        <v>53</v>
      </c>
      <c r="F2032" s="21">
        <v>31565.0</v>
      </c>
      <c r="G2032" s="14">
        <f t="shared" si="1"/>
        <v>40</v>
      </c>
      <c r="H2032" s="23" t="s">
        <v>26</v>
      </c>
      <c r="I2032" s="24" t="s">
        <v>33</v>
      </c>
      <c r="J2032" s="19" t="s">
        <v>53</v>
      </c>
      <c r="K2032" s="14">
        <v>1.0</v>
      </c>
      <c r="L2032" s="14">
        <v>0.0</v>
      </c>
      <c r="M2032" s="25"/>
      <c r="N2032" s="26" t="s">
        <v>21</v>
      </c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</row>
    <row r="2033">
      <c r="A2033" s="14" t="s">
        <v>7431</v>
      </c>
      <c r="B2033" s="17" t="s">
        <v>7428</v>
      </c>
      <c r="C2033" s="17" t="s">
        <v>7432</v>
      </c>
      <c r="D2033" s="19" t="s">
        <v>7433</v>
      </c>
      <c r="E2033" s="20" t="s">
        <v>7434</v>
      </c>
      <c r="F2033" s="21">
        <v>33307.0</v>
      </c>
      <c r="G2033" s="14">
        <f t="shared" si="1"/>
        <v>35</v>
      </c>
      <c r="H2033" s="23" t="s">
        <v>26</v>
      </c>
      <c r="I2033" s="24" t="s">
        <v>27</v>
      </c>
      <c r="J2033" s="19" t="s">
        <v>53</v>
      </c>
      <c r="K2033" s="14">
        <v>1.0</v>
      </c>
      <c r="L2033" s="14">
        <v>0.0</v>
      </c>
      <c r="M2033" s="25"/>
      <c r="N2033" s="26" t="s">
        <v>21</v>
      </c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</row>
    <row r="2034">
      <c r="A2034" s="14" t="s">
        <v>7435</v>
      </c>
      <c r="B2034" s="17" t="s">
        <v>7436</v>
      </c>
      <c r="C2034" s="17" t="s">
        <v>7437</v>
      </c>
      <c r="D2034" s="19" t="s">
        <v>7438</v>
      </c>
      <c r="E2034" s="20" t="s">
        <v>104</v>
      </c>
      <c r="F2034" s="21">
        <v>31717.0</v>
      </c>
      <c r="G2034" s="14">
        <f t="shared" si="1"/>
        <v>39</v>
      </c>
      <c r="H2034" s="23" t="s">
        <v>26</v>
      </c>
      <c r="I2034" s="24" t="s">
        <v>33</v>
      </c>
      <c r="J2034" s="19" t="s">
        <v>68</v>
      </c>
      <c r="K2034" s="14">
        <v>35.0</v>
      </c>
      <c r="L2034" s="14">
        <v>0.0</v>
      </c>
      <c r="M2034" s="25"/>
      <c r="N2034" s="26" t="s">
        <v>21</v>
      </c>
      <c r="O2034" s="7"/>
      <c r="P2034" s="7"/>
      <c r="Q2034" s="7"/>
      <c r="R2034" s="7"/>
      <c r="S2034" s="7"/>
      <c r="T2034" s="7"/>
      <c r="U2034" s="7"/>
      <c r="V2034" s="7"/>
      <c r="W2034" s="7"/>
      <c r="X2034" s="7"/>
      <c r="Y2034" s="7"/>
    </row>
    <row r="2035">
      <c r="A2035" s="14" t="s">
        <v>7439</v>
      </c>
      <c r="B2035" s="17" t="s">
        <v>7436</v>
      </c>
      <c r="C2035" s="17" t="s">
        <v>7440</v>
      </c>
      <c r="D2035" s="19" t="s">
        <v>7441</v>
      </c>
      <c r="E2035" s="20" t="s">
        <v>7416</v>
      </c>
      <c r="F2035" s="21">
        <v>32309.0</v>
      </c>
      <c r="G2035" s="14">
        <f t="shared" si="1"/>
        <v>38</v>
      </c>
      <c r="H2035" s="23" t="s">
        <v>26</v>
      </c>
      <c r="I2035" s="24" t="s">
        <v>27</v>
      </c>
      <c r="J2035" s="19" t="s">
        <v>68</v>
      </c>
      <c r="K2035" s="14">
        <v>35.0</v>
      </c>
      <c r="L2035" s="14">
        <v>0.0</v>
      </c>
      <c r="M2035" s="25"/>
      <c r="N2035" s="26" t="s">
        <v>21</v>
      </c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</row>
    <row r="2036">
      <c r="A2036" s="14" t="s">
        <v>7442</v>
      </c>
      <c r="B2036" s="17" t="s">
        <v>7443</v>
      </c>
      <c r="C2036" s="17" t="s">
        <v>7444</v>
      </c>
      <c r="D2036" s="19" t="s">
        <v>7445</v>
      </c>
      <c r="E2036" s="20" t="s">
        <v>624</v>
      </c>
      <c r="F2036" s="21">
        <v>33417.0</v>
      </c>
      <c r="G2036" s="14">
        <f t="shared" si="1"/>
        <v>35</v>
      </c>
      <c r="H2036" s="23" t="s">
        <v>26</v>
      </c>
      <c r="I2036" s="24" t="s">
        <v>27</v>
      </c>
      <c r="J2036" s="19" t="s">
        <v>7446</v>
      </c>
      <c r="K2036" s="14">
        <v>35.0</v>
      </c>
      <c r="L2036" s="14">
        <v>0.0</v>
      </c>
      <c r="M2036" s="25"/>
      <c r="N2036" s="26" t="s">
        <v>21</v>
      </c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</row>
    <row r="2037">
      <c r="A2037" s="14" t="s">
        <v>7447</v>
      </c>
      <c r="B2037" s="17" t="s">
        <v>7448</v>
      </c>
      <c r="C2037" s="17" t="s">
        <v>7449</v>
      </c>
      <c r="D2037" s="19" t="s">
        <v>7450</v>
      </c>
      <c r="E2037" s="20" t="s">
        <v>274</v>
      </c>
      <c r="F2037" s="21">
        <v>36036.0</v>
      </c>
      <c r="G2037" s="14">
        <f t="shared" si="1"/>
        <v>28</v>
      </c>
      <c r="H2037" s="23" t="s">
        <v>100</v>
      </c>
      <c r="I2037" s="24" t="s">
        <v>27</v>
      </c>
      <c r="J2037" s="19" t="s">
        <v>4374</v>
      </c>
      <c r="K2037" s="14">
        <v>5.0</v>
      </c>
      <c r="L2037" s="14">
        <v>0.0</v>
      </c>
      <c r="M2037" s="25"/>
      <c r="N2037" s="26" t="s">
        <v>21</v>
      </c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</row>
    <row r="2038">
      <c r="A2038" s="14" t="s">
        <v>7451</v>
      </c>
      <c r="B2038" s="17" t="s">
        <v>7448</v>
      </c>
      <c r="C2038" s="17" t="s">
        <v>7452</v>
      </c>
      <c r="D2038" s="19" t="s">
        <v>7453</v>
      </c>
      <c r="E2038" s="20" t="s">
        <v>104</v>
      </c>
      <c r="F2038" s="21">
        <v>38300.0</v>
      </c>
      <c r="G2038" s="14">
        <f t="shared" si="1"/>
        <v>21</v>
      </c>
      <c r="H2038" s="23" t="s">
        <v>100</v>
      </c>
      <c r="I2038" s="24" t="s">
        <v>33</v>
      </c>
      <c r="J2038" s="19" t="s">
        <v>4374</v>
      </c>
      <c r="K2038" s="14">
        <v>5.0</v>
      </c>
      <c r="L2038" s="14">
        <v>0.0</v>
      </c>
      <c r="M2038" s="25"/>
      <c r="N2038" s="26" t="s">
        <v>21</v>
      </c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</row>
    <row r="2039">
      <c r="A2039" s="14" t="s">
        <v>7454</v>
      </c>
      <c r="B2039" s="17" t="s">
        <v>7448</v>
      </c>
      <c r="C2039" s="17" t="s">
        <v>7455</v>
      </c>
      <c r="D2039" s="19" t="s">
        <v>7456</v>
      </c>
      <c r="E2039" s="20" t="s">
        <v>104</v>
      </c>
      <c r="F2039" s="21">
        <v>39251.0</v>
      </c>
      <c r="G2039" s="14">
        <f t="shared" si="1"/>
        <v>19</v>
      </c>
      <c r="H2039" s="23" t="s">
        <v>100</v>
      </c>
      <c r="I2039" s="24" t="s">
        <v>33</v>
      </c>
      <c r="J2039" s="19" t="s">
        <v>4374</v>
      </c>
      <c r="K2039" s="14">
        <v>5.0</v>
      </c>
      <c r="L2039" s="14">
        <v>0.0</v>
      </c>
      <c r="M2039" s="25"/>
      <c r="N2039" s="26" t="s">
        <v>21</v>
      </c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</row>
    <row r="2040">
      <c r="A2040" s="14" t="s">
        <v>7457</v>
      </c>
      <c r="B2040" s="17" t="s">
        <v>7448</v>
      </c>
      <c r="C2040" s="17" t="s">
        <v>7458</v>
      </c>
      <c r="D2040" s="19" t="s">
        <v>7459</v>
      </c>
      <c r="E2040" s="20" t="s">
        <v>1786</v>
      </c>
      <c r="F2040" s="21">
        <v>25693.0</v>
      </c>
      <c r="G2040" s="14">
        <f t="shared" si="1"/>
        <v>56</v>
      </c>
      <c r="H2040" s="23" t="s">
        <v>26</v>
      </c>
      <c r="I2040" s="24" t="s">
        <v>33</v>
      </c>
      <c r="J2040" s="19" t="s">
        <v>4374</v>
      </c>
      <c r="K2040" s="14">
        <v>5.0</v>
      </c>
      <c r="L2040" s="14">
        <v>0.0</v>
      </c>
      <c r="M2040" s="25"/>
      <c r="N2040" s="26" t="s">
        <v>21</v>
      </c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</row>
    <row r="2041">
      <c r="A2041" s="14" t="s">
        <v>7460</v>
      </c>
      <c r="B2041" s="17" t="s">
        <v>7448</v>
      </c>
      <c r="C2041" s="17" t="s">
        <v>7461</v>
      </c>
      <c r="D2041" s="19" t="s">
        <v>7462</v>
      </c>
      <c r="E2041" s="20" t="s">
        <v>2505</v>
      </c>
      <c r="F2041" s="21">
        <v>26490.0</v>
      </c>
      <c r="G2041" s="14">
        <f t="shared" si="1"/>
        <v>54</v>
      </c>
      <c r="H2041" s="23" t="s">
        <v>26</v>
      </c>
      <c r="I2041" s="24" t="s">
        <v>27</v>
      </c>
      <c r="J2041" s="19" t="s">
        <v>4374</v>
      </c>
      <c r="K2041" s="14">
        <v>5.0</v>
      </c>
      <c r="L2041" s="14">
        <v>0.0</v>
      </c>
      <c r="M2041" s="25"/>
      <c r="N2041" s="26" t="s">
        <v>21</v>
      </c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</row>
    <row r="2042">
      <c r="A2042" s="14" t="s">
        <v>7463</v>
      </c>
      <c r="B2042" s="17" t="s">
        <v>7464</v>
      </c>
      <c r="C2042" s="17" t="s">
        <v>7465</v>
      </c>
      <c r="D2042" s="19" t="s">
        <v>7466</v>
      </c>
      <c r="E2042" s="20" t="s">
        <v>104</v>
      </c>
      <c r="F2042" s="21">
        <v>36326.0</v>
      </c>
      <c r="G2042" s="14">
        <f t="shared" si="1"/>
        <v>27</v>
      </c>
      <c r="H2042" s="23" t="s">
        <v>100</v>
      </c>
      <c r="I2042" s="24" t="s">
        <v>33</v>
      </c>
      <c r="J2042" s="19" t="s">
        <v>7467</v>
      </c>
      <c r="K2042" s="14">
        <v>11.0</v>
      </c>
      <c r="L2042" s="14">
        <v>0.0</v>
      </c>
      <c r="M2042" s="25"/>
      <c r="N2042" s="26" t="s">
        <v>21</v>
      </c>
      <c r="O2042" s="7"/>
      <c r="P2042" s="7"/>
      <c r="Q2042" s="7"/>
      <c r="R2042" s="7"/>
      <c r="S2042" s="7"/>
      <c r="T2042" s="7"/>
      <c r="U2042" s="7"/>
      <c r="V2042" s="7"/>
      <c r="W2042" s="7"/>
      <c r="X2042" s="7"/>
      <c r="Y2042" s="7"/>
    </row>
    <row r="2043">
      <c r="A2043" s="14" t="s">
        <v>7468</v>
      </c>
      <c r="B2043" s="17" t="s">
        <v>7464</v>
      </c>
      <c r="C2043" s="17" t="s">
        <v>7469</v>
      </c>
      <c r="D2043" s="19" t="s">
        <v>7470</v>
      </c>
      <c r="E2043" s="20" t="s">
        <v>7471</v>
      </c>
      <c r="F2043" s="21">
        <v>27569.0</v>
      </c>
      <c r="G2043" s="14">
        <f t="shared" si="1"/>
        <v>51</v>
      </c>
      <c r="H2043" s="23" t="s">
        <v>26</v>
      </c>
      <c r="I2043" s="24" t="s">
        <v>27</v>
      </c>
      <c r="J2043" s="19" t="s">
        <v>7467</v>
      </c>
      <c r="K2043" s="14">
        <v>11.0</v>
      </c>
      <c r="L2043" s="14">
        <v>0.0</v>
      </c>
      <c r="M2043" s="25"/>
      <c r="N2043" s="26" t="s">
        <v>21</v>
      </c>
      <c r="O2043" s="7"/>
      <c r="P2043" s="7"/>
      <c r="Q2043" s="7"/>
      <c r="R2043" s="7"/>
      <c r="S2043" s="7"/>
      <c r="T2043" s="7"/>
      <c r="U2043" s="7"/>
      <c r="V2043" s="7"/>
      <c r="W2043" s="7"/>
      <c r="X2043" s="7"/>
      <c r="Y2043" s="7"/>
    </row>
    <row r="2044">
      <c r="A2044" s="14" t="s">
        <v>7472</v>
      </c>
      <c r="B2044" s="17" t="s">
        <v>7464</v>
      </c>
      <c r="C2044" s="17" t="s">
        <v>7473</v>
      </c>
      <c r="D2044" s="19" t="s">
        <v>7474</v>
      </c>
      <c r="E2044" s="20" t="s">
        <v>210</v>
      </c>
      <c r="F2044" s="21">
        <v>25328.0</v>
      </c>
      <c r="G2044" s="14">
        <f t="shared" si="1"/>
        <v>57</v>
      </c>
      <c r="H2044" s="23" t="s">
        <v>26</v>
      </c>
      <c r="I2044" s="24" t="s">
        <v>33</v>
      </c>
      <c r="J2044" s="19" t="s">
        <v>7467</v>
      </c>
      <c r="K2044" s="14">
        <v>11.0</v>
      </c>
      <c r="L2044" s="14">
        <v>0.0</v>
      </c>
      <c r="M2044" s="25"/>
      <c r="N2044" s="26" t="s">
        <v>21</v>
      </c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</row>
    <row r="2045">
      <c r="A2045" s="14" t="s">
        <v>7475</v>
      </c>
      <c r="B2045" s="17" t="s">
        <v>7476</v>
      </c>
      <c r="C2045" s="17" t="s">
        <v>7477</v>
      </c>
      <c r="D2045" s="19" t="s">
        <v>1160</v>
      </c>
      <c r="E2045" s="20" t="s">
        <v>104</v>
      </c>
      <c r="F2045" s="21">
        <v>37453.0</v>
      </c>
      <c r="G2045" s="14">
        <f t="shared" si="1"/>
        <v>24</v>
      </c>
      <c r="H2045" s="23" t="s">
        <v>100</v>
      </c>
      <c r="I2045" s="24" t="s">
        <v>33</v>
      </c>
      <c r="J2045" s="19" t="s">
        <v>328</v>
      </c>
      <c r="K2045" s="14">
        <v>25.0</v>
      </c>
      <c r="L2045" s="14">
        <v>0.0</v>
      </c>
      <c r="M2045" s="25"/>
      <c r="N2045" s="26" t="s">
        <v>21</v>
      </c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/>
    </row>
    <row r="2046">
      <c r="A2046" s="14" t="s">
        <v>7478</v>
      </c>
      <c r="B2046" s="17" t="s">
        <v>7476</v>
      </c>
      <c r="C2046" s="17" t="s">
        <v>7479</v>
      </c>
      <c r="D2046" s="19" t="s">
        <v>3091</v>
      </c>
      <c r="E2046" s="20" t="s">
        <v>1049</v>
      </c>
      <c r="F2046" s="21">
        <v>25989.0</v>
      </c>
      <c r="G2046" s="14">
        <f t="shared" si="1"/>
        <v>55</v>
      </c>
      <c r="H2046" s="23" t="s">
        <v>26</v>
      </c>
      <c r="I2046" s="24" t="s">
        <v>27</v>
      </c>
      <c r="J2046" s="19" t="s">
        <v>328</v>
      </c>
      <c r="K2046" s="14">
        <v>25.0</v>
      </c>
      <c r="L2046" s="14">
        <v>0.0</v>
      </c>
      <c r="M2046" s="25"/>
      <c r="N2046" s="26" t="s">
        <v>21</v>
      </c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</row>
    <row r="2047">
      <c r="A2047" s="14" t="s">
        <v>7480</v>
      </c>
      <c r="B2047" s="17" t="s">
        <v>7481</v>
      </c>
      <c r="C2047" s="17" t="s">
        <v>7482</v>
      </c>
      <c r="D2047" s="19" t="s">
        <v>7483</v>
      </c>
      <c r="E2047" s="20" t="s">
        <v>4716</v>
      </c>
      <c r="F2047" s="27">
        <v>22609.0</v>
      </c>
      <c r="G2047" s="14">
        <f t="shared" si="1"/>
        <v>64</v>
      </c>
      <c r="H2047" s="23" t="s">
        <v>27</v>
      </c>
      <c r="I2047" s="24" t="s">
        <v>27</v>
      </c>
      <c r="J2047" s="19" t="s">
        <v>68</v>
      </c>
      <c r="K2047" s="14">
        <v>30.0</v>
      </c>
      <c r="L2047" s="14">
        <v>0.0</v>
      </c>
      <c r="M2047" s="25"/>
      <c r="N2047" s="26" t="s">
        <v>21</v>
      </c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/>
    </row>
    <row r="2048">
      <c r="A2048" s="14" t="s">
        <v>7484</v>
      </c>
      <c r="B2048" s="17" t="s">
        <v>7481</v>
      </c>
      <c r="C2048" s="17" t="s">
        <v>7485</v>
      </c>
      <c r="D2048" s="19" t="s">
        <v>7486</v>
      </c>
      <c r="E2048" s="20" t="s">
        <v>4716</v>
      </c>
      <c r="F2048" s="27">
        <v>25528.0</v>
      </c>
      <c r="G2048" s="14">
        <f t="shared" si="1"/>
        <v>56</v>
      </c>
      <c r="H2048" s="23" t="s">
        <v>100</v>
      </c>
      <c r="I2048" s="24" t="s">
        <v>27</v>
      </c>
      <c r="J2048" s="19" t="s">
        <v>68</v>
      </c>
      <c r="K2048" s="14">
        <v>30.0</v>
      </c>
      <c r="L2048" s="14">
        <v>0.0</v>
      </c>
      <c r="M2048" s="25"/>
      <c r="N2048" s="26" t="s">
        <v>21</v>
      </c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</row>
    <row r="2049">
      <c r="A2049" s="14" t="s">
        <v>7487</v>
      </c>
      <c r="B2049" s="17" t="s">
        <v>7481</v>
      </c>
      <c r="C2049" s="17" t="s">
        <v>7488</v>
      </c>
      <c r="D2049" s="19" t="s">
        <v>7489</v>
      </c>
      <c r="E2049" s="20" t="s">
        <v>104</v>
      </c>
      <c r="F2049" s="21">
        <v>36918.0</v>
      </c>
      <c r="G2049" s="14">
        <f t="shared" si="1"/>
        <v>25</v>
      </c>
      <c r="H2049" s="23" t="s">
        <v>100</v>
      </c>
      <c r="I2049" s="24" t="s">
        <v>27</v>
      </c>
      <c r="J2049" s="19" t="s">
        <v>68</v>
      </c>
      <c r="K2049" s="14">
        <v>30.0</v>
      </c>
      <c r="L2049" s="14">
        <v>0.0</v>
      </c>
      <c r="M2049" s="25"/>
      <c r="N2049" s="26" t="s">
        <v>21</v>
      </c>
      <c r="O2049" s="7"/>
      <c r="P2049" s="7"/>
      <c r="Q2049" s="7"/>
      <c r="R2049" s="7"/>
      <c r="S2049" s="7"/>
      <c r="T2049" s="7"/>
      <c r="U2049" s="7"/>
      <c r="V2049" s="7"/>
      <c r="W2049" s="7"/>
      <c r="X2049" s="7"/>
      <c r="Y2049" s="7"/>
    </row>
    <row r="2050">
      <c r="A2050" s="14" t="s">
        <v>7490</v>
      </c>
      <c r="B2050" s="17" t="s">
        <v>7491</v>
      </c>
      <c r="C2050" s="17" t="s">
        <v>7492</v>
      </c>
      <c r="D2050" s="19" t="s">
        <v>7493</v>
      </c>
      <c r="E2050" s="20" t="s">
        <v>3587</v>
      </c>
      <c r="F2050" s="21">
        <v>22288.0</v>
      </c>
      <c r="G2050" s="14">
        <f t="shared" si="1"/>
        <v>65</v>
      </c>
      <c r="H2050" s="23" t="s">
        <v>27</v>
      </c>
      <c r="I2050" s="24" t="s">
        <v>27</v>
      </c>
      <c r="J2050" s="19" t="s">
        <v>282</v>
      </c>
      <c r="K2050" s="14">
        <v>14.0</v>
      </c>
      <c r="L2050" s="14">
        <v>0.0</v>
      </c>
      <c r="M2050" s="25"/>
      <c r="N2050" s="26" t="s">
        <v>21</v>
      </c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</row>
    <row r="2051">
      <c r="A2051" s="14" t="s">
        <v>7494</v>
      </c>
      <c r="B2051" s="17" t="s">
        <v>7495</v>
      </c>
      <c r="C2051" s="17" t="s">
        <v>7496</v>
      </c>
      <c r="D2051" s="19" t="s">
        <v>80</v>
      </c>
      <c r="E2051" s="20" t="s">
        <v>650</v>
      </c>
      <c r="F2051" s="21">
        <v>20653.0</v>
      </c>
      <c r="G2051" s="14">
        <f t="shared" si="1"/>
        <v>70</v>
      </c>
      <c r="H2051" s="23" t="s">
        <v>27</v>
      </c>
      <c r="I2051" s="24" t="s">
        <v>27</v>
      </c>
      <c r="J2051" s="19" t="s">
        <v>2019</v>
      </c>
      <c r="K2051" s="14">
        <v>4.0</v>
      </c>
      <c r="L2051" s="14">
        <v>0.0</v>
      </c>
      <c r="M2051" s="25"/>
      <c r="N2051" s="26" t="s">
        <v>21</v>
      </c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/>
    </row>
    <row r="2052">
      <c r="A2052" s="14" t="s">
        <v>7497</v>
      </c>
      <c r="B2052" s="17" t="s">
        <v>7498</v>
      </c>
      <c r="C2052" s="17" t="s">
        <v>7499</v>
      </c>
      <c r="D2052" s="19" t="s">
        <v>7500</v>
      </c>
      <c r="E2052" s="20" t="s">
        <v>650</v>
      </c>
      <c r="F2052" s="21">
        <v>21367.0</v>
      </c>
      <c r="G2052" s="14">
        <f t="shared" si="1"/>
        <v>68</v>
      </c>
      <c r="H2052" s="23" t="s">
        <v>27</v>
      </c>
      <c r="I2052" s="24" t="s">
        <v>27</v>
      </c>
      <c r="J2052" s="19" t="s">
        <v>53</v>
      </c>
      <c r="K2052" s="14">
        <v>3.0</v>
      </c>
      <c r="L2052" s="14">
        <v>0.0</v>
      </c>
      <c r="M2052" s="25"/>
      <c r="N2052" s="26" t="s">
        <v>21</v>
      </c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</row>
    <row r="2053">
      <c r="A2053" s="14" t="s">
        <v>7501</v>
      </c>
      <c r="B2053" s="17" t="s">
        <v>7502</v>
      </c>
      <c r="C2053" s="17" t="s">
        <v>7503</v>
      </c>
      <c r="D2053" s="19" t="s">
        <v>7504</v>
      </c>
      <c r="E2053" s="20" t="s">
        <v>1095</v>
      </c>
      <c r="F2053" s="21">
        <v>39266.0</v>
      </c>
      <c r="G2053" s="14">
        <f t="shared" si="1"/>
        <v>19</v>
      </c>
      <c r="H2053" s="23" t="s">
        <v>100</v>
      </c>
      <c r="I2053" s="24" t="s">
        <v>33</v>
      </c>
      <c r="J2053" s="19" t="s">
        <v>7505</v>
      </c>
      <c r="K2053" s="14">
        <v>3.0</v>
      </c>
      <c r="L2053" s="14">
        <v>0.0</v>
      </c>
      <c r="M2053" s="25"/>
      <c r="N2053" s="26" t="s">
        <v>21</v>
      </c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</row>
    <row r="2054">
      <c r="A2054" s="14" t="s">
        <v>7506</v>
      </c>
      <c r="B2054" s="17" t="s">
        <v>7502</v>
      </c>
      <c r="C2054" s="17" t="s">
        <v>7507</v>
      </c>
      <c r="D2054" s="19" t="s">
        <v>7508</v>
      </c>
      <c r="E2054" s="20" t="s">
        <v>53</v>
      </c>
      <c r="F2054" s="21">
        <v>28859.0</v>
      </c>
      <c r="G2054" s="14">
        <f t="shared" si="1"/>
        <v>47</v>
      </c>
      <c r="H2054" s="23" t="s">
        <v>26</v>
      </c>
      <c r="I2054" s="24" t="s">
        <v>27</v>
      </c>
      <c r="J2054" s="19" t="s">
        <v>7505</v>
      </c>
      <c r="K2054" s="14">
        <v>3.0</v>
      </c>
      <c r="L2054" s="14">
        <v>0.0</v>
      </c>
      <c r="M2054" s="25"/>
      <c r="N2054" s="26" t="s">
        <v>21</v>
      </c>
      <c r="O2054" s="7"/>
      <c r="P2054" s="7"/>
      <c r="Q2054" s="7"/>
      <c r="R2054" s="7"/>
      <c r="S2054" s="7"/>
      <c r="T2054" s="7"/>
      <c r="U2054" s="7"/>
      <c r="V2054" s="7"/>
      <c r="W2054" s="7"/>
      <c r="X2054" s="7"/>
      <c r="Y2054" s="7"/>
    </row>
    <row r="2055">
      <c r="A2055" s="14" t="s">
        <v>7509</v>
      </c>
      <c r="B2055" s="17" t="s">
        <v>7510</v>
      </c>
      <c r="C2055" s="17" t="s">
        <v>7511</v>
      </c>
      <c r="D2055" s="19" t="s">
        <v>7512</v>
      </c>
      <c r="E2055" s="20" t="s">
        <v>7513</v>
      </c>
      <c r="F2055" s="21">
        <v>37369.0</v>
      </c>
      <c r="G2055" s="14">
        <f t="shared" si="1"/>
        <v>24</v>
      </c>
      <c r="H2055" s="23" t="s">
        <v>100</v>
      </c>
      <c r="I2055" s="24" t="s">
        <v>33</v>
      </c>
      <c r="J2055" s="19" t="s">
        <v>146</v>
      </c>
      <c r="K2055" s="14">
        <v>10.0</v>
      </c>
      <c r="L2055" s="14">
        <v>1.0</v>
      </c>
      <c r="M2055" s="25"/>
      <c r="N2055" s="26" t="s">
        <v>21</v>
      </c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</row>
    <row r="2056">
      <c r="A2056" s="14" t="s">
        <v>7514</v>
      </c>
      <c r="B2056" s="17" t="s">
        <v>7510</v>
      </c>
      <c r="C2056" s="17" t="s">
        <v>7515</v>
      </c>
      <c r="D2056" s="19" t="s">
        <v>7516</v>
      </c>
      <c r="E2056" s="20" t="s">
        <v>7517</v>
      </c>
      <c r="F2056" s="21">
        <v>24740.0</v>
      </c>
      <c r="G2056" s="14">
        <f t="shared" si="1"/>
        <v>59</v>
      </c>
      <c r="H2056" s="23" t="s">
        <v>26</v>
      </c>
      <c r="I2056" s="24" t="s">
        <v>27</v>
      </c>
      <c r="J2056" s="19" t="s">
        <v>146</v>
      </c>
      <c r="K2056" s="14">
        <v>10.0</v>
      </c>
      <c r="L2056" s="14">
        <v>0.0</v>
      </c>
      <c r="M2056" s="25"/>
      <c r="N2056" s="26" t="s">
        <v>21</v>
      </c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</row>
    <row r="2057">
      <c r="A2057" s="14" t="s">
        <v>7518</v>
      </c>
      <c r="B2057" s="17" t="s">
        <v>7519</v>
      </c>
      <c r="C2057" s="17" t="s">
        <v>7520</v>
      </c>
      <c r="D2057" s="19" t="s">
        <v>7521</v>
      </c>
      <c r="E2057" s="20" t="s">
        <v>104</v>
      </c>
      <c r="F2057" s="21">
        <v>29257.0</v>
      </c>
      <c r="G2057" s="14">
        <f t="shared" si="1"/>
        <v>46</v>
      </c>
      <c r="H2057" s="23" t="s">
        <v>26</v>
      </c>
      <c r="I2057" s="24" t="s">
        <v>33</v>
      </c>
      <c r="J2057" s="19" t="s">
        <v>68</v>
      </c>
      <c r="K2057" s="14">
        <v>28.0</v>
      </c>
      <c r="L2057" s="14">
        <v>0.0</v>
      </c>
      <c r="M2057" s="25"/>
      <c r="N2057" s="26" t="s">
        <v>21</v>
      </c>
      <c r="O2057" s="7"/>
      <c r="P2057" s="7"/>
      <c r="Q2057" s="7"/>
      <c r="R2057" s="7"/>
      <c r="S2057" s="7"/>
      <c r="T2057" s="7"/>
      <c r="U2057" s="7"/>
      <c r="V2057" s="7"/>
      <c r="W2057" s="7"/>
      <c r="X2057" s="7"/>
      <c r="Y2057" s="7"/>
    </row>
    <row r="2058">
      <c r="A2058" s="14" t="s">
        <v>7522</v>
      </c>
      <c r="B2058" s="17" t="s">
        <v>7519</v>
      </c>
      <c r="C2058" s="17" t="s">
        <v>7523</v>
      </c>
      <c r="D2058" s="19" t="s">
        <v>7524</v>
      </c>
      <c r="E2058" s="20" t="s">
        <v>150</v>
      </c>
      <c r="F2058" s="21">
        <v>32146.0</v>
      </c>
      <c r="G2058" s="14">
        <f t="shared" si="1"/>
        <v>38</v>
      </c>
      <c r="H2058" s="23" t="s">
        <v>26</v>
      </c>
      <c r="I2058" s="24" t="s">
        <v>27</v>
      </c>
      <c r="J2058" s="19" t="s">
        <v>68</v>
      </c>
      <c r="K2058" s="14">
        <v>28.0</v>
      </c>
      <c r="L2058" s="14">
        <v>0.0</v>
      </c>
      <c r="M2058" s="25"/>
      <c r="N2058" s="26" t="s">
        <v>21</v>
      </c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</row>
    <row r="2059">
      <c r="A2059" s="14" t="s">
        <v>7525</v>
      </c>
      <c r="B2059" s="17" t="s">
        <v>7526</v>
      </c>
      <c r="C2059" s="17" t="s">
        <v>7527</v>
      </c>
      <c r="D2059" s="19" t="s">
        <v>7528</v>
      </c>
      <c r="E2059" s="20" t="s">
        <v>104</v>
      </c>
      <c r="F2059" s="21">
        <v>29347.0</v>
      </c>
      <c r="G2059" s="14">
        <f t="shared" si="1"/>
        <v>46</v>
      </c>
      <c r="H2059" s="23" t="s">
        <v>27</v>
      </c>
      <c r="I2059" s="24" t="s">
        <v>27</v>
      </c>
      <c r="J2059" s="19" t="s">
        <v>53</v>
      </c>
      <c r="K2059" s="14">
        <v>16.0</v>
      </c>
      <c r="L2059" s="14">
        <v>0.0</v>
      </c>
      <c r="M2059" s="25"/>
      <c r="N2059" s="26" t="s">
        <v>21</v>
      </c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</row>
    <row r="2060">
      <c r="A2060" s="14" t="s">
        <v>7529</v>
      </c>
      <c r="B2060" s="17" t="s">
        <v>7526</v>
      </c>
      <c r="C2060" s="17" t="s">
        <v>7530</v>
      </c>
      <c r="D2060" s="19" t="s">
        <v>7531</v>
      </c>
      <c r="E2060" s="20" t="s">
        <v>53</v>
      </c>
      <c r="F2060" s="21">
        <v>37299.0</v>
      </c>
      <c r="G2060" s="14">
        <f t="shared" si="1"/>
        <v>24</v>
      </c>
      <c r="H2060" s="23" t="s">
        <v>100</v>
      </c>
      <c r="I2060" s="24" t="s">
        <v>33</v>
      </c>
      <c r="J2060" s="19" t="s">
        <v>53</v>
      </c>
      <c r="K2060" s="14">
        <v>16.0</v>
      </c>
      <c r="L2060" s="14">
        <v>0.0</v>
      </c>
      <c r="M2060" s="25"/>
      <c r="N2060" s="26" t="s">
        <v>21</v>
      </c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</row>
    <row r="2061">
      <c r="A2061" s="14" t="s">
        <v>7532</v>
      </c>
      <c r="B2061" s="17" t="s">
        <v>7533</v>
      </c>
      <c r="C2061" s="17" t="s">
        <v>7534</v>
      </c>
      <c r="D2061" s="19" t="s">
        <v>7535</v>
      </c>
      <c r="E2061" s="20" t="s">
        <v>104</v>
      </c>
      <c r="F2061" s="21">
        <v>35935.0</v>
      </c>
      <c r="G2061" s="14">
        <f t="shared" si="1"/>
        <v>28</v>
      </c>
      <c r="H2061" s="23" t="s">
        <v>26</v>
      </c>
      <c r="I2061" s="24" t="s">
        <v>33</v>
      </c>
      <c r="J2061" s="19" t="s">
        <v>68</v>
      </c>
      <c r="K2061" s="14">
        <v>34.0</v>
      </c>
      <c r="L2061" s="14">
        <v>5.0</v>
      </c>
      <c r="M2061" s="28" t="s">
        <v>8295</v>
      </c>
      <c r="N2061" s="26" t="s">
        <v>21</v>
      </c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</row>
    <row r="2062">
      <c r="A2062" s="14" t="s">
        <v>7536</v>
      </c>
      <c r="B2062" s="17" t="s">
        <v>7533</v>
      </c>
      <c r="C2062" s="17" t="s">
        <v>7537</v>
      </c>
      <c r="D2062" s="19" t="s">
        <v>7538</v>
      </c>
      <c r="E2062" s="20" t="s">
        <v>104</v>
      </c>
      <c r="F2062" s="27">
        <v>37194.0</v>
      </c>
      <c r="G2062" s="14">
        <f t="shared" si="1"/>
        <v>24</v>
      </c>
      <c r="H2062" s="23" t="s">
        <v>26</v>
      </c>
      <c r="I2062" s="24" t="s">
        <v>27</v>
      </c>
      <c r="J2062" s="19" t="s">
        <v>68</v>
      </c>
      <c r="K2062" s="14">
        <v>34.0</v>
      </c>
      <c r="L2062" s="14">
        <v>5.0</v>
      </c>
      <c r="M2062" s="28" t="s">
        <v>8295</v>
      </c>
      <c r="N2062" s="26" t="s">
        <v>21</v>
      </c>
      <c r="O2062" s="7"/>
      <c r="P2062" s="7"/>
      <c r="Q2062" s="7"/>
      <c r="R2062" s="7"/>
      <c r="S2062" s="7"/>
      <c r="T2062" s="7"/>
      <c r="U2062" s="7"/>
      <c r="V2062" s="7"/>
      <c r="W2062" s="7"/>
      <c r="X2062" s="7"/>
      <c r="Y2062" s="7"/>
    </row>
    <row r="2063">
      <c r="A2063" s="14" t="s">
        <v>7539</v>
      </c>
      <c r="B2063" s="17" t="s">
        <v>7540</v>
      </c>
      <c r="C2063" s="17" t="s">
        <v>7541</v>
      </c>
      <c r="D2063" s="19" t="s">
        <v>7542</v>
      </c>
      <c r="E2063" s="20" t="s">
        <v>231</v>
      </c>
      <c r="F2063" s="21">
        <v>34980.0</v>
      </c>
      <c r="G2063" s="14">
        <f t="shared" si="1"/>
        <v>31</v>
      </c>
      <c r="H2063" s="23" t="s">
        <v>26</v>
      </c>
      <c r="I2063" s="24" t="s">
        <v>27</v>
      </c>
      <c r="J2063" s="19" t="s">
        <v>53</v>
      </c>
      <c r="K2063" s="14">
        <v>19.0</v>
      </c>
      <c r="L2063" s="14">
        <v>0.0</v>
      </c>
      <c r="M2063" s="25"/>
      <c r="N2063" s="26" t="s">
        <v>21</v>
      </c>
      <c r="O2063" s="7"/>
      <c r="P2063" s="7"/>
      <c r="Q2063" s="7"/>
      <c r="R2063" s="7"/>
      <c r="S2063" s="7"/>
      <c r="T2063" s="7"/>
      <c r="U2063" s="7"/>
      <c r="V2063" s="7"/>
      <c r="W2063" s="7"/>
      <c r="X2063" s="7"/>
      <c r="Y2063" s="7"/>
    </row>
    <row r="2064">
      <c r="A2064" s="14" t="s">
        <v>7543</v>
      </c>
      <c r="B2064" s="17" t="s">
        <v>7540</v>
      </c>
      <c r="C2064" s="17" t="s">
        <v>7544</v>
      </c>
      <c r="D2064" s="19" t="s">
        <v>7545</v>
      </c>
      <c r="E2064" s="20" t="s">
        <v>104</v>
      </c>
      <c r="F2064" s="21">
        <v>34761.0</v>
      </c>
      <c r="G2064" s="14">
        <f t="shared" si="1"/>
        <v>31</v>
      </c>
      <c r="H2064" s="23" t="s">
        <v>26</v>
      </c>
      <c r="I2064" s="24" t="s">
        <v>33</v>
      </c>
      <c r="J2064" s="19" t="s">
        <v>53</v>
      </c>
      <c r="K2064" s="14">
        <v>19.0</v>
      </c>
      <c r="L2064" s="14">
        <v>0.0</v>
      </c>
      <c r="M2064" s="25"/>
      <c r="N2064" s="26" t="s">
        <v>21</v>
      </c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</row>
    <row r="2065">
      <c r="A2065" s="14" t="s">
        <v>7546</v>
      </c>
      <c r="B2065" s="17" t="s">
        <v>7547</v>
      </c>
      <c r="C2065" s="17" t="s">
        <v>7548</v>
      </c>
      <c r="D2065" s="19" t="s">
        <v>7549</v>
      </c>
      <c r="E2065" s="20" t="s">
        <v>1413</v>
      </c>
      <c r="F2065" s="21">
        <v>22188.0</v>
      </c>
      <c r="G2065" s="14">
        <f t="shared" si="1"/>
        <v>66</v>
      </c>
      <c r="H2065" s="23" t="s">
        <v>26</v>
      </c>
      <c r="I2065" s="24" t="s">
        <v>27</v>
      </c>
      <c r="J2065" s="19" t="s">
        <v>146</v>
      </c>
      <c r="K2065" s="14">
        <v>8.0</v>
      </c>
      <c r="L2065" s="14">
        <v>0.0</v>
      </c>
      <c r="M2065" s="25"/>
      <c r="N2065" s="26" t="s">
        <v>21</v>
      </c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7"/>
    </row>
    <row r="2066">
      <c r="A2066" s="14" t="s">
        <v>7550</v>
      </c>
      <c r="B2066" s="17" t="s">
        <v>7547</v>
      </c>
      <c r="C2066" s="17" t="s">
        <v>7551</v>
      </c>
      <c r="D2066" s="19" t="s">
        <v>7552</v>
      </c>
      <c r="E2066" s="20" t="s">
        <v>1413</v>
      </c>
      <c r="F2066" s="21">
        <v>19757.0</v>
      </c>
      <c r="G2066" s="14">
        <f t="shared" si="1"/>
        <v>72</v>
      </c>
      <c r="H2066" s="23" t="s">
        <v>26</v>
      </c>
      <c r="I2066" s="24" t="s">
        <v>33</v>
      </c>
      <c r="J2066" s="19" t="s">
        <v>146</v>
      </c>
      <c r="K2066" s="14">
        <v>8.0</v>
      </c>
      <c r="L2066" s="14">
        <v>0.0</v>
      </c>
      <c r="M2066" s="25"/>
      <c r="N2066" s="26" t="s">
        <v>21</v>
      </c>
      <c r="O2066" s="7"/>
      <c r="P2066" s="7"/>
      <c r="Q2066" s="7"/>
      <c r="R2066" s="7"/>
      <c r="S2066" s="7"/>
      <c r="T2066" s="7"/>
      <c r="U2066" s="7"/>
      <c r="V2066" s="7"/>
      <c r="W2066" s="7"/>
      <c r="X2066" s="7"/>
      <c r="Y2066" s="7"/>
    </row>
    <row r="2067">
      <c r="A2067" s="14" t="s">
        <v>7553</v>
      </c>
      <c r="B2067" s="17" t="s">
        <v>7554</v>
      </c>
      <c r="C2067" s="17" t="s">
        <v>7555</v>
      </c>
      <c r="D2067" s="19" t="s">
        <v>7556</v>
      </c>
      <c r="E2067" s="20" t="s">
        <v>2079</v>
      </c>
      <c r="F2067" s="21">
        <v>25020.0</v>
      </c>
      <c r="G2067" s="14">
        <f t="shared" si="1"/>
        <v>58</v>
      </c>
      <c r="H2067" s="23" t="s">
        <v>27</v>
      </c>
      <c r="I2067" s="24" t="s">
        <v>27</v>
      </c>
      <c r="J2067" s="19" t="s">
        <v>7557</v>
      </c>
      <c r="K2067" s="14">
        <v>1.0</v>
      </c>
      <c r="L2067" s="14">
        <v>0.0</v>
      </c>
      <c r="M2067" s="25"/>
      <c r="N2067" s="26" t="s">
        <v>21</v>
      </c>
      <c r="O2067" s="7"/>
      <c r="P2067" s="7"/>
      <c r="Q2067" s="7"/>
      <c r="R2067" s="7"/>
      <c r="S2067" s="7"/>
      <c r="T2067" s="7"/>
      <c r="U2067" s="7"/>
      <c r="V2067" s="7"/>
      <c r="W2067" s="7"/>
      <c r="X2067" s="7"/>
      <c r="Y2067" s="7"/>
    </row>
    <row r="2068">
      <c r="A2068" s="14" t="s">
        <v>7558</v>
      </c>
      <c r="B2068" s="17" t="s">
        <v>7559</v>
      </c>
      <c r="C2068" s="17" t="s">
        <v>7560</v>
      </c>
      <c r="D2068" s="19" t="s">
        <v>7561</v>
      </c>
      <c r="E2068" s="20" t="s">
        <v>104</v>
      </c>
      <c r="F2068" s="21">
        <v>31527.0</v>
      </c>
      <c r="G2068" s="14">
        <f t="shared" si="1"/>
        <v>40</v>
      </c>
      <c r="H2068" s="23" t="s">
        <v>26</v>
      </c>
      <c r="I2068" s="24" t="s">
        <v>33</v>
      </c>
      <c r="J2068" s="19" t="s">
        <v>68</v>
      </c>
      <c r="K2068" s="14">
        <v>29.0</v>
      </c>
      <c r="L2068" s="14">
        <v>0.0</v>
      </c>
      <c r="M2068" s="25"/>
      <c r="N2068" s="26" t="s">
        <v>21</v>
      </c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</row>
    <row r="2069">
      <c r="A2069" s="14" t="s">
        <v>7562</v>
      </c>
      <c r="B2069" s="17" t="s">
        <v>7559</v>
      </c>
      <c r="C2069" s="17" t="s">
        <v>7563</v>
      </c>
      <c r="D2069" s="19" t="s">
        <v>7564</v>
      </c>
      <c r="E2069" s="20" t="s">
        <v>7565</v>
      </c>
      <c r="F2069" s="21">
        <v>34898.0</v>
      </c>
      <c r="G2069" s="14">
        <f t="shared" si="1"/>
        <v>31</v>
      </c>
      <c r="H2069" s="23" t="s">
        <v>26</v>
      </c>
      <c r="I2069" s="24" t="s">
        <v>27</v>
      </c>
      <c r="J2069" s="19" t="s">
        <v>68</v>
      </c>
      <c r="K2069" s="14">
        <v>29.0</v>
      </c>
      <c r="L2069" s="14">
        <v>0.0</v>
      </c>
      <c r="M2069" s="25"/>
      <c r="N2069" s="26" t="s">
        <v>21</v>
      </c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7"/>
    </row>
    <row r="2070">
      <c r="A2070" s="14" t="s">
        <v>7566</v>
      </c>
      <c r="B2070" s="17" t="s">
        <v>7567</v>
      </c>
      <c r="C2070" s="17" t="s">
        <v>7568</v>
      </c>
      <c r="D2070" s="19" t="s">
        <v>7569</v>
      </c>
      <c r="E2070" s="20" t="s">
        <v>2680</v>
      </c>
      <c r="F2070" s="21">
        <v>29561.0</v>
      </c>
      <c r="G2070" s="14">
        <f t="shared" si="1"/>
        <v>45</v>
      </c>
      <c r="H2070" s="23" t="s">
        <v>26</v>
      </c>
      <c r="I2070" s="24" t="s">
        <v>33</v>
      </c>
      <c r="J2070" s="19" t="s">
        <v>1437</v>
      </c>
      <c r="K2070" s="14">
        <v>28.0</v>
      </c>
      <c r="L2070" s="14">
        <v>0.0</v>
      </c>
      <c r="M2070" s="25"/>
      <c r="N2070" s="26" t="s">
        <v>21</v>
      </c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7"/>
    </row>
    <row r="2071">
      <c r="A2071" s="14" t="s">
        <v>7570</v>
      </c>
      <c r="B2071" s="17" t="s">
        <v>7567</v>
      </c>
      <c r="C2071" s="17" t="s">
        <v>7571</v>
      </c>
      <c r="D2071" s="19" t="s">
        <v>7572</v>
      </c>
      <c r="E2071" s="20" t="s">
        <v>7573</v>
      </c>
      <c r="F2071" s="21">
        <v>39346.0</v>
      </c>
      <c r="G2071" s="14">
        <f t="shared" si="1"/>
        <v>19</v>
      </c>
      <c r="H2071" s="23" t="s">
        <v>100</v>
      </c>
      <c r="I2071" s="24" t="s">
        <v>33</v>
      </c>
      <c r="J2071" s="19" t="s">
        <v>1437</v>
      </c>
      <c r="K2071" s="14">
        <v>28.0</v>
      </c>
      <c r="L2071" s="14">
        <v>0.0</v>
      </c>
      <c r="M2071" s="25"/>
      <c r="N2071" s="26" t="s">
        <v>21</v>
      </c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7"/>
    </row>
    <row r="2072">
      <c r="A2072" s="14" t="s">
        <v>7574</v>
      </c>
      <c r="B2072" s="17" t="s">
        <v>7567</v>
      </c>
      <c r="C2072" s="17" t="s">
        <v>7575</v>
      </c>
      <c r="D2072" s="19" t="s">
        <v>7576</v>
      </c>
      <c r="E2072" s="20" t="s">
        <v>53</v>
      </c>
      <c r="F2072" s="21">
        <v>30541.0</v>
      </c>
      <c r="G2072" s="14">
        <f t="shared" si="1"/>
        <v>43</v>
      </c>
      <c r="H2072" s="23" t="s">
        <v>26</v>
      </c>
      <c r="I2072" s="24" t="s">
        <v>27</v>
      </c>
      <c r="J2072" s="19" t="s">
        <v>68</v>
      </c>
      <c r="K2072" s="14">
        <v>28.0</v>
      </c>
      <c r="L2072" s="14">
        <v>0.0</v>
      </c>
      <c r="M2072" s="25"/>
      <c r="N2072" s="26" t="s">
        <v>21</v>
      </c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</row>
    <row r="2073">
      <c r="A2073" s="14" t="s">
        <v>7577</v>
      </c>
      <c r="B2073" s="17" t="s">
        <v>7578</v>
      </c>
      <c r="C2073" s="17" t="s">
        <v>7579</v>
      </c>
      <c r="D2073" s="19" t="s">
        <v>7580</v>
      </c>
      <c r="E2073" s="20" t="s">
        <v>104</v>
      </c>
      <c r="F2073" s="21">
        <v>38493.0</v>
      </c>
      <c r="G2073" s="14">
        <f t="shared" si="1"/>
        <v>21</v>
      </c>
      <c r="H2073" s="23" t="s">
        <v>100</v>
      </c>
      <c r="I2073" s="24" t="s">
        <v>33</v>
      </c>
      <c r="J2073" s="19" t="s">
        <v>53</v>
      </c>
      <c r="K2073" s="14">
        <v>20.0</v>
      </c>
      <c r="L2073" s="14">
        <v>0.0</v>
      </c>
      <c r="M2073" s="25"/>
      <c r="N2073" s="26" t="s">
        <v>21</v>
      </c>
      <c r="O2073" s="7"/>
      <c r="P2073" s="7"/>
      <c r="Q2073" s="7"/>
      <c r="R2073" s="7"/>
      <c r="S2073" s="7"/>
      <c r="T2073" s="7"/>
      <c r="U2073" s="7"/>
      <c r="V2073" s="7"/>
      <c r="W2073" s="7"/>
      <c r="X2073" s="7"/>
      <c r="Y2073" s="7"/>
    </row>
    <row r="2074">
      <c r="A2074" s="14" t="s">
        <v>7581</v>
      </c>
      <c r="B2074" s="17" t="s">
        <v>7578</v>
      </c>
      <c r="C2074" s="17" t="s">
        <v>7582</v>
      </c>
      <c r="D2074" s="19" t="s">
        <v>7583</v>
      </c>
      <c r="E2074" s="20" t="s">
        <v>632</v>
      </c>
      <c r="F2074" s="21">
        <v>26724.0</v>
      </c>
      <c r="G2074" s="14">
        <f t="shared" si="1"/>
        <v>53</v>
      </c>
      <c r="H2074" s="23" t="s">
        <v>26</v>
      </c>
      <c r="I2074" s="24" t="s">
        <v>33</v>
      </c>
      <c r="J2074" s="19" t="s">
        <v>53</v>
      </c>
      <c r="K2074" s="14">
        <v>20.0</v>
      </c>
      <c r="L2074" s="14">
        <v>0.0</v>
      </c>
      <c r="M2074" s="25"/>
      <c r="N2074" s="26" t="s">
        <v>21</v>
      </c>
      <c r="O2074" s="7"/>
      <c r="P2074" s="7"/>
      <c r="Q2074" s="7"/>
      <c r="R2074" s="7"/>
      <c r="S2074" s="7"/>
      <c r="T2074" s="7"/>
      <c r="U2074" s="7"/>
      <c r="V2074" s="7"/>
      <c r="W2074" s="7"/>
      <c r="X2074" s="7"/>
      <c r="Y2074" s="7"/>
    </row>
    <row r="2075">
      <c r="A2075" s="14" t="s">
        <v>7584</v>
      </c>
      <c r="B2075" s="17" t="s">
        <v>7578</v>
      </c>
      <c r="C2075" s="17" t="s">
        <v>7585</v>
      </c>
      <c r="D2075" s="19" t="s">
        <v>7586</v>
      </c>
      <c r="E2075" s="20" t="s">
        <v>104</v>
      </c>
      <c r="F2075" s="21">
        <v>28592.0</v>
      </c>
      <c r="G2075" s="14">
        <f t="shared" si="1"/>
        <v>48</v>
      </c>
      <c r="H2075" s="23" t="s">
        <v>26</v>
      </c>
      <c r="I2075" s="24" t="s">
        <v>27</v>
      </c>
      <c r="J2075" s="19" t="s">
        <v>53</v>
      </c>
      <c r="K2075" s="14">
        <v>20.0</v>
      </c>
      <c r="L2075" s="14">
        <v>0.0</v>
      </c>
      <c r="M2075" s="25"/>
      <c r="N2075" s="26" t="s">
        <v>21</v>
      </c>
      <c r="O2075" s="7"/>
      <c r="P2075" s="7"/>
      <c r="Q2075" s="7"/>
      <c r="R2075" s="7"/>
      <c r="S2075" s="7"/>
      <c r="T2075" s="7"/>
      <c r="U2075" s="7"/>
      <c r="V2075" s="7"/>
      <c r="W2075" s="7"/>
      <c r="X2075" s="7"/>
      <c r="Y2075" s="7"/>
    </row>
    <row r="2076">
      <c r="A2076" s="14" t="s">
        <v>7587</v>
      </c>
      <c r="B2076" s="17" t="s">
        <v>7578</v>
      </c>
      <c r="C2076" s="17" t="s">
        <v>7588</v>
      </c>
      <c r="D2076" s="19" t="s">
        <v>7589</v>
      </c>
      <c r="E2076" s="20" t="s">
        <v>53</v>
      </c>
      <c r="F2076" s="21">
        <v>35890.0</v>
      </c>
      <c r="G2076" s="14">
        <f t="shared" si="1"/>
        <v>28</v>
      </c>
      <c r="H2076" s="23" t="s">
        <v>100</v>
      </c>
      <c r="I2076" s="24" t="s">
        <v>33</v>
      </c>
      <c r="J2076" s="19" t="s">
        <v>53</v>
      </c>
      <c r="K2076" s="14">
        <v>20.0</v>
      </c>
      <c r="L2076" s="14">
        <v>0.0</v>
      </c>
      <c r="M2076" s="25"/>
      <c r="N2076" s="26" t="s">
        <v>21</v>
      </c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</row>
    <row r="2077">
      <c r="A2077" s="14" t="s">
        <v>7590</v>
      </c>
      <c r="B2077" s="17" t="s">
        <v>7591</v>
      </c>
      <c r="C2077" s="17" t="s">
        <v>7592</v>
      </c>
      <c r="D2077" s="19" t="s">
        <v>7593</v>
      </c>
      <c r="E2077" s="20" t="s">
        <v>880</v>
      </c>
      <c r="F2077" s="21">
        <v>23256.0</v>
      </c>
      <c r="G2077" s="14">
        <f t="shared" si="1"/>
        <v>63</v>
      </c>
      <c r="H2077" s="23" t="s">
        <v>26</v>
      </c>
      <c r="I2077" s="24" t="s">
        <v>33</v>
      </c>
      <c r="J2077" s="19" t="s">
        <v>146</v>
      </c>
      <c r="K2077" s="14">
        <v>3.0</v>
      </c>
      <c r="L2077" s="14">
        <v>0.0</v>
      </c>
      <c r="M2077" s="25"/>
      <c r="N2077" s="26" t="s">
        <v>21</v>
      </c>
      <c r="O2077" s="7"/>
      <c r="P2077" s="7"/>
      <c r="Q2077" s="7"/>
      <c r="R2077" s="7"/>
      <c r="S2077" s="7"/>
      <c r="T2077" s="7"/>
      <c r="U2077" s="7"/>
      <c r="V2077" s="7"/>
      <c r="W2077" s="7"/>
      <c r="X2077" s="7"/>
      <c r="Y2077" s="7"/>
    </row>
    <row r="2078">
      <c r="A2078" s="14" t="s">
        <v>7594</v>
      </c>
      <c r="B2078" s="17" t="s">
        <v>7591</v>
      </c>
      <c r="C2078" s="17" t="s">
        <v>7595</v>
      </c>
      <c r="D2078" s="19" t="s">
        <v>7596</v>
      </c>
      <c r="E2078" s="20" t="s">
        <v>880</v>
      </c>
      <c r="F2078" s="21">
        <v>25844.0</v>
      </c>
      <c r="G2078" s="14">
        <f t="shared" si="1"/>
        <v>56</v>
      </c>
      <c r="H2078" s="23" t="s">
        <v>26</v>
      </c>
      <c r="I2078" s="24" t="s">
        <v>27</v>
      </c>
      <c r="J2078" s="19" t="s">
        <v>146</v>
      </c>
      <c r="K2078" s="14">
        <v>3.0</v>
      </c>
      <c r="L2078" s="14">
        <v>0.0</v>
      </c>
      <c r="M2078" s="25"/>
      <c r="N2078" s="26" t="s">
        <v>21</v>
      </c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7"/>
    </row>
    <row r="2079">
      <c r="A2079" s="14" t="s">
        <v>7597</v>
      </c>
      <c r="B2079" s="17" t="s">
        <v>7598</v>
      </c>
      <c r="C2079" s="17" t="s">
        <v>7599</v>
      </c>
      <c r="D2079" s="19" t="s">
        <v>7600</v>
      </c>
      <c r="E2079" s="20" t="s">
        <v>104</v>
      </c>
      <c r="F2079" s="21">
        <v>34893.0</v>
      </c>
      <c r="G2079" s="14">
        <f t="shared" si="1"/>
        <v>31</v>
      </c>
      <c r="H2079" s="23" t="s">
        <v>26</v>
      </c>
      <c r="I2079" s="24" t="s">
        <v>33</v>
      </c>
      <c r="J2079" s="19" t="s">
        <v>517</v>
      </c>
      <c r="K2079" s="14">
        <v>7.0</v>
      </c>
      <c r="L2079" s="14">
        <v>0.0</v>
      </c>
      <c r="M2079" s="25"/>
      <c r="N2079" s="26" t="s">
        <v>21</v>
      </c>
      <c r="O2079" s="7"/>
      <c r="P2079" s="7"/>
      <c r="Q2079" s="7"/>
      <c r="R2079" s="7"/>
      <c r="S2079" s="7"/>
      <c r="T2079" s="7"/>
      <c r="U2079" s="7"/>
      <c r="V2079" s="7"/>
      <c r="W2079" s="7"/>
      <c r="X2079" s="7"/>
      <c r="Y2079" s="7"/>
    </row>
    <row r="2080">
      <c r="A2080" s="14" t="s">
        <v>7601</v>
      </c>
      <c r="B2080" s="17" t="s">
        <v>7598</v>
      </c>
      <c r="C2080" s="17" t="s">
        <v>7602</v>
      </c>
      <c r="D2080" s="19" t="s">
        <v>7603</v>
      </c>
      <c r="E2080" s="20" t="s">
        <v>274</v>
      </c>
      <c r="F2080" s="21">
        <v>35325.0</v>
      </c>
      <c r="G2080" s="14">
        <f t="shared" si="1"/>
        <v>30</v>
      </c>
      <c r="H2080" s="23" t="s">
        <v>26</v>
      </c>
      <c r="I2080" s="24" t="s">
        <v>27</v>
      </c>
      <c r="J2080" s="19" t="s">
        <v>517</v>
      </c>
      <c r="K2080" s="14">
        <v>7.0</v>
      </c>
      <c r="L2080" s="14">
        <v>0.0</v>
      </c>
      <c r="M2080" s="25"/>
      <c r="N2080" s="26" t="s">
        <v>21</v>
      </c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</row>
    <row r="2081">
      <c r="A2081" s="14" t="s">
        <v>7604</v>
      </c>
      <c r="B2081" s="17" t="s">
        <v>7605</v>
      </c>
      <c r="C2081" s="17" t="s">
        <v>7606</v>
      </c>
      <c r="D2081" s="19" t="s">
        <v>7607</v>
      </c>
      <c r="E2081" s="20" t="s">
        <v>187</v>
      </c>
      <c r="F2081" s="27">
        <v>36081.0</v>
      </c>
      <c r="G2081" s="14">
        <f t="shared" si="1"/>
        <v>28</v>
      </c>
      <c r="H2081" s="23" t="s">
        <v>26</v>
      </c>
      <c r="I2081" s="24" t="s">
        <v>27</v>
      </c>
      <c r="J2081" s="19" t="s">
        <v>4020</v>
      </c>
      <c r="K2081" s="14">
        <v>27.0</v>
      </c>
      <c r="L2081" s="14">
        <v>0.0</v>
      </c>
      <c r="M2081" s="25"/>
      <c r="N2081" s="26" t="s">
        <v>21</v>
      </c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</row>
    <row r="2082">
      <c r="A2082" s="14" t="s">
        <v>7608</v>
      </c>
      <c r="B2082" s="17" t="s">
        <v>7605</v>
      </c>
      <c r="C2082" s="17" t="s">
        <v>7609</v>
      </c>
      <c r="D2082" s="19" t="s">
        <v>7610</v>
      </c>
      <c r="E2082" s="20" t="s">
        <v>104</v>
      </c>
      <c r="F2082" s="21">
        <v>33770.0</v>
      </c>
      <c r="G2082" s="14">
        <f t="shared" si="1"/>
        <v>34</v>
      </c>
      <c r="H2082" s="23" t="s">
        <v>26</v>
      </c>
      <c r="I2082" s="24" t="s">
        <v>33</v>
      </c>
      <c r="J2082" s="19" t="s">
        <v>4020</v>
      </c>
      <c r="K2082" s="14">
        <v>27.0</v>
      </c>
      <c r="L2082" s="14">
        <v>0.0</v>
      </c>
      <c r="M2082" s="25"/>
      <c r="N2082" s="26" t="s">
        <v>21</v>
      </c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7"/>
    </row>
    <row r="2083">
      <c r="A2083" s="14" t="s">
        <v>7611</v>
      </c>
      <c r="B2083" s="17" t="s">
        <v>7612</v>
      </c>
      <c r="C2083" s="17" t="s">
        <v>7613</v>
      </c>
      <c r="D2083" s="19" t="s">
        <v>7614</v>
      </c>
      <c r="E2083" s="20" t="s">
        <v>650</v>
      </c>
      <c r="F2083" s="21">
        <v>19176.0</v>
      </c>
      <c r="G2083" s="14">
        <f t="shared" si="1"/>
        <v>74</v>
      </c>
      <c r="H2083" s="23" t="s">
        <v>27</v>
      </c>
      <c r="I2083" s="24" t="s">
        <v>27</v>
      </c>
      <c r="J2083" s="19" t="s">
        <v>4020</v>
      </c>
      <c r="K2083" s="14">
        <v>27.0</v>
      </c>
      <c r="L2083" s="14">
        <v>0.0</v>
      </c>
      <c r="M2083" s="25"/>
      <c r="N2083" s="26" t="s">
        <v>21</v>
      </c>
      <c r="O2083" s="7"/>
      <c r="P2083" s="7"/>
      <c r="Q2083" s="7"/>
      <c r="R2083" s="7"/>
      <c r="S2083" s="7"/>
      <c r="T2083" s="7"/>
      <c r="U2083" s="7"/>
      <c r="V2083" s="7"/>
      <c r="W2083" s="7"/>
      <c r="X2083" s="7"/>
      <c r="Y2083" s="7"/>
    </row>
    <row r="2084">
      <c r="A2084" s="14" t="s">
        <v>7615</v>
      </c>
      <c r="B2084" s="17" t="s">
        <v>7616</v>
      </c>
      <c r="C2084" s="17" t="s">
        <v>7617</v>
      </c>
      <c r="D2084" s="19" t="s">
        <v>7618</v>
      </c>
      <c r="E2084" s="20" t="s">
        <v>3357</v>
      </c>
      <c r="F2084" s="21">
        <v>28349.0</v>
      </c>
      <c r="G2084" s="14">
        <f t="shared" si="1"/>
        <v>49</v>
      </c>
      <c r="H2084" s="23" t="s">
        <v>26</v>
      </c>
      <c r="I2084" s="24" t="s">
        <v>27</v>
      </c>
      <c r="J2084" s="19" t="s">
        <v>328</v>
      </c>
      <c r="K2084" s="14">
        <v>27.0</v>
      </c>
      <c r="L2084" s="14">
        <v>1.0</v>
      </c>
      <c r="M2084" s="25"/>
      <c r="N2084" s="26" t="s">
        <v>21</v>
      </c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</row>
    <row r="2085">
      <c r="A2085" s="14" t="s">
        <v>7619</v>
      </c>
      <c r="B2085" s="17" t="s">
        <v>7616</v>
      </c>
      <c r="C2085" s="17" t="s">
        <v>7620</v>
      </c>
      <c r="D2085" s="19" t="s">
        <v>7621</v>
      </c>
      <c r="E2085" s="20" t="s">
        <v>337</v>
      </c>
      <c r="F2085" s="21">
        <v>38134.0</v>
      </c>
      <c r="G2085" s="14">
        <f t="shared" si="1"/>
        <v>22</v>
      </c>
      <c r="H2085" s="23" t="s">
        <v>100</v>
      </c>
      <c r="I2085" s="24" t="s">
        <v>27</v>
      </c>
      <c r="J2085" s="19" t="s">
        <v>328</v>
      </c>
      <c r="K2085" s="14">
        <v>27.0</v>
      </c>
      <c r="L2085" s="14">
        <v>0.0</v>
      </c>
      <c r="M2085" s="25"/>
      <c r="N2085" s="26" t="s">
        <v>21</v>
      </c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7"/>
    </row>
    <row r="2086">
      <c r="A2086" s="14" t="s">
        <v>7622</v>
      </c>
      <c r="B2086" s="17" t="s">
        <v>7616</v>
      </c>
      <c r="C2086" s="17" t="s">
        <v>7623</v>
      </c>
      <c r="D2086" s="19" t="s">
        <v>2667</v>
      </c>
      <c r="E2086" s="20" t="s">
        <v>1291</v>
      </c>
      <c r="F2086" s="21">
        <v>27529.0</v>
      </c>
      <c r="G2086" s="14">
        <f t="shared" si="1"/>
        <v>51</v>
      </c>
      <c r="H2086" s="23" t="s">
        <v>26</v>
      </c>
      <c r="I2086" s="24" t="s">
        <v>33</v>
      </c>
      <c r="J2086" s="19" t="s">
        <v>53</v>
      </c>
      <c r="K2086" s="14">
        <v>27.0</v>
      </c>
      <c r="L2086" s="14">
        <v>0.0</v>
      </c>
      <c r="M2086" s="25"/>
      <c r="N2086" s="26" t="s">
        <v>21</v>
      </c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7"/>
    </row>
    <row r="2087">
      <c r="A2087" s="14" t="s">
        <v>7624</v>
      </c>
      <c r="B2087" s="17" t="s">
        <v>7625</v>
      </c>
      <c r="C2087" s="17" t="s">
        <v>7626</v>
      </c>
      <c r="D2087" s="19" t="s">
        <v>7627</v>
      </c>
      <c r="E2087" s="20" t="s">
        <v>632</v>
      </c>
      <c r="F2087" s="21">
        <v>16074.0</v>
      </c>
      <c r="G2087" s="14">
        <f t="shared" si="1"/>
        <v>82</v>
      </c>
      <c r="H2087" s="23" t="s">
        <v>26</v>
      </c>
      <c r="I2087" s="24" t="s">
        <v>33</v>
      </c>
      <c r="J2087" s="19" t="s">
        <v>328</v>
      </c>
      <c r="K2087" s="14">
        <v>21.0</v>
      </c>
      <c r="L2087" s="14">
        <v>0.0</v>
      </c>
      <c r="M2087" s="25"/>
      <c r="N2087" s="26" t="s">
        <v>21</v>
      </c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7"/>
    </row>
    <row r="2088">
      <c r="A2088" s="14" t="s">
        <v>7628</v>
      </c>
      <c r="B2088" s="17" t="s">
        <v>7625</v>
      </c>
      <c r="C2088" s="17" t="s">
        <v>7629</v>
      </c>
      <c r="D2088" s="19" t="s">
        <v>7630</v>
      </c>
      <c r="E2088" s="20" t="s">
        <v>632</v>
      </c>
      <c r="F2088" s="21">
        <v>20187.0</v>
      </c>
      <c r="G2088" s="14">
        <f t="shared" si="1"/>
        <v>71</v>
      </c>
      <c r="H2088" s="23" t="s">
        <v>26</v>
      </c>
      <c r="I2088" s="24" t="s">
        <v>27</v>
      </c>
      <c r="J2088" s="19" t="s">
        <v>328</v>
      </c>
      <c r="K2088" s="14">
        <v>21.0</v>
      </c>
      <c r="L2088" s="14">
        <v>0.0</v>
      </c>
      <c r="M2088" s="25"/>
      <c r="N2088" s="26" t="s">
        <v>21</v>
      </c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</row>
    <row r="2089">
      <c r="A2089" s="14" t="s">
        <v>7631</v>
      </c>
      <c r="B2089" s="17" t="s">
        <v>7632</v>
      </c>
      <c r="C2089" s="17" t="s">
        <v>7633</v>
      </c>
      <c r="D2089" s="19" t="s">
        <v>7634</v>
      </c>
      <c r="E2089" s="20" t="s">
        <v>429</v>
      </c>
      <c r="F2089" s="27">
        <v>27027.0</v>
      </c>
      <c r="G2089" s="14">
        <f t="shared" si="1"/>
        <v>52</v>
      </c>
      <c r="H2089" s="23" t="s">
        <v>26</v>
      </c>
      <c r="I2089" s="24" t="s">
        <v>33</v>
      </c>
      <c r="J2089" s="19" t="s">
        <v>53</v>
      </c>
      <c r="K2089" s="14">
        <v>12.0</v>
      </c>
      <c r="L2089" s="14">
        <v>0.0</v>
      </c>
      <c r="M2089" s="25"/>
      <c r="N2089" s="26" t="s">
        <v>21</v>
      </c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7"/>
    </row>
    <row r="2090">
      <c r="A2090" s="14" t="s">
        <v>7635</v>
      </c>
      <c r="B2090" s="17" t="s">
        <v>7632</v>
      </c>
      <c r="C2090" s="17" t="s">
        <v>7636</v>
      </c>
      <c r="D2090" s="19" t="s">
        <v>7637</v>
      </c>
      <c r="E2090" s="20" t="s">
        <v>104</v>
      </c>
      <c r="F2090" s="21">
        <v>30341.0</v>
      </c>
      <c r="G2090" s="14">
        <f t="shared" si="1"/>
        <v>43</v>
      </c>
      <c r="H2090" s="23" t="s">
        <v>26</v>
      </c>
      <c r="I2090" s="24" t="s">
        <v>27</v>
      </c>
      <c r="J2090" s="19" t="s">
        <v>53</v>
      </c>
      <c r="K2090" s="14">
        <v>12.0</v>
      </c>
      <c r="L2090" s="14">
        <v>0.0</v>
      </c>
      <c r="M2090" s="25"/>
      <c r="N2090" s="26" t="s">
        <v>21</v>
      </c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7"/>
    </row>
    <row r="2091">
      <c r="A2091" s="14" t="s">
        <v>7638</v>
      </c>
      <c r="B2091" s="17" t="s">
        <v>7639</v>
      </c>
      <c r="C2091" s="17" t="s">
        <v>7640</v>
      </c>
      <c r="D2091" s="19" t="s">
        <v>7641</v>
      </c>
      <c r="E2091" s="20" t="s">
        <v>219</v>
      </c>
      <c r="F2091" s="21">
        <v>22901.0</v>
      </c>
      <c r="G2091" s="14">
        <f t="shared" si="1"/>
        <v>64</v>
      </c>
      <c r="H2091" s="23" t="s">
        <v>26</v>
      </c>
      <c r="I2091" s="24" t="s">
        <v>33</v>
      </c>
      <c r="J2091" s="19" t="s">
        <v>328</v>
      </c>
      <c r="K2091" s="14">
        <v>24.0</v>
      </c>
      <c r="L2091" s="14">
        <v>0.0</v>
      </c>
      <c r="M2091" s="25"/>
      <c r="N2091" s="26" t="s">
        <v>21</v>
      </c>
      <c r="O2091" s="7"/>
      <c r="P2091" s="7"/>
      <c r="Q2091" s="7"/>
      <c r="R2091" s="7"/>
      <c r="S2091" s="7"/>
      <c r="T2091" s="7"/>
      <c r="U2091" s="7"/>
      <c r="V2091" s="7"/>
      <c r="W2091" s="7"/>
      <c r="X2091" s="7"/>
      <c r="Y2091" s="7"/>
    </row>
    <row r="2092">
      <c r="A2092" s="14" t="s">
        <v>7642</v>
      </c>
      <c r="B2092" s="17" t="s">
        <v>7639</v>
      </c>
      <c r="C2092" s="17" t="s">
        <v>7643</v>
      </c>
      <c r="D2092" s="19" t="s">
        <v>4730</v>
      </c>
      <c r="E2092" s="20" t="s">
        <v>650</v>
      </c>
      <c r="F2092" s="21">
        <v>23924.0</v>
      </c>
      <c r="G2092" s="14">
        <f t="shared" si="1"/>
        <v>61</v>
      </c>
      <c r="H2092" s="23" t="s">
        <v>26</v>
      </c>
      <c r="I2092" s="24" t="s">
        <v>27</v>
      </c>
      <c r="J2092" s="19" t="s">
        <v>328</v>
      </c>
      <c r="K2092" s="14">
        <v>24.0</v>
      </c>
      <c r="L2092" s="14">
        <v>0.0</v>
      </c>
      <c r="M2092" s="25"/>
      <c r="N2092" s="26" t="s">
        <v>21</v>
      </c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7"/>
    </row>
    <row r="2093">
      <c r="A2093" s="14" t="s">
        <v>7644</v>
      </c>
      <c r="B2093" s="17" t="s">
        <v>7645</v>
      </c>
      <c r="C2093" s="17" t="s">
        <v>7646</v>
      </c>
      <c r="D2093" s="19" t="s">
        <v>7647</v>
      </c>
      <c r="E2093" s="20" t="s">
        <v>219</v>
      </c>
      <c r="F2093" s="21">
        <v>23886.0</v>
      </c>
      <c r="G2093" s="14">
        <f t="shared" si="1"/>
        <v>61</v>
      </c>
      <c r="H2093" s="23" t="s">
        <v>26</v>
      </c>
      <c r="I2093" s="24" t="s">
        <v>33</v>
      </c>
      <c r="J2093" s="19" t="s">
        <v>328</v>
      </c>
      <c r="K2093" s="14">
        <v>23.0</v>
      </c>
      <c r="L2093" s="14">
        <v>0.0</v>
      </c>
      <c r="M2093" s="25"/>
      <c r="N2093" s="26" t="s">
        <v>21</v>
      </c>
      <c r="O2093" s="7"/>
      <c r="P2093" s="7"/>
      <c r="Q2093" s="7"/>
      <c r="R2093" s="7"/>
      <c r="S2093" s="7"/>
      <c r="T2093" s="7"/>
      <c r="U2093" s="7"/>
      <c r="V2093" s="7"/>
      <c r="W2093" s="7"/>
      <c r="X2093" s="7"/>
      <c r="Y2093" s="7"/>
    </row>
    <row r="2094">
      <c r="A2094" s="14" t="s">
        <v>7648</v>
      </c>
      <c r="B2094" s="17" t="s">
        <v>7645</v>
      </c>
      <c r="C2094" s="17" t="s">
        <v>7649</v>
      </c>
      <c r="D2094" s="19" t="s">
        <v>7650</v>
      </c>
      <c r="E2094" s="20" t="s">
        <v>1038</v>
      </c>
      <c r="F2094" s="21">
        <v>25205.0</v>
      </c>
      <c r="G2094" s="14">
        <f t="shared" si="1"/>
        <v>57</v>
      </c>
      <c r="H2094" s="23" t="s">
        <v>26</v>
      </c>
      <c r="I2094" s="24" t="s">
        <v>27</v>
      </c>
      <c r="J2094" s="19" t="s">
        <v>328</v>
      </c>
      <c r="K2094" s="14">
        <v>23.0</v>
      </c>
      <c r="L2094" s="14">
        <v>0.0</v>
      </c>
      <c r="M2094" s="25"/>
      <c r="N2094" s="26" t="s">
        <v>21</v>
      </c>
      <c r="O2094" s="7"/>
      <c r="P2094" s="7"/>
      <c r="Q2094" s="7"/>
      <c r="R2094" s="7"/>
      <c r="S2094" s="7"/>
      <c r="T2094" s="7"/>
      <c r="U2094" s="7"/>
      <c r="V2094" s="7"/>
      <c r="W2094" s="7"/>
      <c r="X2094" s="7"/>
      <c r="Y2094" s="7"/>
    </row>
    <row r="2095">
      <c r="A2095" s="14" t="s">
        <v>7651</v>
      </c>
      <c r="B2095" s="17" t="s">
        <v>7652</v>
      </c>
      <c r="C2095" s="17" t="s">
        <v>7653</v>
      </c>
      <c r="D2095" s="19" t="s">
        <v>7654</v>
      </c>
      <c r="E2095" s="20" t="s">
        <v>650</v>
      </c>
      <c r="F2095" s="21">
        <v>19541.0</v>
      </c>
      <c r="G2095" s="14">
        <f t="shared" si="1"/>
        <v>73</v>
      </c>
      <c r="H2095" s="23" t="s">
        <v>27</v>
      </c>
      <c r="I2095" s="24" t="s">
        <v>27</v>
      </c>
      <c r="J2095" s="19" t="s">
        <v>53</v>
      </c>
      <c r="K2095" s="14">
        <v>5.0</v>
      </c>
      <c r="L2095" s="14">
        <v>0.0</v>
      </c>
      <c r="M2095" s="25"/>
      <c r="N2095" s="26" t="s">
        <v>21</v>
      </c>
      <c r="O2095" s="7"/>
      <c r="P2095" s="7"/>
      <c r="Q2095" s="7"/>
      <c r="R2095" s="7"/>
      <c r="S2095" s="7"/>
      <c r="T2095" s="7"/>
      <c r="U2095" s="7"/>
      <c r="V2095" s="7"/>
      <c r="W2095" s="7"/>
      <c r="X2095" s="7"/>
      <c r="Y2095" s="7"/>
    </row>
    <row r="2096">
      <c r="A2096" s="14" t="s">
        <v>7655</v>
      </c>
      <c r="B2096" s="17" t="s">
        <v>7656</v>
      </c>
      <c r="C2096" s="17" t="s">
        <v>7657</v>
      </c>
      <c r="D2096" s="19" t="s">
        <v>7658</v>
      </c>
      <c r="E2096" s="20" t="s">
        <v>290</v>
      </c>
      <c r="F2096" s="21">
        <v>20944.0</v>
      </c>
      <c r="G2096" s="14">
        <f t="shared" si="1"/>
        <v>69</v>
      </c>
      <c r="H2096" s="23" t="s">
        <v>26</v>
      </c>
      <c r="I2096" s="24" t="s">
        <v>27</v>
      </c>
      <c r="J2096" s="19" t="s">
        <v>3387</v>
      </c>
      <c r="K2096" s="14">
        <v>6.0</v>
      </c>
      <c r="L2096" s="14">
        <v>0.0</v>
      </c>
      <c r="M2096" s="25"/>
      <c r="N2096" s="26" t="s">
        <v>21</v>
      </c>
      <c r="O2096" s="7"/>
      <c r="P2096" s="7"/>
      <c r="Q2096" s="7"/>
      <c r="R2096" s="7"/>
      <c r="S2096" s="7"/>
      <c r="T2096" s="7"/>
      <c r="U2096" s="7"/>
      <c r="V2096" s="7"/>
      <c r="W2096" s="7"/>
      <c r="X2096" s="7"/>
      <c r="Y2096" s="7"/>
    </row>
    <row r="2097">
      <c r="A2097" s="14" t="s">
        <v>7659</v>
      </c>
      <c r="B2097" s="17" t="s">
        <v>7656</v>
      </c>
      <c r="C2097" s="17" t="s">
        <v>7660</v>
      </c>
      <c r="D2097" s="19" t="s">
        <v>7661</v>
      </c>
      <c r="E2097" s="20" t="s">
        <v>290</v>
      </c>
      <c r="F2097" s="21">
        <v>19514.0</v>
      </c>
      <c r="G2097" s="14">
        <f t="shared" si="1"/>
        <v>73</v>
      </c>
      <c r="H2097" s="23" t="s">
        <v>26</v>
      </c>
      <c r="I2097" s="24" t="s">
        <v>33</v>
      </c>
      <c r="J2097" s="19" t="s">
        <v>3387</v>
      </c>
      <c r="K2097" s="14">
        <v>6.0</v>
      </c>
      <c r="L2097" s="14">
        <v>0.0</v>
      </c>
      <c r="M2097" s="25"/>
      <c r="N2097" s="26" t="s">
        <v>21</v>
      </c>
      <c r="O2097" s="7"/>
      <c r="P2097" s="7"/>
      <c r="Q2097" s="7"/>
      <c r="R2097" s="7"/>
      <c r="S2097" s="7"/>
      <c r="T2097" s="7"/>
      <c r="U2097" s="7"/>
      <c r="V2097" s="7"/>
      <c r="W2097" s="7"/>
      <c r="X2097" s="7"/>
      <c r="Y2097" s="7"/>
    </row>
    <row r="2098">
      <c r="A2098" s="14" t="s">
        <v>7662</v>
      </c>
      <c r="B2098" s="17" t="s">
        <v>7663</v>
      </c>
      <c r="C2098" s="17" t="s">
        <v>7664</v>
      </c>
      <c r="D2098" s="19" t="s">
        <v>7665</v>
      </c>
      <c r="E2098" s="20" t="s">
        <v>104</v>
      </c>
      <c r="F2098" s="21">
        <v>34798.0</v>
      </c>
      <c r="G2098" s="14">
        <f t="shared" si="1"/>
        <v>31</v>
      </c>
      <c r="H2098" s="23" t="s">
        <v>26</v>
      </c>
      <c r="I2098" s="24" t="s">
        <v>33</v>
      </c>
      <c r="J2098" s="19" t="s">
        <v>53</v>
      </c>
      <c r="K2098" s="14">
        <v>17.0</v>
      </c>
      <c r="L2098" s="14">
        <v>0.0</v>
      </c>
      <c r="M2098" s="25"/>
      <c r="N2098" s="26" t="s">
        <v>21</v>
      </c>
      <c r="O2098" s="7"/>
      <c r="P2098" s="7"/>
      <c r="Q2098" s="7"/>
      <c r="R2098" s="7"/>
      <c r="S2098" s="7"/>
      <c r="T2098" s="7"/>
      <c r="U2098" s="7"/>
      <c r="V2098" s="7"/>
      <c r="W2098" s="7"/>
      <c r="X2098" s="7"/>
      <c r="Y2098" s="7"/>
    </row>
    <row r="2099">
      <c r="A2099" s="14" t="s">
        <v>7666</v>
      </c>
      <c r="B2099" s="17" t="s">
        <v>7663</v>
      </c>
      <c r="C2099" s="17" t="s">
        <v>7667</v>
      </c>
      <c r="D2099" s="19" t="s">
        <v>7668</v>
      </c>
      <c r="E2099" s="20" t="s">
        <v>138</v>
      </c>
      <c r="F2099" s="21">
        <v>35953.0</v>
      </c>
      <c r="G2099" s="14">
        <f t="shared" si="1"/>
        <v>28</v>
      </c>
      <c r="H2099" s="23" t="s">
        <v>26</v>
      </c>
      <c r="I2099" s="24" t="s">
        <v>27</v>
      </c>
      <c r="J2099" s="19" t="s">
        <v>53</v>
      </c>
      <c r="K2099" s="14">
        <v>17.0</v>
      </c>
      <c r="L2099" s="14">
        <v>0.0</v>
      </c>
      <c r="M2099" s="25"/>
      <c r="N2099" s="26" t="s">
        <v>21</v>
      </c>
      <c r="O2099" s="7"/>
      <c r="P2099" s="7"/>
      <c r="Q2099" s="7"/>
      <c r="R2099" s="7"/>
      <c r="S2099" s="7"/>
      <c r="T2099" s="7"/>
      <c r="U2099" s="7"/>
      <c r="V2099" s="7"/>
      <c r="W2099" s="7"/>
      <c r="X2099" s="7"/>
      <c r="Y2099" s="7"/>
    </row>
    <row r="2100">
      <c r="A2100" s="14" t="s">
        <v>7669</v>
      </c>
      <c r="B2100" s="17" t="s">
        <v>7670</v>
      </c>
      <c r="C2100" s="17" t="s">
        <v>7671</v>
      </c>
      <c r="D2100" s="19" t="s">
        <v>7672</v>
      </c>
      <c r="E2100" s="20" t="s">
        <v>7673</v>
      </c>
      <c r="F2100" s="21">
        <v>35493.0</v>
      </c>
      <c r="G2100" s="14">
        <f t="shared" si="1"/>
        <v>29</v>
      </c>
      <c r="H2100" s="23" t="s">
        <v>26</v>
      </c>
      <c r="I2100" s="24" t="s">
        <v>33</v>
      </c>
      <c r="J2100" s="19" t="s">
        <v>68</v>
      </c>
      <c r="K2100" s="14">
        <v>35.0</v>
      </c>
      <c r="L2100" s="14">
        <v>0.0</v>
      </c>
      <c r="M2100" s="25"/>
      <c r="N2100" s="26" t="s">
        <v>21</v>
      </c>
      <c r="O2100" s="7"/>
      <c r="P2100" s="7"/>
      <c r="Q2100" s="7"/>
      <c r="R2100" s="7"/>
      <c r="S2100" s="7"/>
      <c r="T2100" s="7"/>
      <c r="U2100" s="7"/>
      <c r="V2100" s="7"/>
      <c r="W2100" s="7"/>
      <c r="X2100" s="7"/>
      <c r="Y2100" s="7"/>
    </row>
    <row r="2101">
      <c r="A2101" s="14" t="s">
        <v>7674</v>
      </c>
      <c r="B2101" s="17" t="s">
        <v>7670</v>
      </c>
      <c r="C2101" s="17" t="s">
        <v>7675</v>
      </c>
      <c r="D2101" s="19" t="s">
        <v>7676</v>
      </c>
      <c r="E2101" s="20" t="s">
        <v>2551</v>
      </c>
      <c r="F2101" s="21">
        <v>35372.0</v>
      </c>
      <c r="G2101" s="14">
        <f t="shared" si="1"/>
        <v>29</v>
      </c>
      <c r="H2101" s="23" t="s">
        <v>26</v>
      </c>
      <c r="I2101" s="24" t="s">
        <v>27</v>
      </c>
      <c r="J2101" s="19" t="s">
        <v>53</v>
      </c>
      <c r="K2101" s="14">
        <v>35.0</v>
      </c>
      <c r="L2101" s="14">
        <v>0.0</v>
      </c>
      <c r="M2101" s="25"/>
      <c r="N2101" s="26" t="s">
        <v>21</v>
      </c>
      <c r="O2101" s="7"/>
      <c r="P2101" s="7"/>
      <c r="Q2101" s="7"/>
      <c r="R2101" s="7"/>
      <c r="S2101" s="7"/>
      <c r="T2101" s="7"/>
      <c r="U2101" s="7"/>
      <c r="V2101" s="7"/>
      <c r="W2101" s="7"/>
      <c r="X2101" s="7"/>
      <c r="Y2101" s="7"/>
    </row>
    <row r="2102">
      <c r="A2102" s="14" t="s">
        <v>7677</v>
      </c>
      <c r="B2102" s="17" t="s">
        <v>7678</v>
      </c>
      <c r="C2102" s="17" t="s">
        <v>7679</v>
      </c>
      <c r="D2102" s="19" t="s">
        <v>7680</v>
      </c>
      <c r="E2102" s="20" t="s">
        <v>104</v>
      </c>
      <c r="F2102" s="21">
        <v>34517.0</v>
      </c>
      <c r="G2102" s="14">
        <f t="shared" si="1"/>
        <v>32</v>
      </c>
      <c r="H2102" s="23" t="s">
        <v>100</v>
      </c>
      <c r="I2102" s="24" t="s">
        <v>33</v>
      </c>
      <c r="J2102" s="19" t="s">
        <v>7681</v>
      </c>
      <c r="K2102" s="14">
        <v>30.0</v>
      </c>
      <c r="L2102" s="14">
        <v>0.0</v>
      </c>
      <c r="M2102" s="25"/>
      <c r="N2102" s="26" t="s">
        <v>21</v>
      </c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7"/>
    </row>
    <row r="2103">
      <c r="A2103" s="14" t="s">
        <v>7682</v>
      </c>
      <c r="B2103" s="17" t="s">
        <v>7678</v>
      </c>
      <c r="C2103" s="17" t="s">
        <v>7683</v>
      </c>
      <c r="D2103" s="19" t="s">
        <v>7684</v>
      </c>
      <c r="E2103" s="20" t="s">
        <v>337</v>
      </c>
      <c r="F2103" s="21">
        <v>36417.0</v>
      </c>
      <c r="G2103" s="14">
        <f t="shared" si="1"/>
        <v>27</v>
      </c>
      <c r="H2103" s="23" t="s">
        <v>100</v>
      </c>
      <c r="I2103" s="24" t="s">
        <v>33</v>
      </c>
      <c r="J2103" s="19" t="s">
        <v>7681</v>
      </c>
      <c r="K2103" s="14">
        <v>30.0</v>
      </c>
      <c r="L2103" s="14">
        <v>0.0</v>
      </c>
      <c r="M2103" s="25"/>
      <c r="N2103" s="26" t="s">
        <v>21</v>
      </c>
      <c r="O2103" s="7"/>
      <c r="P2103" s="7"/>
      <c r="Q2103" s="7"/>
      <c r="R2103" s="7"/>
      <c r="S2103" s="7"/>
      <c r="T2103" s="7"/>
      <c r="U2103" s="7"/>
      <c r="V2103" s="7"/>
      <c r="W2103" s="7"/>
      <c r="X2103" s="7"/>
      <c r="Y2103" s="7"/>
    </row>
    <row r="2104">
      <c r="A2104" s="14" t="s">
        <v>7685</v>
      </c>
      <c r="B2104" s="17" t="s">
        <v>7678</v>
      </c>
      <c r="C2104" s="17" t="s">
        <v>7686</v>
      </c>
      <c r="D2104" s="19" t="s">
        <v>3173</v>
      </c>
      <c r="E2104" s="20" t="s">
        <v>219</v>
      </c>
      <c r="F2104" s="27">
        <v>24087.0</v>
      </c>
      <c r="G2104" s="14">
        <f t="shared" si="1"/>
        <v>60</v>
      </c>
      <c r="H2104" s="23" t="s">
        <v>26</v>
      </c>
      <c r="I2104" s="24" t="s">
        <v>33</v>
      </c>
      <c r="J2104" s="19" t="s">
        <v>7681</v>
      </c>
      <c r="K2104" s="14">
        <v>30.0</v>
      </c>
      <c r="L2104" s="14">
        <v>0.0</v>
      </c>
      <c r="M2104" s="25"/>
      <c r="N2104" s="26" t="s">
        <v>21</v>
      </c>
      <c r="O2104" s="7"/>
      <c r="P2104" s="7"/>
      <c r="Q2104" s="7"/>
      <c r="R2104" s="7"/>
      <c r="S2104" s="7"/>
      <c r="T2104" s="7"/>
      <c r="U2104" s="7"/>
      <c r="V2104" s="7"/>
      <c r="W2104" s="7"/>
      <c r="X2104" s="7"/>
      <c r="Y2104" s="7"/>
    </row>
    <row r="2105">
      <c r="A2105" s="14" t="s">
        <v>7687</v>
      </c>
      <c r="B2105" s="17" t="s">
        <v>7689</v>
      </c>
      <c r="C2105" s="17" t="s">
        <v>7690</v>
      </c>
      <c r="D2105" s="19" t="s">
        <v>7691</v>
      </c>
      <c r="E2105" s="20" t="s">
        <v>104</v>
      </c>
      <c r="F2105" s="21">
        <v>37669.0</v>
      </c>
      <c r="G2105" s="14">
        <f t="shared" si="1"/>
        <v>23</v>
      </c>
      <c r="H2105" s="23" t="s">
        <v>100</v>
      </c>
      <c r="I2105" s="24" t="s">
        <v>27</v>
      </c>
      <c r="J2105" s="19" t="s">
        <v>7681</v>
      </c>
      <c r="K2105" s="14">
        <v>30.0</v>
      </c>
      <c r="L2105" s="14">
        <v>0.0</v>
      </c>
      <c r="M2105" s="25"/>
      <c r="N2105" s="26" t="s">
        <v>21</v>
      </c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</row>
    <row r="2106">
      <c r="A2106" s="14" t="s">
        <v>7692</v>
      </c>
      <c r="B2106" s="17" t="s">
        <v>7689</v>
      </c>
      <c r="C2106" s="17" t="s">
        <v>7693</v>
      </c>
      <c r="D2106" s="19" t="s">
        <v>7694</v>
      </c>
      <c r="E2106" s="20" t="s">
        <v>104</v>
      </c>
      <c r="F2106" s="27">
        <v>28411.0</v>
      </c>
      <c r="G2106" s="14">
        <f t="shared" si="1"/>
        <v>49</v>
      </c>
      <c r="H2106" s="23" t="s">
        <v>26</v>
      </c>
      <c r="I2106" s="24" t="s">
        <v>33</v>
      </c>
      <c r="J2106" s="19" t="s">
        <v>7681</v>
      </c>
      <c r="K2106" s="14">
        <v>30.0</v>
      </c>
      <c r="L2106" s="14">
        <v>0.0</v>
      </c>
      <c r="M2106" s="25"/>
      <c r="N2106" s="26" t="s">
        <v>21</v>
      </c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</row>
    <row r="2107">
      <c r="A2107" s="14" t="s">
        <v>7695</v>
      </c>
      <c r="B2107" s="17" t="s">
        <v>7689</v>
      </c>
      <c r="C2107" s="17" t="s">
        <v>7696</v>
      </c>
      <c r="D2107" s="19" t="s">
        <v>7697</v>
      </c>
      <c r="E2107" s="20" t="s">
        <v>104</v>
      </c>
      <c r="F2107" s="21">
        <v>30538.0</v>
      </c>
      <c r="G2107" s="14">
        <f t="shared" si="1"/>
        <v>43</v>
      </c>
      <c r="H2107" s="23" t="s">
        <v>26</v>
      </c>
      <c r="I2107" s="24" t="s">
        <v>27</v>
      </c>
      <c r="J2107" s="19" t="s">
        <v>7681</v>
      </c>
      <c r="K2107" s="14">
        <v>30.0</v>
      </c>
      <c r="L2107" s="14">
        <v>0.0</v>
      </c>
      <c r="M2107" s="25"/>
      <c r="N2107" s="26" t="s">
        <v>21</v>
      </c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</row>
    <row r="2108">
      <c r="A2108" s="14" t="s">
        <v>7698</v>
      </c>
      <c r="B2108" s="17" t="s">
        <v>7699</v>
      </c>
      <c r="C2108" s="17" t="s">
        <v>7700</v>
      </c>
      <c r="D2108" s="19" t="s">
        <v>7701</v>
      </c>
      <c r="E2108" s="20" t="s">
        <v>104</v>
      </c>
      <c r="F2108" s="21">
        <v>39165.0</v>
      </c>
      <c r="G2108" s="14">
        <f t="shared" si="1"/>
        <v>19</v>
      </c>
      <c r="H2108" s="23" t="s">
        <v>100</v>
      </c>
      <c r="I2108" s="24" t="s">
        <v>33</v>
      </c>
      <c r="J2108" s="19" t="s">
        <v>146</v>
      </c>
      <c r="K2108" s="14">
        <v>10.0</v>
      </c>
      <c r="L2108" s="14">
        <v>0.0</v>
      </c>
      <c r="M2108" s="25"/>
      <c r="N2108" s="26" t="s">
        <v>21</v>
      </c>
      <c r="O2108" s="7"/>
      <c r="P2108" s="7"/>
      <c r="Q2108" s="7"/>
      <c r="R2108" s="7"/>
      <c r="S2108" s="7"/>
      <c r="T2108" s="7"/>
      <c r="U2108" s="7"/>
      <c r="V2108" s="7"/>
      <c r="W2108" s="7"/>
      <c r="X2108" s="7"/>
      <c r="Y2108" s="7"/>
    </row>
    <row r="2109">
      <c r="A2109" s="14" t="s">
        <v>7702</v>
      </c>
      <c r="B2109" s="17" t="s">
        <v>7699</v>
      </c>
      <c r="C2109" s="17" t="s">
        <v>7703</v>
      </c>
      <c r="D2109" s="19" t="s">
        <v>7704</v>
      </c>
      <c r="E2109" s="20" t="s">
        <v>53</v>
      </c>
      <c r="F2109" s="21">
        <v>32905.0</v>
      </c>
      <c r="G2109" s="14">
        <f t="shared" si="1"/>
        <v>36</v>
      </c>
      <c r="H2109" s="23" t="s">
        <v>26</v>
      </c>
      <c r="I2109" s="24" t="s">
        <v>27</v>
      </c>
      <c r="J2109" s="19" t="s">
        <v>146</v>
      </c>
      <c r="K2109" s="14">
        <v>10.0</v>
      </c>
      <c r="L2109" s="14">
        <v>0.0</v>
      </c>
      <c r="M2109" s="25"/>
      <c r="N2109" s="26" t="s">
        <v>21</v>
      </c>
      <c r="O2109" s="7"/>
      <c r="P2109" s="7"/>
      <c r="Q2109" s="7"/>
      <c r="R2109" s="7"/>
      <c r="S2109" s="7"/>
      <c r="T2109" s="7"/>
      <c r="U2109" s="7"/>
      <c r="V2109" s="7"/>
      <c r="W2109" s="7"/>
      <c r="X2109" s="7"/>
      <c r="Y2109" s="7"/>
    </row>
    <row r="2110">
      <c r="A2110" s="14" t="s">
        <v>7705</v>
      </c>
      <c r="B2110" s="17" t="s">
        <v>7699</v>
      </c>
      <c r="C2110" s="17" t="s">
        <v>7706</v>
      </c>
      <c r="D2110" s="19" t="s">
        <v>7707</v>
      </c>
      <c r="E2110" s="20" t="s">
        <v>666</v>
      </c>
      <c r="F2110" s="21">
        <v>28677.0</v>
      </c>
      <c r="G2110" s="14">
        <f t="shared" si="1"/>
        <v>48</v>
      </c>
      <c r="H2110" s="23" t="s">
        <v>26</v>
      </c>
      <c r="I2110" s="24" t="s">
        <v>33</v>
      </c>
      <c r="J2110" s="19" t="s">
        <v>146</v>
      </c>
      <c r="K2110" s="14">
        <v>10.0</v>
      </c>
      <c r="L2110" s="14">
        <v>0.0</v>
      </c>
      <c r="M2110" s="25"/>
      <c r="N2110" s="26" t="s">
        <v>21</v>
      </c>
      <c r="O2110" s="7"/>
      <c r="P2110" s="7"/>
      <c r="Q2110" s="7"/>
      <c r="R2110" s="7"/>
      <c r="S2110" s="7"/>
      <c r="T2110" s="7"/>
      <c r="U2110" s="7"/>
      <c r="V2110" s="7"/>
      <c r="W2110" s="7"/>
      <c r="X2110" s="7"/>
      <c r="Y2110" s="7"/>
    </row>
    <row r="2111">
      <c r="A2111" s="14" t="s">
        <v>7708</v>
      </c>
      <c r="B2111" s="17" t="s">
        <v>7709</v>
      </c>
      <c r="C2111" s="17" t="s">
        <v>7710</v>
      </c>
      <c r="D2111" s="19" t="s">
        <v>7711</v>
      </c>
      <c r="E2111" s="20" t="s">
        <v>53</v>
      </c>
      <c r="F2111" s="21">
        <v>39322.0</v>
      </c>
      <c r="G2111" s="14">
        <f t="shared" si="1"/>
        <v>19</v>
      </c>
      <c r="H2111" s="23" t="s">
        <v>100</v>
      </c>
      <c r="I2111" s="24" t="s">
        <v>33</v>
      </c>
      <c r="J2111" s="19" t="s">
        <v>68</v>
      </c>
      <c r="K2111" s="14">
        <v>30.0</v>
      </c>
      <c r="L2111" s="14">
        <v>0.0</v>
      </c>
      <c r="M2111" s="25"/>
      <c r="N2111" s="26" t="s">
        <v>21</v>
      </c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</row>
    <row r="2112">
      <c r="A2112" s="14" t="s">
        <v>7712</v>
      </c>
      <c r="B2112" s="17" t="s">
        <v>7709</v>
      </c>
      <c r="C2112" s="17" t="s">
        <v>7713</v>
      </c>
      <c r="D2112" s="19" t="s">
        <v>7714</v>
      </c>
      <c r="E2112" s="20" t="s">
        <v>654</v>
      </c>
      <c r="F2112" s="21">
        <v>26481.0</v>
      </c>
      <c r="G2112" s="14">
        <f t="shared" si="1"/>
        <v>54</v>
      </c>
      <c r="H2112" s="23" t="s">
        <v>26</v>
      </c>
      <c r="I2112" s="24" t="s">
        <v>33</v>
      </c>
      <c r="J2112" s="19" t="s">
        <v>68</v>
      </c>
      <c r="K2112" s="14">
        <v>30.0</v>
      </c>
      <c r="L2112" s="14">
        <v>0.0</v>
      </c>
      <c r="M2112" s="25"/>
      <c r="N2112" s="26" t="s">
        <v>21</v>
      </c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</row>
    <row r="2113">
      <c r="A2113" s="14" t="s">
        <v>7715</v>
      </c>
      <c r="B2113" s="17" t="s">
        <v>7709</v>
      </c>
      <c r="C2113" s="17" t="s">
        <v>7716</v>
      </c>
      <c r="D2113" s="19" t="s">
        <v>5916</v>
      </c>
      <c r="E2113" s="20" t="s">
        <v>654</v>
      </c>
      <c r="F2113" s="21">
        <v>28145.0</v>
      </c>
      <c r="G2113" s="14">
        <f t="shared" si="1"/>
        <v>49</v>
      </c>
      <c r="H2113" s="23" t="s">
        <v>26</v>
      </c>
      <c r="I2113" s="24" t="s">
        <v>27</v>
      </c>
      <c r="J2113" s="19" t="s">
        <v>68</v>
      </c>
      <c r="K2113" s="14">
        <v>30.0</v>
      </c>
      <c r="L2113" s="14">
        <v>0.0</v>
      </c>
      <c r="M2113" s="25"/>
      <c r="N2113" s="26" t="s">
        <v>21</v>
      </c>
      <c r="O2113" s="7"/>
      <c r="P2113" s="7"/>
      <c r="Q2113" s="7"/>
      <c r="R2113" s="7"/>
      <c r="S2113" s="7"/>
      <c r="T2113" s="7"/>
      <c r="U2113" s="7"/>
      <c r="V2113" s="7"/>
      <c r="W2113" s="7"/>
      <c r="X2113" s="7"/>
      <c r="Y2113" s="7"/>
    </row>
    <row r="2114">
      <c r="A2114" s="14" t="s">
        <v>7717</v>
      </c>
      <c r="B2114" s="17" t="s">
        <v>7709</v>
      </c>
      <c r="C2114" s="17" t="s">
        <v>7718</v>
      </c>
      <c r="D2114" s="19" t="s">
        <v>7719</v>
      </c>
      <c r="E2114" s="20" t="s">
        <v>104</v>
      </c>
      <c r="F2114" s="21">
        <v>35740.0</v>
      </c>
      <c r="G2114" s="14">
        <f t="shared" si="1"/>
        <v>28</v>
      </c>
      <c r="H2114" s="23" t="s">
        <v>100</v>
      </c>
      <c r="I2114" s="24" t="s">
        <v>33</v>
      </c>
      <c r="J2114" s="19" t="s">
        <v>68</v>
      </c>
      <c r="K2114" s="14">
        <v>30.0</v>
      </c>
      <c r="L2114" s="14">
        <v>5.0</v>
      </c>
      <c r="M2114" s="28" t="s">
        <v>8533</v>
      </c>
      <c r="N2114" s="26" t="s">
        <v>21</v>
      </c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</row>
    <row r="2115">
      <c r="A2115" s="14" t="s">
        <v>7720</v>
      </c>
      <c r="B2115" s="17" t="s">
        <v>7721</v>
      </c>
      <c r="C2115" s="17" t="s">
        <v>7722</v>
      </c>
      <c r="D2115" s="19" t="s">
        <v>7723</v>
      </c>
      <c r="E2115" s="20" t="s">
        <v>7724</v>
      </c>
      <c r="F2115" s="21">
        <v>26115.0</v>
      </c>
      <c r="G2115" s="14">
        <f t="shared" si="1"/>
        <v>55</v>
      </c>
      <c r="H2115" s="23" t="s">
        <v>26</v>
      </c>
      <c r="I2115" s="24" t="s">
        <v>27</v>
      </c>
      <c r="J2115" s="19" t="s">
        <v>68</v>
      </c>
      <c r="K2115" s="14">
        <v>30.0</v>
      </c>
      <c r="L2115" s="14">
        <v>0.0</v>
      </c>
      <c r="M2115" s="25"/>
      <c r="N2115" s="26" t="s">
        <v>21</v>
      </c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</row>
    <row r="2116">
      <c r="A2116" s="14" t="s">
        <v>7725</v>
      </c>
      <c r="B2116" s="17" t="s">
        <v>7721</v>
      </c>
      <c r="C2116" s="17" t="s">
        <v>7726</v>
      </c>
      <c r="D2116" s="19" t="s">
        <v>6121</v>
      </c>
      <c r="E2116" s="20" t="s">
        <v>4705</v>
      </c>
      <c r="F2116" s="21">
        <v>25750.0</v>
      </c>
      <c r="G2116" s="14">
        <f t="shared" si="1"/>
        <v>56</v>
      </c>
      <c r="H2116" s="23" t="s">
        <v>26</v>
      </c>
      <c r="I2116" s="24" t="s">
        <v>33</v>
      </c>
      <c r="J2116" s="19" t="s">
        <v>68</v>
      </c>
      <c r="K2116" s="14">
        <v>30.0</v>
      </c>
      <c r="L2116" s="14">
        <v>0.0</v>
      </c>
      <c r="M2116" s="25"/>
      <c r="N2116" s="26" t="s">
        <v>21</v>
      </c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</row>
    <row r="2117">
      <c r="A2117" s="14" t="s">
        <v>7727</v>
      </c>
      <c r="B2117" s="17" t="s">
        <v>7728</v>
      </c>
      <c r="C2117" s="17" t="s">
        <v>7729</v>
      </c>
      <c r="D2117" s="19" t="s">
        <v>7730</v>
      </c>
      <c r="E2117" s="20" t="s">
        <v>666</v>
      </c>
      <c r="F2117" s="21">
        <v>23802.0</v>
      </c>
      <c r="G2117" s="14">
        <f t="shared" si="1"/>
        <v>61</v>
      </c>
      <c r="H2117" s="23" t="s">
        <v>26</v>
      </c>
      <c r="I2117" s="24" t="s">
        <v>33</v>
      </c>
      <c r="J2117" s="19" t="s">
        <v>95</v>
      </c>
      <c r="K2117" s="14">
        <v>11.0</v>
      </c>
      <c r="L2117" s="14">
        <v>0.0</v>
      </c>
      <c r="M2117" s="25"/>
      <c r="N2117" s="26" t="s">
        <v>21</v>
      </c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</row>
    <row r="2118">
      <c r="A2118" s="14" t="s">
        <v>7731</v>
      </c>
      <c r="B2118" s="17" t="s">
        <v>7728</v>
      </c>
      <c r="C2118" s="17" t="s">
        <v>7732</v>
      </c>
      <c r="D2118" s="19" t="s">
        <v>7733</v>
      </c>
      <c r="E2118" s="20" t="s">
        <v>53</v>
      </c>
      <c r="F2118" s="21">
        <v>36497.0</v>
      </c>
      <c r="G2118" s="14">
        <f t="shared" si="1"/>
        <v>26</v>
      </c>
      <c r="H2118" s="23" t="s">
        <v>100</v>
      </c>
      <c r="I2118" s="24" t="s">
        <v>33</v>
      </c>
      <c r="J2118" s="19" t="s">
        <v>95</v>
      </c>
      <c r="K2118" s="14">
        <v>11.0</v>
      </c>
      <c r="L2118" s="14">
        <v>0.0</v>
      </c>
      <c r="M2118" s="25"/>
      <c r="N2118" s="26" t="s">
        <v>21</v>
      </c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</row>
    <row r="2119">
      <c r="A2119" s="14" t="s">
        <v>7734</v>
      </c>
      <c r="B2119" s="17" t="s">
        <v>7728</v>
      </c>
      <c r="C2119" s="17" t="s">
        <v>7735</v>
      </c>
      <c r="D2119" s="19" t="s">
        <v>7736</v>
      </c>
      <c r="E2119" s="20" t="s">
        <v>187</v>
      </c>
      <c r="F2119" s="21">
        <v>27120.0</v>
      </c>
      <c r="G2119" s="14">
        <f t="shared" si="1"/>
        <v>52</v>
      </c>
      <c r="H2119" s="23" t="s">
        <v>26</v>
      </c>
      <c r="I2119" s="24" t="s">
        <v>27</v>
      </c>
      <c r="J2119" s="19" t="s">
        <v>95</v>
      </c>
      <c r="K2119" s="14">
        <v>11.0</v>
      </c>
      <c r="L2119" s="14">
        <v>0.0</v>
      </c>
      <c r="M2119" s="25"/>
      <c r="N2119" s="26" t="s">
        <v>21</v>
      </c>
      <c r="O2119" s="7"/>
      <c r="P2119" s="7"/>
      <c r="Q2119" s="7"/>
      <c r="R2119" s="7"/>
      <c r="S2119" s="7"/>
      <c r="T2119" s="7"/>
      <c r="U2119" s="7"/>
      <c r="V2119" s="7"/>
      <c r="W2119" s="7"/>
      <c r="X2119" s="7"/>
      <c r="Y2119" s="7"/>
    </row>
    <row r="2120">
      <c r="A2120" s="14" t="s">
        <v>7737</v>
      </c>
      <c r="B2120" s="17" t="s">
        <v>7738</v>
      </c>
      <c r="C2120" s="17" t="s">
        <v>7739</v>
      </c>
      <c r="D2120" s="19" t="s">
        <v>7740</v>
      </c>
      <c r="E2120" s="20" t="s">
        <v>104</v>
      </c>
      <c r="F2120" s="27">
        <v>36845.0</v>
      </c>
      <c r="G2120" s="14">
        <f t="shared" si="1"/>
        <v>25</v>
      </c>
      <c r="H2120" s="23" t="s">
        <v>100</v>
      </c>
      <c r="I2120" s="24" t="s">
        <v>33</v>
      </c>
      <c r="J2120" s="19" t="s">
        <v>53</v>
      </c>
      <c r="K2120" s="14">
        <v>14.0</v>
      </c>
      <c r="L2120" s="14">
        <v>0.0</v>
      </c>
      <c r="M2120" s="25"/>
      <c r="N2120" s="26" t="s">
        <v>21</v>
      </c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</row>
    <row r="2121">
      <c r="A2121" s="14" t="s">
        <v>7741</v>
      </c>
      <c r="B2121" s="17" t="s">
        <v>7742</v>
      </c>
      <c r="C2121" s="17" t="s">
        <v>7743</v>
      </c>
      <c r="D2121" s="19" t="s">
        <v>4911</v>
      </c>
      <c r="E2121" s="20" t="s">
        <v>104</v>
      </c>
      <c r="F2121" s="21">
        <v>31472.0</v>
      </c>
      <c r="G2121" s="14">
        <f t="shared" si="1"/>
        <v>40</v>
      </c>
      <c r="H2121" s="23" t="s">
        <v>26</v>
      </c>
      <c r="I2121" s="24" t="s">
        <v>33</v>
      </c>
      <c r="J2121" s="19" t="s">
        <v>95</v>
      </c>
      <c r="K2121" s="14">
        <v>11.0</v>
      </c>
      <c r="L2121" s="14">
        <v>0.0</v>
      </c>
      <c r="M2121" s="25"/>
      <c r="N2121" s="26" t="s">
        <v>21</v>
      </c>
      <c r="O2121" s="7"/>
      <c r="P2121" s="7"/>
      <c r="Q2121" s="7"/>
      <c r="R2121" s="7"/>
      <c r="S2121" s="7"/>
      <c r="T2121" s="7"/>
      <c r="U2121" s="7"/>
      <c r="V2121" s="7"/>
      <c r="W2121" s="7"/>
      <c r="X2121" s="7"/>
      <c r="Y2121" s="7"/>
    </row>
    <row r="2122">
      <c r="A2122" s="14" t="s">
        <v>7744</v>
      </c>
      <c r="B2122" s="17" t="s">
        <v>7742</v>
      </c>
      <c r="C2122" s="17" t="s">
        <v>7745</v>
      </c>
      <c r="D2122" s="19" t="s">
        <v>2456</v>
      </c>
      <c r="E2122" s="20" t="s">
        <v>104</v>
      </c>
      <c r="F2122" s="21">
        <v>32151.0</v>
      </c>
      <c r="G2122" s="14">
        <f t="shared" si="1"/>
        <v>38</v>
      </c>
      <c r="H2122" s="23" t="s">
        <v>26</v>
      </c>
      <c r="I2122" s="24" t="s">
        <v>27</v>
      </c>
      <c r="J2122" s="19" t="s">
        <v>95</v>
      </c>
      <c r="K2122" s="14">
        <v>11.0</v>
      </c>
      <c r="L2122" s="14">
        <v>0.0</v>
      </c>
      <c r="M2122" s="25"/>
      <c r="N2122" s="26" t="s">
        <v>21</v>
      </c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</row>
    <row r="2123">
      <c r="A2123" s="14" t="s">
        <v>7746</v>
      </c>
      <c r="B2123" s="17" t="s">
        <v>7747</v>
      </c>
      <c r="C2123" s="17" t="s">
        <v>7748</v>
      </c>
      <c r="D2123" s="19" t="s">
        <v>7749</v>
      </c>
      <c r="E2123" s="20" t="s">
        <v>7517</v>
      </c>
      <c r="F2123" s="21">
        <v>27190.0</v>
      </c>
      <c r="G2123" s="14">
        <f t="shared" si="1"/>
        <v>52</v>
      </c>
      <c r="H2123" s="23" t="s">
        <v>26</v>
      </c>
      <c r="I2123" s="24" t="s">
        <v>33</v>
      </c>
      <c r="J2123" s="19" t="s">
        <v>7750</v>
      </c>
      <c r="K2123" s="14">
        <v>3.0</v>
      </c>
      <c r="L2123" s="14">
        <v>0.0</v>
      </c>
      <c r="M2123" s="25"/>
      <c r="N2123" s="26" t="s">
        <v>21</v>
      </c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</row>
    <row r="2124">
      <c r="A2124" s="14" t="s">
        <v>7751</v>
      </c>
      <c r="B2124" s="17" t="s">
        <v>7747</v>
      </c>
      <c r="C2124" s="17" t="s">
        <v>7752</v>
      </c>
      <c r="D2124" s="19" t="s">
        <v>1048</v>
      </c>
      <c r="E2124" s="20" t="s">
        <v>7753</v>
      </c>
      <c r="F2124" s="21">
        <v>27528.0</v>
      </c>
      <c r="G2124" s="14">
        <f t="shared" si="1"/>
        <v>51</v>
      </c>
      <c r="H2124" s="23" t="s">
        <v>26</v>
      </c>
      <c r="I2124" s="24" t="s">
        <v>27</v>
      </c>
      <c r="J2124" s="19" t="s">
        <v>7750</v>
      </c>
      <c r="K2124" s="14">
        <v>3.0</v>
      </c>
      <c r="L2124" s="14">
        <v>0.0</v>
      </c>
      <c r="M2124" s="25"/>
      <c r="N2124" s="26" t="s">
        <v>21</v>
      </c>
      <c r="O2124" s="7"/>
      <c r="P2124" s="7"/>
      <c r="Q2124" s="7"/>
      <c r="R2124" s="7"/>
      <c r="S2124" s="7"/>
      <c r="T2124" s="7"/>
      <c r="U2124" s="7"/>
      <c r="V2124" s="7"/>
      <c r="W2124" s="7"/>
      <c r="X2124" s="7"/>
      <c r="Y2124" s="7"/>
    </row>
    <row r="2125">
      <c r="A2125" s="14" t="s">
        <v>7754</v>
      </c>
      <c r="B2125" s="17" t="s">
        <v>7755</v>
      </c>
      <c r="C2125" s="17" t="s">
        <v>7756</v>
      </c>
      <c r="D2125" s="19" t="s">
        <v>7757</v>
      </c>
      <c r="E2125" s="20" t="s">
        <v>7758</v>
      </c>
      <c r="F2125" s="21">
        <v>33360.0</v>
      </c>
      <c r="G2125" s="14">
        <f t="shared" si="1"/>
        <v>35</v>
      </c>
      <c r="H2125" s="23" t="s">
        <v>26</v>
      </c>
      <c r="I2125" s="24" t="s">
        <v>27</v>
      </c>
      <c r="J2125" s="19" t="s">
        <v>156</v>
      </c>
      <c r="K2125" s="14">
        <v>28.0</v>
      </c>
      <c r="L2125" s="14">
        <v>0.0</v>
      </c>
      <c r="M2125" s="25"/>
      <c r="N2125" s="26" t="s">
        <v>21</v>
      </c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</row>
    <row r="2126">
      <c r="A2126" s="14" t="s">
        <v>7759</v>
      </c>
      <c r="B2126" s="17" t="s">
        <v>7755</v>
      </c>
      <c r="C2126" s="17" t="s">
        <v>7760</v>
      </c>
      <c r="D2126" s="19" t="s">
        <v>7761</v>
      </c>
      <c r="E2126" s="20" t="s">
        <v>7758</v>
      </c>
      <c r="F2126" s="27">
        <v>29214.0</v>
      </c>
      <c r="G2126" s="14">
        <f t="shared" si="1"/>
        <v>46</v>
      </c>
      <c r="H2126" s="23" t="s">
        <v>26</v>
      </c>
      <c r="I2126" s="24" t="s">
        <v>33</v>
      </c>
      <c r="J2126" s="19" t="s">
        <v>156</v>
      </c>
      <c r="K2126" s="14">
        <v>28.0</v>
      </c>
      <c r="L2126" s="14">
        <v>0.0</v>
      </c>
      <c r="M2126" s="25"/>
      <c r="N2126" s="26" t="s">
        <v>21</v>
      </c>
      <c r="O2126" s="7"/>
      <c r="P2126" s="7"/>
      <c r="Q2126" s="7"/>
      <c r="R2126" s="7"/>
      <c r="S2126" s="7"/>
      <c r="T2126" s="7"/>
      <c r="U2126" s="7"/>
      <c r="V2126" s="7"/>
      <c r="W2126" s="7"/>
      <c r="X2126" s="7"/>
      <c r="Y2126" s="7"/>
    </row>
    <row r="2127">
      <c r="A2127" s="14" t="s">
        <v>7762</v>
      </c>
      <c r="B2127" s="17" t="s">
        <v>7763</v>
      </c>
      <c r="C2127" s="17" t="s">
        <v>7764</v>
      </c>
      <c r="D2127" s="19" t="s">
        <v>5493</v>
      </c>
      <c r="E2127" s="20" t="s">
        <v>1370</v>
      </c>
      <c r="F2127" s="21">
        <v>15282.0</v>
      </c>
      <c r="G2127" s="14">
        <f t="shared" si="1"/>
        <v>84</v>
      </c>
      <c r="H2127" s="23" t="s">
        <v>27</v>
      </c>
      <c r="I2127" s="24" t="s">
        <v>27</v>
      </c>
      <c r="J2127" s="19" t="s">
        <v>282</v>
      </c>
      <c r="K2127" s="14">
        <v>11.0</v>
      </c>
      <c r="L2127" s="14">
        <v>0.0</v>
      </c>
      <c r="M2127" s="25"/>
      <c r="N2127" s="26" t="s">
        <v>21</v>
      </c>
      <c r="O2127" s="7"/>
      <c r="P2127" s="7"/>
      <c r="Q2127" s="7"/>
      <c r="R2127" s="7"/>
      <c r="S2127" s="7"/>
      <c r="T2127" s="7"/>
      <c r="U2127" s="7"/>
      <c r="V2127" s="7"/>
      <c r="W2127" s="7"/>
      <c r="X2127" s="7"/>
      <c r="Y2127" s="7"/>
    </row>
    <row r="2128">
      <c r="A2128" s="14" t="s">
        <v>7765</v>
      </c>
      <c r="B2128" s="17" t="s">
        <v>7766</v>
      </c>
      <c r="C2128" s="17" t="s">
        <v>7767</v>
      </c>
      <c r="D2128" s="19" t="s">
        <v>7768</v>
      </c>
      <c r="E2128" s="20" t="s">
        <v>7769</v>
      </c>
      <c r="F2128" s="21">
        <v>19998.0</v>
      </c>
      <c r="G2128" s="14">
        <f t="shared" si="1"/>
        <v>72</v>
      </c>
      <c r="H2128" s="23" t="s">
        <v>26</v>
      </c>
      <c r="I2128" s="24" t="s">
        <v>33</v>
      </c>
      <c r="J2128" s="19" t="s">
        <v>53</v>
      </c>
      <c r="K2128" s="14">
        <v>24.0</v>
      </c>
      <c r="L2128" s="14">
        <v>0.0</v>
      </c>
      <c r="M2128" s="25"/>
      <c r="N2128" s="26" t="s">
        <v>21</v>
      </c>
      <c r="O2128" s="7"/>
      <c r="P2128" s="7"/>
      <c r="Q2128" s="7"/>
      <c r="R2128" s="7"/>
      <c r="S2128" s="7"/>
      <c r="T2128" s="7"/>
      <c r="U2128" s="7"/>
      <c r="V2128" s="7"/>
      <c r="W2128" s="7"/>
      <c r="X2128" s="7"/>
      <c r="Y2128" s="7"/>
    </row>
    <row r="2129">
      <c r="A2129" s="14" t="s">
        <v>7770</v>
      </c>
      <c r="B2129" s="17" t="s">
        <v>7766</v>
      </c>
      <c r="C2129" s="17" t="s">
        <v>7771</v>
      </c>
      <c r="D2129" s="19" t="s">
        <v>7772</v>
      </c>
      <c r="E2129" s="20" t="s">
        <v>7773</v>
      </c>
      <c r="F2129" s="27">
        <v>21473.0</v>
      </c>
      <c r="G2129" s="14">
        <f t="shared" si="1"/>
        <v>68</v>
      </c>
      <c r="H2129" s="23" t="s">
        <v>26</v>
      </c>
      <c r="I2129" s="24" t="s">
        <v>27</v>
      </c>
      <c r="J2129" s="19" t="s">
        <v>53</v>
      </c>
      <c r="K2129" s="14">
        <v>24.0</v>
      </c>
      <c r="L2129" s="14">
        <v>0.0</v>
      </c>
      <c r="M2129" s="25"/>
      <c r="N2129" s="26" t="s">
        <v>21</v>
      </c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</row>
    <row r="2130">
      <c r="A2130" s="14" t="s">
        <v>7774</v>
      </c>
      <c r="B2130" s="17" t="s">
        <v>7775</v>
      </c>
      <c r="C2130" s="17" t="s">
        <v>7776</v>
      </c>
      <c r="D2130" s="19" t="s">
        <v>7777</v>
      </c>
      <c r="E2130" s="20" t="s">
        <v>1058</v>
      </c>
      <c r="F2130" s="21">
        <v>16569.0</v>
      </c>
      <c r="G2130" s="14">
        <f t="shared" si="1"/>
        <v>81</v>
      </c>
      <c r="H2130" s="23" t="s">
        <v>27</v>
      </c>
      <c r="I2130" s="24" t="s">
        <v>27</v>
      </c>
      <c r="J2130" s="19" t="s">
        <v>39</v>
      </c>
      <c r="K2130" s="14">
        <v>14.0</v>
      </c>
      <c r="L2130" s="14">
        <v>1.0</v>
      </c>
      <c r="M2130" s="25"/>
      <c r="N2130" s="26" t="s">
        <v>21</v>
      </c>
      <c r="O2130" s="7"/>
      <c r="P2130" s="7"/>
      <c r="Q2130" s="7"/>
      <c r="R2130" s="7"/>
      <c r="S2130" s="7"/>
      <c r="T2130" s="7"/>
      <c r="U2130" s="7"/>
      <c r="V2130" s="7"/>
      <c r="W2130" s="7"/>
      <c r="X2130" s="7"/>
      <c r="Y2130" s="7"/>
    </row>
    <row r="2131">
      <c r="A2131" s="14" t="s">
        <v>7778</v>
      </c>
      <c r="B2131" s="17" t="s">
        <v>7779</v>
      </c>
      <c r="C2131" s="17" t="s">
        <v>7780</v>
      </c>
      <c r="D2131" s="19" t="s">
        <v>7781</v>
      </c>
      <c r="E2131" s="20" t="s">
        <v>654</v>
      </c>
      <c r="F2131" s="21">
        <v>16567.0</v>
      </c>
      <c r="G2131" s="14">
        <f t="shared" si="1"/>
        <v>81</v>
      </c>
      <c r="H2131" s="23" t="s">
        <v>27</v>
      </c>
      <c r="I2131" s="24" t="s">
        <v>27</v>
      </c>
      <c r="J2131" s="19" t="s">
        <v>58</v>
      </c>
      <c r="K2131" s="14">
        <v>36.0</v>
      </c>
      <c r="L2131" s="14">
        <v>0.0</v>
      </c>
      <c r="M2131" s="25"/>
      <c r="N2131" s="26" t="s">
        <v>21</v>
      </c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</row>
    <row r="2132">
      <c r="A2132" s="14" t="s">
        <v>7782</v>
      </c>
      <c r="B2132" s="17" t="s">
        <v>7783</v>
      </c>
      <c r="C2132" s="17" t="s">
        <v>7784</v>
      </c>
      <c r="D2132" s="19" t="s">
        <v>7785</v>
      </c>
      <c r="E2132" s="20" t="s">
        <v>138</v>
      </c>
      <c r="F2132" s="21">
        <v>28709.0</v>
      </c>
      <c r="G2132" s="14">
        <f t="shared" si="1"/>
        <v>48</v>
      </c>
      <c r="H2132" s="23" t="s">
        <v>100</v>
      </c>
      <c r="I2132" s="24" t="s">
        <v>33</v>
      </c>
      <c r="J2132" s="19" t="s">
        <v>7786</v>
      </c>
      <c r="K2132" s="14">
        <v>16.0</v>
      </c>
      <c r="L2132" s="14">
        <v>0.0</v>
      </c>
      <c r="M2132" s="25"/>
      <c r="N2132" s="26" t="s">
        <v>21</v>
      </c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</row>
    <row r="2133">
      <c r="A2133" s="14" t="s">
        <v>7787</v>
      </c>
      <c r="B2133" s="17" t="s">
        <v>7783</v>
      </c>
      <c r="C2133" s="17" t="s">
        <v>7788</v>
      </c>
      <c r="D2133" s="19" t="s">
        <v>7789</v>
      </c>
      <c r="E2133" s="20" t="s">
        <v>1058</v>
      </c>
      <c r="F2133" s="21">
        <v>22040.0</v>
      </c>
      <c r="G2133" s="14">
        <f t="shared" si="1"/>
        <v>66</v>
      </c>
      <c r="H2133" s="23" t="s">
        <v>27</v>
      </c>
      <c r="I2133" s="24" t="s">
        <v>27</v>
      </c>
      <c r="J2133" s="19" t="s">
        <v>7786</v>
      </c>
      <c r="K2133" s="14">
        <v>16.0</v>
      </c>
      <c r="L2133" s="14">
        <v>0.0</v>
      </c>
      <c r="M2133" s="25"/>
      <c r="N2133" s="26" t="s">
        <v>21</v>
      </c>
      <c r="O2133" s="7"/>
      <c r="P2133" s="7"/>
      <c r="Q2133" s="7"/>
      <c r="R2133" s="7"/>
      <c r="S2133" s="7"/>
      <c r="T2133" s="7"/>
      <c r="U2133" s="7"/>
      <c r="V2133" s="7"/>
      <c r="W2133" s="7"/>
      <c r="X2133" s="7"/>
      <c r="Y2133" s="7"/>
    </row>
    <row r="2134">
      <c r="A2134" s="14" t="s">
        <v>7790</v>
      </c>
      <c r="B2134" s="17" t="s">
        <v>7791</v>
      </c>
      <c r="C2134" s="17" t="s">
        <v>7792</v>
      </c>
      <c r="D2134" s="19" t="s">
        <v>7793</v>
      </c>
      <c r="E2134" s="20" t="s">
        <v>104</v>
      </c>
      <c r="F2134" s="21">
        <v>32821.0</v>
      </c>
      <c r="G2134" s="14">
        <f t="shared" si="1"/>
        <v>36</v>
      </c>
      <c r="H2134" s="23" t="s">
        <v>26</v>
      </c>
      <c r="I2134" s="24" t="s">
        <v>33</v>
      </c>
      <c r="J2134" s="19" t="s">
        <v>7786</v>
      </c>
      <c r="K2134" s="14">
        <v>16.0</v>
      </c>
      <c r="L2134" s="14">
        <v>0.0</v>
      </c>
      <c r="M2134" s="25"/>
      <c r="N2134" s="26" t="s">
        <v>21</v>
      </c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</row>
    <row r="2135">
      <c r="A2135" s="14" t="s">
        <v>7794</v>
      </c>
      <c r="B2135" s="17" t="s">
        <v>7791</v>
      </c>
      <c r="C2135" s="17" t="s">
        <v>7795</v>
      </c>
      <c r="D2135" s="19" t="s">
        <v>7796</v>
      </c>
      <c r="E2135" s="20" t="s">
        <v>1095</v>
      </c>
      <c r="F2135" s="21">
        <v>34021.0</v>
      </c>
      <c r="G2135" s="14">
        <f t="shared" si="1"/>
        <v>33</v>
      </c>
      <c r="H2135" s="23" t="s">
        <v>26</v>
      </c>
      <c r="I2135" s="24" t="s">
        <v>27</v>
      </c>
      <c r="J2135" s="19" t="s">
        <v>7786</v>
      </c>
      <c r="K2135" s="14">
        <v>16.0</v>
      </c>
      <c r="L2135" s="14">
        <v>0.0</v>
      </c>
      <c r="M2135" s="25"/>
      <c r="N2135" s="26" t="s">
        <v>21</v>
      </c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</row>
    <row r="2136">
      <c r="A2136" s="14" t="s">
        <v>7797</v>
      </c>
      <c r="B2136" s="17" t="s">
        <v>7798</v>
      </c>
      <c r="C2136" s="17" t="s">
        <v>7799</v>
      </c>
      <c r="D2136" s="19" t="s">
        <v>7800</v>
      </c>
      <c r="E2136" s="20" t="s">
        <v>7801</v>
      </c>
      <c r="F2136" s="21">
        <v>35593.0</v>
      </c>
      <c r="G2136" s="14">
        <f t="shared" si="1"/>
        <v>29</v>
      </c>
      <c r="H2136" s="23" t="s">
        <v>26</v>
      </c>
      <c r="I2136" s="24" t="s">
        <v>27</v>
      </c>
      <c r="J2136" s="19" t="s">
        <v>4079</v>
      </c>
      <c r="K2136" s="14">
        <v>22.0</v>
      </c>
      <c r="L2136" s="14">
        <v>0.0</v>
      </c>
      <c r="M2136" s="25"/>
      <c r="N2136" s="26" t="s">
        <v>21</v>
      </c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</row>
    <row r="2137">
      <c r="A2137" s="14" t="s">
        <v>7802</v>
      </c>
      <c r="B2137" s="17" t="s">
        <v>7798</v>
      </c>
      <c r="C2137" s="17" t="s">
        <v>7803</v>
      </c>
      <c r="D2137" s="19" t="s">
        <v>7804</v>
      </c>
      <c r="E2137" s="20" t="s">
        <v>53</v>
      </c>
      <c r="F2137" s="21">
        <v>36202.0</v>
      </c>
      <c r="G2137" s="14">
        <f t="shared" si="1"/>
        <v>27</v>
      </c>
      <c r="H2137" s="23" t="s">
        <v>26</v>
      </c>
      <c r="I2137" s="24" t="s">
        <v>33</v>
      </c>
      <c r="J2137" s="19" t="s">
        <v>4079</v>
      </c>
      <c r="K2137" s="14">
        <v>22.0</v>
      </c>
      <c r="L2137" s="14">
        <v>0.0</v>
      </c>
      <c r="M2137" s="25"/>
      <c r="N2137" s="26" t="s">
        <v>21</v>
      </c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</row>
    <row r="2138">
      <c r="A2138" s="14" t="s">
        <v>7805</v>
      </c>
      <c r="B2138" s="17" t="s">
        <v>7806</v>
      </c>
      <c r="C2138" s="17" t="s">
        <v>7807</v>
      </c>
      <c r="D2138" s="19" t="s">
        <v>7808</v>
      </c>
      <c r="E2138" s="20" t="s">
        <v>210</v>
      </c>
      <c r="F2138" s="21">
        <v>31935.0</v>
      </c>
      <c r="G2138" s="14">
        <f t="shared" si="1"/>
        <v>39</v>
      </c>
      <c r="H2138" s="23" t="s">
        <v>26</v>
      </c>
      <c r="I2138" s="24" t="s">
        <v>27</v>
      </c>
      <c r="J2138" s="19" t="s">
        <v>206</v>
      </c>
      <c r="K2138" s="14">
        <v>2.0</v>
      </c>
      <c r="L2138" s="14">
        <v>0.0</v>
      </c>
      <c r="M2138" s="25"/>
      <c r="N2138" s="26" t="s">
        <v>21</v>
      </c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</row>
    <row r="2139">
      <c r="A2139" s="14" t="s">
        <v>7809</v>
      </c>
      <c r="B2139" s="17" t="s">
        <v>7806</v>
      </c>
      <c r="C2139" s="17" t="s">
        <v>7810</v>
      </c>
      <c r="D2139" s="19" t="s">
        <v>7811</v>
      </c>
      <c r="E2139" s="20" t="s">
        <v>138</v>
      </c>
      <c r="F2139" s="21">
        <v>39320.0</v>
      </c>
      <c r="G2139" s="14">
        <f t="shared" si="1"/>
        <v>19</v>
      </c>
      <c r="H2139" s="23" t="s">
        <v>100</v>
      </c>
      <c r="I2139" s="24" t="s">
        <v>33</v>
      </c>
      <c r="J2139" s="19" t="s">
        <v>206</v>
      </c>
      <c r="K2139" s="14">
        <v>2.0</v>
      </c>
      <c r="L2139" s="14">
        <v>0.0</v>
      </c>
      <c r="M2139" s="25"/>
      <c r="N2139" s="26" t="s">
        <v>21</v>
      </c>
      <c r="O2139" s="7"/>
      <c r="P2139" s="7"/>
      <c r="Q2139" s="7"/>
      <c r="R2139" s="7"/>
      <c r="S2139" s="7"/>
      <c r="T2139" s="7"/>
      <c r="U2139" s="7"/>
      <c r="V2139" s="7"/>
      <c r="W2139" s="7"/>
      <c r="X2139" s="7"/>
      <c r="Y2139" s="7"/>
    </row>
    <row r="2140">
      <c r="A2140" s="14" t="s">
        <v>7812</v>
      </c>
      <c r="B2140" s="17" t="s">
        <v>7806</v>
      </c>
      <c r="C2140" s="17" t="s">
        <v>7813</v>
      </c>
      <c r="D2140" s="19" t="s">
        <v>7814</v>
      </c>
      <c r="E2140" s="20" t="s">
        <v>7815</v>
      </c>
      <c r="F2140" s="21">
        <v>28677.0</v>
      </c>
      <c r="G2140" s="14">
        <f t="shared" si="1"/>
        <v>48</v>
      </c>
      <c r="H2140" s="23" t="s">
        <v>26</v>
      </c>
      <c r="I2140" s="24" t="s">
        <v>33</v>
      </c>
      <c r="J2140" s="19" t="s">
        <v>206</v>
      </c>
      <c r="K2140" s="14">
        <v>2.0</v>
      </c>
      <c r="L2140" s="14">
        <v>0.0</v>
      </c>
      <c r="M2140" s="25"/>
      <c r="N2140" s="26" t="s">
        <v>21</v>
      </c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</row>
    <row r="2141">
      <c r="A2141" s="14" t="s">
        <v>7816</v>
      </c>
      <c r="B2141" s="17" t="s">
        <v>7806</v>
      </c>
      <c r="C2141" s="17" t="s">
        <v>7817</v>
      </c>
      <c r="D2141" s="19" t="s">
        <v>7818</v>
      </c>
      <c r="E2141" s="20" t="s">
        <v>210</v>
      </c>
      <c r="F2141" s="27">
        <v>24061.0</v>
      </c>
      <c r="G2141" s="14">
        <f t="shared" si="1"/>
        <v>60</v>
      </c>
      <c r="H2141" s="23" t="s">
        <v>100</v>
      </c>
      <c r="I2141" s="24" t="s">
        <v>27</v>
      </c>
      <c r="J2141" s="19" t="s">
        <v>206</v>
      </c>
      <c r="K2141" s="14">
        <v>2.0</v>
      </c>
      <c r="L2141" s="14">
        <v>0.0</v>
      </c>
      <c r="M2141" s="25"/>
      <c r="N2141" s="26" t="s">
        <v>21</v>
      </c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7"/>
    </row>
    <row r="2142">
      <c r="A2142" s="14" t="s">
        <v>7819</v>
      </c>
      <c r="B2142" s="17" t="s">
        <v>7820</v>
      </c>
      <c r="C2142" s="17" t="s">
        <v>7821</v>
      </c>
      <c r="D2142" s="19" t="s">
        <v>7822</v>
      </c>
      <c r="E2142" s="20" t="s">
        <v>7182</v>
      </c>
      <c r="F2142" s="21">
        <v>32363.0</v>
      </c>
      <c r="G2142" s="14">
        <f t="shared" si="1"/>
        <v>38</v>
      </c>
      <c r="H2142" s="23" t="s">
        <v>26</v>
      </c>
      <c r="I2142" s="24" t="s">
        <v>33</v>
      </c>
      <c r="J2142" s="19" t="s">
        <v>206</v>
      </c>
      <c r="K2142" s="14">
        <v>1.0</v>
      </c>
      <c r="L2142" s="14">
        <v>0.0</v>
      </c>
      <c r="M2142" s="25"/>
      <c r="N2142" s="26" t="s">
        <v>21</v>
      </c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</row>
    <row r="2143">
      <c r="A2143" s="14" t="s">
        <v>7823</v>
      </c>
      <c r="B2143" s="17" t="s">
        <v>7820</v>
      </c>
      <c r="C2143" s="17" t="s">
        <v>7824</v>
      </c>
      <c r="D2143" s="19" t="s">
        <v>7825</v>
      </c>
      <c r="E2143" s="20" t="s">
        <v>434</v>
      </c>
      <c r="F2143" s="21">
        <v>32966.0</v>
      </c>
      <c r="G2143" s="14">
        <f t="shared" si="1"/>
        <v>36</v>
      </c>
      <c r="H2143" s="23" t="s">
        <v>26</v>
      </c>
      <c r="I2143" s="24" t="s">
        <v>27</v>
      </c>
      <c r="J2143" s="19" t="s">
        <v>206</v>
      </c>
      <c r="K2143" s="14">
        <v>1.0</v>
      </c>
      <c r="L2143" s="14">
        <v>0.0</v>
      </c>
      <c r="M2143" s="25"/>
      <c r="N2143" s="26" t="s">
        <v>21</v>
      </c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7"/>
    </row>
    <row r="2144">
      <c r="A2144" s="14" t="s">
        <v>7826</v>
      </c>
      <c r="B2144" s="17" t="s">
        <v>7827</v>
      </c>
      <c r="C2144" s="17" t="s">
        <v>7828</v>
      </c>
      <c r="D2144" s="19" t="s">
        <v>7829</v>
      </c>
      <c r="E2144" s="20" t="s">
        <v>104</v>
      </c>
      <c r="F2144" s="21">
        <v>35404.0</v>
      </c>
      <c r="G2144" s="14">
        <f t="shared" si="1"/>
        <v>29</v>
      </c>
      <c r="H2144" s="23" t="s">
        <v>26</v>
      </c>
      <c r="I2144" s="24" t="s">
        <v>27</v>
      </c>
      <c r="J2144" s="19" t="s">
        <v>146</v>
      </c>
      <c r="K2144" s="14">
        <v>8.0</v>
      </c>
      <c r="L2144" s="14">
        <v>0.0</v>
      </c>
      <c r="M2144" s="25"/>
      <c r="N2144" s="26" t="s">
        <v>21</v>
      </c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</row>
    <row r="2145">
      <c r="A2145" s="14" t="s">
        <v>7830</v>
      </c>
      <c r="B2145" s="17" t="s">
        <v>7827</v>
      </c>
      <c r="C2145" s="17" t="s">
        <v>7831</v>
      </c>
      <c r="D2145" s="19" t="s">
        <v>7832</v>
      </c>
      <c r="E2145" s="20" t="s">
        <v>1622</v>
      </c>
      <c r="F2145" s="21">
        <v>33793.0</v>
      </c>
      <c r="G2145" s="14">
        <f t="shared" si="1"/>
        <v>34</v>
      </c>
      <c r="H2145" s="23" t="s">
        <v>26</v>
      </c>
      <c r="I2145" s="24" t="s">
        <v>33</v>
      </c>
      <c r="J2145" s="19" t="s">
        <v>146</v>
      </c>
      <c r="K2145" s="14">
        <v>8.0</v>
      </c>
      <c r="L2145" s="14">
        <v>0.0</v>
      </c>
      <c r="M2145" s="25"/>
      <c r="N2145" s="26" t="s">
        <v>21</v>
      </c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</row>
    <row r="2146">
      <c r="A2146" s="14" t="s">
        <v>7833</v>
      </c>
      <c r="B2146" s="17" t="s">
        <v>7834</v>
      </c>
      <c r="C2146" s="17" t="s">
        <v>7835</v>
      </c>
      <c r="D2146" s="19" t="s">
        <v>7836</v>
      </c>
      <c r="E2146" s="20" t="s">
        <v>337</v>
      </c>
      <c r="F2146" s="21">
        <v>38624.0</v>
      </c>
      <c r="G2146" s="14">
        <f t="shared" si="1"/>
        <v>21</v>
      </c>
      <c r="H2146" s="23" t="s">
        <v>100</v>
      </c>
      <c r="I2146" s="24" t="s">
        <v>33</v>
      </c>
      <c r="J2146" s="19" t="s">
        <v>39</v>
      </c>
      <c r="K2146" s="14">
        <v>11.0</v>
      </c>
      <c r="L2146" s="14">
        <v>0.0</v>
      </c>
      <c r="M2146" s="25"/>
      <c r="N2146" s="26" t="s">
        <v>21</v>
      </c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7"/>
    </row>
    <row r="2147">
      <c r="A2147" s="14" t="s">
        <v>7837</v>
      </c>
      <c r="B2147" s="17" t="s">
        <v>7834</v>
      </c>
      <c r="C2147" s="17" t="s">
        <v>7838</v>
      </c>
      <c r="D2147" s="19" t="s">
        <v>5638</v>
      </c>
      <c r="E2147" s="20" t="s">
        <v>4958</v>
      </c>
      <c r="F2147" s="21">
        <v>28985.0</v>
      </c>
      <c r="G2147" s="14">
        <f t="shared" si="1"/>
        <v>47</v>
      </c>
      <c r="H2147" s="23" t="s">
        <v>26</v>
      </c>
      <c r="I2147" s="24" t="s">
        <v>33</v>
      </c>
      <c r="J2147" s="19" t="s">
        <v>726</v>
      </c>
      <c r="K2147" s="14">
        <v>11.0</v>
      </c>
      <c r="L2147" s="14">
        <v>0.0</v>
      </c>
      <c r="M2147" s="25"/>
      <c r="N2147" s="26" t="s">
        <v>21</v>
      </c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7"/>
    </row>
    <row r="2148">
      <c r="A2148" s="14" t="s">
        <v>7839</v>
      </c>
      <c r="B2148" s="17" t="s">
        <v>7834</v>
      </c>
      <c r="C2148" s="17" t="s">
        <v>7840</v>
      </c>
      <c r="D2148" s="19" t="s">
        <v>386</v>
      </c>
      <c r="E2148" s="20" t="s">
        <v>53</v>
      </c>
      <c r="F2148" s="21">
        <v>31664.0</v>
      </c>
      <c r="G2148" s="14">
        <f t="shared" si="1"/>
        <v>40</v>
      </c>
      <c r="H2148" s="23" t="s">
        <v>26</v>
      </c>
      <c r="I2148" s="24" t="s">
        <v>27</v>
      </c>
      <c r="J2148" s="19" t="s">
        <v>726</v>
      </c>
      <c r="K2148" s="14">
        <v>11.0</v>
      </c>
      <c r="L2148" s="14">
        <v>0.0</v>
      </c>
      <c r="M2148" s="25"/>
      <c r="N2148" s="26" t="s">
        <v>21</v>
      </c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</row>
    <row r="2149">
      <c r="A2149" s="14" t="s">
        <v>7841</v>
      </c>
      <c r="B2149" s="17" t="s">
        <v>7842</v>
      </c>
      <c r="C2149" s="17" t="s">
        <v>7843</v>
      </c>
      <c r="D2149" s="19" t="s">
        <v>7844</v>
      </c>
      <c r="E2149" s="20" t="s">
        <v>53</v>
      </c>
      <c r="F2149" s="27">
        <v>34688.0</v>
      </c>
      <c r="G2149" s="14">
        <f t="shared" si="1"/>
        <v>31</v>
      </c>
      <c r="H2149" s="23" t="s">
        <v>26</v>
      </c>
      <c r="I2149" s="24" t="s">
        <v>33</v>
      </c>
      <c r="J2149" s="19" t="s">
        <v>517</v>
      </c>
      <c r="K2149" s="14">
        <v>6.0</v>
      </c>
      <c r="L2149" s="14">
        <v>0.0</v>
      </c>
      <c r="M2149" s="25"/>
      <c r="N2149" s="26" t="s">
        <v>21</v>
      </c>
      <c r="O2149" s="7"/>
      <c r="P2149" s="7"/>
      <c r="Q2149" s="7"/>
      <c r="R2149" s="7"/>
      <c r="S2149" s="7"/>
      <c r="T2149" s="7"/>
      <c r="U2149" s="7"/>
      <c r="V2149" s="7"/>
      <c r="W2149" s="7"/>
      <c r="X2149" s="7"/>
      <c r="Y2149" s="7"/>
    </row>
    <row r="2150">
      <c r="A2150" s="14" t="s">
        <v>7845</v>
      </c>
      <c r="B2150" s="17" t="s">
        <v>7842</v>
      </c>
      <c r="C2150" s="17" t="s">
        <v>7846</v>
      </c>
      <c r="D2150" s="19" t="s">
        <v>7847</v>
      </c>
      <c r="E2150" s="20" t="s">
        <v>53</v>
      </c>
      <c r="F2150" s="21">
        <v>36397.0</v>
      </c>
      <c r="G2150" s="14">
        <f t="shared" si="1"/>
        <v>27</v>
      </c>
      <c r="H2150" s="23" t="s">
        <v>26</v>
      </c>
      <c r="I2150" s="24" t="s">
        <v>27</v>
      </c>
      <c r="J2150" s="19" t="s">
        <v>517</v>
      </c>
      <c r="K2150" s="14">
        <v>6.0</v>
      </c>
      <c r="L2150" s="14">
        <v>0.0</v>
      </c>
      <c r="M2150" s="25"/>
      <c r="N2150" s="26" t="s">
        <v>21</v>
      </c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</row>
    <row r="2151">
      <c r="A2151" s="14" t="s">
        <v>7848</v>
      </c>
      <c r="B2151" s="17" t="s">
        <v>7849</v>
      </c>
      <c r="C2151" s="17" t="s">
        <v>7850</v>
      </c>
      <c r="D2151" s="19" t="s">
        <v>7851</v>
      </c>
      <c r="E2151" s="20" t="s">
        <v>53</v>
      </c>
      <c r="F2151" s="21">
        <v>30784.0</v>
      </c>
      <c r="G2151" s="14">
        <f t="shared" si="1"/>
        <v>42</v>
      </c>
      <c r="H2151" s="23" t="s">
        <v>26</v>
      </c>
      <c r="I2151" s="24" t="s">
        <v>33</v>
      </c>
      <c r="J2151" s="19" t="s">
        <v>146</v>
      </c>
      <c r="K2151" s="14">
        <v>5.0</v>
      </c>
      <c r="L2151" s="14">
        <v>0.0</v>
      </c>
      <c r="M2151" s="25"/>
      <c r="N2151" s="26" t="s">
        <v>21</v>
      </c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7"/>
    </row>
    <row r="2152">
      <c r="A2152" s="14" t="s">
        <v>7853</v>
      </c>
      <c r="B2152" s="17" t="s">
        <v>7849</v>
      </c>
      <c r="C2152" s="17" t="s">
        <v>7854</v>
      </c>
      <c r="D2152" s="19" t="s">
        <v>2392</v>
      </c>
      <c r="E2152" s="20" t="s">
        <v>7855</v>
      </c>
      <c r="F2152" s="21">
        <v>29990.0</v>
      </c>
      <c r="G2152" s="14">
        <f t="shared" si="1"/>
        <v>44</v>
      </c>
      <c r="H2152" s="23" t="s">
        <v>26</v>
      </c>
      <c r="I2152" s="24" t="s">
        <v>27</v>
      </c>
      <c r="J2152" s="19" t="s">
        <v>146</v>
      </c>
      <c r="K2152" s="14">
        <v>5.0</v>
      </c>
      <c r="L2152" s="14">
        <v>0.0</v>
      </c>
      <c r="M2152" s="25"/>
      <c r="N2152" s="26" t="s">
        <v>21</v>
      </c>
      <c r="O2152" s="7"/>
      <c r="P2152" s="7"/>
      <c r="Q2152" s="7"/>
      <c r="R2152" s="7"/>
      <c r="S2152" s="7"/>
      <c r="T2152" s="7"/>
      <c r="U2152" s="7"/>
      <c r="V2152" s="7"/>
      <c r="W2152" s="7"/>
      <c r="X2152" s="7"/>
      <c r="Y2152" s="7"/>
    </row>
    <row r="2153">
      <c r="A2153" s="14" t="s">
        <v>7856</v>
      </c>
      <c r="B2153" s="17" t="s">
        <v>7857</v>
      </c>
      <c r="C2153" s="17" t="s">
        <v>7858</v>
      </c>
      <c r="D2153" s="19" t="s">
        <v>7859</v>
      </c>
      <c r="E2153" s="20" t="s">
        <v>7860</v>
      </c>
      <c r="F2153" s="21">
        <v>33504.0</v>
      </c>
      <c r="G2153" s="14">
        <f t="shared" si="1"/>
        <v>35</v>
      </c>
      <c r="H2153" s="23" t="s">
        <v>26</v>
      </c>
      <c r="I2153" s="24" t="s">
        <v>33</v>
      </c>
      <c r="J2153" s="19" t="s">
        <v>146</v>
      </c>
      <c r="K2153" s="14">
        <v>10.0</v>
      </c>
      <c r="L2153" s="14">
        <v>0.0</v>
      </c>
      <c r="M2153" s="25"/>
      <c r="N2153" s="26" t="s">
        <v>21</v>
      </c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7"/>
    </row>
    <row r="2154">
      <c r="A2154" s="14" t="s">
        <v>7861</v>
      </c>
      <c r="B2154" s="17" t="s">
        <v>7857</v>
      </c>
      <c r="C2154" s="17" t="s">
        <v>7862</v>
      </c>
      <c r="D2154" s="19" t="s">
        <v>7863</v>
      </c>
      <c r="E2154" s="20" t="s">
        <v>53</v>
      </c>
      <c r="F2154" s="21">
        <v>34479.0</v>
      </c>
      <c r="G2154" s="14">
        <f t="shared" si="1"/>
        <v>32</v>
      </c>
      <c r="H2154" s="23" t="s">
        <v>26</v>
      </c>
      <c r="I2154" s="24" t="s">
        <v>27</v>
      </c>
      <c r="J2154" s="19" t="s">
        <v>146</v>
      </c>
      <c r="K2154" s="14">
        <v>10.0</v>
      </c>
      <c r="L2154" s="14">
        <v>0.0</v>
      </c>
      <c r="M2154" s="25"/>
      <c r="N2154" s="26" t="s">
        <v>21</v>
      </c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7"/>
    </row>
    <row r="2155">
      <c r="A2155" s="14" t="s">
        <v>7864</v>
      </c>
      <c r="B2155" s="17" t="s">
        <v>7865</v>
      </c>
      <c r="C2155" s="17" t="s">
        <v>7866</v>
      </c>
      <c r="D2155" s="19" t="s">
        <v>7867</v>
      </c>
      <c r="E2155" s="20" t="s">
        <v>104</v>
      </c>
      <c r="F2155" s="21">
        <v>36949.0</v>
      </c>
      <c r="G2155" s="14">
        <f t="shared" si="1"/>
        <v>25</v>
      </c>
      <c r="H2155" s="23" t="s">
        <v>100</v>
      </c>
      <c r="I2155" s="24" t="s">
        <v>33</v>
      </c>
      <c r="J2155" s="19" t="s">
        <v>206</v>
      </c>
      <c r="K2155" s="14">
        <v>9.0</v>
      </c>
      <c r="L2155" s="14">
        <v>0.0</v>
      </c>
      <c r="M2155" s="25"/>
      <c r="N2155" s="26" t="s">
        <v>21</v>
      </c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7"/>
    </row>
    <row r="2156">
      <c r="A2156" s="14" t="s">
        <v>7868</v>
      </c>
      <c r="B2156" s="17" t="s">
        <v>7865</v>
      </c>
      <c r="C2156" s="17" t="s">
        <v>7869</v>
      </c>
      <c r="D2156" s="19" t="s">
        <v>7870</v>
      </c>
      <c r="E2156" s="20" t="s">
        <v>104</v>
      </c>
      <c r="F2156" s="21">
        <v>28126.0</v>
      </c>
      <c r="G2156" s="14">
        <f t="shared" si="1"/>
        <v>49</v>
      </c>
      <c r="H2156" s="23" t="s">
        <v>26</v>
      </c>
      <c r="I2156" s="24" t="s">
        <v>33</v>
      </c>
      <c r="J2156" s="19" t="s">
        <v>206</v>
      </c>
      <c r="K2156" s="14">
        <v>9.0</v>
      </c>
      <c r="L2156" s="14">
        <v>0.0</v>
      </c>
      <c r="M2156" s="25"/>
      <c r="N2156" s="26" t="s">
        <v>21</v>
      </c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</row>
    <row r="2157">
      <c r="A2157" s="14" t="s">
        <v>7871</v>
      </c>
      <c r="B2157" s="17" t="s">
        <v>7865</v>
      </c>
      <c r="C2157" s="17" t="s">
        <v>7872</v>
      </c>
      <c r="D2157" s="19" t="s">
        <v>7873</v>
      </c>
      <c r="E2157" s="20" t="s">
        <v>104</v>
      </c>
      <c r="F2157" s="21">
        <v>30203.0</v>
      </c>
      <c r="G2157" s="14">
        <f t="shared" si="1"/>
        <v>44</v>
      </c>
      <c r="H2157" s="23" t="s">
        <v>26</v>
      </c>
      <c r="I2157" s="24" t="s">
        <v>27</v>
      </c>
      <c r="J2157" s="19" t="s">
        <v>206</v>
      </c>
      <c r="K2157" s="14">
        <v>9.0</v>
      </c>
      <c r="L2157" s="14">
        <v>0.0</v>
      </c>
      <c r="M2157" s="25"/>
      <c r="N2157" s="26" t="s">
        <v>21</v>
      </c>
      <c r="O2157" s="7"/>
      <c r="P2157" s="7"/>
      <c r="Q2157" s="7"/>
      <c r="R2157" s="7"/>
      <c r="S2157" s="7"/>
      <c r="T2157" s="7"/>
      <c r="U2157" s="7"/>
      <c r="V2157" s="7"/>
      <c r="W2157" s="7"/>
      <c r="X2157" s="7"/>
      <c r="Y2157" s="7"/>
    </row>
    <row r="2158">
      <c r="A2158" s="14" t="s">
        <v>7874</v>
      </c>
      <c r="B2158" s="17" t="s">
        <v>7875</v>
      </c>
      <c r="C2158" s="17" t="s">
        <v>7876</v>
      </c>
      <c r="D2158" s="19" t="s">
        <v>7877</v>
      </c>
      <c r="E2158" s="20" t="s">
        <v>434</v>
      </c>
      <c r="F2158" s="27">
        <v>20373.0</v>
      </c>
      <c r="G2158" s="14">
        <f t="shared" si="1"/>
        <v>71</v>
      </c>
      <c r="H2158" s="23" t="s">
        <v>27</v>
      </c>
      <c r="I2158" s="24" t="s">
        <v>33</v>
      </c>
      <c r="J2158" s="19" t="s">
        <v>517</v>
      </c>
      <c r="K2158" s="14">
        <v>8.0</v>
      </c>
      <c r="L2158" s="14">
        <v>1.0</v>
      </c>
      <c r="M2158" s="25"/>
      <c r="N2158" s="26" t="s">
        <v>21</v>
      </c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</row>
    <row r="2159">
      <c r="A2159" s="14" t="s">
        <v>7878</v>
      </c>
      <c r="B2159" s="17" t="s">
        <v>7879</v>
      </c>
      <c r="C2159" s="17" t="s">
        <v>7880</v>
      </c>
      <c r="D2159" s="19" t="s">
        <v>7881</v>
      </c>
      <c r="E2159" s="20" t="s">
        <v>195</v>
      </c>
      <c r="F2159" s="21">
        <v>29051.0</v>
      </c>
      <c r="G2159" s="14">
        <f t="shared" si="1"/>
        <v>47</v>
      </c>
      <c r="H2159" s="23" t="s">
        <v>26</v>
      </c>
      <c r="I2159" s="24" t="s">
        <v>33</v>
      </c>
      <c r="J2159" s="19" t="s">
        <v>517</v>
      </c>
      <c r="K2159" s="14">
        <v>36.0</v>
      </c>
      <c r="L2159" s="14">
        <v>0.0</v>
      </c>
      <c r="M2159" s="25"/>
      <c r="N2159" s="26" t="s">
        <v>21</v>
      </c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7"/>
    </row>
    <row r="2160">
      <c r="A2160" s="14" t="s">
        <v>7882</v>
      </c>
      <c r="B2160" s="17" t="s">
        <v>7879</v>
      </c>
      <c r="C2160" s="17" t="s">
        <v>7883</v>
      </c>
      <c r="D2160" s="19" t="s">
        <v>7884</v>
      </c>
      <c r="E2160" s="20" t="s">
        <v>7885</v>
      </c>
      <c r="F2160" s="21">
        <v>29735.0</v>
      </c>
      <c r="G2160" s="14">
        <f t="shared" si="1"/>
        <v>45</v>
      </c>
      <c r="H2160" s="23" t="s">
        <v>26</v>
      </c>
      <c r="I2160" s="24" t="s">
        <v>27</v>
      </c>
      <c r="J2160" s="19" t="s">
        <v>517</v>
      </c>
      <c r="K2160" s="14">
        <v>5.0</v>
      </c>
      <c r="L2160" s="14">
        <v>0.0</v>
      </c>
      <c r="M2160" s="25"/>
      <c r="N2160" s="26" t="s">
        <v>21</v>
      </c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</row>
    <row r="2161">
      <c r="A2161" s="14" t="s">
        <v>7886</v>
      </c>
      <c r="B2161" s="17" t="s">
        <v>7887</v>
      </c>
      <c r="C2161" s="17" t="s">
        <v>7888</v>
      </c>
      <c r="D2161" s="19" t="s">
        <v>7889</v>
      </c>
      <c r="E2161" s="20" t="s">
        <v>104</v>
      </c>
      <c r="F2161" s="21">
        <v>39264.0</v>
      </c>
      <c r="G2161" s="14">
        <f t="shared" si="1"/>
        <v>19</v>
      </c>
      <c r="H2161" s="23" t="s">
        <v>100</v>
      </c>
      <c r="I2161" s="24" t="s">
        <v>33</v>
      </c>
      <c r="J2161" s="19" t="s">
        <v>597</v>
      </c>
      <c r="K2161" s="14">
        <v>19.0</v>
      </c>
      <c r="L2161" s="14">
        <v>0.0</v>
      </c>
      <c r="M2161" s="25"/>
      <c r="N2161" s="26" t="s">
        <v>21</v>
      </c>
      <c r="O2161" s="7"/>
      <c r="P2161" s="7"/>
      <c r="Q2161" s="7"/>
      <c r="R2161" s="7"/>
      <c r="S2161" s="7"/>
      <c r="T2161" s="7"/>
      <c r="U2161" s="7"/>
      <c r="V2161" s="7"/>
      <c r="W2161" s="7"/>
      <c r="X2161" s="7"/>
      <c r="Y2161" s="7"/>
    </row>
    <row r="2162">
      <c r="A2162" s="14" t="s">
        <v>7890</v>
      </c>
      <c r="B2162" s="17" t="s">
        <v>7887</v>
      </c>
      <c r="C2162" s="17" t="s">
        <v>7891</v>
      </c>
      <c r="D2162" s="19" t="s">
        <v>7892</v>
      </c>
      <c r="E2162" s="20" t="s">
        <v>7893</v>
      </c>
      <c r="F2162" s="21">
        <v>14793.0</v>
      </c>
      <c r="G2162" s="14">
        <f t="shared" si="1"/>
        <v>86</v>
      </c>
      <c r="H2162" s="23" t="s">
        <v>26</v>
      </c>
      <c r="I2162" s="24" t="s">
        <v>27</v>
      </c>
      <c r="J2162" s="19" t="s">
        <v>597</v>
      </c>
      <c r="K2162" s="14">
        <v>19.0</v>
      </c>
      <c r="L2162" s="14">
        <v>0.0</v>
      </c>
      <c r="M2162" s="25"/>
      <c r="N2162" s="26" t="s">
        <v>21</v>
      </c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7"/>
    </row>
    <row r="2163">
      <c r="A2163" s="14" t="s">
        <v>7894</v>
      </c>
      <c r="B2163" s="17" t="s">
        <v>7895</v>
      </c>
      <c r="C2163" s="17" t="s">
        <v>7896</v>
      </c>
      <c r="D2163" s="19" t="s">
        <v>7897</v>
      </c>
      <c r="E2163" s="20" t="s">
        <v>1786</v>
      </c>
      <c r="F2163" s="21">
        <v>25645.0</v>
      </c>
      <c r="G2163" s="14">
        <f t="shared" si="1"/>
        <v>56</v>
      </c>
      <c r="H2163" s="23" t="s">
        <v>26</v>
      </c>
      <c r="I2163" s="24" t="s">
        <v>33</v>
      </c>
      <c r="J2163" s="19" t="s">
        <v>146</v>
      </c>
      <c r="K2163" s="14">
        <v>2.0</v>
      </c>
      <c r="L2163" s="14">
        <v>0.0</v>
      </c>
      <c r="M2163" s="25"/>
      <c r="N2163" s="26" t="s">
        <v>21</v>
      </c>
      <c r="O2163" s="7"/>
      <c r="P2163" s="7"/>
      <c r="Q2163" s="7"/>
      <c r="R2163" s="7"/>
      <c r="S2163" s="7"/>
      <c r="T2163" s="7"/>
      <c r="U2163" s="7"/>
      <c r="V2163" s="7"/>
      <c r="W2163" s="7"/>
      <c r="X2163" s="7"/>
      <c r="Y2163" s="7"/>
    </row>
    <row r="2164">
      <c r="A2164" s="14" t="s">
        <v>7898</v>
      </c>
      <c r="B2164" s="17" t="s">
        <v>7895</v>
      </c>
      <c r="C2164" s="17" t="s">
        <v>7899</v>
      </c>
      <c r="D2164" s="19" t="s">
        <v>7900</v>
      </c>
      <c r="E2164" s="20" t="s">
        <v>434</v>
      </c>
      <c r="F2164" s="21">
        <v>26541.0</v>
      </c>
      <c r="G2164" s="14">
        <f t="shared" si="1"/>
        <v>54</v>
      </c>
      <c r="H2164" s="23" t="s">
        <v>26</v>
      </c>
      <c r="I2164" s="24" t="s">
        <v>27</v>
      </c>
      <c r="J2164" s="19" t="s">
        <v>146</v>
      </c>
      <c r="K2164" s="14">
        <v>2.0</v>
      </c>
      <c r="L2164" s="14">
        <v>0.0</v>
      </c>
      <c r="M2164" s="25"/>
      <c r="N2164" s="26" t="s">
        <v>21</v>
      </c>
      <c r="O2164" s="7"/>
      <c r="P2164" s="7"/>
      <c r="Q2164" s="7"/>
      <c r="R2164" s="7"/>
      <c r="S2164" s="7"/>
      <c r="T2164" s="7"/>
      <c r="U2164" s="7"/>
      <c r="V2164" s="7"/>
      <c r="W2164" s="7"/>
      <c r="X2164" s="7"/>
      <c r="Y2164" s="7"/>
    </row>
    <row r="2165">
      <c r="A2165" s="14" t="s">
        <v>7901</v>
      </c>
      <c r="B2165" s="17" t="s">
        <v>7902</v>
      </c>
      <c r="C2165" s="17" t="s">
        <v>7903</v>
      </c>
      <c r="D2165" s="19" t="s">
        <v>7904</v>
      </c>
      <c r="E2165" s="20" t="s">
        <v>650</v>
      </c>
      <c r="F2165" s="21">
        <v>22748.0</v>
      </c>
      <c r="G2165" s="14">
        <f t="shared" si="1"/>
        <v>64</v>
      </c>
      <c r="H2165" s="23" t="s">
        <v>27</v>
      </c>
      <c r="I2165" s="24" t="s">
        <v>27</v>
      </c>
      <c r="J2165" s="19" t="s">
        <v>7905</v>
      </c>
      <c r="K2165" s="14">
        <v>23.0</v>
      </c>
      <c r="L2165" s="14">
        <v>0.0</v>
      </c>
      <c r="M2165" s="28" t="s">
        <v>1319</v>
      </c>
      <c r="N2165" s="26" t="s">
        <v>21</v>
      </c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</row>
    <row r="2166">
      <c r="A2166" s="14" t="s">
        <v>7906</v>
      </c>
      <c r="B2166" s="17" t="s">
        <v>7907</v>
      </c>
      <c r="C2166" s="17" t="s">
        <v>7908</v>
      </c>
      <c r="D2166" s="19" t="s">
        <v>7909</v>
      </c>
      <c r="E2166" s="20" t="s">
        <v>7910</v>
      </c>
      <c r="F2166" s="21">
        <v>27576.0</v>
      </c>
      <c r="G2166" s="14">
        <f t="shared" si="1"/>
        <v>51</v>
      </c>
      <c r="H2166" s="23" t="s">
        <v>26</v>
      </c>
      <c r="I2166" s="24" t="s">
        <v>33</v>
      </c>
      <c r="J2166" s="19" t="s">
        <v>53</v>
      </c>
      <c r="K2166" s="14">
        <v>10.0</v>
      </c>
      <c r="L2166" s="14">
        <v>0.0</v>
      </c>
      <c r="M2166" s="25"/>
      <c r="N2166" s="26" t="s">
        <v>21</v>
      </c>
      <c r="O2166" s="7"/>
      <c r="P2166" s="7"/>
      <c r="Q2166" s="7"/>
      <c r="R2166" s="7"/>
      <c r="S2166" s="7"/>
      <c r="T2166" s="7"/>
      <c r="U2166" s="7"/>
      <c r="V2166" s="7"/>
      <c r="W2166" s="7"/>
      <c r="X2166" s="7"/>
      <c r="Y2166" s="7"/>
    </row>
    <row r="2167">
      <c r="A2167" s="14" t="s">
        <v>7911</v>
      </c>
      <c r="B2167" s="17" t="s">
        <v>7907</v>
      </c>
      <c r="C2167" s="17" t="s">
        <v>7912</v>
      </c>
      <c r="D2167" s="19" t="s">
        <v>7913</v>
      </c>
      <c r="E2167" s="20" t="s">
        <v>104</v>
      </c>
      <c r="F2167" s="27">
        <v>35064.0</v>
      </c>
      <c r="G2167" s="14">
        <f t="shared" si="1"/>
        <v>30</v>
      </c>
      <c r="H2167" s="23" t="s">
        <v>26</v>
      </c>
      <c r="I2167" s="24" t="s">
        <v>27</v>
      </c>
      <c r="J2167" s="19" t="s">
        <v>53</v>
      </c>
      <c r="K2167" s="14">
        <v>10.0</v>
      </c>
      <c r="L2167" s="14">
        <v>0.0</v>
      </c>
      <c r="M2167" s="25"/>
      <c r="N2167" s="26" t="s">
        <v>21</v>
      </c>
      <c r="O2167" s="7"/>
      <c r="P2167" s="7"/>
      <c r="Q2167" s="7"/>
      <c r="R2167" s="7"/>
      <c r="S2167" s="7"/>
      <c r="T2167" s="7"/>
      <c r="U2167" s="7"/>
      <c r="V2167" s="7"/>
      <c r="W2167" s="7"/>
      <c r="X2167" s="7"/>
      <c r="Y2167" s="7"/>
    </row>
    <row r="2168">
      <c r="A2168" s="14" t="s">
        <v>7914</v>
      </c>
      <c r="B2168" s="17" t="s">
        <v>7915</v>
      </c>
      <c r="C2168" s="17" t="s">
        <v>7916</v>
      </c>
      <c r="D2168" s="19" t="s">
        <v>7917</v>
      </c>
      <c r="E2168" s="20" t="s">
        <v>3587</v>
      </c>
      <c r="F2168" s="21">
        <v>27288.0</v>
      </c>
      <c r="G2168" s="14">
        <f t="shared" si="1"/>
        <v>52</v>
      </c>
      <c r="H2168" s="23" t="s">
        <v>26</v>
      </c>
      <c r="I2168" s="24" t="s">
        <v>27</v>
      </c>
      <c r="J2168" s="19" t="s">
        <v>146</v>
      </c>
      <c r="K2168" s="14">
        <v>10.0</v>
      </c>
      <c r="L2168" s="14">
        <v>0.0</v>
      </c>
      <c r="M2168" s="25"/>
      <c r="N2168" s="26" t="s">
        <v>21</v>
      </c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7"/>
    </row>
    <row r="2169">
      <c r="A2169" s="14" t="s">
        <v>7918</v>
      </c>
      <c r="B2169" s="17" t="s">
        <v>7915</v>
      </c>
      <c r="C2169" s="17" t="s">
        <v>7919</v>
      </c>
      <c r="D2169" s="19" t="s">
        <v>6215</v>
      </c>
      <c r="E2169" s="20" t="s">
        <v>1816</v>
      </c>
      <c r="F2169" s="21">
        <v>28754.0</v>
      </c>
      <c r="G2169" s="14">
        <f t="shared" si="1"/>
        <v>48</v>
      </c>
      <c r="H2169" s="23" t="s">
        <v>26</v>
      </c>
      <c r="I2169" s="24" t="s">
        <v>33</v>
      </c>
      <c r="J2169" s="19" t="s">
        <v>146</v>
      </c>
      <c r="K2169" s="14">
        <v>10.0</v>
      </c>
      <c r="L2169" s="14">
        <v>0.0</v>
      </c>
      <c r="M2169" s="25"/>
      <c r="N2169" s="26" t="s">
        <v>21</v>
      </c>
      <c r="O2169" s="7"/>
      <c r="P2169" s="7"/>
      <c r="Q2169" s="7"/>
      <c r="R2169" s="7"/>
      <c r="S2169" s="7"/>
      <c r="T2169" s="7"/>
      <c r="U2169" s="7"/>
      <c r="V2169" s="7"/>
      <c r="W2169" s="7"/>
      <c r="X2169" s="7"/>
      <c r="Y2169" s="7"/>
    </row>
    <row r="2170">
      <c r="A2170" s="14" t="s">
        <v>7920</v>
      </c>
      <c r="B2170" s="17" t="s">
        <v>7921</v>
      </c>
      <c r="C2170" s="17" t="s">
        <v>7922</v>
      </c>
      <c r="D2170" s="19" t="s">
        <v>7923</v>
      </c>
      <c r="E2170" s="20" t="s">
        <v>650</v>
      </c>
      <c r="F2170" s="21">
        <v>17899.0</v>
      </c>
      <c r="G2170" s="14">
        <f t="shared" si="1"/>
        <v>77</v>
      </c>
      <c r="H2170" s="23" t="s">
        <v>27</v>
      </c>
      <c r="I2170" s="24" t="s">
        <v>27</v>
      </c>
      <c r="J2170" s="19" t="s">
        <v>146</v>
      </c>
      <c r="K2170" s="14">
        <v>10.0</v>
      </c>
      <c r="L2170" s="14">
        <v>0.0</v>
      </c>
      <c r="M2170" s="25"/>
      <c r="N2170" s="26" t="s">
        <v>21</v>
      </c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</row>
    <row r="2171">
      <c r="A2171" s="14" t="s">
        <v>7924</v>
      </c>
      <c r="B2171" s="17" t="s">
        <v>7925</v>
      </c>
      <c r="C2171" s="17" t="s">
        <v>7926</v>
      </c>
      <c r="D2171" s="19" t="s">
        <v>7927</v>
      </c>
      <c r="E2171" s="20" t="s">
        <v>104</v>
      </c>
      <c r="F2171" s="27">
        <v>28486.0</v>
      </c>
      <c r="G2171" s="14">
        <f t="shared" si="1"/>
        <v>48</v>
      </c>
      <c r="H2171" s="23" t="s">
        <v>26</v>
      </c>
      <c r="I2171" s="24" t="s">
        <v>33</v>
      </c>
      <c r="J2171" s="19" t="s">
        <v>146</v>
      </c>
      <c r="K2171" s="14">
        <v>8.0</v>
      </c>
      <c r="L2171" s="14">
        <v>0.0</v>
      </c>
      <c r="M2171" s="25"/>
      <c r="N2171" s="26" t="s">
        <v>21</v>
      </c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7"/>
    </row>
    <row r="2172">
      <c r="A2172" s="14" t="s">
        <v>7928</v>
      </c>
      <c r="B2172" s="53" t="s">
        <v>8775</v>
      </c>
      <c r="C2172" s="17" t="s">
        <v>7929</v>
      </c>
      <c r="D2172" s="19" t="s">
        <v>7930</v>
      </c>
      <c r="E2172" s="20" t="s">
        <v>104</v>
      </c>
      <c r="F2172" s="21">
        <v>37480.0</v>
      </c>
      <c r="G2172" s="14">
        <f t="shared" si="1"/>
        <v>24</v>
      </c>
      <c r="H2172" s="23" t="s">
        <v>26</v>
      </c>
      <c r="I2172" s="24" t="s">
        <v>33</v>
      </c>
      <c r="J2172" s="19" t="s">
        <v>146</v>
      </c>
      <c r="K2172" s="14">
        <v>8.0</v>
      </c>
      <c r="L2172" s="14">
        <v>0.0</v>
      </c>
      <c r="M2172" s="25"/>
      <c r="N2172" s="26" t="s">
        <v>21</v>
      </c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</row>
    <row r="2173">
      <c r="A2173" s="14" t="s">
        <v>7931</v>
      </c>
      <c r="B2173" s="17" t="s">
        <v>7925</v>
      </c>
      <c r="C2173" s="17" t="s">
        <v>7932</v>
      </c>
      <c r="D2173" s="19" t="s">
        <v>7933</v>
      </c>
      <c r="E2173" s="20" t="s">
        <v>104</v>
      </c>
      <c r="F2173" s="21">
        <v>29680.0</v>
      </c>
      <c r="G2173" s="14">
        <f t="shared" si="1"/>
        <v>45</v>
      </c>
      <c r="H2173" s="23" t="s">
        <v>26</v>
      </c>
      <c r="I2173" s="24" t="s">
        <v>27</v>
      </c>
      <c r="J2173" s="19" t="s">
        <v>146</v>
      </c>
      <c r="K2173" s="14">
        <v>8.0</v>
      </c>
      <c r="L2173" s="14">
        <v>0.0</v>
      </c>
      <c r="M2173" s="25"/>
      <c r="N2173" s="26" t="s">
        <v>21</v>
      </c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7"/>
    </row>
    <row r="2174">
      <c r="A2174" s="14" t="s">
        <v>7934</v>
      </c>
      <c r="B2174" s="17" t="s">
        <v>7935</v>
      </c>
      <c r="C2174" s="17" t="s">
        <v>7936</v>
      </c>
      <c r="D2174" s="19" t="s">
        <v>7937</v>
      </c>
      <c r="E2174" s="20" t="s">
        <v>53</v>
      </c>
      <c r="F2174" s="21">
        <v>36167.0</v>
      </c>
      <c r="G2174" s="14">
        <f t="shared" si="1"/>
        <v>27</v>
      </c>
      <c r="H2174" s="23" t="s">
        <v>26</v>
      </c>
      <c r="I2174" s="24" t="s">
        <v>33</v>
      </c>
      <c r="J2174" s="19" t="s">
        <v>328</v>
      </c>
      <c r="K2174" s="14">
        <v>22.0</v>
      </c>
      <c r="L2174" s="14">
        <v>5.0</v>
      </c>
      <c r="M2174" s="28" t="s">
        <v>8790</v>
      </c>
      <c r="N2174" s="26" t="s">
        <v>21</v>
      </c>
      <c r="O2174" s="7"/>
      <c r="P2174" s="7"/>
      <c r="Q2174" s="7"/>
      <c r="R2174" s="7"/>
      <c r="S2174" s="7"/>
      <c r="T2174" s="7"/>
      <c r="U2174" s="7"/>
      <c r="V2174" s="7"/>
      <c r="W2174" s="7"/>
      <c r="X2174" s="7"/>
      <c r="Y2174" s="7"/>
    </row>
    <row r="2175">
      <c r="A2175" s="14" t="s">
        <v>7938</v>
      </c>
      <c r="B2175" s="17" t="s">
        <v>7935</v>
      </c>
      <c r="C2175" s="17" t="s">
        <v>7939</v>
      </c>
      <c r="D2175" s="19" t="s">
        <v>7940</v>
      </c>
      <c r="E2175" s="20" t="s">
        <v>53</v>
      </c>
      <c r="F2175" s="21">
        <v>36613.0</v>
      </c>
      <c r="G2175" s="14">
        <f t="shared" si="1"/>
        <v>26</v>
      </c>
      <c r="H2175" s="23" t="s">
        <v>26</v>
      </c>
      <c r="I2175" s="24" t="s">
        <v>27</v>
      </c>
      <c r="J2175" s="19" t="s">
        <v>328</v>
      </c>
      <c r="K2175" s="14">
        <v>22.0</v>
      </c>
      <c r="L2175" s="14">
        <v>5.0</v>
      </c>
      <c r="M2175" s="28" t="s">
        <v>8790</v>
      </c>
      <c r="N2175" s="26" t="s">
        <v>21</v>
      </c>
      <c r="O2175" s="7"/>
      <c r="P2175" s="7"/>
      <c r="Q2175" s="7"/>
      <c r="R2175" s="7"/>
      <c r="S2175" s="7"/>
      <c r="T2175" s="7"/>
      <c r="U2175" s="7"/>
      <c r="V2175" s="7"/>
      <c r="W2175" s="7"/>
      <c r="X2175" s="7"/>
      <c r="Y2175" s="7"/>
    </row>
    <row r="2176">
      <c r="A2176" s="14" t="s">
        <v>7941</v>
      </c>
      <c r="B2176" s="17" t="s">
        <v>7942</v>
      </c>
      <c r="C2176" s="17" t="s">
        <v>7943</v>
      </c>
      <c r="D2176" s="19" t="s">
        <v>7944</v>
      </c>
      <c r="E2176" s="20" t="s">
        <v>429</v>
      </c>
      <c r="F2176" s="21">
        <v>11146.0</v>
      </c>
      <c r="G2176" s="14">
        <f t="shared" si="1"/>
        <v>96</v>
      </c>
      <c r="H2176" s="23" t="s">
        <v>26</v>
      </c>
      <c r="I2176" s="24" t="s">
        <v>33</v>
      </c>
      <c r="J2176" s="19" t="s">
        <v>7945</v>
      </c>
      <c r="K2176" s="14">
        <v>16.0</v>
      </c>
      <c r="L2176" s="14">
        <v>1.0</v>
      </c>
      <c r="M2176" s="25"/>
      <c r="N2176" s="26" t="s">
        <v>21</v>
      </c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7"/>
    </row>
    <row r="2177">
      <c r="A2177" s="14" t="s">
        <v>7946</v>
      </c>
      <c r="B2177" s="17" t="s">
        <v>7942</v>
      </c>
      <c r="C2177" s="17" t="s">
        <v>7947</v>
      </c>
      <c r="D2177" s="19" t="s">
        <v>3114</v>
      </c>
      <c r="E2177" s="20" t="s">
        <v>231</v>
      </c>
      <c r="F2177" s="21">
        <v>14215.0</v>
      </c>
      <c r="G2177" s="14">
        <f t="shared" si="1"/>
        <v>87</v>
      </c>
      <c r="H2177" s="23" t="s">
        <v>26</v>
      </c>
      <c r="I2177" s="24" t="s">
        <v>27</v>
      </c>
      <c r="J2177" s="19" t="s">
        <v>7945</v>
      </c>
      <c r="K2177" s="14">
        <v>16.0</v>
      </c>
      <c r="L2177" s="14">
        <v>1.0</v>
      </c>
      <c r="M2177" s="25"/>
      <c r="N2177" s="26" t="s">
        <v>21</v>
      </c>
      <c r="O2177" s="7"/>
      <c r="P2177" s="7"/>
      <c r="Q2177" s="7"/>
      <c r="R2177" s="7"/>
      <c r="S2177" s="7"/>
      <c r="T2177" s="7"/>
      <c r="U2177" s="7"/>
      <c r="V2177" s="7"/>
      <c r="W2177" s="7"/>
      <c r="X2177" s="7"/>
      <c r="Y2177" s="7"/>
    </row>
    <row r="2178">
      <c r="A2178" s="14" t="s">
        <v>7948</v>
      </c>
      <c r="B2178" s="17" t="s">
        <v>7949</v>
      </c>
      <c r="C2178" s="17" t="s">
        <v>7950</v>
      </c>
      <c r="D2178" s="19" t="s">
        <v>7951</v>
      </c>
      <c r="E2178" s="20" t="s">
        <v>7952</v>
      </c>
      <c r="F2178" s="27">
        <v>35048.0</v>
      </c>
      <c r="G2178" s="14">
        <f t="shared" si="1"/>
        <v>30</v>
      </c>
      <c r="H2178" s="23" t="s">
        <v>26</v>
      </c>
      <c r="I2178" s="24" t="s">
        <v>27</v>
      </c>
      <c r="J2178" s="19" t="s">
        <v>156</v>
      </c>
      <c r="K2178" s="14">
        <v>31.0</v>
      </c>
      <c r="L2178" s="14">
        <v>0.0</v>
      </c>
      <c r="M2178" s="25"/>
      <c r="N2178" s="26" t="s">
        <v>21</v>
      </c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7"/>
    </row>
    <row r="2179">
      <c r="A2179" s="14" t="s">
        <v>7953</v>
      </c>
      <c r="B2179" s="17" t="s">
        <v>7949</v>
      </c>
      <c r="C2179" s="17" t="s">
        <v>7954</v>
      </c>
      <c r="D2179" s="19" t="s">
        <v>7955</v>
      </c>
      <c r="E2179" s="20" t="s">
        <v>104</v>
      </c>
      <c r="F2179" s="21">
        <v>33984.0</v>
      </c>
      <c r="G2179" s="14">
        <f t="shared" si="1"/>
        <v>33</v>
      </c>
      <c r="H2179" s="23" t="s">
        <v>26</v>
      </c>
      <c r="I2179" s="24" t="s">
        <v>33</v>
      </c>
      <c r="J2179" s="19" t="s">
        <v>156</v>
      </c>
      <c r="K2179" s="14">
        <v>31.0</v>
      </c>
      <c r="L2179" s="14">
        <v>0.0</v>
      </c>
      <c r="M2179" s="25"/>
      <c r="N2179" s="26" t="s">
        <v>21</v>
      </c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7"/>
    </row>
    <row r="2180">
      <c r="A2180" s="14" t="s">
        <v>7956</v>
      </c>
      <c r="B2180" s="17" t="s">
        <v>7957</v>
      </c>
      <c r="C2180" s="17" t="s">
        <v>7958</v>
      </c>
      <c r="D2180" s="19" t="s">
        <v>7959</v>
      </c>
      <c r="E2180" s="20" t="s">
        <v>7960</v>
      </c>
      <c r="F2180" s="21">
        <v>32929.0</v>
      </c>
      <c r="G2180" s="14">
        <f t="shared" si="1"/>
        <v>36</v>
      </c>
      <c r="H2180" s="23" t="s">
        <v>26</v>
      </c>
      <c r="I2180" s="24" t="s">
        <v>27</v>
      </c>
      <c r="J2180" s="19" t="s">
        <v>328</v>
      </c>
      <c r="K2180" s="14">
        <v>25.0</v>
      </c>
      <c r="L2180" s="14">
        <v>5.0</v>
      </c>
      <c r="M2180" s="25"/>
      <c r="N2180" s="26" t="s">
        <v>21</v>
      </c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</row>
    <row r="2181">
      <c r="A2181" s="14" t="s">
        <v>7961</v>
      </c>
      <c r="B2181" s="17" t="s">
        <v>7962</v>
      </c>
      <c r="C2181" s="17" t="s">
        <v>7963</v>
      </c>
      <c r="D2181" s="19" t="s">
        <v>7964</v>
      </c>
      <c r="E2181" s="20" t="s">
        <v>303</v>
      </c>
      <c r="F2181" s="21">
        <v>26846.0</v>
      </c>
      <c r="G2181" s="14">
        <f t="shared" si="1"/>
        <v>53</v>
      </c>
      <c r="H2181" s="23" t="s">
        <v>26</v>
      </c>
      <c r="I2181" s="24" t="s">
        <v>27</v>
      </c>
      <c r="J2181" s="19" t="s">
        <v>156</v>
      </c>
      <c r="K2181" s="14">
        <v>28.0</v>
      </c>
      <c r="L2181" s="14">
        <v>0.0</v>
      </c>
      <c r="M2181" s="25"/>
      <c r="N2181" s="26" t="s">
        <v>21</v>
      </c>
      <c r="O2181" s="7"/>
      <c r="P2181" s="7"/>
      <c r="Q2181" s="7"/>
      <c r="R2181" s="7"/>
      <c r="S2181" s="7"/>
      <c r="T2181" s="7"/>
      <c r="U2181" s="7"/>
      <c r="V2181" s="7"/>
      <c r="W2181" s="7"/>
      <c r="X2181" s="7"/>
      <c r="Y2181" s="7"/>
    </row>
    <row r="2182">
      <c r="A2182" s="14" t="s">
        <v>7965</v>
      </c>
      <c r="B2182" s="17" t="s">
        <v>7962</v>
      </c>
      <c r="C2182" s="17" t="s">
        <v>7966</v>
      </c>
      <c r="D2182" s="19" t="s">
        <v>7967</v>
      </c>
      <c r="E2182" s="20" t="s">
        <v>290</v>
      </c>
      <c r="F2182" s="21">
        <v>25757.0</v>
      </c>
      <c r="G2182" s="14">
        <f t="shared" si="1"/>
        <v>56</v>
      </c>
      <c r="H2182" s="23" t="s">
        <v>26</v>
      </c>
      <c r="I2182" s="24" t="s">
        <v>33</v>
      </c>
      <c r="J2182" s="19" t="s">
        <v>68</v>
      </c>
      <c r="K2182" s="14">
        <v>28.0</v>
      </c>
      <c r="L2182" s="14">
        <v>0.0</v>
      </c>
      <c r="M2182" s="25"/>
      <c r="N2182" s="26" t="s">
        <v>21</v>
      </c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7"/>
    </row>
    <row r="2183">
      <c r="A2183" s="14" t="s">
        <v>7968</v>
      </c>
      <c r="B2183" s="17" t="s">
        <v>7969</v>
      </c>
      <c r="C2183" s="17" t="s">
        <v>7970</v>
      </c>
      <c r="D2183" s="19" t="s">
        <v>7971</v>
      </c>
      <c r="E2183" s="20" t="s">
        <v>605</v>
      </c>
      <c r="F2183" s="21">
        <v>32594.0</v>
      </c>
      <c r="G2183" s="14">
        <f t="shared" si="1"/>
        <v>37</v>
      </c>
      <c r="H2183" s="23" t="s">
        <v>26</v>
      </c>
      <c r="I2183" s="24" t="s">
        <v>33</v>
      </c>
      <c r="J2183" s="19" t="s">
        <v>282</v>
      </c>
      <c r="K2183" s="14">
        <v>12.0</v>
      </c>
      <c r="L2183" s="14">
        <v>0.0</v>
      </c>
      <c r="M2183" s="25"/>
      <c r="N2183" s="26" t="s">
        <v>21</v>
      </c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7"/>
    </row>
    <row r="2184">
      <c r="A2184" s="14" t="s">
        <v>7972</v>
      </c>
      <c r="B2184" s="17" t="s">
        <v>7969</v>
      </c>
      <c r="C2184" s="17" t="s">
        <v>7973</v>
      </c>
      <c r="D2184" s="19" t="s">
        <v>7974</v>
      </c>
      <c r="E2184" s="20" t="s">
        <v>53</v>
      </c>
      <c r="F2184" s="21">
        <v>33646.0</v>
      </c>
      <c r="G2184" s="14">
        <f t="shared" si="1"/>
        <v>34</v>
      </c>
      <c r="H2184" s="23" t="s">
        <v>26</v>
      </c>
      <c r="I2184" s="24" t="s">
        <v>27</v>
      </c>
      <c r="J2184" s="19" t="s">
        <v>282</v>
      </c>
      <c r="K2184" s="14">
        <v>12.0</v>
      </c>
      <c r="L2184" s="14">
        <v>0.0</v>
      </c>
      <c r="M2184" s="25"/>
      <c r="N2184" s="26" t="s">
        <v>21</v>
      </c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7"/>
    </row>
    <row r="2185">
      <c r="A2185" s="14" t="s">
        <v>7975</v>
      </c>
      <c r="B2185" s="17" t="s">
        <v>7976</v>
      </c>
      <c r="C2185" s="17" t="s">
        <v>7977</v>
      </c>
      <c r="D2185" s="19" t="s">
        <v>7978</v>
      </c>
      <c r="E2185" s="20" t="s">
        <v>104</v>
      </c>
      <c r="F2185" s="21">
        <v>32648.0</v>
      </c>
      <c r="G2185" s="14">
        <f t="shared" si="1"/>
        <v>37</v>
      </c>
      <c r="H2185" s="23" t="s">
        <v>26</v>
      </c>
      <c r="I2185" s="24" t="s">
        <v>33</v>
      </c>
      <c r="J2185" s="19" t="s">
        <v>53</v>
      </c>
      <c r="K2185" s="14">
        <v>10.0</v>
      </c>
      <c r="L2185" s="14">
        <v>0.0</v>
      </c>
      <c r="M2185" s="25"/>
      <c r="N2185" s="26" t="s">
        <v>21</v>
      </c>
      <c r="O2185" s="7"/>
      <c r="P2185" s="7"/>
      <c r="Q2185" s="7"/>
      <c r="R2185" s="7"/>
      <c r="S2185" s="7"/>
      <c r="T2185" s="7"/>
      <c r="U2185" s="7"/>
      <c r="V2185" s="7"/>
      <c r="W2185" s="7"/>
      <c r="X2185" s="7"/>
      <c r="Y2185" s="7"/>
    </row>
    <row r="2186">
      <c r="A2186" s="14" t="s">
        <v>7979</v>
      </c>
      <c r="B2186" s="17" t="s">
        <v>7980</v>
      </c>
      <c r="C2186" s="17" t="s">
        <v>7981</v>
      </c>
      <c r="D2186" s="19" t="s">
        <v>7982</v>
      </c>
      <c r="E2186" s="20" t="s">
        <v>138</v>
      </c>
      <c r="F2186" s="27">
        <v>36817.0</v>
      </c>
      <c r="G2186" s="14">
        <f t="shared" si="1"/>
        <v>26</v>
      </c>
      <c r="H2186" s="23" t="s">
        <v>26</v>
      </c>
      <c r="I2186" s="24" t="s">
        <v>33</v>
      </c>
      <c r="J2186" s="19" t="s">
        <v>328</v>
      </c>
      <c r="K2186" s="14">
        <v>19.0</v>
      </c>
      <c r="L2186" s="14">
        <v>0.0</v>
      </c>
      <c r="M2186" s="25"/>
      <c r="N2186" s="26" t="s">
        <v>21</v>
      </c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</row>
    <row r="2187">
      <c r="A2187" s="14" t="s">
        <v>7983</v>
      </c>
      <c r="B2187" s="17" t="s">
        <v>7980</v>
      </c>
      <c r="C2187" s="17" t="s">
        <v>7984</v>
      </c>
      <c r="D2187" s="19" t="s">
        <v>7985</v>
      </c>
      <c r="E2187" s="20" t="s">
        <v>104</v>
      </c>
      <c r="F2187" s="21">
        <v>37479.0</v>
      </c>
      <c r="G2187" s="14">
        <f t="shared" si="1"/>
        <v>24</v>
      </c>
      <c r="H2187" s="23" t="s">
        <v>26</v>
      </c>
      <c r="I2187" s="24" t="s">
        <v>27</v>
      </c>
      <c r="J2187" s="19" t="s">
        <v>328</v>
      </c>
      <c r="K2187" s="14">
        <v>19.0</v>
      </c>
      <c r="L2187" s="14">
        <v>0.0</v>
      </c>
      <c r="M2187" s="25"/>
      <c r="N2187" s="26" t="s">
        <v>21</v>
      </c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7"/>
    </row>
    <row r="2188">
      <c r="A2188" s="14" t="s">
        <v>7986</v>
      </c>
      <c r="B2188" s="17" t="s">
        <v>7987</v>
      </c>
      <c r="C2188" s="17" t="s">
        <v>7988</v>
      </c>
      <c r="D2188" s="19" t="s">
        <v>7989</v>
      </c>
      <c r="E2188" s="20" t="s">
        <v>53</v>
      </c>
      <c r="F2188" s="21">
        <v>32264.0</v>
      </c>
      <c r="G2188" s="14">
        <f t="shared" si="1"/>
        <v>38</v>
      </c>
      <c r="H2188" s="23" t="s">
        <v>100</v>
      </c>
      <c r="I2188" s="24" t="s">
        <v>33</v>
      </c>
      <c r="J2188" s="19" t="s">
        <v>362</v>
      </c>
      <c r="K2188" s="14">
        <v>23.0</v>
      </c>
      <c r="L2188" s="14">
        <v>0.0</v>
      </c>
      <c r="M2188" s="25"/>
      <c r="N2188" s="26" t="s">
        <v>21</v>
      </c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7"/>
    </row>
    <row r="2189">
      <c r="A2189" s="14" t="s">
        <v>7990</v>
      </c>
      <c r="B2189" s="17" t="s">
        <v>7987</v>
      </c>
      <c r="C2189" s="17" t="s">
        <v>7991</v>
      </c>
      <c r="D2189" s="19" t="s">
        <v>7992</v>
      </c>
      <c r="E2189" s="20" t="s">
        <v>624</v>
      </c>
      <c r="F2189" s="21">
        <v>24967.0</v>
      </c>
      <c r="G2189" s="14">
        <f t="shared" si="1"/>
        <v>58</v>
      </c>
      <c r="H2189" s="23" t="s">
        <v>26</v>
      </c>
      <c r="I2189" s="24" t="s">
        <v>27</v>
      </c>
      <c r="J2189" s="19" t="s">
        <v>362</v>
      </c>
      <c r="K2189" s="14">
        <v>23.0</v>
      </c>
      <c r="L2189" s="14">
        <v>0.0</v>
      </c>
      <c r="M2189" s="25"/>
      <c r="N2189" s="26" t="s">
        <v>21</v>
      </c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7"/>
    </row>
    <row r="2190">
      <c r="A2190" s="14" t="s">
        <v>7993</v>
      </c>
      <c r="B2190" s="17" t="s">
        <v>7987</v>
      </c>
      <c r="C2190" s="17" t="s">
        <v>7994</v>
      </c>
      <c r="D2190" s="19" t="s">
        <v>7995</v>
      </c>
      <c r="E2190" s="20" t="s">
        <v>53</v>
      </c>
      <c r="F2190" s="21">
        <v>35289.0</v>
      </c>
      <c r="G2190" s="14">
        <f t="shared" si="1"/>
        <v>30</v>
      </c>
      <c r="H2190" s="23" t="s">
        <v>100</v>
      </c>
      <c r="I2190" s="24" t="s">
        <v>33</v>
      </c>
      <c r="J2190" s="19" t="s">
        <v>362</v>
      </c>
      <c r="K2190" s="14">
        <v>23.0</v>
      </c>
      <c r="L2190" s="14">
        <v>0.0</v>
      </c>
      <c r="M2190" s="25"/>
      <c r="N2190" s="26" t="s">
        <v>21</v>
      </c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7"/>
    </row>
    <row r="2191">
      <c r="A2191" s="14" t="s">
        <v>7996</v>
      </c>
      <c r="B2191" s="17" t="s">
        <v>7997</v>
      </c>
      <c r="C2191" s="17" t="s">
        <v>7998</v>
      </c>
      <c r="D2191" s="19" t="s">
        <v>7999</v>
      </c>
      <c r="E2191" s="20" t="s">
        <v>624</v>
      </c>
      <c r="F2191" s="21">
        <v>30592.0</v>
      </c>
      <c r="G2191" s="14">
        <f t="shared" si="1"/>
        <v>43</v>
      </c>
      <c r="H2191" s="23" t="s">
        <v>26</v>
      </c>
      <c r="I2191" s="24" t="s">
        <v>33</v>
      </c>
      <c r="J2191" s="19" t="s">
        <v>206</v>
      </c>
      <c r="K2191" s="14">
        <v>9.0</v>
      </c>
      <c r="L2191" s="14">
        <v>0.0</v>
      </c>
      <c r="M2191" s="25"/>
      <c r="N2191" s="26" t="s">
        <v>21</v>
      </c>
      <c r="O2191" s="7"/>
      <c r="P2191" s="7"/>
      <c r="Q2191" s="7"/>
      <c r="R2191" s="7"/>
      <c r="S2191" s="7"/>
      <c r="T2191" s="7"/>
      <c r="U2191" s="7"/>
      <c r="V2191" s="7"/>
      <c r="W2191" s="7"/>
      <c r="X2191" s="7"/>
      <c r="Y2191" s="7"/>
    </row>
    <row r="2192">
      <c r="A2192" s="14" t="s">
        <v>8000</v>
      </c>
      <c r="B2192" s="17" t="s">
        <v>7997</v>
      </c>
      <c r="C2192" s="17" t="s">
        <v>8001</v>
      </c>
      <c r="D2192" s="19" t="s">
        <v>8002</v>
      </c>
      <c r="E2192" s="20" t="s">
        <v>53</v>
      </c>
      <c r="F2192" s="21">
        <v>32241.0</v>
      </c>
      <c r="G2192" s="14">
        <f t="shared" si="1"/>
        <v>38</v>
      </c>
      <c r="H2192" s="23" t="s">
        <v>26</v>
      </c>
      <c r="I2192" s="24" t="s">
        <v>27</v>
      </c>
      <c r="J2192" s="19" t="s">
        <v>206</v>
      </c>
      <c r="K2192" s="14">
        <v>9.0</v>
      </c>
      <c r="L2192" s="14">
        <v>0.0</v>
      </c>
      <c r="M2192" s="25"/>
      <c r="N2192" s="26" t="s">
        <v>21</v>
      </c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7"/>
    </row>
    <row r="2193">
      <c r="A2193" s="14" t="s">
        <v>8003</v>
      </c>
      <c r="B2193" s="17" t="s">
        <v>8004</v>
      </c>
      <c r="C2193" s="17" t="s">
        <v>8005</v>
      </c>
      <c r="D2193" s="19" t="s">
        <v>8006</v>
      </c>
      <c r="E2193" s="20" t="s">
        <v>104</v>
      </c>
      <c r="F2193" s="21">
        <v>38616.0</v>
      </c>
      <c r="G2193" s="14">
        <f t="shared" si="1"/>
        <v>21</v>
      </c>
      <c r="H2193" s="23" t="s">
        <v>100</v>
      </c>
      <c r="I2193" s="24" t="s">
        <v>33</v>
      </c>
      <c r="J2193" s="19" t="s">
        <v>4231</v>
      </c>
      <c r="K2193" s="14">
        <v>20.0</v>
      </c>
      <c r="L2193" s="14">
        <v>0.0</v>
      </c>
      <c r="M2193" s="25"/>
      <c r="N2193" s="26" t="s">
        <v>21</v>
      </c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7"/>
    </row>
    <row r="2194">
      <c r="A2194" s="14" t="s">
        <v>8007</v>
      </c>
      <c r="B2194" s="17" t="s">
        <v>8004</v>
      </c>
      <c r="C2194" s="17" t="s">
        <v>8008</v>
      </c>
      <c r="D2194" s="19" t="s">
        <v>8009</v>
      </c>
      <c r="E2194" s="20" t="s">
        <v>104</v>
      </c>
      <c r="F2194" s="27">
        <v>31014.0</v>
      </c>
      <c r="G2194" s="14">
        <f t="shared" si="1"/>
        <v>41</v>
      </c>
      <c r="H2194" s="23" t="s">
        <v>26</v>
      </c>
      <c r="I2194" s="24" t="s">
        <v>33</v>
      </c>
      <c r="J2194" s="19" t="s">
        <v>4231</v>
      </c>
      <c r="K2194" s="14">
        <v>20.0</v>
      </c>
      <c r="L2194" s="14">
        <v>0.0</v>
      </c>
      <c r="M2194" s="25"/>
      <c r="N2194" s="26" t="s">
        <v>21</v>
      </c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</row>
    <row r="2195">
      <c r="A2195" s="14" t="s">
        <v>8010</v>
      </c>
      <c r="B2195" s="17" t="s">
        <v>8004</v>
      </c>
      <c r="C2195" s="17" t="s">
        <v>8011</v>
      </c>
      <c r="D2195" s="19" t="s">
        <v>2074</v>
      </c>
      <c r="E2195" s="20" t="s">
        <v>104</v>
      </c>
      <c r="F2195" s="21">
        <v>32269.0</v>
      </c>
      <c r="G2195" s="14">
        <f t="shared" si="1"/>
        <v>38</v>
      </c>
      <c r="H2195" s="23" t="s">
        <v>26</v>
      </c>
      <c r="I2195" s="24" t="s">
        <v>27</v>
      </c>
      <c r="J2195" s="19" t="s">
        <v>328</v>
      </c>
      <c r="K2195" s="14">
        <v>20.0</v>
      </c>
      <c r="L2195" s="14">
        <v>0.0</v>
      </c>
      <c r="M2195" s="25"/>
      <c r="N2195" s="26" t="s">
        <v>21</v>
      </c>
      <c r="O2195" s="7"/>
      <c r="P2195" s="7"/>
      <c r="Q2195" s="7"/>
      <c r="R2195" s="7"/>
      <c r="S2195" s="7"/>
      <c r="T2195" s="7"/>
      <c r="U2195" s="7"/>
      <c r="V2195" s="7"/>
      <c r="W2195" s="7"/>
      <c r="X2195" s="7"/>
      <c r="Y2195" s="7"/>
    </row>
    <row r="2196">
      <c r="A2196" s="14" t="s">
        <v>8012</v>
      </c>
      <c r="B2196" s="17" t="s">
        <v>8013</v>
      </c>
      <c r="C2196" s="17" t="s">
        <v>8014</v>
      </c>
      <c r="D2196" s="19" t="s">
        <v>8015</v>
      </c>
      <c r="E2196" s="20" t="s">
        <v>632</v>
      </c>
      <c r="F2196" s="21">
        <v>14797.0</v>
      </c>
      <c r="G2196" s="14">
        <f t="shared" si="1"/>
        <v>86</v>
      </c>
      <c r="H2196" s="23" t="s">
        <v>26</v>
      </c>
      <c r="I2196" s="24" t="s">
        <v>33</v>
      </c>
      <c r="J2196" s="19" t="s">
        <v>328</v>
      </c>
      <c r="K2196" s="14">
        <v>22.0</v>
      </c>
      <c r="L2196" s="14">
        <v>0.0</v>
      </c>
      <c r="M2196" s="25"/>
      <c r="N2196" s="26" t="s">
        <v>21</v>
      </c>
      <c r="O2196" s="7"/>
      <c r="P2196" s="7"/>
      <c r="Q2196" s="7"/>
      <c r="R2196" s="7"/>
      <c r="S2196" s="7"/>
      <c r="T2196" s="7"/>
      <c r="U2196" s="7"/>
      <c r="V2196" s="7"/>
      <c r="W2196" s="7"/>
      <c r="X2196" s="7"/>
      <c r="Y2196" s="7"/>
    </row>
    <row r="2197">
      <c r="A2197" s="14" t="s">
        <v>8016</v>
      </c>
      <c r="B2197" s="17" t="s">
        <v>8017</v>
      </c>
      <c r="C2197" s="17" t="s">
        <v>8018</v>
      </c>
      <c r="D2197" s="19" t="s">
        <v>8019</v>
      </c>
      <c r="E2197" s="20" t="s">
        <v>7100</v>
      </c>
      <c r="F2197" s="21">
        <v>38950.0</v>
      </c>
      <c r="G2197" s="14">
        <f t="shared" si="1"/>
        <v>20</v>
      </c>
      <c r="H2197" s="23" t="s">
        <v>100</v>
      </c>
      <c r="I2197" s="24" t="s">
        <v>27</v>
      </c>
      <c r="J2197" s="19" t="s">
        <v>328</v>
      </c>
      <c r="K2197" s="14">
        <v>23.0</v>
      </c>
      <c r="L2197" s="14">
        <v>0.0</v>
      </c>
      <c r="M2197" s="25"/>
      <c r="N2197" s="26" t="s">
        <v>21</v>
      </c>
      <c r="O2197" s="7"/>
      <c r="P2197" s="7"/>
      <c r="Q2197" s="7"/>
      <c r="R2197" s="7"/>
      <c r="S2197" s="7"/>
      <c r="T2197" s="7"/>
      <c r="U2197" s="7"/>
      <c r="V2197" s="7"/>
      <c r="W2197" s="7"/>
      <c r="X2197" s="7"/>
      <c r="Y2197" s="7"/>
    </row>
    <row r="2198">
      <c r="A2198" s="14" t="s">
        <v>8020</v>
      </c>
      <c r="B2198" s="17" t="s">
        <v>8017</v>
      </c>
      <c r="C2198" s="17" t="s">
        <v>8021</v>
      </c>
      <c r="D2198" s="19" t="s">
        <v>8022</v>
      </c>
      <c r="E2198" s="20" t="s">
        <v>104</v>
      </c>
      <c r="F2198" s="21">
        <v>29403.0</v>
      </c>
      <c r="G2198" s="14">
        <f t="shared" si="1"/>
        <v>46</v>
      </c>
      <c r="H2198" s="23" t="s">
        <v>26</v>
      </c>
      <c r="I2198" s="24" t="s">
        <v>27</v>
      </c>
      <c r="J2198" s="19" t="s">
        <v>328</v>
      </c>
      <c r="K2198" s="14">
        <v>23.0</v>
      </c>
      <c r="L2198" s="14">
        <v>0.0</v>
      </c>
      <c r="M2198" s="25"/>
      <c r="N2198" s="26" t="s">
        <v>21</v>
      </c>
      <c r="O2198" s="7"/>
      <c r="P2198" s="7"/>
      <c r="Q2198" s="7"/>
      <c r="R2198" s="7"/>
      <c r="S2198" s="7"/>
      <c r="T2198" s="7"/>
      <c r="U2198" s="7"/>
      <c r="V2198" s="7"/>
      <c r="W2198" s="7"/>
      <c r="X2198" s="7"/>
      <c r="Y2198" s="7"/>
    </row>
    <row r="2199">
      <c r="A2199" s="14" t="s">
        <v>8023</v>
      </c>
      <c r="B2199" s="17" t="s">
        <v>8017</v>
      </c>
      <c r="C2199" s="17" t="s">
        <v>8024</v>
      </c>
      <c r="D2199" s="19" t="s">
        <v>8025</v>
      </c>
      <c r="E2199" s="20" t="s">
        <v>650</v>
      </c>
      <c r="F2199" s="21">
        <v>23890.0</v>
      </c>
      <c r="G2199" s="14">
        <f t="shared" si="1"/>
        <v>61</v>
      </c>
      <c r="H2199" s="23" t="s">
        <v>26</v>
      </c>
      <c r="I2199" s="24" t="s">
        <v>33</v>
      </c>
      <c r="J2199" s="19" t="s">
        <v>328</v>
      </c>
      <c r="K2199" s="14">
        <v>23.0</v>
      </c>
      <c r="L2199" s="14">
        <v>0.0</v>
      </c>
      <c r="M2199" s="25"/>
      <c r="N2199" s="26" t="s">
        <v>21</v>
      </c>
      <c r="O2199" s="7"/>
      <c r="P2199" s="7"/>
      <c r="Q2199" s="7"/>
      <c r="R2199" s="7"/>
      <c r="S2199" s="7"/>
      <c r="T2199" s="7"/>
      <c r="U2199" s="7"/>
      <c r="V2199" s="7"/>
      <c r="W2199" s="7"/>
      <c r="X2199" s="7"/>
      <c r="Y2199" s="7"/>
    </row>
    <row r="2200">
      <c r="A2200" s="14" t="s">
        <v>8026</v>
      </c>
      <c r="B2200" s="17" t="s">
        <v>8017</v>
      </c>
      <c r="C2200" s="17" t="s">
        <v>8027</v>
      </c>
      <c r="D2200" s="19" t="s">
        <v>8028</v>
      </c>
      <c r="E2200" s="20" t="s">
        <v>53</v>
      </c>
      <c r="F2200" s="21">
        <v>37488.0</v>
      </c>
      <c r="G2200" s="14">
        <f t="shared" si="1"/>
        <v>24</v>
      </c>
      <c r="H2200" s="23" t="s">
        <v>100</v>
      </c>
      <c r="I2200" s="24" t="s">
        <v>27</v>
      </c>
      <c r="J2200" s="19" t="s">
        <v>328</v>
      </c>
      <c r="K2200" s="14">
        <v>23.0</v>
      </c>
      <c r="L2200" s="14">
        <v>0.0</v>
      </c>
      <c r="M2200" s="25"/>
      <c r="N2200" s="26" t="s">
        <v>21</v>
      </c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</row>
    <row r="2201">
      <c r="A2201" s="14" t="s">
        <v>8029</v>
      </c>
      <c r="B2201" s="17" t="s">
        <v>8030</v>
      </c>
      <c r="C2201" s="17" t="s">
        <v>8031</v>
      </c>
      <c r="D2201" s="19" t="s">
        <v>8032</v>
      </c>
      <c r="E2201" s="20" t="s">
        <v>1084</v>
      </c>
      <c r="F2201" s="21">
        <v>29406.0</v>
      </c>
      <c r="G2201" s="14">
        <f t="shared" si="1"/>
        <v>46</v>
      </c>
      <c r="H2201" s="23" t="s">
        <v>27</v>
      </c>
      <c r="I2201" s="24" t="s">
        <v>27</v>
      </c>
      <c r="J2201" s="19" t="s">
        <v>68</v>
      </c>
      <c r="K2201" s="14">
        <v>32.0</v>
      </c>
      <c r="L2201" s="14">
        <v>5.0</v>
      </c>
      <c r="M2201" s="25"/>
      <c r="N2201" s="26" t="s">
        <v>21</v>
      </c>
      <c r="O2201" s="7"/>
      <c r="P2201" s="7"/>
      <c r="Q2201" s="7"/>
      <c r="R2201" s="7"/>
      <c r="S2201" s="7"/>
      <c r="T2201" s="7"/>
      <c r="U2201" s="7"/>
      <c r="V2201" s="7"/>
      <c r="W2201" s="7"/>
      <c r="X2201" s="7"/>
      <c r="Y2201" s="7"/>
    </row>
    <row r="2202">
      <c r="A2202" s="14" t="s">
        <v>8033</v>
      </c>
      <c r="B2202" s="17" t="s">
        <v>8034</v>
      </c>
      <c r="C2202" s="17" t="s">
        <v>8035</v>
      </c>
      <c r="D2202" s="19" t="s">
        <v>1951</v>
      </c>
      <c r="E2202" s="20" t="s">
        <v>104</v>
      </c>
      <c r="F2202" s="21">
        <v>32328.0</v>
      </c>
      <c r="G2202" s="14">
        <f t="shared" si="1"/>
        <v>38</v>
      </c>
      <c r="H2202" s="23" t="s">
        <v>27</v>
      </c>
      <c r="I2202" s="24" t="s">
        <v>27</v>
      </c>
      <c r="J2202" s="19" t="s">
        <v>989</v>
      </c>
      <c r="K2202" s="14">
        <v>28.0</v>
      </c>
      <c r="L2202" s="14">
        <v>0.0</v>
      </c>
      <c r="M2202" s="25"/>
      <c r="N2202" s="26" t="s">
        <v>21</v>
      </c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7"/>
    </row>
    <row r="2203">
      <c r="A2203" s="14" t="s">
        <v>8036</v>
      </c>
      <c r="B2203" s="17" t="s">
        <v>8037</v>
      </c>
      <c r="C2203" s="17" t="s">
        <v>8038</v>
      </c>
      <c r="D2203" s="19" t="s">
        <v>8039</v>
      </c>
      <c r="E2203" s="20" t="s">
        <v>8040</v>
      </c>
      <c r="F2203" s="21">
        <v>34821.0</v>
      </c>
      <c r="G2203" s="14">
        <f t="shared" si="1"/>
        <v>31</v>
      </c>
      <c r="H2203" s="23" t="s">
        <v>26</v>
      </c>
      <c r="I2203" s="24" t="s">
        <v>27</v>
      </c>
      <c r="J2203" s="19" t="s">
        <v>1296</v>
      </c>
      <c r="K2203" s="14">
        <v>17.0</v>
      </c>
      <c r="L2203" s="14">
        <v>0.0</v>
      </c>
      <c r="M2203" s="25"/>
      <c r="N2203" s="26" t="s">
        <v>21</v>
      </c>
      <c r="O2203" s="7"/>
      <c r="P2203" s="7"/>
      <c r="Q2203" s="7"/>
      <c r="R2203" s="7"/>
      <c r="S2203" s="7"/>
      <c r="T2203" s="7"/>
      <c r="U2203" s="7"/>
      <c r="V2203" s="7"/>
      <c r="W2203" s="7"/>
      <c r="X2203" s="7"/>
      <c r="Y2203" s="7"/>
    </row>
    <row r="2204">
      <c r="A2204" s="14" t="s">
        <v>8041</v>
      </c>
      <c r="B2204" s="17" t="s">
        <v>8037</v>
      </c>
      <c r="C2204" s="17" t="s">
        <v>8042</v>
      </c>
      <c r="D2204" s="19" t="s">
        <v>8043</v>
      </c>
      <c r="E2204" s="20" t="s">
        <v>337</v>
      </c>
      <c r="F2204" s="21">
        <v>31424.0</v>
      </c>
      <c r="G2204" s="14">
        <f t="shared" si="1"/>
        <v>40</v>
      </c>
      <c r="H2204" s="23" t="s">
        <v>26</v>
      </c>
      <c r="I2204" s="24" t="s">
        <v>33</v>
      </c>
      <c r="J2204" s="19" t="s">
        <v>1296</v>
      </c>
      <c r="K2204" s="14">
        <v>17.0</v>
      </c>
      <c r="L2204" s="14">
        <v>0.0</v>
      </c>
      <c r="M2204" s="25"/>
      <c r="N2204" s="26" t="s">
        <v>21</v>
      </c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7"/>
    </row>
    <row r="2205">
      <c r="A2205" s="14" t="s">
        <v>8044</v>
      </c>
      <c r="B2205" s="17" t="s">
        <v>8045</v>
      </c>
      <c r="C2205" s="17" t="s">
        <v>8046</v>
      </c>
      <c r="D2205" s="19" t="s">
        <v>8047</v>
      </c>
      <c r="E2205" s="20" t="s">
        <v>337</v>
      </c>
      <c r="F2205" s="21">
        <v>36073.0</v>
      </c>
      <c r="G2205" s="14">
        <f t="shared" si="1"/>
        <v>28</v>
      </c>
      <c r="H2205" s="23" t="s">
        <v>26</v>
      </c>
      <c r="I2205" s="24" t="s">
        <v>27</v>
      </c>
      <c r="J2205" s="19" t="s">
        <v>989</v>
      </c>
      <c r="K2205" s="14">
        <v>12.0</v>
      </c>
      <c r="L2205" s="14">
        <v>0.0</v>
      </c>
      <c r="M2205" s="25"/>
      <c r="N2205" s="26" t="s">
        <v>21</v>
      </c>
      <c r="O2205" s="7"/>
      <c r="P2205" s="7"/>
      <c r="Q2205" s="7"/>
      <c r="R2205" s="7"/>
      <c r="S2205" s="7"/>
      <c r="T2205" s="7"/>
      <c r="U2205" s="7"/>
      <c r="V2205" s="7"/>
      <c r="W2205" s="7"/>
      <c r="X2205" s="7"/>
      <c r="Y2205" s="7"/>
    </row>
    <row r="2206">
      <c r="A2206" s="14" t="s">
        <v>8048</v>
      </c>
      <c r="B2206" s="17" t="s">
        <v>8045</v>
      </c>
      <c r="C2206" s="17" t="s">
        <v>8049</v>
      </c>
      <c r="D2206" s="19" t="s">
        <v>8050</v>
      </c>
      <c r="E2206" s="20" t="s">
        <v>1733</v>
      </c>
      <c r="F2206" s="21">
        <v>34759.0</v>
      </c>
      <c r="G2206" s="14">
        <f t="shared" si="1"/>
        <v>31</v>
      </c>
      <c r="H2206" s="23" t="s">
        <v>26</v>
      </c>
      <c r="I2206" s="24" t="s">
        <v>33</v>
      </c>
      <c r="J2206" s="19" t="s">
        <v>989</v>
      </c>
      <c r="K2206" s="14">
        <v>12.0</v>
      </c>
      <c r="L2206" s="14">
        <v>0.0</v>
      </c>
      <c r="M2206" s="25"/>
      <c r="N2206" s="26" t="s">
        <v>21</v>
      </c>
      <c r="O2206" s="7"/>
      <c r="P2206" s="7"/>
      <c r="Q2206" s="7"/>
      <c r="R2206" s="7"/>
      <c r="S2206" s="7"/>
      <c r="T2206" s="7"/>
      <c r="U2206" s="7"/>
      <c r="V2206" s="7"/>
      <c r="W2206" s="7"/>
      <c r="X2206" s="7"/>
      <c r="Y2206" s="7"/>
    </row>
    <row r="2207">
      <c r="A2207" s="14" t="s">
        <v>8051</v>
      </c>
      <c r="B2207" s="17" t="s">
        <v>8052</v>
      </c>
      <c r="C2207" s="17" t="s">
        <v>8053</v>
      </c>
      <c r="D2207" s="19" t="s">
        <v>8054</v>
      </c>
      <c r="E2207" s="20" t="s">
        <v>67</v>
      </c>
      <c r="F2207" s="21">
        <v>22042.0</v>
      </c>
      <c r="G2207" s="14">
        <f t="shared" si="1"/>
        <v>66</v>
      </c>
      <c r="H2207" s="23" t="s">
        <v>26</v>
      </c>
      <c r="I2207" s="24" t="s">
        <v>27</v>
      </c>
      <c r="J2207" s="19" t="s">
        <v>726</v>
      </c>
      <c r="K2207" s="14">
        <v>14.0</v>
      </c>
      <c r="L2207" s="14">
        <v>0.0</v>
      </c>
      <c r="M2207" s="25"/>
      <c r="N2207" s="26" t="s">
        <v>21</v>
      </c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7"/>
    </row>
    <row r="2208">
      <c r="A2208" s="14" t="s">
        <v>8055</v>
      </c>
      <c r="B2208" s="17" t="s">
        <v>8052</v>
      </c>
      <c r="C2208" s="17" t="s">
        <v>8056</v>
      </c>
      <c r="D2208" s="19" t="s">
        <v>8057</v>
      </c>
      <c r="E2208" s="20" t="s">
        <v>67</v>
      </c>
      <c r="F2208" s="21">
        <v>17721.0</v>
      </c>
      <c r="G2208" s="14">
        <f t="shared" si="1"/>
        <v>78</v>
      </c>
      <c r="H2208" s="23" t="s">
        <v>26</v>
      </c>
      <c r="I2208" s="24" t="s">
        <v>33</v>
      </c>
      <c r="J2208" s="19" t="s">
        <v>726</v>
      </c>
      <c r="K2208" s="14">
        <v>14.0</v>
      </c>
      <c r="L2208" s="14">
        <v>0.0</v>
      </c>
      <c r="M2208" s="25"/>
      <c r="N2208" s="26" t="s">
        <v>21</v>
      </c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</row>
    <row r="2209">
      <c r="A2209" s="14" t="s">
        <v>8058</v>
      </c>
      <c r="B2209" s="17" t="s">
        <v>8059</v>
      </c>
      <c r="C2209" s="17" t="s">
        <v>8060</v>
      </c>
      <c r="D2209" s="19" t="s">
        <v>4281</v>
      </c>
      <c r="E2209" s="20" t="s">
        <v>104</v>
      </c>
      <c r="F2209" s="21">
        <v>34038.0</v>
      </c>
      <c r="G2209" s="14">
        <f t="shared" si="1"/>
        <v>33</v>
      </c>
      <c r="H2209" s="23" t="s">
        <v>26</v>
      </c>
      <c r="I2209" s="24" t="s">
        <v>27</v>
      </c>
      <c r="J2209" s="19" t="s">
        <v>8062</v>
      </c>
      <c r="K2209" s="14">
        <v>19.0</v>
      </c>
      <c r="L2209" s="14">
        <v>0.0</v>
      </c>
      <c r="M2209" s="25"/>
      <c r="N2209" s="26" t="s">
        <v>21</v>
      </c>
      <c r="O2209" s="7"/>
      <c r="P2209" s="7"/>
      <c r="Q2209" s="7"/>
      <c r="R2209" s="7"/>
      <c r="S2209" s="7"/>
      <c r="T2209" s="7"/>
      <c r="U2209" s="7"/>
      <c r="V2209" s="7"/>
      <c r="W2209" s="7"/>
      <c r="X2209" s="7"/>
      <c r="Y2209" s="7"/>
    </row>
    <row r="2210">
      <c r="A2210" s="14" t="s">
        <v>8064</v>
      </c>
      <c r="B2210" s="17" t="s">
        <v>8059</v>
      </c>
      <c r="C2210" s="17" t="s">
        <v>8065</v>
      </c>
      <c r="D2210" s="19" t="s">
        <v>2459</v>
      </c>
      <c r="E2210" s="20" t="s">
        <v>104</v>
      </c>
      <c r="F2210" s="21">
        <v>34762.0</v>
      </c>
      <c r="G2210" s="14">
        <f t="shared" si="1"/>
        <v>31</v>
      </c>
      <c r="H2210" s="23" t="s">
        <v>26</v>
      </c>
      <c r="I2210" s="24" t="s">
        <v>33</v>
      </c>
      <c r="J2210" s="19" t="s">
        <v>8062</v>
      </c>
      <c r="K2210" s="14">
        <v>19.0</v>
      </c>
      <c r="L2210" s="14">
        <v>0.0</v>
      </c>
      <c r="M2210" s="25"/>
      <c r="N2210" s="26" t="s">
        <v>21</v>
      </c>
      <c r="O2210" s="7"/>
      <c r="P2210" s="7"/>
      <c r="Q2210" s="7"/>
      <c r="R2210" s="7"/>
      <c r="S2210" s="7"/>
      <c r="T2210" s="7"/>
      <c r="U2210" s="7"/>
      <c r="V2210" s="7"/>
      <c r="W2210" s="7"/>
      <c r="X2210" s="7"/>
      <c r="Y2210" s="7"/>
    </row>
    <row r="2211">
      <c r="A2211" s="14" t="s">
        <v>8066</v>
      </c>
      <c r="B2211" s="17" t="s">
        <v>8067</v>
      </c>
      <c r="C2211" s="17" t="s">
        <v>8068</v>
      </c>
      <c r="D2211" s="19" t="s">
        <v>8069</v>
      </c>
      <c r="E2211" s="20" t="s">
        <v>53</v>
      </c>
      <c r="F2211" s="21">
        <v>32725.0</v>
      </c>
      <c r="G2211" s="14">
        <f t="shared" si="1"/>
        <v>37</v>
      </c>
      <c r="H2211" s="23" t="s">
        <v>26</v>
      </c>
      <c r="I2211" s="24" t="s">
        <v>27</v>
      </c>
      <c r="J2211" s="19" t="s">
        <v>257</v>
      </c>
      <c r="K2211" s="14">
        <v>29.0</v>
      </c>
      <c r="L2211" s="14">
        <v>0.0</v>
      </c>
      <c r="M2211" s="25"/>
      <c r="N2211" s="26" t="s">
        <v>21</v>
      </c>
      <c r="O2211" s="7"/>
      <c r="P2211" s="7"/>
      <c r="Q2211" s="7"/>
      <c r="R2211" s="7"/>
      <c r="S2211" s="7"/>
      <c r="T2211" s="7"/>
      <c r="U2211" s="7"/>
      <c r="V2211" s="7"/>
      <c r="W2211" s="7"/>
      <c r="X2211" s="7"/>
      <c r="Y2211" s="7"/>
    </row>
    <row r="2212">
      <c r="A2212" s="14" t="s">
        <v>8070</v>
      </c>
      <c r="B2212" s="17" t="s">
        <v>8067</v>
      </c>
      <c r="C2212" s="17" t="s">
        <v>8071</v>
      </c>
      <c r="D2212" s="19" t="s">
        <v>8072</v>
      </c>
      <c r="E2212" s="20" t="s">
        <v>53</v>
      </c>
      <c r="F2212" s="21">
        <v>32678.0</v>
      </c>
      <c r="G2212" s="14">
        <f t="shared" si="1"/>
        <v>37</v>
      </c>
      <c r="H2212" s="23" t="s">
        <v>26</v>
      </c>
      <c r="I2212" s="24" t="s">
        <v>33</v>
      </c>
      <c r="J2212" s="19" t="s">
        <v>257</v>
      </c>
      <c r="K2212" s="14">
        <v>29.0</v>
      </c>
      <c r="L2212" s="14">
        <v>0.0</v>
      </c>
      <c r="M2212" s="25"/>
      <c r="N2212" s="26" t="s">
        <v>21</v>
      </c>
      <c r="O2212" s="7"/>
      <c r="P2212" s="7"/>
      <c r="Q2212" s="7"/>
      <c r="R2212" s="7"/>
      <c r="S2212" s="7"/>
      <c r="T2212" s="7"/>
      <c r="U2212" s="7"/>
      <c r="V2212" s="7"/>
      <c r="W2212" s="7"/>
      <c r="X2212" s="7"/>
      <c r="Y2212" s="7"/>
    </row>
    <row r="2213">
      <c r="A2213" s="14" t="s">
        <v>8073</v>
      </c>
      <c r="B2213" s="17" t="s">
        <v>8074</v>
      </c>
      <c r="C2213" s="17" t="s">
        <v>8075</v>
      </c>
      <c r="D2213" s="19" t="s">
        <v>8076</v>
      </c>
      <c r="E2213" s="20" t="s">
        <v>104</v>
      </c>
      <c r="F2213" s="27">
        <v>32822.0</v>
      </c>
      <c r="G2213" s="14">
        <f t="shared" si="1"/>
        <v>36</v>
      </c>
      <c r="H2213" s="23" t="s">
        <v>26</v>
      </c>
      <c r="I2213" s="24" t="s">
        <v>27</v>
      </c>
      <c r="J2213" s="19" t="s">
        <v>4374</v>
      </c>
      <c r="K2213" s="14">
        <v>2.0</v>
      </c>
      <c r="L2213" s="14">
        <v>0.0</v>
      </c>
      <c r="M2213" s="25"/>
      <c r="N2213" s="26" t="s">
        <v>21</v>
      </c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7"/>
    </row>
    <row r="2214">
      <c r="A2214" s="14" t="s">
        <v>8077</v>
      </c>
      <c r="B2214" s="17" t="s">
        <v>8074</v>
      </c>
      <c r="C2214" s="17" t="s">
        <v>8078</v>
      </c>
      <c r="D2214" s="19" t="s">
        <v>8079</v>
      </c>
      <c r="E2214" s="20" t="s">
        <v>104</v>
      </c>
      <c r="F2214" s="27">
        <v>31705.0</v>
      </c>
      <c r="G2214" s="14">
        <f t="shared" si="1"/>
        <v>40</v>
      </c>
      <c r="H2214" s="23" t="s">
        <v>26</v>
      </c>
      <c r="I2214" s="24" t="s">
        <v>33</v>
      </c>
      <c r="J2214" s="19" t="s">
        <v>4374</v>
      </c>
      <c r="K2214" s="14">
        <v>2.0</v>
      </c>
      <c r="L2214" s="14">
        <v>0.0</v>
      </c>
      <c r="M2214" s="25"/>
      <c r="N2214" s="26" t="s">
        <v>21</v>
      </c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7"/>
    </row>
    <row r="2215">
      <c r="A2215" s="14" t="s">
        <v>8080</v>
      </c>
      <c r="B2215" s="17" t="s">
        <v>8081</v>
      </c>
      <c r="C2215" s="17" t="s">
        <v>8082</v>
      </c>
      <c r="D2215" s="19" t="s">
        <v>8083</v>
      </c>
      <c r="E2215" s="20" t="s">
        <v>274</v>
      </c>
      <c r="F2215" s="21">
        <v>33210.0</v>
      </c>
      <c r="G2215" s="14">
        <f t="shared" si="1"/>
        <v>35</v>
      </c>
      <c r="H2215" s="23" t="s">
        <v>26</v>
      </c>
      <c r="I2215" s="24" t="s">
        <v>33</v>
      </c>
      <c r="J2215" s="19" t="s">
        <v>257</v>
      </c>
      <c r="K2215" s="14">
        <v>3.0</v>
      </c>
      <c r="L2215" s="14">
        <v>0.0</v>
      </c>
      <c r="M2215" s="25"/>
      <c r="N2215" s="26" t="s">
        <v>21</v>
      </c>
      <c r="O2215" s="7"/>
      <c r="P2215" s="7"/>
      <c r="Q2215" s="7"/>
      <c r="R2215" s="7"/>
      <c r="S2215" s="7"/>
      <c r="T2215" s="7"/>
      <c r="U2215" s="7"/>
      <c r="V2215" s="7"/>
      <c r="W2215" s="7"/>
      <c r="X2215" s="7"/>
      <c r="Y2215" s="7"/>
    </row>
    <row r="2216">
      <c r="A2216" s="14" t="s">
        <v>8084</v>
      </c>
      <c r="B2216" s="17" t="s">
        <v>8081</v>
      </c>
      <c r="C2216" s="17" t="s">
        <v>8085</v>
      </c>
      <c r="D2216" s="19" t="s">
        <v>8086</v>
      </c>
      <c r="E2216" s="20" t="s">
        <v>104</v>
      </c>
      <c r="F2216" s="21">
        <v>33845.0</v>
      </c>
      <c r="G2216" s="14">
        <f t="shared" si="1"/>
        <v>34</v>
      </c>
      <c r="H2216" s="23" t="s">
        <v>26</v>
      </c>
      <c r="I2216" s="24" t="s">
        <v>27</v>
      </c>
      <c r="J2216" s="19" t="s">
        <v>257</v>
      </c>
      <c r="K2216" s="14">
        <v>3.0</v>
      </c>
      <c r="L2216" s="14">
        <v>0.0</v>
      </c>
      <c r="M2216" s="25"/>
      <c r="N2216" s="26" t="s">
        <v>21</v>
      </c>
      <c r="O2216" s="7"/>
      <c r="P2216" s="7"/>
      <c r="Q2216" s="7"/>
      <c r="R2216" s="7"/>
      <c r="S2216" s="7"/>
      <c r="T2216" s="7"/>
      <c r="U2216" s="7"/>
      <c r="V2216" s="7"/>
      <c r="W2216" s="7"/>
      <c r="X2216" s="7"/>
      <c r="Y2216" s="7"/>
    </row>
    <row r="2217">
      <c r="A2217" s="14" t="s">
        <v>8087</v>
      </c>
      <c r="B2217" s="17" t="s">
        <v>8081</v>
      </c>
      <c r="C2217" s="17" t="s">
        <v>8088</v>
      </c>
      <c r="D2217" s="19" t="s">
        <v>8089</v>
      </c>
      <c r="E2217" s="20" t="s">
        <v>8090</v>
      </c>
      <c r="F2217" s="21">
        <v>18858.0</v>
      </c>
      <c r="G2217" s="14">
        <f t="shared" si="1"/>
        <v>75</v>
      </c>
      <c r="H2217" s="23" t="s">
        <v>27</v>
      </c>
      <c r="I2217" s="24" t="s">
        <v>27</v>
      </c>
      <c r="J2217" s="19" t="s">
        <v>257</v>
      </c>
      <c r="K2217" s="14">
        <v>3.0</v>
      </c>
      <c r="L2217" s="14">
        <v>0.0</v>
      </c>
      <c r="M2217" s="25"/>
      <c r="N2217" s="26" t="s">
        <v>21</v>
      </c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7"/>
    </row>
    <row r="2218">
      <c r="A2218" s="14" t="s">
        <v>8091</v>
      </c>
      <c r="B2218" s="17" t="s">
        <v>8092</v>
      </c>
      <c r="C2218" s="17" t="s">
        <v>8093</v>
      </c>
      <c r="D2218" s="19" t="s">
        <v>8094</v>
      </c>
      <c r="E2218" s="20" t="s">
        <v>5208</v>
      </c>
      <c r="F2218" s="21">
        <v>34408.0</v>
      </c>
      <c r="G2218" s="14">
        <f t="shared" si="1"/>
        <v>32</v>
      </c>
      <c r="H2218" s="23" t="s">
        <v>26</v>
      </c>
      <c r="I2218" s="24" t="s">
        <v>33</v>
      </c>
      <c r="J2218" s="19" t="s">
        <v>206</v>
      </c>
      <c r="K2218" s="14">
        <v>10.0</v>
      </c>
      <c r="L2218" s="14">
        <v>0.0</v>
      </c>
      <c r="M2218" s="25"/>
      <c r="N2218" s="26" t="s">
        <v>21</v>
      </c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7"/>
    </row>
    <row r="2219">
      <c r="A2219" s="14" t="s">
        <v>8095</v>
      </c>
      <c r="B2219" s="17" t="s">
        <v>8092</v>
      </c>
      <c r="C2219" s="17" t="s">
        <v>8096</v>
      </c>
      <c r="D2219" s="19" t="s">
        <v>8097</v>
      </c>
      <c r="E2219" s="20" t="s">
        <v>104</v>
      </c>
      <c r="F2219" s="27">
        <v>34999.0</v>
      </c>
      <c r="G2219" s="14">
        <f t="shared" si="1"/>
        <v>31</v>
      </c>
      <c r="H2219" s="23" t="s">
        <v>26</v>
      </c>
      <c r="I2219" s="24" t="s">
        <v>27</v>
      </c>
      <c r="J2219" s="19" t="s">
        <v>206</v>
      </c>
      <c r="K2219" s="14">
        <v>10.0</v>
      </c>
      <c r="L2219" s="14">
        <v>0.0</v>
      </c>
      <c r="M2219" s="25"/>
      <c r="N2219" s="26" t="s">
        <v>21</v>
      </c>
      <c r="O2219" s="7"/>
      <c r="P2219" s="7"/>
      <c r="Q2219" s="7"/>
      <c r="R2219" s="7"/>
      <c r="S2219" s="7"/>
      <c r="T2219" s="7"/>
      <c r="U2219" s="7"/>
      <c r="V2219" s="7"/>
      <c r="W2219" s="7"/>
      <c r="X2219" s="7"/>
      <c r="Y2219" s="7"/>
    </row>
    <row r="2220">
      <c r="A2220" s="14" t="s">
        <v>8098</v>
      </c>
      <c r="B2220" s="17" t="s">
        <v>8099</v>
      </c>
      <c r="C2220" s="17" t="s">
        <v>8100</v>
      </c>
      <c r="D2220" s="19" t="s">
        <v>8101</v>
      </c>
      <c r="E2220" s="20" t="s">
        <v>53</v>
      </c>
      <c r="F2220" s="21">
        <v>30350.0</v>
      </c>
      <c r="G2220" s="14">
        <f t="shared" si="1"/>
        <v>43</v>
      </c>
      <c r="H2220" s="23" t="s">
        <v>26</v>
      </c>
      <c r="I2220" s="24" t="s">
        <v>33</v>
      </c>
      <c r="J2220" s="19" t="s">
        <v>156</v>
      </c>
      <c r="K2220" s="14">
        <v>28.0</v>
      </c>
      <c r="L2220" s="14">
        <v>0.0</v>
      </c>
      <c r="M2220" s="25"/>
      <c r="N2220" s="26" t="s">
        <v>21</v>
      </c>
      <c r="O2220" s="7"/>
      <c r="P2220" s="7"/>
      <c r="Q2220" s="7"/>
      <c r="R2220" s="7"/>
      <c r="S2220" s="7"/>
      <c r="T2220" s="7"/>
      <c r="U2220" s="7"/>
      <c r="V2220" s="7"/>
      <c r="W2220" s="7"/>
      <c r="X2220" s="7"/>
      <c r="Y2220" s="7"/>
    </row>
    <row r="2221">
      <c r="A2221" s="14" t="s">
        <v>8102</v>
      </c>
      <c r="B2221" s="17" t="s">
        <v>8099</v>
      </c>
      <c r="C2221" s="17" t="s">
        <v>8103</v>
      </c>
      <c r="D2221" s="19" t="s">
        <v>8104</v>
      </c>
      <c r="E2221" s="20" t="s">
        <v>219</v>
      </c>
      <c r="F2221" s="21">
        <v>32612.0</v>
      </c>
      <c r="G2221" s="14">
        <f t="shared" si="1"/>
        <v>37</v>
      </c>
      <c r="H2221" s="23" t="s">
        <v>26</v>
      </c>
      <c r="I2221" s="24" t="s">
        <v>27</v>
      </c>
      <c r="J2221" s="19" t="s">
        <v>156</v>
      </c>
      <c r="K2221" s="14">
        <v>28.0</v>
      </c>
      <c r="L2221" s="14">
        <v>0.0</v>
      </c>
      <c r="M2221" s="25"/>
      <c r="N2221" s="26" t="s">
        <v>21</v>
      </c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7"/>
    </row>
    <row r="2222">
      <c r="A2222" s="14" t="s">
        <v>8105</v>
      </c>
      <c r="B2222" s="17" t="s">
        <v>8106</v>
      </c>
      <c r="C2222" s="17" t="s">
        <v>8107</v>
      </c>
      <c r="D2222" s="19" t="s">
        <v>8108</v>
      </c>
      <c r="E2222" s="20" t="s">
        <v>112</v>
      </c>
      <c r="F2222" s="21">
        <v>20672.0</v>
      </c>
      <c r="G2222" s="14">
        <f t="shared" si="1"/>
        <v>70</v>
      </c>
      <c r="H2222" s="23" t="s">
        <v>27</v>
      </c>
      <c r="I2222" s="24" t="s">
        <v>27</v>
      </c>
      <c r="J2222" s="19" t="s">
        <v>362</v>
      </c>
      <c r="K2222" s="14">
        <v>19.0</v>
      </c>
      <c r="L2222" s="14">
        <v>0.0</v>
      </c>
      <c r="M2222" s="25"/>
      <c r="N2222" s="26" t="s">
        <v>21</v>
      </c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7"/>
    </row>
    <row r="2223">
      <c r="A2223" s="14" t="s">
        <v>8109</v>
      </c>
      <c r="B2223" s="17" t="s">
        <v>8110</v>
      </c>
      <c r="C2223" s="17" t="s">
        <v>8111</v>
      </c>
      <c r="D2223" s="19" t="s">
        <v>8112</v>
      </c>
      <c r="E2223" s="20" t="s">
        <v>53</v>
      </c>
      <c r="F2223" s="21">
        <v>36392.0</v>
      </c>
      <c r="G2223" s="14">
        <f t="shared" si="1"/>
        <v>27</v>
      </c>
      <c r="H2223" s="23" t="s">
        <v>100</v>
      </c>
      <c r="I2223" s="24" t="s">
        <v>33</v>
      </c>
      <c r="J2223" s="19" t="s">
        <v>53</v>
      </c>
      <c r="K2223" s="14">
        <v>11.0</v>
      </c>
      <c r="L2223" s="14">
        <v>0.0</v>
      </c>
      <c r="M2223" s="25"/>
      <c r="N2223" s="26" t="s">
        <v>21</v>
      </c>
      <c r="O2223" s="7"/>
      <c r="P2223" s="7"/>
      <c r="Q2223" s="7"/>
      <c r="R2223" s="7"/>
      <c r="S2223" s="7"/>
      <c r="T2223" s="7"/>
      <c r="U2223" s="7"/>
      <c r="V2223" s="7"/>
      <c r="W2223" s="7"/>
      <c r="X2223" s="7"/>
      <c r="Y2223" s="7"/>
    </row>
    <row r="2224">
      <c r="A2224" s="14" t="s">
        <v>8113</v>
      </c>
      <c r="B2224" s="17" t="s">
        <v>8110</v>
      </c>
      <c r="C2224" s="17" t="s">
        <v>8114</v>
      </c>
      <c r="D2224" s="19" t="s">
        <v>8115</v>
      </c>
      <c r="E2224" s="20" t="s">
        <v>1370</v>
      </c>
      <c r="F2224" s="21">
        <v>26333.0</v>
      </c>
      <c r="G2224" s="14">
        <f t="shared" si="1"/>
        <v>54</v>
      </c>
      <c r="H2224" s="23" t="s">
        <v>26</v>
      </c>
      <c r="I2224" s="24" t="s">
        <v>33</v>
      </c>
      <c r="J2224" s="19" t="s">
        <v>53</v>
      </c>
      <c r="K2224" s="14">
        <v>11.0</v>
      </c>
      <c r="L2224" s="14">
        <v>0.0</v>
      </c>
      <c r="M2224" s="25"/>
      <c r="N2224" s="26" t="s">
        <v>21</v>
      </c>
      <c r="O2224" s="7"/>
      <c r="P2224" s="7"/>
      <c r="Q2224" s="7"/>
      <c r="R2224" s="7"/>
      <c r="S2224" s="7"/>
      <c r="T2224" s="7"/>
      <c r="U2224" s="7"/>
      <c r="V2224" s="7"/>
      <c r="W2224" s="7"/>
      <c r="X2224" s="7"/>
      <c r="Y2224" s="7"/>
    </row>
    <row r="2225">
      <c r="A2225" s="14" t="s">
        <v>8116</v>
      </c>
      <c r="B2225" s="17" t="s">
        <v>8110</v>
      </c>
      <c r="C2225" s="17" t="s">
        <v>8117</v>
      </c>
      <c r="D2225" s="19" t="s">
        <v>4633</v>
      </c>
      <c r="E2225" s="20" t="s">
        <v>104</v>
      </c>
      <c r="F2225" s="21">
        <v>28675.0</v>
      </c>
      <c r="G2225" s="14">
        <f t="shared" si="1"/>
        <v>48</v>
      </c>
      <c r="H2225" s="23" t="s">
        <v>26</v>
      </c>
      <c r="I2225" s="24" t="s">
        <v>27</v>
      </c>
      <c r="J2225" s="19" t="s">
        <v>53</v>
      </c>
      <c r="K2225" s="14">
        <v>11.0</v>
      </c>
      <c r="L2225" s="14">
        <v>0.0</v>
      </c>
      <c r="M2225" s="25"/>
      <c r="N2225" s="26" t="s">
        <v>21</v>
      </c>
      <c r="O2225" s="7"/>
      <c r="P2225" s="7"/>
      <c r="Q2225" s="7"/>
      <c r="R2225" s="7"/>
      <c r="S2225" s="7"/>
      <c r="T2225" s="7"/>
      <c r="U2225" s="7"/>
      <c r="V2225" s="7"/>
      <c r="W2225" s="7"/>
      <c r="X2225" s="7"/>
      <c r="Y2225" s="7"/>
    </row>
    <row r="2226">
      <c r="A2226" s="14" t="s">
        <v>8118</v>
      </c>
      <c r="B2226" s="17" t="s">
        <v>8119</v>
      </c>
      <c r="C2226" s="17" t="s">
        <v>8120</v>
      </c>
      <c r="D2226" s="19" t="s">
        <v>8121</v>
      </c>
      <c r="E2226" s="20" t="s">
        <v>632</v>
      </c>
      <c r="F2226" s="21">
        <v>25267.0</v>
      </c>
      <c r="G2226" s="14">
        <f t="shared" si="1"/>
        <v>57</v>
      </c>
      <c r="H2226" s="23" t="s">
        <v>27</v>
      </c>
      <c r="I2226" s="24" t="s">
        <v>33</v>
      </c>
      <c r="J2226" s="19" t="s">
        <v>2762</v>
      </c>
      <c r="K2226" s="14">
        <v>11.0</v>
      </c>
      <c r="L2226" s="14">
        <v>0.0</v>
      </c>
      <c r="M2226" s="25"/>
      <c r="N2226" s="26" t="s">
        <v>21</v>
      </c>
      <c r="O2226" s="7"/>
      <c r="P2226" s="7"/>
      <c r="Q2226" s="7"/>
      <c r="R2226" s="7"/>
      <c r="S2226" s="7"/>
      <c r="T2226" s="7"/>
      <c r="U2226" s="7"/>
      <c r="V2226" s="7"/>
      <c r="W2226" s="7"/>
      <c r="X2226" s="7"/>
      <c r="Y2226" s="7"/>
    </row>
    <row r="2227">
      <c r="A2227" s="14" t="s">
        <v>8123</v>
      </c>
      <c r="B2227" s="17" t="s">
        <v>8124</v>
      </c>
      <c r="C2227" s="17" t="s">
        <v>8125</v>
      </c>
      <c r="D2227" s="19" t="s">
        <v>8126</v>
      </c>
      <c r="E2227" s="20" t="s">
        <v>210</v>
      </c>
      <c r="F2227" s="21">
        <v>28282.0</v>
      </c>
      <c r="G2227" s="14">
        <f t="shared" si="1"/>
        <v>49</v>
      </c>
      <c r="H2227" s="23" t="s">
        <v>26</v>
      </c>
      <c r="I2227" s="24" t="s">
        <v>33</v>
      </c>
      <c r="J2227" s="19" t="s">
        <v>53</v>
      </c>
      <c r="K2227" s="14">
        <v>11.0</v>
      </c>
      <c r="L2227" s="14">
        <v>0.0</v>
      </c>
      <c r="M2227" s="25"/>
      <c r="N2227" s="26" t="s">
        <v>21</v>
      </c>
      <c r="O2227" s="7"/>
      <c r="P2227" s="7"/>
      <c r="Q2227" s="7"/>
      <c r="R2227" s="7"/>
      <c r="S2227" s="7"/>
      <c r="T2227" s="7"/>
      <c r="U2227" s="7"/>
      <c r="V2227" s="7"/>
      <c r="W2227" s="7"/>
      <c r="X2227" s="7"/>
      <c r="Y2227" s="7"/>
    </row>
    <row r="2228">
      <c r="A2228" s="14" t="s">
        <v>8127</v>
      </c>
      <c r="B2228" s="17" t="s">
        <v>8124</v>
      </c>
      <c r="C2228" s="17" t="s">
        <v>8128</v>
      </c>
      <c r="D2228" s="19" t="s">
        <v>2074</v>
      </c>
      <c r="E2228" s="20" t="s">
        <v>650</v>
      </c>
      <c r="F2228" s="21">
        <v>29688.0</v>
      </c>
      <c r="G2228" s="14">
        <f t="shared" si="1"/>
        <v>45</v>
      </c>
      <c r="H2228" s="23" t="s">
        <v>26</v>
      </c>
      <c r="I2228" s="24" t="s">
        <v>27</v>
      </c>
      <c r="J2228" s="19" t="s">
        <v>146</v>
      </c>
      <c r="K2228" s="14">
        <v>11.0</v>
      </c>
      <c r="L2228" s="14">
        <v>0.0</v>
      </c>
      <c r="M2228" s="25"/>
      <c r="N2228" s="26" t="s">
        <v>21</v>
      </c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</row>
    <row r="2229">
      <c r="A2229" s="14" t="s">
        <v>8129</v>
      </c>
      <c r="B2229" s="17" t="s">
        <v>8124</v>
      </c>
      <c r="C2229" s="17" t="s">
        <v>8130</v>
      </c>
      <c r="D2229" s="19" t="s">
        <v>8131</v>
      </c>
      <c r="E2229" s="20" t="s">
        <v>53</v>
      </c>
      <c r="F2229" s="21">
        <v>37664.0</v>
      </c>
      <c r="G2229" s="14">
        <f t="shared" si="1"/>
        <v>23</v>
      </c>
      <c r="H2229" s="23" t="s">
        <v>100</v>
      </c>
      <c r="I2229" s="24" t="s">
        <v>33</v>
      </c>
      <c r="J2229" s="19" t="s">
        <v>53</v>
      </c>
      <c r="K2229" s="14">
        <v>11.0</v>
      </c>
      <c r="L2229" s="14">
        <v>0.0</v>
      </c>
      <c r="M2229" s="25"/>
      <c r="N2229" s="26" t="s">
        <v>21</v>
      </c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7"/>
    </row>
    <row r="2230">
      <c r="A2230" s="14" t="s">
        <v>8132</v>
      </c>
      <c r="B2230" s="17" t="s">
        <v>8133</v>
      </c>
      <c r="C2230" s="17" t="s">
        <v>8134</v>
      </c>
      <c r="D2230" s="19" t="s">
        <v>8135</v>
      </c>
      <c r="E2230" s="20" t="s">
        <v>1370</v>
      </c>
      <c r="F2230" s="21">
        <v>22193.0</v>
      </c>
      <c r="G2230" s="14">
        <f t="shared" si="1"/>
        <v>66</v>
      </c>
      <c r="H2230" s="23" t="s">
        <v>26</v>
      </c>
      <c r="I2230" s="24" t="s">
        <v>27</v>
      </c>
      <c r="J2230" s="19" t="s">
        <v>2762</v>
      </c>
      <c r="K2230" s="14">
        <v>11.0</v>
      </c>
      <c r="L2230" s="14">
        <v>0.0</v>
      </c>
      <c r="M2230" s="25"/>
      <c r="N2230" s="26" t="s">
        <v>21</v>
      </c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</row>
    <row r="2231">
      <c r="A2231" s="14" t="s">
        <v>8136</v>
      </c>
      <c r="B2231" s="17" t="s">
        <v>8137</v>
      </c>
      <c r="C2231" s="17" t="s">
        <v>8138</v>
      </c>
      <c r="D2231" s="19" t="s">
        <v>8139</v>
      </c>
      <c r="E2231" s="20" t="s">
        <v>3552</v>
      </c>
      <c r="F2231" s="21">
        <v>27395.0</v>
      </c>
      <c r="G2231" s="14">
        <f t="shared" si="1"/>
        <v>51</v>
      </c>
      <c r="H2231" s="23" t="s">
        <v>26</v>
      </c>
      <c r="I2231" s="24" t="s">
        <v>27</v>
      </c>
      <c r="J2231" s="19" t="s">
        <v>2762</v>
      </c>
      <c r="K2231" s="14">
        <v>11.0</v>
      </c>
      <c r="L2231" s="14">
        <v>0.0</v>
      </c>
      <c r="M2231" s="25"/>
      <c r="N2231" s="26" t="s">
        <v>21</v>
      </c>
      <c r="O2231" s="7"/>
      <c r="P2231" s="7"/>
      <c r="Q2231" s="7"/>
      <c r="R2231" s="7"/>
      <c r="S2231" s="7"/>
      <c r="T2231" s="7"/>
      <c r="U2231" s="7"/>
      <c r="V2231" s="7"/>
      <c r="W2231" s="7"/>
      <c r="X2231" s="7"/>
      <c r="Y2231" s="7"/>
    </row>
    <row r="2232">
      <c r="A2232" s="14" t="s">
        <v>8140</v>
      </c>
      <c r="B2232" s="17" t="s">
        <v>8137</v>
      </c>
      <c r="C2232" s="17" t="s">
        <v>8141</v>
      </c>
      <c r="D2232" s="19" t="s">
        <v>1282</v>
      </c>
      <c r="E2232" s="20" t="s">
        <v>53</v>
      </c>
      <c r="F2232" s="27">
        <v>29578.0</v>
      </c>
      <c r="G2232" s="14">
        <f t="shared" si="1"/>
        <v>45</v>
      </c>
      <c r="H2232" s="23" t="s">
        <v>26</v>
      </c>
      <c r="I2232" s="24" t="s">
        <v>33</v>
      </c>
      <c r="J2232" s="19" t="s">
        <v>2762</v>
      </c>
      <c r="K2232" s="14">
        <v>11.0</v>
      </c>
      <c r="L2232" s="14">
        <v>0.0</v>
      </c>
      <c r="M2232" s="25"/>
      <c r="N2232" s="26" t="s">
        <v>21</v>
      </c>
      <c r="O2232" s="7"/>
      <c r="P2232" s="7"/>
      <c r="Q2232" s="7"/>
      <c r="R2232" s="7"/>
      <c r="S2232" s="7"/>
      <c r="T2232" s="7"/>
      <c r="U2232" s="7"/>
      <c r="V2232" s="7"/>
      <c r="W2232" s="7"/>
      <c r="X2232" s="7"/>
      <c r="Y2232" s="7"/>
    </row>
    <row r="2233">
      <c r="A2233" s="14" t="s">
        <v>8142</v>
      </c>
      <c r="B2233" s="17" t="s">
        <v>8143</v>
      </c>
      <c r="C2233" s="17" t="s">
        <v>8144</v>
      </c>
      <c r="D2233" s="19" t="s">
        <v>8145</v>
      </c>
      <c r="E2233" s="20" t="s">
        <v>104</v>
      </c>
      <c r="F2233" s="21">
        <v>38796.0</v>
      </c>
      <c r="G2233" s="14">
        <f t="shared" si="1"/>
        <v>20</v>
      </c>
      <c r="H2233" s="23" t="s">
        <v>100</v>
      </c>
      <c r="I2233" s="24" t="s">
        <v>33</v>
      </c>
      <c r="J2233" s="19" t="s">
        <v>2196</v>
      </c>
      <c r="K2233" s="14">
        <v>11.0</v>
      </c>
      <c r="L2233" s="14">
        <v>0.0</v>
      </c>
      <c r="M2233" s="25"/>
      <c r="N2233" s="26" t="s">
        <v>21</v>
      </c>
      <c r="O2233" s="7"/>
      <c r="P2233" s="7"/>
      <c r="Q2233" s="7"/>
      <c r="R2233" s="7"/>
      <c r="S2233" s="7"/>
      <c r="T2233" s="7"/>
      <c r="U2233" s="7"/>
      <c r="V2233" s="7"/>
      <c r="W2233" s="7"/>
      <c r="X2233" s="7"/>
      <c r="Y2233" s="7"/>
    </row>
    <row r="2234">
      <c r="A2234" s="14" t="s">
        <v>8146</v>
      </c>
      <c r="B2234" s="17" t="s">
        <v>8143</v>
      </c>
      <c r="C2234" s="17" t="s">
        <v>8147</v>
      </c>
      <c r="D2234" s="19" t="s">
        <v>8148</v>
      </c>
      <c r="E2234" s="20" t="s">
        <v>429</v>
      </c>
      <c r="F2234" s="21">
        <v>26492.0</v>
      </c>
      <c r="G2234" s="14">
        <f t="shared" si="1"/>
        <v>54</v>
      </c>
      <c r="H2234" s="23" t="s">
        <v>26</v>
      </c>
      <c r="I2234" s="24" t="s">
        <v>33</v>
      </c>
      <c r="J2234" s="19" t="s">
        <v>2196</v>
      </c>
      <c r="K2234" s="14">
        <v>11.0</v>
      </c>
      <c r="L2234" s="14">
        <v>0.0</v>
      </c>
      <c r="M2234" s="25"/>
      <c r="N2234" s="26" t="s">
        <v>21</v>
      </c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</row>
    <row r="2235">
      <c r="A2235" s="14" t="s">
        <v>8149</v>
      </c>
      <c r="B2235" s="17" t="s">
        <v>8143</v>
      </c>
      <c r="C2235" s="17" t="s">
        <v>8150</v>
      </c>
      <c r="D2235" s="19" t="s">
        <v>8151</v>
      </c>
      <c r="E2235" s="20" t="s">
        <v>104</v>
      </c>
      <c r="F2235" s="21">
        <v>28880.0</v>
      </c>
      <c r="G2235" s="14">
        <f t="shared" si="1"/>
        <v>47</v>
      </c>
      <c r="H2235" s="23" t="s">
        <v>26</v>
      </c>
      <c r="I2235" s="24" t="s">
        <v>27</v>
      </c>
      <c r="J2235" s="19" t="s">
        <v>2196</v>
      </c>
      <c r="K2235" s="14">
        <v>11.0</v>
      </c>
      <c r="L2235" s="14">
        <v>0.0</v>
      </c>
      <c r="M2235" s="25"/>
      <c r="N2235" s="26" t="s">
        <v>21</v>
      </c>
      <c r="O2235" s="7"/>
      <c r="P2235" s="7"/>
      <c r="Q2235" s="7"/>
      <c r="R2235" s="7"/>
      <c r="S2235" s="7"/>
      <c r="T2235" s="7"/>
      <c r="U2235" s="7"/>
      <c r="V2235" s="7"/>
      <c r="W2235" s="7"/>
      <c r="X2235" s="7"/>
      <c r="Y2235" s="7"/>
    </row>
    <row r="2236">
      <c r="A2236" s="14" t="s">
        <v>8152</v>
      </c>
      <c r="B2236" s="17" t="s">
        <v>8153</v>
      </c>
      <c r="C2236" s="17" t="s">
        <v>8154</v>
      </c>
      <c r="D2236" s="19" t="s">
        <v>661</v>
      </c>
      <c r="E2236" s="20" t="s">
        <v>671</v>
      </c>
      <c r="F2236" s="21">
        <v>22254.0</v>
      </c>
      <c r="G2236" s="14">
        <f t="shared" si="1"/>
        <v>65</v>
      </c>
      <c r="H2236" s="23" t="s">
        <v>26</v>
      </c>
      <c r="I2236" s="24" t="s">
        <v>27</v>
      </c>
      <c r="J2236" s="19" t="s">
        <v>2762</v>
      </c>
      <c r="K2236" s="14">
        <v>11.0</v>
      </c>
      <c r="L2236" s="14">
        <v>0.0</v>
      </c>
      <c r="M2236" s="25"/>
      <c r="N2236" s="26" t="s">
        <v>21</v>
      </c>
      <c r="O2236" s="7"/>
      <c r="P2236" s="7"/>
      <c r="Q2236" s="7"/>
      <c r="R2236" s="7"/>
      <c r="S2236" s="7"/>
      <c r="T2236" s="7"/>
      <c r="U2236" s="7"/>
      <c r="V2236" s="7"/>
      <c r="W2236" s="7"/>
      <c r="X2236" s="7"/>
      <c r="Y2236" s="7"/>
    </row>
    <row r="2237">
      <c r="A2237" s="14" t="s">
        <v>8156</v>
      </c>
      <c r="B2237" s="17" t="s">
        <v>8153</v>
      </c>
      <c r="C2237" s="17" t="s">
        <v>8157</v>
      </c>
      <c r="D2237" s="19" t="s">
        <v>5852</v>
      </c>
      <c r="E2237" s="20" t="s">
        <v>671</v>
      </c>
      <c r="F2237" s="21">
        <v>18312.0</v>
      </c>
      <c r="G2237" s="14">
        <f t="shared" si="1"/>
        <v>76</v>
      </c>
      <c r="H2237" s="23" t="s">
        <v>26</v>
      </c>
      <c r="I2237" s="24" t="s">
        <v>33</v>
      </c>
      <c r="J2237" s="19" t="s">
        <v>2762</v>
      </c>
      <c r="K2237" s="14">
        <v>11.0</v>
      </c>
      <c r="L2237" s="14">
        <v>0.0</v>
      </c>
      <c r="M2237" s="25"/>
      <c r="N2237" s="26" t="s">
        <v>21</v>
      </c>
      <c r="O2237" s="7"/>
      <c r="P2237" s="7"/>
      <c r="Q2237" s="7"/>
      <c r="R2237" s="7"/>
      <c r="S2237" s="7"/>
      <c r="T2237" s="7"/>
      <c r="U2237" s="7"/>
      <c r="V2237" s="7"/>
      <c r="W2237" s="7"/>
      <c r="X2237" s="7"/>
      <c r="Y2237" s="7"/>
    </row>
    <row r="2238">
      <c r="A2238" s="14" t="s">
        <v>8158</v>
      </c>
      <c r="B2238" s="17" t="s">
        <v>8159</v>
      </c>
      <c r="C2238" s="17" t="s">
        <v>8160</v>
      </c>
      <c r="D2238" s="19" t="s">
        <v>8161</v>
      </c>
      <c r="E2238" s="20" t="s">
        <v>429</v>
      </c>
      <c r="F2238" s="21">
        <v>27193.0</v>
      </c>
      <c r="G2238" s="14">
        <f t="shared" si="1"/>
        <v>52</v>
      </c>
      <c r="H2238" s="23" t="s">
        <v>26</v>
      </c>
      <c r="I2238" s="24" t="s">
        <v>27</v>
      </c>
      <c r="J2238" s="19" t="s">
        <v>2762</v>
      </c>
      <c r="K2238" s="14">
        <v>11.0</v>
      </c>
      <c r="L2238" s="14">
        <v>0.0</v>
      </c>
      <c r="M2238" s="25"/>
      <c r="N2238" s="26" t="s">
        <v>21</v>
      </c>
      <c r="O2238" s="7"/>
      <c r="P2238" s="7"/>
      <c r="Q2238" s="7"/>
      <c r="R2238" s="7"/>
      <c r="S2238" s="7"/>
      <c r="T2238" s="7"/>
      <c r="U2238" s="7"/>
      <c r="V2238" s="7"/>
      <c r="W2238" s="7"/>
      <c r="X2238" s="7"/>
      <c r="Y2238" s="7"/>
    </row>
    <row r="2239">
      <c r="A2239" s="14" t="s">
        <v>8162</v>
      </c>
      <c r="B2239" s="17" t="s">
        <v>8159</v>
      </c>
      <c r="C2239" s="17" t="s">
        <v>8163</v>
      </c>
      <c r="D2239" s="19" t="s">
        <v>8164</v>
      </c>
      <c r="E2239" s="20" t="s">
        <v>3587</v>
      </c>
      <c r="F2239" s="21">
        <v>25976.0</v>
      </c>
      <c r="G2239" s="14">
        <f t="shared" si="1"/>
        <v>55</v>
      </c>
      <c r="H2239" s="23" t="s">
        <v>26</v>
      </c>
      <c r="I2239" s="24" t="s">
        <v>33</v>
      </c>
      <c r="J2239" s="19" t="s">
        <v>2762</v>
      </c>
      <c r="K2239" s="14">
        <v>11.0</v>
      </c>
      <c r="L2239" s="14">
        <v>0.0</v>
      </c>
      <c r="M2239" s="25"/>
      <c r="N2239" s="26" t="s">
        <v>21</v>
      </c>
      <c r="O2239" s="7"/>
      <c r="P2239" s="7"/>
      <c r="Q2239" s="7"/>
      <c r="R2239" s="7"/>
      <c r="S2239" s="7"/>
      <c r="T2239" s="7"/>
      <c r="U2239" s="7"/>
      <c r="V2239" s="7"/>
      <c r="W2239" s="7"/>
      <c r="X2239" s="7"/>
      <c r="Y2239" s="7"/>
    </row>
    <row r="2240">
      <c r="A2240" s="14" t="s">
        <v>8165</v>
      </c>
      <c r="B2240" s="17" t="s">
        <v>8166</v>
      </c>
      <c r="C2240" s="17" t="s">
        <v>8167</v>
      </c>
      <c r="D2240" s="19" t="s">
        <v>1944</v>
      </c>
      <c r="E2240" s="20" t="s">
        <v>104</v>
      </c>
      <c r="F2240" s="21">
        <v>28685.0</v>
      </c>
      <c r="G2240" s="14">
        <f t="shared" si="1"/>
        <v>48</v>
      </c>
      <c r="H2240" s="23" t="s">
        <v>26</v>
      </c>
      <c r="I2240" s="24" t="s">
        <v>27</v>
      </c>
      <c r="J2240" s="19" t="s">
        <v>58</v>
      </c>
      <c r="K2240" s="14">
        <v>5.0</v>
      </c>
      <c r="L2240" s="14">
        <v>0.0</v>
      </c>
      <c r="M2240" s="25"/>
      <c r="N2240" s="26" t="s">
        <v>21</v>
      </c>
      <c r="O2240" s="7"/>
      <c r="P2240" s="7"/>
      <c r="Q2240" s="7"/>
      <c r="R2240" s="7"/>
      <c r="S2240" s="7"/>
      <c r="T2240" s="7"/>
      <c r="U2240" s="7"/>
      <c r="V2240" s="7"/>
      <c r="W2240" s="7"/>
      <c r="X2240" s="7"/>
      <c r="Y2240" s="7"/>
    </row>
    <row r="2241">
      <c r="A2241" s="14" t="s">
        <v>8168</v>
      </c>
      <c r="B2241" s="17" t="s">
        <v>8166</v>
      </c>
      <c r="C2241" s="17" t="s">
        <v>8169</v>
      </c>
      <c r="D2241" s="19" t="s">
        <v>8170</v>
      </c>
      <c r="E2241" s="20" t="s">
        <v>104</v>
      </c>
      <c r="F2241" s="21">
        <v>39284.0</v>
      </c>
      <c r="G2241" s="14">
        <f t="shared" si="1"/>
        <v>19</v>
      </c>
      <c r="H2241" s="23" t="s">
        <v>100</v>
      </c>
      <c r="I2241" s="24" t="s">
        <v>27</v>
      </c>
      <c r="J2241" s="19" t="s">
        <v>58</v>
      </c>
      <c r="K2241" s="14">
        <v>5.0</v>
      </c>
      <c r="L2241" s="14">
        <v>0.0</v>
      </c>
      <c r="M2241" s="25"/>
      <c r="N2241" s="26" t="s">
        <v>21</v>
      </c>
      <c r="O2241" s="7"/>
      <c r="P2241" s="7"/>
      <c r="Q2241" s="7"/>
      <c r="R2241" s="7"/>
      <c r="S2241" s="7"/>
      <c r="T2241" s="7"/>
      <c r="U2241" s="7"/>
      <c r="V2241" s="7"/>
      <c r="W2241" s="7"/>
      <c r="X2241" s="7"/>
      <c r="Y2241" s="7"/>
    </row>
    <row r="2242">
      <c r="A2242" s="14" t="s">
        <v>8172</v>
      </c>
      <c r="B2242" s="17" t="s">
        <v>8166</v>
      </c>
      <c r="C2242" s="17" t="s">
        <v>8173</v>
      </c>
      <c r="D2242" s="19" t="s">
        <v>8174</v>
      </c>
      <c r="E2242" s="20" t="s">
        <v>650</v>
      </c>
      <c r="F2242" s="21">
        <v>26056.0</v>
      </c>
      <c r="G2242" s="14">
        <f t="shared" si="1"/>
        <v>55</v>
      </c>
      <c r="H2242" s="23" t="s">
        <v>26</v>
      </c>
      <c r="I2242" s="24" t="s">
        <v>33</v>
      </c>
      <c r="J2242" s="19" t="s">
        <v>58</v>
      </c>
      <c r="K2242" s="14">
        <v>5.0</v>
      </c>
      <c r="L2242" s="14">
        <v>0.0</v>
      </c>
      <c r="M2242" s="25"/>
      <c r="N2242" s="26" t="s">
        <v>21</v>
      </c>
      <c r="O2242" s="7"/>
      <c r="P2242" s="7"/>
      <c r="Q2242" s="7"/>
      <c r="R2242" s="7"/>
      <c r="S2242" s="7"/>
      <c r="T2242" s="7"/>
      <c r="U2242" s="7"/>
      <c r="V2242" s="7"/>
      <c r="W2242" s="7"/>
      <c r="X2242" s="7"/>
      <c r="Y2242" s="7"/>
    </row>
    <row r="2243">
      <c r="A2243" s="14" t="s">
        <v>8175</v>
      </c>
      <c r="B2243" s="17" t="s">
        <v>8176</v>
      </c>
      <c r="C2243" s="17" t="s">
        <v>8177</v>
      </c>
      <c r="D2243" s="19" t="s">
        <v>8178</v>
      </c>
      <c r="E2243" s="20" t="s">
        <v>104</v>
      </c>
      <c r="F2243" s="21">
        <v>38419.0</v>
      </c>
      <c r="G2243" s="14">
        <f t="shared" si="1"/>
        <v>21</v>
      </c>
      <c r="H2243" s="23" t="s">
        <v>100</v>
      </c>
      <c r="I2243" s="24" t="s">
        <v>33</v>
      </c>
      <c r="J2243" s="19" t="s">
        <v>8179</v>
      </c>
      <c r="K2243" s="14">
        <v>5.0</v>
      </c>
      <c r="L2243" s="14">
        <v>0.0</v>
      </c>
      <c r="M2243" s="25"/>
      <c r="N2243" s="26" t="s">
        <v>21</v>
      </c>
      <c r="O2243" s="7"/>
      <c r="P2243" s="7"/>
      <c r="Q2243" s="7"/>
      <c r="R2243" s="7"/>
      <c r="S2243" s="7"/>
      <c r="T2243" s="7"/>
      <c r="U2243" s="7"/>
      <c r="V2243" s="7"/>
      <c r="W2243" s="7"/>
      <c r="X2243" s="7"/>
      <c r="Y2243" s="7"/>
    </row>
    <row r="2244">
      <c r="A2244" s="14" t="s">
        <v>8180</v>
      </c>
      <c r="B2244" s="17" t="s">
        <v>8176</v>
      </c>
      <c r="C2244" s="17" t="s">
        <v>8181</v>
      </c>
      <c r="D2244" s="19" t="s">
        <v>8182</v>
      </c>
      <c r="E2244" s="20" t="s">
        <v>104</v>
      </c>
      <c r="F2244" s="21">
        <v>37118.0</v>
      </c>
      <c r="G2244" s="14">
        <f t="shared" si="1"/>
        <v>25</v>
      </c>
      <c r="H2244" s="23" t="s">
        <v>100</v>
      </c>
      <c r="I2244" s="24" t="s">
        <v>33</v>
      </c>
      <c r="J2244" s="19" t="s">
        <v>146</v>
      </c>
      <c r="K2244" s="14">
        <v>5.0</v>
      </c>
      <c r="L2244" s="14">
        <v>0.0</v>
      </c>
      <c r="M2244" s="25"/>
      <c r="N2244" s="26" t="s">
        <v>21</v>
      </c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7"/>
    </row>
    <row r="2245">
      <c r="A2245" s="14" t="s">
        <v>8183</v>
      </c>
      <c r="B2245" s="17" t="s">
        <v>8184</v>
      </c>
      <c r="C2245" s="17" t="s">
        <v>8185</v>
      </c>
      <c r="D2245" s="19" t="s">
        <v>8186</v>
      </c>
      <c r="E2245" s="20" t="s">
        <v>650</v>
      </c>
      <c r="F2245" s="27">
        <v>25899.0</v>
      </c>
      <c r="G2245" s="14">
        <f t="shared" si="1"/>
        <v>55</v>
      </c>
      <c r="H2245" s="23" t="s">
        <v>26</v>
      </c>
      <c r="I2245" s="24" t="s">
        <v>27</v>
      </c>
      <c r="J2245" s="19" t="s">
        <v>2019</v>
      </c>
      <c r="K2245" s="14">
        <v>5.0</v>
      </c>
      <c r="L2245" s="14">
        <v>0.0</v>
      </c>
      <c r="M2245" s="25"/>
      <c r="N2245" s="26" t="s">
        <v>21</v>
      </c>
      <c r="O2245" s="7"/>
      <c r="P2245" s="7"/>
      <c r="Q2245" s="7"/>
      <c r="R2245" s="7"/>
      <c r="S2245" s="7"/>
      <c r="T2245" s="7"/>
      <c r="U2245" s="7"/>
      <c r="V2245" s="7"/>
      <c r="W2245" s="7"/>
      <c r="X2245" s="7"/>
      <c r="Y2245" s="7"/>
    </row>
    <row r="2246">
      <c r="A2246" s="14" t="s">
        <v>8187</v>
      </c>
      <c r="B2246" s="17" t="s">
        <v>8184</v>
      </c>
      <c r="C2246" s="17" t="s">
        <v>8188</v>
      </c>
      <c r="D2246" s="19" t="s">
        <v>8189</v>
      </c>
      <c r="E2246" s="20" t="s">
        <v>8190</v>
      </c>
      <c r="F2246" s="27">
        <v>18546.0</v>
      </c>
      <c r="G2246" s="14">
        <f t="shared" si="1"/>
        <v>76</v>
      </c>
      <c r="H2246" s="23" t="s">
        <v>26</v>
      </c>
      <c r="I2246" s="24" t="s">
        <v>33</v>
      </c>
      <c r="J2246" s="19" t="s">
        <v>2019</v>
      </c>
      <c r="K2246" s="14">
        <v>5.0</v>
      </c>
      <c r="L2246" s="14">
        <v>0.0</v>
      </c>
      <c r="M2246" s="25"/>
      <c r="N2246" s="26" t="s">
        <v>21</v>
      </c>
      <c r="O2246" s="7"/>
      <c r="P2246" s="7"/>
      <c r="Q2246" s="7"/>
      <c r="R2246" s="7"/>
      <c r="S2246" s="7"/>
      <c r="T2246" s="7"/>
      <c r="U2246" s="7"/>
      <c r="V2246" s="7"/>
      <c r="W2246" s="7"/>
      <c r="X2246" s="7"/>
      <c r="Y2246" s="7"/>
    </row>
    <row r="2247">
      <c r="A2247" s="14" t="s">
        <v>8191</v>
      </c>
      <c r="B2247" s="17" t="s">
        <v>8192</v>
      </c>
      <c r="C2247" s="17" t="s">
        <v>8193</v>
      </c>
      <c r="D2247" s="19" t="s">
        <v>8194</v>
      </c>
      <c r="E2247" s="20" t="s">
        <v>104</v>
      </c>
      <c r="F2247" s="21">
        <v>38448.0</v>
      </c>
      <c r="G2247" s="14">
        <f t="shared" si="1"/>
        <v>21</v>
      </c>
      <c r="H2247" s="23" t="s">
        <v>100</v>
      </c>
      <c r="I2247" s="24" t="s">
        <v>27</v>
      </c>
      <c r="J2247" s="19" t="s">
        <v>2019</v>
      </c>
      <c r="K2247" s="14">
        <v>3.0</v>
      </c>
      <c r="L2247" s="14">
        <v>0.0</v>
      </c>
      <c r="M2247" s="25"/>
      <c r="N2247" s="26" t="s">
        <v>21</v>
      </c>
      <c r="O2247" s="7"/>
      <c r="P2247" s="7"/>
      <c r="Q2247" s="7"/>
      <c r="R2247" s="7"/>
      <c r="S2247" s="7"/>
      <c r="T2247" s="7"/>
      <c r="U2247" s="7"/>
      <c r="V2247" s="7"/>
      <c r="W2247" s="7"/>
      <c r="X2247" s="7"/>
      <c r="Y2247" s="7"/>
    </row>
    <row r="2248">
      <c r="A2248" s="14" t="s">
        <v>8195</v>
      </c>
      <c r="B2248" s="17" t="s">
        <v>8192</v>
      </c>
      <c r="C2248" s="17" t="s">
        <v>8196</v>
      </c>
      <c r="D2248" s="19" t="s">
        <v>8197</v>
      </c>
      <c r="E2248" s="20" t="s">
        <v>104</v>
      </c>
      <c r="F2248" s="21">
        <v>30682.0</v>
      </c>
      <c r="G2248" s="14">
        <f t="shared" si="1"/>
        <v>42</v>
      </c>
      <c r="H2248" s="23" t="s">
        <v>26</v>
      </c>
      <c r="I2248" s="24" t="s">
        <v>27</v>
      </c>
      <c r="J2248" s="19" t="s">
        <v>2019</v>
      </c>
      <c r="K2248" s="14">
        <v>3.0</v>
      </c>
      <c r="L2248" s="14">
        <v>0.0</v>
      </c>
      <c r="M2248" s="25"/>
      <c r="N2248" s="26" t="s">
        <v>21</v>
      </c>
      <c r="O2248" s="7"/>
      <c r="P2248" s="7"/>
      <c r="Q2248" s="7"/>
      <c r="R2248" s="7"/>
      <c r="S2248" s="7"/>
      <c r="T2248" s="7"/>
      <c r="U2248" s="7"/>
      <c r="V2248" s="7"/>
      <c r="W2248" s="7"/>
      <c r="X2248" s="7"/>
      <c r="Y2248" s="7"/>
    </row>
    <row r="2249">
      <c r="A2249" s="14" t="s">
        <v>8198</v>
      </c>
      <c r="B2249" s="17" t="s">
        <v>8192</v>
      </c>
      <c r="C2249" s="17" t="s">
        <v>8199</v>
      </c>
      <c r="D2249" s="19" t="s">
        <v>8200</v>
      </c>
      <c r="E2249" s="20" t="s">
        <v>104</v>
      </c>
      <c r="F2249" s="21">
        <v>29754.0</v>
      </c>
      <c r="G2249" s="14">
        <f t="shared" si="1"/>
        <v>45</v>
      </c>
      <c r="H2249" s="23" t="s">
        <v>26</v>
      </c>
      <c r="I2249" s="24" t="s">
        <v>33</v>
      </c>
      <c r="J2249" s="19" t="s">
        <v>2019</v>
      </c>
      <c r="K2249" s="14">
        <v>3.0</v>
      </c>
      <c r="L2249" s="14">
        <v>0.0</v>
      </c>
      <c r="M2249" s="25"/>
      <c r="N2249" s="26" t="s">
        <v>21</v>
      </c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7"/>
    </row>
    <row r="2250">
      <c r="A2250" s="14" t="s">
        <v>8201</v>
      </c>
      <c r="B2250" s="17" t="s">
        <v>8202</v>
      </c>
      <c r="C2250" s="17" t="s">
        <v>8203</v>
      </c>
      <c r="D2250" s="19" t="s">
        <v>7785</v>
      </c>
      <c r="E2250" s="20" t="s">
        <v>53</v>
      </c>
      <c r="F2250" s="21">
        <v>32279.0</v>
      </c>
      <c r="G2250" s="14">
        <f t="shared" si="1"/>
        <v>38</v>
      </c>
      <c r="H2250" s="23" t="s">
        <v>26</v>
      </c>
      <c r="I2250" s="24" t="s">
        <v>33</v>
      </c>
      <c r="J2250" s="19" t="s">
        <v>68</v>
      </c>
      <c r="K2250" s="14">
        <v>32.0</v>
      </c>
      <c r="L2250" s="14">
        <v>0.0</v>
      </c>
      <c r="M2250" s="25"/>
      <c r="N2250" s="26" t="s">
        <v>21</v>
      </c>
      <c r="O2250" s="7"/>
      <c r="P2250" s="7"/>
      <c r="Q2250" s="7"/>
      <c r="R2250" s="7"/>
      <c r="S2250" s="7"/>
      <c r="T2250" s="7"/>
      <c r="U2250" s="7"/>
      <c r="V2250" s="7"/>
      <c r="W2250" s="7"/>
      <c r="X2250" s="7"/>
      <c r="Y2250" s="7"/>
    </row>
    <row r="2251">
      <c r="A2251" s="14" t="s">
        <v>8204</v>
      </c>
      <c r="B2251" s="17" t="s">
        <v>8202</v>
      </c>
      <c r="C2251" s="17" t="s">
        <v>8205</v>
      </c>
      <c r="D2251" s="19" t="s">
        <v>8206</v>
      </c>
      <c r="E2251" s="20" t="s">
        <v>104</v>
      </c>
      <c r="F2251" s="21">
        <v>35620.0</v>
      </c>
      <c r="G2251" s="14">
        <f t="shared" si="1"/>
        <v>29</v>
      </c>
      <c r="H2251" s="23" t="s">
        <v>26</v>
      </c>
      <c r="I2251" s="24" t="s">
        <v>27</v>
      </c>
      <c r="J2251" s="19" t="s">
        <v>68</v>
      </c>
      <c r="K2251" s="14">
        <v>32.0</v>
      </c>
      <c r="L2251" s="14">
        <v>0.0</v>
      </c>
      <c r="M2251" s="25"/>
      <c r="N2251" s="26" t="s">
        <v>21</v>
      </c>
      <c r="O2251" s="7"/>
      <c r="P2251" s="7"/>
      <c r="Q2251" s="7"/>
      <c r="R2251" s="7"/>
      <c r="S2251" s="7"/>
      <c r="T2251" s="7"/>
      <c r="U2251" s="7"/>
      <c r="V2251" s="7"/>
      <c r="W2251" s="7"/>
      <c r="X2251" s="7"/>
      <c r="Y2251" s="7"/>
    </row>
    <row r="2252">
      <c r="A2252" s="14" t="s">
        <v>8207</v>
      </c>
      <c r="B2252" s="17" t="s">
        <v>8208</v>
      </c>
      <c r="C2252" s="17" t="s">
        <v>8209</v>
      </c>
      <c r="D2252" s="19" t="s">
        <v>8210</v>
      </c>
      <c r="E2252" s="20" t="s">
        <v>1291</v>
      </c>
      <c r="F2252" s="21">
        <v>17302.0</v>
      </c>
      <c r="G2252" s="14">
        <f t="shared" si="1"/>
        <v>79</v>
      </c>
      <c r="H2252" s="23" t="s">
        <v>27</v>
      </c>
      <c r="I2252" s="24" t="s">
        <v>27</v>
      </c>
      <c r="J2252" s="19" t="s">
        <v>8211</v>
      </c>
      <c r="K2252" s="14">
        <v>34.0</v>
      </c>
      <c r="L2252" s="14">
        <v>0.0</v>
      </c>
      <c r="M2252" s="25"/>
      <c r="N2252" s="26" t="s">
        <v>21</v>
      </c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7"/>
    </row>
    <row r="2253">
      <c r="A2253" s="14" t="s">
        <v>8212</v>
      </c>
      <c r="B2253" s="17" t="s">
        <v>8213</v>
      </c>
      <c r="C2253" s="17" t="s">
        <v>8214</v>
      </c>
      <c r="D2253" s="19" t="s">
        <v>8215</v>
      </c>
      <c r="E2253" s="20" t="s">
        <v>890</v>
      </c>
      <c r="F2253" s="21">
        <v>24244.0</v>
      </c>
      <c r="G2253" s="14">
        <f t="shared" si="1"/>
        <v>60</v>
      </c>
      <c r="H2253" s="23" t="s">
        <v>26</v>
      </c>
      <c r="I2253" s="24" t="s">
        <v>33</v>
      </c>
      <c r="J2253" s="19" t="s">
        <v>5953</v>
      </c>
      <c r="K2253" s="14">
        <v>17.0</v>
      </c>
      <c r="L2253" s="14">
        <v>0.0</v>
      </c>
      <c r="M2253" s="25"/>
      <c r="N2253" s="26" t="s">
        <v>21</v>
      </c>
      <c r="O2253" s="7"/>
      <c r="P2253" s="7"/>
      <c r="Q2253" s="7"/>
      <c r="R2253" s="7"/>
      <c r="S2253" s="7"/>
      <c r="T2253" s="7"/>
      <c r="U2253" s="7"/>
      <c r="V2253" s="7"/>
      <c r="W2253" s="7"/>
      <c r="X2253" s="7"/>
      <c r="Y2253" s="7"/>
    </row>
    <row r="2254">
      <c r="A2254" s="14" t="s">
        <v>8216</v>
      </c>
      <c r="B2254" s="17" t="s">
        <v>8213</v>
      </c>
      <c r="C2254" s="17" t="s">
        <v>8217</v>
      </c>
      <c r="D2254" s="19" t="s">
        <v>8218</v>
      </c>
      <c r="E2254" s="20" t="s">
        <v>1049</v>
      </c>
      <c r="F2254" s="21">
        <v>30539.0</v>
      </c>
      <c r="G2254" s="14">
        <f t="shared" si="1"/>
        <v>43</v>
      </c>
      <c r="H2254" s="23" t="s">
        <v>26</v>
      </c>
      <c r="I2254" s="24" t="s">
        <v>27</v>
      </c>
      <c r="J2254" s="19" t="s">
        <v>5953</v>
      </c>
      <c r="K2254" s="14">
        <v>17.0</v>
      </c>
      <c r="L2254" s="14">
        <v>0.0</v>
      </c>
      <c r="M2254" s="25"/>
      <c r="N2254" s="26" t="s">
        <v>21</v>
      </c>
      <c r="O2254" s="7"/>
      <c r="P2254" s="7"/>
      <c r="Q2254" s="7"/>
      <c r="R2254" s="7"/>
      <c r="S2254" s="7"/>
      <c r="T2254" s="7"/>
      <c r="U2254" s="7"/>
      <c r="V2254" s="7"/>
      <c r="W2254" s="7"/>
      <c r="X2254" s="7"/>
      <c r="Y2254" s="7"/>
    </row>
    <row r="2255">
      <c r="A2255" s="14" t="s">
        <v>8219</v>
      </c>
      <c r="B2255" s="17" t="s">
        <v>8220</v>
      </c>
      <c r="C2255" s="17" t="s">
        <v>8221</v>
      </c>
      <c r="D2255" s="19" t="s">
        <v>8222</v>
      </c>
      <c r="E2255" s="20" t="s">
        <v>210</v>
      </c>
      <c r="F2255" s="21">
        <v>32343.0</v>
      </c>
      <c r="G2255" s="14">
        <f t="shared" si="1"/>
        <v>38</v>
      </c>
      <c r="H2255" s="23" t="s">
        <v>26</v>
      </c>
      <c r="I2255" s="24" t="s">
        <v>33</v>
      </c>
      <c r="J2255" s="19" t="s">
        <v>53</v>
      </c>
      <c r="K2255" s="14">
        <v>22.0</v>
      </c>
      <c r="L2255" s="14">
        <v>0.0</v>
      </c>
      <c r="M2255" s="25"/>
      <c r="N2255" s="26" t="s">
        <v>21</v>
      </c>
      <c r="O2255" s="7"/>
      <c r="P2255" s="7"/>
      <c r="Q2255" s="7"/>
      <c r="R2255" s="7"/>
      <c r="S2255" s="7"/>
      <c r="T2255" s="7"/>
      <c r="U2255" s="7"/>
      <c r="V2255" s="7"/>
      <c r="W2255" s="7"/>
      <c r="X2255" s="7"/>
      <c r="Y2255" s="7"/>
    </row>
    <row r="2256">
      <c r="A2256" s="14" t="s">
        <v>8223</v>
      </c>
      <c r="B2256" s="17" t="s">
        <v>8220</v>
      </c>
      <c r="C2256" s="17" t="s">
        <v>8224</v>
      </c>
      <c r="D2256" s="19" t="s">
        <v>8225</v>
      </c>
      <c r="E2256" s="20" t="s">
        <v>104</v>
      </c>
      <c r="F2256" s="21">
        <v>32737.0</v>
      </c>
      <c r="G2256" s="14">
        <f t="shared" si="1"/>
        <v>37</v>
      </c>
      <c r="H2256" s="23" t="s">
        <v>26</v>
      </c>
      <c r="I2256" s="24" t="s">
        <v>27</v>
      </c>
      <c r="J2256" s="19" t="s">
        <v>53</v>
      </c>
      <c r="K2256" s="14">
        <v>22.0</v>
      </c>
      <c r="L2256" s="14">
        <v>0.0</v>
      </c>
      <c r="M2256" s="25"/>
      <c r="N2256" s="26" t="s">
        <v>21</v>
      </c>
      <c r="O2256" s="7"/>
      <c r="P2256" s="7"/>
      <c r="Q2256" s="7"/>
      <c r="R2256" s="7"/>
      <c r="S2256" s="7"/>
      <c r="T2256" s="7"/>
      <c r="U2256" s="7"/>
      <c r="V2256" s="7"/>
      <c r="W2256" s="7"/>
      <c r="X2256" s="7"/>
      <c r="Y2256" s="7"/>
    </row>
    <row r="2257">
      <c r="A2257" s="14" t="s">
        <v>8226</v>
      </c>
      <c r="B2257" s="17" t="s">
        <v>8227</v>
      </c>
      <c r="C2257" s="17" t="s">
        <v>8228</v>
      </c>
      <c r="D2257" s="19" t="s">
        <v>397</v>
      </c>
      <c r="E2257" s="20" t="s">
        <v>3760</v>
      </c>
      <c r="F2257" s="27">
        <v>32837.0</v>
      </c>
      <c r="G2257" s="14">
        <f t="shared" si="1"/>
        <v>36</v>
      </c>
      <c r="H2257" s="23" t="s">
        <v>26</v>
      </c>
      <c r="I2257" s="24" t="s">
        <v>33</v>
      </c>
      <c r="J2257" s="19" t="s">
        <v>53</v>
      </c>
      <c r="K2257" s="14">
        <v>15.0</v>
      </c>
      <c r="L2257" s="14">
        <v>0.0</v>
      </c>
      <c r="M2257" s="25"/>
      <c r="N2257" s="26" t="s">
        <v>21</v>
      </c>
      <c r="O2257" s="7"/>
      <c r="P2257" s="7"/>
      <c r="Q2257" s="7"/>
      <c r="R2257" s="7"/>
      <c r="S2257" s="7"/>
      <c r="T2257" s="7"/>
      <c r="U2257" s="7"/>
      <c r="V2257" s="7"/>
      <c r="W2257" s="7"/>
      <c r="X2257" s="7"/>
      <c r="Y2257" s="7"/>
    </row>
    <row r="2258">
      <c r="A2258" s="14" t="s">
        <v>8229</v>
      </c>
      <c r="B2258" s="17" t="s">
        <v>8227</v>
      </c>
      <c r="C2258" s="17" t="s">
        <v>8230</v>
      </c>
      <c r="D2258" s="19" t="s">
        <v>8231</v>
      </c>
      <c r="E2258" s="20" t="s">
        <v>8232</v>
      </c>
      <c r="F2258" s="21">
        <v>33645.0</v>
      </c>
      <c r="G2258" s="14">
        <f t="shared" si="1"/>
        <v>34</v>
      </c>
      <c r="H2258" s="23" t="s">
        <v>26</v>
      </c>
      <c r="I2258" s="24" t="s">
        <v>27</v>
      </c>
      <c r="J2258" s="19" t="s">
        <v>53</v>
      </c>
      <c r="K2258" s="14">
        <v>15.0</v>
      </c>
      <c r="L2258" s="14">
        <v>0.0</v>
      </c>
      <c r="M2258" s="25"/>
      <c r="N2258" s="26" t="s">
        <v>21</v>
      </c>
      <c r="O2258" s="7"/>
      <c r="P2258" s="7"/>
      <c r="Q2258" s="7"/>
      <c r="R2258" s="7"/>
      <c r="S2258" s="7"/>
      <c r="T2258" s="7"/>
      <c r="U2258" s="7"/>
      <c r="V2258" s="7"/>
      <c r="W2258" s="7"/>
      <c r="X2258" s="7"/>
      <c r="Y2258" s="7"/>
    </row>
    <row r="2259">
      <c r="A2259" s="14" t="s">
        <v>8233</v>
      </c>
      <c r="B2259" s="17" t="s">
        <v>8234</v>
      </c>
      <c r="C2259" s="17" t="s">
        <v>8235</v>
      </c>
      <c r="D2259" s="19" t="s">
        <v>8236</v>
      </c>
      <c r="E2259" s="20" t="s">
        <v>8237</v>
      </c>
      <c r="F2259" s="21">
        <v>28246.0</v>
      </c>
      <c r="G2259" s="14">
        <f t="shared" si="1"/>
        <v>49</v>
      </c>
      <c r="H2259" s="23" t="s">
        <v>26</v>
      </c>
      <c r="I2259" s="24" t="s">
        <v>33</v>
      </c>
      <c r="J2259" s="19" t="s">
        <v>156</v>
      </c>
      <c r="K2259" s="14">
        <v>35.0</v>
      </c>
      <c r="L2259" s="14">
        <v>5.0</v>
      </c>
      <c r="M2259" s="28" t="s">
        <v>9179</v>
      </c>
      <c r="N2259" s="26" t="s">
        <v>21</v>
      </c>
      <c r="O2259" s="7"/>
      <c r="P2259" s="7"/>
      <c r="Q2259" s="7"/>
      <c r="R2259" s="7"/>
      <c r="S2259" s="7"/>
      <c r="T2259" s="7"/>
      <c r="U2259" s="7"/>
      <c r="V2259" s="7"/>
      <c r="W2259" s="7"/>
      <c r="X2259" s="7"/>
      <c r="Y2259" s="7"/>
    </row>
    <row r="2260">
      <c r="A2260" s="14" t="s">
        <v>8238</v>
      </c>
      <c r="B2260" s="17" t="s">
        <v>8234</v>
      </c>
      <c r="C2260" s="17" t="s">
        <v>8239</v>
      </c>
      <c r="D2260" s="19" t="s">
        <v>8240</v>
      </c>
      <c r="E2260" s="20" t="s">
        <v>67</v>
      </c>
      <c r="F2260" s="21">
        <v>27547.0</v>
      </c>
      <c r="G2260" s="14">
        <f t="shared" si="1"/>
        <v>51</v>
      </c>
      <c r="H2260" s="23" t="s">
        <v>26</v>
      </c>
      <c r="I2260" s="24" t="s">
        <v>27</v>
      </c>
      <c r="J2260" s="19" t="s">
        <v>156</v>
      </c>
      <c r="K2260" s="14">
        <v>35.0</v>
      </c>
      <c r="L2260" s="14">
        <v>5.0</v>
      </c>
      <c r="M2260" s="28" t="s">
        <v>9179</v>
      </c>
      <c r="N2260" s="26" t="s">
        <v>21</v>
      </c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7"/>
    </row>
    <row r="2261">
      <c r="A2261" s="14" t="s">
        <v>8241</v>
      </c>
      <c r="B2261" s="17" t="s">
        <v>8242</v>
      </c>
      <c r="C2261" s="17" t="s">
        <v>8243</v>
      </c>
      <c r="D2261" s="19" t="s">
        <v>8244</v>
      </c>
      <c r="E2261" s="20" t="s">
        <v>138</v>
      </c>
      <c r="F2261" s="27">
        <v>32128.0</v>
      </c>
      <c r="G2261" s="14">
        <f t="shared" si="1"/>
        <v>38</v>
      </c>
      <c r="H2261" s="23" t="s">
        <v>26</v>
      </c>
      <c r="I2261" s="24" t="s">
        <v>27</v>
      </c>
      <c r="J2261" s="19" t="s">
        <v>8245</v>
      </c>
      <c r="K2261" s="14">
        <v>11.0</v>
      </c>
      <c r="L2261" s="14">
        <v>0.0</v>
      </c>
      <c r="M2261" s="25"/>
      <c r="N2261" s="26" t="s">
        <v>21</v>
      </c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</row>
    <row r="2262">
      <c r="A2262" s="14" t="s">
        <v>8246</v>
      </c>
      <c r="B2262" s="17" t="s">
        <v>8242</v>
      </c>
      <c r="C2262" s="17" t="s">
        <v>8247</v>
      </c>
      <c r="D2262" s="19" t="s">
        <v>8248</v>
      </c>
      <c r="E2262" s="20" t="s">
        <v>632</v>
      </c>
      <c r="F2262" s="21">
        <v>26333.0</v>
      </c>
      <c r="G2262" s="14">
        <f t="shared" si="1"/>
        <v>54</v>
      </c>
      <c r="H2262" s="23" t="s">
        <v>26</v>
      </c>
      <c r="I2262" s="24" t="s">
        <v>33</v>
      </c>
      <c r="J2262" s="19" t="s">
        <v>8245</v>
      </c>
      <c r="K2262" s="14">
        <v>11.0</v>
      </c>
      <c r="L2262" s="14">
        <v>0.0</v>
      </c>
      <c r="M2262" s="25"/>
      <c r="N2262" s="26" t="s">
        <v>21</v>
      </c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7"/>
    </row>
    <row r="2263">
      <c r="A2263" s="14" t="s">
        <v>8249</v>
      </c>
      <c r="B2263" s="17" t="s">
        <v>8250</v>
      </c>
      <c r="C2263" s="17" t="s">
        <v>8251</v>
      </c>
      <c r="D2263" s="19" t="s">
        <v>6665</v>
      </c>
      <c r="E2263" s="20" t="s">
        <v>4792</v>
      </c>
      <c r="F2263" s="21">
        <v>26852.0</v>
      </c>
      <c r="G2263" s="14">
        <f t="shared" si="1"/>
        <v>53</v>
      </c>
      <c r="H2263" s="23" t="s">
        <v>26</v>
      </c>
      <c r="I2263" s="24" t="s">
        <v>27</v>
      </c>
      <c r="J2263" s="19" t="s">
        <v>53</v>
      </c>
      <c r="K2263" s="14">
        <v>30.0</v>
      </c>
      <c r="L2263" s="14">
        <v>0.0</v>
      </c>
      <c r="M2263" s="25"/>
      <c r="N2263" s="26" t="s">
        <v>21</v>
      </c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7"/>
    </row>
    <row r="2264">
      <c r="A2264" s="14" t="s">
        <v>8252</v>
      </c>
      <c r="B2264" s="17" t="s">
        <v>8250</v>
      </c>
      <c r="C2264" s="17" t="s">
        <v>8253</v>
      </c>
      <c r="D2264" s="19" t="s">
        <v>8254</v>
      </c>
      <c r="E2264" s="20" t="s">
        <v>6944</v>
      </c>
      <c r="F2264" s="21">
        <v>38865.0</v>
      </c>
      <c r="G2264" s="14">
        <f t="shared" si="1"/>
        <v>20</v>
      </c>
      <c r="H2264" s="23" t="s">
        <v>100</v>
      </c>
      <c r="I2264" s="24" t="s">
        <v>27</v>
      </c>
      <c r="J2264" s="19" t="s">
        <v>53</v>
      </c>
      <c r="K2264" s="14">
        <v>30.0</v>
      </c>
      <c r="L2264" s="14">
        <v>0.0</v>
      </c>
      <c r="M2264" s="25"/>
      <c r="N2264" s="26" t="s">
        <v>21</v>
      </c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7"/>
    </row>
    <row r="2265">
      <c r="A2265" s="14" t="s">
        <v>8255</v>
      </c>
      <c r="B2265" s="17" t="s">
        <v>8250</v>
      </c>
      <c r="C2265" s="17" t="s">
        <v>8256</v>
      </c>
      <c r="D2265" s="19" t="s">
        <v>8257</v>
      </c>
      <c r="E2265" s="20" t="s">
        <v>4792</v>
      </c>
      <c r="F2265" s="21">
        <v>36935.0</v>
      </c>
      <c r="G2265" s="14">
        <f t="shared" si="1"/>
        <v>25</v>
      </c>
      <c r="H2265" s="23" t="s">
        <v>100</v>
      </c>
      <c r="I2265" s="24" t="s">
        <v>33</v>
      </c>
      <c r="J2265" s="19" t="s">
        <v>53</v>
      </c>
      <c r="K2265" s="14">
        <v>30.0</v>
      </c>
      <c r="L2265" s="14">
        <v>0.0</v>
      </c>
      <c r="M2265" s="25"/>
      <c r="N2265" s="26" t="s">
        <v>21</v>
      </c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7"/>
    </row>
    <row r="2266">
      <c r="A2266" s="14" t="s">
        <v>8258</v>
      </c>
      <c r="B2266" s="17" t="s">
        <v>8250</v>
      </c>
      <c r="C2266" s="17" t="s">
        <v>8259</v>
      </c>
      <c r="D2266" s="19" t="s">
        <v>8260</v>
      </c>
      <c r="E2266" s="20" t="s">
        <v>592</v>
      </c>
      <c r="F2266" s="21">
        <v>26424.0</v>
      </c>
      <c r="G2266" s="14">
        <f t="shared" si="1"/>
        <v>54</v>
      </c>
      <c r="H2266" s="23" t="s">
        <v>26</v>
      </c>
      <c r="I2266" s="24" t="s">
        <v>33</v>
      </c>
      <c r="J2266" s="19" t="s">
        <v>53</v>
      </c>
      <c r="K2266" s="14">
        <v>30.0</v>
      </c>
      <c r="L2266" s="14">
        <v>0.0</v>
      </c>
      <c r="M2266" s="25"/>
      <c r="N2266" s="26" t="s">
        <v>21</v>
      </c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7"/>
    </row>
    <row r="2267">
      <c r="A2267" s="14" t="s">
        <v>8261</v>
      </c>
      <c r="B2267" s="17" t="s">
        <v>8262</v>
      </c>
      <c r="C2267" s="17" t="s">
        <v>8263</v>
      </c>
      <c r="D2267" s="19" t="s">
        <v>8264</v>
      </c>
      <c r="E2267" s="20" t="s">
        <v>8265</v>
      </c>
      <c r="F2267" s="21">
        <v>32950.0</v>
      </c>
      <c r="G2267" s="14">
        <f t="shared" si="1"/>
        <v>36</v>
      </c>
      <c r="H2267" s="23" t="s">
        <v>26</v>
      </c>
      <c r="I2267" s="24" t="s">
        <v>33</v>
      </c>
      <c r="J2267" s="19" t="s">
        <v>328</v>
      </c>
      <c r="K2267" s="14">
        <v>24.0</v>
      </c>
      <c r="L2267" s="14">
        <v>0.0</v>
      </c>
      <c r="M2267" s="25"/>
      <c r="N2267" s="26" t="s">
        <v>21</v>
      </c>
      <c r="O2267" s="7"/>
      <c r="P2267" s="7"/>
      <c r="Q2267" s="7"/>
      <c r="R2267" s="7"/>
      <c r="S2267" s="7"/>
      <c r="T2267" s="7"/>
      <c r="U2267" s="7"/>
      <c r="V2267" s="7"/>
      <c r="W2267" s="7"/>
      <c r="X2267" s="7"/>
      <c r="Y2267" s="7"/>
    </row>
    <row r="2268">
      <c r="A2268" s="14" t="s">
        <v>8266</v>
      </c>
      <c r="B2268" s="17" t="s">
        <v>8262</v>
      </c>
      <c r="C2268" s="17" t="s">
        <v>8267</v>
      </c>
      <c r="D2268" s="19" t="s">
        <v>8268</v>
      </c>
      <c r="E2268" s="20" t="s">
        <v>53</v>
      </c>
      <c r="F2268" s="27">
        <v>33168.0</v>
      </c>
      <c r="G2268" s="14">
        <f t="shared" si="1"/>
        <v>36</v>
      </c>
      <c r="H2268" s="23" t="s">
        <v>26</v>
      </c>
      <c r="I2268" s="24" t="s">
        <v>27</v>
      </c>
      <c r="J2268" s="19" t="s">
        <v>328</v>
      </c>
      <c r="K2268" s="14">
        <v>24.0</v>
      </c>
      <c r="L2268" s="14">
        <v>0.0</v>
      </c>
      <c r="M2268" s="25"/>
      <c r="N2268" s="26" t="s">
        <v>21</v>
      </c>
      <c r="O2268" s="7"/>
      <c r="P2268" s="7"/>
      <c r="Q2268" s="7"/>
      <c r="R2268" s="7"/>
      <c r="S2268" s="7"/>
      <c r="T2268" s="7"/>
      <c r="U2268" s="7"/>
      <c r="V2268" s="7"/>
      <c r="W2268" s="7"/>
      <c r="X2268" s="7"/>
      <c r="Y2268" s="7"/>
    </row>
    <row r="2269">
      <c r="A2269" s="14" t="s">
        <v>8269</v>
      </c>
      <c r="B2269" s="17" t="s">
        <v>8270</v>
      </c>
      <c r="C2269" s="17" t="s">
        <v>8271</v>
      </c>
      <c r="D2269" s="19" t="s">
        <v>8272</v>
      </c>
      <c r="E2269" s="20" t="s">
        <v>104</v>
      </c>
      <c r="F2269" s="27">
        <v>35052.0</v>
      </c>
      <c r="G2269" s="14">
        <f t="shared" si="1"/>
        <v>30</v>
      </c>
      <c r="H2269" s="23" t="s">
        <v>26</v>
      </c>
      <c r="I2269" s="24" t="s">
        <v>27</v>
      </c>
      <c r="J2269" s="19" t="s">
        <v>726</v>
      </c>
      <c r="K2269" s="14">
        <v>12.0</v>
      </c>
      <c r="L2269" s="14">
        <v>0.0</v>
      </c>
      <c r="M2269" s="25"/>
      <c r="N2269" s="26" t="s">
        <v>21</v>
      </c>
      <c r="O2269" s="7"/>
      <c r="P2269" s="7"/>
      <c r="Q2269" s="7"/>
      <c r="R2269" s="7"/>
      <c r="S2269" s="7"/>
      <c r="T2269" s="7"/>
      <c r="U2269" s="7"/>
      <c r="V2269" s="7"/>
      <c r="W2269" s="7"/>
      <c r="X2269" s="7"/>
      <c r="Y2269" s="7"/>
    </row>
    <row r="2270">
      <c r="A2270" s="14" t="s">
        <v>8273</v>
      </c>
      <c r="B2270" s="17" t="s">
        <v>8270</v>
      </c>
      <c r="C2270" s="17" t="s">
        <v>8274</v>
      </c>
      <c r="D2270" s="19" t="s">
        <v>4399</v>
      </c>
      <c r="E2270" s="20" t="s">
        <v>210</v>
      </c>
      <c r="F2270" s="21">
        <v>33108.0</v>
      </c>
      <c r="G2270" s="14">
        <f t="shared" si="1"/>
        <v>36</v>
      </c>
      <c r="H2270" s="23" t="s">
        <v>26</v>
      </c>
      <c r="I2270" s="24" t="s">
        <v>33</v>
      </c>
      <c r="J2270" s="19" t="s">
        <v>726</v>
      </c>
      <c r="K2270" s="14">
        <v>12.0</v>
      </c>
      <c r="L2270" s="14">
        <v>0.0</v>
      </c>
      <c r="M2270" s="25"/>
      <c r="N2270" s="26" t="s">
        <v>21</v>
      </c>
      <c r="O2270" s="7"/>
      <c r="P2270" s="7"/>
      <c r="Q2270" s="7"/>
      <c r="R2270" s="7"/>
      <c r="S2270" s="7"/>
      <c r="T2270" s="7"/>
      <c r="U2270" s="7"/>
      <c r="V2270" s="7"/>
      <c r="W2270" s="7"/>
      <c r="X2270" s="7"/>
      <c r="Y2270" s="7"/>
    </row>
    <row r="2271">
      <c r="A2271" s="14" t="s">
        <v>8275</v>
      </c>
      <c r="B2271" s="17" t="s">
        <v>8276</v>
      </c>
      <c r="C2271" s="17" t="s">
        <v>8277</v>
      </c>
      <c r="D2271" s="19" t="s">
        <v>8278</v>
      </c>
      <c r="E2271" s="20" t="s">
        <v>337</v>
      </c>
      <c r="F2271" s="21">
        <v>37516.0</v>
      </c>
      <c r="G2271" s="14">
        <f t="shared" si="1"/>
        <v>24</v>
      </c>
      <c r="H2271" s="23" t="s">
        <v>100</v>
      </c>
      <c r="I2271" s="24" t="s">
        <v>27</v>
      </c>
      <c r="J2271" s="19" t="s">
        <v>2336</v>
      </c>
      <c r="K2271" s="14">
        <v>24.0</v>
      </c>
      <c r="L2271" s="14">
        <v>0.0</v>
      </c>
      <c r="M2271" s="25"/>
      <c r="N2271" s="26" t="s">
        <v>21</v>
      </c>
      <c r="O2271" s="7"/>
      <c r="P2271" s="7"/>
      <c r="Q2271" s="7"/>
      <c r="R2271" s="7"/>
      <c r="S2271" s="7"/>
      <c r="T2271" s="7"/>
      <c r="U2271" s="7"/>
      <c r="V2271" s="7"/>
      <c r="W2271" s="7"/>
      <c r="X2271" s="7"/>
      <c r="Y2271" s="7"/>
    </row>
    <row r="2272">
      <c r="A2272" s="14" t="s">
        <v>8279</v>
      </c>
      <c r="B2272" s="17" t="s">
        <v>8276</v>
      </c>
      <c r="C2272" s="17" t="s">
        <v>8280</v>
      </c>
      <c r="D2272" s="19" t="s">
        <v>8281</v>
      </c>
      <c r="E2272" s="20" t="s">
        <v>8282</v>
      </c>
      <c r="F2272" s="21">
        <v>39022.0</v>
      </c>
      <c r="G2272" s="14">
        <f t="shared" si="1"/>
        <v>19</v>
      </c>
      <c r="H2272" s="23" t="s">
        <v>100</v>
      </c>
      <c r="I2272" s="24" t="s">
        <v>33</v>
      </c>
      <c r="J2272" s="19" t="s">
        <v>2336</v>
      </c>
      <c r="K2272" s="14">
        <v>24.0</v>
      </c>
      <c r="L2272" s="14">
        <v>0.0</v>
      </c>
      <c r="M2272" s="25"/>
      <c r="N2272" s="26" t="s">
        <v>21</v>
      </c>
      <c r="O2272" s="7"/>
      <c r="P2272" s="7"/>
      <c r="Q2272" s="7"/>
      <c r="R2272" s="7"/>
      <c r="S2272" s="7"/>
      <c r="T2272" s="7"/>
      <c r="U2272" s="7"/>
      <c r="V2272" s="7"/>
      <c r="W2272" s="7"/>
      <c r="X2272" s="7"/>
      <c r="Y2272" s="7"/>
    </row>
    <row r="2273">
      <c r="A2273" s="14" t="s">
        <v>8283</v>
      </c>
      <c r="B2273" s="17" t="s">
        <v>8276</v>
      </c>
      <c r="C2273" s="17" t="s">
        <v>8284</v>
      </c>
      <c r="D2273" s="19" t="s">
        <v>7870</v>
      </c>
      <c r="E2273" s="20" t="s">
        <v>654</v>
      </c>
      <c r="F2273" s="21">
        <v>27733.0</v>
      </c>
      <c r="G2273" s="14">
        <f t="shared" si="1"/>
        <v>50</v>
      </c>
      <c r="H2273" s="23" t="s">
        <v>26</v>
      </c>
      <c r="I2273" s="24" t="s">
        <v>33</v>
      </c>
      <c r="J2273" s="19" t="s">
        <v>2336</v>
      </c>
      <c r="K2273" s="14">
        <v>24.0</v>
      </c>
      <c r="L2273" s="14">
        <v>0.0</v>
      </c>
      <c r="M2273" s="25"/>
      <c r="N2273" s="26" t="s">
        <v>21</v>
      </c>
      <c r="O2273" s="7"/>
      <c r="P2273" s="7"/>
      <c r="Q2273" s="7"/>
      <c r="R2273" s="7"/>
      <c r="S2273" s="7"/>
      <c r="T2273" s="7"/>
      <c r="U2273" s="7"/>
      <c r="V2273" s="7"/>
      <c r="W2273" s="7"/>
      <c r="X2273" s="7"/>
      <c r="Y2273" s="7"/>
    </row>
    <row r="2274">
      <c r="A2274" s="14" t="s">
        <v>8285</v>
      </c>
      <c r="B2274" s="17" t="s">
        <v>8276</v>
      </c>
      <c r="C2274" s="17" t="s">
        <v>8286</v>
      </c>
      <c r="D2274" s="19" t="s">
        <v>7402</v>
      </c>
      <c r="E2274" s="20" t="s">
        <v>195</v>
      </c>
      <c r="F2274" s="27">
        <v>29947.0</v>
      </c>
      <c r="G2274" s="14">
        <f t="shared" si="1"/>
        <v>44</v>
      </c>
      <c r="H2274" s="23" t="s">
        <v>26</v>
      </c>
      <c r="I2274" s="24" t="s">
        <v>27</v>
      </c>
      <c r="J2274" s="19" t="s">
        <v>2336</v>
      </c>
      <c r="K2274" s="14">
        <v>24.0</v>
      </c>
      <c r="L2274" s="14">
        <v>0.0</v>
      </c>
      <c r="M2274" s="25"/>
      <c r="N2274" s="26" t="s">
        <v>21</v>
      </c>
      <c r="O2274" s="7"/>
      <c r="P2274" s="7"/>
      <c r="Q2274" s="7"/>
      <c r="R2274" s="7"/>
      <c r="S2274" s="7"/>
      <c r="T2274" s="7"/>
      <c r="U2274" s="7"/>
      <c r="V2274" s="7"/>
      <c r="W2274" s="7"/>
      <c r="X2274" s="7"/>
      <c r="Y2274" s="7"/>
    </row>
    <row r="2275">
      <c r="A2275" s="14" t="s">
        <v>8287</v>
      </c>
      <c r="B2275" s="17" t="s">
        <v>8288</v>
      </c>
      <c r="C2275" s="17" t="s">
        <v>8289</v>
      </c>
      <c r="D2275" s="19" t="s">
        <v>8290</v>
      </c>
      <c r="E2275" s="20" t="s">
        <v>104</v>
      </c>
      <c r="F2275" s="21">
        <v>37349.0</v>
      </c>
      <c r="G2275" s="14">
        <f t="shared" si="1"/>
        <v>24</v>
      </c>
      <c r="H2275" s="23" t="s">
        <v>100</v>
      </c>
      <c r="I2275" s="24" t="s">
        <v>33</v>
      </c>
      <c r="J2275" s="19" t="s">
        <v>2336</v>
      </c>
      <c r="K2275" s="14">
        <v>24.0</v>
      </c>
      <c r="L2275" s="14">
        <v>0.0</v>
      </c>
      <c r="M2275" s="25"/>
      <c r="N2275" s="26" t="s">
        <v>21</v>
      </c>
      <c r="O2275" s="7"/>
      <c r="P2275" s="7"/>
      <c r="Q2275" s="7"/>
      <c r="R2275" s="7"/>
      <c r="S2275" s="7"/>
      <c r="T2275" s="7"/>
      <c r="U2275" s="7"/>
      <c r="V2275" s="7"/>
      <c r="W2275" s="7"/>
      <c r="X2275" s="7"/>
      <c r="Y2275" s="7"/>
    </row>
    <row r="2276">
      <c r="A2276" s="14" t="s">
        <v>8291</v>
      </c>
      <c r="B2276" s="17" t="s">
        <v>8288</v>
      </c>
      <c r="C2276" s="17" t="s">
        <v>8292</v>
      </c>
      <c r="D2276" s="19" t="s">
        <v>8293</v>
      </c>
      <c r="E2276" s="20" t="s">
        <v>5046</v>
      </c>
      <c r="F2276" s="21">
        <v>21716.0</v>
      </c>
      <c r="G2276" s="14">
        <f t="shared" si="1"/>
        <v>67</v>
      </c>
      <c r="H2276" s="23" t="s">
        <v>26</v>
      </c>
      <c r="I2276" s="24" t="s">
        <v>33</v>
      </c>
      <c r="J2276" s="19" t="s">
        <v>2336</v>
      </c>
      <c r="K2276" s="14">
        <v>24.0</v>
      </c>
      <c r="L2276" s="14">
        <v>0.0</v>
      </c>
      <c r="M2276" s="25"/>
      <c r="N2276" s="26" t="s">
        <v>21</v>
      </c>
      <c r="O2276" s="7"/>
      <c r="P2276" s="7"/>
      <c r="Q2276" s="7"/>
      <c r="R2276" s="7"/>
      <c r="S2276" s="7"/>
      <c r="T2276" s="7"/>
      <c r="U2276" s="7"/>
      <c r="V2276" s="7"/>
      <c r="W2276" s="7"/>
      <c r="X2276" s="7"/>
      <c r="Y2276" s="7"/>
    </row>
    <row r="2277">
      <c r="A2277" s="14" t="s">
        <v>8294</v>
      </c>
      <c r="B2277" s="17" t="s">
        <v>8288</v>
      </c>
      <c r="C2277" s="17" t="s">
        <v>8296</v>
      </c>
      <c r="D2277" s="19" t="s">
        <v>8297</v>
      </c>
      <c r="E2277" s="20" t="s">
        <v>654</v>
      </c>
      <c r="F2277" s="21">
        <v>27214.0</v>
      </c>
      <c r="G2277" s="14">
        <f t="shared" si="1"/>
        <v>52</v>
      </c>
      <c r="H2277" s="23" t="s">
        <v>26</v>
      </c>
      <c r="I2277" s="24" t="s">
        <v>27</v>
      </c>
      <c r="J2277" s="19" t="s">
        <v>2336</v>
      </c>
      <c r="K2277" s="14">
        <v>24.0</v>
      </c>
      <c r="L2277" s="14">
        <v>0.0</v>
      </c>
      <c r="M2277" s="25"/>
      <c r="N2277" s="26" t="s">
        <v>21</v>
      </c>
      <c r="O2277" s="7"/>
      <c r="P2277" s="7"/>
      <c r="Q2277" s="7"/>
      <c r="R2277" s="7"/>
      <c r="S2277" s="7"/>
      <c r="T2277" s="7"/>
      <c r="U2277" s="7"/>
      <c r="V2277" s="7"/>
      <c r="W2277" s="7"/>
      <c r="X2277" s="7"/>
      <c r="Y2277" s="7"/>
    </row>
    <row r="2278">
      <c r="A2278" s="14" t="s">
        <v>8298</v>
      </c>
      <c r="B2278" s="17" t="s">
        <v>8299</v>
      </c>
      <c r="C2278" s="17" t="s">
        <v>8300</v>
      </c>
      <c r="D2278" s="19" t="s">
        <v>8301</v>
      </c>
      <c r="E2278" s="20" t="s">
        <v>8302</v>
      </c>
      <c r="F2278" s="21">
        <v>25877.0</v>
      </c>
      <c r="G2278" s="14">
        <f t="shared" si="1"/>
        <v>55</v>
      </c>
      <c r="H2278" s="23" t="s">
        <v>26</v>
      </c>
      <c r="I2278" s="24" t="s">
        <v>27</v>
      </c>
      <c r="J2278" s="19" t="s">
        <v>8211</v>
      </c>
      <c r="K2278" s="14">
        <v>34.0</v>
      </c>
      <c r="L2278" s="14">
        <v>0.0</v>
      </c>
      <c r="M2278" s="25"/>
      <c r="N2278" s="26" t="s">
        <v>21</v>
      </c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7"/>
    </row>
    <row r="2279">
      <c r="A2279" s="14" t="s">
        <v>8303</v>
      </c>
      <c r="B2279" s="17" t="s">
        <v>8299</v>
      </c>
      <c r="C2279" s="17" t="s">
        <v>8304</v>
      </c>
      <c r="D2279" s="19" t="s">
        <v>8305</v>
      </c>
      <c r="E2279" s="20" t="s">
        <v>650</v>
      </c>
      <c r="F2279" s="21">
        <v>23924.0</v>
      </c>
      <c r="G2279" s="14">
        <f t="shared" si="1"/>
        <v>61</v>
      </c>
      <c r="H2279" s="23" t="s">
        <v>26</v>
      </c>
      <c r="I2279" s="24" t="s">
        <v>33</v>
      </c>
      <c r="J2279" s="19" t="s">
        <v>8211</v>
      </c>
      <c r="K2279" s="14">
        <v>34.0</v>
      </c>
      <c r="L2279" s="14">
        <v>0.0</v>
      </c>
      <c r="M2279" s="25"/>
      <c r="N2279" s="26" t="s">
        <v>21</v>
      </c>
      <c r="O2279" s="7"/>
      <c r="P2279" s="7"/>
      <c r="Q2279" s="7"/>
      <c r="R2279" s="7"/>
      <c r="S2279" s="7"/>
      <c r="T2279" s="7"/>
      <c r="U2279" s="7"/>
      <c r="V2279" s="7"/>
      <c r="W2279" s="7"/>
      <c r="X2279" s="7"/>
      <c r="Y2279" s="7"/>
    </row>
    <row r="2280">
      <c r="A2280" s="14" t="s">
        <v>8306</v>
      </c>
      <c r="B2280" s="17" t="s">
        <v>8307</v>
      </c>
      <c r="C2280" s="17" t="s">
        <v>8308</v>
      </c>
      <c r="D2280" s="19" t="s">
        <v>4633</v>
      </c>
      <c r="E2280" s="20" t="s">
        <v>53</v>
      </c>
      <c r="F2280" s="21">
        <v>31608.0</v>
      </c>
      <c r="G2280" s="14">
        <f t="shared" si="1"/>
        <v>40</v>
      </c>
      <c r="H2280" s="23" t="s">
        <v>26</v>
      </c>
      <c r="I2280" s="24" t="s">
        <v>27</v>
      </c>
      <c r="J2280" s="19" t="s">
        <v>8211</v>
      </c>
      <c r="K2280" s="14">
        <v>34.0</v>
      </c>
      <c r="L2280" s="14">
        <v>0.0</v>
      </c>
      <c r="M2280" s="25"/>
      <c r="N2280" s="26" t="s">
        <v>21</v>
      </c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7"/>
    </row>
    <row r="2281">
      <c r="A2281" s="14" t="s">
        <v>8309</v>
      </c>
      <c r="B2281" s="17" t="s">
        <v>8310</v>
      </c>
      <c r="C2281" s="17" t="s">
        <v>8311</v>
      </c>
      <c r="D2281" s="19" t="s">
        <v>8312</v>
      </c>
      <c r="E2281" s="20" t="s">
        <v>1291</v>
      </c>
      <c r="F2281" s="21">
        <v>18798.0</v>
      </c>
      <c r="G2281" s="14">
        <f t="shared" si="1"/>
        <v>75</v>
      </c>
      <c r="H2281" s="23" t="s">
        <v>26</v>
      </c>
      <c r="I2281" s="24" t="s">
        <v>33</v>
      </c>
      <c r="J2281" s="19" t="s">
        <v>8211</v>
      </c>
      <c r="K2281" s="14">
        <v>34.0</v>
      </c>
      <c r="L2281" s="14">
        <v>0.0</v>
      </c>
      <c r="M2281" s="25"/>
      <c r="N2281" s="26" t="s">
        <v>21</v>
      </c>
      <c r="O2281" s="7"/>
      <c r="P2281" s="7"/>
      <c r="Q2281" s="7"/>
      <c r="R2281" s="7"/>
      <c r="S2281" s="7"/>
      <c r="T2281" s="7"/>
      <c r="U2281" s="7"/>
      <c r="V2281" s="7"/>
      <c r="W2281" s="7"/>
      <c r="X2281" s="7"/>
      <c r="Y2281" s="7"/>
    </row>
    <row r="2282">
      <c r="A2282" s="14" t="s">
        <v>8313</v>
      </c>
      <c r="B2282" s="17" t="s">
        <v>8310</v>
      </c>
      <c r="C2282" s="17" t="s">
        <v>8314</v>
      </c>
      <c r="D2282" s="19" t="s">
        <v>8210</v>
      </c>
      <c r="E2282" s="20" t="s">
        <v>1291</v>
      </c>
      <c r="F2282" s="21">
        <v>21310.0</v>
      </c>
      <c r="G2282" s="14">
        <f t="shared" si="1"/>
        <v>68</v>
      </c>
      <c r="H2282" s="23" t="s">
        <v>26</v>
      </c>
      <c r="I2282" s="24" t="s">
        <v>27</v>
      </c>
      <c r="J2282" s="19" t="s">
        <v>156</v>
      </c>
      <c r="K2282" s="14">
        <v>34.0</v>
      </c>
      <c r="L2282" s="14">
        <v>0.0</v>
      </c>
      <c r="M2282" s="25"/>
      <c r="N2282" s="26" t="s">
        <v>21</v>
      </c>
      <c r="O2282" s="7"/>
      <c r="P2282" s="7"/>
      <c r="Q2282" s="7"/>
      <c r="R2282" s="7"/>
      <c r="S2282" s="7"/>
      <c r="T2282" s="7"/>
      <c r="U2282" s="7"/>
      <c r="V2282" s="7"/>
      <c r="W2282" s="7"/>
      <c r="X2282" s="7"/>
      <c r="Y2282" s="7"/>
    </row>
    <row r="2283">
      <c r="A2283" s="14" t="s">
        <v>8315</v>
      </c>
      <c r="B2283" s="17" t="s">
        <v>8316</v>
      </c>
      <c r="C2283" s="17" t="s">
        <v>8317</v>
      </c>
      <c r="D2283" s="19" t="s">
        <v>8318</v>
      </c>
      <c r="E2283" s="20" t="s">
        <v>1291</v>
      </c>
      <c r="F2283" s="27">
        <v>19346.0</v>
      </c>
      <c r="G2283" s="14">
        <f t="shared" si="1"/>
        <v>73</v>
      </c>
      <c r="H2283" s="23" t="s">
        <v>27</v>
      </c>
      <c r="I2283" s="24" t="s">
        <v>33</v>
      </c>
      <c r="J2283" s="19" t="s">
        <v>68</v>
      </c>
      <c r="K2283" s="14">
        <v>34.0</v>
      </c>
      <c r="L2283" s="14">
        <v>0.0</v>
      </c>
      <c r="M2283" s="25"/>
      <c r="N2283" s="26" t="s">
        <v>21</v>
      </c>
      <c r="O2283" s="7"/>
      <c r="P2283" s="7"/>
      <c r="Q2283" s="7"/>
      <c r="R2283" s="7"/>
      <c r="S2283" s="7"/>
      <c r="T2283" s="7"/>
      <c r="U2283" s="7"/>
      <c r="V2283" s="7"/>
      <c r="W2283" s="7"/>
      <c r="X2283" s="7"/>
      <c r="Y2283" s="7"/>
    </row>
    <row r="2284">
      <c r="A2284" s="14" t="s">
        <v>8319</v>
      </c>
      <c r="B2284" s="17" t="s">
        <v>8320</v>
      </c>
      <c r="C2284" s="17" t="s">
        <v>8321</v>
      </c>
      <c r="D2284" s="19" t="s">
        <v>8322</v>
      </c>
      <c r="E2284" s="20" t="s">
        <v>8323</v>
      </c>
      <c r="F2284" s="21">
        <v>30141.0</v>
      </c>
      <c r="G2284" s="14">
        <f t="shared" si="1"/>
        <v>44</v>
      </c>
      <c r="H2284" s="23" t="s">
        <v>26</v>
      </c>
      <c r="I2284" s="24" t="s">
        <v>27</v>
      </c>
      <c r="J2284" s="19" t="s">
        <v>156</v>
      </c>
      <c r="K2284" s="14">
        <v>34.0</v>
      </c>
      <c r="L2284" s="14">
        <v>0.0</v>
      </c>
      <c r="M2284" s="25"/>
      <c r="N2284" s="26" t="s">
        <v>21</v>
      </c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</row>
    <row r="2285">
      <c r="A2285" s="14" t="s">
        <v>8324</v>
      </c>
      <c r="B2285" s="17" t="s">
        <v>8320</v>
      </c>
      <c r="C2285" s="17" t="s">
        <v>8325</v>
      </c>
      <c r="D2285" s="19" t="s">
        <v>8326</v>
      </c>
      <c r="E2285" s="20" t="s">
        <v>104</v>
      </c>
      <c r="F2285" s="21">
        <v>27557.0</v>
      </c>
      <c r="G2285" s="14">
        <f t="shared" si="1"/>
        <v>51</v>
      </c>
      <c r="H2285" s="23" t="s">
        <v>26</v>
      </c>
      <c r="I2285" s="24" t="s">
        <v>33</v>
      </c>
      <c r="J2285" s="19" t="s">
        <v>156</v>
      </c>
      <c r="K2285" s="14">
        <v>34.0</v>
      </c>
      <c r="L2285" s="14">
        <v>0.0</v>
      </c>
      <c r="M2285" s="25"/>
      <c r="N2285" s="26" t="s">
        <v>21</v>
      </c>
      <c r="O2285" s="7"/>
      <c r="P2285" s="7"/>
      <c r="Q2285" s="7"/>
      <c r="R2285" s="7"/>
      <c r="S2285" s="7"/>
      <c r="T2285" s="7"/>
      <c r="U2285" s="7"/>
      <c r="V2285" s="7"/>
      <c r="W2285" s="7"/>
      <c r="X2285" s="7"/>
      <c r="Y2285" s="7"/>
    </row>
    <row r="2286">
      <c r="A2286" s="14" t="s">
        <v>8327</v>
      </c>
      <c r="B2286" s="17" t="s">
        <v>8328</v>
      </c>
      <c r="C2286" s="17" t="s">
        <v>8329</v>
      </c>
      <c r="D2286" s="19" t="s">
        <v>8330</v>
      </c>
      <c r="E2286" s="20" t="s">
        <v>8323</v>
      </c>
      <c r="F2286" s="27">
        <v>24035.0</v>
      </c>
      <c r="G2286" s="14">
        <f t="shared" si="1"/>
        <v>61</v>
      </c>
      <c r="H2286" s="23" t="s">
        <v>27</v>
      </c>
      <c r="I2286" s="24" t="s">
        <v>33</v>
      </c>
      <c r="J2286" s="19" t="s">
        <v>8211</v>
      </c>
      <c r="K2286" s="14">
        <v>34.0</v>
      </c>
      <c r="L2286" s="14">
        <v>1.0</v>
      </c>
      <c r="M2286" s="25"/>
      <c r="N2286" s="26" t="s">
        <v>21</v>
      </c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7"/>
    </row>
    <row r="2287">
      <c r="A2287" s="14" t="s">
        <v>8331</v>
      </c>
      <c r="B2287" s="17" t="s">
        <v>8332</v>
      </c>
      <c r="C2287" s="17" t="s">
        <v>8333</v>
      </c>
      <c r="D2287" s="19" t="s">
        <v>8334</v>
      </c>
      <c r="E2287" s="20" t="s">
        <v>104</v>
      </c>
      <c r="F2287" s="21">
        <v>37816.0</v>
      </c>
      <c r="G2287" s="14">
        <f t="shared" si="1"/>
        <v>23</v>
      </c>
      <c r="H2287" s="23" t="s">
        <v>100</v>
      </c>
      <c r="I2287" s="24" t="s">
        <v>33</v>
      </c>
      <c r="J2287" s="19" t="s">
        <v>53</v>
      </c>
      <c r="K2287" s="14">
        <v>3.0</v>
      </c>
      <c r="L2287" s="14">
        <v>0.0</v>
      </c>
      <c r="M2287" s="25"/>
      <c r="N2287" s="26" t="s">
        <v>21</v>
      </c>
      <c r="O2287" s="7"/>
      <c r="P2287" s="7"/>
      <c r="Q2287" s="7"/>
      <c r="R2287" s="7"/>
      <c r="S2287" s="7"/>
      <c r="T2287" s="7"/>
      <c r="U2287" s="7"/>
      <c r="V2287" s="7"/>
      <c r="W2287" s="7"/>
      <c r="X2287" s="7"/>
      <c r="Y2287" s="7"/>
    </row>
    <row r="2288">
      <c r="A2288" s="14" t="s">
        <v>8335</v>
      </c>
      <c r="B2288" s="17" t="s">
        <v>8332</v>
      </c>
      <c r="C2288" s="17" t="s">
        <v>8336</v>
      </c>
      <c r="D2288" s="19" t="s">
        <v>8337</v>
      </c>
      <c r="E2288" s="20" t="s">
        <v>632</v>
      </c>
      <c r="F2288" s="21">
        <v>27259.0</v>
      </c>
      <c r="G2288" s="14">
        <f t="shared" si="1"/>
        <v>52</v>
      </c>
      <c r="H2288" s="23" t="s">
        <v>26</v>
      </c>
      <c r="I2288" s="24" t="s">
        <v>27</v>
      </c>
      <c r="J2288" s="19" t="s">
        <v>53</v>
      </c>
      <c r="K2288" s="14">
        <v>3.0</v>
      </c>
      <c r="L2288" s="14">
        <v>0.0</v>
      </c>
      <c r="M2288" s="25"/>
      <c r="N2288" s="26" t="s">
        <v>21</v>
      </c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7"/>
    </row>
    <row r="2289">
      <c r="A2289" s="14" t="s">
        <v>8338</v>
      </c>
      <c r="B2289" s="17" t="s">
        <v>8332</v>
      </c>
      <c r="C2289" s="17" t="s">
        <v>8339</v>
      </c>
      <c r="D2289" s="19" t="s">
        <v>1282</v>
      </c>
      <c r="E2289" s="20" t="s">
        <v>632</v>
      </c>
      <c r="F2289" s="27">
        <v>25184.0</v>
      </c>
      <c r="G2289" s="14">
        <f t="shared" si="1"/>
        <v>57</v>
      </c>
      <c r="H2289" s="23" t="s">
        <v>26</v>
      </c>
      <c r="I2289" s="24" t="s">
        <v>33</v>
      </c>
      <c r="J2289" s="19" t="s">
        <v>53</v>
      </c>
      <c r="K2289" s="14">
        <v>3.0</v>
      </c>
      <c r="L2289" s="14">
        <v>0.0</v>
      </c>
      <c r="M2289" s="25"/>
      <c r="N2289" s="26" t="s">
        <v>21</v>
      </c>
      <c r="O2289" s="7"/>
      <c r="P2289" s="7"/>
      <c r="Q2289" s="7"/>
      <c r="R2289" s="7"/>
      <c r="S2289" s="7"/>
      <c r="T2289" s="7"/>
      <c r="U2289" s="7"/>
      <c r="V2289" s="7"/>
      <c r="W2289" s="7"/>
      <c r="X2289" s="7"/>
      <c r="Y2289" s="7"/>
    </row>
    <row r="2290">
      <c r="A2290" s="14" t="s">
        <v>8340</v>
      </c>
      <c r="B2290" s="17" t="s">
        <v>8341</v>
      </c>
      <c r="C2290" s="17" t="s">
        <v>8342</v>
      </c>
      <c r="D2290" s="19" t="s">
        <v>8343</v>
      </c>
      <c r="E2290" s="20" t="s">
        <v>8344</v>
      </c>
      <c r="F2290" s="21">
        <v>23940.0</v>
      </c>
      <c r="G2290" s="14">
        <f t="shared" si="1"/>
        <v>61</v>
      </c>
      <c r="H2290" s="23" t="s">
        <v>26</v>
      </c>
      <c r="I2290" s="24" t="s">
        <v>27</v>
      </c>
      <c r="J2290" s="19" t="s">
        <v>53</v>
      </c>
      <c r="K2290" s="14">
        <v>3.0</v>
      </c>
      <c r="L2290" s="14">
        <v>1.0</v>
      </c>
      <c r="M2290" s="25"/>
      <c r="N2290" s="26" t="s">
        <v>21</v>
      </c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7"/>
    </row>
    <row r="2291">
      <c r="A2291" s="14" t="s">
        <v>8345</v>
      </c>
      <c r="B2291" s="17" t="s">
        <v>8341</v>
      </c>
      <c r="C2291" s="17" t="s">
        <v>8346</v>
      </c>
      <c r="D2291" s="19" t="s">
        <v>8347</v>
      </c>
      <c r="E2291" s="20" t="s">
        <v>104</v>
      </c>
      <c r="F2291" s="21">
        <v>35337.0</v>
      </c>
      <c r="G2291" s="14">
        <f t="shared" si="1"/>
        <v>30</v>
      </c>
      <c r="H2291" s="23" t="s">
        <v>100</v>
      </c>
      <c r="I2291" s="24" t="s">
        <v>33</v>
      </c>
      <c r="J2291" s="19" t="s">
        <v>53</v>
      </c>
      <c r="K2291" s="14">
        <v>3.0</v>
      </c>
      <c r="L2291" s="14">
        <v>7.0</v>
      </c>
      <c r="M2291" s="28" t="s">
        <v>9309</v>
      </c>
      <c r="N2291" s="26" t="s">
        <v>21</v>
      </c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7"/>
    </row>
    <row r="2292">
      <c r="A2292" s="14" t="s">
        <v>8348</v>
      </c>
      <c r="B2292" s="17" t="s">
        <v>8349</v>
      </c>
      <c r="C2292" s="17" t="s">
        <v>8350</v>
      </c>
      <c r="D2292" s="19" t="s">
        <v>8351</v>
      </c>
      <c r="E2292" s="20" t="s">
        <v>104</v>
      </c>
      <c r="F2292" s="21">
        <v>30724.0</v>
      </c>
      <c r="G2292" s="14">
        <f t="shared" si="1"/>
        <v>42</v>
      </c>
      <c r="H2292" s="23" t="s">
        <v>26</v>
      </c>
      <c r="I2292" s="24" t="s">
        <v>27</v>
      </c>
      <c r="J2292" s="19" t="s">
        <v>146</v>
      </c>
      <c r="K2292" s="14">
        <v>3.0</v>
      </c>
      <c r="L2292" s="14">
        <v>0.0</v>
      </c>
      <c r="M2292" s="25"/>
      <c r="N2292" s="26" t="s">
        <v>21</v>
      </c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</row>
    <row r="2293">
      <c r="A2293" s="14" t="s">
        <v>8352</v>
      </c>
      <c r="B2293" s="17" t="s">
        <v>8349</v>
      </c>
      <c r="C2293" s="17" t="s">
        <v>8353</v>
      </c>
      <c r="D2293" s="19" t="s">
        <v>8354</v>
      </c>
      <c r="E2293" s="20" t="s">
        <v>8355</v>
      </c>
      <c r="F2293" s="21">
        <v>29002.0</v>
      </c>
      <c r="G2293" s="14">
        <f t="shared" si="1"/>
        <v>47</v>
      </c>
      <c r="H2293" s="23" t="s">
        <v>26</v>
      </c>
      <c r="I2293" s="24" t="s">
        <v>33</v>
      </c>
      <c r="J2293" s="19" t="s">
        <v>146</v>
      </c>
      <c r="K2293" s="14">
        <v>3.0</v>
      </c>
      <c r="L2293" s="14">
        <v>0.0</v>
      </c>
      <c r="M2293" s="25"/>
      <c r="N2293" s="26" t="s">
        <v>21</v>
      </c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7"/>
    </row>
    <row r="2294">
      <c r="A2294" s="14" t="s">
        <v>8356</v>
      </c>
      <c r="B2294" s="17" t="s">
        <v>9324</v>
      </c>
      <c r="C2294" s="17" t="s">
        <v>8357</v>
      </c>
      <c r="D2294" s="19" t="s">
        <v>8358</v>
      </c>
      <c r="E2294" s="20" t="s">
        <v>53</v>
      </c>
      <c r="F2294" s="21">
        <v>37342.0</v>
      </c>
      <c r="G2294" s="14">
        <f t="shared" si="1"/>
        <v>24</v>
      </c>
      <c r="H2294" s="23" t="s">
        <v>100</v>
      </c>
      <c r="I2294" s="24" t="s">
        <v>27</v>
      </c>
      <c r="J2294" s="19" t="s">
        <v>146</v>
      </c>
      <c r="K2294" s="14">
        <v>3.0</v>
      </c>
      <c r="L2294" s="14">
        <v>7.0</v>
      </c>
      <c r="M2294" s="28" t="s">
        <v>9328</v>
      </c>
      <c r="N2294" s="26" t="s">
        <v>21</v>
      </c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7"/>
    </row>
    <row r="2295">
      <c r="A2295" s="14" t="s">
        <v>8359</v>
      </c>
      <c r="B2295" s="17" t="s">
        <v>8360</v>
      </c>
      <c r="C2295" s="17" t="s">
        <v>8361</v>
      </c>
      <c r="D2295" s="19" t="s">
        <v>8362</v>
      </c>
      <c r="E2295" s="20" t="s">
        <v>8363</v>
      </c>
      <c r="F2295" s="21">
        <v>27003.0</v>
      </c>
      <c r="G2295" s="14">
        <f t="shared" si="1"/>
        <v>52</v>
      </c>
      <c r="H2295" s="23" t="s">
        <v>26</v>
      </c>
      <c r="I2295" s="24" t="s">
        <v>27</v>
      </c>
      <c r="J2295" s="19" t="s">
        <v>53</v>
      </c>
      <c r="K2295" s="14">
        <v>3.0</v>
      </c>
      <c r="L2295" s="14">
        <v>0.0</v>
      </c>
      <c r="M2295" s="25"/>
      <c r="N2295" s="26" t="s">
        <v>21</v>
      </c>
      <c r="O2295" s="7"/>
      <c r="P2295" s="7"/>
      <c r="Q2295" s="7"/>
      <c r="R2295" s="7"/>
      <c r="S2295" s="7"/>
      <c r="T2295" s="7"/>
      <c r="U2295" s="7"/>
      <c r="V2295" s="7"/>
      <c r="W2295" s="7"/>
      <c r="X2295" s="7"/>
      <c r="Y2295" s="7"/>
    </row>
    <row r="2296">
      <c r="A2296" s="14" t="s">
        <v>8364</v>
      </c>
      <c r="B2296" s="17" t="s">
        <v>8360</v>
      </c>
      <c r="C2296" s="17" t="s">
        <v>8365</v>
      </c>
      <c r="D2296" s="19" t="s">
        <v>8366</v>
      </c>
      <c r="E2296" s="20" t="s">
        <v>650</v>
      </c>
      <c r="F2296" s="21">
        <v>26872.0</v>
      </c>
      <c r="G2296" s="14">
        <f t="shared" si="1"/>
        <v>53</v>
      </c>
      <c r="H2296" s="23" t="s">
        <v>26</v>
      </c>
      <c r="I2296" s="24" t="s">
        <v>33</v>
      </c>
      <c r="J2296" s="19" t="s">
        <v>53</v>
      </c>
      <c r="K2296" s="14">
        <v>3.0</v>
      </c>
      <c r="L2296" s="14">
        <v>0.0</v>
      </c>
      <c r="M2296" s="25"/>
      <c r="N2296" s="26" t="s">
        <v>21</v>
      </c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7"/>
    </row>
    <row r="2297">
      <c r="A2297" s="14" t="s">
        <v>8367</v>
      </c>
      <c r="B2297" s="17" t="s">
        <v>8360</v>
      </c>
      <c r="C2297" s="17" t="s">
        <v>8368</v>
      </c>
      <c r="D2297" s="19" t="s">
        <v>8369</v>
      </c>
      <c r="E2297" s="20" t="s">
        <v>176</v>
      </c>
      <c r="F2297" s="27">
        <v>39068.0</v>
      </c>
      <c r="G2297" s="14">
        <f t="shared" si="1"/>
        <v>19</v>
      </c>
      <c r="H2297" s="23" t="s">
        <v>100</v>
      </c>
      <c r="I2297" s="24" t="s">
        <v>27</v>
      </c>
      <c r="J2297" s="19" t="s">
        <v>53</v>
      </c>
      <c r="K2297" s="14">
        <v>3.0</v>
      </c>
      <c r="L2297" s="14">
        <v>0.0</v>
      </c>
      <c r="M2297" s="25"/>
      <c r="N2297" s="26" t="s">
        <v>21</v>
      </c>
      <c r="O2297" s="7"/>
      <c r="P2297" s="7"/>
      <c r="Q2297" s="7"/>
      <c r="R2297" s="7"/>
      <c r="S2297" s="7"/>
      <c r="T2297" s="7"/>
      <c r="U2297" s="7"/>
      <c r="V2297" s="7"/>
      <c r="W2297" s="7"/>
      <c r="X2297" s="7"/>
      <c r="Y2297" s="7"/>
    </row>
    <row r="2298">
      <c r="A2298" s="14" t="s">
        <v>8370</v>
      </c>
      <c r="B2298" s="17" t="s">
        <v>8371</v>
      </c>
      <c r="C2298" s="17" t="s">
        <v>8372</v>
      </c>
      <c r="D2298" s="19" t="s">
        <v>8373</v>
      </c>
      <c r="E2298" s="20" t="s">
        <v>632</v>
      </c>
      <c r="F2298" s="27">
        <v>20042.0</v>
      </c>
      <c r="G2298" s="14">
        <f t="shared" si="1"/>
        <v>71</v>
      </c>
      <c r="H2298" s="23" t="s">
        <v>26</v>
      </c>
      <c r="I2298" s="24" t="s">
        <v>33</v>
      </c>
      <c r="J2298" s="19" t="s">
        <v>146</v>
      </c>
      <c r="K2298" s="14">
        <v>4.0</v>
      </c>
      <c r="L2298" s="14">
        <v>0.0</v>
      </c>
      <c r="M2298" s="25"/>
      <c r="N2298" s="26" t="s">
        <v>21</v>
      </c>
      <c r="O2298" s="7"/>
      <c r="P2298" s="7"/>
      <c r="Q2298" s="7"/>
      <c r="R2298" s="7"/>
      <c r="S2298" s="7"/>
      <c r="T2298" s="7"/>
      <c r="U2298" s="7"/>
      <c r="V2298" s="7"/>
      <c r="W2298" s="7"/>
      <c r="X2298" s="7"/>
      <c r="Y2298" s="7"/>
    </row>
    <row r="2299">
      <c r="A2299" s="14" t="s">
        <v>8374</v>
      </c>
      <c r="B2299" s="17" t="s">
        <v>8371</v>
      </c>
      <c r="C2299" s="17" t="s">
        <v>8375</v>
      </c>
      <c r="D2299" s="19" t="s">
        <v>5916</v>
      </c>
      <c r="E2299" s="20" t="s">
        <v>650</v>
      </c>
      <c r="F2299" s="21">
        <v>21748.0</v>
      </c>
      <c r="G2299" s="14">
        <f t="shared" si="1"/>
        <v>67</v>
      </c>
      <c r="H2299" s="23" t="s">
        <v>26</v>
      </c>
      <c r="I2299" s="24" t="s">
        <v>27</v>
      </c>
      <c r="J2299" s="19" t="s">
        <v>146</v>
      </c>
      <c r="K2299" s="14">
        <v>4.0</v>
      </c>
      <c r="L2299" s="14">
        <v>0.0</v>
      </c>
      <c r="M2299" s="25"/>
      <c r="N2299" s="26" t="s">
        <v>21</v>
      </c>
      <c r="O2299" s="7"/>
      <c r="P2299" s="7"/>
      <c r="Q2299" s="7"/>
      <c r="R2299" s="7"/>
      <c r="S2299" s="7"/>
      <c r="T2299" s="7"/>
      <c r="U2299" s="7"/>
      <c r="V2299" s="7"/>
      <c r="W2299" s="7"/>
      <c r="X2299" s="7"/>
      <c r="Y2299" s="7"/>
    </row>
    <row r="2300">
      <c r="A2300" s="14" t="s">
        <v>8376</v>
      </c>
      <c r="B2300" s="17" t="s">
        <v>8377</v>
      </c>
      <c r="C2300" s="17" t="s">
        <v>8378</v>
      </c>
      <c r="D2300" s="19" t="s">
        <v>8379</v>
      </c>
      <c r="E2300" s="20" t="s">
        <v>53</v>
      </c>
      <c r="F2300" s="21">
        <v>34904.0</v>
      </c>
      <c r="G2300" s="14">
        <f t="shared" si="1"/>
        <v>31</v>
      </c>
      <c r="H2300" s="23" t="s">
        <v>100</v>
      </c>
      <c r="I2300" s="24" t="s">
        <v>33</v>
      </c>
      <c r="J2300" s="19" t="s">
        <v>156</v>
      </c>
      <c r="K2300" s="14">
        <v>32.0</v>
      </c>
      <c r="L2300" s="14">
        <v>0.0</v>
      </c>
      <c r="M2300" s="25"/>
      <c r="N2300" s="26" t="s">
        <v>21</v>
      </c>
      <c r="O2300" s="7"/>
      <c r="P2300" s="7"/>
      <c r="Q2300" s="7"/>
      <c r="R2300" s="7"/>
      <c r="S2300" s="7"/>
      <c r="T2300" s="7"/>
      <c r="U2300" s="7"/>
      <c r="V2300" s="7"/>
      <c r="W2300" s="7"/>
      <c r="X2300" s="7"/>
      <c r="Y2300" s="7"/>
    </row>
    <row r="2301">
      <c r="A2301" s="14" t="s">
        <v>8380</v>
      </c>
      <c r="B2301" s="17" t="s">
        <v>8381</v>
      </c>
      <c r="C2301" s="17" t="s">
        <v>8382</v>
      </c>
      <c r="D2301" s="19" t="s">
        <v>8383</v>
      </c>
      <c r="E2301" s="20" t="s">
        <v>104</v>
      </c>
      <c r="F2301" s="21">
        <v>31626.0</v>
      </c>
      <c r="G2301" s="14">
        <f t="shared" si="1"/>
        <v>40</v>
      </c>
      <c r="H2301" s="23" t="s">
        <v>26</v>
      </c>
      <c r="I2301" s="24" t="s">
        <v>33</v>
      </c>
      <c r="J2301" s="19" t="s">
        <v>104</v>
      </c>
      <c r="K2301" s="14">
        <v>35.0</v>
      </c>
      <c r="L2301" s="14">
        <v>0.0</v>
      </c>
      <c r="M2301" s="25"/>
      <c r="N2301" s="26" t="s">
        <v>21</v>
      </c>
      <c r="O2301" s="7"/>
      <c r="P2301" s="7"/>
      <c r="Q2301" s="7"/>
      <c r="R2301" s="7"/>
      <c r="S2301" s="7"/>
      <c r="T2301" s="7"/>
      <c r="U2301" s="7"/>
      <c r="V2301" s="7"/>
      <c r="W2301" s="7"/>
      <c r="X2301" s="7"/>
      <c r="Y2301" s="7"/>
    </row>
    <row r="2302">
      <c r="A2302" s="14" t="s">
        <v>8384</v>
      </c>
      <c r="B2302" s="17" t="s">
        <v>8385</v>
      </c>
      <c r="C2302" s="17" t="s">
        <v>8386</v>
      </c>
      <c r="D2302" s="19" t="s">
        <v>8387</v>
      </c>
      <c r="E2302" s="20" t="s">
        <v>1550</v>
      </c>
      <c r="F2302" s="27">
        <v>19703.0</v>
      </c>
      <c r="G2302" s="14">
        <f t="shared" si="1"/>
        <v>72</v>
      </c>
      <c r="H2302" s="23" t="s">
        <v>27</v>
      </c>
      <c r="I2302" s="24" t="s">
        <v>27</v>
      </c>
      <c r="J2302" s="19" t="s">
        <v>1915</v>
      </c>
      <c r="K2302" s="14">
        <v>11.0</v>
      </c>
      <c r="L2302" s="14">
        <v>0.0</v>
      </c>
      <c r="M2302" s="25"/>
      <c r="N2302" s="26" t="s">
        <v>21</v>
      </c>
      <c r="O2302" s="7"/>
      <c r="P2302" s="7"/>
      <c r="Q2302" s="7"/>
      <c r="R2302" s="7"/>
      <c r="S2302" s="7"/>
      <c r="T2302" s="7"/>
      <c r="U2302" s="7"/>
      <c r="V2302" s="7"/>
      <c r="W2302" s="7"/>
      <c r="X2302" s="7"/>
      <c r="Y2302" s="7"/>
    </row>
    <row r="2303">
      <c r="A2303" s="14" t="s">
        <v>8388</v>
      </c>
      <c r="B2303" s="17" t="s">
        <v>8389</v>
      </c>
      <c r="C2303" s="17" t="s">
        <v>8390</v>
      </c>
      <c r="D2303" s="19" t="s">
        <v>8391</v>
      </c>
      <c r="E2303" s="20" t="s">
        <v>104</v>
      </c>
      <c r="F2303" s="21">
        <v>36578.0</v>
      </c>
      <c r="G2303" s="14">
        <f t="shared" si="1"/>
        <v>26</v>
      </c>
      <c r="H2303" s="23" t="s">
        <v>26</v>
      </c>
      <c r="I2303" s="24" t="s">
        <v>27</v>
      </c>
      <c r="J2303" s="19" t="s">
        <v>53</v>
      </c>
      <c r="K2303" s="14">
        <v>23.0</v>
      </c>
      <c r="L2303" s="14">
        <v>0.0</v>
      </c>
      <c r="M2303" s="25"/>
      <c r="N2303" s="26" t="s">
        <v>21</v>
      </c>
      <c r="O2303" s="7"/>
      <c r="P2303" s="7"/>
      <c r="Q2303" s="7"/>
      <c r="R2303" s="7"/>
      <c r="S2303" s="7"/>
      <c r="T2303" s="7"/>
      <c r="U2303" s="7"/>
      <c r="V2303" s="7"/>
      <c r="W2303" s="7"/>
      <c r="X2303" s="7"/>
      <c r="Y2303" s="7"/>
    </row>
    <row r="2304">
      <c r="A2304" s="14" t="s">
        <v>8392</v>
      </c>
      <c r="B2304" s="17" t="s">
        <v>8389</v>
      </c>
      <c r="C2304" s="17" t="s">
        <v>8393</v>
      </c>
      <c r="D2304" s="19" t="s">
        <v>8394</v>
      </c>
      <c r="E2304" s="20" t="s">
        <v>53</v>
      </c>
      <c r="F2304" s="21">
        <v>34023.0</v>
      </c>
      <c r="G2304" s="14">
        <f t="shared" si="1"/>
        <v>33</v>
      </c>
      <c r="H2304" s="23" t="s">
        <v>26</v>
      </c>
      <c r="I2304" s="24" t="s">
        <v>33</v>
      </c>
      <c r="J2304" s="19" t="s">
        <v>53</v>
      </c>
      <c r="K2304" s="14">
        <v>23.0</v>
      </c>
      <c r="L2304" s="14">
        <v>0.0</v>
      </c>
      <c r="M2304" s="25"/>
      <c r="N2304" s="26" t="s">
        <v>21</v>
      </c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7"/>
    </row>
    <row r="2305">
      <c r="A2305" s="14" t="s">
        <v>8395</v>
      </c>
      <c r="B2305" s="17" t="s">
        <v>8396</v>
      </c>
      <c r="C2305" s="17" t="s">
        <v>8397</v>
      </c>
      <c r="D2305" s="19" t="s">
        <v>8398</v>
      </c>
      <c r="E2305" s="20" t="s">
        <v>274</v>
      </c>
      <c r="F2305" s="21">
        <v>33311.0</v>
      </c>
      <c r="G2305" s="14">
        <f t="shared" si="1"/>
        <v>35</v>
      </c>
      <c r="H2305" s="23" t="s">
        <v>100</v>
      </c>
      <c r="I2305" s="24" t="s">
        <v>33</v>
      </c>
      <c r="J2305" s="19" t="s">
        <v>53</v>
      </c>
      <c r="K2305" s="14">
        <v>28.0</v>
      </c>
      <c r="L2305" s="14">
        <v>0.0</v>
      </c>
      <c r="M2305" s="25"/>
      <c r="N2305" s="26" t="s">
        <v>21</v>
      </c>
      <c r="O2305" s="7"/>
      <c r="P2305" s="7"/>
      <c r="Q2305" s="7"/>
      <c r="R2305" s="7"/>
      <c r="S2305" s="7"/>
      <c r="T2305" s="7"/>
      <c r="U2305" s="7"/>
      <c r="V2305" s="7"/>
      <c r="W2305" s="7"/>
      <c r="X2305" s="7"/>
      <c r="Y2305" s="7"/>
    </row>
    <row r="2306">
      <c r="A2306" s="14" t="s">
        <v>8399</v>
      </c>
      <c r="B2306" s="17" t="s">
        <v>8400</v>
      </c>
      <c r="C2306" s="17" t="s">
        <v>8401</v>
      </c>
      <c r="D2306" s="19" t="s">
        <v>4823</v>
      </c>
      <c r="E2306" s="20" t="s">
        <v>632</v>
      </c>
      <c r="F2306" s="27">
        <v>16005.0</v>
      </c>
      <c r="G2306" s="14">
        <f t="shared" si="1"/>
        <v>83</v>
      </c>
      <c r="H2306" s="23" t="s">
        <v>27</v>
      </c>
      <c r="I2306" s="24" t="s">
        <v>27</v>
      </c>
      <c r="J2306" s="19" t="s">
        <v>156</v>
      </c>
      <c r="K2306" s="14">
        <v>29.0</v>
      </c>
      <c r="L2306" s="14">
        <v>0.0</v>
      </c>
      <c r="M2306" s="25"/>
      <c r="N2306" s="26" t="s">
        <v>21</v>
      </c>
      <c r="O2306" s="7"/>
      <c r="P2306" s="7"/>
      <c r="Q2306" s="7"/>
      <c r="R2306" s="7"/>
      <c r="S2306" s="7"/>
      <c r="T2306" s="7"/>
      <c r="U2306" s="7"/>
      <c r="V2306" s="7"/>
      <c r="W2306" s="7"/>
      <c r="X2306" s="7"/>
      <c r="Y2306" s="7"/>
    </row>
    <row r="2307">
      <c r="A2307" s="14" t="s">
        <v>8402</v>
      </c>
      <c r="B2307" s="17" t="s">
        <v>8403</v>
      </c>
      <c r="C2307" s="17" t="s">
        <v>8404</v>
      </c>
      <c r="D2307" s="19" t="s">
        <v>8405</v>
      </c>
      <c r="E2307" s="20" t="s">
        <v>53</v>
      </c>
      <c r="F2307" s="27">
        <v>35415.0</v>
      </c>
      <c r="G2307" s="14">
        <f t="shared" si="1"/>
        <v>29</v>
      </c>
      <c r="H2307" s="23" t="s">
        <v>26</v>
      </c>
      <c r="I2307" s="24" t="s">
        <v>33</v>
      </c>
      <c r="J2307" s="19" t="s">
        <v>53</v>
      </c>
      <c r="K2307" s="14">
        <v>16.0</v>
      </c>
      <c r="L2307" s="14">
        <v>0.0</v>
      </c>
      <c r="M2307" s="25"/>
      <c r="N2307" s="26" t="s">
        <v>21</v>
      </c>
      <c r="O2307" s="7"/>
      <c r="P2307" s="7"/>
      <c r="Q2307" s="7"/>
      <c r="R2307" s="7"/>
      <c r="S2307" s="7"/>
      <c r="T2307" s="7"/>
      <c r="U2307" s="7"/>
      <c r="V2307" s="7"/>
      <c r="W2307" s="7"/>
      <c r="X2307" s="7"/>
      <c r="Y2307" s="7"/>
    </row>
    <row r="2308">
      <c r="A2308" s="14" t="s">
        <v>8406</v>
      </c>
      <c r="B2308" s="17" t="s">
        <v>8403</v>
      </c>
      <c r="C2308" s="17" t="s">
        <v>8407</v>
      </c>
      <c r="D2308" s="19" t="s">
        <v>8408</v>
      </c>
      <c r="E2308" s="20" t="s">
        <v>104</v>
      </c>
      <c r="F2308" s="21">
        <v>35242.0</v>
      </c>
      <c r="G2308" s="14">
        <f t="shared" si="1"/>
        <v>30</v>
      </c>
      <c r="H2308" s="23" t="s">
        <v>26</v>
      </c>
      <c r="I2308" s="24" t="s">
        <v>27</v>
      </c>
      <c r="J2308" s="19" t="s">
        <v>53</v>
      </c>
      <c r="K2308" s="14">
        <v>16.0</v>
      </c>
      <c r="L2308" s="14">
        <v>0.0</v>
      </c>
      <c r="M2308" s="25"/>
      <c r="N2308" s="26" t="s">
        <v>21</v>
      </c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7"/>
    </row>
    <row r="2309">
      <c r="A2309" s="14" t="s">
        <v>8409</v>
      </c>
      <c r="B2309" s="17" t="s">
        <v>8410</v>
      </c>
      <c r="C2309" s="17" t="s">
        <v>8411</v>
      </c>
      <c r="D2309" s="19" t="s">
        <v>8412</v>
      </c>
      <c r="E2309" s="20" t="s">
        <v>104</v>
      </c>
      <c r="F2309" s="27">
        <v>32095.0</v>
      </c>
      <c r="G2309" s="14">
        <f t="shared" si="1"/>
        <v>38</v>
      </c>
      <c r="H2309" s="23" t="s">
        <v>26</v>
      </c>
      <c r="I2309" s="24" t="s">
        <v>33</v>
      </c>
      <c r="J2309" s="19" t="s">
        <v>8413</v>
      </c>
      <c r="K2309" s="14">
        <v>34.0</v>
      </c>
      <c r="L2309" s="14">
        <v>0.0</v>
      </c>
      <c r="M2309" s="25"/>
      <c r="N2309" s="26" t="s">
        <v>21</v>
      </c>
      <c r="O2309" s="7"/>
      <c r="P2309" s="7"/>
      <c r="Q2309" s="7"/>
      <c r="R2309" s="7"/>
      <c r="S2309" s="7"/>
      <c r="T2309" s="7"/>
      <c r="U2309" s="7"/>
      <c r="V2309" s="7"/>
      <c r="W2309" s="7"/>
      <c r="X2309" s="7"/>
      <c r="Y2309" s="7"/>
    </row>
    <row r="2310">
      <c r="A2310" s="14" t="s">
        <v>8414</v>
      </c>
      <c r="B2310" s="17" t="s">
        <v>8410</v>
      </c>
      <c r="C2310" s="17" t="s">
        <v>8415</v>
      </c>
      <c r="D2310" s="19" t="s">
        <v>7445</v>
      </c>
      <c r="E2310" s="20" t="s">
        <v>274</v>
      </c>
      <c r="F2310" s="21">
        <v>33417.0</v>
      </c>
      <c r="G2310" s="14">
        <f t="shared" si="1"/>
        <v>35</v>
      </c>
      <c r="H2310" s="23" t="s">
        <v>26</v>
      </c>
      <c r="I2310" s="24" t="s">
        <v>27</v>
      </c>
      <c r="J2310" s="19" t="s">
        <v>8413</v>
      </c>
      <c r="K2310" s="14">
        <v>34.0</v>
      </c>
      <c r="L2310" s="14">
        <v>0.0</v>
      </c>
      <c r="M2310" s="25"/>
      <c r="N2310" s="26" t="s">
        <v>21</v>
      </c>
      <c r="O2310" s="7"/>
      <c r="P2310" s="7"/>
      <c r="Q2310" s="7"/>
      <c r="R2310" s="7"/>
      <c r="S2310" s="7"/>
      <c r="T2310" s="7"/>
      <c r="U2310" s="7"/>
      <c r="V2310" s="7"/>
      <c r="W2310" s="7"/>
      <c r="X2310" s="7"/>
      <c r="Y2310" s="7"/>
    </row>
    <row r="2311">
      <c r="A2311" s="14" t="s">
        <v>8416</v>
      </c>
      <c r="B2311" s="17" t="s">
        <v>8417</v>
      </c>
      <c r="C2311" s="17" t="s">
        <v>8418</v>
      </c>
      <c r="D2311" s="19" t="s">
        <v>8419</v>
      </c>
      <c r="E2311" s="20" t="s">
        <v>210</v>
      </c>
      <c r="F2311" s="21">
        <v>20983.0</v>
      </c>
      <c r="G2311" s="14">
        <f t="shared" si="1"/>
        <v>69</v>
      </c>
      <c r="H2311" s="23" t="s">
        <v>26</v>
      </c>
      <c r="I2311" s="24" t="s">
        <v>27</v>
      </c>
      <c r="J2311" s="19" t="s">
        <v>53</v>
      </c>
      <c r="K2311" s="14">
        <v>17.0</v>
      </c>
      <c r="L2311" s="14">
        <v>1.0</v>
      </c>
      <c r="M2311" s="25"/>
      <c r="N2311" s="26" t="s">
        <v>21</v>
      </c>
      <c r="O2311" s="7"/>
      <c r="P2311" s="7"/>
      <c r="Q2311" s="7"/>
      <c r="R2311" s="7"/>
      <c r="S2311" s="7"/>
      <c r="T2311" s="7"/>
      <c r="U2311" s="7"/>
      <c r="V2311" s="7"/>
      <c r="W2311" s="7"/>
      <c r="X2311" s="7"/>
      <c r="Y2311" s="7"/>
    </row>
    <row r="2312">
      <c r="A2312" s="14" t="s">
        <v>8420</v>
      </c>
      <c r="B2312" s="17" t="s">
        <v>8421</v>
      </c>
      <c r="C2312" s="17" t="s">
        <v>8422</v>
      </c>
      <c r="D2312" s="19" t="s">
        <v>8423</v>
      </c>
      <c r="E2312" s="20" t="s">
        <v>104</v>
      </c>
      <c r="F2312" s="21">
        <v>20318.0</v>
      </c>
      <c r="G2312" s="14">
        <f t="shared" si="1"/>
        <v>71</v>
      </c>
      <c r="H2312" s="23" t="s">
        <v>27</v>
      </c>
      <c r="I2312" s="24" t="s">
        <v>27</v>
      </c>
      <c r="J2312" s="19" t="s">
        <v>68</v>
      </c>
      <c r="K2312" s="14">
        <v>31.0</v>
      </c>
      <c r="L2312" s="14">
        <v>0.0</v>
      </c>
      <c r="M2312" s="25"/>
      <c r="N2312" s="26" t="s">
        <v>21</v>
      </c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7"/>
    </row>
    <row r="2313">
      <c r="A2313" s="14" t="s">
        <v>8424</v>
      </c>
      <c r="B2313" s="17" t="s">
        <v>8425</v>
      </c>
      <c r="C2313" s="17" t="s">
        <v>8426</v>
      </c>
      <c r="D2313" s="19" t="s">
        <v>8427</v>
      </c>
      <c r="E2313" s="20" t="s">
        <v>53</v>
      </c>
      <c r="F2313" s="21">
        <v>38115.0</v>
      </c>
      <c r="G2313" s="14">
        <f t="shared" si="1"/>
        <v>22</v>
      </c>
      <c r="H2313" s="23" t="s">
        <v>100</v>
      </c>
      <c r="I2313" s="24" t="s">
        <v>33</v>
      </c>
      <c r="J2313" s="19" t="s">
        <v>1915</v>
      </c>
      <c r="K2313" s="14">
        <v>12.0</v>
      </c>
      <c r="L2313" s="14">
        <v>0.0</v>
      </c>
      <c r="M2313" s="25"/>
      <c r="N2313" s="26" t="s">
        <v>21</v>
      </c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7"/>
    </row>
    <row r="2314">
      <c r="A2314" s="14" t="s">
        <v>8428</v>
      </c>
      <c r="B2314" s="17" t="s">
        <v>8425</v>
      </c>
      <c r="C2314" s="17" t="s">
        <v>8429</v>
      </c>
      <c r="D2314" s="19" t="s">
        <v>8430</v>
      </c>
      <c r="E2314" s="20" t="s">
        <v>53</v>
      </c>
      <c r="F2314" s="21">
        <v>30933.0</v>
      </c>
      <c r="G2314" s="14">
        <f t="shared" si="1"/>
        <v>42</v>
      </c>
      <c r="H2314" s="23" t="s">
        <v>26</v>
      </c>
      <c r="I2314" s="24" t="s">
        <v>27</v>
      </c>
      <c r="J2314" s="19" t="s">
        <v>1915</v>
      </c>
      <c r="K2314" s="14">
        <v>12.0</v>
      </c>
      <c r="L2314" s="14">
        <v>0.0</v>
      </c>
      <c r="M2314" s="25"/>
      <c r="N2314" s="26" t="s">
        <v>21</v>
      </c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</row>
    <row r="2315">
      <c r="A2315" s="14" t="s">
        <v>8431</v>
      </c>
      <c r="B2315" s="17" t="s">
        <v>8425</v>
      </c>
      <c r="C2315" s="17" t="s">
        <v>8432</v>
      </c>
      <c r="D2315" s="19" t="s">
        <v>2459</v>
      </c>
      <c r="E2315" s="20" t="s">
        <v>53</v>
      </c>
      <c r="F2315" s="21">
        <v>29587.0</v>
      </c>
      <c r="G2315" s="14">
        <f t="shared" si="1"/>
        <v>45</v>
      </c>
      <c r="H2315" s="23" t="s">
        <v>26</v>
      </c>
      <c r="I2315" s="24" t="s">
        <v>33</v>
      </c>
      <c r="J2315" s="19" t="s">
        <v>328</v>
      </c>
      <c r="K2315" s="14">
        <v>12.0</v>
      </c>
      <c r="L2315" s="14">
        <v>0.0</v>
      </c>
      <c r="M2315" s="25"/>
      <c r="N2315" s="26" t="s">
        <v>21</v>
      </c>
      <c r="O2315" s="7"/>
      <c r="P2315" s="7"/>
      <c r="Q2315" s="7"/>
      <c r="R2315" s="7"/>
      <c r="S2315" s="7"/>
      <c r="T2315" s="7"/>
      <c r="U2315" s="7"/>
      <c r="V2315" s="7"/>
      <c r="W2315" s="7"/>
      <c r="X2315" s="7"/>
      <c r="Y2315" s="7"/>
    </row>
    <row r="2316">
      <c r="A2316" s="14" t="s">
        <v>8433</v>
      </c>
      <c r="B2316" s="17" t="s">
        <v>8434</v>
      </c>
      <c r="C2316" s="17" t="s">
        <v>8435</v>
      </c>
      <c r="D2316" s="19" t="s">
        <v>8436</v>
      </c>
      <c r="E2316" s="20" t="s">
        <v>8437</v>
      </c>
      <c r="F2316" s="21">
        <v>23938.0</v>
      </c>
      <c r="G2316" s="14">
        <f t="shared" si="1"/>
        <v>61</v>
      </c>
      <c r="H2316" s="23" t="s">
        <v>26</v>
      </c>
      <c r="I2316" s="24" t="s">
        <v>33</v>
      </c>
      <c r="J2316" s="19" t="s">
        <v>1915</v>
      </c>
      <c r="K2316" s="14">
        <v>12.0</v>
      </c>
      <c r="L2316" s="14">
        <v>0.0</v>
      </c>
      <c r="M2316" s="25"/>
      <c r="N2316" s="26" t="s">
        <v>21</v>
      </c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7"/>
    </row>
    <row r="2317">
      <c r="A2317" s="14" t="s">
        <v>8438</v>
      </c>
      <c r="B2317" s="17" t="s">
        <v>8434</v>
      </c>
      <c r="C2317" s="17" t="s">
        <v>8439</v>
      </c>
      <c r="D2317" s="19" t="s">
        <v>8440</v>
      </c>
      <c r="E2317" s="20" t="s">
        <v>8437</v>
      </c>
      <c r="F2317" s="21">
        <v>24572.0</v>
      </c>
      <c r="G2317" s="14">
        <f t="shared" si="1"/>
        <v>59</v>
      </c>
      <c r="H2317" s="23" t="s">
        <v>26</v>
      </c>
      <c r="I2317" s="24" t="s">
        <v>27</v>
      </c>
      <c r="J2317" s="19" t="s">
        <v>1915</v>
      </c>
      <c r="K2317" s="14">
        <v>12.0</v>
      </c>
      <c r="L2317" s="14">
        <v>0.0</v>
      </c>
      <c r="M2317" s="25"/>
      <c r="N2317" s="26" t="s">
        <v>21</v>
      </c>
      <c r="O2317" s="7"/>
      <c r="P2317" s="7"/>
      <c r="Q2317" s="7"/>
      <c r="R2317" s="7"/>
      <c r="S2317" s="7"/>
      <c r="T2317" s="7"/>
      <c r="U2317" s="7"/>
      <c r="V2317" s="7"/>
      <c r="W2317" s="7"/>
      <c r="X2317" s="7"/>
      <c r="Y2317" s="7"/>
    </row>
    <row r="2318">
      <c r="A2318" s="14" t="s">
        <v>8441</v>
      </c>
      <c r="B2318" s="17" t="s">
        <v>8442</v>
      </c>
      <c r="C2318" s="17" t="s">
        <v>8443</v>
      </c>
      <c r="D2318" s="19" t="s">
        <v>8444</v>
      </c>
      <c r="E2318" s="20" t="s">
        <v>53</v>
      </c>
      <c r="F2318" s="21">
        <v>33793.0</v>
      </c>
      <c r="G2318" s="14">
        <f t="shared" si="1"/>
        <v>34</v>
      </c>
      <c r="H2318" s="23" t="s">
        <v>100</v>
      </c>
      <c r="I2318" s="24" t="s">
        <v>33</v>
      </c>
      <c r="J2318" s="19" t="s">
        <v>282</v>
      </c>
      <c r="K2318" s="14">
        <v>12.0</v>
      </c>
      <c r="L2318" s="14">
        <v>0.0</v>
      </c>
      <c r="M2318" s="25"/>
      <c r="N2318" s="26" t="s">
        <v>21</v>
      </c>
      <c r="O2318" s="7"/>
      <c r="P2318" s="7"/>
      <c r="Q2318" s="7"/>
      <c r="R2318" s="7"/>
      <c r="S2318" s="7"/>
      <c r="T2318" s="7"/>
      <c r="U2318" s="7"/>
      <c r="V2318" s="7"/>
      <c r="W2318" s="7"/>
      <c r="X2318" s="7"/>
      <c r="Y2318" s="7"/>
    </row>
    <row r="2319">
      <c r="A2319" s="14" t="s">
        <v>8445</v>
      </c>
      <c r="B2319" s="17" t="s">
        <v>8446</v>
      </c>
      <c r="C2319" s="17" t="s">
        <v>8447</v>
      </c>
      <c r="D2319" s="19" t="s">
        <v>8448</v>
      </c>
      <c r="E2319" s="20" t="s">
        <v>195</v>
      </c>
      <c r="F2319" s="21">
        <v>33849.0</v>
      </c>
      <c r="G2319" s="14">
        <f t="shared" si="1"/>
        <v>34</v>
      </c>
      <c r="H2319" s="23" t="s">
        <v>26</v>
      </c>
      <c r="I2319" s="24" t="s">
        <v>27</v>
      </c>
      <c r="J2319" s="19" t="s">
        <v>726</v>
      </c>
      <c r="K2319" s="14">
        <v>17.0</v>
      </c>
      <c r="L2319" s="14">
        <v>0.0</v>
      </c>
      <c r="M2319" s="25"/>
      <c r="N2319" s="26" t="s">
        <v>21</v>
      </c>
      <c r="O2319" s="7"/>
      <c r="P2319" s="7"/>
      <c r="Q2319" s="7"/>
      <c r="R2319" s="7"/>
      <c r="S2319" s="7"/>
      <c r="T2319" s="7"/>
      <c r="U2319" s="7"/>
      <c r="V2319" s="7"/>
      <c r="W2319" s="7"/>
      <c r="X2319" s="7"/>
      <c r="Y2319" s="7"/>
    </row>
    <row r="2320">
      <c r="A2320" s="14" t="s">
        <v>8449</v>
      </c>
      <c r="B2320" s="17" t="s">
        <v>8446</v>
      </c>
      <c r="C2320" s="17" t="s">
        <v>8450</v>
      </c>
      <c r="D2320" s="19" t="s">
        <v>1308</v>
      </c>
      <c r="E2320" s="20" t="s">
        <v>104</v>
      </c>
      <c r="F2320" s="21">
        <v>32590.0</v>
      </c>
      <c r="G2320" s="14">
        <f t="shared" si="1"/>
        <v>37</v>
      </c>
      <c r="H2320" s="23" t="s">
        <v>26</v>
      </c>
      <c r="I2320" s="24" t="s">
        <v>33</v>
      </c>
      <c r="J2320" s="19" t="s">
        <v>726</v>
      </c>
      <c r="K2320" s="14">
        <v>17.0</v>
      </c>
      <c r="L2320" s="14">
        <v>0.0</v>
      </c>
      <c r="M2320" s="25"/>
      <c r="N2320" s="26" t="s">
        <v>21</v>
      </c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7"/>
    </row>
    <row r="2321">
      <c r="A2321" s="14" t="s">
        <v>8451</v>
      </c>
      <c r="B2321" s="17" t="s">
        <v>8452</v>
      </c>
      <c r="C2321" s="17" t="s">
        <v>8453</v>
      </c>
      <c r="D2321" s="19" t="s">
        <v>8454</v>
      </c>
      <c r="E2321" s="20" t="s">
        <v>7673</v>
      </c>
      <c r="F2321" s="21">
        <v>37885.0</v>
      </c>
      <c r="G2321" s="14">
        <f t="shared" si="1"/>
        <v>23</v>
      </c>
      <c r="H2321" s="23" t="s">
        <v>100</v>
      </c>
      <c r="I2321" s="24" t="s">
        <v>33</v>
      </c>
      <c r="J2321" s="19" t="s">
        <v>328</v>
      </c>
      <c r="K2321" s="14">
        <v>21.0</v>
      </c>
      <c r="L2321" s="14">
        <v>0.0</v>
      </c>
      <c r="M2321" s="25"/>
      <c r="N2321" s="26" t="s">
        <v>21</v>
      </c>
      <c r="O2321" s="7"/>
      <c r="P2321" s="7"/>
      <c r="Q2321" s="7"/>
      <c r="R2321" s="7"/>
      <c r="S2321" s="7"/>
      <c r="T2321" s="7"/>
      <c r="U2321" s="7"/>
      <c r="V2321" s="7"/>
      <c r="W2321" s="7"/>
      <c r="X2321" s="7"/>
      <c r="Y2321" s="7"/>
    </row>
    <row r="2322">
      <c r="A2322" s="14" t="s">
        <v>8455</v>
      </c>
      <c r="B2322" s="17" t="s">
        <v>8452</v>
      </c>
      <c r="C2322" s="17" t="s">
        <v>8456</v>
      </c>
      <c r="D2322" s="19" t="s">
        <v>1412</v>
      </c>
      <c r="E2322" s="20" t="s">
        <v>7673</v>
      </c>
      <c r="F2322" s="21">
        <v>30870.0</v>
      </c>
      <c r="G2322" s="14">
        <f t="shared" si="1"/>
        <v>42</v>
      </c>
      <c r="H2322" s="23" t="s">
        <v>26</v>
      </c>
      <c r="I2322" s="24" t="s">
        <v>27</v>
      </c>
      <c r="J2322" s="19" t="s">
        <v>328</v>
      </c>
      <c r="K2322" s="14">
        <v>21.0</v>
      </c>
      <c r="L2322" s="14">
        <v>0.0</v>
      </c>
      <c r="M2322" s="25"/>
      <c r="N2322" s="26" t="s">
        <v>21</v>
      </c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7"/>
    </row>
    <row r="2323">
      <c r="A2323" s="14" t="s">
        <v>8457</v>
      </c>
      <c r="B2323" s="17" t="s">
        <v>8452</v>
      </c>
      <c r="C2323" s="17" t="s">
        <v>8458</v>
      </c>
      <c r="D2323" s="19" t="s">
        <v>8459</v>
      </c>
      <c r="E2323" s="20" t="s">
        <v>632</v>
      </c>
      <c r="F2323" s="27">
        <v>28112.0</v>
      </c>
      <c r="G2323" s="14">
        <f t="shared" si="1"/>
        <v>49</v>
      </c>
      <c r="H2323" s="23" t="s">
        <v>26</v>
      </c>
      <c r="I2323" s="24" t="s">
        <v>33</v>
      </c>
      <c r="J2323" s="19" t="s">
        <v>328</v>
      </c>
      <c r="K2323" s="14">
        <v>21.0</v>
      </c>
      <c r="L2323" s="14">
        <v>0.0</v>
      </c>
      <c r="M2323" s="25"/>
      <c r="N2323" s="26" t="s">
        <v>21</v>
      </c>
      <c r="O2323" s="7"/>
      <c r="P2323" s="7"/>
      <c r="Q2323" s="7"/>
      <c r="R2323" s="7"/>
      <c r="S2323" s="7"/>
      <c r="T2323" s="7"/>
      <c r="U2323" s="7"/>
      <c r="V2323" s="7"/>
      <c r="W2323" s="7"/>
      <c r="X2323" s="7"/>
      <c r="Y2323" s="7"/>
    </row>
    <row r="2324">
      <c r="A2324" s="14" t="s">
        <v>8460</v>
      </c>
      <c r="B2324" s="17" t="s">
        <v>8461</v>
      </c>
      <c r="C2324" s="17" t="s">
        <v>8462</v>
      </c>
      <c r="D2324" s="19" t="s">
        <v>8463</v>
      </c>
      <c r="E2324" s="20" t="s">
        <v>391</v>
      </c>
      <c r="F2324" s="27">
        <v>36092.0</v>
      </c>
      <c r="G2324" s="14">
        <f t="shared" si="1"/>
        <v>28</v>
      </c>
      <c r="H2324" s="23" t="s">
        <v>26</v>
      </c>
      <c r="I2324" s="24" t="s">
        <v>27</v>
      </c>
      <c r="J2324" s="19" t="s">
        <v>726</v>
      </c>
      <c r="K2324" s="14">
        <v>17.0</v>
      </c>
      <c r="L2324" s="14">
        <v>0.0</v>
      </c>
      <c r="M2324" s="25"/>
      <c r="N2324" s="26" t="s">
        <v>21</v>
      </c>
      <c r="O2324" s="7"/>
      <c r="P2324" s="7"/>
      <c r="Q2324" s="7"/>
      <c r="R2324" s="7"/>
      <c r="S2324" s="7"/>
      <c r="T2324" s="7"/>
      <c r="U2324" s="7"/>
      <c r="V2324" s="7"/>
      <c r="W2324" s="7"/>
      <c r="X2324" s="7"/>
      <c r="Y2324" s="7"/>
    </row>
    <row r="2325">
      <c r="A2325" s="14" t="s">
        <v>8464</v>
      </c>
      <c r="B2325" s="17" t="s">
        <v>8461</v>
      </c>
      <c r="C2325" s="17" t="s">
        <v>8465</v>
      </c>
      <c r="D2325" s="19" t="s">
        <v>8466</v>
      </c>
      <c r="E2325" s="20" t="s">
        <v>104</v>
      </c>
      <c r="F2325" s="21">
        <v>31430.0</v>
      </c>
      <c r="G2325" s="14">
        <f t="shared" si="1"/>
        <v>40</v>
      </c>
      <c r="H2325" s="23" t="s">
        <v>26</v>
      </c>
      <c r="I2325" s="24" t="s">
        <v>33</v>
      </c>
      <c r="J2325" s="19" t="s">
        <v>726</v>
      </c>
      <c r="K2325" s="14">
        <v>17.0</v>
      </c>
      <c r="L2325" s="14">
        <v>0.0</v>
      </c>
      <c r="M2325" s="25"/>
      <c r="N2325" s="26" t="s">
        <v>21</v>
      </c>
      <c r="O2325" s="7"/>
      <c r="P2325" s="7"/>
      <c r="Q2325" s="7"/>
      <c r="R2325" s="7"/>
      <c r="S2325" s="7"/>
      <c r="T2325" s="7"/>
      <c r="U2325" s="7"/>
      <c r="V2325" s="7"/>
      <c r="W2325" s="7"/>
      <c r="X2325" s="7"/>
      <c r="Y2325" s="7"/>
    </row>
    <row r="2326">
      <c r="A2326" s="14" t="s">
        <v>8467</v>
      </c>
      <c r="B2326" s="17" t="s">
        <v>8468</v>
      </c>
      <c r="C2326" s="17" t="s">
        <v>8469</v>
      </c>
      <c r="D2326" s="19" t="s">
        <v>8470</v>
      </c>
      <c r="E2326" s="20" t="s">
        <v>104</v>
      </c>
      <c r="F2326" s="27">
        <v>37601.0</v>
      </c>
      <c r="G2326" s="14">
        <f t="shared" si="1"/>
        <v>23</v>
      </c>
      <c r="H2326" s="23" t="s">
        <v>100</v>
      </c>
      <c r="I2326" s="24" t="s">
        <v>27</v>
      </c>
      <c r="J2326" s="19" t="s">
        <v>8471</v>
      </c>
      <c r="K2326" s="14">
        <v>10.0</v>
      </c>
      <c r="L2326" s="14">
        <v>0.0</v>
      </c>
      <c r="M2326" s="25"/>
      <c r="N2326" s="26" t="s">
        <v>21</v>
      </c>
      <c r="O2326" s="7"/>
      <c r="P2326" s="7"/>
      <c r="Q2326" s="7"/>
      <c r="R2326" s="7"/>
      <c r="S2326" s="7"/>
      <c r="T2326" s="7"/>
      <c r="U2326" s="7"/>
      <c r="V2326" s="7"/>
      <c r="W2326" s="7"/>
      <c r="X2326" s="7"/>
      <c r="Y2326" s="7"/>
    </row>
    <row r="2327">
      <c r="A2327" s="14" t="s">
        <v>8472</v>
      </c>
      <c r="B2327" s="17" t="s">
        <v>9449</v>
      </c>
      <c r="C2327" s="17" t="s">
        <v>8473</v>
      </c>
      <c r="D2327" s="19" t="s">
        <v>8474</v>
      </c>
      <c r="E2327" s="20" t="s">
        <v>1622</v>
      </c>
      <c r="F2327" s="21">
        <v>34392.0</v>
      </c>
      <c r="G2327" s="14">
        <f t="shared" si="1"/>
        <v>32</v>
      </c>
      <c r="H2327" s="23" t="s">
        <v>100</v>
      </c>
      <c r="I2327" s="24" t="s">
        <v>33</v>
      </c>
      <c r="J2327" s="19" t="s">
        <v>8471</v>
      </c>
      <c r="K2327" s="14">
        <v>10.0</v>
      </c>
      <c r="L2327" s="14">
        <v>0.0</v>
      </c>
      <c r="M2327" s="28" t="s">
        <v>5102</v>
      </c>
      <c r="N2327" s="26" t="s">
        <v>21</v>
      </c>
      <c r="O2327" s="7"/>
      <c r="P2327" s="7"/>
      <c r="Q2327" s="7"/>
      <c r="R2327" s="7"/>
      <c r="S2327" s="7"/>
      <c r="T2327" s="7"/>
      <c r="U2327" s="7"/>
      <c r="V2327" s="7"/>
      <c r="W2327" s="7"/>
      <c r="X2327" s="7"/>
      <c r="Y2327" s="7"/>
    </row>
    <row r="2328">
      <c r="A2328" s="14" t="s">
        <v>6930</v>
      </c>
      <c r="B2328" s="17" t="s">
        <v>9449</v>
      </c>
      <c r="C2328" s="17" t="s">
        <v>6932</v>
      </c>
      <c r="D2328" s="19" t="s">
        <v>6933</v>
      </c>
      <c r="E2328" s="20" t="s">
        <v>104</v>
      </c>
      <c r="F2328" s="21">
        <v>36203.0</v>
      </c>
      <c r="G2328" s="14">
        <f t="shared" si="1"/>
        <v>27</v>
      </c>
      <c r="H2328" s="23" t="s">
        <v>26</v>
      </c>
      <c r="I2328" s="24" t="s">
        <v>27</v>
      </c>
      <c r="J2328" s="19" t="s">
        <v>146</v>
      </c>
      <c r="K2328" s="14">
        <v>10.0</v>
      </c>
      <c r="L2328" s="14">
        <v>0.0</v>
      </c>
      <c r="M2328" s="25"/>
      <c r="N2328" s="26" t="s">
        <v>21</v>
      </c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7"/>
    </row>
    <row r="2329">
      <c r="A2329" s="14" t="s">
        <v>8475</v>
      </c>
      <c r="B2329" s="17" t="s">
        <v>8476</v>
      </c>
      <c r="C2329" s="17" t="s">
        <v>8477</v>
      </c>
      <c r="D2329" s="19" t="s">
        <v>8478</v>
      </c>
      <c r="E2329" s="20" t="s">
        <v>53</v>
      </c>
      <c r="F2329" s="21">
        <v>36040.0</v>
      </c>
      <c r="G2329" s="14">
        <f t="shared" si="1"/>
        <v>28</v>
      </c>
      <c r="H2329" s="23" t="s">
        <v>26</v>
      </c>
      <c r="I2329" s="24" t="s">
        <v>33</v>
      </c>
      <c r="J2329" s="19" t="s">
        <v>282</v>
      </c>
      <c r="K2329" s="14">
        <v>16.0</v>
      </c>
      <c r="L2329" s="14">
        <v>0.0</v>
      </c>
      <c r="M2329" s="25"/>
      <c r="N2329" s="26" t="s">
        <v>21</v>
      </c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7"/>
    </row>
    <row r="2330">
      <c r="A2330" s="14" t="s">
        <v>8479</v>
      </c>
      <c r="B2330" s="17" t="s">
        <v>8480</v>
      </c>
      <c r="C2330" s="17" t="s">
        <v>8481</v>
      </c>
      <c r="D2330" s="19" t="s">
        <v>8482</v>
      </c>
      <c r="E2330" s="20" t="s">
        <v>104</v>
      </c>
      <c r="F2330" s="27">
        <v>31393.0</v>
      </c>
      <c r="G2330" s="14">
        <f t="shared" si="1"/>
        <v>40</v>
      </c>
      <c r="H2330" s="23" t="s">
        <v>26</v>
      </c>
      <c r="I2330" s="24" t="s">
        <v>33</v>
      </c>
      <c r="J2330" s="19" t="s">
        <v>517</v>
      </c>
      <c r="K2330" s="14">
        <v>9.0</v>
      </c>
      <c r="L2330" s="14">
        <v>0.0</v>
      </c>
      <c r="M2330" s="25"/>
      <c r="N2330" s="26" t="s">
        <v>21</v>
      </c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7"/>
    </row>
    <row r="2331">
      <c r="A2331" s="14" t="s">
        <v>8483</v>
      </c>
      <c r="B2331" s="17" t="s">
        <v>8480</v>
      </c>
      <c r="C2331" s="17" t="s">
        <v>8484</v>
      </c>
      <c r="D2331" s="19" t="s">
        <v>8485</v>
      </c>
      <c r="E2331" s="20" t="s">
        <v>274</v>
      </c>
      <c r="F2331" s="27">
        <v>32863.0</v>
      </c>
      <c r="G2331" s="14">
        <f t="shared" si="1"/>
        <v>36</v>
      </c>
      <c r="H2331" s="23" t="s">
        <v>26</v>
      </c>
      <c r="I2331" s="24" t="s">
        <v>27</v>
      </c>
      <c r="J2331" s="19" t="s">
        <v>517</v>
      </c>
      <c r="K2331" s="14">
        <v>9.0</v>
      </c>
      <c r="L2331" s="14">
        <v>0.0</v>
      </c>
      <c r="M2331" s="25"/>
      <c r="N2331" s="26" t="s">
        <v>21</v>
      </c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7"/>
    </row>
    <row r="2332">
      <c r="A2332" s="14" t="s">
        <v>8486</v>
      </c>
      <c r="B2332" s="17" t="s">
        <v>8487</v>
      </c>
      <c r="C2332" s="17" t="s">
        <v>8488</v>
      </c>
      <c r="D2332" s="19" t="s">
        <v>8489</v>
      </c>
      <c r="E2332" s="20" t="s">
        <v>231</v>
      </c>
      <c r="F2332" s="21">
        <v>34503.0</v>
      </c>
      <c r="G2332" s="14">
        <f t="shared" si="1"/>
        <v>32</v>
      </c>
      <c r="H2332" s="23" t="s">
        <v>26</v>
      </c>
      <c r="I2332" s="24" t="s">
        <v>33</v>
      </c>
      <c r="J2332" s="19" t="s">
        <v>989</v>
      </c>
      <c r="K2332" s="14">
        <v>3.0</v>
      </c>
      <c r="L2332" s="14">
        <v>0.0</v>
      </c>
      <c r="M2332" s="25"/>
      <c r="N2332" s="26" t="s">
        <v>21</v>
      </c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</row>
    <row r="2333">
      <c r="A2333" s="14" t="s">
        <v>8490</v>
      </c>
      <c r="B2333" s="17" t="s">
        <v>8487</v>
      </c>
      <c r="C2333" s="17" t="s">
        <v>8491</v>
      </c>
      <c r="D2333" s="19" t="s">
        <v>8492</v>
      </c>
      <c r="E2333" s="20" t="s">
        <v>8493</v>
      </c>
      <c r="F2333" s="21">
        <v>35969.0</v>
      </c>
      <c r="G2333" s="14">
        <f t="shared" si="1"/>
        <v>28</v>
      </c>
      <c r="H2333" s="23" t="s">
        <v>26</v>
      </c>
      <c r="I2333" s="24" t="s">
        <v>27</v>
      </c>
      <c r="J2333" s="19" t="s">
        <v>989</v>
      </c>
      <c r="K2333" s="14">
        <v>3.0</v>
      </c>
      <c r="L2333" s="14">
        <v>0.0</v>
      </c>
      <c r="M2333" s="25"/>
      <c r="N2333" s="26" t="s">
        <v>21</v>
      </c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7"/>
    </row>
    <row r="2334">
      <c r="A2334" s="14" t="s">
        <v>8494</v>
      </c>
      <c r="B2334" s="17" t="s">
        <v>8495</v>
      </c>
      <c r="C2334" s="17" t="s">
        <v>8496</v>
      </c>
      <c r="D2334" s="19" t="s">
        <v>8497</v>
      </c>
      <c r="E2334" s="20" t="s">
        <v>104</v>
      </c>
      <c r="F2334" s="27">
        <v>35383.0</v>
      </c>
      <c r="G2334" s="14">
        <f t="shared" si="1"/>
        <v>29</v>
      </c>
      <c r="H2334" s="23" t="s">
        <v>26</v>
      </c>
      <c r="I2334" s="24" t="s">
        <v>27</v>
      </c>
      <c r="J2334" s="19" t="s">
        <v>146</v>
      </c>
      <c r="K2334" s="14">
        <v>1.0</v>
      </c>
      <c r="L2334" s="14">
        <v>0.0</v>
      </c>
      <c r="M2334" s="25"/>
      <c r="N2334" s="26" t="s">
        <v>21</v>
      </c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7"/>
    </row>
    <row r="2335">
      <c r="A2335" s="14" t="s">
        <v>8498</v>
      </c>
      <c r="B2335" s="17" t="s">
        <v>8495</v>
      </c>
      <c r="C2335" s="17" t="s">
        <v>8499</v>
      </c>
      <c r="D2335" s="19" t="s">
        <v>8500</v>
      </c>
      <c r="E2335" s="20" t="s">
        <v>104</v>
      </c>
      <c r="F2335" s="21">
        <v>32150.0</v>
      </c>
      <c r="G2335" s="14">
        <f t="shared" si="1"/>
        <v>38</v>
      </c>
      <c r="H2335" s="23" t="s">
        <v>26</v>
      </c>
      <c r="I2335" s="24" t="s">
        <v>33</v>
      </c>
      <c r="J2335" s="19" t="s">
        <v>146</v>
      </c>
      <c r="K2335" s="14">
        <v>1.0</v>
      </c>
      <c r="L2335" s="14">
        <v>0.0</v>
      </c>
      <c r="M2335" s="25"/>
      <c r="N2335" s="26" t="s">
        <v>21</v>
      </c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7"/>
    </row>
    <row r="2336">
      <c r="A2336" s="14" t="s">
        <v>8501</v>
      </c>
      <c r="B2336" s="17" t="s">
        <v>8502</v>
      </c>
      <c r="C2336" s="17" t="s">
        <v>8503</v>
      </c>
      <c r="D2336" s="19" t="s">
        <v>8504</v>
      </c>
      <c r="E2336" s="20" t="s">
        <v>8505</v>
      </c>
      <c r="F2336" s="21">
        <v>30095.0</v>
      </c>
      <c r="G2336" s="14">
        <f t="shared" si="1"/>
        <v>44</v>
      </c>
      <c r="H2336" s="23" t="s">
        <v>26</v>
      </c>
      <c r="I2336" s="24" t="s">
        <v>33</v>
      </c>
      <c r="J2336" s="19" t="s">
        <v>783</v>
      </c>
      <c r="K2336" s="14">
        <v>21.0</v>
      </c>
      <c r="L2336" s="14">
        <v>0.0</v>
      </c>
      <c r="M2336" s="25"/>
      <c r="N2336" s="26" t="s">
        <v>21</v>
      </c>
      <c r="O2336" s="7"/>
      <c r="P2336" s="7"/>
      <c r="Q2336" s="7"/>
      <c r="R2336" s="7"/>
      <c r="S2336" s="7"/>
      <c r="T2336" s="7"/>
      <c r="U2336" s="7"/>
      <c r="V2336" s="7"/>
      <c r="W2336" s="7"/>
      <c r="X2336" s="7"/>
      <c r="Y2336" s="7"/>
    </row>
    <row r="2337">
      <c r="A2337" s="14" t="s">
        <v>8506</v>
      </c>
      <c r="B2337" s="17" t="s">
        <v>8502</v>
      </c>
      <c r="C2337" s="17" t="s">
        <v>8507</v>
      </c>
      <c r="D2337" s="19" t="s">
        <v>8508</v>
      </c>
      <c r="E2337" s="20" t="s">
        <v>104</v>
      </c>
      <c r="F2337" s="21">
        <v>33060.0</v>
      </c>
      <c r="G2337" s="14">
        <f t="shared" si="1"/>
        <v>36</v>
      </c>
      <c r="H2337" s="23" t="s">
        <v>26</v>
      </c>
      <c r="I2337" s="24" t="s">
        <v>27</v>
      </c>
      <c r="J2337" s="19" t="s">
        <v>783</v>
      </c>
      <c r="K2337" s="14">
        <v>21.0</v>
      </c>
      <c r="L2337" s="14">
        <v>0.0</v>
      </c>
      <c r="M2337" s="25"/>
      <c r="N2337" s="26" t="s">
        <v>21</v>
      </c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</row>
    <row r="2338">
      <c r="A2338" s="14" t="s">
        <v>8509</v>
      </c>
      <c r="B2338" s="17" t="s">
        <v>8510</v>
      </c>
      <c r="C2338" s="17" t="s">
        <v>8511</v>
      </c>
      <c r="D2338" s="19" t="s">
        <v>1494</v>
      </c>
      <c r="E2338" s="20" t="s">
        <v>104</v>
      </c>
      <c r="F2338" s="27">
        <v>28851.0</v>
      </c>
      <c r="G2338" s="14">
        <f t="shared" si="1"/>
        <v>47</v>
      </c>
      <c r="H2338" s="23" t="s">
        <v>26</v>
      </c>
      <c r="I2338" s="24" t="s">
        <v>27</v>
      </c>
      <c r="J2338" s="19" t="s">
        <v>282</v>
      </c>
      <c r="K2338" s="14">
        <v>16.0</v>
      </c>
      <c r="L2338" s="14">
        <v>0.0</v>
      </c>
      <c r="M2338" s="25"/>
      <c r="N2338" s="26" t="s">
        <v>21</v>
      </c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7"/>
    </row>
    <row r="2339">
      <c r="A2339" s="14" t="s">
        <v>8512</v>
      </c>
      <c r="B2339" s="17" t="s">
        <v>8510</v>
      </c>
      <c r="C2339" s="17" t="s">
        <v>8513</v>
      </c>
      <c r="D2339" s="19" t="s">
        <v>8514</v>
      </c>
      <c r="E2339" s="20" t="s">
        <v>624</v>
      </c>
      <c r="F2339" s="21">
        <v>26455.0</v>
      </c>
      <c r="G2339" s="14">
        <f t="shared" si="1"/>
        <v>54</v>
      </c>
      <c r="H2339" s="23" t="s">
        <v>26</v>
      </c>
      <c r="I2339" s="24" t="s">
        <v>33</v>
      </c>
      <c r="J2339" s="19" t="s">
        <v>3592</v>
      </c>
      <c r="K2339" s="14">
        <v>16.0</v>
      </c>
      <c r="L2339" s="14">
        <v>0.0</v>
      </c>
      <c r="M2339" s="25"/>
      <c r="N2339" s="26" t="s">
        <v>21</v>
      </c>
      <c r="O2339" s="7"/>
      <c r="P2339" s="7"/>
      <c r="Q2339" s="7"/>
      <c r="R2339" s="7"/>
      <c r="S2339" s="7"/>
      <c r="T2339" s="7"/>
      <c r="U2339" s="7"/>
      <c r="V2339" s="7"/>
      <c r="W2339" s="7"/>
      <c r="X2339" s="7"/>
      <c r="Y2339" s="7"/>
    </row>
    <row r="2340">
      <c r="A2340" s="14" t="s">
        <v>8515</v>
      </c>
      <c r="B2340" s="17" t="s">
        <v>8510</v>
      </c>
      <c r="C2340" s="17" t="s">
        <v>8516</v>
      </c>
      <c r="D2340" s="19" t="s">
        <v>8517</v>
      </c>
      <c r="E2340" s="20" t="s">
        <v>104</v>
      </c>
      <c r="F2340" s="21">
        <v>37658.0</v>
      </c>
      <c r="G2340" s="14">
        <f t="shared" si="1"/>
        <v>23</v>
      </c>
      <c r="H2340" s="23" t="s">
        <v>100</v>
      </c>
      <c r="I2340" s="24" t="s">
        <v>27</v>
      </c>
      <c r="J2340" s="19" t="s">
        <v>3592</v>
      </c>
      <c r="K2340" s="14">
        <v>16.0</v>
      </c>
      <c r="L2340" s="14">
        <v>0.0</v>
      </c>
      <c r="M2340" s="25"/>
      <c r="N2340" s="26" t="s">
        <v>21</v>
      </c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7"/>
    </row>
    <row r="2341">
      <c r="A2341" s="14" t="s">
        <v>8518</v>
      </c>
      <c r="B2341" s="17" t="s">
        <v>8519</v>
      </c>
      <c r="C2341" s="17" t="s">
        <v>8520</v>
      </c>
      <c r="D2341" s="19" t="s">
        <v>8521</v>
      </c>
      <c r="E2341" s="20" t="s">
        <v>104</v>
      </c>
      <c r="F2341" s="21">
        <v>27986.0</v>
      </c>
      <c r="G2341" s="14">
        <f t="shared" si="1"/>
        <v>50</v>
      </c>
      <c r="H2341" s="23" t="s">
        <v>26</v>
      </c>
      <c r="I2341" s="24" t="s">
        <v>33</v>
      </c>
      <c r="J2341" s="19" t="s">
        <v>7905</v>
      </c>
      <c r="K2341" s="14">
        <v>16.0</v>
      </c>
      <c r="L2341" s="14">
        <v>0.0</v>
      </c>
      <c r="M2341" s="25"/>
      <c r="N2341" s="26" t="s">
        <v>21</v>
      </c>
      <c r="O2341" s="7"/>
      <c r="P2341" s="7"/>
      <c r="Q2341" s="7"/>
      <c r="R2341" s="7"/>
      <c r="S2341" s="7"/>
      <c r="T2341" s="7"/>
      <c r="U2341" s="7"/>
      <c r="V2341" s="7"/>
      <c r="W2341" s="7"/>
      <c r="X2341" s="7"/>
      <c r="Y2341" s="7"/>
    </row>
    <row r="2342">
      <c r="A2342" s="14" t="s">
        <v>8522</v>
      </c>
      <c r="B2342" s="17" t="s">
        <v>8519</v>
      </c>
      <c r="C2342" s="17" t="s">
        <v>8523</v>
      </c>
      <c r="D2342" s="19" t="s">
        <v>8524</v>
      </c>
      <c r="E2342" s="20" t="s">
        <v>53</v>
      </c>
      <c r="F2342" s="21">
        <v>38403.0</v>
      </c>
      <c r="G2342" s="14">
        <f t="shared" si="1"/>
        <v>21</v>
      </c>
      <c r="H2342" s="23" t="s">
        <v>100</v>
      </c>
      <c r="I2342" s="24" t="s">
        <v>27</v>
      </c>
      <c r="J2342" s="19" t="s">
        <v>5924</v>
      </c>
      <c r="K2342" s="14">
        <v>16.0</v>
      </c>
      <c r="L2342" s="14">
        <v>0.0</v>
      </c>
      <c r="M2342" s="25"/>
      <c r="N2342" s="26" t="s">
        <v>21</v>
      </c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7"/>
    </row>
    <row r="2343">
      <c r="A2343" s="14" t="s">
        <v>8525</v>
      </c>
      <c r="B2343" s="17" t="s">
        <v>8519</v>
      </c>
      <c r="C2343" s="17" t="s">
        <v>8526</v>
      </c>
      <c r="D2343" s="19" t="s">
        <v>8527</v>
      </c>
      <c r="E2343" s="20" t="s">
        <v>319</v>
      </c>
      <c r="F2343" s="21">
        <v>29656.0</v>
      </c>
      <c r="G2343" s="14">
        <f t="shared" si="1"/>
        <v>45</v>
      </c>
      <c r="H2343" s="23" t="s">
        <v>26</v>
      </c>
      <c r="I2343" s="24" t="s">
        <v>27</v>
      </c>
      <c r="J2343" s="19" t="s">
        <v>5924</v>
      </c>
      <c r="K2343" s="14">
        <v>16.0</v>
      </c>
      <c r="L2343" s="14">
        <v>0.0</v>
      </c>
      <c r="M2343" s="25"/>
      <c r="N2343" s="26" t="s">
        <v>21</v>
      </c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7"/>
    </row>
    <row r="2344">
      <c r="A2344" s="14" t="s">
        <v>8528</v>
      </c>
      <c r="B2344" s="17" t="s">
        <v>8529</v>
      </c>
      <c r="C2344" s="17" t="s">
        <v>8530</v>
      </c>
      <c r="D2344" s="19" t="s">
        <v>8531</v>
      </c>
      <c r="E2344" s="20" t="s">
        <v>1291</v>
      </c>
      <c r="F2344" s="21">
        <v>19574.0</v>
      </c>
      <c r="G2344" s="14">
        <f t="shared" si="1"/>
        <v>73</v>
      </c>
      <c r="H2344" s="23" t="s">
        <v>26</v>
      </c>
      <c r="I2344" s="24" t="s">
        <v>33</v>
      </c>
      <c r="J2344" s="19" t="s">
        <v>3538</v>
      </c>
      <c r="K2344" s="14">
        <v>22.0</v>
      </c>
      <c r="L2344" s="14">
        <v>0.0</v>
      </c>
      <c r="M2344" s="25"/>
      <c r="N2344" s="26" t="s">
        <v>21</v>
      </c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</row>
    <row r="2345">
      <c r="A2345" s="14" t="s">
        <v>8532</v>
      </c>
      <c r="B2345" s="17" t="s">
        <v>8529</v>
      </c>
      <c r="C2345" s="17" t="s">
        <v>8534</v>
      </c>
      <c r="D2345" s="19" t="s">
        <v>8535</v>
      </c>
      <c r="E2345" s="20" t="s">
        <v>1291</v>
      </c>
      <c r="F2345" s="21">
        <v>20143.0</v>
      </c>
      <c r="G2345" s="14">
        <f t="shared" si="1"/>
        <v>71</v>
      </c>
      <c r="H2345" s="23" t="s">
        <v>26</v>
      </c>
      <c r="I2345" s="24" t="s">
        <v>27</v>
      </c>
      <c r="J2345" s="19" t="s">
        <v>3538</v>
      </c>
      <c r="K2345" s="14">
        <v>22.0</v>
      </c>
      <c r="L2345" s="14">
        <v>0.0</v>
      </c>
      <c r="M2345" s="25"/>
      <c r="N2345" s="26" t="s">
        <v>21</v>
      </c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7"/>
    </row>
    <row r="2346">
      <c r="A2346" s="14" t="s">
        <v>8536</v>
      </c>
      <c r="B2346" s="17" t="s">
        <v>8537</v>
      </c>
      <c r="C2346" s="17" t="s">
        <v>8538</v>
      </c>
      <c r="D2346" s="19" t="s">
        <v>8539</v>
      </c>
      <c r="E2346" s="20" t="s">
        <v>1291</v>
      </c>
      <c r="F2346" s="21">
        <v>23613.0</v>
      </c>
      <c r="G2346" s="14">
        <f t="shared" si="1"/>
        <v>62</v>
      </c>
      <c r="H2346" s="23" t="s">
        <v>26</v>
      </c>
      <c r="I2346" s="24" t="s">
        <v>33</v>
      </c>
      <c r="J2346" s="19" t="s">
        <v>3538</v>
      </c>
      <c r="K2346" s="14">
        <v>22.0</v>
      </c>
      <c r="L2346" s="14">
        <v>1.0</v>
      </c>
      <c r="M2346" s="25"/>
      <c r="N2346" s="26" t="s">
        <v>21</v>
      </c>
      <c r="O2346" s="7"/>
      <c r="P2346" s="7"/>
      <c r="Q2346" s="7"/>
      <c r="R2346" s="7"/>
      <c r="S2346" s="7"/>
      <c r="T2346" s="7"/>
      <c r="U2346" s="7"/>
      <c r="V2346" s="7"/>
      <c r="W2346" s="7"/>
      <c r="X2346" s="7"/>
      <c r="Y2346" s="7"/>
    </row>
    <row r="2347">
      <c r="A2347" s="14" t="s">
        <v>8540</v>
      </c>
      <c r="B2347" s="17" t="s">
        <v>8541</v>
      </c>
      <c r="C2347" s="17" t="s">
        <v>8542</v>
      </c>
      <c r="D2347" s="19" t="s">
        <v>8543</v>
      </c>
      <c r="E2347" s="20" t="s">
        <v>104</v>
      </c>
      <c r="F2347" s="21">
        <v>35712.0</v>
      </c>
      <c r="G2347" s="14">
        <f t="shared" si="1"/>
        <v>29</v>
      </c>
      <c r="H2347" s="23" t="s">
        <v>100</v>
      </c>
      <c r="I2347" s="24" t="s">
        <v>33</v>
      </c>
      <c r="J2347" s="19" t="s">
        <v>5924</v>
      </c>
      <c r="K2347" s="14">
        <v>16.0</v>
      </c>
      <c r="L2347" s="14">
        <v>0.0</v>
      </c>
      <c r="M2347" s="25"/>
      <c r="N2347" s="26" t="s">
        <v>21</v>
      </c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7"/>
    </row>
    <row r="2348">
      <c r="A2348" s="14" t="s">
        <v>8544</v>
      </c>
      <c r="B2348" s="17" t="s">
        <v>8541</v>
      </c>
      <c r="C2348" s="17" t="s">
        <v>8545</v>
      </c>
      <c r="D2348" s="19" t="s">
        <v>8546</v>
      </c>
      <c r="E2348" s="20" t="s">
        <v>624</v>
      </c>
      <c r="F2348" s="21">
        <v>23892.0</v>
      </c>
      <c r="G2348" s="14">
        <f t="shared" si="1"/>
        <v>61</v>
      </c>
      <c r="H2348" s="23" t="s">
        <v>26</v>
      </c>
      <c r="I2348" s="24" t="s">
        <v>27</v>
      </c>
      <c r="J2348" s="19" t="s">
        <v>5924</v>
      </c>
      <c r="K2348" s="14">
        <v>16.0</v>
      </c>
      <c r="L2348" s="14">
        <v>0.0</v>
      </c>
      <c r="M2348" s="25"/>
      <c r="N2348" s="26" t="s">
        <v>21</v>
      </c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</row>
    <row r="2349">
      <c r="A2349" s="14" t="s">
        <v>8547</v>
      </c>
      <c r="B2349" s="17" t="s">
        <v>8541</v>
      </c>
      <c r="C2349" s="17" t="s">
        <v>8548</v>
      </c>
      <c r="D2349" s="19" t="s">
        <v>8549</v>
      </c>
      <c r="E2349" s="20" t="s">
        <v>624</v>
      </c>
      <c r="F2349" s="21">
        <v>23924.0</v>
      </c>
      <c r="G2349" s="14">
        <f t="shared" si="1"/>
        <v>61</v>
      </c>
      <c r="H2349" s="23" t="s">
        <v>26</v>
      </c>
      <c r="I2349" s="24" t="s">
        <v>33</v>
      </c>
      <c r="J2349" s="19" t="s">
        <v>5924</v>
      </c>
      <c r="K2349" s="14">
        <v>16.0</v>
      </c>
      <c r="L2349" s="14">
        <v>0.0</v>
      </c>
      <c r="M2349" s="25"/>
      <c r="N2349" s="26" t="s">
        <v>21</v>
      </c>
      <c r="O2349" s="7"/>
      <c r="P2349" s="7"/>
      <c r="Q2349" s="7"/>
      <c r="R2349" s="7"/>
      <c r="S2349" s="7"/>
      <c r="T2349" s="7"/>
      <c r="U2349" s="7"/>
      <c r="V2349" s="7"/>
      <c r="W2349" s="7"/>
      <c r="X2349" s="7"/>
      <c r="Y2349" s="7"/>
    </row>
    <row r="2350">
      <c r="A2350" s="14" t="s">
        <v>8550</v>
      </c>
      <c r="B2350" s="17" t="s">
        <v>8551</v>
      </c>
      <c r="C2350" s="17" t="s">
        <v>8552</v>
      </c>
      <c r="D2350" s="19" t="s">
        <v>8553</v>
      </c>
      <c r="E2350" s="20" t="s">
        <v>104</v>
      </c>
      <c r="F2350" s="21">
        <v>33420.0</v>
      </c>
      <c r="G2350" s="14">
        <f t="shared" si="1"/>
        <v>35</v>
      </c>
      <c r="H2350" s="23" t="s">
        <v>26</v>
      </c>
      <c r="I2350" s="24" t="s">
        <v>33</v>
      </c>
      <c r="J2350" s="19" t="s">
        <v>895</v>
      </c>
      <c r="K2350" s="14">
        <v>27.0</v>
      </c>
      <c r="L2350" s="14">
        <v>0.0</v>
      </c>
      <c r="M2350" s="25"/>
      <c r="N2350" s="26" t="s">
        <v>21</v>
      </c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</row>
    <row r="2351">
      <c r="A2351" s="14" t="s">
        <v>8554</v>
      </c>
      <c r="B2351" s="17" t="s">
        <v>8551</v>
      </c>
      <c r="C2351" s="17" t="s">
        <v>8555</v>
      </c>
      <c r="D2351" s="19" t="s">
        <v>8556</v>
      </c>
      <c r="E2351" s="20" t="s">
        <v>8557</v>
      </c>
      <c r="F2351" s="27">
        <v>32860.0</v>
      </c>
      <c r="G2351" s="14">
        <f t="shared" si="1"/>
        <v>36</v>
      </c>
      <c r="H2351" s="23" t="s">
        <v>26</v>
      </c>
      <c r="I2351" s="24" t="s">
        <v>27</v>
      </c>
      <c r="J2351" s="19" t="s">
        <v>895</v>
      </c>
      <c r="K2351" s="14">
        <v>27.0</v>
      </c>
      <c r="L2351" s="14">
        <v>1.0</v>
      </c>
      <c r="M2351" s="25"/>
      <c r="N2351" s="26" t="s">
        <v>21</v>
      </c>
      <c r="O2351" s="7"/>
      <c r="P2351" s="7"/>
      <c r="Q2351" s="7"/>
      <c r="R2351" s="7"/>
      <c r="S2351" s="7"/>
      <c r="T2351" s="7"/>
      <c r="U2351" s="7"/>
      <c r="V2351" s="7"/>
      <c r="W2351" s="7"/>
      <c r="X2351" s="7"/>
      <c r="Y2351" s="7"/>
    </row>
    <row r="2352">
      <c r="A2352" s="14" t="s">
        <v>8558</v>
      </c>
      <c r="B2352" s="17" t="s">
        <v>8559</v>
      </c>
      <c r="C2352" s="17" t="s">
        <v>8560</v>
      </c>
      <c r="D2352" s="19" t="s">
        <v>8561</v>
      </c>
      <c r="E2352" s="20" t="s">
        <v>176</v>
      </c>
      <c r="F2352" s="27">
        <v>31334.0</v>
      </c>
      <c r="G2352" s="14">
        <f t="shared" si="1"/>
        <v>41</v>
      </c>
      <c r="H2352" s="23" t="s">
        <v>26</v>
      </c>
      <c r="I2352" s="24" t="s">
        <v>33</v>
      </c>
      <c r="J2352" s="19" t="s">
        <v>8562</v>
      </c>
      <c r="K2352" s="14">
        <v>26.0</v>
      </c>
      <c r="L2352" s="14">
        <v>0.0</v>
      </c>
      <c r="M2352" s="25"/>
      <c r="N2352" s="26" t="s">
        <v>21</v>
      </c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</row>
    <row r="2353">
      <c r="A2353" s="14" t="s">
        <v>8563</v>
      </c>
      <c r="B2353" s="17" t="s">
        <v>8559</v>
      </c>
      <c r="C2353" s="17" t="s">
        <v>8564</v>
      </c>
      <c r="D2353" s="19" t="s">
        <v>8565</v>
      </c>
      <c r="E2353" s="20" t="s">
        <v>53</v>
      </c>
      <c r="F2353" s="27">
        <v>31703.0</v>
      </c>
      <c r="G2353" s="14">
        <f t="shared" si="1"/>
        <v>40</v>
      </c>
      <c r="H2353" s="23" t="s">
        <v>26</v>
      </c>
      <c r="I2353" s="24" t="s">
        <v>27</v>
      </c>
      <c r="J2353" s="19" t="s">
        <v>8562</v>
      </c>
      <c r="K2353" s="14">
        <v>26.0</v>
      </c>
      <c r="L2353" s="14">
        <v>0.0</v>
      </c>
      <c r="M2353" s="25"/>
      <c r="N2353" s="26" t="s">
        <v>21</v>
      </c>
      <c r="O2353" s="7"/>
      <c r="P2353" s="7"/>
      <c r="Q2353" s="7"/>
      <c r="R2353" s="7"/>
      <c r="S2353" s="7"/>
      <c r="T2353" s="7"/>
      <c r="U2353" s="7"/>
      <c r="V2353" s="7"/>
      <c r="W2353" s="7"/>
      <c r="X2353" s="7"/>
      <c r="Y2353" s="7"/>
    </row>
    <row r="2354">
      <c r="A2354" s="14" t="s">
        <v>8566</v>
      </c>
      <c r="B2354" s="17" t="s">
        <v>8567</v>
      </c>
      <c r="C2354" s="17" t="s">
        <v>8568</v>
      </c>
      <c r="D2354" s="19" t="s">
        <v>8569</v>
      </c>
      <c r="E2354" s="20" t="s">
        <v>53</v>
      </c>
      <c r="F2354" s="21">
        <v>32390.0</v>
      </c>
      <c r="G2354" s="14">
        <f t="shared" si="1"/>
        <v>38</v>
      </c>
      <c r="H2354" s="23" t="s">
        <v>26</v>
      </c>
      <c r="I2354" s="24" t="s">
        <v>27</v>
      </c>
      <c r="J2354" s="19" t="s">
        <v>53</v>
      </c>
      <c r="K2354" s="14">
        <v>15.0</v>
      </c>
      <c r="L2354" s="14">
        <v>5.0</v>
      </c>
      <c r="M2354" s="25"/>
      <c r="N2354" s="26" t="s">
        <v>21</v>
      </c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</row>
    <row r="2355">
      <c r="A2355" s="14" t="s">
        <v>8570</v>
      </c>
      <c r="B2355" s="17" t="s">
        <v>8567</v>
      </c>
      <c r="C2355" s="17" t="s">
        <v>8571</v>
      </c>
      <c r="D2355" s="19" t="s">
        <v>8572</v>
      </c>
      <c r="E2355" s="20" t="s">
        <v>8573</v>
      </c>
      <c r="F2355" s="27">
        <v>30965.0</v>
      </c>
      <c r="G2355" s="14">
        <f t="shared" si="1"/>
        <v>42</v>
      </c>
      <c r="H2355" s="23" t="s">
        <v>26</v>
      </c>
      <c r="I2355" s="24" t="s">
        <v>33</v>
      </c>
      <c r="J2355" s="19" t="s">
        <v>53</v>
      </c>
      <c r="K2355" s="14">
        <v>15.0</v>
      </c>
      <c r="L2355" s="14">
        <v>5.0</v>
      </c>
      <c r="M2355" s="25"/>
      <c r="N2355" s="26" t="s">
        <v>21</v>
      </c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</row>
    <row r="2356">
      <c r="A2356" s="14" t="s">
        <v>8574</v>
      </c>
      <c r="B2356" s="17" t="s">
        <v>8575</v>
      </c>
      <c r="C2356" s="17" t="s">
        <v>8576</v>
      </c>
      <c r="D2356" s="19" t="s">
        <v>8577</v>
      </c>
      <c r="E2356" s="20" t="s">
        <v>337</v>
      </c>
      <c r="F2356" s="21">
        <v>33415.0</v>
      </c>
      <c r="G2356" s="14">
        <f t="shared" si="1"/>
        <v>35</v>
      </c>
      <c r="H2356" s="23" t="s">
        <v>26</v>
      </c>
      <c r="I2356" s="24" t="s">
        <v>33</v>
      </c>
      <c r="J2356" s="19" t="s">
        <v>726</v>
      </c>
      <c r="K2356" s="14">
        <v>17.0</v>
      </c>
      <c r="L2356" s="14">
        <v>0.0</v>
      </c>
      <c r="M2356" s="25"/>
      <c r="N2356" s="26" t="s">
        <v>21</v>
      </c>
      <c r="O2356" s="7"/>
      <c r="P2356" s="7"/>
      <c r="Q2356" s="7"/>
      <c r="R2356" s="7"/>
      <c r="S2356" s="7"/>
      <c r="T2356" s="7"/>
      <c r="U2356" s="7"/>
      <c r="V2356" s="7"/>
      <c r="W2356" s="7"/>
      <c r="X2356" s="7"/>
      <c r="Y2356" s="7"/>
    </row>
    <row r="2357">
      <c r="A2357" s="14" t="s">
        <v>8578</v>
      </c>
      <c r="B2357" s="17" t="s">
        <v>8575</v>
      </c>
      <c r="C2357" s="17" t="s">
        <v>8579</v>
      </c>
      <c r="D2357" s="19" t="s">
        <v>8580</v>
      </c>
      <c r="E2357" s="20" t="s">
        <v>8581</v>
      </c>
      <c r="F2357" s="21">
        <v>34486.0</v>
      </c>
      <c r="G2357" s="14">
        <f t="shared" si="1"/>
        <v>32</v>
      </c>
      <c r="H2357" s="23" t="s">
        <v>26</v>
      </c>
      <c r="I2357" s="24" t="s">
        <v>27</v>
      </c>
      <c r="J2357" s="19" t="s">
        <v>726</v>
      </c>
      <c r="K2357" s="14">
        <v>17.0</v>
      </c>
      <c r="L2357" s="14">
        <v>0.0</v>
      </c>
      <c r="M2357" s="25"/>
      <c r="N2357" s="26" t="s">
        <v>21</v>
      </c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7"/>
    </row>
    <row r="2358">
      <c r="A2358" s="14" t="s">
        <v>8582</v>
      </c>
      <c r="B2358" s="17" t="s">
        <v>8583</v>
      </c>
      <c r="C2358" s="17" t="s">
        <v>8584</v>
      </c>
      <c r="D2358" s="19" t="s">
        <v>3756</v>
      </c>
      <c r="E2358" s="20" t="s">
        <v>1049</v>
      </c>
      <c r="F2358" s="27">
        <v>18249.0</v>
      </c>
      <c r="G2358" s="14">
        <f t="shared" si="1"/>
        <v>76</v>
      </c>
      <c r="H2358" s="23" t="s">
        <v>26</v>
      </c>
      <c r="I2358" s="24" t="s">
        <v>33</v>
      </c>
      <c r="J2358" s="19" t="s">
        <v>726</v>
      </c>
      <c r="K2358" s="14">
        <v>16.0</v>
      </c>
      <c r="L2358" s="14">
        <v>0.0</v>
      </c>
      <c r="M2358" s="25"/>
      <c r="N2358" s="26" t="s">
        <v>21</v>
      </c>
      <c r="O2358" s="7"/>
      <c r="P2358" s="7"/>
      <c r="Q2358" s="7"/>
      <c r="R2358" s="7"/>
      <c r="S2358" s="7"/>
      <c r="T2358" s="7"/>
      <c r="U2358" s="7"/>
      <c r="V2358" s="7"/>
      <c r="W2358" s="7"/>
      <c r="X2358" s="7"/>
      <c r="Y2358" s="7"/>
    </row>
    <row r="2359">
      <c r="A2359" s="14" t="s">
        <v>8585</v>
      </c>
      <c r="B2359" s="17" t="s">
        <v>8583</v>
      </c>
      <c r="C2359" s="17" t="s">
        <v>8586</v>
      </c>
      <c r="D2359" s="19" t="s">
        <v>2547</v>
      </c>
      <c r="E2359" s="20" t="s">
        <v>1049</v>
      </c>
      <c r="F2359" s="21">
        <v>21622.0</v>
      </c>
      <c r="G2359" s="14">
        <f t="shared" si="1"/>
        <v>67</v>
      </c>
      <c r="H2359" s="23" t="s">
        <v>26</v>
      </c>
      <c r="I2359" s="24" t="s">
        <v>27</v>
      </c>
      <c r="J2359" s="19" t="s">
        <v>282</v>
      </c>
      <c r="K2359" s="14">
        <v>16.0</v>
      </c>
      <c r="L2359" s="14">
        <v>0.0</v>
      </c>
      <c r="M2359" s="25"/>
      <c r="N2359" s="26" t="s">
        <v>21</v>
      </c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7"/>
    </row>
    <row r="2360">
      <c r="A2360" s="14" t="s">
        <v>8587</v>
      </c>
      <c r="B2360" s="17" t="s">
        <v>8588</v>
      </c>
      <c r="C2360" s="17" t="s">
        <v>8589</v>
      </c>
      <c r="D2360" s="19" t="s">
        <v>8590</v>
      </c>
      <c r="E2360" s="20" t="s">
        <v>104</v>
      </c>
      <c r="F2360" s="21">
        <v>37088.0</v>
      </c>
      <c r="G2360" s="14">
        <f t="shared" si="1"/>
        <v>25</v>
      </c>
      <c r="H2360" s="23" t="s">
        <v>100</v>
      </c>
      <c r="I2360" s="24" t="s">
        <v>33</v>
      </c>
      <c r="J2360" s="19" t="s">
        <v>58</v>
      </c>
      <c r="K2360" s="14">
        <v>9.0</v>
      </c>
      <c r="L2360" s="14">
        <v>0.0</v>
      </c>
      <c r="M2360" s="25"/>
      <c r="N2360" s="26" t="s">
        <v>21</v>
      </c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7"/>
    </row>
    <row r="2361">
      <c r="A2361" s="14" t="s">
        <v>8591</v>
      </c>
      <c r="B2361" s="17" t="s">
        <v>8588</v>
      </c>
      <c r="C2361" s="17" t="s">
        <v>8592</v>
      </c>
      <c r="D2361" s="19" t="s">
        <v>8593</v>
      </c>
      <c r="E2361" s="20" t="s">
        <v>104</v>
      </c>
      <c r="F2361" s="21">
        <v>38265.0</v>
      </c>
      <c r="G2361" s="14">
        <f t="shared" si="1"/>
        <v>22</v>
      </c>
      <c r="H2361" s="23" t="s">
        <v>100</v>
      </c>
      <c r="I2361" s="24" t="s">
        <v>33</v>
      </c>
      <c r="J2361" s="19" t="s">
        <v>58</v>
      </c>
      <c r="K2361" s="14">
        <v>9.0</v>
      </c>
      <c r="L2361" s="14">
        <v>0.0</v>
      </c>
      <c r="M2361" s="25"/>
      <c r="N2361" s="26" t="s">
        <v>21</v>
      </c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7"/>
    </row>
    <row r="2362">
      <c r="A2362" s="14" t="s">
        <v>8594</v>
      </c>
      <c r="B2362" s="17" t="s">
        <v>8588</v>
      </c>
      <c r="C2362" s="17" t="s">
        <v>8595</v>
      </c>
      <c r="D2362" s="19" t="s">
        <v>4730</v>
      </c>
      <c r="E2362" s="20" t="s">
        <v>1148</v>
      </c>
      <c r="F2362" s="21">
        <v>26481.0</v>
      </c>
      <c r="G2362" s="14">
        <f t="shared" si="1"/>
        <v>54</v>
      </c>
      <c r="H2362" s="23" t="s">
        <v>26</v>
      </c>
      <c r="I2362" s="24" t="s">
        <v>27</v>
      </c>
      <c r="J2362" s="19" t="s">
        <v>58</v>
      </c>
      <c r="K2362" s="14">
        <v>9.0</v>
      </c>
      <c r="L2362" s="14">
        <v>0.0</v>
      </c>
      <c r="M2362" s="25"/>
      <c r="N2362" s="26" t="s">
        <v>21</v>
      </c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7"/>
    </row>
    <row r="2363">
      <c r="A2363" s="14" t="s">
        <v>8596</v>
      </c>
      <c r="B2363" s="17" t="s">
        <v>8588</v>
      </c>
      <c r="C2363" s="17" t="s">
        <v>8597</v>
      </c>
      <c r="D2363" s="19" t="s">
        <v>8598</v>
      </c>
      <c r="E2363" s="20" t="s">
        <v>104</v>
      </c>
      <c r="F2363" s="21">
        <v>39177.0</v>
      </c>
      <c r="G2363" s="14">
        <f t="shared" si="1"/>
        <v>19</v>
      </c>
      <c r="H2363" s="23" t="s">
        <v>100</v>
      </c>
      <c r="I2363" s="24" t="s">
        <v>27</v>
      </c>
      <c r="J2363" s="19" t="s">
        <v>58</v>
      </c>
      <c r="K2363" s="14">
        <v>9.0</v>
      </c>
      <c r="L2363" s="14">
        <v>0.0</v>
      </c>
      <c r="M2363" s="25"/>
      <c r="N2363" s="26" t="s">
        <v>21</v>
      </c>
      <c r="O2363" s="7"/>
      <c r="P2363" s="7"/>
      <c r="Q2363" s="7"/>
      <c r="R2363" s="7"/>
      <c r="S2363" s="7"/>
      <c r="T2363" s="7"/>
      <c r="U2363" s="7"/>
      <c r="V2363" s="7"/>
      <c r="W2363" s="7"/>
      <c r="X2363" s="7"/>
      <c r="Y2363" s="7"/>
    </row>
    <row r="2364">
      <c r="A2364" s="14" t="s">
        <v>8599</v>
      </c>
      <c r="B2364" s="17" t="s">
        <v>8588</v>
      </c>
      <c r="C2364" s="17" t="s">
        <v>8600</v>
      </c>
      <c r="D2364" s="19" t="s">
        <v>8601</v>
      </c>
      <c r="E2364" s="20" t="s">
        <v>605</v>
      </c>
      <c r="F2364" s="21">
        <v>22508.0</v>
      </c>
      <c r="G2364" s="14">
        <f t="shared" si="1"/>
        <v>65</v>
      </c>
      <c r="H2364" s="23" t="s">
        <v>26</v>
      </c>
      <c r="I2364" s="24" t="s">
        <v>33</v>
      </c>
      <c r="J2364" s="19" t="s">
        <v>58</v>
      </c>
      <c r="K2364" s="14">
        <v>9.0</v>
      </c>
      <c r="L2364" s="14">
        <v>0.0</v>
      </c>
      <c r="M2364" s="25"/>
      <c r="N2364" s="26" t="s">
        <v>21</v>
      </c>
      <c r="O2364" s="7"/>
      <c r="P2364" s="7"/>
      <c r="Q2364" s="7"/>
      <c r="R2364" s="7"/>
      <c r="S2364" s="7"/>
      <c r="T2364" s="7"/>
      <c r="U2364" s="7"/>
      <c r="V2364" s="7"/>
      <c r="W2364" s="7"/>
      <c r="X2364" s="7"/>
      <c r="Y2364" s="7"/>
    </row>
    <row r="2365">
      <c r="A2365" s="14" t="s">
        <v>8602</v>
      </c>
      <c r="B2365" s="17" t="s">
        <v>8603</v>
      </c>
      <c r="C2365" s="17" t="s">
        <v>8604</v>
      </c>
      <c r="D2365" s="19" t="s">
        <v>8605</v>
      </c>
      <c r="E2365" s="20" t="s">
        <v>1816</v>
      </c>
      <c r="F2365" s="21">
        <v>27211.0</v>
      </c>
      <c r="G2365" s="14">
        <f t="shared" si="1"/>
        <v>52</v>
      </c>
      <c r="H2365" s="23" t="s">
        <v>26</v>
      </c>
      <c r="I2365" s="24" t="s">
        <v>33</v>
      </c>
      <c r="J2365" s="19" t="s">
        <v>68</v>
      </c>
      <c r="K2365" s="14">
        <v>17.0</v>
      </c>
      <c r="L2365" s="14">
        <v>0.0</v>
      </c>
      <c r="M2365" s="25"/>
      <c r="N2365" s="26" t="s">
        <v>21</v>
      </c>
      <c r="O2365" s="7"/>
      <c r="P2365" s="7"/>
      <c r="Q2365" s="7"/>
      <c r="R2365" s="7"/>
      <c r="S2365" s="7"/>
      <c r="T2365" s="7"/>
      <c r="U2365" s="7"/>
      <c r="V2365" s="7"/>
      <c r="W2365" s="7"/>
      <c r="X2365" s="7"/>
      <c r="Y2365" s="7"/>
    </row>
    <row r="2366">
      <c r="A2366" s="14" t="s">
        <v>8606</v>
      </c>
      <c r="B2366" s="17" t="s">
        <v>8603</v>
      </c>
      <c r="C2366" s="17" t="s">
        <v>8607</v>
      </c>
      <c r="D2366" s="19" t="s">
        <v>8608</v>
      </c>
      <c r="E2366" s="20" t="s">
        <v>104</v>
      </c>
      <c r="F2366" s="21">
        <v>38023.0</v>
      </c>
      <c r="G2366" s="14">
        <f t="shared" si="1"/>
        <v>22</v>
      </c>
      <c r="H2366" s="23" t="s">
        <v>100</v>
      </c>
      <c r="I2366" s="24" t="s">
        <v>33</v>
      </c>
      <c r="J2366" s="19" t="s">
        <v>68</v>
      </c>
      <c r="K2366" s="14">
        <v>17.0</v>
      </c>
      <c r="L2366" s="14">
        <v>0.0</v>
      </c>
      <c r="M2366" s="25"/>
      <c r="N2366" s="26" t="s">
        <v>21</v>
      </c>
      <c r="O2366" s="7"/>
      <c r="P2366" s="7"/>
      <c r="Q2366" s="7"/>
      <c r="R2366" s="7"/>
      <c r="S2366" s="7"/>
      <c r="T2366" s="7"/>
      <c r="U2366" s="7"/>
      <c r="V2366" s="7"/>
      <c r="W2366" s="7"/>
      <c r="X2366" s="7"/>
      <c r="Y2366" s="7"/>
    </row>
    <row r="2367">
      <c r="A2367" s="14" t="s">
        <v>8609</v>
      </c>
      <c r="B2367" s="17" t="s">
        <v>8603</v>
      </c>
      <c r="C2367" s="17" t="s">
        <v>8610</v>
      </c>
      <c r="D2367" s="19" t="s">
        <v>4730</v>
      </c>
      <c r="E2367" s="20" t="s">
        <v>231</v>
      </c>
      <c r="F2367" s="27">
        <v>28451.0</v>
      </c>
      <c r="G2367" s="14">
        <f t="shared" si="1"/>
        <v>48</v>
      </c>
      <c r="H2367" s="23" t="s">
        <v>26</v>
      </c>
      <c r="I2367" s="24" t="s">
        <v>27</v>
      </c>
      <c r="J2367" s="19" t="s">
        <v>4727</v>
      </c>
      <c r="K2367" s="14">
        <v>17.0</v>
      </c>
      <c r="L2367" s="14">
        <v>0.0</v>
      </c>
      <c r="M2367" s="25"/>
      <c r="N2367" s="26" t="s">
        <v>21</v>
      </c>
      <c r="O2367" s="7"/>
      <c r="P2367" s="7"/>
      <c r="Q2367" s="7"/>
      <c r="R2367" s="7"/>
      <c r="S2367" s="7"/>
      <c r="T2367" s="7"/>
      <c r="U2367" s="7"/>
      <c r="V2367" s="7"/>
      <c r="W2367" s="7"/>
      <c r="X2367" s="7"/>
      <c r="Y2367" s="7"/>
    </row>
    <row r="2368">
      <c r="A2368" s="14" t="s">
        <v>8611</v>
      </c>
      <c r="B2368" s="17" t="s">
        <v>8612</v>
      </c>
      <c r="C2368" s="17" t="s">
        <v>8613</v>
      </c>
      <c r="D2368" s="19" t="s">
        <v>8614</v>
      </c>
      <c r="E2368" s="20" t="s">
        <v>2038</v>
      </c>
      <c r="F2368" s="21">
        <v>35038.0</v>
      </c>
      <c r="G2368" s="14">
        <f t="shared" si="1"/>
        <v>30</v>
      </c>
      <c r="H2368" s="23" t="s">
        <v>26</v>
      </c>
      <c r="I2368" s="24" t="s">
        <v>33</v>
      </c>
      <c r="J2368" s="19" t="s">
        <v>53</v>
      </c>
      <c r="K2368" s="14">
        <v>34.0</v>
      </c>
      <c r="L2368" s="14">
        <v>0.0</v>
      </c>
      <c r="M2368" s="25"/>
      <c r="N2368" s="26" t="s">
        <v>21</v>
      </c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</row>
    <row r="2369">
      <c r="A2369" s="14" t="s">
        <v>8615</v>
      </c>
      <c r="B2369" s="17" t="s">
        <v>8612</v>
      </c>
      <c r="C2369" s="17" t="s">
        <v>8616</v>
      </c>
      <c r="D2369" s="19" t="s">
        <v>7676</v>
      </c>
      <c r="E2369" s="20" t="s">
        <v>210</v>
      </c>
      <c r="F2369" s="21">
        <v>35220.0</v>
      </c>
      <c r="G2369" s="14">
        <f t="shared" si="1"/>
        <v>30</v>
      </c>
      <c r="H2369" s="23" t="s">
        <v>26</v>
      </c>
      <c r="I2369" s="24" t="s">
        <v>27</v>
      </c>
      <c r="J2369" s="19" t="s">
        <v>68</v>
      </c>
      <c r="K2369" s="14">
        <v>34.0</v>
      </c>
      <c r="L2369" s="14">
        <v>0.0</v>
      </c>
      <c r="M2369" s="25"/>
      <c r="N2369" s="26" t="s">
        <v>21</v>
      </c>
      <c r="O2369" s="7"/>
      <c r="P2369" s="7"/>
      <c r="Q2369" s="7"/>
      <c r="R2369" s="7"/>
      <c r="S2369" s="7"/>
      <c r="T2369" s="7"/>
      <c r="U2369" s="7"/>
      <c r="V2369" s="7"/>
      <c r="W2369" s="7"/>
      <c r="X2369" s="7"/>
      <c r="Y2369" s="7"/>
    </row>
    <row r="2370">
      <c r="A2370" s="14" t="s">
        <v>8617</v>
      </c>
      <c r="B2370" s="17" t="s">
        <v>8618</v>
      </c>
      <c r="C2370" s="17" t="s">
        <v>8619</v>
      </c>
      <c r="D2370" s="19" t="s">
        <v>8620</v>
      </c>
      <c r="E2370" s="20" t="s">
        <v>104</v>
      </c>
      <c r="F2370" s="21">
        <v>36207.0</v>
      </c>
      <c r="G2370" s="14">
        <f t="shared" si="1"/>
        <v>27</v>
      </c>
      <c r="H2370" s="23" t="s">
        <v>26</v>
      </c>
      <c r="I2370" s="24" t="s">
        <v>27</v>
      </c>
      <c r="J2370" s="19" t="s">
        <v>58</v>
      </c>
      <c r="K2370" s="14">
        <v>7.0</v>
      </c>
      <c r="L2370" s="14">
        <v>0.0</v>
      </c>
      <c r="M2370" s="25"/>
      <c r="N2370" s="26" t="s">
        <v>21</v>
      </c>
      <c r="O2370" s="7"/>
      <c r="P2370" s="7"/>
      <c r="Q2370" s="7"/>
      <c r="R2370" s="7"/>
      <c r="S2370" s="7"/>
      <c r="T2370" s="7"/>
      <c r="U2370" s="7"/>
      <c r="V2370" s="7"/>
      <c r="W2370" s="7"/>
      <c r="X2370" s="7"/>
      <c r="Y2370" s="7"/>
    </row>
    <row r="2371">
      <c r="A2371" s="14" t="s">
        <v>8621</v>
      </c>
      <c r="B2371" s="17" t="s">
        <v>8618</v>
      </c>
      <c r="C2371" s="17" t="s">
        <v>8622</v>
      </c>
      <c r="D2371" s="19" t="s">
        <v>8623</v>
      </c>
      <c r="E2371" s="20" t="s">
        <v>155</v>
      </c>
      <c r="F2371" s="21">
        <v>35587.0</v>
      </c>
      <c r="G2371" s="14">
        <f t="shared" si="1"/>
        <v>29</v>
      </c>
      <c r="H2371" s="23" t="s">
        <v>26</v>
      </c>
      <c r="I2371" s="24" t="s">
        <v>33</v>
      </c>
      <c r="J2371" s="19" t="s">
        <v>58</v>
      </c>
      <c r="K2371" s="14">
        <v>7.0</v>
      </c>
      <c r="L2371" s="14">
        <v>0.0</v>
      </c>
      <c r="M2371" s="25"/>
      <c r="N2371" s="26" t="s">
        <v>21</v>
      </c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7"/>
    </row>
    <row r="2372">
      <c r="A2372" s="14" t="s">
        <v>8624</v>
      </c>
      <c r="B2372" s="17" t="s">
        <v>8625</v>
      </c>
      <c r="C2372" s="17" t="s">
        <v>8626</v>
      </c>
      <c r="D2372" s="19" t="s">
        <v>8627</v>
      </c>
      <c r="E2372" s="20" t="s">
        <v>53</v>
      </c>
      <c r="F2372" s="27">
        <v>36520.0</v>
      </c>
      <c r="G2372" s="14">
        <f t="shared" si="1"/>
        <v>26</v>
      </c>
      <c r="H2372" s="23" t="s">
        <v>26</v>
      </c>
      <c r="I2372" s="24" t="s">
        <v>27</v>
      </c>
      <c r="J2372" s="19" t="s">
        <v>58</v>
      </c>
      <c r="K2372" s="14">
        <v>9.0</v>
      </c>
      <c r="L2372" s="14">
        <v>0.0</v>
      </c>
      <c r="M2372" s="25"/>
      <c r="N2372" s="26" t="s">
        <v>21</v>
      </c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7"/>
    </row>
    <row r="2373">
      <c r="A2373" s="14" t="s">
        <v>8628</v>
      </c>
      <c r="B2373" s="17" t="s">
        <v>8625</v>
      </c>
      <c r="C2373" s="17" t="s">
        <v>8629</v>
      </c>
      <c r="D2373" s="19" t="s">
        <v>8630</v>
      </c>
      <c r="E2373" s="20" t="s">
        <v>536</v>
      </c>
      <c r="F2373" s="27">
        <v>36122.0</v>
      </c>
      <c r="G2373" s="14">
        <f t="shared" si="1"/>
        <v>27</v>
      </c>
      <c r="H2373" s="23" t="s">
        <v>26</v>
      </c>
      <c r="I2373" s="24" t="s">
        <v>33</v>
      </c>
      <c r="J2373" s="19" t="s">
        <v>58</v>
      </c>
      <c r="K2373" s="14">
        <v>9.0</v>
      </c>
      <c r="L2373" s="14">
        <v>0.0</v>
      </c>
      <c r="M2373" s="25"/>
      <c r="N2373" s="26" t="s">
        <v>21</v>
      </c>
      <c r="O2373" s="7"/>
      <c r="P2373" s="7"/>
      <c r="Q2373" s="7"/>
      <c r="R2373" s="7"/>
      <c r="S2373" s="7"/>
      <c r="T2373" s="7"/>
      <c r="U2373" s="7"/>
      <c r="V2373" s="7"/>
      <c r="W2373" s="7"/>
      <c r="X2373" s="7"/>
      <c r="Y2373" s="7"/>
    </row>
    <row r="2374">
      <c r="A2374" s="14" t="s">
        <v>8631</v>
      </c>
      <c r="B2374" s="17" t="s">
        <v>8632</v>
      </c>
      <c r="C2374" s="17" t="s">
        <v>8633</v>
      </c>
      <c r="D2374" s="19" t="s">
        <v>8634</v>
      </c>
      <c r="E2374" s="20" t="s">
        <v>337</v>
      </c>
      <c r="F2374" s="21">
        <v>35338.0</v>
      </c>
      <c r="G2374" s="14">
        <f t="shared" si="1"/>
        <v>30</v>
      </c>
      <c r="H2374" s="23" t="s">
        <v>26</v>
      </c>
      <c r="I2374" s="24" t="s">
        <v>33</v>
      </c>
      <c r="J2374" s="19" t="s">
        <v>53</v>
      </c>
      <c r="K2374" s="14">
        <v>13.0</v>
      </c>
      <c r="L2374" s="14">
        <v>0.0</v>
      </c>
      <c r="M2374" s="25"/>
      <c r="N2374" s="26" t="s">
        <v>21</v>
      </c>
      <c r="O2374" s="7"/>
      <c r="P2374" s="7"/>
      <c r="Q2374" s="7"/>
      <c r="R2374" s="7"/>
      <c r="S2374" s="7"/>
      <c r="T2374" s="7"/>
      <c r="U2374" s="7"/>
      <c r="V2374" s="7"/>
      <c r="W2374" s="7"/>
      <c r="X2374" s="7"/>
      <c r="Y2374" s="7"/>
    </row>
    <row r="2375">
      <c r="A2375" s="14" t="s">
        <v>8635</v>
      </c>
      <c r="B2375" s="17" t="s">
        <v>8632</v>
      </c>
      <c r="C2375" s="17" t="s">
        <v>8636</v>
      </c>
      <c r="D2375" s="19" t="s">
        <v>8637</v>
      </c>
      <c r="E2375" s="20" t="s">
        <v>53</v>
      </c>
      <c r="F2375" s="27">
        <v>34331.0</v>
      </c>
      <c r="G2375" s="14">
        <f t="shared" si="1"/>
        <v>32</v>
      </c>
      <c r="H2375" s="23" t="s">
        <v>26</v>
      </c>
      <c r="I2375" s="24" t="s">
        <v>27</v>
      </c>
      <c r="J2375" s="19" t="s">
        <v>53</v>
      </c>
      <c r="K2375" s="14">
        <v>13.0</v>
      </c>
      <c r="L2375" s="14">
        <v>0.0</v>
      </c>
      <c r="M2375" s="25"/>
      <c r="N2375" s="26" t="s">
        <v>21</v>
      </c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7"/>
    </row>
    <row r="2376">
      <c r="A2376" s="14" t="s">
        <v>8638</v>
      </c>
      <c r="B2376" s="17" t="s">
        <v>8639</v>
      </c>
      <c r="C2376" s="17" t="s">
        <v>8640</v>
      </c>
      <c r="D2376" s="19" t="s">
        <v>8641</v>
      </c>
      <c r="E2376" s="20" t="s">
        <v>104</v>
      </c>
      <c r="F2376" s="21">
        <v>37421.0</v>
      </c>
      <c r="G2376" s="14">
        <f t="shared" si="1"/>
        <v>24</v>
      </c>
      <c r="H2376" s="23" t="s">
        <v>100</v>
      </c>
      <c r="I2376" s="24" t="s">
        <v>33</v>
      </c>
      <c r="J2376" s="19" t="s">
        <v>53</v>
      </c>
      <c r="K2376" s="14">
        <v>5.0</v>
      </c>
      <c r="L2376" s="14">
        <v>0.0</v>
      </c>
      <c r="M2376" s="25"/>
      <c r="N2376" s="26" t="s">
        <v>21</v>
      </c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7"/>
    </row>
    <row r="2377">
      <c r="A2377" s="14" t="s">
        <v>8642</v>
      </c>
      <c r="B2377" s="17" t="s">
        <v>8639</v>
      </c>
      <c r="C2377" s="17" t="s">
        <v>8643</v>
      </c>
      <c r="D2377" s="19" t="s">
        <v>7248</v>
      </c>
      <c r="E2377" s="20" t="s">
        <v>290</v>
      </c>
      <c r="F2377" s="27">
        <v>24426.0</v>
      </c>
      <c r="G2377" s="14">
        <f t="shared" si="1"/>
        <v>59</v>
      </c>
      <c r="H2377" s="23" t="s">
        <v>26</v>
      </c>
      <c r="I2377" s="24" t="s">
        <v>33</v>
      </c>
      <c r="J2377" s="19" t="s">
        <v>53</v>
      </c>
      <c r="K2377" s="14">
        <v>5.0</v>
      </c>
      <c r="L2377" s="14">
        <v>0.0</v>
      </c>
      <c r="M2377" s="25"/>
      <c r="N2377" s="26" t="s">
        <v>21</v>
      </c>
      <c r="O2377" s="7"/>
      <c r="P2377" s="7"/>
      <c r="Q2377" s="7"/>
      <c r="R2377" s="7"/>
      <c r="S2377" s="7"/>
      <c r="T2377" s="7"/>
      <c r="U2377" s="7"/>
      <c r="V2377" s="7"/>
      <c r="W2377" s="7"/>
      <c r="X2377" s="7"/>
      <c r="Y2377" s="7"/>
    </row>
    <row r="2378">
      <c r="A2378" s="14" t="s">
        <v>8644</v>
      </c>
      <c r="B2378" s="17" t="s">
        <v>8639</v>
      </c>
      <c r="C2378" s="17" t="s">
        <v>8645</v>
      </c>
      <c r="D2378" s="19" t="s">
        <v>8646</v>
      </c>
      <c r="E2378" s="20" t="s">
        <v>544</v>
      </c>
      <c r="F2378" s="21">
        <v>25673.0</v>
      </c>
      <c r="G2378" s="14">
        <f t="shared" si="1"/>
        <v>56</v>
      </c>
      <c r="H2378" s="23" t="s">
        <v>26</v>
      </c>
      <c r="I2378" s="24" t="s">
        <v>27</v>
      </c>
      <c r="J2378" s="19" t="s">
        <v>53</v>
      </c>
      <c r="K2378" s="14">
        <v>5.0</v>
      </c>
      <c r="L2378" s="14">
        <v>0.0</v>
      </c>
      <c r="M2378" s="25"/>
      <c r="N2378" s="26" t="s">
        <v>21</v>
      </c>
      <c r="O2378" s="7"/>
      <c r="P2378" s="7"/>
      <c r="Q2378" s="7"/>
      <c r="R2378" s="7"/>
      <c r="S2378" s="7"/>
      <c r="T2378" s="7"/>
      <c r="U2378" s="7"/>
      <c r="V2378" s="7"/>
      <c r="W2378" s="7"/>
      <c r="X2378" s="7"/>
      <c r="Y2378" s="7"/>
    </row>
    <row r="2379">
      <c r="A2379" s="14" t="s">
        <v>8647</v>
      </c>
      <c r="B2379" s="17" t="s">
        <v>8648</v>
      </c>
      <c r="C2379" s="17" t="s">
        <v>8649</v>
      </c>
      <c r="D2379" s="19" t="s">
        <v>8650</v>
      </c>
      <c r="E2379" s="20" t="s">
        <v>3587</v>
      </c>
      <c r="F2379" s="21">
        <v>25251.0</v>
      </c>
      <c r="G2379" s="14">
        <f t="shared" si="1"/>
        <v>57</v>
      </c>
      <c r="H2379" s="23" t="s">
        <v>26</v>
      </c>
      <c r="I2379" s="24" t="s">
        <v>33</v>
      </c>
      <c r="J2379" s="19" t="s">
        <v>2019</v>
      </c>
      <c r="K2379" s="14">
        <v>3.0</v>
      </c>
      <c r="L2379" s="14">
        <v>0.0</v>
      </c>
      <c r="M2379" s="25"/>
      <c r="N2379" s="26" t="s">
        <v>21</v>
      </c>
      <c r="O2379" s="7"/>
      <c r="P2379" s="7"/>
      <c r="Q2379" s="7"/>
      <c r="R2379" s="7"/>
      <c r="S2379" s="7"/>
      <c r="T2379" s="7"/>
      <c r="U2379" s="7"/>
      <c r="V2379" s="7"/>
      <c r="W2379" s="7"/>
      <c r="X2379" s="7"/>
      <c r="Y2379" s="7"/>
    </row>
    <row r="2380">
      <c r="A2380" s="14" t="s">
        <v>8651</v>
      </c>
      <c r="B2380" s="17" t="s">
        <v>8648</v>
      </c>
      <c r="C2380" s="17" t="s">
        <v>8652</v>
      </c>
      <c r="D2380" s="19" t="s">
        <v>8653</v>
      </c>
      <c r="E2380" s="20" t="s">
        <v>53</v>
      </c>
      <c r="F2380" s="21">
        <v>35645.0</v>
      </c>
      <c r="G2380" s="14">
        <f t="shared" si="1"/>
        <v>29</v>
      </c>
      <c r="H2380" s="23" t="s">
        <v>100</v>
      </c>
      <c r="I2380" s="24" t="s">
        <v>33</v>
      </c>
      <c r="J2380" s="19" t="s">
        <v>2019</v>
      </c>
      <c r="K2380" s="14">
        <v>3.0</v>
      </c>
      <c r="L2380" s="14">
        <v>0.0</v>
      </c>
      <c r="M2380" s="25"/>
      <c r="N2380" s="26" t="s">
        <v>21</v>
      </c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7"/>
    </row>
    <row r="2381">
      <c r="A2381" s="14" t="s">
        <v>8654</v>
      </c>
      <c r="B2381" s="17" t="s">
        <v>8648</v>
      </c>
      <c r="C2381" s="17" t="s">
        <v>8655</v>
      </c>
      <c r="D2381" s="19" t="s">
        <v>8656</v>
      </c>
      <c r="E2381" s="20" t="s">
        <v>53</v>
      </c>
      <c r="F2381" s="21">
        <v>29358.0</v>
      </c>
      <c r="G2381" s="14">
        <f t="shared" si="1"/>
        <v>46</v>
      </c>
      <c r="H2381" s="23" t="s">
        <v>26</v>
      </c>
      <c r="I2381" s="24" t="s">
        <v>27</v>
      </c>
      <c r="J2381" s="19" t="s">
        <v>2019</v>
      </c>
      <c r="K2381" s="14">
        <v>3.0</v>
      </c>
      <c r="L2381" s="14">
        <v>0.0</v>
      </c>
      <c r="M2381" s="25"/>
      <c r="N2381" s="26" t="s">
        <v>21</v>
      </c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7"/>
    </row>
    <row r="2382">
      <c r="A2382" s="14" t="s">
        <v>8657</v>
      </c>
      <c r="B2382" s="17" t="s">
        <v>8658</v>
      </c>
      <c r="C2382" s="17" t="s">
        <v>8659</v>
      </c>
      <c r="D2382" s="19" t="s">
        <v>8660</v>
      </c>
      <c r="E2382" s="20" t="s">
        <v>187</v>
      </c>
      <c r="F2382" s="21">
        <v>26417.0</v>
      </c>
      <c r="G2382" s="14">
        <f t="shared" si="1"/>
        <v>54</v>
      </c>
      <c r="H2382" s="23" t="s">
        <v>26</v>
      </c>
      <c r="I2382" s="24" t="s">
        <v>33</v>
      </c>
      <c r="J2382" s="19" t="s">
        <v>206</v>
      </c>
      <c r="K2382" s="14">
        <v>2.0</v>
      </c>
      <c r="L2382" s="14">
        <v>0.0</v>
      </c>
      <c r="M2382" s="25"/>
      <c r="N2382" s="26" t="s">
        <v>21</v>
      </c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</row>
    <row r="2383">
      <c r="A2383" s="14" t="s">
        <v>8661</v>
      </c>
      <c r="B2383" s="17" t="s">
        <v>8658</v>
      </c>
      <c r="C2383" s="17" t="s">
        <v>8662</v>
      </c>
      <c r="D2383" s="19" t="s">
        <v>8663</v>
      </c>
      <c r="E2383" s="20" t="s">
        <v>702</v>
      </c>
      <c r="F2383" s="27">
        <v>27019.0</v>
      </c>
      <c r="G2383" s="14">
        <f t="shared" si="1"/>
        <v>52</v>
      </c>
      <c r="H2383" s="23" t="s">
        <v>26</v>
      </c>
      <c r="I2383" s="24" t="s">
        <v>27</v>
      </c>
      <c r="J2383" s="19" t="s">
        <v>206</v>
      </c>
      <c r="K2383" s="14">
        <v>2.0</v>
      </c>
      <c r="L2383" s="14">
        <v>0.0</v>
      </c>
      <c r="M2383" s="25"/>
      <c r="N2383" s="26" t="s">
        <v>21</v>
      </c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7"/>
    </row>
    <row r="2384">
      <c r="A2384" s="14" t="s">
        <v>8664</v>
      </c>
      <c r="B2384" s="17" t="s">
        <v>8658</v>
      </c>
      <c r="C2384" s="17" t="s">
        <v>8665</v>
      </c>
      <c r="D2384" s="19" t="s">
        <v>8666</v>
      </c>
      <c r="E2384" s="20" t="s">
        <v>104</v>
      </c>
      <c r="F2384" s="21">
        <v>37151.0</v>
      </c>
      <c r="G2384" s="14">
        <f t="shared" si="1"/>
        <v>25</v>
      </c>
      <c r="H2384" s="23" t="s">
        <v>100</v>
      </c>
      <c r="I2384" s="24" t="s">
        <v>27</v>
      </c>
      <c r="J2384" s="19" t="s">
        <v>206</v>
      </c>
      <c r="K2384" s="14">
        <v>2.0</v>
      </c>
      <c r="L2384" s="14">
        <v>7.0</v>
      </c>
      <c r="M2384" s="54" t="s">
        <v>9691</v>
      </c>
      <c r="N2384" s="26" t="s">
        <v>21</v>
      </c>
      <c r="O2384" s="7"/>
      <c r="P2384" s="7"/>
      <c r="Q2384" s="7"/>
      <c r="R2384" s="7"/>
      <c r="S2384" s="7"/>
      <c r="T2384" s="7"/>
      <c r="U2384" s="7"/>
      <c r="V2384" s="7"/>
      <c r="W2384" s="7"/>
      <c r="X2384" s="7"/>
      <c r="Y2384" s="7"/>
    </row>
    <row r="2385">
      <c r="A2385" s="14" t="s">
        <v>8667</v>
      </c>
      <c r="B2385" s="17" t="s">
        <v>8668</v>
      </c>
      <c r="C2385" s="17" t="s">
        <v>8669</v>
      </c>
      <c r="D2385" s="19" t="s">
        <v>8670</v>
      </c>
      <c r="E2385" s="20" t="s">
        <v>104</v>
      </c>
      <c r="F2385" s="21">
        <v>36549.0</v>
      </c>
      <c r="G2385" s="14">
        <f t="shared" si="1"/>
        <v>26</v>
      </c>
      <c r="H2385" s="23" t="s">
        <v>100</v>
      </c>
      <c r="I2385" s="24" t="s">
        <v>33</v>
      </c>
      <c r="J2385" s="19" t="s">
        <v>989</v>
      </c>
      <c r="K2385" s="14">
        <v>24.0</v>
      </c>
      <c r="L2385" s="14">
        <v>7.0</v>
      </c>
      <c r="M2385" s="28" t="s">
        <v>9700</v>
      </c>
      <c r="N2385" s="26" t="s">
        <v>21</v>
      </c>
      <c r="O2385" s="7"/>
      <c r="P2385" s="7"/>
      <c r="Q2385" s="7"/>
      <c r="R2385" s="7"/>
      <c r="S2385" s="7"/>
      <c r="T2385" s="7"/>
      <c r="U2385" s="7"/>
      <c r="V2385" s="7"/>
      <c r="W2385" s="7"/>
      <c r="X2385" s="7"/>
      <c r="Y2385" s="7"/>
    </row>
    <row r="2386">
      <c r="A2386" s="14" t="s">
        <v>8671</v>
      </c>
      <c r="B2386" s="17" t="s">
        <v>8668</v>
      </c>
      <c r="C2386" s="17" t="s">
        <v>8672</v>
      </c>
      <c r="D2386" s="19" t="s">
        <v>8673</v>
      </c>
      <c r="E2386" s="20" t="s">
        <v>104</v>
      </c>
      <c r="F2386" s="21">
        <v>29975.0</v>
      </c>
      <c r="G2386" s="14">
        <f t="shared" si="1"/>
        <v>44</v>
      </c>
      <c r="H2386" s="23" t="s">
        <v>26</v>
      </c>
      <c r="I2386" s="24" t="s">
        <v>27</v>
      </c>
      <c r="J2386" s="19" t="s">
        <v>989</v>
      </c>
      <c r="K2386" s="14">
        <v>24.0</v>
      </c>
      <c r="L2386" s="14">
        <v>0.0</v>
      </c>
      <c r="M2386" s="25"/>
      <c r="N2386" s="26" t="s">
        <v>21</v>
      </c>
      <c r="O2386" s="7"/>
      <c r="P2386" s="7"/>
      <c r="Q2386" s="7"/>
      <c r="R2386" s="7"/>
      <c r="S2386" s="7"/>
      <c r="T2386" s="7"/>
      <c r="U2386" s="7"/>
      <c r="V2386" s="7"/>
      <c r="W2386" s="7"/>
      <c r="X2386" s="7"/>
      <c r="Y2386" s="7"/>
    </row>
    <row r="2387">
      <c r="A2387" s="14" t="s">
        <v>8674</v>
      </c>
      <c r="B2387" s="17" t="s">
        <v>8668</v>
      </c>
      <c r="C2387" s="17" t="s">
        <v>8675</v>
      </c>
      <c r="D2387" s="19" t="s">
        <v>8676</v>
      </c>
      <c r="E2387" s="20" t="s">
        <v>104</v>
      </c>
      <c r="F2387" s="27">
        <v>28849.0</v>
      </c>
      <c r="G2387" s="14">
        <f t="shared" si="1"/>
        <v>47</v>
      </c>
      <c r="H2387" s="23" t="s">
        <v>26</v>
      </c>
      <c r="I2387" s="24" t="s">
        <v>33</v>
      </c>
      <c r="J2387" s="19" t="s">
        <v>989</v>
      </c>
      <c r="K2387" s="14">
        <v>24.0</v>
      </c>
      <c r="L2387" s="14">
        <v>0.0</v>
      </c>
      <c r="M2387" s="25"/>
      <c r="N2387" s="26" t="s">
        <v>21</v>
      </c>
      <c r="O2387" s="7"/>
      <c r="P2387" s="7"/>
      <c r="Q2387" s="7"/>
      <c r="R2387" s="7"/>
      <c r="S2387" s="7"/>
      <c r="T2387" s="7"/>
      <c r="U2387" s="7"/>
      <c r="V2387" s="7"/>
      <c r="W2387" s="7"/>
      <c r="X2387" s="7"/>
      <c r="Y2387" s="7"/>
    </row>
    <row r="2388">
      <c r="A2388" s="14" t="s">
        <v>8677</v>
      </c>
      <c r="B2388" s="17" t="s">
        <v>8678</v>
      </c>
      <c r="C2388" s="17" t="s">
        <v>8679</v>
      </c>
      <c r="D2388" s="19" t="s">
        <v>8680</v>
      </c>
      <c r="E2388" s="20" t="s">
        <v>6102</v>
      </c>
      <c r="F2388" s="21">
        <v>30160.0</v>
      </c>
      <c r="G2388" s="14">
        <f t="shared" si="1"/>
        <v>44</v>
      </c>
      <c r="H2388" s="23" t="s">
        <v>26</v>
      </c>
      <c r="I2388" s="24" t="s">
        <v>27</v>
      </c>
      <c r="J2388" s="19" t="s">
        <v>68</v>
      </c>
      <c r="K2388" s="14">
        <v>28.0</v>
      </c>
      <c r="L2388" s="14">
        <v>0.0</v>
      </c>
      <c r="M2388" s="25"/>
      <c r="N2388" s="26" t="s">
        <v>21</v>
      </c>
      <c r="O2388" s="7"/>
      <c r="P2388" s="7"/>
      <c r="Q2388" s="7"/>
      <c r="R2388" s="7"/>
      <c r="S2388" s="7"/>
      <c r="T2388" s="7"/>
      <c r="U2388" s="7"/>
      <c r="V2388" s="7"/>
      <c r="W2388" s="7"/>
      <c r="X2388" s="7"/>
      <c r="Y2388" s="7"/>
    </row>
    <row r="2389">
      <c r="A2389" s="14" t="s">
        <v>8681</v>
      </c>
      <c r="B2389" s="17" t="s">
        <v>8678</v>
      </c>
      <c r="C2389" s="17" t="s">
        <v>8682</v>
      </c>
      <c r="D2389" s="19" t="s">
        <v>8683</v>
      </c>
      <c r="E2389" s="20" t="s">
        <v>6102</v>
      </c>
      <c r="F2389" s="27">
        <v>29918.0</v>
      </c>
      <c r="G2389" s="14">
        <f t="shared" si="1"/>
        <v>44</v>
      </c>
      <c r="H2389" s="23" t="s">
        <v>26</v>
      </c>
      <c r="I2389" s="24" t="s">
        <v>33</v>
      </c>
      <c r="J2389" s="19" t="s">
        <v>68</v>
      </c>
      <c r="K2389" s="14">
        <v>28.0</v>
      </c>
      <c r="L2389" s="14">
        <v>0.0</v>
      </c>
      <c r="M2389" s="25"/>
      <c r="N2389" s="26" t="s">
        <v>21</v>
      </c>
      <c r="O2389" s="7"/>
      <c r="P2389" s="7"/>
      <c r="Q2389" s="7"/>
      <c r="R2389" s="7"/>
      <c r="S2389" s="7"/>
      <c r="T2389" s="7"/>
      <c r="U2389" s="7"/>
      <c r="V2389" s="7"/>
      <c r="W2389" s="7"/>
      <c r="X2389" s="7"/>
      <c r="Y2389" s="7"/>
    </row>
    <row r="2390">
      <c r="A2390" s="14" t="s">
        <v>8684</v>
      </c>
      <c r="B2390" s="17" t="s">
        <v>8685</v>
      </c>
      <c r="C2390" s="17" t="s">
        <v>8686</v>
      </c>
      <c r="D2390" s="19" t="s">
        <v>8687</v>
      </c>
      <c r="E2390" s="20" t="s">
        <v>1468</v>
      </c>
      <c r="F2390" s="21">
        <v>30746.0</v>
      </c>
      <c r="G2390" s="14">
        <f t="shared" si="1"/>
        <v>42</v>
      </c>
      <c r="H2390" s="23" t="s">
        <v>26</v>
      </c>
      <c r="I2390" s="24" t="s">
        <v>27</v>
      </c>
      <c r="J2390" s="19" t="s">
        <v>328</v>
      </c>
      <c r="K2390" s="14">
        <v>21.0</v>
      </c>
      <c r="L2390" s="14">
        <v>0.0</v>
      </c>
      <c r="M2390" s="25"/>
      <c r="N2390" s="26" t="s">
        <v>21</v>
      </c>
      <c r="O2390" s="7"/>
      <c r="P2390" s="7"/>
      <c r="Q2390" s="7"/>
      <c r="R2390" s="7"/>
      <c r="S2390" s="7"/>
      <c r="T2390" s="7"/>
      <c r="U2390" s="7"/>
      <c r="V2390" s="7"/>
      <c r="W2390" s="7"/>
      <c r="X2390" s="7"/>
      <c r="Y2390" s="7"/>
    </row>
    <row r="2391">
      <c r="A2391" s="14" t="s">
        <v>8688</v>
      </c>
      <c r="B2391" s="17" t="s">
        <v>8685</v>
      </c>
      <c r="C2391" s="17" t="s">
        <v>8689</v>
      </c>
      <c r="D2391" s="19" t="s">
        <v>8690</v>
      </c>
      <c r="E2391" s="20" t="s">
        <v>104</v>
      </c>
      <c r="F2391" s="21">
        <v>37341.0</v>
      </c>
      <c r="G2391" s="14">
        <f t="shared" si="1"/>
        <v>24</v>
      </c>
      <c r="H2391" s="23" t="s">
        <v>100</v>
      </c>
      <c r="I2391" s="24" t="s">
        <v>27</v>
      </c>
      <c r="J2391" s="19" t="s">
        <v>328</v>
      </c>
      <c r="K2391" s="14">
        <v>21.0</v>
      </c>
      <c r="L2391" s="14">
        <v>0.0</v>
      </c>
      <c r="M2391" s="25"/>
      <c r="N2391" s="26" t="s">
        <v>21</v>
      </c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</row>
    <row r="2392">
      <c r="A2392" s="14" t="s">
        <v>8691</v>
      </c>
      <c r="B2392" s="17" t="s">
        <v>8685</v>
      </c>
      <c r="C2392" s="17" t="s">
        <v>8692</v>
      </c>
      <c r="D2392" s="19" t="s">
        <v>6430</v>
      </c>
      <c r="E2392" s="20" t="s">
        <v>632</v>
      </c>
      <c r="F2392" s="27">
        <v>27009.0</v>
      </c>
      <c r="G2392" s="14">
        <f t="shared" si="1"/>
        <v>52</v>
      </c>
      <c r="H2392" s="23" t="s">
        <v>26</v>
      </c>
      <c r="I2392" s="24" t="s">
        <v>33</v>
      </c>
      <c r="J2392" s="19" t="s">
        <v>328</v>
      </c>
      <c r="K2392" s="14">
        <v>21.0</v>
      </c>
      <c r="L2392" s="14">
        <v>0.0</v>
      </c>
      <c r="M2392" s="25"/>
      <c r="N2392" s="26" t="s">
        <v>21</v>
      </c>
      <c r="O2392" s="7"/>
      <c r="P2392" s="7"/>
      <c r="Q2392" s="7"/>
      <c r="R2392" s="7"/>
      <c r="S2392" s="7"/>
      <c r="T2392" s="7"/>
      <c r="U2392" s="7"/>
      <c r="V2392" s="7"/>
      <c r="W2392" s="7"/>
      <c r="X2392" s="7"/>
      <c r="Y2392" s="7"/>
    </row>
    <row r="2393">
      <c r="A2393" s="14" t="s">
        <v>8693</v>
      </c>
      <c r="B2393" s="17" t="s">
        <v>8694</v>
      </c>
      <c r="C2393" s="17" t="s">
        <v>8695</v>
      </c>
      <c r="D2393" s="19" t="s">
        <v>8696</v>
      </c>
      <c r="E2393" s="20" t="s">
        <v>53</v>
      </c>
      <c r="F2393" s="21">
        <v>33140.0</v>
      </c>
      <c r="G2393" s="14">
        <f t="shared" si="1"/>
        <v>36</v>
      </c>
      <c r="H2393" s="23" t="s">
        <v>26</v>
      </c>
      <c r="I2393" s="24" t="s">
        <v>33</v>
      </c>
      <c r="J2393" s="19" t="s">
        <v>146</v>
      </c>
      <c r="K2393" s="14">
        <v>9.0</v>
      </c>
      <c r="L2393" s="14">
        <v>0.0</v>
      </c>
      <c r="M2393" s="25"/>
      <c r="N2393" s="26" t="s">
        <v>21</v>
      </c>
      <c r="O2393" s="7"/>
      <c r="P2393" s="7"/>
      <c r="Q2393" s="7"/>
      <c r="R2393" s="7"/>
      <c r="S2393" s="7"/>
      <c r="T2393" s="7"/>
      <c r="U2393" s="7"/>
      <c r="V2393" s="7"/>
      <c r="W2393" s="7"/>
      <c r="X2393" s="7"/>
      <c r="Y2393" s="7"/>
    </row>
    <row r="2394">
      <c r="A2394" s="14" t="s">
        <v>8697</v>
      </c>
      <c r="B2394" s="17" t="s">
        <v>8694</v>
      </c>
      <c r="C2394" s="17" t="s">
        <v>8698</v>
      </c>
      <c r="D2394" s="19" t="s">
        <v>8699</v>
      </c>
      <c r="E2394" s="20" t="s">
        <v>53</v>
      </c>
      <c r="F2394" s="27">
        <v>33602.0</v>
      </c>
      <c r="G2394" s="14">
        <f t="shared" si="1"/>
        <v>34</v>
      </c>
      <c r="H2394" s="23" t="s">
        <v>26</v>
      </c>
      <c r="I2394" s="24" t="s">
        <v>27</v>
      </c>
      <c r="J2394" s="19" t="s">
        <v>146</v>
      </c>
      <c r="K2394" s="14">
        <v>9.0</v>
      </c>
      <c r="L2394" s="14">
        <v>0.0</v>
      </c>
      <c r="M2394" s="25"/>
      <c r="N2394" s="26" t="s">
        <v>21</v>
      </c>
      <c r="O2394" s="7"/>
      <c r="P2394" s="7"/>
      <c r="Q2394" s="7"/>
      <c r="R2394" s="7"/>
      <c r="S2394" s="7"/>
      <c r="T2394" s="7"/>
      <c r="U2394" s="7"/>
      <c r="V2394" s="7"/>
      <c r="W2394" s="7"/>
      <c r="X2394" s="7"/>
      <c r="Y2394" s="7"/>
    </row>
    <row r="2395">
      <c r="A2395" s="14" t="s">
        <v>8700</v>
      </c>
      <c r="B2395" s="17" t="s">
        <v>8701</v>
      </c>
      <c r="C2395" s="17" t="s">
        <v>8702</v>
      </c>
      <c r="D2395" s="19" t="s">
        <v>8703</v>
      </c>
      <c r="E2395" s="20" t="s">
        <v>150</v>
      </c>
      <c r="F2395" s="21">
        <v>36385.0</v>
      </c>
      <c r="G2395" s="14">
        <f t="shared" si="1"/>
        <v>27</v>
      </c>
      <c r="H2395" s="23" t="s">
        <v>26</v>
      </c>
      <c r="I2395" s="24" t="s">
        <v>27</v>
      </c>
      <c r="J2395" s="19" t="s">
        <v>146</v>
      </c>
      <c r="K2395" s="14">
        <v>3.0</v>
      </c>
      <c r="L2395" s="14">
        <v>0.0</v>
      </c>
      <c r="M2395" s="25"/>
      <c r="N2395" s="26" t="s">
        <v>21</v>
      </c>
      <c r="O2395" s="7"/>
      <c r="P2395" s="7"/>
      <c r="Q2395" s="7"/>
      <c r="R2395" s="7"/>
      <c r="S2395" s="7"/>
      <c r="T2395" s="7"/>
      <c r="U2395" s="7"/>
      <c r="V2395" s="7"/>
      <c r="W2395" s="7"/>
      <c r="X2395" s="7"/>
      <c r="Y2395" s="7"/>
    </row>
    <row r="2396">
      <c r="A2396" s="14" t="s">
        <v>8704</v>
      </c>
      <c r="B2396" s="17" t="s">
        <v>8701</v>
      </c>
      <c r="C2396" s="17" t="s">
        <v>8705</v>
      </c>
      <c r="D2396" s="19" t="s">
        <v>416</v>
      </c>
      <c r="E2396" s="20" t="s">
        <v>295</v>
      </c>
      <c r="F2396" s="21">
        <v>33384.0</v>
      </c>
      <c r="G2396" s="14">
        <f t="shared" si="1"/>
        <v>35</v>
      </c>
      <c r="H2396" s="23" t="s">
        <v>26</v>
      </c>
      <c r="I2396" s="24" t="s">
        <v>33</v>
      </c>
      <c r="J2396" s="19" t="s">
        <v>146</v>
      </c>
      <c r="K2396" s="14">
        <v>3.0</v>
      </c>
      <c r="L2396" s="14">
        <v>0.0</v>
      </c>
      <c r="M2396" s="25"/>
      <c r="N2396" s="26" t="s">
        <v>21</v>
      </c>
      <c r="O2396" s="7"/>
      <c r="P2396" s="7"/>
      <c r="Q2396" s="7"/>
      <c r="R2396" s="7"/>
      <c r="S2396" s="7"/>
      <c r="T2396" s="7"/>
      <c r="U2396" s="7"/>
      <c r="V2396" s="7"/>
      <c r="W2396" s="7"/>
      <c r="X2396" s="7"/>
      <c r="Y2396" s="7"/>
    </row>
    <row r="2397">
      <c r="A2397" s="14" t="s">
        <v>8706</v>
      </c>
      <c r="B2397" s="17" t="s">
        <v>8707</v>
      </c>
      <c r="C2397" s="17" t="s">
        <v>8708</v>
      </c>
      <c r="D2397" s="19" t="s">
        <v>8709</v>
      </c>
      <c r="E2397" s="20" t="s">
        <v>632</v>
      </c>
      <c r="F2397" s="21">
        <v>26886.0</v>
      </c>
      <c r="G2397" s="14">
        <f t="shared" si="1"/>
        <v>53</v>
      </c>
      <c r="H2397" s="23" t="s">
        <v>27</v>
      </c>
      <c r="I2397" s="24" t="s">
        <v>27</v>
      </c>
      <c r="J2397" s="19" t="s">
        <v>53</v>
      </c>
      <c r="K2397" s="14">
        <v>27.0</v>
      </c>
      <c r="L2397" s="14">
        <v>0.0</v>
      </c>
      <c r="M2397" s="25"/>
      <c r="N2397" s="26" t="s">
        <v>21</v>
      </c>
      <c r="O2397" s="7"/>
      <c r="P2397" s="7"/>
      <c r="Q2397" s="7"/>
      <c r="R2397" s="7"/>
      <c r="S2397" s="7"/>
      <c r="T2397" s="7"/>
      <c r="U2397" s="7"/>
      <c r="V2397" s="7"/>
      <c r="W2397" s="7"/>
      <c r="X2397" s="7"/>
      <c r="Y2397" s="7"/>
    </row>
    <row r="2398">
      <c r="A2398" s="14" t="s">
        <v>8710</v>
      </c>
      <c r="B2398" s="17" t="s">
        <v>8707</v>
      </c>
      <c r="C2398" s="17" t="s">
        <v>8711</v>
      </c>
      <c r="D2398" s="19" t="s">
        <v>8712</v>
      </c>
      <c r="E2398" s="20" t="s">
        <v>4923</v>
      </c>
      <c r="F2398" s="21">
        <v>36307.0</v>
      </c>
      <c r="G2398" s="14">
        <f t="shared" si="1"/>
        <v>27</v>
      </c>
      <c r="H2398" s="23" t="s">
        <v>100</v>
      </c>
      <c r="I2398" s="24" t="s">
        <v>33</v>
      </c>
      <c r="J2398" s="19" t="s">
        <v>53</v>
      </c>
      <c r="K2398" s="14">
        <v>27.0</v>
      </c>
      <c r="L2398" s="14">
        <v>0.0</v>
      </c>
      <c r="M2398" s="25"/>
      <c r="N2398" s="26" t="s">
        <v>21</v>
      </c>
      <c r="O2398" s="7"/>
      <c r="P2398" s="7"/>
      <c r="Q2398" s="7"/>
      <c r="R2398" s="7"/>
      <c r="S2398" s="7"/>
      <c r="T2398" s="7"/>
      <c r="U2398" s="7"/>
      <c r="V2398" s="7"/>
      <c r="W2398" s="7"/>
      <c r="X2398" s="7"/>
      <c r="Y2398" s="7"/>
    </row>
    <row r="2399">
      <c r="A2399" s="14" t="s">
        <v>8713</v>
      </c>
      <c r="B2399" s="17" t="s">
        <v>8714</v>
      </c>
      <c r="C2399" s="17" t="s">
        <v>8715</v>
      </c>
      <c r="D2399" s="19" t="s">
        <v>8716</v>
      </c>
      <c r="E2399" s="20" t="s">
        <v>104</v>
      </c>
      <c r="F2399" s="27">
        <v>32497.0</v>
      </c>
      <c r="G2399" s="14">
        <f t="shared" si="1"/>
        <v>37</v>
      </c>
      <c r="H2399" s="23" t="s">
        <v>27</v>
      </c>
      <c r="I2399" s="24" t="s">
        <v>33</v>
      </c>
      <c r="J2399" s="19" t="s">
        <v>68</v>
      </c>
      <c r="K2399" s="14">
        <v>34.0</v>
      </c>
      <c r="L2399" s="14">
        <v>0.0</v>
      </c>
      <c r="M2399" s="25"/>
      <c r="N2399" s="26" t="s">
        <v>21</v>
      </c>
      <c r="O2399" s="7"/>
      <c r="P2399" s="7"/>
      <c r="Q2399" s="7"/>
      <c r="R2399" s="7"/>
      <c r="S2399" s="7"/>
      <c r="T2399" s="7"/>
      <c r="U2399" s="7"/>
      <c r="V2399" s="7"/>
      <c r="W2399" s="7"/>
      <c r="X2399" s="7"/>
      <c r="Y2399" s="7"/>
    </row>
    <row r="2400">
      <c r="A2400" s="14" t="s">
        <v>8717</v>
      </c>
      <c r="B2400" s="17" t="s">
        <v>8718</v>
      </c>
      <c r="C2400" s="17" t="s">
        <v>8719</v>
      </c>
      <c r="D2400" s="19" t="s">
        <v>8720</v>
      </c>
      <c r="E2400" s="20" t="s">
        <v>8721</v>
      </c>
      <c r="F2400" s="21">
        <v>34931.0</v>
      </c>
      <c r="G2400" s="14">
        <f t="shared" si="1"/>
        <v>31</v>
      </c>
      <c r="H2400" s="23" t="s">
        <v>26</v>
      </c>
      <c r="I2400" s="24" t="s">
        <v>27</v>
      </c>
      <c r="J2400" s="19" t="s">
        <v>146</v>
      </c>
      <c r="K2400" s="14">
        <v>4.0</v>
      </c>
      <c r="L2400" s="14">
        <v>0.0</v>
      </c>
      <c r="M2400" s="25"/>
      <c r="N2400" s="26" t="s">
        <v>21</v>
      </c>
      <c r="O2400" s="7"/>
      <c r="P2400" s="7"/>
      <c r="Q2400" s="7"/>
      <c r="R2400" s="7"/>
      <c r="S2400" s="7"/>
      <c r="T2400" s="7"/>
      <c r="U2400" s="7"/>
      <c r="V2400" s="7"/>
      <c r="W2400" s="7"/>
      <c r="X2400" s="7"/>
      <c r="Y2400" s="7"/>
    </row>
    <row r="2401">
      <c r="A2401" s="14" t="s">
        <v>8722</v>
      </c>
      <c r="B2401" s="17" t="s">
        <v>8718</v>
      </c>
      <c r="C2401" s="17" t="s">
        <v>8723</v>
      </c>
      <c r="D2401" s="19" t="s">
        <v>8724</v>
      </c>
      <c r="E2401" s="20" t="s">
        <v>53</v>
      </c>
      <c r="F2401" s="21">
        <v>33732.0</v>
      </c>
      <c r="G2401" s="14">
        <f t="shared" si="1"/>
        <v>34</v>
      </c>
      <c r="H2401" s="23" t="s">
        <v>26</v>
      </c>
      <c r="I2401" s="24" t="s">
        <v>33</v>
      </c>
      <c r="J2401" s="19" t="s">
        <v>146</v>
      </c>
      <c r="K2401" s="14">
        <v>4.0</v>
      </c>
      <c r="L2401" s="14">
        <v>0.0</v>
      </c>
      <c r="M2401" s="25"/>
      <c r="N2401" s="26" t="s">
        <v>21</v>
      </c>
      <c r="O2401" s="7"/>
      <c r="P2401" s="7"/>
      <c r="Q2401" s="7"/>
      <c r="R2401" s="7"/>
      <c r="S2401" s="7"/>
      <c r="T2401" s="7"/>
      <c r="U2401" s="7"/>
      <c r="V2401" s="7"/>
      <c r="W2401" s="7"/>
      <c r="X2401" s="7"/>
      <c r="Y2401" s="7"/>
    </row>
    <row r="2402">
      <c r="A2402" s="14" t="s">
        <v>8725</v>
      </c>
      <c r="B2402" s="17" t="s">
        <v>8726</v>
      </c>
      <c r="C2402" s="17" t="s">
        <v>8727</v>
      </c>
      <c r="D2402" s="19" t="s">
        <v>8728</v>
      </c>
      <c r="E2402" s="20" t="s">
        <v>53</v>
      </c>
      <c r="F2402" s="21">
        <v>32902.0</v>
      </c>
      <c r="G2402" s="14">
        <f t="shared" si="1"/>
        <v>36</v>
      </c>
      <c r="H2402" s="23" t="s">
        <v>26</v>
      </c>
      <c r="I2402" s="24" t="s">
        <v>33</v>
      </c>
      <c r="J2402" s="19" t="s">
        <v>8729</v>
      </c>
      <c r="K2402" s="14">
        <v>9.0</v>
      </c>
      <c r="L2402" s="14">
        <v>0.0</v>
      </c>
      <c r="M2402" s="25"/>
      <c r="N2402" s="26" t="s">
        <v>21</v>
      </c>
      <c r="O2402" s="7"/>
      <c r="P2402" s="7"/>
      <c r="Q2402" s="7"/>
      <c r="R2402" s="7"/>
      <c r="S2402" s="7"/>
      <c r="T2402" s="7"/>
      <c r="U2402" s="7"/>
      <c r="V2402" s="7"/>
      <c r="W2402" s="7"/>
      <c r="X2402" s="7"/>
      <c r="Y2402" s="7"/>
    </row>
    <row r="2403">
      <c r="A2403" s="14" t="s">
        <v>8730</v>
      </c>
      <c r="B2403" s="17" t="s">
        <v>8726</v>
      </c>
      <c r="C2403" s="17" t="s">
        <v>8731</v>
      </c>
      <c r="D2403" s="19" t="s">
        <v>8732</v>
      </c>
      <c r="E2403" s="20" t="s">
        <v>53</v>
      </c>
      <c r="F2403" s="21">
        <v>33271.0</v>
      </c>
      <c r="G2403" s="14">
        <f t="shared" si="1"/>
        <v>35</v>
      </c>
      <c r="H2403" s="23" t="s">
        <v>26</v>
      </c>
      <c r="I2403" s="24" t="s">
        <v>27</v>
      </c>
      <c r="J2403" s="19" t="s">
        <v>8729</v>
      </c>
      <c r="K2403" s="14">
        <v>9.0</v>
      </c>
      <c r="L2403" s="14">
        <v>0.0</v>
      </c>
      <c r="M2403" s="25"/>
      <c r="N2403" s="26" t="s">
        <v>21</v>
      </c>
      <c r="O2403" s="7"/>
      <c r="P2403" s="7"/>
      <c r="Q2403" s="7"/>
      <c r="R2403" s="7"/>
      <c r="S2403" s="7"/>
      <c r="T2403" s="7"/>
      <c r="U2403" s="7"/>
      <c r="V2403" s="7"/>
      <c r="W2403" s="7"/>
      <c r="X2403" s="7"/>
      <c r="Y2403" s="7"/>
    </row>
    <row r="2404">
      <c r="A2404" s="14" t="s">
        <v>8733</v>
      </c>
      <c r="B2404" s="17" t="s">
        <v>8734</v>
      </c>
      <c r="C2404" s="17" t="s">
        <v>8735</v>
      </c>
      <c r="D2404" s="19" t="s">
        <v>8736</v>
      </c>
      <c r="E2404" s="20" t="s">
        <v>536</v>
      </c>
      <c r="F2404" s="21">
        <v>37363.0</v>
      </c>
      <c r="G2404" s="14">
        <f t="shared" si="1"/>
        <v>24</v>
      </c>
      <c r="H2404" s="23" t="s">
        <v>26</v>
      </c>
      <c r="I2404" s="24" t="s">
        <v>27</v>
      </c>
      <c r="J2404" s="19" t="s">
        <v>58</v>
      </c>
      <c r="K2404" s="14">
        <v>9.0</v>
      </c>
      <c r="L2404" s="14">
        <v>0.0</v>
      </c>
      <c r="M2404" s="25"/>
      <c r="N2404" s="26" t="s">
        <v>21</v>
      </c>
      <c r="O2404" s="7"/>
      <c r="P2404" s="7"/>
      <c r="Q2404" s="7"/>
      <c r="R2404" s="7"/>
      <c r="S2404" s="7"/>
      <c r="T2404" s="7"/>
      <c r="U2404" s="7"/>
      <c r="V2404" s="7"/>
      <c r="W2404" s="7"/>
      <c r="X2404" s="7"/>
      <c r="Y2404" s="7"/>
    </row>
    <row r="2405">
      <c r="A2405" s="14" t="s">
        <v>8737</v>
      </c>
      <c r="B2405" s="17" t="s">
        <v>8738</v>
      </c>
      <c r="C2405" s="17" t="s">
        <v>8739</v>
      </c>
      <c r="D2405" s="19" t="s">
        <v>8740</v>
      </c>
      <c r="E2405" s="20" t="s">
        <v>104</v>
      </c>
      <c r="F2405" s="27">
        <v>38277.0</v>
      </c>
      <c r="G2405" s="14">
        <f t="shared" si="1"/>
        <v>22</v>
      </c>
      <c r="H2405" s="23" t="s">
        <v>100</v>
      </c>
      <c r="I2405" s="24" t="s">
        <v>33</v>
      </c>
      <c r="J2405" s="19" t="s">
        <v>6555</v>
      </c>
      <c r="K2405" s="14">
        <v>7.0</v>
      </c>
      <c r="L2405" s="14">
        <v>0.0</v>
      </c>
      <c r="M2405" s="25"/>
      <c r="N2405" s="26" t="s">
        <v>21</v>
      </c>
      <c r="O2405" s="7"/>
      <c r="P2405" s="7"/>
      <c r="Q2405" s="7"/>
      <c r="R2405" s="7"/>
      <c r="S2405" s="7"/>
      <c r="T2405" s="7"/>
      <c r="U2405" s="7"/>
      <c r="V2405" s="7"/>
      <c r="W2405" s="7"/>
      <c r="X2405" s="7"/>
      <c r="Y2405" s="7"/>
    </row>
    <row r="2406">
      <c r="A2406" s="14" t="s">
        <v>8741</v>
      </c>
      <c r="B2406" s="17" t="s">
        <v>8738</v>
      </c>
      <c r="C2406" s="17" t="s">
        <v>8742</v>
      </c>
      <c r="D2406" s="19" t="s">
        <v>8743</v>
      </c>
      <c r="E2406" s="20" t="s">
        <v>104</v>
      </c>
      <c r="F2406" s="27">
        <v>30668.0</v>
      </c>
      <c r="G2406" s="14">
        <f t="shared" si="1"/>
        <v>42</v>
      </c>
      <c r="H2406" s="23" t="s">
        <v>26</v>
      </c>
      <c r="I2406" s="24" t="s">
        <v>27</v>
      </c>
      <c r="J2406" s="19" t="s">
        <v>6555</v>
      </c>
      <c r="K2406" s="14">
        <v>7.0</v>
      </c>
      <c r="L2406" s="14">
        <v>0.0</v>
      </c>
      <c r="M2406" s="25"/>
      <c r="N2406" s="26" t="s">
        <v>21</v>
      </c>
      <c r="O2406" s="7"/>
      <c r="P2406" s="7"/>
      <c r="Q2406" s="7"/>
      <c r="R2406" s="7"/>
      <c r="S2406" s="7"/>
      <c r="T2406" s="7"/>
      <c r="U2406" s="7"/>
      <c r="V2406" s="7"/>
      <c r="W2406" s="7"/>
      <c r="X2406" s="7"/>
      <c r="Y2406" s="7"/>
    </row>
    <row r="2407">
      <c r="A2407" s="14" t="s">
        <v>8744</v>
      </c>
      <c r="B2407" s="17" t="s">
        <v>8738</v>
      </c>
      <c r="C2407" s="17" t="s">
        <v>8745</v>
      </c>
      <c r="D2407" s="19" t="s">
        <v>6839</v>
      </c>
      <c r="E2407" s="20" t="s">
        <v>104</v>
      </c>
      <c r="F2407" s="21">
        <v>28373.0</v>
      </c>
      <c r="G2407" s="14">
        <f t="shared" si="1"/>
        <v>49</v>
      </c>
      <c r="H2407" s="23" t="s">
        <v>26</v>
      </c>
      <c r="I2407" s="24" t="s">
        <v>33</v>
      </c>
      <c r="J2407" s="19" t="s">
        <v>6555</v>
      </c>
      <c r="K2407" s="14">
        <v>7.0</v>
      </c>
      <c r="L2407" s="14">
        <v>0.0</v>
      </c>
      <c r="M2407" s="25"/>
      <c r="N2407" s="26" t="s">
        <v>21</v>
      </c>
      <c r="O2407" s="7"/>
      <c r="P2407" s="7"/>
      <c r="Q2407" s="7"/>
      <c r="R2407" s="7"/>
      <c r="S2407" s="7"/>
      <c r="T2407" s="7"/>
      <c r="U2407" s="7"/>
      <c r="V2407" s="7"/>
      <c r="W2407" s="7"/>
      <c r="X2407" s="7"/>
      <c r="Y2407" s="7"/>
    </row>
    <row r="2408">
      <c r="A2408" s="14" t="s">
        <v>8746</v>
      </c>
      <c r="B2408" s="17" t="s">
        <v>8747</v>
      </c>
      <c r="C2408" s="17" t="s">
        <v>8748</v>
      </c>
      <c r="D2408" s="19" t="s">
        <v>8749</v>
      </c>
      <c r="E2408" s="20" t="s">
        <v>104</v>
      </c>
      <c r="F2408" s="21">
        <v>38027.0</v>
      </c>
      <c r="G2408" s="14">
        <f t="shared" si="1"/>
        <v>22</v>
      </c>
      <c r="H2408" s="23" t="s">
        <v>100</v>
      </c>
      <c r="I2408" s="24" t="s">
        <v>33</v>
      </c>
      <c r="J2408" s="19" t="s">
        <v>2336</v>
      </c>
      <c r="K2408" s="14">
        <v>21.0</v>
      </c>
      <c r="L2408" s="14">
        <v>0.0</v>
      </c>
      <c r="M2408" s="25"/>
      <c r="N2408" s="26" t="s">
        <v>21</v>
      </c>
      <c r="O2408" s="7"/>
      <c r="P2408" s="7"/>
      <c r="Q2408" s="7"/>
      <c r="R2408" s="7"/>
      <c r="S2408" s="7"/>
      <c r="T2408" s="7"/>
      <c r="U2408" s="7"/>
      <c r="V2408" s="7"/>
      <c r="W2408" s="7"/>
      <c r="X2408" s="7"/>
      <c r="Y2408" s="7"/>
    </row>
    <row r="2409">
      <c r="A2409" s="14" t="s">
        <v>8750</v>
      </c>
      <c r="B2409" s="17" t="s">
        <v>8747</v>
      </c>
      <c r="C2409" s="17" t="s">
        <v>8751</v>
      </c>
      <c r="D2409" s="19" t="s">
        <v>8752</v>
      </c>
      <c r="E2409" s="20" t="s">
        <v>138</v>
      </c>
      <c r="F2409" s="21">
        <v>38848.0</v>
      </c>
      <c r="G2409" s="14">
        <f t="shared" si="1"/>
        <v>20</v>
      </c>
      <c r="H2409" s="23" t="s">
        <v>100</v>
      </c>
      <c r="I2409" s="24" t="s">
        <v>27</v>
      </c>
      <c r="J2409" s="19" t="s">
        <v>328</v>
      </c>
      <c r="K2409" s="14">
        <v>21.0</v>
      </c>
      <c r="L2409" s="14">
        <v>0.0</v>
      </c>
      <c r="M2409" s="25"/>
      <c r="N2409" s="26" t="s">
        <v>21</v>
      </c>
      <c r="O2409" s="7"/>
      <c r="P2409" s="7"/>
      <c r="Q2409" s="7"/>
      <c r="R2409" s="7"/>
      <c r="S2409" s="7"/>
      <c r="T2409" s="7"/>
      <c r="U2409" s="7"/>
      <c r="V2409" s="7"/>
      <c r="W2409" s="7"/>
      <c r="X2409" s="7"/>
      <c r="Y2409" s="7"/>
    </row>
    <row r="2410">
      <c r="A2410" s="14" t="s">
        <v>8753</v>
      </c>
      <c r="B2410" s="17" t="s">
        <v>8747</v>
      </c>
      <c r="C2410" s="17" t="s">
        <v>8754</v>
      </c>
      <c r="D2410" s="19" t="s">
        <v>554</v>
      </c>
      <c r="E2410" s="20" t="s">
        <v>650</v>
      </c>
      <c r="F2410" s="21">
        <v>23924.0</v>
      </c>
      <c r="G2410" s="14">
        <f t="shared" si="1"/>
        <v>61</v>
      </c>
      <c r="H2410" s="23" t="s">
        <v>26</v>
      </c>
      <c r="I2410" s="24" t="s">
        <v>27</v>
      </c>
      <c r="J2410" s="19" t="s">
        <v>2336</v>
      </c>
      <c r="K2410" s="14">
        <v>21.0</v>
      </c>
      <c r="L2410" s="14">
        <v>0.0</v>
      </c>
      <c r="M2410" s="25"/>
      <c r="N2410" s="26" t="s">
        <v>21</v>
      </c>
      <c r="O2410" s="7"/>
      <c r="P2410" s="7"/>
      <c r="Q2410" s="7"/>
      <c r="R2410" s="7"/>
      <c r="S2410" s="7"/>
      <c r="T2410" s="7"/>
      <c r="U2410" s="7"/>
      <c r="V2410" s="7"/>
      <c r="W2410" s="7"/>
      <c r="X2410" s="7"/>
      <c r="Y2410" s="7"/>
    </row>
    <row r="2411">
      <c r="A2411" s="14" t="s">
        <v>8755</v>
      </c>
      <c r="B2411" s="17" t="s">
        <v>8747</v>
      </c>
      <c r="C2411" s="17" t="s">
        <v>8756</v>
      </c>
      <c r="D2411" s="19" t="s">
        <v>8757</v>
      </c>
      <c r="E2411" s="20" t="s">
        <v>632</v>
      </c>
      <c r="F2411" s="27">
        <v>20022.0</v>
      </c>
      <c r="G2411" s="14">
        <f t="shared" si="1"/>
        <v>72</v>
      </c>
      <c r="H2411" s="23" t="s">
        <v>26</v>
      </c>
      <c r="I2411" s="24" t="s">
        <v>33</v>
      </c>
      <c r="J2411" s="19" t="s">
        <v>2336</v>
      </c>
      <c r="K2411" s="14">
        <v>21.0</v>
      </c>
      <c r="L2411" s="14">
        <v>0.0</v>
      </c>
      <c r="M2411" s="25"/>
      <c r="N2411" s="26" t="s">
        <v>21</v>
      </c>
      <c r="O2411" s="7"/>
      <c r="P2411" s="7"/>
      <c r="Q2411" s="7"/>
      <c r="R2411" s="7"/>
      <c r="S2411" s="7"/>
      <c r="T2411" s="7"/>
      <c r="U2411" s="7"/>
      <c r="V2411" s="7"/>
      <c r="W2411" s="7"/>
      <c r="X2411" s="7"/>
      <c r="Y2411" s="7"/>
    </row>
    <row r="2412">
      <c r="A2412" s="14" t="s">
        <v>8758</v>
      </c>
      <c r="B2412" s="17" t="s">
        <v>8759</v>
      </c>
      <c r="C2412" s="17" t="s">
        <v>8760</v>
      </c>
      <c r="D2412" s="19" t="s">
        <v>8761</v>
      </c>
      <c r="E2412" s="20" t="s">
        <v>53</v>
      </c>
      <c r="F2412" s="21">
        <v>31324.0</v>
      </c>
      <c r="G2412" s="14">
        <f t="shared" si="1"/>
        <v>41</v>
      </c>
      <c r="H2412" s="23" t="s">
        <v>26</v>
      </c>
      <c r="I2412" s="24" t="s">
        <v>27</v>
      </c>
      <c r="J2412" s="19" t="s">
        <v>2336</v>
      </c>
      <c r="K2412" s="14">
        <v>21.0</v>
      </c>
      <c r="L2412" s="14">
        <v>0.0</v>
      </c>
      <c r="M2412" s="25"/>
      <c r="N2412" s="26" t="s">
        <v>21</v>
      </c>
      <c r="O2412" s="7"/>
      <c r="P2412" s="7"/>
      <c r="Q2412" s="7"/>
      <c r="R2412" s="7"/>
      <c r="S2412" s="7"/>
      <c r="T2412" s="7"/>
      <c r="U2412" s="7"/>
      <c r="V2412" s="7"/>
      <c r="W2412" s="7"/>
      <c r="X2412" s="7"/>
      <c r="Y2412" s="7"/>
    </row>
    <row r="2413">
      <c r="A2413" s="14" t="s">
        <v>8762</v>
      </c>
      <c r="B2413" s="17" t="s">
        <v>8759</v>
      </c>
      <c r="C2413" s="17" t="s">
        <v>8763</v>
      </c>
      <c r="D2413" s="19" t="s">
        <v>8764</v>
      </c>
      <c r="E2413" s="20" t="s">
        <v>104</v>
      </c>
      <c r="F2413" s="21">
        <v>38776.0</v>
      </c>
      <c r="G2413" s="14">
        <f t="shared" si="1"/>
        <v>20</v>
      </c>
      <c r="H2413" s="23" t="s">
        <v>100</v>
      </c>
      <c r="I2413" s="24" t="s">
        <v>33</v>
      </c>
      <c r="J2413" s="19" t="s">
        <v>2336</v>
      </c>
      <c r="K2413" s="14">
        <v>21.0</v>
      </c>
      <c r="L2413" s="14">
        <v>0.0</v>
      </c>
      <c r="M2413" s="25"/>
      <c r="N2413" s="26" t="s">
        <v>21</v>
      </c>
      <c r="O2413" s="7"/>
      <c r="P2413" s="7"/>
      <c r="Q2413" s="7"/>
      <c r="R2413" s="7"/>
      <c r="S2413" s="7"/>
      <c r="T2413" s="7"/>
      <c r="U2413" s="7"/>
      <c r="V2413" s="7"/>
      <c r="W2413" s="7"/>
      <c r="X2413" s="7"/>
      <c r="Y2413" s="7"/>
    </row>
    <row r="2414">
      <c r="A2414" s="14" t="s">
        <v>8765</v>
      </c>
      <c r="B2414" s="17" t="s">
        <v>8759</v>
      </c>
      <c r="C2414" s="17" t="s">
        <v>8766</v>
      </c>
      <c r="D2414" s="19" t="s">
        <v>8767</v>
      </c>
      <c r="E2414" s="20" t="s">
        <v>1786</v>
      </c>
      <c r="F2414" s="21">
        <v>28904.0</v>
      </c>
      <c r="G2414" s="14">
        <f t="shared" si="1"/>
        <v>47</v>
      </c>
      <c r="H2414" s="23" t="s">
        <v>26</v>
      </c>
      <c r="I2414" s="24" t="s">
        <v>33</v>
      </c>
      <c r="J2414" s="19" t="s">
        <v>2336</v>
      </c>
      <c r="K2414" s="14">
        <v>21.0</v>
      </c>
      <c r="L2414" s="14">
        <v>0.0</v>
      </c>
      <c r="M2414" s="25"/>
      <c r="N2414" s="26" t="s">
        <v>21</v>
      </c>
      <c r="O2414" s="7"/>
      <c r="P2414" s="7"/>
      <c r="Q2414" s="7"/>
      <c r="R2414" s="7"/>
      <c r="S2414" s="7"/>
      <c r="T2414" s="7"/>
      <c r="U2414" s="7"/>
      <c r="V2414" s="7"/>
      <c r="W2414" s="7"/>
      <c r="X2414" s="7"/>
      <c r="Y2414" s="7"/>
    </row>
    <row r="2415">
      <c r="A2415" s="14" t="s">
        <v>8768</v>
      </c>
      <c r="B2415" s="17" t="s">
        <v>8769</v>
      </c>
      <c r="C2415" s="17" t="s">
        <v>8770</v>
      </c>
      <c r="D2415" s="19" t="s">
        <v>8771</v>
      </c>
      <c r="E2415" s="20" t="s">
        <v>53</v>
      </c>
      <c r="F2415" s="21">
        <v>29455.0</v>
      </c>
      <c r="G2415" s="14">
        <f t="shared" si="1"/>
        <v>46</v>
      </c>
      <c r="H2415" s="23" t="s">
        <v>27</v>
      </c>
      <c r="I2415" s="24" t="s">
        <v>33</v>
      </c>
      <c r="J2415" s="19" t="s">
        <v>53</v>
      </c>
      <c r="K2415" s="14">
        <v>5.0</v>
      </c>
      <c r="L2415" s="14">
        <v>1.0</v>
      </c>
      <c r="M2415" s="25"/>
      <c r="N2415" s="26" t="s">
        <v>21</v>
      </c>
      <c r="O2415" s="7"/>
      <c r="P2415" s="7"/>
      <c r="Q2415" s="7"/>
      <c r="R2415" s="7"/>
      <c r="S2415" s="7"/>
      <c r="T2415" s="7"/>
      <c r="U2415" s="7"/>
      <c r="V2415" s="7"/>
      <c r="W2415" s="7"/>
      <c r="X2415" s="7"/>
      <c r="Y2415" s="7"/>
    </row>
    <row r="2416">
      <c r="A2416" s="14" t="s">
        <v>8772</v>
      </c>
      <c r="B2416" s="17" t="s">
        <v>8773</v>
      </c>
      <c r="C2416" s="17" t="s">
        <v>8774</v>
      </c>
      <c r="D2416" s="19" t="s">
        <v>2809</v>
      </c>
      <c r="E2416" s="20" t="s">
        <v>104</v>
      </c>
      <c r="F2416" s="21">
        <v>33339.0</v>
      </c>
      <c r="G2416" s="14">
        <f t="shared" si="1"/>
        <v>35</v>
      </c>
      <c r="H2416" s="23" t="s">
        <v>26</v>
      </c>
      <c r="I2416" s="24" t="s">
        <v>33</v>
      </c>
      <c r="J2416" s="19" t="s">
        <v>362</v>
      </c>
      <c r="K2416" s="14">
        <v>25.0</v>
      </c>
      <c r="L2416" s="14">
        <v>0.0</v>
      </c>
      <c r="M2416" s="25"/>
      <c r="N2416" s="26" t="s">
        <v>21</v>
      </c>
      <c r="O2416" s="7"/>
      <c r="P2416" s="7"/>
      <c r="Q2416" s="7"/>
      <c r="R2416" s="7"/>
      <c r="S2416" s="7"/>
      <c r="T2416" s="7"/>
      <c r="U2416" s="7"/>
      <c r="V2416" s="7"/>
      <c r="W2416" s="7"/>
      <c r="X2416" s="7"/>
      <c r="Y2416" s="7"/>
    </row>
    <row r="2417">
      <c r="A2417" s="14" t="s">
        <v>8776</v>
      </c>
      <c r="B2417" s="17" t="s">
        <v>8773</v>
      </c>
      <c r="C2417" s="17" t="s">
        <v>8777</v>
      </c>
      <c r="D2417" s="19" t="s">
        <v>8778</v>
      </c>
      <c r="E2417" s="20" t="s">
        <v>4662</v>
      </c>
      <c r="F2417" s="21">
        <v>36428.0</v>
      </c>
      <c r="G2417" s="14">
        <f t="shared" si="1"/>
        <v>27</v>
      </c>
      <c r="H2417" s="23" t="s">
        <v>26</v>
      </c>
      <c r="I2417" s="24" t="s">
        <v>27</v>
      </c>
      <c r="J2417" s="19" t="s">
        <v>362</v>
      </c>
      <c r="K2417" s="14">
        <v>25.0</v>
      </c>
      <c r="L2417" s="14">
        <v>0.0</v>
      </c>
      <c r="M2417" s="25"/>
      <c r="N2417" s="26" t="s">
        <v>21</v>
      </c>
      <c r="O2417" s="7"/>
      <c r="P2417" s="7"/>
      <c r="Q2417" s="7"/>
      <c r="R2417" s="7"/>
      <c r="S2417" s="7"/>
      <c r="T2417" s="7"/>
      <c r="U2417" s="7"/>
      <c r="V2417" s="7"/>
      <c r="W2417" s="7"/>
      <c r="X2417" s="7"/>
      <c r="Y2417" s="7"/>
    </row>
    <row r="2418">
      <c r="A2418" s="14" t="s">
        <v>8779</v>
      </c>
      <c r="B2418" s="17" t="s">
        <v>8780</v>
      </c>
      <c r="C2418" s="17" t="s">
        <v>8781</v>
      </c>
      <c r="D2418" s="19" t="s">
        <v>8782</v>
      </c>
      <c r="E2418" s="20" t="s">
        <v>654</v>
      </c>
      <c r="F2418" s="21">
        <v>23908.0</v>
      </c>
      <c r="G2418" s="14">
        <f t="shared" si="1"/>
        <v>61</v>
      </c>
      <c r="H2418" s="23" t="s">
        <v>26</v>
      </c>
      <c r="I2418" s="24" t="s">
        <v>33</v>
      </c>
      <c r="J2418" s="19" t="s">
        <v>68</v>
      </c>
      <c r="K2418" s="14">
        <v>30.0</v>
      </c>
      <c r="L2418" s="14">
        <v>0.0</v>
      </c>
      <c r="M2418" s="25"/>
      <c r="N2418" s="26" t="s">
        <v>21</v>
      </c>
      <c r="O2418" s="7"/>
      <c r="P2418" s="7"/>
      <c r="Q2418" s="7"/>
      <c r="R2418" s="7"/>
      <c r="S2418" s="7"/>
      <c r="T2418" s="7"/>
      <c r="U2418" s="7"/>
      <c r="V2418" s="7"/>
      <c r="W2418" s="7"/>
      <c r="X2418" s="7"/>
      <c r="Y2418" s="7"/>
    </row>
    <row r="2419">
      <c r="A2419" s="14" t="s">
        <v>8783</v>
      </c>
      <c r="B2419" s="17" t="s">
        <v>8780</v>
      </c>
      <c r="C2419" s="17" t="s">
        <v>8784</v>
      </c>
      <c r="D2419" s="19" t="s">
        <v>3375</v>
      </c>
      <c r="E2419" s="20" t="s">
        <v>654</v>
      </c>
      <c r="F2419" s="27">
        <v>22261.0</v>
      </c>
      <c r="G2419" s="14">
        <f t="shared" si="1"/>
        <v>65</v>
      </c>
      <c r="H2419" s="23" t="s">
        <v>26</v>
      </c>
      <c r="I2419" s="24" t="s">
        <v>27</v>
      </c>
      <c r="J2419" s="19" t="s">
        <v>68</v>
      </c>
      <c r="K2419" s="14">
        <v>30.0</v>
      </c>
      <c r="L2419" s="14">
        <v>1.0</v>
      </c>
      <c r="M2419" s="25"/>
      <c r="N2419" s="26" t="s">
        <v>21</v>
      </c>
      <c r="O2419" s="7"/>
      <c r="P2419" s="7"/>
      <c r="Q2419" s="7"/>
      <c r="R2419" s="7"/>
      <c r="S2419" s="7"/>
      <c r="T2419" s="7"/>
      <c r="U2419" s="7"/>
      <c r="V2419" s="7"/>
      <c r="W2419" s="7"/>
      <c r="X2419" s="7"/>
      <c r="Y2419" s="7"/>
    </row>
    <row r="2420">
      <c r="A2420" s="14" t="s">
        <v>8785</v>
      </c>
      <c r="B2420" s="17" t="s">
        <v>8786</v>
      </c>
      <c r="C2420" s="17" t="s">
        <v>8787</v>
      </c>
      <c r="D2420" s="19" t="s">
        <v>4284</v>
      </c>
      <c r="E2420" s="20" t="s">
        <v>319</v>
      </c>
      <c r="F2420" s="21">
        <v>35618.0</v>
      </c>
      <c r="G2420" s="14">
        <f t="shared" si="1"/>
        <v>29</v>
      </c>
      <c r="H2420" s="23" t="s">
        <v>100</v>
      </c>
      <c r="I2420" s="24" t="s">
        <v>33</v>
      </c>
      <c r="J2420" s="19" t="s">
        <v>328</v>
      </c>
      <c r="K2420" s="14">
        <v>25.0</v>
      </c>
      <c r="L2420" s="14">
        <v>0.0</v>
      </c>
      <c r="M2420" s="25"/>
      <c r="N2420" s="26" t="s">
        <v>21</v>
      </c>
      <c r="O2420" s="7"/>
      <c r="P2420" s="7"/>
      <c r="Q2420" s="7"/>
      <c r="R2420" s="7"/>
      <c r="S2420" s="7"/>
      <c r="T2420" s="7"/>
      <c r="U2420" s="7"/>
      <c r="V2420" s="7"/>
      <c r="W2420" s="7"/>
      <c r="X2420" s="7"/>
      <c r="Y2420" s="7"/>
    </row>
    <row r="2421">
      <c r="A2421" s="14" t="s">
        <v>8788</v>
      </c>
      <c r="B2421" s="17" t="s">
        <v>8789</v>
      </c>
      <c r="C2421" s="17" t="s">
        <v>8791</v>
      </c>
      <c r="D2421" s="19" t="s">
        <v>8792</v>
      </c>
      <c r="E2421" s="20" t="s">
        <v>8793</v>
      </c>
      <c r="F2421" s="21">
        <v>34223.0</v>
      </c>
      <c r="G2421" s="14">
        <f t="shared" si="1"/>
        <v>33</v>
      </c>
      <c r="H2421" s="23" t="s">
        <v>27</v>
      </c>
      <c r="I2421" s="24" t="s">
        <v>33</v>
      </c>
      <c r="J2421" s="19" t="s">
        <v>282</v>
      </c>
      <c r="K2421" s="14">
        <v>11.0</v>
      </c>
      <c r="L2421" s="14">
        <v>0.0</v>
      </c>
      <c r="M2421" s="25"/>
      <c r="N2421" s="26" t="s">
        <v>21</v>
      </c>
      <c r="O2421" s="7"/>
      <c r="P2421" s="7"/>
      <c r="Q2421" s="7"/>
      <c r="R2421" s="7"/>
      <c r="S2421" s="7"/>
      <c r="T2421" s="7"/>
      <c r="U2421" s="7"/>
      <c r="V2421" s="7"/>
      <c r="W2421" s="7"/>
      <c r="X2421" s="7"/>
      <c r="Y2421" s="7"/>
    </row>
    <row r="2422">
      <c r="A2422" s="14" t="s">
        <v>8794</v>
      </c>
      <c r="B2422" s="17" t="s">
        <v>8795</v>
      </c>
      <c r="C2422" s="17" t="s">
        <v>8796</v>
      </c>
      <c r="D2422" s="19" t="s">
        <v>1236</v>
      </c>
      <c r="E2422" s="20" t="s">
        <v>654</v>
      </c>
      <c r="F2422" s="21">
        <v>26481.0</v>
      </c>
      <c r="G2422" s="14">
        <f t="shared" si="1"/>
        <v>54</v>
      </c>
      <c r="H2422" s="23" t="s">
        <v>26</v>
      </c>
      <c r="I2422" s="24" t="s">
        <v>27</v>
      </c>
      <c r="J2422" s="19" t="s">
        <v>146</v>
      </c>
      <c r="K2422" s="14">
        <v>9.0</v>
      </c>
      <c r="L2422" s="14">
        <v>0.0</v>
      </c>
      <c r="M2422" s="25"/>
      <c r="N2422" s="26" t="s">
        <v>21</v>
      </c>
      <c r="O2422" s="7"/>
      <c r="P2422" s="7"/>
      <c r="Q2422" s="7"/>
      <c r="R2422" s="7"/>
      <c r="S2422" s="7"/>
      <c r="T2422" s="7"/>
      <c r="U2422" s="7"/>
      <c r="V2422" s="7"/>
      <c r="W2422" s="7"/>
      <c r="X2422" s="7"/>
      <c r="Y2422" s="7"/>
    </row>
    <row r="2423">
      <c r="A2423" s="14" t="s">
        <v>8797</v>
      </c>
      <c r="B2423" s="17" t="s">
        <v>8795</v>
      </c>
      <c r="C2423" s="17" t="s">
        <v>8798</v>
      </c>
      <c r="D2423" s="19" t="s">
        <v>2615</v>
      </c>
      <c r="E2423" s="20" t="s">
        <v>880</v>
      </c>
      <c r="F2423" s="21">
        <v>22828.0</v>
      </c>
      <c r="G2423" s="14">
        <f t="shared" si="1"/>
        <v>64</v>
      </c>
      <c r="H2423" s="23" t="s">
        <v>26</v>
      </c>
      <c r="I2423" s="24" t="s">
        <v>33</v>
      </c>
      <c r="J2423" s="19" t="s">
        <v>146</v>
      </c>
      <c r="K2423" s="14">
        <v>9.0</v>
      </c>
      <c r="L2423" s="14">
        <v>0.0</v>
      </c>
      <c r="M2423" s="25"/>
      <c r="N2423" s="26" t="s">
        <v>21</v>
      </c>
      <c r="O2423" s="7"/>
      <c r="P2423" s="7"/>
      <c r="Q2423" s="7"/>
      <c r="R2423" s="7"/>
      <c r="S2423" s="7"/>
      <c r="T2423" s="7"/>
      <c r="U2423" s="7"/>
      <c r="V2423" s="7"/>
      <c r="W2423" s="7"/>
      <c r="X2423" s="7"/>
      <c r="Y2423" s="7"/>
    </row>
    <row r="2424">
      <c r="A2424" s="14" t="s">
        <v>8799</v>
      </c>
      <c r="B2424" s="17" t="s">
        <v>8800</v>
      </c>
      <c r="C2424" s="17" t="s">
        <v>8801</v>
      </c>
      <c r="D2424" s="19" t="s">
        <v>8802</v>
      </c>
      <c r="E2424" s="20" t="s">
        <v>53</v>
      </c>
      <c r="F2424" s="27">
        <v>38653.0</v>
      </c>
      <c r="G2424" s="14">
        <f t="shared" si="1"/>
        <v>21</v>
      </c>
      <c r="H2424" s="23" t="s">
        <v>100</v>
      </c>
      <c r="I2424" s="24" t="s">
        <v>33</v>
      </c>
      <c r="J2424" s="19" t="s">
        <v>156</v>
      </c>
      <c r="K2424" s="14">
        <v>33.0</v>
      </c>
      <c r="L2424" s="14">
        <v>0.0</v>
      </c>
      <c r="M2424" s="25"/>
      <c r="N2424" s="26" t="s">
        <v>21</v>
      </c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7"/>
    </row>
    <row r="2425">
      <c r="A2425" s="14" t="s">
        <v>8803</v>
      </c>
      <c r="B2425" s="17" t="s">
        <v>8800</v>
      </c>
      <c r="C2425" s="17" t="s">
        <v>8804</v>
      </c>
      <c r="D2425" s="19" t="s">
        <v>8805</v>
      </c>
      <c r="E2425" s="20" t="s">
        <v>3003</v>
      </c>
      <c r="F2425" s="21">
        <v>29053.0</v>
      </c>
      <c r="G2425" s="14">
        <f t="shared" si="1"/>
        <v>47</v>
      </c>
      <c r="H2425" s="23" t="s">
        <v>26</v>
      </c>
      <c r="I2425" s="24" t="s">
        <v>27</v>
      </c>
      <c r="J2425" s="19" t="s">
        <v>156</v>
      </c>
      <c r="K2425" s="14">
        <v>33.0</v>
      </c>
      <c r="L2425" s="14">
        <v>0.0</v>
      </c>
      <c r="M2425" s="25"/>
      <c r="N2425" s="26" t="s">
        <v>21</v>
      </c>
      <c r="O2425" s="7"/>
      <c r="P2425" s="7"/>
      <c r="Q2425" s="7"/>
      <c r="R2425" s="7"/>
      <c r="S2425" s="7"/>
      <c r="T2425" s="7"/>
      <c r="U2425" s="7"/>
      <c r="V2425" s="7"/>
      <c r="W2425" s="7"/>
      <c r="X2425" s="7"/>
      <c r="Y2425" s="7"/>
    </row>
    <row r="2426">
      <c r="A2426" s="14" t="s">
        <v>8806</v>
      </c>
      <c r="B2426" s="17" t="s">
        <v>8800</v>
      </c>
      <c r="C2426" s="17" t="s">
        <v>8807</v>
      </c>
      <c r="D2426" s="19" t="s">
        <v>8808</v>
      </c>
      <c r="E2426" s="20" t="s">
        <v>8809</v>
      </c>
      <c r="F2426" s="21">
        <v>27185.0</v>
      </c>
      <c r="G2426" s="14">
        <f t="shared" si="1"/>
        <v>52</v>
      </c>
      <c r="H2426" s="23" t="s">
        <v>26</v>
      </c>
      <c r="I2426" s="24" t="s">
        <v>33</v>
      </c>
      <c r="J2426" s="19" t="s">
        <v>156</v>
      </c>
      <c r="K2426" s="14">
        <v>33.0</v>
      </c>
      <c r="L2426" s="14">
        <v>0.0</v>
      </c>
      <c r="M2426" s="25"/>
      <c r="N2426" s="26" t="s">
        <v>21</v>
      </c>
      <c r="O2426" s="7"/>
      <c r="P2426" s="7"/>
      <c r="Q2426" s="7"/>
      <c r="R2426" s="7"/>
      <c r="S2426" s="7"/>
      <c r="T2426" s="7"/>
      <c r="U2426" s="7"/>
      <c r="V2426" s="7"/>
      <c r="W2426" s="7"/>
      <c r="X2426" s="7"/>
      <c r="Y2426" s="7"/>
    </row>
    <row r="2427">
      <c r="A2427" s="14" t="s">
        <v>8810</v>
      </c>
      <c r="B2427" s="17" t="s">
        <v>8811</v>
      </c>
      <c r="C2427" s="17" t="s">
        <v>8812</v>
      </c>
      <c r="D2427" s="19" t="s">
        <v>8813</v>
      </c>
      <c r="E2427" s="20" t="s">
        <v>1370</v>
      </c>
      <c r="F2427" s="21">
        <v>38561.0</v>
      </c>
      <c r="G2427" s="14">
        <f t="shared" si="1"/>
        <v>21</v>
      </c>
      <c r="H2427" s="23" t="s">
        <v>100</v>
      </c>
      <c r="I2427" s="24" t="s">
        <v>27</v>
      </c>
      <c r="J2427" s="19" t="s">
        <v>282</v>
      </c>
      <c r="K2427" s="14">
        <v>14.0</v>
      </c>
      <c r="L2427" s="14">
        <v>0.0</v>
      </c>
      <c r="M2427" s="25"/>
      <c r="N2427" s="26" t="s">
        <v>21</v>
      </c>
      <c r="O2427" s="7"/>
      <c r="P2427" s="7"/>
      <c r="Q2427" s="7"/>
      <c r="R2427" s="7"/>
      <c r="S2427" s="7"/>
      <c r="T2427" s="7"/>
      <c r="U2427" s="7"/>
      <c r="V2427" s="7"/>
      <c r="W2427" s="7"/>
      <c r="X2427" s="7"/>
      <c r="Y2427" s="7"/>
    </row>
    <row r="2428">
      <c r="A2428" s="14" t="s">
        <v>8814</v>
      </c>
      <c r="B2428" s="17" t="s">
        <v>8811</v>
      </c>
      <c r="C2428" s="17" t="s">
        <v>8815</v>
      </c>
      <c r="D2428" s="19" t="s">
        <v>8816</v>
      </c>
      <c r="E2428" s="20" t="s">
        <v>1370</v>
      </c>
      <c r="F2428" s="21">
        <v>31290.0</v>
      </c>
      <c r="G2428" s="14">
        <f t="shared" si="1"/>
        <v>41</v>
      </c>
      <c r="H2428" s="23" t="s">
        <v>26</v>
      </c>
      <c r="I2428" s="24" t="s">
        <v>27</v>
      </c>
      <c r="J2428" s="19" t="s">
        <v>282</v>
      </c>
      <c r="K2428" s="14">
        <v>14.0</v>
      </c>
      <c r="L2428" s="14">
        <v>0.0</v>
      </c>
      <c r="M2428" s="25"/>
      <c r="N2428" s="26" t="s">
        <v>21</v>
      </c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7"/>
    </row>
    <row r="2429">
      <c r="A2429" s="14" t="s">
        <v>8817</v>
      </c>
      <c r="B2429" s="17" t="s">
        <v>8811</v>
      </c>
      <c r="C2429" s="17" t="s">
        <v>8818</v>
      </c>
      <c r="D2429" s="19" t="s">
        <v>8819</v>
      </c>
      <c r="E2429" s="20" t="s">
        <v>1370</v>
      </c>
      <c r="F2429" s="21">
        <v>28620.0</v>
      </c>
      <c r="G2429" s="14">
        <f t="shared" si="1"/>
        <v>48</v>
      </c>
      <c r="H2429" s="23" t="s">
        <v>26</v>
      </c>
      <c r="I2429" s="24" t="s">
        <v>33</v>
      </c>
      <c r="J2429" s="19" t="s">
        <v>282</v>
      </c>
      <c r="K2429" s="14">
        <v>14.0</v>
      </c>
      <c r="L2429" s="14">
        <v>0.0</v>
      </c>
      <c r="M2429" s="25"/>
      <c r="N2429" s="26" t="s">
        <v>21</v>
      </c>
      <c r="O2429" s="7"/>
      <c r="P2429" s="7"/>
      <c r="Q2429" s="7"/>
      <c r="R2429" s="7"/>
      <c r="S2429" s="7"/>
      <c r="T2429" s="7"/>
      <c r="U2429" s="7"/>
      <c r="V2429" s="7"/>
      <c r="W2429" s="7"/>
      <c r="X2429" s="7"/>
      <c r="Y2429" s="7"/>
    </row>
    <row r="2430">
      <c r="A2430" s="14" t="s">
        <v>8820</v>
      </c>
      <c r="B2430" s="17" t="s">
        <v>8821</v>
      </c>
      <c r="C2430" s="17" t="s">
        <v>8822</v>
      </c>
      <c r="D2430" s="19" t="s">
        <v>8823</v>
      </c>
      <c r="E2430" s="20" t="s">
        <v>4297</v>
      </c>
      <c r="F2430" s="21">
        <v>34358.0</v>
      </c>
      <c r="G2430" s="14">
        <f t="shared" si="1"/>
        <v>32</v>
      </c>
      <c r="H2430" s="23" t="s">
        <v>26</v>
      </c>
      <c r="I2430" s="24" t="s">
        <v>33</v>
      </c>
      <c r="J2430" s="19" t="s">
        <v>58</v>
      </c>
      <c r="K2430" s="14">
        <v>9.0</v>
      </c>
      <c r="L2430" s="14">
        <v>0.0</v>
      </c>
      <c r="M2430" s="25"/>
      <c r="N2430" s="26" t="s">
        <v>21</v>
      </c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7"/>
    </row>
    <row r="2431">
      <c r="A2431" s="14" t="s">
        <v>8824</v>
      </c>
      <c r="B2431" s="17" t="s">
        <v>8821</v>
      </c>
      <c r="C2431" s="17" t="s">
        <v>8825</v>
      </c>
      <c r="D2431" s="19" t="s">
        <v>8826</v>
      </c>
      <c r="E2431" s="20" t="s">
        <v>138</v>
      </c>
      <c r="F2431" s="27">
        <v>36155.0</v>
      </c>
      <c r="G2431" s="14">
        <f t="shared" si="1"/>
        <v>27</v>
      </c>
      <c r="H2431" s="23" t="s">
        <v>26</v>
      </c>
      <c r="I2431" s="24" t="s">
        <v>27</v>
      </c>
      <c r="J2431" s="19" t="s">
        <v>58</v>
      </c>
      <c r="K2431" s="14">
        <v>9.0</v>
      </c>
      <c r="L2431" s="14">
        <v>0.0</v>
      </c>
      <c r="M2431" s="25"/>
      <c r="N2431" s="26" t="s">
        <v>21</v>
      </c>
      <c r="O2431" s="7"/>
      <c r="P2431" s="7"/>
      <c r="Q2431" s="7"/>
      <c r="R2431" s="7"/>
      <c r="S2431" s="7"/>
      <c r="T2431" s="7"/>
      <c r="U2431" s="7"/>
      <c r="V2431" s="7"/>
      <c r="W2431" s="7"/>
      <c r="X2431" s="7"/>
      <c r="Y2431" s="7"/>
    </row>
    <row r="2432">
      <c r="A2432" s="14" t="s">
        <v>8827</v>
      </c>
      <c r="B2432" s="17" t="s">
        <v>8828</v>
      </c>
      <c r="C2432" s="17" t="s">
        <v>8829</v>
      </c>
      <c r="D2432" s="19" t="s">
        <v>8830</v>
      </c>
      <c r="E2432" s="20" t="s">
        <v>210</v>
      </c>
      <c r="F2432" s="21">
        <v>29290.0</v>
      </c>
      <c r="G2432" s="14">
        <f t="shared" si="1"/>
        <v>46</v>
      </c>
      <c r="H2432" s="23" t="s">
        <v>26</v>
      </c>
      <c r="I2432" s="24" t="s">
        <v>27</v>
      </c>
      <c r="J2432" s="19" t="s">
        <v>282</v>
      </c>
      <c r="K2432" s="14">
        <v>13.0</v>
      </c>
      <c r="L2432" s="14">
        <v>0.0</v>
      </c>
      <c r="M2432" s="25"/>
      <c r="N2432" s="26" t="s">
        <v>21</v>
      </c>
      <c r="O2432" s="7"/>
      <c r="P2432" s="7"/>
      <c r="Q2432" s="7"/>
      <c r="R2432" s="7"/>
      <c r="S2432" s="7"/>
      <c r="T2432" s="7"/>
      <c r="U2432" s="7"/>
      <c r="V2432" s="7"/>
      <c r="W2432" s="7"/>
      <c r="X2432" s="7"/>
      <c r="Y2432" s="7"/>
    </row>
    <row r="2433">
      <c r="A2433" s="14" t="s">
        <v>8831</v>
      </c>
      <c r="B2433" s="17" t="s">
        <v>8828</v>
      </c>
      <c r="C2433" s="17" t="s">
        <v>8832</v>
      </c>
      <c r="D2433" s="19" t="s">
        <v>8833</v>
      </c>
      <c r="E2433" s="20" t="s">
        <v>104</v>
      </c>
      <c r="F2433" s="27">
        <v>29138.0</v>
      </c>
      <c r="G2433" s="14">
        <f t="shared" si="1"/>
        <v>47</v>
      </c>
      <c r="H2433" s="23" t="s">
        <v>26</v>
      </c>
      <c r="I2433" s="24" t="s">
        <v>33</v>
      </c>
      <c r="J2433" s="19" t="s">
        <v>282</v>
      </c>
      <c r="K2433" s="14">
        <v>13.0</v>
      </c>
      <c r="L2433" s="14">
        <v>0.0</v>
      </c>
      <c r="M2433" s="25"/>
      <c r="N2433" s="26" t="s">
        <v>21</v>
      </c>
      <c r="O2433" s="7"/>
      <c r="P2433" s="7"/>
      <c r="Q2433" s="7"/>
      <c r="R2433" s="7"/>
      <c r="S2433" s="7"/>
      <c r="T2433" s="7"/>
      <c r="U2433" s="7"/>
      <c r="V2433" s="7"/>
      <c r="W2433" s="7"/>
      <c r="X2433" s="7"/>
      <c r="Y2433" s="7"/>
    </row>
    <row r="2434">
      <c r="A2434" s="14" t="s">
        <v>8834</v>
      </c>
      <c r="B2434" s="17" t="s">
        <v>8835</v>
      </c>
      <c r="C2434" s="17" t="s">
        <v>8836</v>
      </c>
      <c r="D2434" s="19" t="s">
        <v>8837</v>
      </c>
      <c r="E2434" s="20" t="s">
        <v>1846</v>
      </c>
      <c r="F2434" s="21">
        <v>27530.0</v>
      </c>
      <c r="G2434" s="14">
        <f t="shared" si="1"/>
        <v>51</v>
      </c>
      <c r="H2434" s="23" t="s">
        <v>26</v>
      </c>
      <c r="I2434" s="24" t="s">
        <v>33</v>
      </c>
      <c r="J2434" s="19" t="s">
        <v>206</v>
      </c>
      <c r="K2434" s="14">
        <v>2.0</v>
      </c>
      <c r="L2434" s="14">
        <v>0.0</v>
      </c>
      <c r="M2434" s="25"/>
      <c r="N2434" s="26" t="s">
        <v>21</v>
      </c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7"/>
    </row>
    <row r="2435">
      <c r="A2435" s="14" t="s">
        <v>8838</v>
      </c>
      <c r="B2435" s="17" t="s">
        <v>8835</v>
      </c>
      <c r="C2435" s="17" t="s">
        <v>8839</v>
      </c>
      <c r="D2435" s="19" t="s">
        <v>8840</v>
      </c>
      <c r="E2435" s="20" t="s">
        <v>104</v>
      </c>
      <c r="F2435" s="21">
        <v>36705.0</v>
      </c>
      <c r="G2435" s="14">
        <f t="shared" si="1"/>
        <v>26</v>
      </c>
      <c r="H2435" s="23" t="s">
        <v>100</v>
      </c>
      <c r="I2435" s="24" t="s">
        <v>33</v>
      </c>
      <c r="J2435" s="19" t="s">
        <v>206</v>
      </c>
      <c r="K2435" s="14">
        <v>2.0</v>
      </c>
      <c r="L2435" s="14">
        <v>0.0</v>
      </c>
      <c r="M2435" s="25"/>
      <c r="N2435" s="26" t="s">
        <v>21</v>
      </c>
      <c r="O2435" s="7"/>
      <c r="P2435" s="7"/>
      <c r="Q2435" s="7"/>
      <c r="R2435" s="7"/>
      <c r="S2435" s="7"/>
      <c r="T2435" s="7"/>
      <c r="U2435" s="7"/>
      <c r="V2435" s="7"/>
      <c r="W2435" s="7"/>
      <c r="X2435" s="7"/>
      <c r="Y2435" s="7"/>
    </row>
    <row r="2436">
      <c r="A2436" s="14" t="s">
        <v>8841</v>
      </c>
      <c r="B2436" s="17" t="s">
        <v>8835</v>
      </c>
      <c r="C2436" s="17" t="s">
        <v>8842</v>
      </c>
      <c r="D2436" s="19" t="s">
        <v>8843</v>
      </c>
      <c r="E2436" s="20" t="s">
        <v>104</v>
      </c>
      <c r="F2436" s="21">
        <v>37380.0</v>
      </c>
      <c r="G2436" s="14">
        <f t="shared" si="1"/>
        <v>24</v>
      </c>
      <c r="H2436" s="23" t="s">
        <v>100</v>
      </c>
      <c r="I2436" s="24" t="s">
        <v>27</v>
      </c>
      <c r="J2436" s="19" t="s">
        <v>206</v>
      </c>
      <c r="K2436" s="14">
        <v>2.0</v>
      </c>
      <c r="L2436" s="14">
        <v>0.0</v>
      </c>
      <c r="M2436" s="25"/>
      <c r="N2436" s="26" t="s">
        <v>21</v>
      </c>
      <c r="O2436" s="7"/>
      <c r="P2436" s="7"/>
      <c r="Q2436" s="7"/>
      <c r="R2436" s="7"/>
      <c r="S2436" s="7"/>
      <c r="T2436" s="7"/>
      <c r="U2436" s="7"/>
      <c r="V2436" s="7"/>
      <c r="W2436" s="7"/>
      <c r="X2436" s="7"/>
      <c r="Y2436" s="7"/>
    </row>
    <row r="2437">
      <c r="A2437" s="14" t="s">
        <v>8844</v>
      </c>
      <c r="B2437" s="17" t="s">
        <v>8835</v>
      </c>
      <c r="C2437" s="17" t="s">
        <v>8845</v>
      </c>
      <c r="D2437" s="19" t="s">
        <v>8846</v>
      </c>
      <c r="E2437" s="20" t="s">
        <v>104</v>
      </c>
      <c r="F2437" s="21">
        <v>29014.0</v>
      </c>
      <c r="G2437" s="14">
        <f t="shared" si="1"/>
        <v>47</v>
      </c>
      <c r="H2437" s="23" t="s">
        <v>26</v>
      </c>
      <c r="I2437" s="24" t="s">
        <v>27</v>
      </c>
      <c r="J2437" s="19" t="s">
        <v>206</v>
      </c>
      <c r="K2437" s="14">
        <v>2.0</v>
      </c>
      <c r="L2437" s="14">
        <v>0.0</v>
      </c>
      <c r="M2437" s="25"/>
      <c r="N2437" s="26" t="s">
        <v>21</v>
      </c>
      <c r="O2437" s="7"/>
      <c r="P2437" s="7"/>
      <c r="Q2437" s="7"/>
      <c r="R2437" s="7"/>
      <c r="S2437" s="7"/>
      <c r="T2437" s="7"/>
      <c r="U2437" s="7"/>
      <c r="V2437" s="7"/>
      <c r="W2437" s="7"/>
      <c r="X2437" s="7"/>
      <c r="Y2437" s="7"/>
    </row>
    <row r="2438">
      <c r="A2438" s="14" t="s">
        <v>8847</v>
      </c>
      <c r="B2438" s="17" t="s">
        <v>8848</v>
      </c>
      <c r="C2438" s="17" t="s">
        <v>8849</v>
      </c>
      <c r="D2438" s="19" t="s">
        <v>8850</v>
      </c>
      <c r="E2438" s="20" t="s">
        <v>104</v>
      </c>
      <c r="F2438" s="21">
        <v>32758.0</v>
      </c>
      <c r="G2438" s="14">
        <f t="shared" si="1"/>
        <v>37</v>
      </c>
      <c r="H2438" s="23" t="s">
        <v>26</v>
      </c>
      <c r="I2438" s="24" t="s">
        <v>27</v>
      </c>
      <c r="J2438" s="19" t="s">
        <v>58</v>
      </c>
      <c r="K2438" s="14">
        <v>36.0</v>
      </c>
      <c r="L2438" s="14">
        <v>0.0</v>
      </c>
      <c r="M2438" s="25"/>
      <c r="N2438" s="26" t="s">
        <v>21</v>
      </c>
      <c r="O2438" s="7"/>
      <c r="P2438" s="7"/>
      <c r="Q2438" s="7"/>
      <c r="R2438" s="7"/>
      <c r="S2438" s="7"/>
      <c r="T2438" s="7"/>
      <c r="U2438" s="7"/>
      <c r="V2438" s="7"/>
      <c r="W2438" s="7"/>
      <c r="X2438" s="7"/>
      <c r="Y2438" s="7"/>
    </row>
    <row r="2439">
      <c r="A2439" s="14" t="s">
        <v>8851</v>
      </c>
      <c r="B2439" s="17" t="s">
        <v>8848</v>
      </c>
      <c r="C2439" s="17" t="s">
        <v>8852</v>
      </c>
      <c r="D2439" s="19" t="s">
        <v>8853</v>
      </c>
      <c r="E2439" s="20" t="s">
        <v>104</v>
      </c>
      <c r="F2439" s="21">
        <v>30991.0</v>
      </c>
      <c r="G2439" s="14">
        <f t="shared" si="1"/>
        <v>41</v>
      </c>
      <c r="H2439" s="23" t="s">
        <v>26</v>
      </c>
      <c r="I2439" s="24" t="s">
        <v>33</v>
      </c>
      <c r="J2439" s="19" t="s">
        <v>53</v>
      </c>
      <c r="K2439" s="14">
        <v>36.0</v>
      </c>
      <c r="L2439" s="14">
        <v>0.0</v>
      </c>
      <c r="M2439" s="25"/>
      <c r="N2439" s="26" t="s">
        <v>21</v>
      </c>
      <c r="O2439" s="7"/>
      <c r="P2439" s="7"/>
      <c r="Q2439" s="7"/>
      <c r="R2439" s="7"/>
      <c r="S2439" s="7"/>
      <c r="T2439" s="7"/>
      <c r="U2439" s="7"/>
      <c r="V2439" s="7"/>
      <c r="W2439" s="7"/>
      <c r="X2439" s="7"/>
      <c r="Y2439" s="7"/>
    </row>
    <row r="2440">
      <c r="A2440" s="14" t="s">
        <v>8854</v>
      </c>
      <c r="B2440" s="17" t="s">
        <v>8855</v>
      </c>
      <c r="C2440" s="17" t="s">
        <v>8856</v>
      </c>
      <c r="D2440" s="19" t="s">
        <v>8857</v>
      </c>
      <c r="E2440" s="20" t="s">
        <v>104</v>
      </c>
      <c r="F2440" s="21">
        <v>33670.0</v>
      </c>
      <c r="G2440" s="14">
        <f t="shared" si="1"/>
        <v>34</v>
      </c>
      <c r="H2440" s="23" t="s">
        <v>26</v>
      </c>
      <c r="I2440" s="24" t="s">
        <v>27</v>
      </c>
      <c r="J2440" s="19" t="s">
        <v>1437</v>
      </c>
      <c r="K2440" s="14">
        <v>35.0</v>
      </c>
      <c r="L2440" s="14">
        <v>0.0</v>
      </c>
      <c r="M2440" s="25"/>
      <c r="N2440" s="26" t="s">
        <v>21</v>
      </c>
      <c r="O2440" s="7"/>
      <c r="P2440" s="7"/>
      <c r="Q2440" s="7"/>
      <c r="R2440" s="7"/>
      <c r="S2440" s="7"/>
      <c r="T2440" s="7"/>
      <c r="U2440" s="7"/>
      <c r="V2440" s="7"/>
      <c r="W2440" s="7"/>
      <c r="X2440" s="7"/>
      <c r="Y2440" s="7"/>
    </row>
    <row r="2441">
      <c r="A2441" s="14" t="s">
        <v>8858</v>
      </c>
      <c r="B2441" s="17" t="s">
        <v>8855</v>
      </c>
      <c r="C2441" s="17" t="s">
        <v>8859</v>
      </c>
      <c r="D2441" s="19" t="s">
        <v>8860</v>
      </c>
      <c r="E2441" s="20" t="s">
        <v>8861</v>
      </c>
      <c r="F2441" s="21">
        <v>31626.0</v>
      </c>
      <c r="G2441" s="14">
        <f t="shared" si="1"/>
        <v>40</v>
      </c>
      <c r="H2441" s="23" t="s">
        <v>26</v>
      </c>
      <c r="I2441" s="24" t="s">
        <v>33</v>
      </c>
      <c r="J2441" s="19" t="s">
        <v>1437</v>
      </c>
      <c r="K2441" s="14">
        <v>35.0</v>
      </c>
      <c r="L2441" s="14">
        <v>0.0</v>
      </c>
      <c r="M2441" s="25"/>
      <c r="N2441" s="26" t="s">
        <v>21</v>
      </c>
      <c r="O2441" s="7"/>
      <c r="P2441" s="7"/>
      <c r="Q2441" s="7"/>
      <c r="R2441" s="7"/>
      <c r="S2441" s="7"/>
      <c r="T2441" s="7"/>
      <c r="U2441" s="7"/>
      <c r="V2441" s="7"/>
      <c r="W2441" s="7"/>
      <c r="X2441" s="7"/>
      <c r="Y2441" s="7"/>
    </row>
    <row r="2442">
      <c r="A2442" s="14" t="s">
        <v>8862</v>
      </c>
      <c r="B2442" s="17" t="s">
        <v>8863</v>
      </c>
      <c r="C2442" s="17" t="s">
        <v>8864</v>
      </c>
      <c r="D2442" s="19" t="s">
        <v>8865</v>
      </c>
      <c r="E2442" s="20" t="s">
        <v>138</v>
      </c>
      <c r="F2442" s="21">
        <v>30076.0</v>
      </c>
      <c r="G2442" s="14">
        <f t="shared" si="1"/>
        <v>44</v>
      </c>
      <c r="H2442" s="23" t="s">
        <v>27</v>
      </c>
      <c r="I2442" s="24" t="s">
        <v>27</v>
      </c>
      <c r="J2442" s="19" t="s">
        <v>1960</v>
      </c>
      <c r="K2442" s="14">
        <v>2.0</v>
      </c>
      <c r="L2442" s="14">
        <v>0.0</v>
      </c>
      <c r="M2442" s="25"/>
      <c r="N2442" s="26" t="s">
        <v>21</v>
      </c>
      <c r="O2442" s="7"/>
      <c r="P2442" s="7"/>
      <c r="Q2442" s="7"/>
      <c r="R2442" s="7"/>
      <c r="S2442" s="7"/>
      <c r="T2442" s="7"/>
      <c r="U2442" s="7"/>
      <c r="V2442" s="7"/>
      <c r="W2442" s="7"/>
      <c r="X2442" s="7"/>
      <c r="Y2442" s="7"/>
    </row>
    <row r="2443">
      <c r="A2443" s="14" t="s">
        <v>8866</v>
      </c>
      <c r="B2443" s="17" t="s">
        <v>8863</v>
      </c>
      <c r="C2443" s="17" t="s">
        <v>8867</v>
      </c>
      <c r="D2443" s="19" t="s">
        <v>8868</v>
      </c>
      <c r="E2443" s="20" t="s">
        <v>104</v>
      </c>
      <c r="F2443" s="21">
        <v>38899.0</v>
      </c>
      <c r="G2443" s="14">
        <f t="shared" si="1"/>
        <v>20</v>
      </c>
      <c r="H2443" s="23" t="s">
        <v>100</v>
      </c>
      <c r="I2443" s="24" t="s">
        <v>33</v>
      </c>
      <c r="J2443" s="19" t="s">
        <v>1960</v>
      </c>
      <c r="K2443" s="14">
        <v>2.0</v>
      </c>
      <c r="L2443" s="14">
        <v>0.0</v>
      </c>
      <c r="M2443" s="25"/>
      <c r="N2443" s="26" t="s">
        <v>21</v>
      </c>
      <c r="O2443" s="7"/>
      <c r="P2443" s="7"/>
      <c r="Q2443" s="7"/>
      <c r="R2443" s="7"/>
      <c r="S2443" s="7"/>
      <c r="T2443" s="7"/>
      <c r="U2443" s="7"/>
      <c r="V2443" s="7"/>
      <c r="W2443" s="7"/>
      <c r="X2443" s="7"/>
      <c r="Y2443" s="7"/>
    </row>
    <row r="2444">
      <c r="A2444" s="14" t="s">
        <v>8869</v>
      </c>
      <c r="B2444" s="17" t="s">
        <v>8870</v>
      </c>
      <c r="C2444" s="17" t="s">
        <v>8871</v>
      </c>
      <c r="D2444" s="19" t="s">
        <v>8872</v>
      </c>
      <c r="E2444" s="20" t="s">
        <v>8873</v>
      </c>
      <c r="F2444" s="21">
        <v>12838.0</v>
      </c>
      <c r="G2444" s="14">
        <f t="shared" si="1"/>
        <v>91</v>
      </c>
      <c r="H2444" s="23" t="s">
        <v>26</v>
      </c>
      <c r="I2444" s="24" t="s">
        <v>27</v>
      </c>
      <c r="J2444" s="19" t="s">
        <v>8874</v>
      </c>
      <c r="K2444" s="14">
        <v>28.0</v>
      </c>
      <c r="L2444" s="14">
        <v>0.0</v>
      </c>
      <c r="M2444" s="25"/>
      <c r="N2444" s="26" t="s">
        <v>21</v>
      </c>
      <c r="O2444" s="7"/>
      <c r="P2444" s="7"/>
      <c r="Q2444" s="7"/>
      <c r="R2444" s="7"/>
      <c r="S2444" s="7"/>
      <c r="T2444" s="7"/>
      <c r="U2444" s="7"/>
      <c r="V2444" s="7"/>
      <c r="W2444" s="7"/>
      <c r="X2444" s="7"/>
      <c r="Y2444" s="7"/>
    </row>
    <row r="2445">
      <c r="A2445" s="14" t="s">
        <v>8875</v>
      </c>
      <c r="B2445" s="17" t="s">
        <v>8876</v>
      </c>
      <c r="C2445" s="17" t="s">
        <v>8877</v>
      </c>
      <c r="D2445" s="19" t="s">
        <v>8878</v>
      </c>
      <c r="E2445" s="20" t="s">
        <v>104</v>
      </c>
      <c r="F2445" s="21">
        <v>33758.0</v>
      </c>
      <c r="G2445" s="14">
        <f t="shared" si="1"/>
        <v>34</v>
      </c>
      <c r="H2445" s="23" t="s">
        <v>27</v>
      </c>
      <c r="I2445" s="24" t="s">
        <v>27</v>
      </c>
      <c r="J2445" s="19" t="s">
        <v>53</v>
      </c>
      <c r="K2445" s="14">
        <v>17.0</v>
      </c>
      <c r="L2445" s="14">
        <v>5.0</v>
      </c>
      <c r="M2445" s="25"/>
      <c r="N2445" s="26" t="s">
        <v>21</v>
      </c>
      <c r="O2445" s="7"/>
      <c r="P2445" s="7"/>
      <c r="Q2445" s="7"/>
      <c r="R2445" s="7"/>
      <c r="S2445" s="7"/>
      <c r="T2445" s="7"/>
      <c r="U2445" s="7"/>
      <c r="V2445" s="7"/>
      <c r="W2445" s="7"/>
      <c r="X2445" s="7"/>
      <c r="Y2445" s="7"/>
    </row>
    <row r="2446">
      <c r="A2446" s="14" t="s">
        <v>8879</v>
      </c>
      <c r="B2446" s="17" t="s">
        <v>8880</v>
      </c>
      <c r="C2446" s="17" t="s">
        <v>8881</v>
      </c>
      <c r="D2446" s="19" t="s">
        <v>8882</v>
      </c>
      <c r="E2446" s="20" t="s">
        <v>104</v>
      </c>
      <c r="F2446" s="21">
        <v>28348.0</v>
      </c>
      <c r="G2446" s="14">
        <f t="shared" si="1"/>
        <v>49</v>
      </c>
      <c r="H2446" s="23" t="s">
        <v>100</v>
      </c>
      <c r="I2446" s="24" t="s">
        <v>33</v>
      </c>
      <c r="J2446" s="19" t="s">
        <v>8883</v>
      </c>
      <c r="K2446" s="14">
        <v>5.0</v>
      </c>
      <c r="L2446" s="14">
        <v>0.0</v>
      </c>
      <c r="M2446" s="25"/>
      <c r="N2446" s="26" t="s">
        <v>21</v>
      </c>
      <c r="O2446" s="7"/>
      <c r="P2446" s="7"/>
      <c r="Q2446" s="7"/>
      <c r="R2446" s="7"/>
      <c r="S2446" s="7"/>
      <c r="T2446" s="7"/>
      <c r="U2446" s="7"/>
      <c r="V2446" s="7"/>
      <c r="W2446" s="7"/>
      <c r="X2446" s="7"/>
      <c r="Y2446" s="7"/>
    </row>
    <row r="2447">
      <c r="A2447" s="14" t="s">
        <v>8884</v>
      </c>
      <c r="B2447" s="17" t="s">
        <v>8885</v>
      </c>
      <c r="C2447" s="17" t="s">
        <v>8886</v>
      </c>
      <c r="D2447" s="19" t="s">
        <v>8887</v>
      </c>
      <c r="E2447" s="20" t="s">
        <v>1058</v>
      </c>
      <c r="F2447" s="21">
        <v>28190.0</v>
      </c>
      <c r="G2447" s="14">
        <f t="shared" si="1"/>
        <v>49</v>
      </c>
      <c r="H2447" s="23" t="s">
        <v>26</v>
      </c>
      <c r="I2447" s="24" t="s">
        <v>27</v>
      </c>
      <c r="J2447" s="19" t="s">
        <v>68</v>
      </c>
      <c r="K2447" s="14">
        <v>31.0</v>
      </c>
      <c r="L2447" s="14">
        <v>0.0</v>
      </c>
      <c r="M2447" s="25"/>
      <c r="N2447" s="26" t="s">
        <v>21</v>
      </c>
      <c r="O2447" s="7"/>
      <c r="P2447" s="7"/>
      <c r="Q2447" s="7"/>
      <c r="R2447" s="7"/>
      <c r="S2447" s="7"/>
      <c r="T2447" s="7"/>
      <c r="U2447" s="7"/>
      <c r="V2447" s="7"/>
      <c r="W2447" s="7"/>
      <c r="X2447" s="7"/>
      <c r="Y2447" s="7"/>
    </row>
    <row r="2448">
      <c r="A2448" s="14" t="s">
        <v>8888</v>
      </c>
      <c r="B2448" s="17" t="s">
        <v>8885</v>
      </c>
      <c r="C2448" s="17" t="s">
        <v>8889</v>
      </c>
      <c r="D2448" s="19" t="s">
        <v>8890</v>
      </c>
      <c r="E2448" s="20" t="s">
        <v>1058</v>
      </c>
      <c r="F2448" s="21">
        <v>25731.0</v>
      </c>
      <c r="G2448" s="14">
        <f t="shared" si="1"/>
        <v>56</v>
      </c>
      <c r="H2448" s="23" t="s">
        <v>26</v>
      </c>
      <c r="I2448" s="24" t="s">
        <v>33</v>
      </c>
      <c r="J2448" s="19" t="s">
        <v>68</v>
      </c>
      <c r="K2448" s="14">
        <v>31.0</v>
      </c>
      <c r="L2448" s="14">
        <v>0.0</v>
      </c>
      <c r="M2448" s="25"/>
      <c r="N2448" s="26" t="s">
        <v>21</v>
      </c>
      <c r="O2448" s="7"/>
      <c r="P2448" s="7"/>
      <c r="Q2448" s="7"/>
      <c r="R2448" s="7"/>
      <c r="S2448" s="7"/>
      <c r="T2448" s="7"/>
      <c r="U2448" s="7"/>
      <c r="V2448" s="7"/>
      <c r="W2448" s="7"/>
      <c r="X2448" s="7"/>
      <c r="Y2448" s="7"/>
    </row>
    <row r="2449">
      <c r="A2449" s="14" t="s">
        <v>8891</v>
      </c>
      <c r="B2449" s="17" t="s">
        <v>8892</v>
      </c>
      <c r="C2449" s="17" t="s">
        <v>8893</v>
      </c>
      <c r="D2449" s="19" t="s">
        <v>8894</v>
      </c>
      <c r="E2449" s="20" t="s">
        <v>104</v>
      </c>
      <c r="F2449" s="21">
        <v>35073.0</v>
      </c>
      <c r="G2449" s="14">
        <f t="shared" si="1"/>
        <v>30</v>
      </c>
      <c r="H2449" s="23" t="s">
        <v>100</v>
      </c>
      <c r="I2449" s="24" t="s">
        <v>33</v>
      </c>
      <c r="J2449" s="19" t="s">
        <v>362</v>
      </c>
      <c r="K2449" s="14">
        <v>26.0</v>
      </c>
      <c r="L2449" s="14">
        <v>0.0</v>
      </c>
      <c r="M2449" s="25"/>
      <c r="N2449" s="26" t="s">
        <v>21</v>
      </c>
      <c r="O2449" s="7"/>
      <c r="P2449" s="7"/>
      <c r="Q2449" s="7"/>
      <c r="R2449" s="7"/>
      <c r="S2449" s="7"/>
      <c r="T2449" s="7"/>
      <c r="U2449" s="7"/>
      <c r="V2449" s="7"/>
      <c r="W2449" s="7"/>
      <c r="X2449" s="7"/>
      <c r="Y2449" s="7"/>
    </row>
    <row r="2450">
      <c r="A2450" s="14" t="s">
        <v>8895</v>
      </c>
      <c r="B2450" s="17" t="s">
        <v>8892</v>
      </c>
      <c r="C2450" s="17" t="s">
        <v>8896</v>
      </c>
      <c r="D2450" s="19" t="s">
        <v>8897</v>
      </c>
      <c r="E2450" s="20" t="s">
        <v>632</v>
      </c>
      <c r="F2450" s="21">
        <v>26731.0</v>
      </c>
      <c r="G2450" s="14">
        <f t="shared" si="1"/>
        <v>53</v>
      </c>
      <c r="H2450" s="23" t="s">
        <v>26</v>
      </c>
      <c r="I2450" s="24" t="s">
        <v>27</v>
      </c>
      <c r="J2450" s="19" t="s">
        <v>362</v>
      </c>
      <c r="K2450" s="14">
        <v>26.0</v>
      </c>
      <c r="L2450" s="14">
        <v>0.0</v>
      </c>
      <c r="M2450" s="25"/>
      <c r="N2450" s="26" t="s">
        <v>21</v>
      </c>
      <c r="O2450" s="7"/>
      <c r="P2450" s="7"/>
      <c r="Q2450" s="7"/>
      <c r="R2450" s="7"/>
      <c r="S2450" s="7"/>
      <c r="T2450" s="7"/>
      <c r="U2450" s="7"/>
      <c r="V2450" s="7"/>
      <c r="W2450" s="7"/>
      <c r="X2450" s="7"/>
      <c r="Y2450" s="7"/>
    </row>
    <row r="2451">
      <c r="A2451" s="14" t="s">
        <v>8898</v>
      </c>
      <c r="B2451" s="17" t="s">
        <v>8892</v>
      </c>
      <c r="C2451" s="17" t="s">
        <v>8899</v>
      </c>
      <c r="D2451" s="19" t="s">
        <v>8900</v>
      </c>
      <c r="E2451" s="20" t="s">
        <v>632</v>
      </c>
      <c r="F2451" s="21">
        <v>24930.0</v>
      </c>
      <c r="G2451" s="14">
        <f t="shared" si="1"/>
        <v>58</v>
      </c>
      <c r="H2451" s="23" t="s">
        <v>26</v>
      </c>
      <c r="I2451" s="24" t="s">
        <v>33</v>
      </c>
      <c r="J2451" s="19" t="s">
        <v>362</v>
      </c>
      <c r="K2451" s="14">
        <v>26.0</v>
      </c>
      <c r="L2451" s="14">
        <v>0.0</v>
      </c>
      <c r="M2451" s="25"/>
      <c r="N2451" s="26" t="s">
        <v>21</v>
      </c>
      <c r="O2451" s="7"/>
      <c r="P2451" s="7"/>
      <c r="Q2451" s="7"/>
      <c r="R2451" s="7"/>
      <c r="S2451" s="7"/>
      <c r="T2451" s="7"/>
      <c r="U2451" s="7"/>
      <c r="V2451" s="7"/>
      <c r="W2451" s="7"/>
      <c r="X2451" s="7"/>
      <c r="Y2451" s="7"/>
    </row>
    <row r="2452">
      <c r="A2452" s="14" t="s">
        <v>8901</v>
      </c>
      <c r="B2452" s="17" t="s">
        <v>8892</v>
      </c>
      <c r="C2452" s="17" t="s">
        <v>8902</v>
      </c>
      <c r="D2452" s="19" t="s">
        <v>8903</v>
      </c>
      <c r="E2452" s="20" t="s">
        <v>104</v>
      </c>
      <c r="F2452" s="21">
        <v>37270.0</v>
      </c>
      <c r="G2452" s="14">
        <f t="shared" si="1"/>
        <v>24</v>
      </c>
      <c r="H2452" s="23" t="s">
        <v>100</v>
      </c>
      <c r="I2452" s="24" t="s">
        <v>27</v>
      </c>
      <c r="J2452" s="19" t="s">
        <v>362</v>
      </c>
      <c r="K2452" s="14">
        <v>26.0</v>
      </c>
      <c r="L2452" s="14">
        <v>0.0</v>
      </c>
      <c r="M2452" s="25"/>
      <c r="N2452" s="26" t="s">
        <v>21</v>
      </c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7"/>
    </row>
    <row r="2453">
      <c r="A2453" s="14" t="s">
        <v>8904</v>
      </c>
      <c r="B2453" s="17" t="s">
        <v>8905</v>
      </c>
      <c r="C2453" s="17" t="s">
        <v>8906</v>
      </c>
      <c r="D2453" s="19" t="s">
        <v>8907</v>
      </c>
      <c r="E2453" s="20" t="s">
        <v>53</v>
      </c>
      <c r="F2453" s="27">
        <v>36504.0</v>
      </c>
      <c r="G2453" s="14">
        <f t="shared" si="1"/>
        <v>26</v>
      </c>
      <c r="H2453" s="23" t="s">
        <v>100</v>
      </c>
      <c r="I2453" s="24" t="s">
        <v>33</v>
      </c>
      <c r="J2453" s="19" t="s">
        <v>362</v>
      </c>
      <c r="K2453" s="14">
        <v>24.0</v>
      </c>
      <c r="L2453" s="14">
        <v>0.0</v>
      </c>
      <c r="M2453" s="25"/>
      <c r="N2453" s="26" t="s">
        <v>21</v>
      </c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7"/>
    </row>
    <row r="2454">
      <c r="A2454" s="14" t="s">
        <v>8908</v>
      </c>
      <c r="B2454" s="17" t="s">
        <v>8905</v>
      </c>
      <c r="C2454" s="17" t="s">
        <v>8909</v>
      </c>
      <c r="D2454" s="19" t="s">
        <v>8910</v>
      </c>
      <c r="E2454" s="20" t="s">
        <v>104</v>
      </c>
      <c r="F2454" s="21">
        <v>31750.0</v>
      </c>
      <c r="G2454" s="14">
        <f t="shared" si="1"/>
        <v>39</v>
      </c>
      <c r="H2454" s="23" t="s">
        <v>100</v>
      </c>
      <c r="I2454" s="24" t="s">
        <v>33</v>
      </c>
      <c r="J2454" s="19" t="s">
        <v>362</v>
      </c>
      <c r="K2454" s="14">
        <v>24.0</v>
      </c>
      <c r="L2454" s="14">
        <v>0.0</v>
      </c>
      <c r="M2454" s="25"/>
      <c r="N2454" s="26" t="s">
        <v>21</v>
      </c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7"/>
    </row>
    <row r="2455">
      <c r="A2455" s="14" t="s">
        <v>8911</v>
      </c>
      <c r="B2455" s="17" t="s">
        <v>8905</v>
      </c>
      <c r="C2455" s="17" t="s">
        <v>8912</v>
      </c>
      <c r="D2455" s="19" t="s">
        <v>8913</v>
      </c>
      <c r="E2455" s="20" t="s">
        <v>3587</v>
      </c>
      <c r="F2455" s="21">
        <v>20181.0</v>
      </c>
      <c r="G2455" s="14">
        <f t="shared" si="1"/>
        <v>71</v>
      </c>
      <c r="H2455" s="23" t="s">
        <v>26</v>
      </c>
      <c r="I2455" s="24" t="s">
        <v>33</v>
      </c>
      <c r="J2455" s="19" t="s">
        <v>362</v>
      </c>
      <c r="K2455" s="14">
        <v>24.0</v>
      </c>
      <c r="L2455" s="14">
        <v>0.0</v>
      </c>
      <c r="M2455" s="25"/>
      <c r="N2455" s="26" t="s">
        <v>21</v>
      </c>
      <c r="O2455" s="7"/>
      <c r="P2455" s="7"/>
      <c r="Q2455" s="7"/>
      <c r="R2455" s="7"/>
      <c r="S2455" s="7"/>
      <c r="T2455" s="7"/>
      <c r="U2455" s="7"/>
      <c r="V2455" s="7"/>
      <c r="W2455" s="7"/>
      <c r="X2455" s="7"/>
      <c r="Y2455" s="7"/>
    </row>
    <row r="2456">
      <c r="A2456" s="14" t="s">
        <v>8914</v>
      </c>
      <c r="B2456" s="17" t="s">
        <v>8905</v>
      </c>
      <c r="C2456" s="17" t="s">
        <v>8915</v>
      </c>
      <c r="D2456" s="19" t="s">
        <v>8916</v>
      </c>
      <c r="E2456" s="20" t="s">
        <v>2505</v>
      </c>
      <c r="F2456" s="21">
        <v>22690.0</v>
      </c>
      <c r="G2456" s="14">
        <f t="shared" si="1"/>
        <v>64</v>
      </c>
      <c r="H2456" s="23" t="s">
        <v>26</v>
      </c>
      <c r="I2456" s="24" t="s">
        <v>27</v>
      </c>
      <c r="J2456" s="19" t="s">
        <v>362</v>
      </c>
      <c r="K2456" s="14">
        <v>24.0</v>
      </c>
      <c r="L2456" s="14">
        <v>0.0</v>
      </c>
      <c r="M2456" s="25"/>
      <c r="N2456" s="26" t="s">
        <v>21</v>
      </c>
      <c r="O2456" s="7"/>
      <c r="P2456" s="7"/>
      <c r="Q2456" s="7"/>
      <c r="R2456" s="7"/>
      <c r="S2456" s="7"/>
      <c r="T2456" s="7"/>
      <c r="U2456" s="7"/>
      <c r="V2456" s="7"/>
      <c r="W2456" s="7"/>
      <c r="X2456" s="7"/>
      <c r="Y2456" s="7"/>
    </row>
    <row r="2457">
      <c r="A2457" s="14" t="s">
        <v>8917</v>
      </c>
      <c r="B2457" s="17" t="s">
        <v>8918</v>
      </c>
      <c r="C2457" s="17" t="s">
        <v>8919</v>
      </c>
      <c r="D2457" s="19" t="s">
        <v>8920</v>
      </c>
      <c r="E2457" s="20" t="s">
        <v>434</v>
      </c>
      <c r="F2457" s="27">
        <v>15638.0</v>
      </c>
      <c r="G2457" s="14">
        <f t="shared" si="1"/>
        <v>84</v>
      </c>
      <c r="H2457" s="23" t="s">
        <v>26</v>
      </c>
      <c r="I2457" s="24" t="s">
        <v>33</v>
      </c>
      <c r="J2457" s="19" t="s">
        <v>146</v>
      </c>
      <c r="K2457" s="14">
        <v>8.0</v>
      </c>
      <c r="L2457" s="14">
        <v>0.0</v>
      </c>
      <c r="M2457" s="25"/>
      <c r="N2457" s="26" t="s">
        <v>21</v>
      </c>
      <c r="O2457" s="7"/>
      <c r="P2457" s="7"/>
      <c r="Q2457" s="7"/>
      <c r="R2457" s="7"/>
      <c r="S2457" s="7"/>
      <c r="T2457" s="7"/>
      <c r="U2457" s="7"/>
      <c r="V2457" s="7"/>
      <c r="W2457" s="7"/>
      <c r="X2457" s="7"/>
      <c r="Y2457" s="7"/>
    </row>
    <row r="2458">
      <c r="A2458" s="14" t="s">
        <v>8921</v>
      </c>
      <c r="B2458" s="17" t="s">
        <v>8922</v>
      </c>
      <c r="C2458" s="17" t="s">
        <v>8923</v>
      </c>
      <c r="D2458" s="19" t="s">
        <v>3756</v>
      </c>
      <c r="E2458" s="20" t="s">
        <v>1058</v>
      </c>
      <c r="F2458" s="21">
        <v>26299.0</v>
      </c>
      <c r="G2458" s="14">
        <f t="shared" si="1"/>
        <v>54</v>
      </c>
      <c r="H2458" s="23" t="s">
        <v>26</v>
      </c>
      <c r="I2458" s="24" t="s">
        <v>33</v>
      </c>
      <c r="J2458" s="19" t="s">
        <v>156</v>
      </c>
      <c r="K2458" s="14">
        <v>31.0</v>
      </c>
      <c r="L2458" s="14">
        <v>0.0</v>
      </c>
      <c r="M2458" s="25"/>
      <c r="N2458" s="26" t="s">
        <v>21</v>
      </c>
      <c r="O2458" s="7"/>
      <c r="P2458" s="7"/>
      <c r="Q2458" s="7"/>
      <c r="R2458" s="7"/>
      <c r="S2458" s="7"/>
      <c r="T2458" s="7"/>
      <c r="U2458" s="7"/>
      <c r="V2458" s="7"/>
      <c r="W2458" s="7"/>
      <c r="X2458" s="7"/>
      <c r="Y2458" s="7"/>
    </row>
    <row r="2459">
      <c r="A2459" s="14" t="s">
        <v>8924</v>
      </c>
      <c r="B2459" s="17" t="s">
        <v>8922</v>
      </c>
      <c r="C2459" s="17" t="s">
        <v>8925</v>
      </c>
      <c r="D2459" s="19" t="s">
        <v>8926</v>
      </c>
      <c r="E2459" s="20" t="s">
        <v>8927</v>
      </c>
      <c r="F2459" s="21">
        <v>27892.0</v>
      </c>
      <c r="G2459" s="14">
        <f t="shared" si="1"/>
        <v>50</v>
      </c>
      <c r="H2459" s="23" t="s">
        <v>26</v>
      </c>
      <c r="I2459" s="24" t="s">
        <v>27</v>
      </c>
      <c r="J2459" s="19" t="s">
        <v>156</v>
      </c>
      <c r="K2459" s="14">
        <v>31.0</v>
      </c>
      <c r="L2459" s="14">
        <v>0.0</v>
      </c>
      <c r="M2459" s="25"/>
      <c r="N2459" s="26" t="s">
        <v>21</v>
      </c>
      <c r="O2459" s="7"/>
      <c r="P2459" s="7"/>
      <c r="Q2459" s="7"/>
      <c r="R2459" s="7"/>
      <c r="S2459" s="7"/>
      <c r="T2459" s="7"/>
      <c r="U2459" s="7"/>
      <c r="V2459" s="7"/>
      <c r="W2459" s="7"/>
      <c r="X2459" s="7"/>
      <c r="Y2459" s="7"/>
    </row>
    <row r="2460">
      <c r="A2460" s="14" t="s">
        <v>8928</v>
      </c>
      <c r="B2460" s="17" t="s">
        <v>8929</v>
      </c>
      <c r="C2460" s="17" t="s">
        <v>8930</v>
      </c>
      <c r="D2460" s="19" t="s">
        <v>8931</v>
      </c>
      <c r="E2460" s="20" t="s">
        <v>5208</v>
      </c>
      <c r="F2460" s="21">
        <v>31360.0</v>
      </c>
      <c r="G2460" s="14">
        <f t="shared" si="1"/>
        <v>40</v>
      </c>
      <c r="H2460" s="23" t="s">
        <v>26</v>
      </c>
      <c r="I2460" s="24" t="s">
        <v>27</v>
      </c>
      <c r="J2460" s="19" t="s">
        <v>156</v>
      </c>
      <c r="K2460" s="14">
        <v>31.0</v>
      </c>
      <c r="L2460" s="14">
        <v>0.0</v>
      </c>
      <c r="M2460" s="25"/>
      <c r="N2460" s="26" t="s">
        <v>21</v>
      </c>
      <c r="O2460" s="7"/>
      <c r="P2460" s="7"/>
      <c r="Q2460" s="7"/>
      <c r="R2460" s="7"/>
      <c r="S2460" s="7"/>
      <c r="T2460" s="7"/>
      <c r="U2460" s="7"/>
      <c r="V2460" s="7"/>
      <c r="W2460" s="7"/>
      <c r="X2460" s="7"/>
      <c r="Y2460" s="7"/>
    </row>
    <row r="2461">
      <c r="A2461" s="14" t="s">
        <v>8932</v>
      </c>
      <c r="B2461" s="17" t="s">
        <v>8929</v>
      </c>
      <c r="C2461" s="17" t="s">
        <v>8933</v>
      </c>
      <c r="D2461" s="19" t="s">
        <v>8934</v>
      </c>
      <c r="E2461" s="20" t="s">
        <v>274</v>
      </c>
      <c r="F2461" s="21">
        <v>29772.0</v>
      </c>
      <c r="G2461" s="14">
        <f t="shared" si="1"/>
        <v>45</v>
      </c>
      <c r="H2461" s="23" t="s">
        <v>26</v>
      </c>
      <c r="I2461" s="24" t="s">
        <v>33</v>
      </c>
      <c r="J2461" s="19" t="s">
        <v>156</v>
      </c>
      <c r="K2461" s="14">
        <v>31.0</v>
      </c>
      <c r="L2461" s="14">
        <v>0.0</v>
      </c>
      <c r="M2461" s="25"/>
      <c r="N2461" s="26" t="s">
        <v>21</v>
      </c>
      <c r="O2461" s="7"/>
      <c r="P2461" s="7"/>
      <c r="Q2461" s="7"/>
      <c r="R2461" s="7"/>
      <c r="S2461" s="7"/>
      <c r="T2461" s="7"/>
      <c r="U2461" s="7"/>
      <c r="V2461" s="7"/>
      <c r="W2461" s="7"/>
      <c r="X2461" s="7"/>
      <c r="Y2461" s="7"/>
    </row>
    <row r="2462">
      <c r="A2462" s="14" t="s">
        <v>8935</v>
      </c>
      <c r="B2462" s="17" t="s">
        <v>8936</v>
      </c>
      <c r="C2462" s="17" t="s">
        <v>8937</v>
      </c>
      <c r="D2462" s="19" t="s">
        <v>10255</v>
      </c>
      <c r="E2462" s="20" t="s">
        <v>104</v>
      </c>
      <c r="F2462" s="21">
        <v>33082.0</v>
      </c>
      <c r="G2462" s="14">
        <f t="shared" si="1"/>
        <v>36</v>
      </c>
      <c r="H2462" s="23" t="s">
        <v>100</v>
      </c>
      <c r="I2462" s="24" t="s">
        <v>33</v>
      </c>
      <c r="J2462" s="19" t="s">
        <v>146</v>
      </c>
      <c r="K2462" s="14">
        <v>36.0</v>
      </c>
      <c r="L2462" s="14">
        <v>0.0</v>
      </c>
      <c r="M2462" s="25"/>
      <c r="N2462" s="26" t="s">
        <v>21</v>
      </c>
      <c r="O2462" s="7"/>
      <c r="P2462" s="7"/>
      <c r="Q2462" s="7"/>
      <c r="R2462" s="7"/>
      <c r="S2462" s="7"/>
      <c r="T2462" s="7"/>
      <c r="U2462" s="7"/>
      <c r="V2462" s="7"/>
      <c r="W2462" s="7"/>
      <c r="X2462" s="7"/>
      <c r="Y2462" s="7"/>
    </row>
    <row r="2463">
      <c r="A2463" s="14" t="s">
        <v>8939</v>
      </c>
      <c r="B2463" s="17" t="s">
        <v>8940</v>
      </c>
      <c r="C2463" s="17" t="s">
        <v>8941</v>
      </c>
      <c r="D2463" s="19" t="s">
        <v>8942</v>
      </c>
      <c r="E2463" s="20" t="s">
        <v>104</v>
      </c>
      <c r="F2463" s="21">
        <v>36690.0</v>
      </c>
      <c r="G2463" s="14">
        <f t="shared" si="1"/>
        <v>26</v>
      </c>
      <c r="H2463" s="23" t="s">
        <v>26</v>
      </c>
      <c r="I2463" s="24" t="s">
        <v>33</v>
      </c>
      <c r="J2463" s="19" t="s">
        <v>146</v>
      </c>
      <c r="K2463" s="14">
        <v>2.0</v>
      </c>
      <c r="L2463" s="14">
        <v>5.0</v>
      </c>
      <c r="M2463" s="25"/>
      <c r="N2463" s="26" t="s">
        <v>21</v>
      </c>
      <c r="O2463" s="7"/>
      <c r="P2463" s="7"/>
      <c r="Q2463" s="7"/>
      <c r="R2463" s="7"/>
      <c r="S2463" s="7"/>
      <c r="T2463" s="7"/>
      <c r="U2463" s="7"/>
      <c r="V2463" s="7"/>
      <c r="W2463" s="7"/>
      <c r="X2463" s="7"/>
      <c r="Y2463" s="7"/>
    </row>
    <row r="2464">
      <c r="A2464" s="14" t="s">
        <v>8943</v>
      </c>
      <c r="B2464" s="17" t="s">
        <v>8940</v>
      </c>
      <c r="C2464" s="17" t="s">
        <v>8944</v>
      </c>
      <c r="D2464" s="19" t="s">
        <v>8945</v>
      </c>
      <c r="E2464" s="20" t="s">
        <v>104</v>
      </c>
      <c r="F2464" s="21">
        <v>37464.0</v>
      </c>
      <c r="G2464" s="14">
        <f t="shared" si="1"/>
        <v>24</v>
      </c>
      <c r="H2464" s="23" t="s">
        <v>26</v>
      </c>
      <c r="I2464" s="24" t="s">
        <v>27</v>
      </c>
      <c r="J2464" s="19" t="s">
        <v>146</v>
      </c>
      <c r="K2464" s="14">
        <v>2.0</v>
      </c>
      <c r="L2464" s="14">
        <v>0.0</v>
      </c>
      <c r="M2464" s="25"/>
      <c r="N2464" s="26" t="s">
        <v>21</v>
      </c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7"/>
    </row>
    <row r="2465">
      <c r="A2465" s="14" t="s">
        <v>8946</v>
      </c>
      <c r="B2465" s="17" t="s">
        <v>8947</v>
      </c>
      <c r="C2465" s="17" t="s">
        <v>8948</v>
      </c>
      <c r="D2465" s="19" t="s">
        <v>1471</v>
      </c>
      <c r="E2465" s="20" t="s">
        <v>880</v>
      </c>
      <c r="F2465" s="27">
        <v>27009.0</v>
      </c>
      <c r="G2465" s="14">
        <f t="shared" si="1"/>
        <v>52</v>
      </c>
      <c r="H2465" s="23" t="s">
        <v>27</v>
      </c>
      <c r="I2465" s="24" t="s">
        <v>33</v>
      </c>
      <c r="J2465" s="19" t="s">
        <v>6555</v>
      </c>
      <c r="K2465" s="14">
        <v>9.0</v>
      </c>
      <c r="L2465" s="14">
        <v>0.0</v>
      </c>
      <c r="M2465" s="25"/>
      <c r="N2465" s="26" t="s">
        <v>21</v>
      </c>
      <c r="O2465" s="7"/>
      <c r="P2465" s="7"/>
      <c r="Q2465" s="7"/>
      <c r="R2465" s="7"/>
      <c r="S2465" s="7"/>
      <c r="T2465" s="7"/>
      <c r="U2465" s="7"/>
      <c r="V2465" s="7"/>
      <c r="W2465" s="7"/>
      <c r="X2465" s="7"/>
      <c r="Y2465" s="7"/>
    </row>
    <row r="2466">
      <c r="A2466" s="14" t="s">
        <v>8949</v>
      </c>
      <c r="B2466" s="17" t="s">
        <v>8950</v>
      </c>
      <c r="C2466" s="17" t="s">
        <v>8951</v>
      </c>
      <c r="D2466" s="19" t="s">
        <v>8952</v>
      </c>
      <c r="E2466" s="20" t="s">
        <v>632</v>
      </c>
      <c r="F2466" s="21">
        <v>22109.0</v>
      </c>
      <c r="G2466" s="14">
        <f t="shared" si="1"/>
        <v>66</v>
      </c>
      <c r="H2466" s="23" t="s">
        <v>26</v>
      </c>
      <c r="I2466" s="24" t="s">
        <v>33</v>
      </c>
      <c r="J2466" s="19" t="s">
        <v>53</v>
      </c>
      <c r="K2466" s="14">
        <v>10.0</v>
      </c>
      <c r="L2466" s="14">
        <v>0.0</v>
      </c>
      <c r="M2466" s="25"/>
      <c r="N2466" s="26" t="s">
        <v>21</v>
      </c>
      <c r="O2466" s="7"/>
      <c r="P2466" s="7"/>
      <c r="Q2466" s="7"/>
      <c r="R2466" s="7"/>
      <c r="S2466" s="7"/>
      <c r="T2466" s="7"/>
      <c r="U2466" s="7"/>
      <c r="V2466" s="7"/>
      <c r="W2466" s="7"/>
      <c r="X2466" s="7"/>
      <c r="Y2466" s="7"/>
    </row>
    <row r="2467">
      <c r="A2467" s="14" t="s">
        <v>8953</v>
      </c>
      <c r="B2467" s="17" t="s">
        <v>8950</v>
      </c>
      <c r="C2467" s="17" t="s">
        <v>8954</v>
      </c>
      <c r="D2467" s="19" t="s">
        <v>8955</v>
      </c>
      <c r="E2467" s="20" t="s">
        <v>632</v>
      </c>
      <c r="F2467" s="21">
        <v>24677.0</v>
      </c>
      <c r="G2467" s="14">
        <f t="shared" si="1"/>
        <v>59</v>
      </c>
      <c r="H2467" s="23" t="s">
        <v>26</v>
      </c>
      <c r="I2467" s="24" t="s">
        <v>27</v>
      </c>
      <c r="J2467" s="19" t="s">
        <v>53</v>
      </c>
      <c r="K2467" s="14">
        <v>10.0</v>
      </c>
      <c r="L2467" s="14">
        <v>0.0</v>
      </c>
      <c r="M2467" s="25"/>
      <c r="N2467" s="26" t="s">
        <v>21</v>
      </c>
      <c r="O2467" s="7"/>
      <c r="P2467" s="7"/>
      <c r="Q2467" s="7"/>
      <c r="R2467" s="7"/>
      <c r="S2467" s="7"/>
      <c r="T2467" s="7"/>
      <c r="U2467" s="7"/>
      <c r="V2467" s="7"/>
      <c r="W2467" s="7"/>
      <c r="X2467" s="7"/>
      <c r="Y2467" s="7"/>
    </row>
    <row r="2468">
      <c r="A2468" s="14" t="s">
        <v>8956</v>
      </c>
      <c r="B2468" s="17" t="s">
        <v>8957</v>
      </c>
      <c r="C2468" s="17" t="s">
        <v>8958</v>
      </c>
      <c r="D2468" s="19" t="s">
        <v>8959</v>
      </c>
      <c r="E2468" s="20" t="s">
        <v>112</v>
      </c>
      <c r="F2468" s="21">
        <v>23923.0</v>
      </c>
      <c r="G2468" s="14">
        <f t="shared" si="1"/>
        <v>61</v>
      </c>
      <c r="H2468" s="23" t="s">
        <v>26</v>
      </c>
      <c r="I2468" s="24" t="s">
        <v>33</v>
      </c>
      <c r="J2468" s="19" t="s">
        <v>282</v>
      </c>
      <c r="K2468" s="14">
        <v>13.0</v>
      </c>
      <c r="L2468" s="14">
        <v>0.0</v>
      </c>
      <c r="M2468" s="25"/>
      <c r="N2468" s="26" t="s">
        <v>21</v>
      </c>
      <c r="O2468" s="7"/>
      <c r="P2468" s="7"/>
      <c r="Q2468" s="7"/>
      <c r="R2468" s="7"/>
      <c r="S2468" s="7"/>
      <c r="T2468" s="7"/>
      <c r="U2468" s="7"/>
      <c r="V2468" s="7"/>
      <c r="W2468" s="7"/>
      <c r="X2468" s="7"/>
      <c r="Y2468" s="7"/>
    </row>
    <row r="2469">
      <c r="A2469" s="14" t="s">
        <v>8960</v>
      </c>
      <c r="B2469" s="17" t="s">
        <v>8957</v>
      </c>
      <c r="C2469" s="17" t="s">
        <v>8961</v>
      </c>
      <c r="D2469" s="19" t="s">
        <v>8962</v>
      </c>
      <c r="E2469" s="20" t="s">
        <v>2038</v>
      </c>
      <c r="F2469" s="27">
        <v>37225.0</v>
      </c>
      <c r="G2469" s="14">
        <f t="shared" si="1"/>
        <v>24</v>
      </c>
      <c r="H2469" s="23" t="s">
        <v>100</v>
      </c>
      <c r="I2469" s="24" t="s">
        <v>33</v>
      </c>
      <c r="J2469" s="19" t="s">
        <v>282</v>
      </c>
      <c r="K2469" s="14">
        <v>13.0</v>
      </c>
      <c r="L2469" s="14">
        <v>0.0</v>
      </c>
      <c r="M2469" s="25"/>
      <c r="N2469" s="26" t="s">
        <v>21</v>
      </c>
      <c r="O2469" s="7"/>
      <c r="P2469" s="7"/>
      <c r="Q2469" s="7"/>
      <c r="R2469" s="7"/>
      <c r="S2469" s="7"/>
      <c r="T2469" s="7"/>
      <c r="U2469" s="7"/>
      <c r="V2469" s="7"/>
      <c r="W2469" s="7"/>
      <c r="X2469" s="7"/>
      <c r="Y2469" s="7"/>
    </row>
    <row r="2470">
      <c r="A2470" s="14" t="s">
        <v>8963</v>
      </c>
      <c r="B2470" s="17" t="s">
        <v>8957</v>
      </c>
      <c r="C2470" s="17" t="s">
        <v>8964</v>
      </c>
      <c r="D2470" s="19" t="s">
        <v>8965</v>
      </c>
      <c r="E2470" s="20" t="s">
        <v>112</v>
      </c>
      <c r="F2470" s="21">
        <v>24288.0</v>
      </c>
      <c r="G2470" s="14">
        <f t="shared" si="1"/>
        <v>60</v>
      </c>
      <c r="H2470" s="23" t="s">
        <v>26</v>
      </c>
      <c r="I2470" s="24" t="s">
        <v>27</v>
      </c>
      <c r="J2470" s="19" t="s">
        <v>282</v>
      </c>
      <c r="K2470" s="14">
        <v>13.0</v>
      </c>
      <c r="L2470" s="14">
        <v>0.0</v>
      </c>
      <c r="M2470" s="25"/>
      <c r="N2470" s="26" t="s">
        <v>21</v>
      </c>
      <c r="O2470" s="7"/>
      <c r="P2470" s="7"/>
      <c r="Q2470" s="7"/>
      <c r="R2470" s="7"/>
      <c r="S2470" s="7"/>
      <c r="T2470" s="7"/>
      <c r="U2470" s="7"/>
      <c r="V2470" s="7"/>
      <c r="W2470" s="7"/>
      <c r="X2470" s="7"/>
      <c r="Y2470" s="7"/>
    </row>
    <row r="2471">
      <c r="A2471" s="14" t="s">
        <v>8966</v>
      </c>
      <c r="B2471" s="17" t="s">
        <v>8967</v>
      </c>
      <c r="C2471" s="17" t="s">
        <v>8968</v>
      </c>
      <c r="D2471" s="19" t="s">
        <v>8969</v>
      </c>
      <c r="E2471" s="20" t="s">
        <v>104</v>
      </c>
      <c r="F2471" s="21">
        <v>34341.0</v>
      </c>
      <c r="G2471" s="14">
        <f t="shared" si="1"/>
        <v>32</v>
      </c>
      <c r="H2471" s="23" t="s">
        <v>26</v>
      </c>
      <c r="I2471" s="24" t="s">
        <v>27</v>
      </c>
      <c r="J2471" s="19" t="s">
        <v>328</v>
      </c>
      <c r="K2471" s="14">
        <v>26.0</v>
      </c>
      <c r="L2471" s="14">
        <v>0.0</v>
      </c>
      <c r="M2471" s="25"/>
      <c r="N2471" s="26" t="s">
        <v>21</v>
      </c>
      <c r="O2471" s="7"/>
      <c r="P2471" s="7"/>
      <c r="Q2471" s="7"/>
      <c r="R2471" s="7"/>
      <c r="S2471" s="7"/>
      <c r="T2471" s="7"/>
      <c r="U2471" s="7"/>
      <c r="V2471" s="7"/>
      <c r="W2471" s="7"/>
      <c r="X2471" s="7"/>
      <c r="Y2471" s="7"/>
    </row>
    <row r="2472">
      <c r="A2472" s="14" t="s">
        <v>8970</v>
      </c>
      <c r="B2472" s="17" t="s">
        <v>8967</v>
      </c>
      <c r="C2472" s="17" t="s">
        <v>8971</v>
      </c>
      <c r="D2472" s="19" t="s">
        <v>8972</v>
      </c>
      <c r="E2472" s="20" t="s">
        <v>53</v>
      </c>
      <c r="F2472" s="21">
        <v>33389.0</v>
      </c>
      <c r="G2472" s="14">
        <f t="shared" si="1"/>
        <v>35</v>
      </c>
      <c r="H2472" s="23" t="s">
        <v>26</v>
      </c>
      <c r="I2472" s="24" t="s">
        <v>33</v>
      </c>
      <c r="J2472" s="19" t="s">
        <v>328</v>
      </c>
      <c r="K2472" s="14">
        <v>26.0</v>
      </c>
      <c r="L2472" s="14">
        <v>0.0</v>
      </c>
      <c r="M2472" s="25"/>
      <c r="N2472" s="26" t="s">
        <v>21</v>
      </c>
      <c r="O2472" s="7"/>
      <c r="P2472" s="7"/>
      <c r="Q2472" s="7"/>
      <c r="R2472" s="7"/>
      <c r="S2472" s="7"/>
      <c r="T2472" s="7"/>
      <c r="U2472" s="7"/>
      <c r="V2472" s="7"/>
      <c r="W2472" s="7"/>
      <c r="X2472" s="7"/>
      <c r="Y2472" s="7"/>
    </row>
    <row r="2473">
      <c r="A2473" s="14" t="s">
        <v>8973</v>
      </c>
      <c r="B2473" s="17" t="s">
        <v>8974</v>
      </c>
      <c r="C2473" s="17" t="s">
        <v>8975</v>
      </c>
      <c r="D2473" s="19" t="s">
        <v>8976</v>
      </c>
      <c r="E2473" s="20" t="s">
        <v>736</v>
      </c>
      <c r="F2473" s="21">
        <v>35335.0</v>
      </c>
      <c r="G2473" s="14">
        <f t="shared" si="1"/>
        <v>30</v>
      </c>
      <c r="H2473" s="23" t="s">
        <v>26</v>
      </c>
      <c r="I2473" s="24" t="s">
        <v>27</v>
      </c>
      <c r="J2473" s="19" t="s">
        <v>156</v>
      </c>
      <c r="K2473" s="14">
        <v>31.0</v>
      </c>
      <c r="L2473" s="14">
        <v>0.0</v>
      </c>
      <c r="M2473" s="25"/>
      <c r="N2473" s="26" t="s">
        <v>21</v>
      </c>
      <c r="O2473" s="7"/>
      <c r="P2473" s="7"/>
      <c r="Q2473" s="7"/>
      <c r="R2473" s="7"/>
      <c r="S2473" s="7"/>
      <c r="T2473" s="7"/>
      <c r="U2473" s="7"/>
      <c r="V2473" s="7"/>
      <c r="W2473" s="7"/>
      <c r="X2473" s="7"/>
      <c r="Y2473" s="7"/>
    </row>
    <row r="2474">
      <c r="A2474" s="14" t="s">
        <v>8977</v>
      </c>
      <c r="B2474" s="17" t="s">
        <v>8974</v>
      </c>
      <c r="C2474" s="17" t="s">
        <v>8978</v>
      </c>
      <c r="D2474" s="19" t="s">
        <v>8979</v>
      </c>
      <c r="E2474" s="20" t="s">
        <v>337</v>
      </c>
      <c r="F2474" s="21">
        <v>35534.0</v>
      </c>
      <c r="G2474" s="14">
        <f t="shared" si="1"/>
        <v>29</v>
      </c>
      <c r="H2474" s="23" t="s">
        <v>26</v>
      </c>
      <c r="I2474" s="24" t="s">
        <v>33</v>
      </c>
      <c r="J2474" s="19" t="s">
        <v>156</v>
      </c>
      <c r="K2474" s="14">
        <v>31.0</v>
      </c>
      <c r="L2474" s="14">
        <v>0.0</v>
      </c>
      <c r="M2474" s="25"/>
      <c r="N2474" s="26" t="s">
        <v>21</v>
      </c>
      <c r="O2474" s="7"/>
      <c r="P2474" s="7"/>
      <c r="Q2474" s="7"/>
      <c r="R2474" s="7"/>
      <c r="S2474" s="7"/>
      <c r="T2474" s="7"/>
      <c r="U2474" s="7"/>
      <c r="V2474" s="7"/>
      <c r="W2474" s="7"/>
      <c r="X2474" s="7"/>
      <c r="Y2474" s="7"/>
    </row>
    <row r="2475">
      <c r="A2475" s="14" t="s">
        <v>8980</v>
      </c>
      <c r="B2475" s="17" t="s">
        <v>8981</v>
      </c>
      <c r="C2475" s="17" t="s">
        <v>8982</v>
      </c>
      <c r="D2475" s="19" t="s">
        <v>8983</v>
      </c>
      <c r="E2475" s="20" t="s">
        <v>53</v>
      </c>
      <c r="F2475" s="21">
        <v>30047.0</v>
      </c>
      <c r="G2475" s="14">
        <f t="shared" si="1"/>
        <v>44</v>
      </c>
      <c r="H2475" s="23" t="s">
        <v>26</v>
      </c>
      <c r="I2475" s="24" t="s">
        <v>33</v>
      </c>
      <c r="J2475" s="19" t="s">
        <v>68</v>
      </c>
      <c r="K2475" s="14">
        <v>34.0</v>
      </c>
      <c r="L2475" s="14">
        <v>0.0</v>
      </c>
      <c r="M2475" s="25"/>
      <c r="N2475" s="26" t="s">
        <v>21</v>
      </c>
      <c r="O2475" s="7"/>
      <c r="P2475" s="7"/>
      <c r="Q2475" s="7"/>
      <c r="R2475" s="7"/>
      <c r="S2475" s="7"/>
      <c r="T2475" s="7"/>
      <c r="U2475" s="7"/>
      <c r="V2475" s="7"/>
      <c r="W2475" s="7"/>
      <c r="X2475" s="7"/>
      <c r="Y2475" s="7"/>
    </row>
    <row r="2476">
      <c r="A2476" s="14" t="s">
        <v>8984</v>
      </c>
      <c r="B2476" s="17" t="s">
        <v>8981</v>
      </c>
      <c r="C2476" s="17" t="s">
        <v>8985</v>
      </c>
      <c r="D2476" s="19" t="s">
        <v>8986</v>
      </c>
      <c r="E2476" s="20" t="s">
        <v>53</v>
      </c>
      <c r="F2476" s="21">
        <v>37841.0</v>
      </c>
      <c r="G2476" s="14">
        <f t="shared" si="1"/>
        <v>23</v>
      </c>
      <c r="H2476" s="23" t="s">
        <v>100</v>
      </c>
      <c r="I2476" s="24" t="s">
        <v>27</v>
      </c>
      <c r="J2476" s="19" t="s">
        <v>68</v>
      </c>
      <c r="K2476" s="14">
        <v>34.0</v>
      </c>
      <c r="L2476" s="14">
        <v>0.0</v>
      </c>
      <c r="M2476" s="25"/>
      <c r="N2476" s="26" t="s">
        <v>21</v>
      </c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</row>
    <row r="2477">
      <c r="A2477" s="14" t="s">
        <v>8987</v>
      </c>
      <c r="B2477" s="17" t="s">
        <v>8988</v>
      </c>
      <c r="C2477" s="17" t="s">
        <v>8989</v>
      </c>
      <c r="D2477" s="19" t="s">
        <v>8990</v>
      </c>
      <c r="E2477" s="20" t="s">
        <v>104</v>
      </c>
      <c r="F2477" s="21">
        <v>32240.0</v>
      </c>
      <c r="G2477" s="14">
        <f t="shared" si="1"/>
        <v>38</v>
      </c>
      <c r="H2477" s="23" t="s">
        <v>26</v>
      </c>
      <c r="I2477" s="24" t="s">
        <v>33</v>
      </c>
      <c r="J2477" s="19" t="s">
        <v>726</v>
      </c>
      <c r="K2477" s="14">
        <v>12.0</v>
      </c>
      <c r="L2477" s="14">
        <v>0.0</v>
      </c>
      <c r="M2477" s="25"/>
      <c r="N2477" s="26" t="s">
        <v>21</v>
      </c>
      <c r="O2477" s="7"/>
      <c r="P2477" s="7"/>
      <c r="Q2477" s="7"/>
      <c r="R2477" s="7"/>
      <c r="S2477" s="7"/>
      <c r="T2477" s="7"/>
      <c r="U2477" s="7"/>
      <c r="V2477" s="7"/>
      <c r="W2477" s="7"/>
      <c r="X2477" s="7"/>
      <c r="Y2477" s="7"/>
    </row>
    <row r="2478">
      <c r="A2478" s="14" t="s">
        <v>8991</v>
      </c>
      <c r="B2478" s="17" t="s">
        <v>8988</v>
      </c>
      <c r="C2478" s="17" t="s">
        <v>8992</v>
      </c>
      <c r="D2478" s="19" t="s">
        <v>8993</v>
      </c>
      <c r="E2478" s="20" t="s">
        <v>67</v>
      </c>
      <c r="F2478" s="21">
        <v>31254.0</v>
      </c>
      <c r="G2478" s="14">
        <f t="shared" si="1"/>
        <v>41</v>
      </c>
      <c r="H2478" s="23" t="s">
        <v>26</v>
      </c>
      <c r="I2478" s="24" t="s">
        <v>27</v>
      </c>
      <c r="J2478" s="19" t="s">
        <v>726</v>
      </c>
      <c r="K2478" s="14">
        <v>12.0</v>
      </c>
      <c r="L2478" s="14">
        <v>0.0</v>
      </c>
      <c r="M2478" s="25"/>
      <c r="N2478" s="26" t="s">
        <v>21</v>
      </c>
      <c r="O2478" s="7"/>
      <c r="P2478" s="7"/>
      <c r="Q2478" s="7"/>
      <c r="R2478" s="7"/>
      <c r="S2478" s="7"/>
      <c r="T2478" s="7"/>
      <c r="U2478" s="7"/>
      <c r="V2478" s="7"/>
      <c r="W2478" s="7"/>
      <c r="X2478" s="7"/>
      <c r="Y2478" s="7"/>
    </row>
    <row r="2479">
      <c r="A2479" s="14" t="s">
        <v>8994</v>
      </c>
      <c r="B2479" s="17" t="s">
        <v>8995</v>
      </c>
      <c r="C2479" s="17" t="s">
        <v>8996</v>
      </c>
      <c r="D2479" s="19" t="s">
        <v>8997</v>
      </c>
      <c r="E2479" s="20" t="s">
        <v>6801</v>
      </c>
      <c r="F2479" s="21">
        <v>21043.0</v>
      </c>
      <c r="G2479" s="14">
        <f t="shared" si="1"/>
        <v>69</v>
      </c>
      <c r="H2479" s="23" t="s">
        <v>26</v>
      </c>
      <c r="I2479" s="24" t="s">
        <v>33</v>
      </c>
      <c r="J2479" s="19" t="s">
        <v>6797</v>
      </c>
      <c r="K2479" s="14">
        <v>8.0</v>
      </c>
      <c r="L2479" s="14">
        <v>1.0</v>
      </c>
      <c r="M2479" s="25"/>
      <c r="N2479" s="26" t="s">
        <v>21</v>
      </c>
      <c r="O2479" s="7"/>
      <c r="P2479" s="7"/>
      <c r="Q2479" s="7"/>
      <c r="R2479" s="7"/>
      <c r="S2479" s="7"/>
      <c r="T2479" s="7"/>
      <c r="U2479" s="7"/>
      <c r="V2479" s="7"/>
      <c r="W2479" s="7"/>
      <c r="X2479" s="7"/>
      <c r="Y2479" s="7"/>
    </row>
    <row r="2480">
      <c r="A2480" s="14" t="s">
        <v>8998</v>
      </c>
      <c r="B2480" s="17" t="s">
        <v>8999</v>
      </c>
      <c r="C2480" s="17" t="s">
        <v>9000</v>
      </c>
      <c r="D2480" s="19" t="s">
        <v>9001</v>
      </c>
      <c r="E2480" s="20" t="s">
        <v>654</v>
      </c>
      <c r="F2480" s="27">
        <v>25927.0</v>
      </c>
      <c r="G2480" s="14">
        <f t="shared" si="1"/>
        <v>55</v>
      </c>
      <c r="H2480" s="23" t="s">
        <v>26</v>
      </c>
      <c r="I2480" s="24" t="s">
        <v>27</v>
      </c>
      <c r="J2480" s="19" t="s">
        <v>726</v>
      </c>
      <c r="K2480" s="14">
        <v>11.0</v>
      </c>
      <c r="L2480" s="14">
        <v>0.0</v>
      </c>
      <c r="M2480" s="25"/>
      <c r="N2480" s="26" t="s">
        <v>21</v>
      </c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</row>
    <row r="2481">
      <c r="A2481" s="14" t="s">
        <v>9002</v>
      </c>
      <c r="B2481" s="17" t="s">
        <v>9003</v>
      </c>
      <c r="C2481" s="17" t="s">
        <v>9004</v>
      </c>
      <c r="D2481" s="19" t="s">
        <v>9005</v>
      </c>
      <c r="E2481" s="20" t="s">
        <v>104</v>
      </c>
      <c r="F2481" s="21">
        <v>31633.0</v>
      </c>
      <c r="G2481" s="14">
        <f t="shared" si="1"/>
        <v>40</v>
      </c>
      <c r="H2481" s="23" t="s">
        <v>26</v>
      </c>
      <c r="I2481" s="24" t="s">
        <v>27</v>
      </c>
      <c r="J2481" s="19" t="s">
        <v>282</v>
      </c>
      <c r="K2481" s="14">
        <v>17.0</v>
      </c>
      <c r="L2481" s="14">
        <v>0.0</v>
      </c>
      <c r="M2481" s="25"/>
      <c r="N2481" s="26" t="s">
        <v>21</v>
      </c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7"/>
    </row>
    <row r="2482">
      <c r="A2482" s="14" t="s">
        <v>9006</v>
      </c>
      <c r="B2482" s="17" t="s">
        <v>9003</v>
      </c>
      <c r="C2482" s="17" t="s">
        <v>9007</v>
      </c>
      <c r="D2482" s="19" t="s">
        <v>9008</v>
      </c>
      <c r="E2482" s="20" t="s">
        <v>2680</v>
      </c>
      <c r="F2482" s="21">
        <v>30856.0</v>
      </c>
      <c r="G2482" s="14">
        <f t="shared" si="1"/>
        <v>42</v>
      </c>
      <c r="H2482" s="23" t="s">
        <v>26</v>
      </c>
      <c r="I2482" s="24" t="s">
        <v>33</v>
      </c>
      <c r="J2482" s="19" t="s">
        <v>282</v>
      </c>
      <c r="K2482" s="14">
        <v>17.0</v>
      </c>
      <c r="L2482" s="14">
        <v>0.0</v>
      </c>
      <c r="M2482" s="25"/>
      <c r="N2482" s="26" t="s">
        <v>21</v>
      </c>
      <c r="O2482" s="7"/>
      <c r="P2482" s="7"/>
      <c r="Q2482" s="7"/>
      <c r="R2482" s="7"/>
      <c r="S2482" s="7"/>
      <c r="T2482" s="7"/>
      <c r="U2482" s="7"/>
      <c r="V2482" s="7"/>
      <c r="W2482" s="7"/>
      <c r="X2482" s="7"/>
      <c r="Y2482" s="7"/>
    </row>
    <row r="2483">
      <c r="A2483" s="14" t="s">
        <v>9009</v>
      </c>
      <c r="B2483" s="17" t="s">
        <v>9010</v>
      </c>
      <c r="C2483" s="17" t="s">
        <v>9011</v>
      </c>
      <c r="D2483" s="19" t="s">
        <v>9012</v>
      </c>
      <c r="E2483" s="20" t="s">
        <v>104</v>
      </c>
      <c r="F2483" s="21">
        <v>38991.0</v>
      </c>
      <c r="G2483" s="14">
        <f t="shared" si="1"/>
        <v>20</v>
      </c>
      <c r="H2483" s="23" t="s">
        <v>100</v>
      </c>
      <c r="I2483" s="24" t="s">
        <v>33</v>
      </c>
      <c r="J2483" s="19" t="s">
        <v>68</v>
      </c>
      <c r="K2483" s="14">
        <v>35.0</v>
      </c>
      <c r="L2483" s="14">
        <v>0.0</v>
      </c>
      <c r="M2483" s="25"/>
      <c r="N2483" s="26" t="s">
        <v>21</v>
      </c>
      <c r="O2483" s="7"/>
      <c r="P2483" s="7"/>
      <c r="Q2483" s="7"/>
      <c r="R2483" s="7"/>
      <c r="S2483" s="7"/>
      <c r="T2483" s="7"/>
      <c r="U2483" s="7"/>
      <c r="V2483" s="7"/>
      <c r="W2483" s="7"/>
      <c r="X2483" s="7"/>
      <c r="Y2483" s="7"/>
    </row>
    <row r="2484">
      <c r="A2484" s="14" t="s">
        <v>9013</v>
      </c>
      <c r="B2484" s="17" t="s">
        <v>9010</v>
      </c>
      <c r="C2484" s="17" t="s">
        <v>9014</v>
      </c>
      <c r="D2484" s="19" t="s">
        <v>9015</v>
      </c>
      <c r="E2484" s="20" t="s">
        <v>2680</v>
      </c>
      <c r="F2484" s="21">
        <v>37475.0</v>
      </c>
      <c r="G2484" s="14">
        <f t="shared" si="1"/>
        <v>24</v>
      </c>
      <c r="H2484" s="23" t="s">
        <v>100</v>
      </c>
      <c r="I2484" s="24" t="s">
        <v>27</v>
      </c>
      <c r="J2484" s="19" t="s">
        <v>68</v>
      </c>
      <c r="K2484" s="14">
        <v>35.0</v>
      </c>
      <c r="L2484" s="14">
        <v>0.0</v>
      </c>
      <c r="M2484" s="25"/>
      <c r="N2484" s="26" t="s">
        <v>21</v>
      </c>
      <c r="O2484" s="7"/>
      <c r="P2484" s="7"/>
      <c r="Q2484" s="7"/>
      <c r="R2484" s="7"/>
      <c r="S2484" s="7"/>
      <c r="T2484" s="7"/>
      <c r="U2484" s="7"/>
      <c r="V2484" s="7"/>
      <c r="W2484" s="7"/>
      <c r="X2484" s="7"/>
      <c r="Y2484" s="7"/>
    </row>
    <row r="2485">
      <c r="A2485" s="14" t="s">
        <v>9016</v>
      </c>
      <c r="B2485" s="17" t="s">
        <v>9010</v>
      </c>
      <c r="C2485" s="17" t="s">
        <v>9017</v>
      </c>
      <c r="D2485" s="19" t="s">
        <v>9018</v>
      </c>
      <c r="E2485" s="20" t="s">
        <v>53</v>
      </c>
      <c r="F2485" s="21">
        <v>28576.0</v>
      </c>
      <c r="G2485" s="14">
        <f t="shared" si="1"/>
        <v>48</v>
      </c>
      <c r="H2485" s="23" t="s">
        <v>26</v>
      </c>
      <c r="I2485" s="24" t="s">
        <v>33</v>
      </c>
      <c r="J2485" s="19" t="s">
        <v>68</v>
      </c>
      <c r="K2485" s="14">
        <v>35.0</v>
      </c>
      <c r="L2485" s="14">
        <v>0.0</v>
      </c>
      <c r="M2485" s="25"/>
      <c r="N2485" s="26" t="s">
        <v>21</v>
      </c>
      <c r="O2485" s="7"/>
      <c r="P2485" s="7"/>
      <c r="Q2485" s="7"/>
      <c r="R2485" s="7"/>
      <c r="S2485" s="7"/>
      <c r="T2485" s="7"/>
      <c r="U2485" s="7"/>
      <c r="V2485" s="7"/>
      <c r="W2485" s="7"/>
      <c r="X2485" s="7"/>
      <c r="Y2485" s="7"/>
    </row>
    <row r="2486">
      <c r="A2486" s="14" t="s">
        <v>9019</v>
      </c>
      <c r="B2486" s="17" t="s">
        <v>9010</v>
      </c>
      <c r="C2486" s="17" t="s">
        <v>9020</v>
      </c>
      <c r="D2486" s="19" t="s">
        <v>9021</v>
      </c>
      <c r="E2486" s="20" t="s">
        <v>1782</v>
      </c>
      <c r="F2486" s="21">
        <v>28875.0</v>
      </c>
      <c r="G2486" s="14">
        <f t="shared" si="1"/>
        <v>47</v>
      </c>
      <c r="H2486" s="23" t="s">
        <v>26</v>
      </c>
      <c r="I2486" s="24" t="s">
        <v>27</v>
      </c>
      <c r="J2486" s="19" t="s">
        <v>68</v>
      </c>
      <c r="K2486" s="14">
        <v>35.0</v>
      </c>
      <c r="L2486" s="14">
        <v>0.0</v>
      </c>
      <c r="M2486" s="25"/>
      <c r="N2486" s="26" t="s">
        <v>21</v>
      </c>
      <c r="O2486" s="7"/>
      <c r="P2486" s="7"/>
      <c r="Q2486" s="7"/>
      <c r="R2486" s="7"/>
      <c r="S2486" s="7"/>
      <c r="T2486" s="7"/>
      <c r="U2486" s="7"/>
      <c r="V2486" s="7"/>
      <c r="W2486" s="7"/>
      <c r="X2486" s="7"/>
      <c r="Y2486" s="7"/>
    </row>
    <row r="2487">
      <c r="A2487" s="14" t="s">
        <v>9022</v>
      </c>
      <c r="B2487" s="17" t="s">
        <v>9023</v>
      </c>
      <c r="C2487" s="17" t="s">
        <v>9024</v>
      </c>
      <c r="D2487" s="19" t="s">
        <v>9025</v>
      </c>
      <c r="E2487" s="20" t="s">
        <v>9026</v>
      </c>
      <c r="F2487" s="21">
        <v>31605.0</v>
      </c>
      <c r="G2487" s="14">
        <f t="shared" si="1"/>
        <v>40</v>
      </c>
      <c r="H2487" s="23" t="s">
        <v>27</v>
      </c>
      <c r="I2487" s="24" t="s">
        <v>27</v>
      </c>
      <c r="J2487" s="19" t="s">
        <v>146</v>
      </c>
      <c r="K2487" s="14">
        <v>17.0</v>
      </c>
      <c r="L2487" s="14">
        <v>0.0</v>
      </c>
      <c r="M2487" s="25"/>
      <c r="N2487" s="26" t="s">
        <v>21</v>
      </c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</row>
    <row r="2488">
      <c r="A2488" s="14" t="s">
        <v>9027</v>
      </c>
      <c r="B2488" s="17" t="s">
        <v>9028</v>
      </c>
      <c r="C2488" s="17" t="s">
        <v>9029</v>
      </c>
      <c r="D2488" s="19" t="s">
        <v>9030</v>
      </c>
      <c r="E2488" s="20" t="s">
        <v>337</v>
      </c>
      <c r="F2488" s="21">
        <v>34759.0</v>
      </c>
      <c r="G2488" s="14">
        <f t="shared" si="1"/>
        <v>31</v>
      </c>
      <c r="H2488" s="23" t="s">
        <v>26</v>
      </c>
      <c r="I2488" s="24" t="s">
        <v>27</v>
      </c>
      <c r="J2488" s="19" t="s">
        <v>58</v>
      </c>
      <c r="K2488" s="14">
        <v>9.0</v>
      </c>
      <c r="L2488" s="14">
        <v>0.0</v>
      </c>
      <c r="M2488" s="25"/>
      <c r="N2488" s="26" t="s">
        <v>21</v>
      </c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</row>
    <row r="2489">
      <c r="A2489" s="14" t="s">
        <v>9031</v>
      </c>
      <c r="B2489" s="17" t="s">
        <v>9028</v>
      </c>
      <c r="C2489" s="17" t="s">
        <v>9032</v>
      </c>
      <c r="D2489" s="19" t="s">
        <v>9033</v>
      </c>
      <c r="E2489" s="20" t="s">
        <v>7673</v>
      </c>
      <c r="F2489" s="21">
        <v>34750.0</v>
      </c>
      <c r="G2489" s="14">
        <f t="shared" si="1"/>
        <v>31</v>
      </c>
      <c r="H2489" s="23" t="s">
        <v>26</v>
      </c>
      <c r="I2489" s="24" t="s">
        <v>33</v>
      </c>
      <c r="J2489" s="19" t="s">
        <v>58</v>
      </c>
      <c r="K2489" s="14">
        <v>9.0</v>
      </c>
      <c r="L2489" s="14">
        <v>0.0</v>
      </c>
      <c r="M2489" s="25"/>
      <c r="N2489" s="26" t="s">
        <v>21</v>
      </c>
      <c r="O2489" s="7"/>
      <c r="P2489" s="7"/>
      <c r="Q2489" s="7"/>
      <c r="R2489" s="7"/>
      <c r="S2489" s="7"/>
      <c r="T2489" s="7"/>
      <c r="U2489" s="7"/>
      <c r="V2489" s="7"/>
      <c r="W2489" s="7"/>
      <c r="X2489" s="7"/>
      <c r="Y2489" s="7"/>
    </row>
    <row r="2490">
      <c r="A2490" s="14" t="s">
        <v>9034</v>
      </c>
      <c r="B2490" s="17" t="s">
        <v>9035</v>
      </c>
      <c r="C2490" s="17" t="s">
        <v>9036</v>
      </c>
      <c r="D2490" s="19" t="s">
        <v>9037</v>
      </c>
      <c r="E2490" s="20" t="s">
        <v>53</v>
      </c>
      <c r="F2490" s="27">
        <v>34331.0</v>
      </c>
      <c r="G2490" s="14">
        <f t="shared" si="1"/>
        <v>32</v>
      </c>
      <c r="H2490" s="23" t="s">
        <v>26</v>
      </c>
      <c r="I2490" s="24" t="s">
        <v>33</v>
      </c>
      <c r="J2490" s="19" t="s">
        <v>58</v>
      </c>
      <c r="K2490" s="14">
        <v>6.0</v>
      </c>
      <c r="L2490" s="14">
        <v>0.0</v>
      </c>
      <c r="M2490" s="25"/>
      <c r="N2490" s="26" t="s">
        <v>21</v>
      </c>
      <c r="O2490" s="7"/>
      <c r="P2490" s="7"/>
      <c r="Q2490" s="7"/>
      <c r="R2490" s="7"/>
      <c r="S2490" s="7"/>
      <c r="T2490" s="7"/>
      <c r="U2490" s="7"/>
      <c r="V2490" s="7"/>
      <c r="W2490" s="7"/>
      <c r="X2490" s="7"/>
      <c r="Y2490" s="7"/>
    </row>
    <row r="2491">
      <c r="A2491" s="14" t="s">
        <v>9038</v>
      </c>
      <c r="B2491" s="17" t="s">
        <v>9035</v>
      </c>
      <c r="C2491" s="17" t="s">
        <v>9039</v>
      </c>
      <c r="D2491" s="19" t="s">
        <v>9040</v>
      </c>
      <c r="E2491" s="20" t="s">
        <v>1291</v>
      </c>
      <c r="F2491" s="21">
        <v>36980.0</v>
      </c>
      <c r="G2491" s="14">
        <f t="shared" si="1"/>
        <v>25</v>
      </c>
      <c r="H2491" s="23" t="s">
        <v>26</v>
      </c>
      <c r="I2491" s="24" t="s">
        <v>27</v>
      </c>
      <c r="J2491" s="19" t="s">
        <v>58</v>
      </c>
      <c r="K2491" s="14">
        <v>6.0</v>
      </c>
      <c r="L2491" s="14">
        <v>0.0</v>
      </c>
      <c r="M2491" s="25"/>
      <c r="N2491" s="26" t="s">
        <v>21</v>
      </c>
      <c r="O2491" s="7"/>
      <c r="P2491" s="7"/>
      <c r="Q2491" s="7"/>
      <c r="R2491" s="7"/>
      <c r="S2491" s="7"/>
      <c r="T2491" s="7"/>
      <c r="U2491" s="7"/>
      <c r="V2491" s="7"/>
      <c r="W2491" s="7"/>
      <c r="X2491" s="7"/>
      <c r="Y2491" s="7"/>
    </row>
    <row r="2492">
      <c r="A2492" s="14" t="s">
        <v>9041</v>
      </c>
      <c r="B2492" s="17" t="s">
        <v>9042</v>
      </c>
      <c r="C2492" s="17" t="s">
        <v>9043</v>
      </c>
      <c r="D2492" s="19" t="s">
        <v>9044</v>
      </c>
      <c r="E2492" s="20" t="s">
        <v>9045</v>
      </c>
      <c r="F2492" s="21">
        <v>35311.0</v>
      </c>
      <c r="G2492" s="14">
        <f t="shared" si="1"/>
        <v>30</v>
      </c>
      <c r="H2492" s="23" t="s">
        <v>26</v>
      </c>
      <c r="I2492" s="24" t="s">
        <v>33</v>
      </c>
      <c r="J2492" s="19" t="s">
        <v>362</v>
      </c>
      <c r="K2492" s="14">
        <v>25.0</v>
      </c>
      <c r="L2492" s="14">
        <v>5.0</v>
      </c>
      <c r="M2492" s="25"/>
      <c r="N2492" s="26" t="s">
        <v>21</v>
      </c>
      <c r="O2492" s="7"/>
      <c r="P2492" s="7"/>
      <c r="Q2492" s="7"/>
      <c r="R2492" s="7"/>
      <c r="S2492" s="7"/>
      <c r="T2492" s="7"/>
      <c r="U2492" s="7"/>
      <c r="V2492" s="7"/>
      <c r="W2492" s="7"/>
      <c r="X2492" s="7"/>
      <c r="Y2492" s="7"/>
    </row>
    <row r="2493">
      <c r="A2493" s="14" t="s">
        <v>9046</v>
      </c>
      <c r="B2493" s="17" t="s">
        <v>9042</v>
      </c>
      <c r="C2493" s="17" t="s">
        <v>9047</v>
      </c>
      <c r="D2493" s="19" t="s">
        <v>9048</v>
      </c>
      <c r="E2493" s="20" t="s">
        <v>104</v>
      </c>
      <c r="F2493" s="21">
        <v>34886.0</v>
      </c>
      <c r="G2493" s="14">
        <f t="shared" si="1"/>
        <v>31</v>
      </c>
      <c r="H2493" s="23" t="s">
        <v>26</v>
      </c>
      <c r="I2493" s="24" t="s">
        <v>27</v>
      </c>
      <c r="J2493" s="19" t="s">
        <v>362</v>
      </c>
      <c r="K2493" s="14">
        <v>25.0</v>
      </c>
      <c r="L2493" s="14">
        <v>7.0</v>
      </c>
      <c r="M2493" s="28" t="s">
        <v>10379</v>
      </c>
      <c r="N2493" s="26" t="s">
        <v>21</v>
      </c>
      <c r="O2493" s="7"/>
      <c r="P2493" s="7"/>
      <c r="Q2493" s="7"/>
      <c r="R2493" s="7"/>
      <c r="S2493" s="7"/>
      <c r="T2493" s="7"/>
      <c r="U2493" s="7"/>
      <c r="V2493" s="7"/>
      <c r="W2493" s="7"/>
      <c r="X2493" s="7"/>
      <c r="Y2493" s="7"/>
    </row>
    <row r="2494">
      <c r="A2494" s="14" t="s">
        <v>9049</v>
      </c>
      <c r="B2494" s="17" t="s">
        <v>9050</v>
      </c>
      <c r="C2494" s="17" t="s">
        <v>9051</v>
      </c>
      <c r="D2494" s="19" t="s">
        <v>9052</v>
      </c>
      <c r="E2494" s="20" t="s">
        <v>104</v>
      </c>
      <c r="F2494" s="21">
        <v>30589.0</v>
      </c>
      <c r="G2494" s="14">
        <f t="shared" si="1"/>
        <v>43</v>
      </c>
      <c r="H2494" s="23" t="s">
        <v>100</v>
      </c>
      <c r="I2494" s="24" t="s">
        <v>33</v>
      </c>
      <c r="J2494" s="19" t="s">
        <v>282</v>
      </c>
      <c r="K2494" s="14">
        <v>17.0</v>
      </c>
      <c r="L2494" s="14">
        <v>0.0</v>
      </c>
      <c r="M2494" s="25"/>
      <c r="N2494" s="26" t="s">
        <v>21</v>
      </c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</row>
    <row r="2495">
      <c r="A2495" s="14" t="s">
        <v>9053</v>
      </c>
      <c r="B2495" s="17" t="s">
        <v>9050</v>
      </c>
      <c r="C2495" s="17" t="s">
        <v>9054</v>
      </c>
      <c r="D2495" s="19" t="s">
        <v>9055</v>
      </c>
      <c r="E2495" s="20" t="s">
        <v>9056</v>
      </c>
      <c r="F2495" s="21">
        <v>16225.0</v>
      </c>
      <c r="G2495" s="14">
        <f t="shared" si="1"/>
        <v>82</v>
      </c>
      <c r="H2495" s="23" t="s">
        <v>26</v>
      </c>
      <c r="I2495" s="24" t="s">
        <v>33</v>
      </c>
      <c r="J2495" s="19" t="s">
        <v>282</v>
      </c>
      <c r="K2495" s="14">
        <v>17.0</v>
      </c>
      <c r="L2495" s="14">
        <v>0.0</v>
      </c>
      <c r="M2495" s="25"/>
      <c r="N2495" s="26" t="s">
        <v>21</v>
      </c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7"/>
    </row>
    <row r="2496">
      <c r="A2496" s="14" t="s">
        <v>9057</v>
      </c>
      <c r="B2496" s="17" t="s">
        <v>9050</v>
      </c>
      <c r="C2496" s="17" t="s">
        <v>9058</v>
      </c>
      <c r="D2496" s="19" t="s">
        <v>9059</v>
      </c>
      <c r="E2496" s="20" t="s">
        <v>9056</v>
      </c>
      <c r="F2496" s="21">
        <v>19119.0</v>
      </c>
      <c r="G2496" s="14">
        <f t="shared" si="1"/>
        <v>74</v>
      </c>
      <c r="H2496" s="23" t="s">
        <v>26</v>
      </c>
      <c r="I2496" s="24" t="s">
        <v>27</v>
      </c>
      <c r="J2496" s="19" t="s">
        <v>282</v>
      </c>
      <c r="K2496" s="14">
        <v>17.0</v>
      </c>
      <c r="L2496" s="14">
        <v>0.0</v>
      </c>
      <c r="M2496" s="25"/>
      <c r="N2496" s="26" t="s">
        <v>21</v>
      </c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</row>
    <row r="2497">
      <c r="A2497" s="14" t="s">
        <v>9060</v>
      </c>
      <c r="B2497" s="17" t="s">
        <v>9061</v>
      </c>
      <c r="C2497" s="17" t="s">
        <v>9062</v>
      </c>
      <c r="D2497" s="19" t="s">
        <v>9063</v>
      </c>
      <c r="E2497" s="20" t="s">
        <v>67</v>
      </c>
      <c r="F2497" s="21">
        <v>37516.0</v>
      </c>
      <c r="G2497" s="14">
        <f t="shared" si="1"/>
        <v>24</v>
      </c>
      <c r="H2497" s="23" t="s">
        <v>100</v>
      </c>
      <c r="I2497" s="24" t="s">
        <v>33</v>
      </c>
      <c r="J2497" s="19" t="s">
        <v>53</v>
      </c>
      <c r="K2497" s="14">
        <v>32.0</v>
      </c>
      <c r="L2497" s="14">
        <v>0.0</v>
      </c>
      <c r="M2497" s="25"/>
      <c r="N2497" s="26" t="s">
        <v>21</v>
      </c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7"/>
    </row>
    <row r="2498">
      <c r="A2498" s="14" t="s">
        <v>9064</v>
      </c>
      <c r="B2498" s="17" t="s">
        <v>9065</v>
      </c>
      <c r="C2498" s="17" t="s">
        <v>9066</v>
      </c>
      <c r="D2498" s="19" t="s">
        <v>9067</v>
      </c>
      <c r="E2498" s="20" t="s">
        <v>53</v>
      </c>
      <c r="F2498" s="21">
        <v>35939.0</v>
      </c>
      <c r="G2498" s="14">
        <f t="shared" si="1"/>
        <v>28</v>
      </c>
      <c r="H2498" s="23" t="s">
        <v>26</v>
      </c>
      <c r="I2498" s="24" t="s">
        <v>33</v>
      </c>
      <c r="J2498" s="19" t="s">
        <v>68</v>
      </c>
      <c r="K2498" s="14">
        <v>32.0</v>
      </c>
      <c r="L2498" s="14">
        <v>0.0</v>
      </c>
      <c r="M2498" s="25"/>
      <c r="N2498" s="26" t="s">
        <v>21</v>
      </c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</row>
    <row r="2499">
      <c r="A2499" s="14" t="s">
        <v>9068</v>
      </c>
      <c r="B2499" s="17" t="s">
        <v>9065</v>
      </c>
      <c r="C2499" s="17" t="s">
        <v>9069</v>
      </c>
      <c r="D2499" s="19" t="s">
        <v>9070</v>
      </c>
      <c r="E2499" s="20" t="s">
        <v>104</v>
      </c>
      <c r="F2499" s="21">
        <v>37006.0</v>
      </c>
      <c r="G2499" s="14">
        <f t="shared" si="1"/>
        <v>25</v>
      </c>
      <c r="H2499" s="23" t="s">
        <v>26</v>
      </c>
      <c r="I2499" s="24" t="s">
        <v>27</v>
      </c>
      <c r="J2499" s="19" t="s">
        <v>68</v>
      </c>
      <c r="K2499" s="14">
        <v>32.0</v>
      </c>
      <c r="L2499" s="14">
        <v>0.0</v>
      </c>
      <c r="M2499" s="25"/>
      <c r="N2499" s="26" t="s">
        <v>21</v>
      </c>
      <c r="O2499" s="7"/>
      <c r="P2499" s="7"/>
      <c r="Q2499" s="7"/>
      <c r="R2499" s="7"/>
      <c r="S2499" s="7"/>
      <c r="T2499" s="7"/>
      <c r="U2499" s="7"/>
      <c r="V2499" s="7"/>
      <c r="W2499" s="7"/>
      <c r="X2499" s="7"/>
      <c r="Y2499" s="7"/>
    </row>
    <row r="2500">
      <c r="A2500" s="14" t="s">
        <v>9071</v>
      </c>
      <c r="B2500" s="17" t="s">
        <v>9072</v>
      </c>
      <c r="C2500" s="17" t="s">
        <v>9073</v>
      </c>
      <c r="D2500" s="19" t="s">
        <v>9074</v>
      </c>
      <c r="E2500" s="20" t="s">
        <v>2349</v>
      </c>
      <c r="F2500" s="21">
        <v>35081.0</v>
      </c>
      <c r="G2500" s="14">
        <f t="shared" si="1"/>
        <v>30</v>
      </c>
      <c r="H2500" s="23" t="s">
        <v>26</v>
      </c>
      <c r="I2500" s="24" t="s">
        <v>33</v>
      </c>
      <c r="J2500" s="19" t="s">
        <v>206</v>
      </c>
      <c r="K2500" s="14">
        <v>3.0</v>
      </c>
      <c r="L2500" s="14">
        <v>0.0</v>
      </c>
      <c r="M2500" s="25"/>
      <c r="N2500" s="26" t="s">
        <v>21</v>
      </c>
      <c r="O2500" s="7"/>
      <c r="P2500" s="7"/>
      <c r="Q2500" s="7"/>
      <c r="R2500" s="7"/>
      <c r="S2500" s="7"/>
      <c r="T2500" s="7"/>
      <c r="U2500" s="7"/>
      <c r="V2500" s="7"/>
      <c r="W2500" s="7"/>
      <c r="X2500" s="7"/>
      <c r="Y2500" s="7"/>
    </row>
    <row r="2501">
      <c r="A2501" s="14" t="s">
        <v>9075</v>
      </c>
      <c r="B2501" s="17" t="s">
        <v>9072</v>
      </c>
      <c r="C2501" s="17" t="s">
        <v>9076</v>
      </c>
      <c r="D2501" s="19" t="s">
        <v>9077</v>
      </c>
      <c r="E2501" s="20" t="s">
        <v>274</v>
      </c>
      <c r="F2501" s="21">
        <v>34616.0</v>
      </c>
      <c r="G2501" s="14">
        <f t="shared" si="1"/>
        <v>32</v>
      </c>
      <c r="H2501" s="23" t="s">
        <v>26</v>
      </c>
      <c r="I2501" s="24" t="s">
        <v>27</v>
      </c>
      <c r="J2501" s="19" t="s">
        <v>206</v>
      </c>
      <c r="K2501" s="14">
        <v>3.0</v>
      </c>
      <c r="L2501" s="14">
        <v>0.0</v>
      </c>
      <c r="M2501" s="25"/>
      <c r="N2501" s="26" t="s">
        <v>21</v>
      </c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</row>
    <row r="2502">
      <c r="A2502" s="14" t="s">
        <v>9078</v>
      </c>
      <c r="B2502" s="17" t="s">
        <v>9079</v>
      </c>
      <c r="C2502" s="17" t="s">
        <v>9080</v>
      </c>
      <c r="D2502" s="19" t="s">
        <v>9081</v>
      </c>
      <c r="E2502" s="20" t="s">
        <v>274</v>
      </c>
      <c r="F2502" s="21">
        <v>30560.0</v>
      </c>
      <c r="G2502" s="14">
        <f t="shared" si="1"/>
        <v>43</v>
      </c>
      <c r="H2502" s="23" t="s">
        <v>26</v>
      </c>
      <c r="I2502" s="24" t="s">
        <v>27</v>
      </c>
      <c r="J2502" s="19" t="s">
        <v>362</v>
      </c>
      <c r="K2502" s="14">
        <v>24.0</v>
      </c>
      <c r="L2502" s="14">
        <v>0.0</v>
      </c>
      <c r="M2502" s="25"/>
      <c r="N2502" s="26" t="s">
        <v>21</v>
      </c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7"/>
    </row>
    <row r="2503">
      <c r="A2503" s="14" t="s">
        <v>9082</v>
      </c>
      <c r="B2503" s="17" t="s">
        <v>9079</v>
      </c>
      <c r="C2503" s="17" t="s">
        <v>9083</v>
      </c>
      <c r="D2503" s="19" t="s">
        <v>9084</v>
      </c>
      <c r="E2503" s="20" t="s">
        <v>104</v>
      </c>
      <c r="F2503" s="21">
        <v>38525.0</v>
      </c>
      <c r="G2503" s="14">
        <f t="shared" si="1"/>
        <v>21</v>
      </c>
      <c r="H2503" s="23" t="s">
        <v>100</v>
      </c>
      <c r="I2503" s="24" t="s">
        <v>33</v>
      </c>
      <c r="J2503" s="19" t="s">
        <v>362</v>
      </c>
      <c r="K2503" s="14">
        <v>24.0</v>
      </c>
      <c r="L2503" s="14">
        <v>0.0</v>
      </c>
      <c r="M2503" s="25"/>
      <c r="N2503" s="26" t="s">
        <v>21</v>
      </c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7"/>
    </row>
    <row r="2504">
      <c r="A2504" s="14" t="s">
        <v>9085</v>
      </c>
      <c r="B2504" s="17" t="s">
        <v>9079</v>
      </c>
      <c r="C2504" s="17" t="s">
        <v>9086</v>
      </c>
      <c r="D2504" s="19" t="s">
        <v>2994</v>
      </c>
      <c r="E2504" s="20" t="s">
        <v>104</v>
      </c>
      <c r="F2504" s="27">
        <v>29214.0</v>
      </c>
      <c r="G2504" s="14">
        <f t="shared" si="1"/>
        <v>46</v>
      </c>
      <c r="H2504" s="23" t="s">
        <v>26</v>
      </c>
      <c r="I2504" s="24" t="s">
        <v>33</v>
      </c>
      <c r="J2504" s="19" t="s">
        <v>362</v>
      </c>
      <c r="K2504" s="14">
        <v>24.0</v>
      </c>
      <c r="L2504" s="14">
        <v>0.0</v>
      </c>
      <c r="M2504" s="25"/>
      <c r="N2504" s="26" t="s">
        <v>21</v>
      </c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7"/>
    </row>
    <row r="2505">
      <c r="A2505" s="14" t="s">
        <v>9087</v>
      </c>
      <c r="B2505" s="17" t="s">
        <v>9088</v>
      </c>
      <c r="C2505" s="17" t="s">
        <v>9089</v>
      </c>
      <c r="D2505" s="19" t="s">
        <v>9090</v>
      </c>
      <c r="E2505" s="20" t="s">
        <v>650</v>
      </c>
      <c r="F2505" s="21">
        <v>19176.0</v>
      </c>
      <c r="G2505" s="14">
        <f t="shared" si="1"/>
        <v>74</v>
      </c>
      <c r="H2505" s="23" t="s">
        <v>26</v>
      </c>
      <c r="I2505" s="24" t="s">
        <v>33</v>
      </c>
      <c r="J2505" s="19" t="s">
        <v>2336</v>
      </c>
      <c r="K2505" s="14">
        <v>20.0</v>
      </c>
      <c r="L2505" s="14">
        <v>1.0</v>
      </c>
      <c r="M2505" s="25"/>
      <c r="N2505" s="26" t="s">
        <v>21</v>
      </c>
      <c r="O2505" s="7"/>
      <c r="P2505" s="7"/>
      <c r="Q2505" s="7"/>
      <c r="R2505" s="7"/>
      <c r="S2505" s="7"/>
      <c r="T2505" s="7"/>
      <c r="U2505" s="7"/>
      <c r="V2505" s="7"/>
      <c r="W2505" s="7"/>
      <c r="X2505" s="7"/>
      <c r="Y2505" s="7"/>
    </row>
    <row r="2506">
      <c r="A2506" s="14" t="s">
        <v>9091</v>
      </c>
      <c r="B2506" s="17" t="s">
        <v>9092</v>
      </c>
      <c r="C2506" s="17" t="s">
        <v>9093</v>
      </c>
      <c r="D2506" s="19" t="s">
        <v>9094</v>
      </c>
      <c r="E2506" s="20" t="s">
        <v>104</v>
      </c>
      <c r="F2506" s="21">
        <v>30733.0</v>
      </c>
      <c r="G2506" s="14">
        <f t="shared" si="1"/>
        <v>42</v>
      </c>
      <c r="H2506" s="23" t="s">
        <v>26</v>
      </c>
      <c r="I2506" s="24" t="s">
        <v>27</v>
      </c>
      <c r="J2506" s="19" t="s">
        <v>2336</v>
      </c>
      <c r="K2506" s="14">
        <v>20.0</v>
      </c>
      <c r="L2506" s="14">
        <v>0.0</v>
      </c>
      <c r="M2506" s="25"/>
      <c r="N2506" s="26" t="s">
        <v>21</v>
      </c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</row>
    <row r="2507">
      <c r="A2507" s="14" t="s">
        <v>9095</v>
      </c>
      <c r="B2507" s="17" t="s">
        <v>9092</v>
      </c>
      <c r="C2507" s="17" t="s">
        <v>9096</v>
      </c>
      <c r="D2507" s="19" t="s">
        <v>9097</v>
      </c>
      <c r="E2507" s="20" t="s">
        <v>104</v>
      </c>
      <c r="F2507" s="21">
        <v>28270.0</v>
      </c>
      <c r="G2507" s="14">
        <f t="shared" si="1"/>
        <v>49</v>
      </c>
      <c r="H2507" s="23" t="s">
        <v>26</v>
      </c>
      <c r="I2507" s="24" t="s">
        <v>33</v>
      </c>
      <c r="J2507" s="19" t="s">
        <v>2336</v>
      </c>
      <c r="K2507" s="14">
        <v>20.0</v>
      </c>
      <c r="L2507" s="14">
        <v>0.0</v>
      </c>
      <c r="M2507" s="25"/>
      <c r="N2507" s="26" t="s">
        <v>21</v>
      </c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7"/>
    </row>
    <row r="2508">
      <c r="A2508" s="14" t="s">
        <v>9098</v>
      </c>
      <c r="B2508" s="17" t="s">
        <v>9099</v>
      </c>
      <c r="C2508" s="17" t="s">
        <v>9100</v>
      </c>
      <c r="D2508" s="19" t="s">
        <v>9101</v>
      </c>
      <c r="E2508" s="20" t="s">
        <v>210</v>
      </c>
      <c r="F2508" s="21">
        <v>34572.0</v>
      </c>
      <c r="G2508" s="14">
        <f t="shared" si="1"/>
        <v>32</v>
      </c>
      <c r="H2508" s="23" t="s">
        <v>100</v>
      </c>
      <c r="I2508" s="24" t="s">
        <v>33</v>
      </c>
      <c r="J2508" s="19" t="s">
        <v>68</v>
      </c>
      <c r="K2508" s="14">
        <v>28.0</v>
      </c>
      <c r="L2508" s="14">
        <v>0.0</v>
      </c>
      <c r="M2508" s="25"/>
      <c r="N2508" s="26" t="s">
        <v>21</v>
      </c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</row>
    <row r="2509">
      <c r="A2509" s="14" t="s">
        <v>9102</v>
      </c>
      <c r="B2509" s="17" t="s">
        <v>9099</v>
      </c>
      <c r="C2509" s="17" t="s">
        <v>9103</v>
      </c>
      <c r="D2509" s="19" t="s">
        <v>9104</v>
      </c>
      <c r="E2509" s="20" t="s">
        <v>210</v>
      </c>
      <c r="F2509" s="21">
        <v>24678.0</v>
      </c>
      <c r="G2509" s="14">
        <f t="shared" si="1"/>
        <v>59</v>
      </c>
      <c r="H2509" s="23" t="s">
        <v>26</v>
      </c>
      <c r="I2509" s="24" t="s">
        <v>33</v>
      </c>
      <c r="J2509" s="19" t="s">
        <v>68</v>
      </c>
      <c r="K2509" s="14">
        <v>28.0</v>
      </c>
      <c r="L2509" s="14">
        <v>0.0</v>
      </c>
      <c r="M2509" s="25"/>
      <c r="N2509" s="26" t="s">
        <v>21</v>
      </c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</row>
    <row r="2510">
      <c r="A2510" s="14" t="s">
        <v>9105</v>
      </c>
      <c r="B2510" s="17" t="s">
        <v>9099</v>
      </c>
      <c r="C2510" s="17" t="s">
        <v>9106</v>
      </c>
      <c r="D2510" s="19" t="s">
        <v>6661</v>
      </c>
      <c r="E2510" s="20" t="s">
        <v>210</v>
      </c>
      <c r="F2510" s="21">
        <v>26821.0</v>
      </c>
      <c r="G2510" s="14">
        <f t="shared" si="1"/>
        <v>53</v>
      </c>
      <c r="H2510" s="23" t="s">
        <v>26</v>
      </c>
      <c r="I2510" s="24" t="s">
        <v>27</v>
      </c>
      <c r="J2510" s="19" t="s">
        <v>68</v>
      </c>
      <c r="K2510" s="14">
        <v>28.0</v>
      </c>
      <c r="L2510" s="14">
        <v>0.0</v>
      </c>
      <c r="M2510" s="25"/>
      <c r="N2510" s="26" t="s">
        <v>21</v>
      </c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</row>
    <row r="2511">
      <c r="A2511" s="14" t="s">
        <v>9107</v>
      </c>
      <c r="B2511" s="17" t="s">
        <v>9108</v>
      </c>
      <c r="C2511" s="17" t="s">
        <v>9109</v>
      </c>
      <c r="D2511" s="19" t="s">
        <v>9110</v>
      </c>
      <c r="E2511" s="20" t="s">
        <v>9111</v>
      </c>
      <c r="F2511" s="21">
        <v>38899.0</v>
      </c>
      <c r="G2511" s="14">
        <f t="shared" si="1"/>
        <v>20</v>
      </c>
      <c r="H2511" s="23" t="s">
        <v>100</v>
      </c>
      <c r="I2511" s="24" t="s">
        <v>27</v>
      </c>
      <c r="J2511" s="19" t="s">
        <v>146</v>
      </c>
      <c r="K2511" s="14">
        <v>2.0</v>
      </c>
      <c r="L2511" s="14">
        <v>0.0</v>
      </c>
      <c r="M2511" s="25"/>
      <c r="N2511" s="26" t="s">
        <v>21</v>
      </c>
      <c r="O2511" s="7"/>
      <c r="P2511" s="7"/>
      <c r="Q2511" s="7"/>
      <c r="R2511" s="7"/>
      <c r="S2511" s="7"/>
      <c r="T2511" s="7"/>
      <c r="U2511" s="7"/>
      <c r="V2511" s="7"/>
      <c r="W2511" s="7"/>
      <c r="X2511" s="7"/>
      <c r="Y2511" s="7"/>
    </row>
    <row r="2512">
      <c r="A2512" s="14" t="s">
        <v>9112</v>
      </c>
      <c r="B2512" s="17" t="s">
        <v>9108</v>
      </c>
      <c r="C2512" s="17" t="s">
        <v>9113</v>
      </c>
      <c r="D2512" s="19" t="s">
        <v>760</v>
      </c>
      <c r="E2512" s="20" t="s">
        <v>1468</v>
      </c>
      <c r="F2512" s="21">
        <v>27989.0</v>
      </c>
      <c r="G2512" s="14">
        <f t="shared" si="1"/>
        <v>50</v>
      </c>
      <c r="H2512" s="23" t="s">
        <v>26</v>
      </c>
      <c r="I2512" s="24" t="s">
        <v>27</v>
      </c>
      <c r="J2512" s="19" t="s">
        <v>146</v>
      </c>
      <c r="K2512" s="14">
        <v>2.0</v>
      </c>
      <c r="L2512" s="14">
        <v>0.0</v>
      </c>
      <c r="M2512" s="25"/>
      <c r="N2512" s="26" t="s">
        <v>21</v>
      </c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7"/>
    </row>
    <row r="2513">
      <c r="A2513" s="14" t="s">
        <v>9114</v>
      </c>
      <c r="B2513" s="17" t="s">
        <v>9108</v>
      </c>
      <c r="C2513" s="17" t="s">
        <v>9115</v>
      </c>
      <c r="D2513" s="19" t="s">
        <v>5870</v>
      </c>
      <c r="E2513" s="20" t="s">
        <v>1468</v>
      </c>
      <c r="F2513" s="21">
        <v>27341.0</v>
      </c>
      <c r="G2513" s="14">
        <f t="shared" si="1"/>
        <v>51</v>
      </c>
      <c r="H2513" s="23" t="s">
        <v>26</v>
      </c>
      <c r="I2513" s="24" t="s">
        <v>33</v>
      </c>
      <c r="J2513" s="19" t="s">
        <v>2762</v>
      </c>
      <c r="K2513" s="14">
        <v>2.0</v>
      </c>
      <c r="L2513" s="14">
        <v>0.0</v>
      </c>
      <c r="M2513" s="25"/>
      <c r="N2513" s="26" t="s">
        <v>21</v>
      </c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7"/>
    </row>
    <row r="2514">
      <c r="A2514" s="14" t="s">
        <v>9116</v>
      </c>
      <c r="B2514" s="17" t="s">
        <v>9108</v>
      </c>
      <c r="C2514" s="17" t="s">
        <v>9117</v>
      </c>
      <c r="D2514" s="19" t="s">
        <v>9118</v>
      </c>
      <c r="E2514" s="20" t="s">
        <v>2200</v>
      </c>
      <c r="F2514" s="21">
        <v>39148.0</v>
      </c>
      <c r="G2514" s="14">
        <f t="shared" si="1"/>
        <v>19</v>
      </c>
      <c r="H2514" s="23" t="s">
        <v>100</v>
      </c>
      <c r="I2514" s="24" t="s">
        <v>27</v>
      </c>
      <c r="J2514" s="19" t="s">
        <v>146</v>
      </c>
      <c r="K2514" s="14">
        <v>2.0</v>
      </c>
      <c r="L2514" s="14">
        <v>0.0</v>
      </c>
      <c r="M2514" s="25"/>
      <c r="N2514" s="26" t="s">
        <v>21</v>
      </c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</row>
    <row r="2515">
      <c r="A2515" s="14" t="s">
        <v>9119</v>
      </c>
      <c r="B2515" s="17" t="s">
        <v>9120</v>
      </c>
      <c r="C2515" s="17" t="s">
        <v>9121</v>
      </c>
      <c r="D2515" s="19" t="s">
        <v>9122</v>
      </c>
      <c r="E2515" s="20" t="s">
        <v>7182</v>
      </c>
      <c r="F2515" s="27">
        <v>32107.0</v>
      </c>
      <c r="G2515" s="14">
        <f t="shared" si="1"/>
        <v>38</v>
      </c>
      <c r="H2515" s="23" t="s">
        <v>26</v>
      </c>
      <c r="I2515" s="24" t="s">
        <v>33</v>
      </c>
      <c r="J2515" s="19" t="s">
        <v>146</v>
      </c>
      <c r="K2515" s="14">
        <v>2.0</v>
      </c>
      <c r="L2515" s="14">
        <v>0.0</v>
      </c>
      <c r="M2515" s="25"/>
      <c r="N2515" s="26" t="s">
        <v>21</v>
      </c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</row>
    <row r="2516">
      <c r="A2516" s="14" t="s">
        <v>9123</v>
      </c>
      <c r="B2516" s="17" t="s">
        <v>9120</v>
      </c>
      <c r="C2516" s="17" t="s">
        <v>9124</v>
      </c>
      <c r="D2516" s="19" t="s">
        <v>9125</v>
      </c>
      <c r="E2516" s="20" t="s">
        <v>104</v>
      </c>
      <c r="F2516" s="27">
        <v>32801.0</v>
      </c>
      <c r="G2516" s="14">
        <f t="shared" si="1"/>
        <v>37</v>
      </c>
      <c r="H2516" s="23" t="s">
        <v>26</v>
      </c>
      <c r="I2516" s="24" t="s">
        <v>27</v>
      </c>
      <c r="J2516" s="19" t="s">
        <v>146</v>
      </c>
      <c r="K2516" s="14">
        <v>2.0</v>
      </c>
      <c r="L2516" s="14">
        <v>0.0</v>
      </c>
      <c r="M2516" s="25"/>
      <c r="N2516" s="26" t="s">
        <v>21</v>
      </c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</row>
    <row r="2517">
      <c r="A2517" s="14" t="s">
        <v>9126</v>
      </c>
      <c r="B2517" s="17" t="s">
        <v>9127</v>
      </c>
      <c r="C2517" s="17" t="s">
        <v>9128</v>
      </c>
      <c r="D2517" s="19" t="s">
        <v>9129</v>
      </c>
      <c r="E2517" s="20" t="s">
        <v>9130</v>
      </c>
      <c r="F2517" s="21">
        <v>29965.0</v>
      </c>
      <c r="G2517" s="14">
        <f t="shared" si="1"/>
        <v>44</v>
      </c>
      <c r="H2517" s="23" t="s">
        <v>26</v>
      </c>
      <c r="I2517" s="24" t="s">
        <v>33</v>
      </c>
      <c r="J2517" s="19" t="s">
        <v>726</v>
      </c>
      <c r="K2517" s="14">
        <v>17.0</v>
      </c>
      <c r="L2517" s="14">
        <v>0.0</v>
      </c>
      <c r="M2517" s="25"/>
      <c r="N2517" s="26" t="s">
        <v>21</v>
      </c>
      <c r="O2517" s="7"/>
      <c r="P2517" s="7"/>
      <c r="Q2517" s="7"/>
      <c r="R2517" s="7"/>
      <c r="S2517" s="7"/>
      <c r="T2517" s="7"/>
      <c r="U2517" s="7"/>
      <c r="V2517" s="7"/>
      <c r="W2517" s="7"/>
      <c r="X2517" s="7"/>
      <c r="Y2517" s="7"/>
    </row>
    <row r="2518">
      <c r="A2518" s="14" t="s">
        <v>9131</v>
      </c>
      <c r="B2518" s="17" t="s">
        <v>9127</v>
      </c>
      <c r="C2518" s="17" t="s">
        <v>9132</v>
      </c>
      <c r="D2518" s="19" t="s">
        <v>9133</v>
      </c>
      <c r="E2518" s="20" t="s">
        <v>2700</v>
      </c>
      <c r="F2518" s="21">
        <v>30524.0</v>
      </c>
      <c r="G2518" s="14">
        <f t="shared" si="1"/>
        <v>43</v>
      </c>
      <c r="H2518" s="23" t="s">
        <v>26</v>
      </c>
      <c r="I2518" s="24" t="s">
        <v>27</v>
      </c>
      <c r="J2518" s="19" t="s">
        <v>726</v>
      </c>
      <c r="K2518" s="14">
        <v>17.0</v>
      </c>
      <c r="L2518" s="14">
        <v>0.0</v>
      </c>
      <c r="M2518" s="25"/>
      <c r="N2518" s="26" t="s">
        <v>21</v>
      </c>
      <c r="O2518" s="7"/>
      <c r="P2518" s="7"/>
      <c r="Q2518" s="7"/>
      <c r="R2518" s="7"/>
      <c r="S2518" s="7"/>
      <c r="T2518" s="7"/>
      <c r="U2518" s="7"/>
      <c r="V2518" s="7"/>
      <c r="W2518" s="7"/>
      <c r="X2518" s="7"/>
      <c r="Y2518" s="7"/>
    </row>
    <row r="2519">
      <c r="A2519" s="14" t="s">
        <v>9134</v>
      </c>
      <c r="B2519" s="38" t="s">
        <v>10505</v>
      </c>
      <c r="C2519" s="17" t="s">
        <v>9136</v>
      </c>
      <c r="D2519" s="19" t="s">
        <v>9137</v>
      </c>
      <c r="E2519" s="20" t="s">
        <v>195</v>
      </c>
      <c r="F2519" s="21">
        <v>36733.0</v>
      </c>
      <c r="G2519" s="14">
        <f t="shared" si="1"/>
        <v>26</v>
      </c>
      <c r="H2519" s="23" t="s">
        <v>100</v>
      </c>
      <c r="I2519" s="24" t="s">
        <v>27</v>
      </c>
      <c r="J2519" s="19" t="s">
        <v>68</v>
      </c>
      <c r="K2519" s="14">
        <v>28.0</v>
      </c>
      <c r="L2519" s="14">
        <v>0.0</v>
      </c>
      <c r="M2519" s="25"/>
      <c r="N2519" s="26" t="s">
        <v>21</v>
      </c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</row>
    <row r="2520">
      <c r="A2520" s="14" t="s">
        <v>9138</v>
      </c>
      <c r="B2520" s="17" t="s">
        <v>9135</v>
      </c>
      <c r="C2520" s="17" t="s">
        <v>9139</v>
      </c>
      <c r="D2520" s="19" t="s">
        <v>9140</v>
      </c>
      <c r="E2520" s="20" t="s">
        <v>67</v>
      </c>
      <c r="F2520" s="27">
        <v>27688.0</v>
      </c>
      <c r="G2520" s="14">
        <f t="shared" si="1"/>
        <v>51</v>
      </c>
      <c r="H2520" s="23" t="s">
        <v>26</v>
      </c>
      <c r="I2520" s="24" t="s">
        <v>27</v>
      </c>
      <c r="J2520" s="19" t="s">
        <v>68</v>
      </c>
      <c r="K2520" s="14">
        <v>28.0</v>
      </c>
      <c r="L2520" s="14">
        <v>0.0</v>
      </c>
      <c r="M2520" s="25"/>
      <c r="N2520" s="26" t="s">
        <v>21</v>
      </c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</row>
    <row r="2521">
      <c r="A2521" s="14" t="s">
        <v>9141</v>
      </c>
      <c r="B2521" s="17" t="s">
        <v>9135</v>
      </c>
      <c r="C2521" s="17" t="s">
        <v>9142</v>
      </c>
      <c r="D2521" s="19" t="s">
        <v>9143</v>
      </c>
      <c r="E2521" s="20" t="s">
        <v>53</v>
      </c>
      <c r="F2521" s="21">
        <v>37389.0</v>
      </c>
      <c r="G2521" s="14">
        <f t="shared" si="1"/>
        <v>24</v>
      </c>
      <c r="H2521" s="23" t="s">
        <v>100</v>
      </c>
      <c r="I2521" s="24" t="s">
        <v>27</v>
      </c>
      <c r="J2521" s="19" t="s">
        <v>68</v>
      </c>
      <c r="K2521" s="14">
        <v>28.0</v>
      </c>
      <c r="L2521" s="14">
        <v>0.0</v>
      </c>
      <c r="M2521" s="25"/>
      <c r="N2521" s="26" t="s">
        <v>21</v>
      </c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</row>
    <row r="2522">
      <c r="A2522" s="14" t="s">
        <v>9144</v>
      </c>
      <c r="B2522" s="17" t="s">
        <v>9135</v>
      </c>
      <c r="C2522" s="17" t="s">
        <v>9145</v>
      </c>
      <c r="D2522" s="19" t="s">
        <v>9146</v>
      </c>
      <c r="E2522" s="20" t="s">
        <v>195</v>
      </c>
      <c r="F2522" s="21">
        <v>25668.0</v>
      </c>
      <c r="G2522" s="14">
        <f t="shared" si="1"/>
        <v>56</v>
      </c>
      <c r="H2522" s="23" t="s">
        <v>26</v>
      </c>
      <c r="I2522" s="24" t="s">
        <v>33</v>
      </c>
      <c r="J2522" s="19" t="s">
        <v>68</v>
      </c>
      <c r="K2522" s="14">
        <v>28.0</v>
      </c>
      <c r="L2522" s="14">
        <v>0.0</v>
      </c>
      <c r="M2522" s="25"/>
      <c r="N2522" s="26" t="s">
        <v>21</v>
      </c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</row>
    <row r="2523">
      <c r="A2523" s="14" t="s">
        <v>9147</v>
      </c>
      <c r="B2523" s="17" t="s">
        <v>9135</v>
      </c>
      <c r="C2523" s="17" t="s">
        <v>9148</v>
      </c>
      <c r="D2523" s="19" t="s">
        <v>9149</v>
      </c>
      <c r="E2523" s="20" t="s">
        <v>104</v>
      </c>
      <c r="F2523" s="21">
        <v>38626.0</v>
      </c>
      <c r="G2523" s="14">
        <f t="shared" si="1"/>
        <v>21</v>
      </c>
      <c r="H2523" s="23" t="s">
        <v>100</v>
      </c>
      <c r="I2523" s="24" t="s">
        <v>33</v>
      </c>
      <c r="J2523" s="19" t="s">
        <v>68</v>
      </c>
      <c r="K2523" s="14">
        <v>28.0</v>
      </c>
      <c r="L2523" s="14">
        <v>0.0</v>
      </c>
      <c r="M2523" s="25"/>
      <c r="N2523" s="26" t="s">
        <v>21</v>
      </c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</row>
    <row r="2524">
      <c r="A2524" s="14" t="s">
        <v>9150</v>
      </c>
      <c r="B2524" s="17" t="s">
        <v>9151</v>
      </c>
      <c r="C2524" s="17" t="s">
        <v>9152</v>
      </c>
      <c r="D2524" s="19" t="s">
        <v>9153</v>
      </c>
      <c r="E2524" s="20" t="s">
        <v>3101</v>
      </c>
      <c r="F2524" s="21">
        <v>26203.0</v>
      </c>
      <c r="G2524" s="14">
        <f t="shared" si="1"/>
        <v>55</v>
      </c>
      <c r="H2524" s="23" t="s">
        <v>26</v>
      </c>
      <c r="I2524" s="24" t="s">
        <v>33</v>
      </c>
      <c r="J2524" s="19" t="s">
        <v>146</v>
      </c>
      <c r="K2524" s="14">
        <v>10.0</v>
      </c>
      <c r="L2524" s="14">
        <v>0.0</v>
      </c>
      <c r="M2524" s="25"/>
      <c r="N2524" s="26" t="s">
        <v>21</v>
      </c>
      <c r="O2524" s="7"/>
      <c r="P2524" s="7"/>
      <c r="Q2524" s="7"/>
      <c r="R2524" s="7"/>
      <c r="S2524" s="7"/>
      <c r="T2524" s="7"/>
      <c r="U2524" s="7"/>
      <c r="V2524" s="7"/>
      <c r="W2524" s="7"/>
      <c r="X2524" s="7"/>
      <c r="Y2524" s="7"/>
    </row>
    <row r="2525">
      <c r="A2525" s="14" t="s">
        <v>9154</v>
      </c>
      <c r="B2525" s="17" t="s">
        <v>9151</v>
      </c>
      <c r="C2525" s="17" t="s">
        <v>9155</v>
      </c>
      <c r="D2525" s="19" t="s">
        <v>9156</v>
      </c>
      <c r="E2525" s="20" t="s">
        <v>104</v>
      </c>
      <c r="F2525" s="21">
        <v>37843.0</v>
      </c>
      <c r="G2525" s="14">
        <f t="shared" si="1"/>
        <v>23</v>
      </c>
      <c r="H2525" s="23" t="s">
        <v>100</v>
      </c>
      <c r="I2525" s="24" t="s">
        <v>27</v>
      </c>
      <c r="J2525" s="19" t="s">
        <v>146</v>
      </c>
      <c r="K2525" s="14">
        <v>10.0</v>
      </c>
      <c r="L2525" s="14">
        <v>0.0</v>
      </c>
      <c r="M2525" s="25"/>
      <c r="N2525" s="26" t="s">
        <v>21</v>
      </c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7"/>
    </row>
    <row r="2526">
      <c r="A2526" s="14" t="s">
        <v>9157</v>
      </c>
      <c r="B2526" s="17" t="s">
        <v>9151</v>
      </c>
      <c r="C2526" s="17" t="s">
        <v>9158</v>
      </c>
      <c r="D2526" s="19" t="s">
        <v>9159</v>
      </c>
      <c r="E2526" s="20" t="s">
        <v>104</v>
      </c>
      <c r="F2526" s="21">
        <v>38428.0</v>
      </c>
      <c r="G2526" s="14">
        <f t="shared" si="1"/>
        <v>21</v>
      </c>
      <c r="H2526" s="23" t="s">
        <v>100</v>
      </c>
      <c r="I2526" s="24" t="s">
        <v>33</v>
      </c>
      <c r="J2526" s="19" t="s">
        <v>146</v>
      </c>
      <c r="K2526" s="14">
        <v>10.0</v>
      </c>
      <c r="L2526" s="14">
        <v>0.0</v>
      </c>
      <c r="M2526" s="25"/>
      <c r="N2526" s="26" t="s">
        <v>21</v>
      </c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</row>
    <row r="2527">
      <c r="A2527" s="14" t="s">
        <v>9160</v>
      </c>
      <c r="B2527" s="17" t="s">
        <v>9151</v>
      </c>
      <c r="C2527" s="17" t="s">
        <v>9161</v>
      </c>
      <c r="D2527" s="19" t="s">
        <v>5060</v>
      </c>
      <c r="E2527" s="20" t="s">
        <v>3101</v>
      </c>
      <c r="F2527" s="27">
        <v>29220.0</v>
      </c>
      <c r="G2527" s="14">
        <f t="shared" si="1"/>
        <v>46</v>
      </c>
      <c r="H2527" s="23" t="s">
        <v>26</v>
      </c>
      <c r="I2527" s="24" t="s">
        <v>27</v>
      </c>
      <c r="J2527" s="19" t="s">
        <v>146</v>
      </c>
      <c r="K2527" s="14">
        <v>10.0</v>
      </c>
      <c r="L2527" s="14">
        <v>0.0</v>
      </c>
      <c r="M2527" s="25"/>
      <c r="N2527" s="26" t="s">
        <v>21</v>
      </c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7"/>
    </row>
    <row r="2528">
      <c r="A2528" s="14" t="s">
        <v>9162</v>
      </c>
      <c r="B2528" s="17" t="s">
        <v>9163</v>
      </c>
      <c r="C2528" s="17" t="s">
        <v>9164</v>
      </c>
      <c r="D2528" s="19" t="s">
        <v>9165</v>
      </c>
      <c r="E2528" s="20" t="s">
        <v>104</v>
      </c>
      <c r="F2528" s="21">
        <v>37040.0</v>
      </c>
      <c r="G2528" s="14">
        <f t="shared" si="1"/>
        <v>25</v>
      </c>
      <c r="H2528" s="23" t="s">
        <v>26</v>
      </c>
      <c r="I2528" s="24" t="s">
        <v>27</v>
      </c>
      <c r="J2528" s="19" t="s">
        <v>68</v>
      </c>
      <c r="K2528" s="14">
        <v>30.0</v>
      </c>
      <c r="L2528" s="14">
        <v>0.0</v>
      </c>
      <c r="M2528" s="25"/>
      <c r="N2528" s="26" t="s">
        <v>21</v>
      </c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</row>
    <row r="2529">
      <c r="A2529" s="14" t="s">
        <v>9166</v>
      </c>
      <c r="B2529" s="17" t="s">
        <v>9163</v>
      </c>
      <c r="C2529" s="17" t="s">
        <v>9167</v>
      </c>
      <c r="D2529" s="19" t="s">
        <v>9168</v>
      </c>
      <c r="E2529" s="20" t="s">
        <v>104</v>
      </c>
      <c r="F2529" s="21">
        <v>33380.0</v>
      </c>
      <c r="G2529" s="14">
        <f t="shared" si="1"/>
        <v>35</v>
      </c>
      <c r="H2529" s="23" t="s">
        <v>26</v>
      </c>
      <c r="I2529" s="24" t="s">
        <v>33</v>
      </c>
      <c r="J2529" s="19" t="s">
        <v>68</v>
      </c>
      <c r="K2529" s="14">
        <v>30.0</v>
      </c>
      <c r="L2529" s="14">
        <v>0.0</v>
      </c>
      <c r="M2529" s="25"/>
      <c r="N2529" s="26" t="s">
        <v>21</v>
      </c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7"/>
    </row>
    <row r="2530">
      <c r="A2530" s="14" t="s">
        <v>9169</v>
      </c>
      <c r="B2530" s="17" t="s">
        <v>9170</v>
      </c>
      <c r="C2530" s="17" t="s">
        <v>9171</v>
      </c>
      <c r="D2530" s="19" t="s">
        <v>9172</v>
      </c>
      <c r="E2530" s="20" t="s">
        <v>802</v>
      </c>
      <c r="F2530" s="21">
        <v>24362.0</v>
      </c>
      <c r="G2530" s="14">
        <f t="shared" si="1"/>
        <v>60</v>
      </c>
      <c r="H2530" s="23" t="s">
        <v>26</v>
      </c>
      <c r="I2530" s="24" t="s">
        <v>33</v>
      </c>
      <c r="J2530" s="19" t="s">
        <v>328</v>
      </c>
      <c r="K2530" s="14">
        <v>25.0</v>
      </c>
      <c r="L2530" s="14">
        <v>0.0</v>
      </c>
      <c r="M2530" s="25"/>
      <c r="N2530" s="26" t="s">
        <v>21</v>
      </c>
      <c r="O2530" s="7"/>
      <c r="P2530" s="7"/>
      <c r="Q2530" s="7"/>
      <c r="R2530" s="7"/>
      <c r="S2530" s="7"/>
      <c r="T2530" s="7"/>
      <c r="U2530" s="7"/>
      <c r="V2530" s="7"/>
      <c r="W2530" s="7"/>
      <c r="X2530" s="7"/>
      <c r="Y2530" s="7"/>
    </row>
    <row r="2531">
      <c r="A2531" s="14" t="s">
        <v>9173</v>
      </c>
      <c r="B2531" s="17" t="s">
        <v>9170</v>
      </c>
      <c r="C2531" s="17" t="s">
        <v>9174</v>
      </c>
      <c r="D2531" s="19" t="s">
        <v>9175</v>
      </c>
      <c r="E2531" s="20" t="s">
        <v>138</v>
      </c>
      <c r="F2531" s="21">
        <v>33668.0</v>
      </c>
      <c r="G2531" s="14">
        <f t="shared" si="1"/>
        <v>34</v>
      </c>
      <c r="H2531" s="23" t="s">
        <v>100</v>
      </c>
      <c r="I2531" s="24" t="s">
        <v>33</v>
      </c>
      <c r="J2531" s="19" t="s">
        <v>328</v>
      </c>
      <c r="K2531" s="14">
        <v>25.0</v>
      </c>
      <c r="L2531" s="14">
        <v>0.0</v>
      </c>
      <c r="M2531" s="25"/>
      <c r="N2531" s="26" t="s">
        <v>21</v>
      </c>
      <c r="O2531" s="7"/>
      <c r="P2531" s="7"/>
      <c r="Q2531" s="7"/>
      <c r="R2531" s="7"/>
      <c r="S2531" s="7"/>
      <c r="T2531" s="7"/>
      <c r="U2531" s="7"/>
      <c r="V2531" s="7"/>
      <c r="W2531" s="7"/>
      <c r="X2531" s="7"/>
      <c r="Y2531" s="7"/>
    </row>
    <row r="2532">
      <c r="A2532" s="14" t="s">
        <v>9176</v>
      </c>
      <c r="B2532" s="17" t="s">
        <v>9170</v>
      </c>
      <c r="C2532" s="17" t="s">
        <v>9177</v>
      </c>
      <c r="D2532" s="19" t="s">
        <v>9178</v>
      </c>
      <c r="E2532" s="20" t="s">
        <v>138</v>
      </c>
      <c r="F2532" s="21">
        <v>39178.0</v>
      </c>
      <c r="G2532" s="14">
        <f t="shared" si="1"/>
        <v>19</v>
      </c>
      <c r="H2532" s="23" t="s">
        <v>100</v>
      </c>
      <c r="I2532" s="24" t="s">
        <v>33</v>
      </c>
      <c r="J2532" s="19" t="s">
        <v>5770</v>
      </c>
      <c r="K2532" s="14">
        <v>25.0</v>
      </c>
      <c r="L2532" s="14">
        <v>0.0</v>
      </c>
      <c r="M2532" s="25"/>
      <c r="N2532" s="26" t="s">
        <v>21</v>
      </c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</row>
    <row r="2533">
      <c r="A2533" s="14" t="s">
        <v>9180</v>
      </c>
      <c r="B2533" s="17" t="s">
        <v>9170</v>
      </c>
      <c r="C2533" s="17" t="s">
        <v>9181</v>
      </c>
      <c r="D2533" s="19" t="s">
        <v>9182</v>
      </c>
      <c r="E2533" s="20" t="s">
        <v>138</v>
      </c>
      <c r="F2533" s="21">
        <v>37475.0</v>
      </c>
      <c r="G2533" s="14">
        <f t="shared" si="1"/>
        <v>24</v>
      </c>
      <c r="H2533" s="23" t="s">
        <v>100</v>
      </c>
      <c r="I2533" s="24" t="s">
        <v>27</v>
      </c>
      <c r="J2533" s="19" t="s">
        <v>328</v>
      </c>
      <c r="K2533" s="14">
        <v>25.0</v>
      </c>
      <c r="L2533" s="14">
        <v>0.0</v>
      </c>
      <c r="M2533" s="25"/>
      <c r="N2533" s="26" t="s">
        <v>21</v>
      </c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7"/>
    </row>
    <row r="2534">
      <c r="A2534" s="14" t="s">
        <v>9183</v>
      </c>
      <c r="B2534" s="17" t="s">
        <v>9170</v>
      </c>
      <c r="C2534" s="17" t="s">
        <v>9184</v>
      </c>
      <c r="D2534" s="19" t="s">
        <v>9185</v>
      </c>
      <c r="E2534" s="20" t="s">
        <v>9186</v>
      </c>
      <c r="F2534" s="21">
        <v>26799.0</v>
      </c>
      <c r="G2534" s="14">
        <f t="shared" si="1"/>
        <v>53</v>
      </c>
      <c r="H2534" s="23" t="s">
        <v>26</v>
      </c>
      <c r="I2534" s="24" t="s">
        <v>27</v>
      </c>
      <c r="J2534" s="19" t="s">
        <v>328</v>
      </c>
      <c r="K2534" s="14">
        <v>25.0</v>
      </c>
      <c r="L2534" s="14">
        <v>0.0</v>
      </c>
      <c r="M2534" s="25"/>
      <c r="N2534" s="26" t="s">
        <v>21</v>
      </c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</row>
    <row r="2535">
      <c r="A2535" s="14" t="s">
        <v>9187</v>
      </c>
      <c r="B2535" s="17" t="s">
        <v>9188</v>
      </c>
      <c r="C2535" s="17" t="s">
        <v>9189</v>
      </c>
      <c r="D2535" s="19" t="s">
        <v>9190</v>
      </c>
      <c r="E2535" s="20" t="s">
        <v>654</v>
      </c>
      <c r="F2535" s="21">
        <v>26057.0</v>
      </c>
      <c r="G2535" s="14">
        <f t="shared" si="1"/>
        <v>55</v>
      </c>
      <c r="H2535" s="23" t="s">
        <v>27</v>
      </c>
      <c r="I2535" s="24" t="s">
        <v>27</v>
      </c>
      <c r="J2535" s="19" t="s">
        <v>53</v>
      </c>
      <c r="K2535" s="14">
        <v>7.0</v>
      </c>
      <c r="L2535" s="14">
        <v>0.0</v>
      </c>
      <c r="M2535" s="25"/>
      <c r="N2535" s="26" t="s">
        <v>21</v>
      </c>
      <c r="O2535" s="7"/>
      <c r="P2535" s="7"/>
      <c r="Q2535" s="7"/>
      <c r="R2535" s="7"/>
      <c r="S2535" s="7"/>
      <c r="T2535" s="7"/>
      <c r="U2535" s="7"/>
      <c r="V2535" s="7"/>
      <c r="W2535" s="7"/>
      <c r="X2535" s="7"/>
      <c r="Y2535" s="7"/>
    </row>
    <row r="2536">
      <c r="A2536" s="14" t="s">
        <v>9191</v>
      </c>
      <c r="B2536" s="17" t="s">
        <v>9192</v>
      </c>
      <c r="C2536" s="17" t="s">
        <v>9193</v>
      </c>
      <c r="D2536" s="19" t="s">
        <v>5232</v>
      </c>
      <c r="E2536" s="20" t="s">
        <v>53</v>
      </c>
      <c r="F2536" s="21">
        <v>34734.0</v>
      </c>
      <c r="G2536" s="14">
        <f t="shared" si="1"/>
        <v>31</v>
      </c>
      <c r="H2536" s="23" t="s">
        <v>26</v>
      </c>
      <c r="I2536" s="24" t="s">
        <v>33</v>
      </c>
      <c r="J2536" s="19" t="s">
        <v>53</v>
      </c>
      <c r="K2536" s="14">
        <v>2.0</v>
      </c>
      <c r="L2536" s="14">
        <v>7.0</v>
      </c>
      <c r="M2536" s="28" t="s">
        <v>10591</v>
      </c>
      <c r="N2536" s="26" t="s">
        <v>21</v>
      </c>
      <c r="O2536" s="7"/>
      <c r="P2536" s="7"/>
      <c r="Q2536" s="7"/>
      <c r="R2536" s="7"/>
      <c r="S2536" s="7"/>
      <c r="T2536" s="7"/>
      <c r="U2536" s="7"/>
      <c r="V2536" s="7"/>
      <c r="W2536" s="7"/>
      <c r="X2536" s="7"/>
      <c r="Y2536" s="7"/>
    </row>
    <row r="2537">
      <c r="A2537" s="14" t="s">
        <v>9194</v>
      </c>
      <c r="B2537" s="17" t="s">
        <v>9195</v>
      </c>
      <c r="C2537" s="17" t="s">
        <v>9196</v>
      </c>
      <c r="D2537" s="19" t="s">
        <v>9197</v>
      </c>
      <c r="E2537" s="20" t="s">
        <v>138</v>
      </c>
      <c r="F2537" s="27">
        <v>35054.0</v>
      </c>
      <c r="G2537" s="14">
        <f t="shared" si="1"/>
        <v>30</v>
      </c>
      <c r="H2537" s="23" t="s">
        <v>100</v>
      </c>
      <c r="I2537" s="24" t="s">
        <v>27</v>
      </c>
      <c r="J2537" s="19" t="s">
        <v>726</v>
      </c>
      <c r="K2537" s="14">
        <v>11.0</v>
      </c>
      <c r="L2537" s="14">
        <v>0.0</v>
      </c>
      <c r="M2537" s="25"/>
      <c r="N2537" s="26" t="s">
        <v>21</v>
      </c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</row>
    <row r="2538">
      <c r="A2538" s="14" t="s">
        <v>9198</v>
      </c>
      <c r="B2538" s="17" t="s">
        <v>9199</v>
      </c>
      <c r="C2538" s="17" t="s">
        <v>9200</v>
      </c>
      <c r="D2538" s="19" t="s">
        <v>9201</v>
      </c>
      <c r="E2538" s="20" t="s">
        <v>290</v>
      </c>
      <c r="F2538" s="21">
        <v>23503.0</v>
      </c>
      <c r="G2538" s="14">
        <f t="shared" si="1"/>
        <v>62</v>
      </c>
      <c r="H2538" s="23" t="s">
        <v>26</v>
      </c>
      <c r="I2538" s="24" t="s">
        <v>27</v>
      </c>
      <c r="J2538" s="19" t="s">
        <v>517</v>
      </c>
      <c r="K2538" s="14">
        <v>36.0</v>
      </c>
      <c r="L2538" s="14">
        <v>0.0</v>
      </c>
      <c r="M2538" s="28" t="s">
        <v>947</v>
      </c>
      <c r="N2538" s="26" t="s">
        <v>21</v>
      </c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</row>
    <row r="2539">
      <c r="A2539" s="14" t="s">
        <v>9202</v>
      </c>
      <c r="B2539" s="17" t="s">
        <v>9199</v>
      </c>
      <c r="C2539" s="17" t="s">
        <v>9203</v>
      </c>
      <c r="D2539" s="19" t="s">
        <v>9204</v>
      </c>
      <c r="E2539" s="20" t="s">
        <v>150</v>
      </c>
      <c r="F2539" s="21">
        <v>35138.0</v>
      </c>
      <c r="G2539" s="14">
        <f t="shared" si="1"/>
        <v>30</v>
      </c>
      <c r="H2539" s="23" t="s">
        <v>26</v>
      </c>
      <c r="I2539" s="24" t="s">
        <v>27</v>
      </c>
      <c r="J2539" s="19" t="s">
        <v>517</v>
      </c>
      <c r="K2539" s="14">
        <v>36.0</v>
      </c>
      <c r="L2539" s="14">
        <v>0.0</v>
      </c>
      <c r="M2539" s="28" t="s">
        <v>947</v>
      </c>
      <c r="N2539" s="26" t="s">
        <v>21</v>
      </c>
      <c r="O2539" s="7"/>
      <c r="P2539" s="7"/>
      <c r="Q2539" s="7"/>
      <c r="R2539" s="7"/>
      <c r="S2539" s="7"/>
      <c r="T2539" s="7"/>
      <c r="U2539" s="7"/>
      <c r="V2539" s="7"/>
      <c r="W2539" s="7"/>
      <c r="X2539" s="7"/>
      <c r="Y2539" s="7"/>
    </row>
    <row r="2540">
      <c r="A2540" s="14" t="s">
        <v>9205</v>
      </c>
      <c r="B2540" s="17" t="s">
        <v>9199</v>
      </c>
      <c r="C2540" s="17" t="s">
        <v>9206</v>
      </c>
      <c r="D2540" s="19" t="s">
        <v>9207</v>
      </c>
      <c r="E2540" s="20" t="s">
        <v>53</v>
      </c>
      <c r="F2540" s="21">
        <v>33788.0</v>
      </c>
      <c r="G2540" s="14">
        <f t="shared" si="1"/>
        <v>34</v>
      </c>
      <c r="H2540" s="23" t="s">
        <v>26</v>
      </c>
      <c r="I2540" s="24" t="s">
        <v>33</v>
      </c>
      <c r="J2540" s="19" t="s">
        <v>517</v>
      </c>
      <c r="K2540" s="14">
        <v>36.0</v>
      </c>
      <c r="L2540" s="14">
        <v>0.0</v>
      </c>
      <c r="M2540" s="28" t="s">
        <v>947</v>
      </c>
      <c r="N2540" s="26" t="s">
        <v>21</v>
      </c>
      <c r="O2540" s="7"/>
      <c r="P2540" s="7"/>
      <c r="Q2540" s="7"/>
      <c r="R2540" s="7"/>
      <c r="S2540" s="7"/>
      <c r="T2540" s="7"/>
      <c r="U2540" s="7"/>
      <c r="V2540" s="7"/>
      <c r="W2540" s="7"/>
      <c r="X2540" s="7"/>
      <c r="Y2540" s="7"/>
    </row>
    <row r="2541">
      <c r="A2541" s="14" t="s">
        <v>9208</v>
      </c>
      <c r="B2541" s="17" t="s">
        <v>9209</v>
      </c>
      <c r="C2541" s="17" t="s">
        <v>9210</v>
      </c>
      <c r="D2541" s="19" t="s">
        <v>9211</v>
      </c>
      <c r="E2541" s="20" t="s">
        <v>104</v>
      </c>
      <c r="F2541" s="21">
        <v>34833.0</v>
      </c>
      <c r="G2541" s="14">
        <f t="shared" si="1"/>
        <v>31</v>
      </c>
      <c r="H2541" s="23" t="s">
        <v>26</v>
      </c>
      <c r="I2541" s="24" t="s">
        <v>27</v>
      </c>
      <c r="J2541" s="19" t="s">
        <v>328</v>
      </c>
      <c r="K2541" s="14">
        <v>23.0</v>
      </c>
      <c r="L2541" s="14">
        <v>0.0</v>
      </c>
      <c r="M2541" s="25"/>
      <c r="N2541" s="26" t="s">
        <v>21</v>
      </c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7"/>
    </row>
    <row r="2542">
      <c r="A2542" s="14" t="s">
        <v>9212</v>
      </c>
      <c r="B2542" s="17" t="s">
        <v>9209</v>
      </c>
      <c r="C2542" s="17" t="s">
        <v>9213</v>
      </c>
      <c r="D2542" s="19" t="s">
        <v>4523</v>
      </c>
      <c r="E2542" s="20" t="s">
        <v>1468</v>
      </c>
      <c r="F2542" s="21">
        <v>32703.0</v>
      </c>
      <c r="G2542" s="14">
        <f t="shared" si="1"/>
        <v>37</v>
      </c>
      <c r="H2542" s="23" t="s">
        <v>26</v>
      </c>
      <c r="I2542" s="24" t="s">
        <v>33</v>
      </c>
      <c r="J2542" s="19" t="s">
        <v>328</v>
      </c>
      <c r="K2542" s="14">
        <v>23.0</v>
      </c>
      <c r="L2542" s="14">
        <v>0.0</v>
      </c>
      <c r="M2542" s="25"/>
      <c r="N2542" s="26" t="s">
        <v>21</v>
      </c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7"/>
    </row>
    <row r="2543">
      <c r="A2543" s="14" t="s">
        <v>9214</v>
      </c>
      <c r="B2543" s="17" t="s">
        <v>9215</v>
      </c>
      <c r="C2543" s="17" t="s">
        <v>9216</v>
      </c>
      <c r="D2543" s="19" t="s">
        <v>9217</v>
      </c>
      <c r="E2543" s="20" t="s">
        <v>632</v>
      </c>
      <c r="F2543" s="21">
        <v>23081.0</v>
      </c>
      <c r="G2543" s="14">
        <f t="shared" si="1"/>
        <v>63</v>
      </c>
      <c r="H2543" s="23" t="s">
        <v>27</v>
      </c>
      <c r="I2543" s="24" t="s">
        <v>27</v>
      </c>
      <c r="J2543" s="19" t="s">
        <v>328</v>
      </c>
      <c r="K2543" s="14">
        <v>23.0</v>
      </c>
      <c r="L2543" s="14">
        <v>0.0</v>
      </c>
      <c r="M2543" s="25"/>
      <c r="N2543" s="26" t="s">
        <v>21</v>
      </c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7"/>
    </row>
    <row r="2544">
      <c r="A2544" s="14" t="s">
        <v>9218</v>
      </c>
      <c r="B2544" s="17" t="s">
        <v>9219</v>
      </c>
      <c r="C2544" s="17" t="s">
        <v>9220</v>
      </c>
      <c r="D2544" s="19" t="s">
        <v>9221</v>
      </c>
      <c r="E2544" s="20" t="s">
        <v>5476</v>
      </c>
      <c r="F2544" s="21">
        <v>36433.0</v>
      </c>
      <c r="G2544" s="14">
        <f t="shared" si="1"/>
        <v>27</v>
      </c>
      <c r="H2544" s="23" t="s">
        <v>100</v>
      </c>
      <c r="I2544" s="24" t="s">
        <v>33</v>
      </c>
      <c r="J2544" s="19" t="s">
        <v>282</v>
      </c>
      <c r="K2544" s="14">
        <v>12.0</v>
      </c>
      <c r="L2544" s="14">
        <v>0.0</v>
      </c>
      <c r="M2544" s="25"/>
      <c r="N2544" s="26" t="s">
        <v>21</v>
      </c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</row>
    <row r="2545">
      <c r="A2545" s="14" t="s">
        <v>9222</v>
      </c>
      <c r="B2545" s="17" t="s">
        <v>9219</v>
      </c>
      <c r="C2545" s="17" t="s">
        <v>9223</v>
      </c>
      <c r="D2545" s="19" t="s">
        <v>3110</v>
      </c>
      <c r="E2545" s="20" t="s">
        <v>112</v>
      </c>
      <c r="F2545" s="27">
        <v>28839.0</v>
      </c>
      <c r="G2545" s="14">
        <f t="shared" si="1"/>
        <v>47</v>
      </c>
      <c r="H2545" s="23" t="s">
        <v>27</v>
      </c>
      <c r="I2545" s="24" t="s">
        <v>27</v>
      </c>
      <c r="J2545" s="19" t="s">
        <v>328</v>
      </c>
      <c r="K2545" s="14">
        <v>12.0</v>
      </c>
      <c r="L2545" s="14">
        <v>5.0</v>
      </c>
      <c r="M2545" s="25"/>
      <c r="N2545" s="26" t="s">
        <v>21</v>
      </c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7"/>
    </row>
    <row r="2546">
      <c r="A2546" s="14" t="s">
        <v>9224</v>
      </c>
      <c r="B2546" s="17" t="s">
        <v>9225</v>
      </c>
      <c r="C2546" s="17" t="s">
        <v>9226</v>
      </c>
      <c r="D2546" s="19" t="s">
        <v>9227</v>
      </c>
      <c r="E2546" s="20" t="s">
        <v>104</v>
      </c>
      <c r="F2546" s="21">
        <v>29074.0</v>
      </c>
      <c r="G2546" s="14">
        <f t="shared" si="1"/>
        <v>47</v>
      </c>
      <c r="H2546" s="23" t="s">
        <v>26</v>
      </c>
      <c r="I2546" s="24" t="s">
        <v>33</v>
      </c>
      <c r="J2546" s="19" t="s">
        <v>206</v>
      </c>
      <c r="K2546" s="14">
        <v>2.0</v>
      </c>
      <c r="L2546" s="14">
        <v>0.0</v>
      </c>
      <c r="M2546" s="25"/>
      <c r="N2546" s="26" t="s">
        <v>21</v>
      </c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</row>
    <row r="2547">
      <c r="A2547" s="14" t="s">
        <v>9228</v>
      </c>
      <c r="B2547" s="17" t="s">
        <v>9225</v>
      </c>
      <c r="C2547" s="17" t="s">
        <v>9229</v>
      </c>
      <c r="D2547" s="19" t="s">
        <v>9230</v>
      </c>
      <c r="E2547" s="20" t="s">
        <v>104</v>
      </c>
      <c r="F2547" s="21">
        <v>37272.0</v>
      </c>
      <c r="G2547" s="14">
        <f t="shared" si="1"/>
        <v>24</v>
      </c>
      <c r="H2547" s="23" t="s">
        <v>100</v>
      </c>
      <c r="I2547" s="24" t="s">
        <v>33</v>
      </c>
      <c r="J2547" s="19" t="s">
        <v>206</v>
      </c>
      <c r="K2547" s="14">
        <v>2.0</v>
      </c>
      <c r="L2547" s="14">
        <v>7.0</v>
      </c>
      <c r="M2547" s="54" t="s">
        <v>10639</v>
      </c>
      <c r="N2547" s="26" t="s">
        <v>21</v>
      </c>
      <c r="O2547" s="7"/>
      <c r="P2547" s="7"/>
      <c r="Q2547" s="7"/>
      <c r="R2547" s="7"/>
      <c r="S2547" s="7"/>
      <c r="T2547" s="7"/>
      <c r="U2547" s="7"/>
      <c r="V2547" s="7"/>
      <c r="W2547" s="7"/>
      <c r="X2547" s="7"/>
      <c r="Y2547" s="7"/>
    </row>
    <row r="2548">
      <c r="A2548" s="14" t="s">
        <v>9231</v>
      </c>
      <c r="B2548" s="17" t="s">
        <v>9225</v>
      </c>
      <c r="C2548" s="17" t="s">
        <v>9232</v>
      </c>
      <c r="D2548" s="19" t="s">
        <v>9233</v>
      </c>
      <c r="E2548" s="20" t="s">
        <v>1468</v>
      </c>
      <c r="F2548" s="21">
        <v>30514.0</v>
      </c>
      <c r="G2548" s="14">
        <f t="shared" si="1"/>
        <v>43</v>
      </c>
      <c r="H2548" s="23" t="s">
        <v>26</v>
      </c>
      <c r="I2548" s="24" t="s">
        <v>27</v>
      </c>
      <c r="J2548" s="19" t="s">
        <v>206</v>
      </c>
      <c r="K2548" s="14">
        <v>2.0</v>
      </c>
      <c r="L2548" s="14">
        <v>0.0</v>
      </c>
      <c r="M2548" s="25"/>
      <c r="N2548" s="26" t="s">
        <v>21</v>
      </c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</row>
    <row r="2549">
      <c r="A2549" s="14" t="s">
        <v>9234</v>
      </c>
      <c r="B2549" s="17" t="s">
        <v>9235</v>
      </c>
      <c r="C2549" s="17" t="s">
        <v>9236</v>
      </c>
      <c r="D2549" s="19" t="s">
        <v>9237</v>
      </c>
      <c r="E2549" s="20" t="s">
        <v>104</v>
      </c>
      <c r="F2549" s="21">
        <v>37380.0</v>
      </c>
      <c r="G2549" s="14">
        <f t="shared" si="1"/>
        <v>24</v>
      </c>
      <c r="H2549" s="23" t="s">
        <v>100</v>
      </c>
      <c r="I2549" s="24" t="s">
        <v>33</v>
      </c>
      <c r="J2549" s="19" t="s">
        <v>146</v>
      </c>
      <c r="K2549" s="14">
        <v>2.0</v>
      </c>
      <c r="L2549" s="14">
        <v>0.0</v>
      </c>
      <c r="M2549" s="25"/>
      <c r="N2549" s="26" t="s">
        <v>21</v>
      </c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7"/>
    </row>
    <row r="2550">
      <c r="A2550" s="14" t="s">
        <v>9238</v>
      </c>
      <c r="B2550" s="17" t="s">
        <v>9235</v>
      </c>
      <c r="C2550" s="17" t="s">
        <v>9239</v>
      </c>
      <c r="D2550" s="19" t="s">
        <v>9240</v>
      </c>
      <c r="E2550" s="20" t="s">
        <v>666</v>
      </c>
      <c r="F2550" s="27">
        <v>28408.0</v>
      </c>
      <c r="G2550" s="14">
        <f t="shared" si="1"/>
        <v>49</v>
      </c>
      <c r="H2550" s="23" t="s">
        <v>26</v>
      </c>
      <c r="I2550" s="24" t="s">
        <v>33</v>
      </c>
      <c r="J2550" s="19" t="s">
        <v>146</v>
      </c>
      <c r="K2550" s="14">
        <v>2.0</v>
      </c>
      <c r="L2550" s="14">
        <v>0.0</v>
      </c>
      <c r="M2550" s="25"/>
      <c r="N2550" s="26" t="s">
        <v>21</v>
      </c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</row>
    <row r="2551">
      <c r="A2551" s="14" t="s">
        <v>9241</v>
      </c>
      <c r="B2551" s="17" t="s">
        <v>9235</v>
      </c>
      <c r="C2551" s="17" t="s">
        <v>9242</v>
      </c>
      <c r="D2551" s="19" t="s">
        <v>9243</v>
      </c>
      <c r="E2551" s="20" t="s">
        <v>53</v>
      </c>
      <c r="F2551" s="21">
        <v>38565.0</v>
      </c>
      <c r="G2551" s="14">
        <f t="shared" si="1"/>
        <v>21</v>
      </c>
      <c r="H2551" s="23" t="s">
        <v>100</v>
      </c>
      <c r="I2551" s="24" t="s">
        <v>27</v>
      </c>
      <c r="J2551" s="19" t="s">
        <v>146</v>
      </c>
      <c r="K2551" s="14">
        <v>2.0</v>
      </c>
      <c r="L2551" s="14">
        <v>0.0</v>
      </c>
      <c r="M2551" s="25"/>
      <c r="N2551" s="26" t="s">
        <v>21</v>
      </c>
      <c r="O2551" s="7"/>
      <c r="P2551" s="7"/>
      <c r="Q2551" s="7"/>
      <c r="R2551" s="7"/>
      <c r="S2551" s="7"/>
      <c r="T2551" s="7"/>
      <c r="U2551" s="7"/>
      <c r="V2551" s="7"/>
      <c r="W2551" s="7"/>
      <c r="X2551" s="7"/>
      <c r="Y2551" s="7"/>
    </row>
    <row r="2552">
      <c r="A2552" s="14" t="s">
        <v>9244</v>
      </c>
      <c r="B2552" s="17" t="s">
        <v>9235</v>
      </c>
      <c r="C2552" s="17" t="s">
        <v>9245</v>
      </c>
      <c r="D2552" s="19" t="s">
        <v>9246</v>
      </c>
      <c r="E2552" s="20" t="s">
        <v>104</v>
      </c>
      <c r="F2552" s="21">
        <v>28614.0</v>
      </c>
      <c r="G2552" s="14">
        <f t="shared" si="1"/>
        <v>48</v>
      </c>
      <c r="H2552" s="23" t="s">
        <v>26</v>
      </c>
      <c r="I2552" s="24" t="s">
        <v>27</v>
      </c>
      <c r="J2552" s="19" t="s">
        <v>146</v>
      </c>
      <c r="K2552" s="14">
        <v>2.0</v>
      </c>
      <c r="L2552" s="14">
        <v>0.0</v>
      </c>
      <c r="M2552" s="25"/>
      <c r="N2552" s="26" t="s">
        <v>21</v>
      </c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</row>
    <row r="2553">
      <c r="A2553" s="14" t="s">
        <v>9247</v>
      </c>
      <c r="B2553" s="17" t="s">
        <v>9248</v>
      </c>
      <c r="C2553" s="17" t="s">
        <v>9249</v>
      </c>
      <c r="D2553" s="19" t="s">
        <v>9250</v>
      </c>
      <c r="E2553" s="20" t="s">
        <v>1870</v>
      </c>
      <c r="F2553" s="21">
        <v>38887.0</v>
      </c>
      <c r="G2553" s="14">
        <f t="shared" si="1"/>
        <v>20</v>
      </c>
      <c r="H2553" s="23" t="s">
        <v>100</v>
      </c>
      <c r="I2553" s="24" t="s">
        <v>27</v>
      </c>
      <c r="J2553" s="19" t="s">
        <v>146</v>
      </c>
      <c r="K2553" s="14">
        <v>2.0</v>
      </c>
      <c r="L2553" s="14">
        <v>0.0</v>
      </c>
      <c r="M2553" s="25"/>
      <c r="N2553" s="26" t="s">
        <v>21</v>
      </c>
      <c r="O2553" s="7"/>
      <c r="P2553" s="7"/>
      <c r="Q2553" s="7"/>
      <c r="R2553" s="7"/>
      <c r="S2553" s="7"/>
      <c r="T2553" s="7"/>
      <c r="U2553" s="7"/>
      <c r="V2553" s="7"/>
      <c r="W2553" s="7"/>
      <c r="X2553" s="7"/>
      <c r="Y2553" s="7"/>
    </row>
    <row r="2554">
      <c r="A2554" s="14" t="s">
        <v>9251</v>
      </c>
      <c r="B2554" s="17" t="s">
        <v>9248</v>
      </c>
      <c r="C2554" s="17" t="s">
        <v>9252</v>
      </c>
      <c r="D2554" s="19" t="s">
        <v>9253</v>
      </c>
      <c r="E2554" s="20" t="s">
        <v>53</v>
      </c>
      <c r="F2554" s="21">
        <v>36973.0</v>
      </c>
      <c r="G2554" s="14">
        <f t="shared" si="1"/>
        <v>25</v>
      </c>
      <c r="H2554" s="23" t="s">
        <v>100</v>
      </c>
      <c r="I2554" s="24" t="s">
        <v>33</v>
      </c>
      <c r="J2554" s="19" t="s">
        <v>146</v>
      </c>
      <c r="K2554" s="14">
        <v>2.0</v>
      </c>
      <c r="L2554" s="14">
        <v>0.0</v>
      </c>
      <c r="M2554" s="25"/>
      <c r="N2554" s="26" t="s">
        <v>21</v>
      </c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</row>
    <row r="2555">
      <c r="A2555" s="14" t="s">
        <v>9254</v>
      </c>
      <c r="B2555" s="17" t="s">
        <v>9248</v>
      </c>
      <c r="C2555" s="17" t="s">
        <v>9255</v>
      </c>
      <c r="D2555" s="19" t="s">
        <v>9256</v>
      </c>
      <c r="E2555" s="20" t="s">
        <v>434</v>
      </c>
      <c r="F2555" s="21">
        <v>24361.0</v>
      </c>
      <c r="G2555" s="14">
        <f t="shared" si="1"/>
        <v>60</v>
      </c>
      <c r="H2555" s="23" t="s">
        <v>26</v>
      </c>
      <c r="I2555" s="24" t="s">
        <v>33</v>
      </c>
      <c r="J2555" s="19" t="s">
        <v>146</v>
      </c>
      <c r="K2555" s="14">
        <v>2.0</v>
      </c>
      <c r="L2555" s="14">
        <v>0.0</v>
      </c>
      <c r="M2555" s="25"/>
      <c r="N2555" s="26" t="s">
        <v>21</v>
      </c>
      <c r="O2555" s="7"/>
      <c r="P2555" s="7"/>
      <c r="Q2555" s="7"/>
      <c r="R2555" s="7"/>
      <c r="S2555" s="7"/>
      <c r="T2555" s="7"/>
      <c r="U2555" s="7"/>
      <c r="V2555" s="7"/>
      <c r="W2555" s="7"/>
      <c r="X2555" s="7"/>
      <c r="Y2555" s="7"/>
    </row>
    <row r="2556">
      <c r="A2556" s="14" t="s">
        <v>9257</v>
      </c>
      <c r="B2556" s="17" t="s">
        <v>9248</v>
      </c>
      <c r="C2556" s="17" t="s">
        <v>9258</v>
      </c>
      <c r="D2556" s="19" t="s">
        <v>9259</v>
      </c>
      <c r="E2556" s="20" t="s">
        <v>434</v>
      </c>
      <c r="F2556" s="21">
        <v>29330.0</v>
      </c>
      <c r="G2556" s="14">
        <f t="shared" si="1"/>
        <v>46</v>
      </c>
      <c r="H2556" s="23" t="s">
        <v>26</v>
      </c>
      <c r="I2556" s="24" t="s">
        <v>27</v>
      </c>
      <c r="J2556" s="19" t="s">
        <v>146</v>
      </c>
      <c r="K2556" s="14">
        <v>2.0</v>
      </c>
      <c r="L2556" s="14">
        <v>0.0</v>
      </c>
      <c r="M2556" s="25"/>
      <c r="N2556" s="26" t="s">
        <v>21</v>
      </c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</row>
    <row r="2557">
      <c r="A2557" s="14" t="s">
        <v>9260</v>
      </c>
      <c r="B2557" s="17" t="s">
        <v>9261</v>
      </c>
      <c r="C2557" s="17" t="s">
        <v>9262</v>
      </c>
      <c r="D2557" s="19" t="s">
        <v>9263</v>
      </c>
      <c r="E2557" s="20" t="s">
        <v>9264</v>
      </c>
      <c r="F2557" s="27">
        <v>31330.0</v>
      </c>
      <c r="G2557" s="14">
        <f t="shared" si="1"/>
        <v>41</v>
      </c>
      <c r="H2557" s="23" t="s">
        <v>26</v>
      </c>
      <c r="I2557" s="24" t="s">
        <v>27</v>
      </c>
      <c r="J2557" s="19" t="s">
        <v>757</v>
      </c>
      <c r="K2557" s="14">
        <v>1.0</v>
      </c>
      <c r="L2557" s="14">
        <v>0.0</v>
      </c>
      <c r="M2557" s="25"/>
      <c r="N2557" s="26" t="s">
        <v>21</v>
      </c>
      <c r="O2557" s="7"/>
      <c r="P2557" s="7"/>
      <c r="Q2557" s="7"/>
      <c r="R2557" s="7"/>
      <c r="S2557" s="7"/>
      <c r="T2557" s="7"/>
      <c r="U2557" s="7"/>
      <c r="V2557" s="7"/>
      <c r="W2557" s="7"/>
      <c r="X2557" s="7"/>
      <c r="Y2557" s="7"/>
    </row>
    <row r="2558">
      <c r="A2558" s="14" t="s">
        <v>9265</v>
      </c>
      <c r="B2558" s="17" t="s">
        <v>9261</v>
      </c>
      <c r="C2558" s="17" t="s">
        <v>9266</v>
      </c>
      <c r="D2558" s="19" t="s">
        <v>9267</v>
      </c>
      <c r="E2558" s="20" t="s">
        <v>9268</v>
      </c>
      <c r="F2558" s="21">
        <v>30288.0</v>
      </c>
      <c r="G2558" s="14">
        <f t="shared" si="1"/>
        <v>43</v>
      </c>
      <c r="H2558" s="23" t="s">
        <v>26</v>
      </c>
      <c r="I2558" s="24" t="s">
        <v>27</v>
      </c>
      <c r="J2558" s="19" t="s">
        <v>146</v>
      </c>
      <c r="K2558" s="14">
        <v>2.0</v>
      </c>
      <c r="L2558" s="14">
        <v>0.0</v>
      </c>
      <c r="M2558" s="25"/>
      <c r="N2558" s="26" t="s">
        <v>21</v>
      </c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7"/>
    </row>
    <row r="2559">
      <c r="A2559" s="14" t="s">
        <v>9269</v>
      </c>
      <c r="B2559" s="17" t="s">
        <v>9261</v>
      </c>
      <c r="C2559" s="17" t="s">
        <v>9270</v>
      </c>
      <c r="D2559" s="19" t="s">
        <v>9271</v>
      </c>
      <c r="E2559" s="20" t="s">
        <v>104</v>
      </c>
      <c r="F2559" s="21">
        <v>28286.0</v>
      </c>
      <c r="G2559" s="14">
        <f t="shared" si="1"/>
        <v>49</v>
      </c>
      <c r="H2559" s="23" t="s">
        <v>26</v>
      </c>
      <c r="I2559" s="24" t="s">
        <v>33</v>
      </c>
      <c r="J2559" s="19" t="s">
        <v>146</v>
      </c>
      <c r="K2559" s="14">
        <v>2.0</v>
      </c>
      <c r="L2559" s="14">
        <v>0.0</v>
      </c>
      <c r="M2559" s="25"/>
      <c r="N2559" s="26" t="s">
        <v>21</v>
      </c>
      <c r="O2559" s="7"/>
      <c r="P2559" s="7"/>
      <c r="Q2559" s="7"/>
      <c r="R2559" s="7"/>
      <c r="S2559" s="7"/>
      <c r="T2559" s="7"/>
      <c r="U2559" s="7"/>
      <c r="V2559" s="7"/>
      <c r="W2559" s="7"/>
      <c r="X2559" s="7"/>
      <c r="Y2559" s="7"/>
    </row>
    <row r="2560">
      <c r="A2560" s="14" t="s">
        <v>9272</v>
      </c>
      <c r="B2560" s="17" t="s">
        <v>9261</v>
      </c>
      <c r="C2560" s="17" t="s">
        <v>9273</v>
      </c>
      <c r="D2560" s="19" t="s">
        <v>9274</v>
      </c>
      <c r="E2560" s="20" t="s">
        <v>210</v>
      </c>
      <c r="F2560" s="27">
        <v>29582.0</v>
      </c>
      <c r="G2560" s="14">
        <f t="shared" si="1"/>
        <v>45</v>
      </c>
      <c r="H2560" s="23" t="s">
        <v>26</v>
      </c>
      <c r="I2560" s="24" t="s">
        <v>33</v>
      </c>
      <c r="J2560" s="19" t="s">
        <v>757</v>
      </c>
      <c r="K2560" s="14">
        <v>1.0</v>
      </c>
      <c r="L2560" s="14">
        <v>0.0</v>
      </c>
      <c r="M2560" s="25"/>
      <c r="N2560" s="26" t="s">
        <v>21</v>
      </c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7"/>
    </row>
    <row r="2561">
      <c r="A2561" s="14" t="s">
        <v>9275</v>
      </c>
      <c r="B2561" s="17" t="s">
        <v>9276</v>
      </c>
      <c r="C2561" s="17" t="s">
        <v>9277</v>
      </c>
      <c r="D2561" s="19" t="s">
        <v>6768</v>
      </c>
      <c r="E2561" s="20" t="s">
        <v>4976</v>
      </c>
      <c r="F2561" s="21">
        <v>18568.0</v>
      </c>
      <c r="G2561" s="14">
        <f t="shared" si="1"/>
        <v>75</v>
      </c>
      <c r="H2561" s="23" t="s">
        <v>27</v>
      </c>
      <c r="I2561" s="24" t="s">
        <v>27</v>
      </c>
      <c r="J2561" s="19" t="s">
        <v>282</v>
      </c>
      <c r="K2561" s="14">
        <v>17.0</v>
      </c>
      <c r="L2561" s="14">
        <v>0.0</v>
      </c>
      <c r="M2561" s="25"/>
      <c r="N2561" s="26" t="s">
        <v>21</v>
      </c>
      <c r="O2561" s="7"/>
      <c r="P2561" s="7"/>
      <c r="Q2561" s="7"/>
      <c r="R2561" s="7"/>
      <c r="S2561" s="7"/>
      <c r="T2561" s="7"/>
      <c r="U2561" s="7"/>
      <c r="V2561" s="7"/>
      <c r="W2561" s="7"/>
      <c r="X2561" s="7"/>
      <c r="Y2561" s="7"/>
    </row>
    <row r="2562">
      <c r="A2562" s="14" t="s">
        <v>9278</v>
      </c>
      <c r="B2562" s="17" t="s">
        <v>9279</v>
      </c>
      <c r="C2562" s="17" t="s">
        <v>9280</v>
      </c>
      <c r="D2562" s="19" t="s">
        <v>5461</v>
      </c>
      <c r="E2562" s="20" t="s">
        <v>632</v>
      </c>
      <c r="F2562" s="27">
        <v>25547.0</v>
      </c>
      <c r="G2562" s="14">
        <f t="shared" si="1"/>
        <v>56</v>
      </c>
      <c r="H2562" s="23" t="s">
        <v>27</v>
      </c>
      <c r="I2562" s="24" t="s">
        <v>27</v>
      </c>
      <c r="J2562" s="19" t="s">
        <v>53</v>
      </c>
      <c r="K2562" s="14">
        <v>30.0</v>
      </c>
      <c r="L2562" s="14">
        <v>0.0</v>
      </c>
      <c r="M2562" s="25"/>
      <c r="N2562" s="26" t="s">
        <v>21</v>
      </c>
      <c r="O2562" s="7"/>
      <c r="P2562" s="7"/>
      <c r="Q2562" s="7"/>
      <c r="R2562" s="7"/>
      <c r="S2562" s="7"/>
      <c r="T2562" s="7"/>
      <c r="U2562" s="7"/>
      <c r="V2562" s="7"/>
      <c r="W2562" s="7"/>
      <c r="X2562" s="7"/>
      <c r="Y2562" s="7"/>
    </row>
    <row r="2563">
      <c r="A2563" s="14" t="s">
        <v>9281</v>
      </c>
      <c r="B2563" s="17" t="s">
        <v>9282</v>
      </c>
      <c r="C2563" s="17" t="s">
        <v>9283</v>
      </c>
      <c r="D2563" s="19" t="s">
        <v>9284</v>
      </c>
      <c r="E2563" s="20" t="s">
        <v>53</v>
      </c>
      <c r="F2563" s="21">
        <v>28338.0</v>
      </c>
      <c r="G2563" s="14">
        <f t="shared" si="1"/>
        <v>49</v>
      </c>
      <c r="H2563" s="23" t="s">
        <v>26</v>
      </c>
      <c r="I2563" s="24" t="s">
        <v>33</v>
      </c>
      <c r="J2563" s="19" t="s">
        <v>726</v>
      </c>
      <c r="K2563" s="14">
        <v>11.0</v>
      </c>
      <c r="L2563" s="14">
        <v>0.0</v>
      </c>
      <c r="M2563" s="25"/>
      <c r="N2563" s="26" t="s">
        <v>21</v>
      </c>
      <c r="O2563" s="7"/>
      <c r="P2563" s="7"/>
      <c r="Q2563" s="7"/>
      <c r="R2563" s="7"/>
      <c r="S2563" s="7"/>
      <c r="T2563" s="7"/>
      <c r="U2563" s="7"/>
      <c r="V2563" s="7"/>
      <c r="W2563" s="7"/>
      <c r="X2563" s="7"/>
      <c r="Y2563" s="7"/>
    </row>
    <row r="2564">
      <c r="A2564" s="14" t="s">
        <v>9285</v>
      </c>
      <c r="B2564" s="17" t="s">
        <v>9282</v>
      </c>
      <c r="C2564" s="17" t="s">
        <v>9286</v>
      </c>
      <c r="D2564" s="19" t="s">
        <v>9287</v>
      </c>
      <c r="E2564" s="20" t="s">
        <v>104</v>
      </c>
      <c r="F2564" s="21">
        <v>37454.0</v>
      </c>
      <c r="G2564" s="14">
        <f t="shared" si="1"/>
        <v>24</v>
      </c>
      <c r="H2564" s="23" t="s">
        <v>100</v>
      </c>
      <c r="I2564" s="24" t="s">
        <v>27</v>
      </c>
      <c r="J2564" s="19" t="s">
        <v>726</v>
      </c>
      <c r="K2564" s="14">
        <v>11.0</v>
      </c>
      <c r="L2564" s="14">
        <v>0.0</v>
      </c>
      <c r="M2564" s="25"/>
      <c r="N2564" s="26" t="s">
        <v>21</v>
      </c>
      <c r="O2564" s="7"/>
      <c r="P2564" s="7"/>
      <c r="Q2564" s="7"/>
      <c r="R2564" s="7"/>
      <c r="S2564" s="7"/>
      <c r="T2564" s="7"/>
      <c r="U2564" s="7"/>
      <c r="V2564" s="7"/>
      <c r="W2564" s="7"/>
      <c r="X2564" s="7"/>
      <c r="Y2564" s="7"/>
    </row>
    <row r="2565">
      <c r="A2565" s="14" t="s">
        <v>9288</v>
      </c>
      <c r="B2565" s="17" t="s">
        <v>9282</v>
      </c>
      <c r="C2565" s="17" t="s">
        <v>9289</v>
      </c>
      <c r="D2565" s="19" t="s">
        <v>9290</v>
      </c>
      <c r="E2565" s="20" t="s">
        <v>104</v>
      </c>
      <c r="F2565" s="21">
        <v>29696.0</v>
      </c>
      <c r="G2565" s="14">
        <f t="shared" si="1"/>
        <v>45</v>
      </c>
      <c r="H2565" s="23" t="s">
        <v>26</v>
      </c>
      <c r="I2565" s="24" t="s">
        <v>27</v>
      </c>
      <c r="J2565" s="19" t="s">
        <v>726</v>
      </c>
      <c r="K2565" s="14">
        <v>11.0</v>
      </c>
      <c r="L2565" s="14">
        <v>0.0</v>
      </c>
      <c r="M2565" s="25"/>
      <c r="N2565" s="26" t="s">
        <v>21</v>
      </c>
      <c r="O2565" s="7"/>
      <c r="P2565" s="7"/>
      <c r="Q2565" s="7"/>
      <c r="R2565" s="7"/>
      <c r="S2565" s="7"/>
      <c r="T2565" s="7"/>
      <c r="U2565" s="7"/>
      <c r="V2565" s="7"/>
      <c r="W2565" s="7"/>
      <c r="X2565" s="7"/>
      <c r="Y2565" s="7"/>
    </row>
    <row r="2566">
      <c r="A2566" s="14" t="s">
        <v>9291</v>
      </c>
      <c r="B2566" s="17" t="s">
        <v>9292</v>
      </c>
      <c r="C2566" s="17" t="s">
        <v>9293</v>
      </c>
      <c r="D2566" s="19" t="s">
        <v>3928</v>
      </c>
      <c r="E2566" s="20" t="s">
        <v>53</v>
      </c>
      <c r="F2566" s="21">
        <v>29468.0</v>
      </c>
      <c r="G2566" s="14">
        <f t="shared" si="1"/>
        <v>46</v>
      </c>
      <c r="H2566" s="23" t="s">
        <v>26</v>
      </c>
      <c r="I2566" s="24" t="s">
        <v>33</v>
      </c>
      <c r="J2566" s="19" t="s">
        <v>146</v>
      </c>
      <c r="K2566" s="14">
        <v>3.0</v>
      </c>
      <c r="L2566" s="14">
        <v>0.0</v>
      </c>
      <c r="M2566" s="25"/>
      <c r="N2566" s="26" t="s">
        <v>21</v>
      </c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7"/>
    </row>
    <row r="2567">
      <c r="A2567" s="14" t="s">
        <v>9294</v>
      </c>
      <c r="B2567" s="17" t="s">
        <v>9292</v>
      </c>
      <c r="C2567" s="17" t="s">
        <v>9295</v>
      </c>
      <c r="D2567" s="19" t="s">
        <v>9296</v>
      </c>
      <c r="E2567" s="20" t="s">
        <v>624</v>
      </c>
      <c r="F2567" s="27">
        <v>35355.0</v>
      </c>
      <c r="G2567" s="14">
        <f t="shared" si="1"/>
        <v>30</v>
      </c>
      <c r="H2567" s="23" t="s">
        <v>26</v>
      </c>
      <c r="I2567" s="24" t="s">
        <v>27</v>
      </c>
      <c r="J2567" s="19" t="s">
        <v>146</v>
      </c>
      <c r="K2567" s="14">
        <v>3.0</v>
      </c>
      <c r="L2567" s="14">
        <v>0.0</v>
      </c>
      <c r="M2567" s="25"/>
      <c r="N2567" s="26" t="s">
        <v>21</v>
      </c>
      <c r="O2567" s="7"/>
      <c r="P2567" s="7"/>
      <c r="Q2567" s="7"/>
      <c r="R2567" s="7"/>
      <c r="S2567" s="7"/>
      <c r="T2567" s="7"/>
      <c r="U2567" s="7"/>
      <c r="V2567" s="7"/>
      <c r="W2567" s="7"/>
      <c r="X2567" s="7"/>
      <c r="Y2567" s="7"/>
    </row>
    <row r="2568">
      <c r="A2568" s="14" t="s">
        <v>9297</v>
      </c>
      <c r="B2568" s="17" t="s">
        <v>9298</v>
      </c>
      <c r="C2568" s="17" t="s">
        <v>9299</v>
      </c>
      <c r="D2568" s="19" t="s">
        <v>9211</v>
      </c>
      <c r="E2568" s="20" t="s">
        <v>9056</v>
      </c>
      <c r="F2568" s="21">
        <v>32258.0</v>
      </c>
      <c r="G2568" s="14">
        <f t="shared" si="1"/>
        <v>38</v>
      </c>
      <c r="H2568" s="23" t="s">
        <v>26</v>
      </c>
      <c r="I2568" s="24" t="s">
        <v>27</v>
      </c>
      <c r="J2568" s="19" t="s">
        <v>517</v>
      </c>
      <c r="K2568" s="14">
        <v>8.0</v>
      </c>
      <c r="L2568" s="14">
        <v>0.0</v>
      </c>
      <c r="M2568" s="25"/>
      <c r="N2568" s="26" t="s">
        <v>21</v>
      </c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</row>
    <row r="2569">
      <c r="A2569" s="14" t="s">
        <v>9300</v>
      </c>
      <c r="B2569" s="17" t="s">
        <v>9298</v>
      </c>
      <c r="C2569" s="17" t="s">
        <v>9301</v>
      </c>
      <c r="D2569" s="19" t="s">
        <v>2257</v>
      </c>
      <c r="E2569" s="20" t="s">
        <v>632</v>
      </c>
      <c r="F2569" s="21">
        <v>28576.0</v>
      </c>
      <c r="G2569" s="14">
        <f t="shared" si="1"/>
        <v>48</v>
      </c>
      <c r="H2569" s="23" t="s">
        <v>26</v>
      </c>
      <c r="I2569" s="24" t="s">
        <v>33</v>
      </c>
      <c r="J2569" s="19" t="s">
        <v>517</v>
      </c>
      <c r="K2569" s="14">
        <v>8.0</v>
      </c>
      <c r="L2569" s="14">
        <v>0.0</v>
      </c>
      <c r="M2569" s="25"/>
      <c r="N2569" s="26" t="s">
        <v>21</v>
      </c>
      <c r="O2569" s="7"/>
      <c r="P2569" s="7"/>
      <c r="Q2569" s="7"/>
      <c r="R2569" s="7"/>
      <c r="S2569" s="7"/>
      <c r="T2569" s="7"/>
      <c r="U2569" s="7"/>
      <c r="V2569" s="7"/>
      <c r="W2569" s="7"/>
      <c r="X2569" s="7"/>
      <c r="Y2569" s="7"/>
    </row>
    <row r="2570">
      <c r="A2570" s="14" t="s">
        <v>9302</v>
      </c>
      <c r="B2570" s="17" t="s">
        <v>9303</v>
      </c>
      <c r="C2570" s="17" t="s">
        <v>9304</v>
      </c>
      <c r="D2570" s="19" t="s">
        <v>9305</v>
      </c>
      <c r="E2570" s="20" t="s">
        <v>104</v>
      </c>
      <c r="F2570" s="21">
        <v>33369.0</v>
      </c>
      <c r="G2570" s="14">
        <f t="shared" si="1"/>
        <v>35</v>
      </c>
      <c r="H2570" s="23" t="s">
        <v>26</v>
      </c>
      <c r="I2570" s="24" t="s">
        <v>27</v>
      </c>
      <c r="J2570" s="19" t="s">
        <v>53</v>
      </c>
      <c r="K2570" s="14">
        <v>5.0</v>
      </c>
      <c r="L2570" s="14">
        <v>0.0</v>
      </c>
      <c r="M2570" s="25"/>
      <c r="N2570" s="26" t="s">
        <v>21</v>
      </c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7"/>
    </row>
    <row r="2571">
      <c r="A2571" s="14" t="s">
        <v>9306</v>
      </c>
      <c r="B2571" s="17" t="s">
        <v>9303</v>
      </c>
      <c r="C2571" s="17" t="s">
        <v>9307</v>
      </c>
      <c r="D2571" s="19" t="s">
        <v>9308</v>
      </c>
      <c r="E2571" s="20" t="s">
        <v>650</v>
      </c>
      <c r="F2571" s="21">
        <v>22114.0</v>
      </c>
      <c r="G2571" s="14">
        <f t="shared" si="1"/>
        <v>66</v>
      </c>
      <c r="H2571" s="23" t="s">
        <v>27</v>
      </c>
      <c r="I2571" s="24" t="s">
        <v>27</v>
      </c>
      <c r="J2571" s="19" t="s">
        <v>2431</v>
      </c>
      <c r="K2571" s="14">
        <v>5.0</v>
      </c>
      <c r="L2571" s="14">
        <v>0.0</v>
      </c>
      <c r="M2571" s="25"/>
      <c r="N2571" s="26" t="s">
        <v>21</v>
      </c>
      <c r="O2571" s="7"/>
      <c r="P2571" s="7"/>
      <c r="Q2571" s="7"/>
      <c r="R2571" s="7"/>
      <c r="S2571" s="7"/>
      <c r="T2571" s="7"/>
      <c r="U2571" s="7"/>
      <c r="V2571" s="7"/>
      <c r="W2571" s="7"/>
      <c r="X2571" s="7"/>
      <c r="Y2571" s="7"/>
    </row>
    <row r="2572">
      <c r="A2572" s="14" t="s">
        <v>9310</v>
      </c>
      <c r="B2572" s="17" t="s">
        <v>9311</v>
      </c>
      <c r="C2572" s="17" t="s">
        <v>9312</v>
      </c>
      <c r="D2572" s="19" t="s">
        <v>9313</v>
      </c>
      <c r="E2572" s="20" t="s">
        <v>632</v>
      </c>
      <c r="F2572" s="21">
        <v>27621.0</v>
      </c>
      <c r="G2572" s="14">
        <f t="shared" si="1"/>
        <v>51</v>
      </c>
      <c r="H2572" s="23" t="s">
        <v>26</v>
      </c>
      <c r="I2572" s="24" t="s">
        <v>27</v>
      </c>
      <c r="J2572" s="19" t="s">
        <v>146</v>
      </c>
      <c r="K2572" s="14">
        <v>5.0</v>
      </c>
      <c r="L2572" s="14">
        <v>0.0</v>
      </c>
      <c r="M2572" s="25"/>
      <c r="N2572" s="26" t="s">
        <v>21</v>
      </c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</row>
    <row r="2573">
      <c r="A2573" s="14" t="s">
        <v>9314</v>
      </c>
      <c r="B2573" s="17" t="s">
        <v>9311</v>
      </c>
      <c r="C2573" s="17" t="s">
        <v>9315</v>
      </c>
      <c r="D2573" s="19" t="s">
        <v>9316</v>
      </c>
      <c r="E2573" s="20" t="s">
        <v>53</v>
      </c>
      <c r="F2573" s="21">
        <v>37888.0</v>
      </c>
      <c r="G2573" s="14">
        <f t="shared" si="1"/>
        <v>23</v>
      </c>
      <c r="H2573" s="23" t="s">
        <v>100</v>
      </c>
      <c r="I2573" s="24" t="s">
        <v>33</v>
      </c>
      <c r="J2573" s="19" t="s">
        <v>146</v>
      </c>
      <c r="K2573" s="14">
        <v>5.0</v>
      </c>
      <c r="L2573" s="14">
        <v>0.0</v>
      </c>
      <c r="M2573" s="25"/>
      <c r="N2573" s="26" t="s">
        <v>21</v>
      </c>
      <c r="O2573" s="7"/>
      <c r="P2573" s="7"/>
      <c r="Q2573" s="7"/>
      <c r="R2573" s="7"/>
      <c r="S2573" s="7"/>
      <c r="T2573" s="7"/>
      <c r="U2573" s="7"/>
      <c r="V2573" s="7"/>
      <c r="W2573" s="7"/>
      <c r="X2573" s="7"/>
      <c r="Y2573" s="7"/>
    </row>
    <row r="2574">
      <c r="A2574" s="14" t="s">
        <v>9317</v>
      </c>
      <c r="B2574" s="17" t="s">
        <v>9311</v>
      </c>
      <c r="C2574" s="17" t="s">
        <v>9318</v>
      </c>
      <c r="D2574" s="19" t="s">
        <v>9319</v>
      </c>
      <c r="E2574" s="20" t="s">
        <v>290</v>
      </c>
      <c r="F2574" s="21">
        <v>26429.0</v>
      </c>
      <c r="G2574" s="14">
        <f t="shared" si="1"/>
        <v>54</v>
      </c>
      <c r="H2574" s="23" t="s">
        <v>26</v>
      </c>
      <c r="I2574" s="24" t="s">
        <v>33</v>
      </c>
      <c r="J2574" s="19" t="s">
        <v>146</v>
      </c>
      <c r="K2574" s="14">
        <v>5.0</v>
      </c>
      <c r="L2574" s="14">
        <v>0.0</v>
      </c>
      <c r="M2574" s="25"/>
      <c r="N2574" s="26" t="s">
        <v>21</v>
      </c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7"/>
    </row>
    <row r="2575">
      <c r="A2575" s="14" t="s">
        <v>9320</v>
      </c>
      <c r="B2575" s="17" t="s">
        <v>9321</v>
      </c>
      <c r="C2575" s="17" t="s">
        <v>9322</v>
      </c>
      <c r="D2575" s="19" t="s">
        <v>9323</v>
      </c>
      <c r="E2575" s="20" t="s">
        <v>274</v>
      </c>
      <c r="F2575" s="21">
        <v>32029.0</v>
      </c>
      <c r="G2575" s="14">
        <f t="shared" si="1"/>
        <v>39</v>
      </c>
      <c r="H2575" s="23" t="s">
        <v>26</v>
      </c>
      <c r="I2575" s="24" t="s">
        <v>33</v>
      </c>
      <c r="J2575" s="19" t="s">
        <v>146</v>
      </c>
      <c r="K2575" s="14">
        <v>3.0</v>
      </c>
      <c r="L2575" s="14">
        <v>0.0</v>
      </c>
      <c r="M2575" s="25"/>
      <c r="N2575" s="26" t="s">
        <v>21</v>
      </c>
      <c r="O2575" s="7"/>
      <c r="P2575" s="7"/>
      <c r="Q2575" s="7"/>
      <c r="R2575" s="7"/>
      <c r="S2575" s="7"/>
      <c r="T2575" s="7"/>
      <c r="U2575" s="7"/>
      <c r="V2575" s="7"/>
      <c r="W2575" s="7"/>
      <c r="X2575" s="7"/>
      <c r="Y2575" s="7"/>
    </row>
    <row r="2576">
      <c r="A2576" s="14" t="s">
        <v>9325</v>
      </c>
      <c r="B2576" s="17" t="s">
        <v>9321</v>
      </c>
      <c r="C2576" s="17" t="s">
        <v>9326</v>
      </c>
      <c r="D2576" s="19" t="s">
        <v>9327</v>
      </c>
      <c r="E2576" s="20" t="s">
        <v>231</v>
      </c>
      <c r="F2576" s="21">
        <v>32510.0</v>
      </c>
      <c r="G2576" s="14">
        <f t="shared" si="1"/>
        <v>37</v>
      </c>
      <c r="H2576" s="23" t="s">
        <v>26</v>
      </c>
      <c r="I2576" s="24" t="s">
        <v>27</v>
      </c>
      <c r="J2576" s="19" t="s">
        <v>146</v>
      </c>
      <c r="K2576" s="14">
        <v>3.0</v>
      </c>
      <c r="L2576" s="14">
        <v>0.0</v>
      </c>
      <c r="M2576" s="25"/>
      <c r="N2576" s="26" t="s">
        <v>21</v>
      </c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7"/>
    </row>
    <row r="2577">
      <c r="A2577" s="14" t="s">
        <v>9329</v>
      </c>
      <c r="B2577" s="17" t="s">
        <v>9330</v>
      </c>
      <c r="C2577" s="17" t="s">
        <v>9331</v>
      </c>
      <c r="D2577" s="19" t="s">
        <v>9332</v>
      </c>
      <c r="E2577" s="20" t="s">
        <v>8190</v>
      </c>
      <c r="F2577" s="21">
        <v>18849.0</v>
      </c>
      <c r="G2577" s="14">
        <f t="shared" si="1"/>
        <v>75</v>
      </c>
      <c r="H2577" s="23" t="s">
        <v>27</v>
      </c>
      <c r="I2577" s="24" t="s">
        <v>27</v>
      </c>
      <c r="J2577" s="19" t="s">
        <v>206</v>
      </c>
      <c r="K2577" s="14">
        <v>1.0</v>
      </c>
      <c r="L2577" s="14">
        <v>0.0</v>
      </c>
      <c r="M2577" s="25"/>
      <c r="N2577" s="26" t="s">
        <v>21</v>
      </c>
      <c r="O2577" s="7"/>
      <c r="P2577" s="7"/>
      <c r="Q2577" s="7"/>
      <c r="R2577" s="7"/>
      <c r="S2577" s="7"/>
      <c r="T2577" s="7"/>
      <c r="U2577" s="7"/>
      <c r="V2577" s="7"/>
      <c r="W2577" s="7"/>
      <c r="X2577" s="7"/>
      <c r="Y2577" s="7"/>
    </row>
    <row r="2578">
      <c r="A2578" s="14" t="s">
        <v>9333</v>
      </c>
      <c r="B2578" s="17" t="s">
        <v>9334</v>
      </c>
      <c r="C2578" s="17" t="s">
        <v>9335</v>
      </c>
      <c r="D2578" s="19" t="s">
        <v>9336</v>
      </c>
      <c r="E2578" s="20" t="s">
        <v>632</v>
      </c>
      <c r="F2578" s="21">
        <v>26868.0</v>
      </c>
      <c r="G2578" s="14">
        <f t="shared" si="1"/>
        <v>53</v>
      </c>
      <c r="H2578" s="23" t="s">
        <v>26</v>
      </c>
      <c r="I2578" s="24" t="s">
        <v>33</v>
      </c>
      <c r="J2578" s="19" t="s">
        <v>53</v>
      </c>
      <c r="K2578" s="14">
        <v>27.0</v>
      </c>
      <c r="L2578" s="14">
        <v>0.0</v>
      </c>
      <c r="M2578" s="25"/>
      <c r="N2578" s="26" t="s">
        <v>21</v>
      </c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7"/>
    </row>
    <row r="2579">
      <c r="A2579" s="14" t="s">
        <v>9337</v>
      </c>
      <c r="B2579" s="17" t="s">
        <v>9334</v>
      </c>
      <c r="C2579" s="17" t="s">
        <v>9338</v>
      </c>
      <c r="D2579" s="19" t="s">
        <v>9339</v>
      </c>
      <c r="E2579" s="20" t="s">
        <v>104</v>
      </c>
      <c r="F2579" s="21">
        <v>29531.0</v>
      </c>
      <c r="G2579" s="14">
        <f t="shared" si="1"/>
        <v>45</v>
      </c>
      <c r="H2579" s="23" t="s">
        <v>26</v>
      </c>
      <c r="I2579" s="24" t="s">
        <v>27</v>
      </c>
      <c r="J2579" s="19" t="s">
        <v>53</v>
      </c>
      <c r="K2579" s="14">
        <v>27.0</v>
      </c>
      <c r="L2579" s="14">
        <v>0.0</v>
      </c>
      <c r="M2579" s="25"/>
      <c r="N2579" s="26" t="s">
        <v>21</v>
      </c>
      <c r="O2579" s="7"/>
      <c r="P2579" s="7"/>
      <c r="Q2579" s="7"/>
      <c r="R2579" s="7"/>
      <c r="S2579" s="7"/>
      <c r="T2579" s="7"/>
      <c r="U2579" s="7"/>
      <c r="V2579" s="7"/>
      <c r="W2579" s="7"/>
      <c r="X2579" s="7"/>
      <c r="Y2579" s="7"/>
    </row>
    <row r="2580">
      <c r="A2580" s="14" t="s">
        <v>9340</v>
      </c>
      <c r="B2580" s="17" t="s">
        <v>9334</v>
      </c>
      <c r="C2580" s="17" t="s">
        <v>9341</v>
      </c>
      <c r="D2580" s="19" t="s">
        <v>9342</v>
      </c>
      <c r="E2580" s="20" t="s">
        <v>53</v>
      </c>
      <c r="F2580" s="21">
        <v>36863.0</v>
      </c>
      <c r="G2580" s="14">
        <f t="shared" si="1"/>
        <v>25</v>
      </c>
      <c r="H2580" s="23" t="s">
        <v>100</v>
      </c>
      <c r="I2580" s="24" t="s">
        <v>27</v>
      </c>
      <c r="J2580" s="19" t="s">
        <v>53</v>
      </c>
      <c r="K2580" s="14">
        <v>27.0</v>
      </c>
      <c r="L2580" s="14">
        <v>0.0</v>
      </c>
      <c r="M2580" s="25"/>
      <c r="N2580" s="26" t="s">
        <v>21</v>
      </c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7"/>
    </row>
    <row r="2581">
      <c r="A2581" s="14" t="s">
        <v>9343</v>
      </c>
      <c r="B2581" s="17" t="s">
        <v>9344</v>
      </c>
      <c r="C2581" s="17" t="s">
        <v>9345</v>
      </c>
      <c r="D2581" s="19" t="s">
        <v>9346</v>
      </c>
      <c r="E2581" s="20" t="s">
        <v>9347</v>
      </c>
      <c r="F2581" s="27">
        <v>37193.0</v>
      </c>
      <c r="G2581" s="14">
        <f t="shared" si="1"/>
        <v>25</v>
      </c>
      <c r="H2581" s="23" t="s">
        <v>100</v>
      </c>
      <c r="I2581" s="24" t="s">
        <v>33</v>
      </c>
      <c r="J2581" s="19" t="s">
        <v>206</v>
      </c>
      <c r="K2581" s="14">
        <v>3.0</v>
      </c>
      <c r="L2581" s="14">
        <v>0.0</v>
      </c>
      <c r="M2581" s="25"/>
      <c r="N2581" s="26" t="s">
        <v>21</v>
      </c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7"/>
    </row>
    <row r="2582">
      <c r="A2582" s="14" t="s">
        <v>9348</v>
      </c>
      <c r="B2582" s="17" t="s">
        <v>9344</v>
      </c>
      <c r="C2582" s="17" t="s">
        <v>9349</v>
      </c>
      <c r="D2582" s="19" t="s">
        <v>9350</v>
      </c>
      <c r="E2582" s="20" t="s">
        <v>195</v>
      </c>
      <c r="F2582" s="21">
        <v>34360.0</v>
      </c>
      <c r="G2582" s="14">
        <f t="shared" si="1"/>
        <v>32</v>
      </c>
      <c r="H2582" s="23" t="s">
        <v>100</v>
      </c>
      <c r="I2582" s="24" t="s">
        <v>33</v>
      </c>
      <c r="J2582" s="19" t="s">
        <v>206</v>
      </c>
      <c r="K2582" s="14">
        <v>3.0</v>
      </c>
      <c r="L2582" s="14">
        <v>0.0</v>
      </c>
      <c r="M2582" s="25"/>
      <c r="N2582" s="26" t="s">
        <v>21</v>
      </c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</row>
    <row r="2583">
      <c r="A2583" s="14" t="s">
        <v>9351</v>
      </c>
      <c r="B2583" s="17" t="s">
        <v>9344</v>
      </c>
      <c r="C2583" s="17" t="s">
        <v>9352</v>
      </c>
      <c r="D2583" s="19" t="s">
        <v>9353</v>
      </c>
      <c r="E2583" s="20" t="s">
        <v>9347</v>
      </c>
      <c r="F2583" s="21">
        <v>24943.0</v>
      </c>
      <c r="G2583" s="14">
        <f t="shared" si="1"/>
        <v>58</v>
      </c>
      <c r="H2583" s="23" t="s">
        <v>27</v>
      </c>
      <c r="I2583" s="24" t="s">
        <v>27</v>
      </c>
      <c r="J2583" s="19" t="s">
        <v>206</v>
      </c>
      <c r="K2583" s="14">
        <v>3.0</v>
      </c>
      <c r="L2583" s="14">
        <v>0.0</v>
      </c>
      <c r="M2583" s="25"/>
      <c r="N2583" s="26" t="s">
        <v>21</v>
      </c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7"/>
    </row>
    <row r="2584">
      <c r="A2584" s="14" t="s">
        <v>9354</v>
      </c>
      <c r="B2584" s="17" t="s">
        <v>9355</v>
      </c>
      <c r="C2584" s="17" t="s">
        <v>9356</v>
      </c>
      <c r="D2584" s="19" t="s">
        <v>9357</v>
      </c>
      <c r="E2584" s="20" t="s">
        <v>104</v>
      </c>
      <c r="F2584" s="21">
        <v>36650.0</v>
      </c>
      <c r="G2584" s="14">
        <f t="shared" si="1"/>
        <v>26</v>
      </c>
      <c r="H2584" s="23" t="s">
        <v>26</v>
      </c>
      <c r="I2584" s="24" t="s">
        <v>33</v>
      </c>
      <c r="J2584" s="19" t="s">
        <v>53</v>
      </c>
      <c r="K2584" s="14">
        <v>33.0</v>
      </c>
      <c r="L2584" s="14">
        <v>0.0</v>
      </c>
      <c r="M2584" s="25"/>
      <c r="N2584" s="26" t="s">
        <v>21</v>
      </c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</row>
    <row r="2585">
      <c r="A2585" s="14" t="s">
        <v>9358</v>
      </c>
      <c r="B2585" s="17" t="s">
        <v>9355</v>
      </c>
      <c r="C2585" s="17" t="s">
        <v>9359</v>
      </c>
      <c r="D2585" s="19" t="s">
        <v>9360</v>
      </c>
      <c r="E2585" s="20" t="s">
        <v>1626</v>
      </c>
      <c r="F2585" s="21">
        <v>36892.0</v>
      </c>
      <c r="G2585" s="14">
        <f t="shared" si="1"/>
        <v>25</v>
      </c>
      <c r="H2585" s="23" t="s">
        <v>26</v>
      </c>
      <c r="I2585" s="24" t="s">
        <v>27</v>
      </c>
      <c r="J2585" s="19" t="s">
        <v>53</v>
      </c>
      <c r="K2585" s="14">
        <v>33.0</v>
      </c>
      <c r="L2585" s="14">
        <v>0.0</v>
      </c>
      <c r="M2585" s="25"/>
      <c r="N2585" s="26" t="s">
        <v>21</v>
      </c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7"/>
    </row>
    <row r="2586">
      <c r="A2586" s="14" t="s">
        <v>9361</v>
      </c>
      <c r="B2586" s="17" t="s">
        <v>9362</v>
      </c>
      <c r="C2586" s="17" t="s">
        <v>9363</v>
      </c>
      <c r="D2586" s="19" t="s">
        <v>9364</v>
      </c>
      <c r="E2586" s="20" t="s">
        <v>104</v>
      </c>
      <c r="F2586" s="21">
        <v>36708.0</v>
      </c>
      <c r="G2586" s="14">
        <f t="shared" si="1"/>
        <v>26</v>
      </c>
      <c r="H2586" s="23" t="s">
        <v>100</v>
      </c>
      <c r="I2586" s="24" t="s">
        <v>33</v>
      </c>
      <c r="J2586" s="19" t="s">
        <v>328</v>
      </c>
      <c r="K2586" s="14">
        <v>25.0</v>
      </c>
      <c r="L2586" s="14">
        <v>0.0</v>
      </c>
      <c r="M2586" s="25"/>
      <c r="N2586" s="26" t="s">
        <v>21</v>
      </c>
      <c r="O2586" s="7"/>
      <c r="P2586" s="7"/>
      <c r="Q2586" s="7"/>
      <c r="R2586" s="7"/>
      <c r="S2586" s="7"/>
      <c r="T2586" s="7"/>
      <c r="U2586" s="7"/>
      <c r="V2586" s="7"/>
      <c r="W2586" s="7"/>
      <c r="X2586" s="7"/>
      <c r="Y2586" s="7"/>
    </row>
    <row r="2587">
      <c r="A2587" s="14" t="s">
        <v>9365</v>
      </c>
      <c r="B2587" s="17" t="s">
        <v>9362</v>
      </c>
      <c r="C2587" s="17" t="s">
        <v>9366</v>
      </c>
      <c r="D2587" s="19" t="s">
        <v>9367</v>
      </c>
      <c r="E2587" s="20" t="s">
        <v>1058</v>
      </c>
      <c r="F2587" s="21">
        <v>21038.0</v>
      </c>
      <c r="G2587" s="14">
        <f t="shared" si="1"/>
        <v>69</v>
      </c>
      <c r="H2587" s="23" t="s">
        <v>26</v>
      </c>
      <c r="I2587" s="24" t="s">
        <v>33</v>
      </c>
      <c r="J2587" s="19" t="s">
        <v>328</v>
      </c>
      <c r="K2587" s="14">
        <v>25.0</v>
      </c>
      <c r="L2587" s="14">
        <v>0.0</v>
      </c>
      <c r="M2587" s="25"/>
      <c r="N2587" s="26" t="s">
        <v>21</v>
      </c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7"/>
    </row>
    <row r="2588">
      <c r="A2588" s="14" t="s">
        <v>9368</v>
      </c>
      <c r="B2588" s="17" t="s">
        <v>9369</v>
      </c>
      <c r="C2588" s="17" t="s">
        <v>9370</v>
      </c>
      <c r="D2588" s="19" t="s">
        <v>9371</v>
      </c>
      <c r="E2588" s="20" t="s">
        <v>219</v>
      </c>
      <c r="F2588" s="21">
        <v>35230.0</v>
      </c>
      <c r="G2588" s="14">
        <f t="shared" si="1"/>
        <v>30</v>
      </c>
      <c r="H2588" s="23" t="s">
        <v>26</v>
      </c>
      <c r="I2588" s="24" t="s">
        <v>33</v>
      </c>
      <c r="J2588" s="19" t="s">
        <v>68</v>
      </c>
      <c r="K2588" s="14">
        <v>33.0</v>
      </c>
      <c r="L2588" s="14">
        <v>0.0</v>
      </c>
      <c r="M2588" s="25"/>
      <c r="N2588" s="26" t="s">
        <v>21</v>
      </c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</row>
    <row r="2589">
      <c r="A2589" s="14" t="s">
        <v>9372</v>
      </c>
      <c r="B2589" s="17" t="s">
        <v>9369</v>
      </c>
      <c r="C2589" s="17" t="s">
        <v>9373</v>
      </c>
      <c r="D2589" s="19" t="s">
        <v>9374</v>
      </c>
      <c r="E2589" s="20" t="s">
        <v>104</v>
      </c>
      <c r="F2589" s="21">
        <v>35150.0</v>
      </c>
      <c r="G2589" s="14">
        <f t="shared" si="1"/>
        <v>30</v>
      </c>
      <c r="H2589" s="23" t="s">
        <v>26</v>
      </c>
      <c r="I2589" s="24" t="s">
        <v>27</v>
      </c>
      <c r="J2589" s="19" t="s">
        <v>68</v>
      </c>
      <c r="K2589" s="14">
        <v>33.0</v>
      </c>
      <c r="L2589" s="14">
        <v>0.0</v>
      </c>
      <c r="M2589" s="25"/>
      <c r="N2589" s="26" t="s">
        <v>21</v>
      </c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7"/>
    </row>
    <row r="2590">
      <c r="A2590" s="14" t="s">
        <v>9375</v>
      </c>
      <c r="B2590" s="17" t="s">
        <v>9376</v>
      </c>
      <c r="C2590" s="17" t="s">
        <v>9377</v>
      </c>
      <c r="D2590" s="19" t="s">
        <v>9378</v>
      </c>
      <c r="E2590" s="20" t="s">
        <v>654</v>
      </c>
      <c r="F2590" s="27">
        <v>34680.0</v>
      </c>
      <c r="G2590" s="14">
        <f t="shared" si="1"/>
        <v>31</v>
      </c>
      <c r="H2590" s="23" t="s">
        <v>26</v>
      </c>
      <c r="I2590" s="24" t="s">
        <v>33</v>
      </c>
      <c r="J2590" s="19" t="s">
        <v>328</v>
      </c>
      <c r="K2590" s="14">
        <v>19.0</v>
      </c>
      <c r="L2590" s="14">
        <v>0.0</v>
      </c>
      <c r="M2590" s="25"/>
      <c r="N2590" s="26" t="s">
        <v>21</v>
      </c>
      <c r="O2590" s="7"/>
      <c r="P2590" s="7"/>
      <c r="Q2590" s="7"/>
      <c r="R2590" s="7"/>
      <c r="S2590" s="7"/>
      <c r="T2590" s="7"/>
      <c r="U2590" s="7"/>
      <c r="V2590" s="7"/>
      <c r="W2590" s="7"/>
      <c r="X2590" s="7"/>
      <c r="Y2590" s="7"/>
    </row>
    <row r="2591">
      <c r="A2591" s="14" t="s">
        <v>9379</v>
      </c>
      <c r="B2591" s="17" t="s">
        <v>9376</v>
      </c>
      <c r="C2591" s="17" t="s">
        <v>9380</v>
      </c>
      <c r="D2591" s="19" t="s">
        <v>9381</v>
      </c>
      <c r="E2591" s="20" t="s">
        <v>9382</v>
      </c>
      <c r="F2591" s="27">
        <v>35413.0</v>
      </c>
      <c r="G2591" s="14">
        <f t="shared" si="1"/>
        <v>29</v>
      </c>
      <c r="H2591" s="23" t="s">
        <v>26</v>
      </c>
      <c r="I2591" s="24" t="s">
        <v>27</v>
      </c>
      <c r="J2591" s="19" t="s">
        <v>328</v>
      </c>
      <c r="K2591" s="14">
        <v>19.0</v>
      </c>
      <c r="L2591" s="14">
        <v>0.0</v>
      </c>
      <c r="M2591" s="25"/>
      <c r="N2591" s="26" t="s">
        <v>21</v>
      </c>
      <c r="O2591" s="7"/>
      <c r="P2591" s="7"/>
      <c r="Q2591" s="7"/>
      <c r="R2591" s="7"/>
      <c r="S2591" s="7"/>
      <c r="T2591" s="7"/>
      <c r="U2591" s="7"/>
      <c r="V2591" s="7"/>
      <c r="W2591" s="7"/>
      <c r="X2591" s="7"/>
      <c r="Y2591" s="7"/>
    </row>
    <row r="2592">
      <c r="A2592" s="14" t="s">
        <v>9383</v>
      </c>
      <c r="B2592" s="17" t="s">
        <v>9384</v>
      </c>
      <c r="C2592" s="17" t="s">
        <v>9385</v>
      </c>
      <c r="D2592" s="19" t="s">
        <v>3783</v>
      </c>
      <c r="E2592" s="20" t="s">
        <v>434</v>
      </c>
      <c r="F2592" s="21">
        <v>21371.0</v>
      </c>
      <c r="G2592" s="14">
        <f t="shared" si="1"/>
        <v>68</v>
      </c>
      <c r="H2592" s="23" t="s">
        <v>26</v>
      </c>
      <c r="I2592" s="24" t="s">
        <v>33</v>
      </c>
      <c r="J2592" s="19" t="s">
        <v>3128</v>
      </c>
      <c r="K2592" s="14">
        <v>1.0</v>
      </c>
      <c r="L2592" s="14">
        <v>0.0</v>
      </c>
      <c r="M2592" s="25"/>
      <c r="N2592" s="26" t="s">
        <v>21</v>
      </c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</row>
    <row r="2593">
      <c r="A2593" s="14" t="s">
        <v>9386</v>
      </c>
      <c r="B2593" s="17" t="s">
        <v>9384</v>
      </c>
      <c r="C2593" s="17" t="s">
        <v>9387</v>
      </c>
      <c r="D2593" s="19" t="s">
        <v>9388</v>
      </c>
      <c r="E2593" s="20" t="s">
        <v>434</v>
      </c>
      <c r="F2593" s="21">
        <v>25329.0</v>
      </c>
      <c r="G2593" s="14">
        <f t="shared" si="1"/>
        <v>57</v>
      </c>
      <c r="H2593" s="23" t="s">
        <v>26</v>
      </c>
      <c r="I2593" s="24" t="s">
        <v>27</v>
      </c>
      <c r="J2593" s="19" t="s">
        <v>206</v>
      </c>
      <c r="K2593" s="14">
        <v>1.0</v>
      </c>
      <c r="L2593" s="14">
        <v>0.0</v>
      </c>
      <c r="M2593" s="25"/>
      <c r="N2593" s="26" t="s">
        <v>21</v>
      </c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</row>
    <row r="2594">
      <c r="A2594" s="14" t="s">
        <v>9389</v>
      </c>
      <c r="B2594" s="32" t="s">
        <v>10846</v>
      </c>
      <c r="C2594" s="17" t="s">
        <v>9390</v>
      </c>
      <c r="D2594" s="19" t="s">
        <v>9391</v>
      </c>
      <c r="E2594" s="20" t="s">
        <v>138</v>
      </c>
      <c r="F2594" s="21">
        <v>36056.0</v>
      </c>
      <c r="G2594" s="14">
        <f t="shared" si="1"/>
        <v>28</v>
      </c>
      <c r="H2594" s="23" t="s">
        <v>26</v>
      </c>
      <c r="I2594" s="24" t="s">
        <v>33</v>
      </c>
      <c r="J2594" s="19" t="s">
        <v>206</v>
      </c>
      <c r="K2594" s="14">
        <v>1.0</v>
      </c>
      <c r="L2594" s="14">
        <v>7.0</v>
      </c>
      <c r="M2594" s="25"/>
      <c r="N2594" s="26" t="s">
        <v>21</v>
      </c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</row>
    <row r="2595">
      <c r="A2595" s="14" t="s">
        <v>9392</v>
      </c>
      <c r="B2595" s="17" t="s">
        <v>9393</v>
      </c>
      <c r="C2595" s="17" t="s">
        <v>9394</v>
      </c>
      <c r="D2595" s="19" t="s">
        <v>1432</v>
      </c>
      <c r="E2595" s="20" t="s">
        <v>434</v>
      </c>
      <c r="F2595" s="21">
        <v>23836.0</v>
      </c>
      <c r="G2595" s="14">
        <f t="shared" si="1"/>
        <v>61</v>
      </c>
      <c r="H2595" s="23" t="s">
        <v>26</v>
      </c>
      <c r="I2595" s="24" t="s">
        <v>27</v>
      </c>
      <c r="J2595" s="19" t="s">
        <v>206</v>
      </c>
      <c r="K2595" s="14">
        <v>1.0</v>
      </c>
      <c r="L2595" s="14">
        <v>0.0</v>
      </c>
      <c r="M2595" s="25"/>
      <c r="N2595" s="26" t="s">
        <v>21</v>
      </c>
      <c r="O2595" s="7"/>
      <c r="P2595" s="7"/>
      <c r="Q2595" s="7"/>
      <c r="R2595" s="7"/>
      <c r="S2595" s="7"/>
      <c r="T2595" s="7"/>
      <c r="U2595" s="7"/>
      <c r="V2595" s="7"/>
      <c r="W2595" s="7"/>
      <c r="X2595" s="7"/>
      <c r="Y2595" s="7"/>
    </row>
    <row r="2596">
      <c r="A2596" s="14" t="s">
        <v>9395</v>
      </c>
      <c r="B2596" s="17" t="s">
        <v>9393</v>
      </c>
      <c r="C2596" s="17" t="s">
        <v>9396</v>
      </c>
      <c r="D2596" s="19" t="s">
        <v>9397</v>
      </c>
      <c r="E2596" s="20" t="s">
        <v>434</v>
      </c>
      <c r="F2596" s="21">
        <v>22533.0</v>
      </c>
      <c r="G2596" s="14">
        <f t="shared" si="1"/>
        <v>65</v>
      </c>
      <c r="H2596" s="23" t="s">
        <v>26</v>
      </c>
      <c r="I2596" s="24" t="s">
        <v>33</v>
      </c>
      <c r="J2596" s="19" t="s">
        <v>53</v>
      </c>
      <c r="K2596" s="14">
        <v>1.0</v>
      </c>
      <c r="L2596" s="14">
        <v>0.0</v>
      </c>
      <c r="M2596" s="25"/>
      <c r="N2596" s="26" t="s">
        <v>21</v>
      </c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</row>
    <row r="2597">
      <c r="A2597" s="14" t="s">
        <v>9398</v>
      </c>
      <c r="B2597" s="17" t="s">
        <v>9399</v>
      </c>
      <c r="C2597" s="17" t="s">
        <v>9400</v>
      </c>
      <c r="D2597" s="19" t="s">
        <v>9401</v>
      </c>
      <c r="E2597" s="20" t="s">
        <v>434</v>
      </c>
      <c r="F2597" s="21">
        <v>24327.0</v>
      </c>
      <c r="G2597" s="14">
        <f t="shared" si="1"/>
        <v>60</v>
      </c>
      <c r="H2597" s="23" t="s">
        <v>26</v>
      </c>
      <c r="I2597" s="24" t="s">
        <v>33</v>
      </c>
      <c r="J2597" s="19" t="s">
        <v>206</v>
      </c>
      <c r="K2597" s="14">
        <v>1.0</v>
      </c>
      <c r="L2597" s="14">
        <v>0.0</v>
      </c>
      <c r="M2597" s="25"/>
      <c r="N2597" s="26" t="s">
        <v>21</v>
      </c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</row>
    <row r="2598">
      <c r="A2598" s="14" t="s">
        <v>9402</v>
      </c>
      <c r="B2598" s="17" t="s">
        <v>9399</v>
      </c>
      <c r="C2598" s="17" t="s">
        <v>9403</v>
      </c>
      <c r="D2598" s="19" t="s">
        <v>9404</v>
      </c>
      <c r="E2598" s="20" t="s">
        <v>104</v>
      </c>
      <c r="F2598" s="21">
        <v>38867.0</v>
      </c>
      <c r="G2598" s="14">
        <f t="shared" si="1"/>
        <v>20</v>
      </c>
      <c r="H2598" s="23" t="s">
        <v>100</v>
      </c>
      <c r="I2598" s="24" t="s">
        <v>27</v>
      </c>
      <c r="J2598" s="19" t="s">
        <v>206</v>
      </c>
      <c r="K2598" s="14">
        <v>1.0</v>
      </c>
      <c r="L2598" s="14">
        <v>0.0</v>
      </c>
      <c r="M2598" s="25"/>
      <c r="N2598" s="26" t="s">
        <v>21</v>
      </c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</row>
    <row r="2599">
      <c r="A2599" s="14" t="s">
        <v>9405</v>
      </c>
      <c r="B2599" s="17" t="s">
        <v>9399</v>
      </c>
      <c r="C2599" s="17" t="s">
        <v>9406</v>
      </c>
      <c r="D2599" s="19" t="s">
        <v>9407</v>
      </c>
      <c r="E2599" s="20" t="s">
        <v>434</v>
      </c>
      <c r="F2599" s="21">
        <v>27557.0</v>
      </c>
      <c r="G2599" s="14">
        <f t="shared" si="1"/>
        <v>51</v>
      </c>
      <c r="H2599" s="23" t="s">
        <v>26</v>
      </c>
      <c r="I2599" s="24" t="s">
        <v>27</v>
      </c>
      <c r="J2599" s="19" t="s">
        <v>206</v>
      </c>
      <c r="K2599" s="14">
        <v>1.0</v>
      </c>
      <c r="L2599" s="14">
        <v>0.0</v>
      </c>
      <c r="M2599" s="25"/>
      <c r="N2599" s="26" t="s">
        <v>21</v>
      </c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</row>
    <row r="2600">
      <c r="A2600" s="14" t="s">
        <v>9408</v>
      </c>
      <c r="B2600" s="17" t="s">
        <v>9399</v>
      </c>
      <c r="C2600" s="17" t="s">
        <v>9409</v>
      </c>
      <c r="D2600" s="19" t="s">
        <v>9410</v>
      </c>
      <c r="E2600" s="20" t="s">
        <v>104</v>
      </c>
      <c r="F2600" s="21">
        <v>36324.0</v>
      </c>
      <c r="G2600" s="14">
        <f t="shared" si="1"/>
        <v>27</v>
      </c>
      <c r="H2600" s="23" t="s">
        <v>100</v>
      </c>
      <c r="I2600" s="24" t="s">
        <v>33</v>
      </c>
      <c r="J2600" s="19" t="s">
        <v>206</v>
      </c>
      <c r="K2600" s="14">
        <v>1.0</v>
      </c>
      <c r="L2600" s="14">
        <v>0.0</v>
      </c>
      <c r="M2600" s="25"/>
      <c r="N2600" s="26" t="s">
        <v>21</v>
      </c>
      <c r="O2600" s="7"/>
      <c r="P2600" s="7"/>
      <c r="Q2600" s="7"/>
      <c r="R2600" s="7"/>
      <c r="S2600" s="7"/>
      <c r="T2600" s="7"/>
      <c r="U2600" s="7"/>
      <c r="V2600" s="7"/>
      <c r="W2600" s="7"/>
      <c r="X2600" s="7"/>
      <c r="Y2600" s="7"/>
    </row>
    <row r="2601">
      <c r="A2601" s="14" t="s">
        <v>9411</v>
      </c>
      <c r="B2601" s="17" t="s">
        <v>9412</v>
      </c>
      <c r="C2601" s="17" t="s">
        <v>9413</v>
      </c>
      <c r="D2601" s="19" t="s">
        <v>9414</v>
      </c>
      <c r="E2601" s="20" t="s">
        <v>104</v>
      </c>
      <c r="F2601" s="27">
        <v>37935.0</v>
      </c>
      <c r="G2601" s="14">
        <f t="shared" si="1"/>
        <v>22</v>
      </c>
      <c r="H2601" s="23" t="s">
        <v>100</v>
      </c>
      <c r="I2601" s="24" t="s">
        <v>33</v>
      </c>
      <c r="J2601" s="19" t="s">
        <v>2019</v>
      </c>
      <c r="K2601" s="14">
        <v>3.0</v>
      </c>
      <c r="L2601" s="14">
        <v>0.0</v>
      </c>
      <c r="M2601" s="25"/>
      <c r="N2601" s="26" t="s">
        <v>21</v>
      </c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</row>
    <row r="2602">
      <c r="A2602" s="14" t="s">
        <v>9415</v>
      </c>
      <c r="B2602" s="17" t="s">
        <v>9412</v>
      </c>
      <c r="C2602" s="17" t="s">
        <v>9416</v>
      </c>
      <c r="D2602" s="19" t="s">
        <v>8218</v>
      </c>
      <c r="E2602" s="20" t="s">
        <v>632</v>
      </c>
      <c r="F2602" s="21">
        <v>26973.0</v>
      </c>
      <c r="G2602" s="14">
        <f t="shared" si="1"/>
        <v>52</v>
      </c>
      <c r="H2602" s="23" t="s">
        <v>26</v>
      </c>
      <c r="I2602" s="24" t="s">
        <v>27</v>
      </c>
      <c r="J2602" s="19" t="s">
        <v>2019</v>
      </c>
      <c r="K2602" s="14">
        <v>3.0</v>
      </c>
      <c r="L2602" s="14">
        <v>0.0</v>
      </c>
      <c r="M2602" s="25"/>
      <c r="N2602" s="26" t="s">
        <v>21</v>
      </c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</row>
    <row r="2603">
      <c r="A2603" s="14" t="s">
        <v>9417</v>
      </c>
      <c r="B2603" s="17" t="s">
        <v>9412</v>
      </c>
      <c r="C2603" s="17" t="s">
        <v>9418</v>
      </c>
      <c r="D2603" s="19" t="s">
        <v>9419</v>
      </c>
      <c r="E2603" s="20" t="s">
        <v>1291</v>
      </c>
      <c r="F2603" s="21">
        <v>24909.0</v>
      </c>
      <c r="G2603" s="14">
        <f t="shared" si="1"/>
        <v>58</v>
      </c>
      <c r="H2603" s="23" t="s">
        <v>26</v>
      </c>
      <c r="I2603" s="24" t="s">
        <v>33</v>
      </c>
      <c r="J2603" s="19" t="s">
        <v>2019</v>
      </c>
      <c r="K2603" s="14">
        <v>3.0</v>
      </c>
      <c r="L2603" s="14">
        <v>0.0</v>
      </c>
      <c r="M2603" s="25"/>
      <c r="N2603" s="26" t="s">
        <v>21</v>
      </c>
      <c r="O2603" s="7"/>
      <c r="P2603" s="7"/>
      <c r="Q2603" s="7"/>
      <c r="R2603" s="7"/>
      <c r="S2603" s="7"/>
      <c r="T2603" s="7"/>
      <c r="U2603" s="7"/>
      <c r="V2603" s="7"/>
      <c r="W2603" s="7"/>
      <c r="X2603" s="7"/>
      <c r="Y2603" s="7"/>
    </row>
    <row r="2604">
      <c r="A2604" s="14" t="s">
        <v>9420</v>
      </c>
      <c r="B2604" s="17" t="s">
        <v>9421</v>
      </c>
      <c r="C2604" s="17" t="s">
        <v>9422</v>
      </c>
      <c r="D2604" s="19" t="s">
        <v>9423</v>
      </c>
      <c r="E2604" s="20" t="s">
        <v>434</v>
      </c>
      <c r="F2604" s="21">
        <v>20882.0</v>
      </c>
      <c r="G2604" s="14">
        <f t="shared" si="1"/>
        <v>69</v>
      </c>
      <c r="H2604" s="23" t="s">
        <v>26</v>
      </c>
      <c r="I2604" s="24" t="s">
        <v>27</v>
      </c>
      <c r="J2604" s="19" t="s">
        <v>206</v>
      </c>
      <c r="K2604" s="14">
        <v>1.0</v>
      </c>
      <c r="L2604" s="14">
        <v>0.0</v>
      </c>
      <c r="M2604" s="25"/>
      <c r="N2604" s="26" t="s">
        <v>21</v>
      </c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</row>
    <row r="2605">
      <c r="A2605" s="14" t="s">
        <v>9424</v>
      </c>
      <c r="B2605" s="17" t="s">
        <v>9421</v>
      </c>
      <c r="C2605" s="17" t="s">
        <v>9425</v>
      </c>
      <c r="D2605" s="19" t="s">
        <v>9426</v>
      </c>
      <c r="E2605" s="20" t="s">
        <v>434</v>
      </c>
      <c r="F2605" s="21">
        <v>18810.0</v>
      </c>
      <c r="G2605" s="14">
        <f t="shared" si="1"/>
        <v>75</v>
      </c>
      <c r="H2605" s="23" t="s">
        <v>26</v>
      </c>
      <c r="I2605" s="24" t="s">
        <v>33</v>
      </c>
      <c r="J2605" s="19" t="s">
        <v>206</v>
      </c>
      <c r="K2605" s="14">
        <v>1.0</v>
      </c>
      <c r="L2605" s="14">
        <v>0.0</v>
      </c>
      <c r="M2605" s="25"/>
      <c r="N2605" s="26" t="s">
        <v>21</v>
      </c>
      <c r="O2605" s="7"/>
      <c r="P2605" s="7"/>
      <c r="Q2605" s="7"/>
      <c r="R2605" s="7"/>
      <c r="S2605" s="7"/>
      <c r="T2605" s="7"/>
      <c r="U2605" s="7"/>
      <c r="V2605" s="7"/>
      <c r="W2605" s="7"/>
      <c r="X2605" s="7"/>
      <c r="Y2605" s="7"/>
    </row>
    <row r="2606">
      <c r="A2606" s="14" t="s">
        <v>9427</v>
      </c>
      <c r="B2606" s="17" t="s">
        <v>9428</v>
      </c>
      <c r="C2606" s="17" t="s">
        <v>9429</v>
      </c>
      <c r="D2606" s="19" t="s">
        <v>9430</v>
      </c>
      <c r="E2606" s="20" t="s">
        <v>5871</v>
      </c>
      <c r="F2606" s="21">
        <v>17292.0</v>
      </c>
      <c r="G2606" s="14">
        <f t="shared" si="1"/>
        <v>79</v>
      </c>
      <c r="H2606" s="23" t="s">
        <v>26</v>
      </c>
      <c r="I2606" s="24" t="s">
        <v>33</v>
      </c>
      <c r="J2606" s="19" t="s">
        <v>7557</v>
      </c>
      <c r="K2606" s="14">
        <v>1.0</v>
      </c>
      <c r="L2606" s="14">
        <v>0.0</v>
      </c>
      <c r="M2606" s="25"/>
      <c r="N2606" s="26" t="s">
        <v>21</v>
      </c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</row>
    <row r="2607">
      <c r="A2607" s="14" t="s">
        <v>9431</v>
      </c>
      <c r="B2607" s="17" t="s">
        <v>9428</v>
      </c>
      <c r="C2607" s="17" t="s">
        <v>9432</v>
      </c>
      <c r="D2607" s="19" t="s">
        <v>7556</v>
      </c>
      <c r="E2607" s="20" t="s">
        <v>434</v>
      </c>
      <c r="F2607" s="21">
        <v>27366.0</v>
      </c>
      <c r="G2607" s="14">
        <f t="shared" si="1"/>
        <v>51</v>
      </c>
      <c r="H2607" s="23" t="s">
        <v>26</v>
      </c>
      <c r="I2607" s="24" t="s">
        <v>27</v>
      </c>
      <c r="J2607" s="19" t="s">
        <v>146</v>
      </c>
      <c r="K2607" s="14">
        <v>1.0</v>
      </c>
      <c r="L2607" s="14">
        <v>0.0</v>
      </c>
      <c r="M2607" s="25"/>
      <c r="N2607" s="26" t="s">
        <v>21</v>
      </c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</row>
    <row r="2608">
      <c r="A2608" s="14" t="s">
        <v>9433</v>
      </c>
      <c r="B2608" s="17" t="s">
        <v>9434</v>
      </c>
      <c r="C2608" s="17" t="s">
        <v>9435</v>
      </c>
      <c r="D2608" s="19" t="s">
        <v>9436</v>
      </c>
      <c r="E2608" s="20" t="s">
        <v>434</v>
      </c>
      <c r="F2608" s="21">
        <v>25806.0</v>
      </c>
      <c r="G2608" s="14">
        <f t="shared" si="1"/>
        <v>56</v>
      </c>
      <c r="H2608" s="23" t="s">
        <v>26</v>
      </c>
      <c r="I2608" s="24" t="s">
        <v>33</v>
      </c>
      <c r="J2608" s="19" t="s">
        <v>206</v>
      </c>
      <c r="K2608" s="14">
        <v>1.0</v>
      </c>
      <c r="L2608" s="14">
        <v>0.0</v>
      </c>
      <c r="M2608" s="25"/>
      <c r="N2608" s="26" t="s">
        <v>21</v>
      </c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</row>
    <row r="2609">
      <c r="A2609" s="14" t="s">
        <v>9437</v>
      </c>
      <c r="B2609" s="17" t="s">
        <v>9434</v>
      </c>
      <c r="C2609" s="38" t="s">
        <v>10915</v>
      </c>
      <c r="D2609" s="19" t="s">
        <v>9439</v>
      </c>
      <c r="E2609" s="20" t="s">
        <v>219</v>
      </c>
      <c r="F2609" s="27">
        <v>26277.0</v>
      </c>
      <c r="G2609" s="14">
        <f t="shared" si="1"/>
        <v>54</v>
      </c>
      <c r="H2609" s="23" t="s">
        <v>26</v>
      </c>
      <c r="I2609" s="24" t="s">
        <v>27</v>
      </c>
      <c r="J2609" s="19" t="s">
        <v>206</v>
      </c>
      <c r="K2609" s="14">
        <v>1.0</v>
      </c>
      <c r="L2609" s="14">
        <v>0.0</v>
      </c>
      <c r="M2609" s="25"/>
      <c r="N2609" s="26" t="s">
        <v>21</v>
      </c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7"/>
    </row>
    <row r="2610">
      <c r="A2610" s="14" t="s">
        <v>9440</v>
      </c>
      <c r="B2610" s="17" t="s">
        <v>9441</v>
      </c>
      <c r="C2610" s="17" t="s">
        <v>9442</v>
      </c>
      <c r="D2610" s="19" t="s">
        <v>9443</v>
      </c>
      <c r="E2610" s="20" t="s">
        <v>654</v>
      </c>
      <c r="F2610" s="21">
        <v>22396.0</v>
      </c>
      <c r="G2610" s="14">
        <f t="shared" si="1"/>
        <v>65</v>
      </c>
      <c r="H2610" s="23" t="s">
        <v>26</v>
      </c>
      <c r="I2610" s="24" t="s">
        <v>27</v>
      </c>
      <c r="J2610" s="19" t="s">
        <v>206</v>
      </c>
      <c r="K2610" s="14">
        <v>1.0</v>
      </c>
      <c r="L2610" s="14">
        <v>0.0</v>
      </c>
      <c r="M2610" s="25"/>
      <c r="N2610" s="26" t="s">
        <v>21</v>
      </c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7"/>
    </row>
    <row r="2611">
      <c r="A2611" s="14" t="s">
        <v>9444</v>
      </c>
      <c r="B2611" s="17" t="s">
        <v>9445</v>
      </c>
      <c r="C2611" s="17" t="s">
        <v>9446</v>
      </c>
      <c r="D2611" s="19" t="s">
        <v>835</v>
      </c>
      <c r="E2611" s="20" t="s">
        <v>104</v>
      </c>
      <c r="F2611" s="21">
        <v>31156.0</v>
      </c>
      <c r="G2611" s="14">
        <f t="shared" si="1"/>
        <v>41</v>
      </c>
      <c r="H2611" s="23" t="s">
        <v>26</v>
      </c>
      <c r="I2611" s="24" t="s">
        <v>27</v>
      </c>
      <c r="J2611" s="19" t="s">
        <v>939</v>
      </c>
      <c r="K2611" s="14">
        <v>7.0</v>
      </c>
      <c r="L2611" s="14">
        <v>0.0</v>
      </c>
      <c r="M2611" s="25"/>
      <c r="N2611" s="26" t="s">
        <v>21</v>
      </c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</row>
    <row r="2612">
      <c r="A2612" s="14" t="s">
        <v>9447</v>
      </c>
      <c r="B2612" s="17" t="s">
        <v>9445</v>
      </c>
      <c r="C2612" s="17" t="s">
        <v>9448</v>
      </c>
      <c r="D2612" s="19" t="s">
        <v>8802</v>
      </c>
      <c r="E2612" s="20" t="s">
        <v>104</v>
      </c>
      <c r="F2612" s="21">
        <v>38135.0</v>
      </c>
      <c r="G2612" s="14">
        <f t="shared" si="1"/>
        <v>22</v>
      </c>
      <c r="H2612" s="23" t="s">
        <v>100</v>
      </c>
      <c r="I2612" s="24" t="s">
        <v>33</v>
      </c>
      <c r="J2612" s="19" t="s">
        <v>939</v>
      </c>
      <c r="K2612" s="14">
        <v>7.0</v>
      </c>
      <c r="L2612" s="14">
        <v>0.0</v>
      </c>
      <c r="M2612" s="25"/>
      <c r="N2612" s="26" t="s">
        <v>21</v>
      </c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</row>
    <row r="2613">
      <c r="A2613" s="14" t="s">
        <v>9450</v>
      </c>
      <c r="B2613" s="17" t="s">
        <v>9445</v>
      </c>
      <c r="C2613" s="17" t="s">
        <v>9451</v>
      </c>
      <c r="D2613" s="19" t="s">
        <v>9452</v>
      </c>
      <c r="E2613" s="20" t="s">
        <v>104</v>
      </c>
      <c r="F2613" s="21">
        <v>30385.0</v>
      </c>
      <c r="G2613" s="14">
        <f t="shared" si="1"/>
        <v>43</v>
      </c>
      <c r="H2613" s="23" t="s">
        <v>26</v>
      </c>
      <c r="I2613" s="24" t="s">
        <v>33</v>
      </c>
      <c r="J2613" s="19" t="s">
        <v>939</v>
      </c>
      <c r="K2613" s="14">
        <v>7.0</v>
      </c>
      <c r="L2613" s="14">
        <v>0.0</v>
      </c>
      <c r="M2613" s="25"/>
      <c r="N2613" s="26" t="s">
        <v>21</v>
      </c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</row>
    <row r="2614">
      <c r="A2614" s="14" t="s">
        <v>9453</v>
      </c>
      <c r="B2614" s="17" t="s">
        <v>9454</v>
      </c>
      <c r="C2614" s="17" t="s">
        <v>9455</v>
      </c>
      <c r="D2614" s="19" t="s">
        <v>9456</v>
      </c>
      <c r="E2614" s="20" t="s">
        <v>53</v>
      </c>
      <c r="F2614" s="27">
        <v>36870.0</v>
      </c>
      <c r="G2614" s="14">
        <f t="shared" si="1"/>
        <v>25</v>
      </c>
      <c r="H2614" s="23" t="s">
        <v>26</v>
      </c>
      <c r="I2614" s="24" t="s">
        <v>27</v>
      </c>
      <c r="J2614" s="19" t="s">
        <v>517</v>
      </c>
      <c r="K2614" s="14">
        <v>7.0</v>
      </c>
      <c r="L2614" s="14">
        <v>5.0</v>
      </c>
      <c r="M2614" s="25"/>
      <c r="N2614" s="26" t="s">
        <v>21</v>
      </c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</row>
    <row r="2615">
      <c r="A2615" s="14" t="s">
        <v>9457</v>
      </c>
      <c r="B2615" s="17" t="s">
        <v>9454</v>
      </c>
      <c r="C2615" s="17" t="s">
        <v>9458</v>
      </c>
      <c r="D2615" s="19" t="s">
        <v>9459</v>
      </c>
      <c r="E2615" s="20" t="s">
        <v>650</v>
      </c>
      <c r="F2615" s="21">
        <v>24543.0</v>
      </c>
      <c r="G2615" s="14">
        <f t="shared" si="1"/>
        <v>59</v>
      </c>
      <c r="H2615" s="23" t="s">
        <v>26</v>
      </c>
      <c r="I2615" s="24" t="s">
        <v>33</v>
      </c>
      <c r="J2615" s="19" t="s">
        <v>517</v>
      </c>
      <c r="K2615" s="14">
        <v>7.0</v>
      </c>
      <c r="L2615" s="14">
        <v>0.0</v>
      </c>
      <c r="M2615" s="25"/>
      <c r="N2615" s="26" t="s">
        <v>21</v>
      </c>
      <c r="O2615" s="7"/>
      <c r="P2615" s="7"/>
      <c r="Q2615" s="7"/>
      <c r="R2615" s="7"/>
      <c r="S2615" s="7"/>
      <c r="T2615" s="7"/>
      <c r="U2615" s="7"/>
      <c r="V2615" s="7"/>
      <c r="W2615" s="7"/>
      <c r="X2615" s="7"/>
      <c r="Y2615" s="7"/>
    </row>
    <row r="2616">
      <c r="A2616" s="14" t="s">
        <v>9460</v>
      </c>
      <c r="B2616" s="52" t="s">
        <v>10945</v>
      </c>
      <c r="C2616" s="17" t="s">
        <v>9461</v>
      </c>
      <c r="D2616" s="19" t="s">
        <v>9462</v>
      </c>
      <c r="E2616" s="20" t="s">
        <v>53</v>
      </c>
      <c r="F2616" s="21">
        <v>35875.0</v>
      </c>
      <c r="G2616" s="14">
        <f t="shared" si="1"/>
        <v>28</v>
      </c>
      <c r="H2616" s="23" t="s">
        <v>100</v>
      </c>
      <c r="I2616" s="24" t="s">
        <v>33</v>
      </c>
      <c r="J2616" s="19" t="s">
        <v>517</v>
      </c>
      <c r="K2616" s="14">
        <v>7.0</v>
      </c>
      <c r="L2616" s="14">
        <v>0.0</v>
      </c>
      <c r="M2616" s="28" t="s">
        <v>10950</v>
      </c>
      <c r="N2616" s="26" t="s">
        <v>21</v>
      </c>
      <c r="O2616" s="7"/>
      <c r="P2616" s="7"/>
      <c r="Q2616" s="7"/>
      <c r="R2616" s="7"/>
      <c r="S2616" s="7"/>
      <c r="T2616" s="7"/>
      <c r="U2616" s="7"/>
      <c r="V2616" s="7"/>
      <c r="W2616" s="7"/>
      <c r="X2616" s="7"/>
      <c r="Y2616" s="7"/>
    </row>
    <row r="2617">
      <c r="A2617" s="14" t="s">
        <v>9463</v>
      </c>
      <c r="B2617" s="17" t="s">
        <v>9454</v>
      </c>
      <c r="C2617" s="17" t="s">
        <v>9464</v>
      </c>
      <c r="D2617" s="19" t="s">
        <v>9465</v>
      </c>
      <c r="E2617" s="20" t="s">
        <v>104</v>
      </c>
      <c r="F2617" s="21">
        <v>28688.0</v>
      </c>
      <c r="G2617" s="14">
        <f t="shared" si="1"/>
        <v>48</v>
      </c>
      <c r="H2617" s="23" t="s">
        <v>26</v>
      </c>
      <c r="I2617" s="24" t="s">
        <v>27</v>
      </c>
      <c r="J2617" s="19" t="s">
        <v>517</v>
      </c>
      <c r="K2617" s="14">
        <v>7.0</v>
      </c>
      <c r="L2617" s="14">
        <v>0.0</v>
      </c>
      <c r="M2617" s="25"/>
      <c r="N2617" s="26" t="s">
        <v>21</v>
      </c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</row>
    <row r="2618">
      <c r="A2618" s="14" t="s">
        <v>9466</v>
      </c>
      <c r="B2618" s="17" t="s">
        <v>9467</v>
      </c>
      <c r="C2618" s="17" t="s">
        <v>9468</v>
      </c>
      <c r="D2618" s="19" t="s">
        <v>9469</v>
      </c>
      <c r="E2618" s="20" t="s">
        <v>650</v>
      </c>
      <c r="F2618" s="21">
        <v>21748.0</v>
      </c>
      <c r="G2618" s="14">
        <f t="shared" si="1"/>
        <v>67</v>
      </c>
      <c r="H2618" s="23" t="s">
        <v>26</v>
      </c>
      <c r="I2618" s="24" t="s">
        <v>33</v>
      </c>
      <c r="J2618" s="19" t="s">
        <v>939</v>
      </c>
      <c r="K2618" s="14">
        <v>15.0</v>
      </c>
      <c r="L2618" s="14">
        <v>0.0</v>
      </c>
      <c r="M2618" s="25"/>
      <c r="N2618" s="26" t="s">
        <v>21</v>
      </c>
      <c r="O2618" s="7"/>
      <c r="P2618" s="7"/>
      <c r="Q2618" s="7"/>
      <c r="R2618" s="7"/>
      <c r="S2618" s="7"/>
      <c r="T2618" s="7"/>
      <c r="U2618" s="7"/>
      <c r="V2618" s="7"/>
      <c r="W2618" s="7"/>
      <c r="X2618" s="7"/>
      <c r="Y2618" s="7"/>
    </row>
    <row r="2619">
      <c r="A2619" s="14" t="s">
        <v>9470</v>
      </c>
      <c r="B2619" s="17" t="s">
        <v>9467</v>
      </c>
      <c r="C2619" s="17" t="s">
        <v>9471</v>
      </c>
      <c r="D2619" s="19" t="s">
        <v>9472</v>
      </c>
      <c r="E2619" s="20" t="s">
        <v>1038</v>
      </c>
      <c r="F2619" s="27">
        <v>25549.0</v>
      </c>
      <c r="G2619" s="14">
        <f t="shared" si="1"/>
        <v>56</v>
      </c>
      <c r="H2619" s="23" t="s">
        <v>26</v>
      </c>
      <c r="I2619" s="24" t="s">
        <v>27</v>
      </c>
      <c r="J2619" s="19" t="s">
        <v>939</v>
      </c>
      <c r="K2619" s="14">
        <v>15.0</v>
      </c>
      <c r="L2619" s="14">
        <v>0.0</v>
      </c>
      <c r="M2619" s="25"/>
      <c r="N2619" s="26" t="s">
        <v>21</v>
      </c>
      <c r="O2619" s="7"/>
      <c r="P2619" s="7"/>
      <c r="Q2619" s="7"/>
      <c r="R2619" s="7"/>
      <c r="S2619" s="7"/>
      <c r="T2619" s="7"/>
      <c r="U2619" s="7"/>
      <c r="V2619" s="7"/>
      <c r="W2619" s="7"/>
      <c r="X2619" s="7"/>
      <c r="Y2619" s="7"/>
    </row>
    <row r="2620">
      <c r="A2620" s="14" t="s">
        <v>9473</v>
      </c>
      <c r="B2620" s="17" t="s">
        <v>9474</v>
      </c>
      <c r="C2620" s="17" t="s">
        <v>9475</v>
      </c>
      <c r="D2620" s="19" t="s">
        <v>9476</v>
      </c>
      <c r="E2620" s="20" t="s">
        <v>632</v>
      </c>
      <c r="F2620" s="21">
        <v>26882.0</v>
      </c>
      <c r="G2620" s="14">
        <f t="shared" si="1"/>
        <v>53</v>
      </c>
      <c r="H2620" s="23" t="s">
        <v>26</v>
      </c>
      <c r="I2620" s="24" t="s">
        <v>33</v>
      </c>
      <c r="J2620" s="19" t="s">
        <v>362</v>
      </c>
      <c r="K2620" s="14">
        <v>20.0</v>
      </c>
      <c r="L2620" s="14">
        <v>0.0</v>
      </c>
      <c r="M2620" s="25"/>
      <c r="N2620" s="26" t="s">
        <v>21</v>
      </c>
      <c r="O2620" s="7"/>
      <c r="P2620" s="7"/>
      <c r="Q2620" s="7"/>
      <c r="R2620" s="7"/>
      <c r="S2620" s="7"/>
      <c r="T2620" s="7"/>
      <c r="U2620" s="7"/>
      <c r="V2620" s="7"/>
      <c r="W2620" s="7"/>
      <c r="X2620" s="7"/>
      <c r="Y2620" s="7"/>
    </row>
    <row r="2621">
      <c r="A2621" s="14" t="s">
        <v>9477</v>
      </c>
      <c r="B2621" s="17" t="s">
        <v>9474</v>
      </c>
      <c r="C2621" s="17" t="s">
        <v>9478</v>
      </c>
      <c r="D2621" s="19" t="s">
        <v>9479</v>
      </c>
      <c r="E2621" s="20" t="s">
        <v>104</v>
      </c>
      <c r="F2621" s="21">
        <v>39360.0</v>
      </c>
      <c r="G2621" s="14">
        <f t="shared" si="1"/>
        <v>19</v>
      </c>
      <c r="H2621" s="23" t="s">
        <v>100</v>
      </c>
      <c r="I2621" s="24" t="s">
        <v>33</v>
      </c>
      <c r="J2621" s="19" t="s">
        <v>362</v>
      </c>
      <c r="K2621" s="14">
        <v>20.0</v>
      </c>
      <c r="L2621" s="14">
        <v>0.0</v>
      </c>
      <c r="M2621" s="25"/>
      <c r="N2621" s="26" t="s">
        <v>21</v>
      </c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7"/>
    </row>
    <row r="2622">
      <c r="A2622" s="14" t="s">
        <v>9480</v>
      </c>
      <c r="B2622" s="17" t="s">
        <v>10970</v>
      </c>
      <c r="C2622" s="17" t="s">
        <v>9481</v>
      </c>
      <c r="D2622" s="19" t="s">
        <v>9482</v>
      </c>
      <c r="E2622" s="20" t="s">
        <v>104</v>
      </c>
      <c r="F2622" s="21">
        <v>35573.0</v>
      </c>
      <c r="G2622" s="14">
        <f t="shared" si="1"/>
        <v>29</v>
      </c>
      <c r="H2622" s="23" t="s">
        <v>100</v>
      </c>
      <c r="I2622" s="24" t="s">
        <v>33</v>
      </c>
      <c r="J2622" s="19" t="s">
        <v>362</v>
      </c>
      <c r="K2622" s="14">
        <v>20.0</v>
      </c>
      <c r="L2622" s="14">
        <v>0.0</v>
      </c>
      <c r="M2622" s="25"/>
      <c r="N2622" s="26" t="s">
        <v>21</v>
      </c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</row>
    <row r="2623">
      <c r="A2623" s="14" t="s">
        <v>9483</v>
      </c>
      <c r="B2623" s="17" t="s">
        <v>10970</v>
      </c>
      <c r="C2623" s="17" t="s">
        <v>9484</v>
      </c>
      <c r="D2623" s="19" t="s">
        <v>5447</v>
      </c>
      <c r="E2623" s="20" t="s">
        <v>195</v>
      </c>
      <c r="F2623" s="21">
        <v>26481.0</v>
      </c>
      <c r="G2623" s="14">
        <f t="shared" si="1"/>
        <v>54</v>
      </c>
      <c r="H2623" s="23" t="s">
        <v>26</v>
      </c>
      <c r="I2623" s="24" t="s">
        <v>27</v>
      </c>
      <c r="J2623" s="19" t="s">
        <v>362</v>
      </c>
      <c r="K2623" s="14">
        <v>20.0</v>
      </c>
      <c r="L2623" s="14">
        <v>0.0</v>
      </c>
      <c r="M2623" s="25"/>
      <c r="N2623" s="26" t="s">
        <v>21</v>
      </c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7"/>
    </row>
    <row r="2624">
      <c r="A2624" s="14" t="s">
        <v>9485</v>
      </c>
      <c r="B2624" s="17" t="s">
        <v>10970</v>
      </c>
      <c r="C2624" s="17" t="s">
        <v>9486</v>
      </c>
      <c r="D2624" s="19" t="s">
        <v>9487</v>
      </c>
      <c r="E2624" s="20" t="s">
        <v>6420</v>
      </c>
      <c r="F2624" s="27">
        <v>37543.0</v>
      </c>
      <c r="G2624" s="14">
        <f t="shared" si="1"/>
        <v>24</v>
      </c>
      <c r="H2624" s="23" t="s">
        <v>100</v>
      </c>
      <c r="I2624" s="24" t="s">
        <v>33</v>
      </c>
      <c r="J2624" s="19" t="s">
        <v>362</v>
      </c>
      <c r="K2624" s="14">
        <v>20.0</v>
      </c>
      <c r="L2624" s="14">
        <v>0.0</v>
      </c>
      <c r="M2624" s="25"/>
      <c r="N2624" s="26" t="s">
        <v>21</v>
      </c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</row>
    <row r="2625">
      <c r="A2625" s="14" t="s">
        <v>9488</v>
      </c>
      <c r="B2625" s="38" t="s">
        <v>9489</v>
      </c>
      <c r="C2625" s="38" t="s">
        <v>10983</v>
      </c>
      <c r="D2625" s="19" t="s">
        <v>9491</v>
      </c>
      <c r="E2625" s="20" t="s">
        <v>104</v>
      </c>
      <c r="F2625" s="21">
        <v>30387.0</v>
      </c>
      <c r="G2625" s="14">
        <f t="shared" si="1"/>
        <v>43</v>
      </c>
      <c r="H2625" s="23" t="s">
        <v>100</v>
      </c>
      <c r="I2625" s="24" t="s">
        <v>33</v>
      </c>
      <c r="J2625" s="19" t="s">
        <v>517</v>
      </c>
      <c r="K2625" s="14">
        <v>9.0</v>
      </c>
      <c r="L2625" s="14">
        <v>0.0</v>
      </c>
      <c r="M2625" s="25"/>
      <c r="N2625" s="26" t="s">
        <v>21</v>
      </c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</row>
    <row r="2626">
      <c r="A2626" s="14" t="s">
        <v>9493</v>
      </c>
      <c r="B2626" s="38" t="s">
        <v>9489</v>
      </c>
      <c r="C2626" s="38" t="s">
        <v>10989</v>
      </c>
      <c r="D2626" s="19" t="s">
        <v>9495</v>
      </c>
      <c r="E2626" s="20" t="s">
        <v>654</v>
      </c>
      <c r="F2626" s="21">
        <v>22120.0</v>
      </c>
      <c r="G2626" s="14">
        <f t="shared" si="1"/>
        <v>66</v>
      </c>
      <c r="H2626" s="23" t="s">
        <v>27</v>
      </c>
      <c r="I2626" s="24" t="s">
        <v>27</v>
      </c>
      <c r="J2626" s="19" t="s">
        <v>517</v>
      </c>
      <c r="K2626" s="14">
        <v>9.0</v>
      </c>
      <c r="L2626" s="14">
        <v>0.0</v>
      </c>
      <c r="M2626" s="25"/>
      <c r="N2626" s="26" t="s">
        <v>21</v>
      </c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7"/>
    </row>
    <row r="2627">
      <c r="A2627" s="14" t="s">
        <v>9496</v>
      </c>
      <c r="B2627" s="17" t="s">
        <v>9497</v>
      </c>
      <c r="C2627" s="17" t="s">
        <v>9498</v>
      </c>
      <c r="D2627" s="19" t="s">
        <v>9499</v>
      </c>
      <c r="E2627" s="20" t="s">
        <v>274</v>
      </c>
      <c r="F2627" s="27">
        <v>29871.0</v>
      </c>
      <c r="G2627" s="14">
        <f t="shared" si="1"/>
        <v>45</v>
      </c>
      <c r="H2627" s="23" t="s">
        <v>26</v>
      </c>
      <c r="I2627" s="24" t="s">
        <v>27</v>
      </c>
      <c r="J2627" s="19" t="s">
        <v>328</v>
      </c>
      <c r="K2627" s="14">
        <v>19.0</v>
      </c>
      <c r="L2627" s="14">
        <v>0.0</v>
      </c>
      <c r="M2627" s="25"/>
      <c r="N2627" s="26" t="s">
        <v>21</v>
      </c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7"/>
    </row>
    <row r="2628">
      <c r="A2628" s="14" t="s">
        <v>9500</v>
      </c>
      <c r="B2628" s="17" t="s">
        <v>9497</v>
      </c>
      <c r="C2628" s="17" t="s">
        <v>9501</v>
      </c>
      <c r="D2628" s="19" t="s">
        <v>9502</v>
      </c>
      <c r="E2628" s="20" t="s">
        <v>112</v>
      </c>
      <c r="F2628" s="21">
        <v>26269.0</v>
      </c>
      <c r="G2628" s="14">
        <f t="shared" si="1"/>
        <v>54</v>
      </c>
      <c r="H2628" s="23" t="s">
        <v>26</v>
      </c>
      <c r="I2628" s="24" t="s">
        <v>33</v>
      </c>
      <c r="J2628" s="19" t="s">
        <v>328</v>
      </c>
      <c r="K2628" s="14">
        <v>19.0</v>
      </c>
      <c r="L2628" s="14">
        <v>0.0</v>
      </c>
      <c r="M2628" s="25"/>
      <c r="N2628" s="26" t="s">
        <v>21</v>
      </c>
      <c r="O2628" s="7"/>
      <c r="P2628" s="7"/>
      <c r="Q2628" s="7"/>
      <c r="R2628" s="7"/>
      <c r="S2628" s="7"/>
      <c r="T2628" s="7"/>
      <c r="U2628" s="7"/>
      <c r="V2628" s="7"/>
      <c r="W2628" s="7"/>
      <c r="X2628" s="7"/>
      <c r="Y2628" s="7"/>
    </row>
    <row r="2629">
      <c r="A2629" s="14" t="s">
        <v>9503</v>
      </c>
      <c r="B2629" s="17" t="s">
        <v>9504</v>
      </c>
      <c r="C2629" s="17" t="s">
        <v>9505</v>
      </c>
      <c r="D2629" s="19" t="s">
        <v>9506</v>
      </c>
      <c r="E2629" s="20" t="s">
        <v>53</v>
      </c>
      <c r="F2629" s="21">
        <v>33466.0</v>
      </c>
      <c r="G2629" s="14">
        <f t="shared" si="1"/>
        <v>35</v>
      </c>
      <c r="H2629" s="23" t="s">
        <v>26</v>
      </c>
      <c r="I2629" s="24" t="s">
        <v>33</v>
      </c>
      <c r="J2629" s="19" t="s">
        <v>53</v>
      </c>
      <c r="K2629" s="14">
        <v>10.0</v>
      </c>
      <c r="L2629" s="14">
        <v>0.0</v>
      </c>
      <c r="M2629" s="25"/>
      <c r="N2629" s="26" t="s">
        <v>21</v>
      </c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</row>
    <row r="2630">
      <c r="A2630" s="14" t="s">
        <v>9507</v>
      </c>
      <c r="B2630" s="17" t="s">
        <v>9504</v>
      </c>
      <c r="C2630" s="17" t="s">
        <v>9508</v>
      </c>
      <c r="D2630" s="19" t="s">
        <v>9509</v>
      </c>
      <c r="E2630" s="20" t="s">
        <v>104</v>
      </c>
      <c r="F2630" s="21">
        <v>38191.0</v>
      </c>
      <c r="G2630" s="14">
        <f t="shared" si="1"/>
        <v>22</v>
      </c>
      <c r="H2630" s="23" t="s">
        <v>100</v>
      </c>
      <c r="I2630" s="24" t="s">
        <v>27</v>
      </c>
      <c r="J2630" s="19" t="s">
        <v>53</v>
      </c>
      <c r="K2630" s="14">
        <v>10.0</v>
      </c>
      <c r="L2630" s="14">
        <v>0.0</v>
      </c>
      <c r="M2630" s="25"/>
      <c r="N2630" s="26" t="s">
        <v>21</v>
      </c>
      <c r="O2630" s="7"/>
      <c r="P2630" s="7"/>
      <c r="Q2630" s="7"/>
      <c r="R2630" s="7"/>
      <c r="S2630" s="7"/>
      <c r="T2630" s="7"/>
      <c r="U2630" s="7"/>
      <c r="V2630" s="7"/>
      <c r="W2630" s="7"/>
      <c r="X2630" s="7"/>
      <c r="Y2630" s="7"/>
    </row>
    <row r="2631">
      <c r="A2631" s="14" t="s">
        <v>9510</v>
      </c>
      <c r="B2631" s="17" t="s">
        <v>9504</v>
      </c>
      <c r="C2631" s="17" t="s">
        <v>9511</v>
      </c>
      <c r="D2631" s="19" t="s">
        <v>9512</v>
      </c>
      <c r="E2631" s="20" t="s">
        <v>104</v>
      </c>
      <c r="F2631" s="21">
        <v>31249.0</v>
      </c>
      <c r="G2631" s="14">
        <f t="shared" si="1"/>
        <v>41</v>
      </c>
      <c r="H2631" s="23" t="s">
        <v>26</v>
      </c>
      <c r="I2631" s="24" t="s">
        <v>27</v>
      </c>
      <c r="J2631" s="19" t="s">
        <v>53</v>
      </c>
      <c r="K2631" s="14">
        <v>10.0</v>
      </c>
      <c r="L2631" s="14">
        <v>0.0</v>
      </c>
      <c r="M2631" s="25"/>
      <c r="N2631" s="26" t="s">
        <v>21</v>
      </c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</row>
    <row r="2632">
      <c r="A2632" s="14" t="s">
        <v>9513</v>
      </c>
      <c r="B2632" s="17" t="s">
        <v>9514</v>
      </c>
      <c r="C2632" s="17" t="s">
        <v>9515</v>
      </c>
      <c r="D2632" s="19" t="s">
        <v>9516</v>
      </c>
      <c r="E2632" s="20" t="s">
        <v>104</v>
      </c>
      <c r="F2632" s="21">
        <v>34923.0</v>
      </c>
      <c r="G2632" s="14">
        <f t="shared" si="1"/>
        <v>31</v>
      </c>
      <c r="H2632" s="23" t="s">
        <v>100</v>
      </c>
      <c r="I2632" s="24" t="s">
        <v>33</v>
      </c>
      <c r="J2632" s="19" t="s">
        <v>53</v>
      </c>
      <c r="K2632" s="14">
        <v>14.0</v>
      </c>
      <c r="L2632" s="14">
        <v>0.0</v>
      </c>
      <c r="M2632" s="25"/>
      <c r="N2632" s="26" t="s">
        <v>21</v>
      </c>
      <c r="O2632" s="7"/>
      <c r="P2632" s="7"/>
      <c r="Q2632" s="7"/>
      <c r="R2632" s="7"/>
      <c r="S2632" s="7"/>
      <c r="T2632" s="7"/>
      <c r="U2632" s="7"/>
      <c r="V2632" s="7"/>
      <c r="W2632" s="7"/>
      <c r="X2632" s="7"/>
      <c r="Y2632" s="7"/>
    </row>
    <row r="2633">
      <c r="A2633" s="14" t="s">
        <v>9517</v>
      </c>
      <c r="B2633" s="17" t="s">
        <v>9514</v>
      </c>
      <c r="C2633" s="17" t="s">
        <v>9518</v>
      </c>
      <c r="D2633" s="19" t="s">
        <v>1116</v>
      </c>
      <c r="E2633" s="20" t="s">
        <v>290</v>
      </c>
      <c r="F2633" s="27">
        <v>23731.0</v>
      </c>
      <c r="G2633" s="14">
        <f t="shared" si="1"/>
        <v>61</v>
      </c>
      <c r="H2633" s="23" t="s">
        <v>27</v>
      </c>
      <c r="I2633" s="24" t="s">
        <v>27</v>
      </c>
      <c r="J2633" s="19" t="s">
        <v>53</v>
      </c>
      <c r="K2633" s="14">
        <v>14.0</v>
      </c>
      <c r="L2633" s="14">
        <v>0.0</v>
      </c>
      <c r="M2633" s="25"/>
      <c r="N2633" s="26" t="s">
        <v>21</v>
      </c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7"/>
    </row>
    <row r="2634">
      <c r="A2634" s="14" t="s">
        <v>9519</v>
      </c>
      <c r="B2634" s="17" t="s">
        <v>9514</v>
      </c>
      <c r="C2634" s="17" t="s">
        <v>9520</v>
      </c>
      <c r="D2634" s="19" t="s">
        <v>9521</v>
      </c>
      <c r="E2634" s="20" t="s">
        <v>67</v>
      </c>
      <c r="F2634" s="21">
        <v>31300.0</v>
      </c>
      <c r="G2634" s="14">
        <f t="shared" si="1"/>
        <v>41</v>
      </c>
      <c r="H2634" s="23" t="s">
        <v>100</v>
      </c>
      <c r="I2634" s="24" t="s">
        <v>33</v>
      </c>
      <c r="J2634" s="19" t="s">
        <v>53</v>
      </c>
      <c r="K2634" s="14">
        <v>14.0</v>
      </c>
      <c r="L2634" s="14">
        <v>0.0</v>
      </c>
      <c r="M2634" s="25"/>
      <c r="N2634" s="26" t="s">
        <v>21</v>
      </c>
      <c r="O2634" s="7"/>
      <c r="P2634" s="7"/>
      <c r="Q2634" s="7"/>
      <c r="R2634" s="7"/>
      <c r="S2634" s="7"/>
      <c r="T2634" s="7"/>
      <c r="U2634" s="7"/>
      <c r="V2634" s="7"/>
      <c r="W2634" s="7"/>
      <c r="X2634" s="7"/>
      <c r="Y2634" s="7"/>
    </row>
    <row r="2635">
      <c r="A2635" s="14" t="s">
        <v>9522</v>
      </c>
      <c r="B2635" s="17" t="s">
        <v>9523</v>
      </c>
      <c r="C2635" s="17" t="s">
        <v>9524</v>
      </c>
      <c r="D2635" s="19" t="s">
        <v>9525</v>
      </c>
      <c r="E2635" s="20" t="s">
        <v>104</v>
      </c>
      <c r="F2635" s="21">
        <v>34523.0</v>
      </c>
      <c r="G2635" s="14">
        <f t="shared" si="1"/>
        <v>32</v>
      </c>
      <c r="H2635" s="23" t="s">
        <v>26</v>
      </c>
      <c r="I2635" s="24" t="s">
        <v>33</v>
      </c>
      <c r="J2635" s="19" t="s">
        <v>58</v>
      </c>
      <c r="K2635" s="14">
        <v>8.0</v>
      </c>
      <c r="L2635" s="14">
        <v>0.0</v>
      </c>
      <c r="M2635" s="25"/>
      <c r="N2635" s="26" t="s">
        <v>21</v>
      </c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7"/>
    </row>
    <row r="2636">
      <c r="A2636" s="14" t="s">
        <v>9526</v>
      </c>
      <c r="B2636" s="17" t="s">
        <v>9523</v>
      </c>
      <c r="C2636" s="17" t="s">
        <v>9527</v>
      </c>
      <c r="D2636" s="19" t="s">
        <v>9528</v>
      </c>
      <c r="E2636" s="20" t="s">
        <v>104</v>
      </c>
      <c r="F2636" s="21">
        <v>33286.0</v>
      </c>
      <c r="G2636" s="14">
        <f t="shared" si="1"/>
        <v>35</v>
      </c>
      <c r="H2636" s="23" t="s">
        <v>26</v>
      </c>
      <c r="I2636" s="24" t="s">
        <v>27</v>
      </c>
      <c r="J2636" s="19" t="s">
        <v>58</v>
      </c>
      <c r="K2636" s="14">
        <v>8.0</v>
      </c>
      <c r="L2636" s="14">
        <v>0.0</v>
      </c>
      <c r="M2636" s="25"/>
      <c r="N2636" s="26" t="s">
        <v>21</v>
      </c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7"/>
    </row>
    <row r="2637">
      <c r="A2637" s="14" t="s">
        <v>9529</v>
      </c>
      <c r="B2637" s="17" t="s">
        <v>9530</v>
      </c>
      <c r="C2637" s="17" t="s">
        <v>9531</v>
      </c>
      <c r="D2637" s="19" t="s">
        <v>9532</v>
      </c>
      <c r="E2637" s="20" t="s">
        <v>195</v>
      </c>
      <c r="F2637" s="21">
        <v>31665.0</v>
      </c>
      <c r="G2637" s="14">
        <f t="shared" si="1"/>
        <v>40</v>
      </c>
      <c r="H2637" s="23" t="s">
        <v>26</v>
      </c>
      <c r="I2637" s="24" t="s">
        <v>33</v>
      </c>
      <c r="J2637" s="19" t="s">
        <v>53</v>
      </c>
      <c r="K2637" s="14">
        <v>20.0</v>
      </c>
      <c r="L2637" s="14">
        <v>0.0</v>
      </c>
      <c r="M2637" s="25"/>
      <c r="N2637" s="26" t="s">
        <v>21</v>
      </c>
      <c r="O2637" s="7"/>
      <c r="P2637" s="7"/>
      <c r="Q2637" s="7"/>
      <c r="R2637" s="7"/>
      <c r="S2637" s="7"/>
      <c r="T2637" s="7"/>
      <c r="U2637" s="7"/>
      <c r="V2637" s="7"/>
      <c r="W2637" s="7"/>
      <c r="X2637" s="7"/>
      <c r="Y2637" s="7"/>
    </row>
    <row r="2638">
      <c r="A2638" s="14" t="s">
        <v>9533</v>
      </c>
      <c r="B2638" s="17" t="s">
        <v>9530</v>
      </c>
      <c r="C2638" s="17" t="s">
        <v>9534</v>
      </c>
      <c r="D2638" s="19" t="s">
        <v>9465</v>
      </c>
      <c r="E2638" s="20" t="s">
        <v>104</v>
      </c>
      <c r="F2638" s="21">
        <v>33125.0</v>
      </c>
      <c r="G2638" s="14">
        <f t="shared" si="1"/>
        <v>36</v>
      </c>
      <c r="H2638" s="23" t="s">
        <v>26</v>
      </c>
      <c r="I2638" s="24" t="s">
        <v>27</v>
      </c>
      <c r="J2638" s="19" t="s">
        <v>53</v>
      </c>
      <c r="K2638" s="14">
        <v>20.0</v>
      </c>
      <c r="L2638" s="14">
        <v>0.0</v>
      </c>
      <c r="M2638" s="25"/>
      <c r="N2638" s="26" t="s">
        <v>21</v>
      </c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7"/>
    </row>
    <row r="2639">
      <c r="A2639" s="14" t="s">
        <v>9535</v>
      </c>
      <c r="B2639" s="17" t="s">
        <v>9536</v>
      </c>
      <c r="C2639" s="17" t="s">
        <v>9537</v>
      </c>
      <c r="D2639" s="19" t="s">
        <v>9538</v>
      </c>
      <c r="E2639" s="20" t="s">
        <v>104</v>
      </c>
      <c r="F2639" s="27">
        <v>35387.0</v>
      </c>
      <c r="G2639" s="14">
        <f t="shared" si="1"/>
        <v>29</v>
      </c>
      <c r="H2639" s="23" t="s">
        <v>26</v>
      </c>
      <c r="I2639" s="24" t="s">
        <v>27</v>
      </c>
      <c r="J2639" s="19" t="s">
        <v>146</v>
      </c>
      <c r="K2639" s="14">
        <v>4.0</v>
      </c>
      <c r="L2639" s="14">
        <v>0.0</v>
      </c>
      <c r="M2639" s="25"/>
      <c r="N2639" s="26" t="s">
        <v>21</v>
      </c>
      <c r="O2639" s="7"/>
      <c r="P2639" s="7"/>
      <c r="Q2639" s="7"/>
      <c r="R2639" s="7"/>
      <c r="S2639" s="7"/>
      <c r="T2639" s="7"/>
      <c r="U2639" s="7"/>
      <c r="V2639" s="7"/>
      <c r="W2639" s="7"/>
      <c r="X2639" s="7"/>
      <c r="Y2639" s="7"/>
    </row>
    <row r="2640">
      <c r="A2640" s="14" t="s">
        <v>9539</v>
      </c>
      <c r="B2640" s="17" t="s">
        <v>9536</v>
      </c>
      <c r="C2640" s="17" t="s">
        <v>9540</v>
      </c>
      <c r="D2640" s="19" t="s">
        <v>9541</v>
      </c>
      <c r="E2640" s="20" t="s">
        <v>104</v>
      </c>
      <c r="F2640" s="27">
        <v>32806.0</v>
      </c>
      <c r="G2640" s="14">
        <f t="shared" si="1"/>
        <v>37</v>
      </c>
      <c r="H2640" s="23" t="s">
        <v>26</v>
      </c>
      <c r="I2640" s="24" t="s">
        <v>33</v>
      </c>
      <c r="J2640" s="19" t="s">
        <v>146</v>
      </c>
      <c r="K2640" s="14">
        <v>4.0</v>
      </c>
      <c r="L2640" s="14">
        <v>0.0</v>
      </c>
      <c r="M2640" s="25"/>
      <c r="N2640" s="26" t="s">
        <v>21</v>
      </c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</row>
    <row r="2641">
      <c r="A2641" s="14" t="s">
        <v>9542</v>
      </c>
      <c r="B2641" s="17" t="s">
        <v>9543</v>
      </c>
      <c r="C2641" s="17" t="s">
        <v>9544</v>
      </c>
      <c r="D2641" s="19" t="s">
        <v>9545</v>
      </c>
      <c r="E2641" s="20" t="s">
        <v>7801</v>
      </c>
      <c r="F2641" s="21">
        <v>37323.0</v>
      </c>
      <c r="G2641" s="14">
        <f t="shared" si="1"/>
        <v>24</v>
      </c>
      <c r="H2641" s="23" t="s">
        <v>26</v>
      </c>
      <c r="I2641" s="24" t="s">
        <v>33</v>
      </c>
      <c r="J2641" s="19" t="s">
        <v>53</v>
      </c>
      <c r="K2641" s="14">
        <v>9.0</v>
      </c>
      <c r="L2641" s="14">
        <v>0.0</v>
      </c>
      <c r="M2641" s="25"/>
      <c r="N2641" s="26" t="s">
        <v>21</v>
      </c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</row>
    <row r="2642">
      <c r="A2642" s="14" t="s">
        <v>9546</v>
      </c>
      <c r="B2642" s="17" t="s">
        <v>9543</v>
      </c>
      <c r="C2642" s="17" t="s">
        <v>9547</v>
      </c>
      <c r="D2642" s="19" t="s">
        <v>9548</v>
      </c>
      <c r="E2642" s="20" t="s">
        <v>337</v>
      </c>
      <c r="F2642" s="27">
        <v>37554.0</v>
      </c>
      <c r="G2642" s="14">
        <f t="shared" si="1"/>
        <v>24</v>
      </c>
      <c r="H2642" s="23" t="s">
        <v>26</v>
      </c>
      <c r="I2642" s="24" t="s">
        <v>27</v>
      </c>
      <c r="J2642" s="19" t="s">
        <v>517</v>
      </c>
      <c r="K2642" s="14">
        <v>9.0</v>
      </c>
      <c r="L2642" s="14">
        <v>0.0</v>
      </c>
      <c r="M2642" s="25"/>
      <c r="N2642" s="26" t="s">
        <v>21</v>
      </c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7"/>
    </row>
    <row r="2643">
      <c r="A2643" s="14" t="s">
        <v>9549</v>
      </c>
      <c r="B2643" s="17" t="s">
        <v>9550</v>
      </c>
      <c r="C2643" s="17" t="s">
        <v>9551</v>
      </c>
      <c r="D2643" s="19" t="s">
        <v>7292</v>
      </c>
      <c r="E2643" s="20" t="s">
        <v>67</v>
      </c>
      <c r="F2643" s="21">
        <v>24540.0</v>
      </c>
      <c r="G2643" s="14">
        <f t="shared" si="1"/>
        <v>59</v>
      </c>
      <c r="H2643" s="23" t="s">
        <v>26</v>
      </c>
      <c r="I2643" s="24" t="s">
        <v>33</v>
      </c>
      <c r="J2643" s="19" t="s">
        <v>68</v>
      </c>
      <c r="K2643" s="14">
        <v>34.0</v>
      </c>
      <c r="L2643" s="14">
        <v>0.0</v>
      </c>
      <c r="M2643" s="25"/>
      <c r="N2643" s="26" t="s">
        <v>21</v>
      </c>
      <c r="O2643" s="7"/>
      <c r="P2643" s="7"/>
      <c r="Q2643" s="7"/>
      <c r="R2643" s="7"/>
      <c r="S2643" s="7"/>
      <c r="T2643" s="7"/>
      <c r="U2643" s="7"/>
      <c r="V2643" s="7"/>
      <c r="W2643" s="7"/>
      <c r="X2643" s="7"/>
      <c r="Y2643" s="7"/>
    </row>
    <row r="2644">
      <c r="A2644" s="14" t="s">
        <v>9552</v>
      </c>
      <c r="B2644" s="17" t="s">
        <v>9550</v>
      </c>
      <c r="C2644" s="17" t="s">
        <v>9553</v>
      </c>
      <c r="D2644" s="19" t="s">
        <v>9554</v>
      </c>
      <c r="E2644" s="20" t="s">
        <v>53</v>
      </c>
      <c r="F2644" s="21">
        <v>28566.0</v>
      </c>
      <c r="G2644" s="14">
        <f t="shared" si="1"/>
        <v>48</v>
      </c>
      <c r="H2644" s="23" t="s">
        <v>26</v>
      </c>
      <c r="I2644" s="24" t="s">
        <v>27</v>
      </c>
      <c r="J2644" s="19" t="s">
        <v>68</v>
      </c>
      <c r="K2644" s="14">
        <v>34.0</v>
      </c>
      <c r="L2644" s="14">
        <v>0.0</v>
      </c>
      <c r="M2644" s="25"/>
      <c r="N2644" s="26" t="s">
        <v>21</v>
      </c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</row>
    <row r="2645">
      <c r="A2645" s="14" t="s">
        <v>9555</v>
      </c>
      <c r="B2645" s="17" t="s">
        <v>9556</v>
      </c>
      <c r="C2645" s="17" t="s">
        <v>9557</v>
      </c>
      <c r="D2645" s="19" t="s">
        <v>9558</v>
      </c>
      <c r="E2645" s="20" t="s">
        <v>8323</v>
      </c>
      <c r="F2645" s="21">
        <v>28828.0</v>
      </c>
      <c r="G2645" s="14">
        <f t="shared" si="1"/>
        <v>47</v>
      </c>
      <c r="H2645" s="23" t="s">
        <v>26</v>
      </c>
      <c r="I2645" s="24" t="s">
        <v>27</v>
      </c>
      <c r="J2645" s="19" t="s">
        <v>68</v>
      </c>
      <c r="K2645" s="14">
        <v>33.0</v>
      </c>
      <c r="L2645" s="14">
        <v>0.0</v>
      </c>
      <c r="M2645" s="25"/>
      <c r="N2645" s="26" t="s">
        <v>21</v>
      </c>
      <c r="O2645" s="7"/>
      <c r="P2645" s="7"/>
      <c r="Q2645" s="7"/>
      <c r="R2645" s="7"/>
      <c r="S2645" s="7"/>
      <c r="T2645" s="7"/>
      <c r="U2645" s="7"/>
      <c r="V2645" s="7"/>
      <c r="W2645" s="7"/>
      <c r="X2645" s="7"/>
      <c r="Y2645" s="7"/>
    </row>
    <row r="2646">
      <c r="A2646" s="14" t="s">
        <v>9559</v>
      </c>
      <c r="B2646" s="17" t="s">
        <v>9556</v>
      </c>
      <c r="C2646" s="17" t="s">
        <v>9560</v>
      </c>
      <c r="D2646" s="19" t="s">
        <v>3451</v>
      </c>
      <c r="E2646" s="20" t="s">
        <v>1291</v>
      </c>
      <c r="F2646" s="21">
        <v>24021.0</v>
      </c>
      <c r="G2646" s="14">
        <f t="shared" si="1"/>
        <v>61</v>
      </c>
      <c r="H2646" s="23" t="s">
        <v>26</v>
      </c>
      <c r="I2646" s="24" t="s">
        <v>33</v>
      </c>
      <c r="J2646" s="19" t="s">
        <v>68</v>
      </c>
      <c r="K2646" s="14">
        <v>33.0</v>
      </c>
      <c r="L2646" s="14">
        <v>0.0</v>
      </c>
      <c r="M2646" s="25"/>
      <c r="N2646" s="26" t="s">
        <v>21</v>
      </c>
      <c r="O2646" s="7"/>
      <c r="P2646" s="7"/>
      <c r="Q2646" s="7"/>
      <c r="R2646" s="7"/>
      <c r="S2646" s="7"/>
      <c r="T2646" s="7"/>
      <c r="U2646" s="7"/>
      <c r="V2646" s="7"/>
      <c r="W2646" s="7"/>
      <c r="X2646" s="7"/>
      <c r="Y2646" s="7"/>
    </row>
    <row r="2647">
      <c r="A2647" s="14" t="s">
        <v>9561</v>
      </c>
      <c r="B2647" s="17" t="s">
        <v>9562</v>
      </c>
      <c r="C2647" s="17" t="s">
        <v>9563</v>
      </c>
      <c r="D2647" s="19" t="s">
        <v>9564</v>
      </c>
      <c r="E2647" s="20" t="s">
        <v>1291</v>
      </c>
      <c r="F2647" s="21">
        <v>23778.0</v>
      </c>
      <c r="G2647" s="14">
        <f t="shared" si="1"/>
        <v>61</v>
      </c>
      <c r="H2647" s="23" t="s">
        <v>26</v>
      </c>
      <c r="I2647" s="24" t="s">
        <v>27</v>
      </c>
      <c r="J2647" s="19" t="s">
        <v>156</v>
      </c>
      <c r="K2647" s="14">
        <v>33.0</v>
      </c>
      <c r="L2647" s="14">
        <v>0.0</v>
      </c>
      <c r="M2647" s="25"/>
      <c r="N2647" s="26" t="s">
        <v>21</v>
      </c>
      <c r="O2647" s="7"/>
      <c r="P2647" s="7"/>
      <c r="Q2647" s="7"/>
      <c r="R2647" s="7"/>
      <c r="S2647" s="7"/>
      <c r="T2647" s="7"/>
      <c r="U2647" s="7"/>
      <c r="V2647" s="7"/>
      <c r="W2647" s="7"/>
      <c r="X2647" s="7"/>
      <c r="Y2647" s="7"/>
    </row>
    <row r="2648">
      <c r="A2648" s="14" t="s">
        <v>9565</v>
      </c>
      <c r="B2648" s="17" t="s">
        <v>9562</v>
      </c>
      <c r="C2648" s="17" t="s">
        <v>9566</v>
      </c>
      <c r="D2648" s="19" t="s">
        <v>8057</v>
      </c>
      <c r="E2648" s="20" t="s">
        <v>1291</v>
      </c>
      <c r="F2648" s="21">
        <v>23026.0</v>
      </c>
      <c r="G2648" s="14">
        <f t="shared" si="1"/>
        <v>63</v>
      </c>
      <c r="H2648" s="23" t="s">
        <v>26</v>
      </c>
      <c r="I2648" s="24" t="s">
        <v>33</v>
      </c>
      <c r="J2648" s="19" t="s">
        <v>156</v>
      </c>
      <c r="K2648" s="14">
        <v>33.0</v>
      </c>
      <c r="L2648" s="14">
        <v>0.0</v>
      </c>
      <c r="M2648" s="25"/>
      <c r="N2648" s="26" t="s">
        <v>21</v>
      </c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</row>
    <row r="2649">
      <c r="A2649" s="14" t="s">
        <v>9567</v>
      </c>
      <c r="B2649" s="17" t="s">
        <v>9568</v>
      </c>
      <c r="C2649" s="17" t="s">
        <v>9569</v>
      </c>
      <c r="D2649" s="19" t="s">
        <v>9570</v>
      </c>
      <c r="E2649" s="20" t="s">
        <v>138</v>
      </c>
      <c r="F2649" s="21">
        <v>39119.0</v>
      </c>
      <c r="G2649" s="14">
        <f t="shared" si="1"/>
        <v>19</v>
      </c>
      <c r="H2649" s="23" t="s">
        <v>100</v>
      </c>
      <c r="I2649" s="24" t="s">
        <v>27</v>
      </c>
      <c r="J2649" s="19" t="s">
        <v>9571</v>
      </c>
      <c r="K2649" s="14">
        <v>33.0</v>
      </c>
      <c r="L2649" s="14">
        <v>0.0</v>
      </c>
      <c r="M2649" s="25"/>
      <c r="N2649" s="26" t="s">
        <v>21</v>
      </c>
      <c r="O2649" s="7"/>
      <c r="P2649" s="7"/>
      <c r="Q2649" s="7"/>
      <c r="R2649" s="7"/>
      <c r="S2649" s="7"/>
      <c r="T2649" s="7"/>
      <c r="U2649" s="7"/>
      <c r="V2649" s="7"/>
      <c r="W2649" s="7"/>
      <c r="X2649" s="7"/>
      <c r="Y2649" s="7"/>
    </row>
    <row r="2650">
      <c r="A2650" s="14" t="s">
        <v>9572</v>
      </c>
      <c r="B2650" s="17" t="s">
        <v>9568</v>
      </c>
      <c r="C2650" s="17" t="s">
        <v>9573</v>
      </c>
      <c r="D2650" s="19" t="s">
        <v>9574</v>
      </c>
      <c r="E2650" s="20" t="s">
        <v>9575</v>
      </c>
      <c r="F2650" s="21">
        <v>27896.0</v>
      </c>
      <c r="G2650" s="14">
        <f t="shared" si="1"/>
        <v>50</v>
      </c>
      <c r="H2650" s="23" t="s">
        <v>26</v>
      </c>
      <c r="I2650" s="24" t="s">
        <v>33</v>
      </c>
      <c r="J2650" s="19" t="s">
        <v>9571</v>
      </c>
      <c r="K2650" s="14">
        <v>33.0</v>
      </c>
      <c r="L2650" s="14">
        <v>0.0</v>
      </c>
      <c r="M2650" s="25"/>
      <c r="N2650" s="26" t="s">
        <v>21</v>
      </c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7"/>
    </row>
    <row r="2651">
      <c r="A2651" s="14" t="s">
        <v>9576</v>
      </c>
      <c r="B2651" s="17" t="s">
        <v>9568</v>
      </c>
      <c r="C2651" s="17" t="s">
        <v>9577</v>
      </c>
      <c r="D2651" s="19" t="s">
        <v>9578</v>
      </c>
      <c r="E2651" s="20" t="s">
        <v>104</v>
      </c>
      <c r="F2651" s="21">
        <v>30710.0</v>
      </c>
      <c r="G2651" s="14">
        <f t="shared" si="1"/>
        <v>42</v>
      </c>
      <c r="H2651" s="23" t="s">
        <v>26</v>
      </c>
      <c r="I2651" s="24" t="s">
        <v>27</v>
      </c>
      <c r="J2651" s="19" t="s">
        <v>3560</v>
      </c>
      <c r="K2651" s="14">
        <v>33.0</v>
      </c>
      <c r="L2651" s="14">
        <v>0.0</v>
      </c>
      <c r="M2651" s="25"/>
      <c r="N2651" s="26" t="s">
        <v>21</v>
      </c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7"/>
    </row>
    <row r="2652">
      <c r="A2652" s="14" t="s">
        <v>9579</v>
      </c>
      <c r="B2652" s="17" t="s">
        <v>9580</v>
      </c>
      <c r="C2652" s="17" t="s">
        <v>9581</v>
      </c>
      <c r="D2652" s="19" t="s">
        <v>9582</v>
      </c>
      <c r="E2652" s="20" t="s">
        <v>654</v>
      </c>
      <c r="F2652" s="21">
        <v>22842.0</v>
      </c>
      <c r="G2652" s="14">
        <f t="shared" si="1"/>
        <v>64</v>
      </c>
      <c r="H2652" s="23" t="s">
        <v>26</v>
      </c>
      <c r="I2652" s="24" t="s">
        <v>27</v>
      </c>
      <c r="J2652" s="19" t="s">
        <v>68</v>
      </c>
      <c r="K2652" s="14">
        <v>33.0</v>
      </c>
      <c r="L2652" s="14">
        <v>0.0</v>
      </c>
      <c r="M2652" s="25"/>
      <c r="N2652" s="26" t="s">
        <v>21</v>
      </c>
      <c r="O2652" s="7"/>
      <c r="P2652" s="7"/>
      <c r="Q2652" s="7"/>
      <c r="R2652" s="7"/>
      <c r="S2652" s="7"/>
      <c r="T2652" s="7"/>
      <c r="U2652" s="7"/>
      <c r="V2652" s="7"/>
      <c r="W2652" s="7"/>
      <c r="X2652" s="7"/>
      <c r="Y2652" s="7"/>
    </row>
    <row r="2653">
      <c r="A2653" s="14" t="s">
        <v>9583</v>
      </c>
      <c r="B2653" s="17" t="s">
        <v>9584</v>
      </c>
      <c r="C2653" s="17" t="s">
        <v>9585</v>
      </c>
      <c r="D2653" s="19" t="s">
        <v>9586</v>
      </c>
      <c r="E2653" s="20" t="s">
        <v>104</v>
      </c>
      <c r="F2653" s="21">
        <v>30046.0</v>
      </c>
      <c r="G2653" s="14">
        <f t="shared" si="1"/>
        <v>44</v>
      </c>
      <c r="H2653" s="23" t="s">
        <v>26</v>
      </c>
      <c r="I2653" s="24" t="s">
        <v>27</v>
      </c>
      <c r="J2653" s="19" t="s">
        <v>53</v>
      </c>
      <c r="K2653" s="14">
        <v>1.0</v>
      </c>
      <c r="L2653" s="14">
        <v>0.0</v>
      </c>
      <c r="M2653" s="25"/>
      <c r="N2653" s="26" t="s">
        <v>21</v>
      </c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7"/>
    </row>
    <row r="2654">
      <c r="A2654" s="14" t="s">
        <v>9587</v>
      </c>
      <c r="B2654" s="17" t="s">
        <v>9584</v>
      </c>
      <c r="C2654" s="17" t="s">
        <v>9588</v>
      </c>
      <c r="D2654" s="19" t="s">
        <v>9589</v>
      </c>
      <c r="E2654" s="20" t="s">
        <v>858</v>
      </c>
      <c r="F2654" s="21">
        <v>26636.0</v>
      </c>
      <c r="G2654" s="14">
        <f t="shared" si="1"/>
        <v>53</v>
      </c>
      <c r="H2654" s="23" t="s">
        <v>26</v>
      </c>
      <c r="I2654" s="24" t="s">
        <v>33</v>
      </c>
      <c r="J2654" s="19" t="s">
        <v>53</v>
      </c>
      <c r="K2654" s="14">
        <v>1.0</v>
      </c>
      <c r="L2654" s="14">
        <v>0.0</v>
      </c>
      <c r="M2654" s="25"/>
      <c r="N2654" s="26" t="s">
        <v>21</v>
      </c>
      <c r="O2654" s="7"/>
      <c r="P2654" s="7"/>
      <c r="Q2654" s="7"/>
      <c r="R2654" s="7"/>
      <c r="S2654" s="7"/>
      <c r="T2654" s="7"/>
      <c r="U2654" s="7"/>
      <c r="V2654" s="7"/>
      <c r="W2654" s="7"/>
      <c r="X2654" s="7"/>
      <c r="Y2654" s="7"/>
    </row>
    <row r="2655">
      <c r="A2655" s="14" t="s">
        <v>9590</v>
      </c>
      <c r="B2655" s="17" t="s">
        <v>9591</v>
      </c>
      <c r="C2655" s="17" t="s">
        <v>9592</v>
      </c>
      <c r="D2655" s="19" t="s">
        <v>9593</v>
      </c>
      <c r="E2655" s="20" t="s">
        <v>654</v>
      </c>
      <c r="F2655" s="21">
        <v>17731.0</v>
      </c>
      <c r="G2655" s="14">
        <f t="shared" si="1"/>
        <v>78</v>
      </c>
      <c r="H2655" s="23" t="s">
        <v>26</v>
      </c>
      <c r="I2655" s="24" t="s">
        <v>33</v>
      </c>
      <c r="J2655" s="19" t="s">
        <v>9594</v>
      </c>
      <c r="K2655" s="14">
        <v>7.0</v>
      </c>
      <c r="L2655" s="14">
        <v>0.0</v>
      </c>
      <c r="M2655" s="25"/>
      <c r="N2655" s="26" t="s">
        <v>21</v>
      </c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7"/>
    </row>
    <row r="2656">
      <c r="A2656" s="14" t="s">
        <v>9595</v>
      </c>
      <c r="B2656" s="17" t="s">
        <v>9591</v>
      </c>
      <c r="C2656" s="17" t="s">
        <v>9596</v>
      </c>
      <c r="D2656" s="19" t="s">
        <v>9597</v>
      </c>
      <c r="E2656" s="20" t="s">
        <v>654</v>
      </c>
      <c r="F2656" s="21">
        <v>20653.0</v>
      </c>
      <c r="G2656" s="14">
        <f t="shared" si="1"/>
        <v>70</v>
      </c>
      <c r="H2656" s="23" t="s">
        <v>26</v>
      </c>
      <c r="I2656" s="24" t="s">
        <v>27</v>
      </c>
      <c r="J2656" s="19" t="s">
        <v>9594</v>
      </c>
      <c r="K2656" s="14">
        <v>7.0</v>
      </c>
      <c r="L2656" s="14">
        <v>0.0</v>
      </c>
      <c r="M2656" s="25"/>
      <c r="N2656" s="26" t="s">
        <v>21</v>
      </c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</row>
    <row r="2657">
      <c r="A2657" s="14" t="s">
        <v>9598</v>
      </c>
      <c r="B2657" s="17" t="s">
        <v>9599</v>
      </c>
      <c r="C2657" s="17" t="s">
        <v>9600</v>
      </c>
      <c r="D2657" s="19" t="s">
        <v>9601</v>
      </c>
      <c r="E2657" s="20" t="s">
        <v>104</v>
      </c>
      <c r="F2657" s="21">
        <v>32260.0</v>
      </c>
      <c r="G2657" s="14">
        <f t="shared" si="1"/>
        <v>38</v>
      </c>
      <c r="H2657" s="23" t="s">
        <v>26</v>
      </c>
      <c r="I2657" s="24" t="s">
        <v>27</v>
      </c>
      <c r="J2657" s="19" t="s">
        <v>53</v>
      </c>
      <c r="K2657" s="14">
        <v>27.0</v>
      </c>
      <c r="L2657" s="14">
        <v>0.0</v>
      </c>
      <c r="M2657" s="25"/>
      <c r="N2657" s="26" t="s">
        <v>21</v>
      </c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</row>
    <row r="2658">
      <c r="A2658" s="14" t="s">
        <v>9602</v>
      </c>
      <c r="B2658" s="17" t="s">
        <v>9599</v>
      </c>
      <c r="C2658" s="17" t="s">
        <v>9603</v>
      </c>
      <c r="D2658" s="19" t="s">
        <v>2667</v>
      </c>
      <c r="E2658" s="20" t="s">
        <v>1095</v>
      </c>
      <c r="F2658" s="27">
        <v>29153.0</v>
      </c>
      <c r="G2658" s="14">
        <f t="shared" si="1"/>
        <v>47</v>
      </c>
      <c r="H2658" s="23" t="s">
        <v>26</v>
      </c>
      <c r="I2658" s="24" t="s">
        <v>33</v>
      </c>
      <c r="J2658" s="19" t="s">
        <v>328</v>
      </c>
      <c r="K2658" s="14">
        <v>27.0</v>
      </c>
      <c r="L2658" s="14">
        <v>0.0</v>
      </c>
      <c r="M2658" s="25"/>
      <c r="N2658" s="26" t="s">
        <v>21</v>
      </c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7"/>
    </row>
    <row r="2659">
      <c r="A2659" s="14" t="s">
        <v>9604</v>
      </c>
      <c r="B2659" s="17" t="s">
        <v>9599</v>
      </c>
      <c r="C2659" s="17" t="s">
        <v>9605</v>
      </c>
      <c r="D2659" s="19" t="s">
        <v>9606</v>
      </c>
      <c r="E2659" s="20" t="s">
        <v>104</v>
      </c>
      <c r="F2659" s="21">
        <v>39344.0</v>
      </c>
      <c r="G2659" s="14">
        <f t="shared" si="1"/>
        <v>19</v>
      </c>
      <c r="H2659" s="23" t="s">
        <v>100</v>
      </c>
      <c r="I2659" s="24" t="s">
        <v>33</v>
      </c>
      <c r="J2659" s="19" t="s">
        <v>53</v>
      </c>
      <c r="K2659" s="14">
        <v>27.0</v>
      </c>
      <c r="L2659" s="14">
        <v>0.0</v>
      </c>
      <c r="M2659" s="25"/>
      <c r="N2659" s="26" t="s">
        <v>21</v>
      </c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7"/>
    </row>
    <row r="2660">
      <c r="A2660" s="14" t="s">
        <v>9607</v>
      </c>
      <c r="B2660" s="17" t="s">
        <v>9608</v>
      </c>
      <c r="C2660" s="17" t="s">
        <v>9609</v>
      </c>
      <c r="D2660" s="19" t="s">
        <v>9610</v>
      </c>
      <c r="E2660" s="20" t="s">
        <v>632</v>
      </c>
      <c r="F2660" s="21">
        <v>20519.0</v>
      </c>
      <c r="G2660" s="14">
        <f t="shared" si="1"/>
        <v>70</v>
      </c>
      <c r="H2660" s="23" t="s">
        <v>26</v>
      </c>
      <c r="I2660" s="24" t="s">
        <v>33</v>
      </c>
      <c r="J2660" s="19" t="s">
        <v>53</v>
      </c>
      <c r="K2660" s="14">
        <v>21.0</v>
      </c>
      <c r="L2660" s="14">
        <v>0.0</v>
      </c>
      <c r="M2660" s="25"/>
      <c r="N2660" s="26" t="s">
        <v>21</v>
      </c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</row>
    <row r="2661">
      <c r="A2661" s="14" t="s">
        <v>9611</v>
      </c>
      <c r="B2661" s="17" t="s">
        <v>9608</v>
      </c>
      <c r="C2661" s="17" t="s">
        <v>9612</v>
      </c>
      <c r="D2661" s="19" t="s">
        <v>6315</v>
      </c>
      <c r="E2661" s="20" t="s">
        <v>632</v>
      </c>
      <c r="F2661" s="21">
        <v>21785.0</v>
      </c>
      <c r="G2661" s="14">
        <f t="shared" si="1"/>
        <v>67</v>
      </c>
      <c r="H2661" s="23" t="s">
        <v>26</v>
      </c>
      <c r="I2661" s="24" t="s">
        <v>27</v>
      </c>
      <c r="J2661" s="19" t="s">
        <v>53</v>
      </c>
      <c r="K2661" s="14">
        <v>21.0</v>
      </c>
      <c r="L2661" s="14">
        <v>1.0</v>
      </c>
      <c r="M2661" s="25"/>
      <c r="N2661" s="26" t="s">
        <v>21</v>
      </c>
      <c r="O2661" s="7"/>
      <c r="P2661" s="7"/>
      <c r="Q2661" s="7"/>
      <c r="R2661" s="7"/>
      <c r="S2661" s="7"/>
      <c r="T2661" s="7"/>
      <c r="U2661" s="7"/>
      <c r="V2661" s="7"/>
      <c r="W2661" s="7"/>
      <c r="X2661" s="7"/>
      <c r="Y2661" s="7"/>
    </row>
    <row r="2662">
      <c r="A2662" s="14" t="s">
        <v>9613</v>
      </c>
      <c r="B2662" s="17" t="s">
        <v>9614</v>
      </c>
      <c r="C2662" s="17" t="s">
        <v>9615</v>
      </c>
      <c r="D2662" s="19" t="s">
        <v>9616</v>
      </c>
      <c r="E2662" s="20" t="s">
        <v>1038</v>
      </c>
      <c r="F2662" s="21">
        <v>18573.0</v>
      </c>
      <c r="G2662" s="14">
        <f t="shared" si="1"/>
        <v>75</v>
      </c>
      <c r="H2662" s="23" t="s">
        <v>26</v>
      </c>
      <c r="I2662" s="24" t="s">
        <v>33</v>
      </c>
      <c r="J2662" s="19" t="s">
        <v>53</v>
      </c>
      <c r="K2662" s="14">
        <v>27.0</v>
      </c>
      <c r="L2662" s="14">
        <v>1.0</v>
      </c>
      <c r="M2662" s="25"/>
      <c r="N2662" s="26" t="s">
        <v>21</v>
      </c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</row>
    <row r="2663">
      <c r="A2663" s="14" t="s">
        <v>9617</v>
      </c>
      <c r="B2663" s="17" t="s">
        <v>9618</v>
      </c>
      <c r="C2663" s="17" t="s">
        <v>9619</v>
      </c>
      <c r="D2663" s="19" t="s">
        <v>9620</v>
      </c>
      <c r="E2663" s="20" t="s">
        <v>1058</v>
      </c>
      <c r="F2663" s="21">
        <v>21016.0</v>
      </c>
      <c r="G2663" s="14">
        <f t="shared" si="1"/>
        <v>69</v>
      </c>
      <c r="H2663" s="23" t="s">
        <v>26</v>
      </c>
      <c r="I2663" s="24" t="s">
        <v>33</v>
      </c>
      <c r="J2663" s="19" t="s">
        <v>53</v>
      </c>
      <c r="K2663" s="14">
        <v>15.0</v>
      </c>
      <c r="L2663" s="14">
        <v>0.0</v>
      </c>
      <c r="M2663" s="25"/>
      <c r="N2663" s="26" t="s">
        <v>21</v>
      </c>
      <c r="O2663" s="7"/>
      <c r="P2663" s="7"/>
      <c r="Q2663" s="7"/>
      <c r="R2663" s="7"/>
      <c r="S2663" s="7"/>
      <c r="T2663" s="7"/>
      <c r="U2663" s="7"/>
      <c r="V2663" s="7"/>
      <c r="W2663" s="7"/>
      <c r="X2663" s="7"/>
      <c r="Y2663" s="7"/>
    </row>
    <row r="2664">
      <c r="A2664" s="14" t="s">
        <v>9621</v>
      </c>
      <c r="B2664" s="17" t="s">
        <v>9618</v>
      </c>
      <c r="C2664" s="17" t="s">
        <v>9622</v>
      </c>
      <c r="D2664" s="19" t="s">
        <v>9623</v>
      </c>
      <c r="E2664" s="20" t="s">
        <v>1058</v>
      </c>
      <c r="F2664" s="21">
        <v>21312.0</v>
      </c>
      <c r="G2664" s="14">
        <f t="shared" si="1"/>
        <v>68</v>
      </c>
      <c r="H2664" s="23" t="s">
        <v>26</v>
      </c>
      <c r="I2664" s="24" t="s">
        <v>27</v>
      </c>
      <c r="J2664" s="19" t="s">
        <v>53</v>
      </c>
      <c r="K2664" s="14">
        <v>15.0</v>
      </c>
      <c r="L2664" s="14">
        <v>0.0</v>
      </c>
      <c r="M2664" s="25"/>
      <c r="N2664" s="26" t="s">
        <v>21</v>
      </c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7"/>
    </row>
    <row r="2665">
      <c r="A2665" s="14" t="s">
        <v>9624</v>
      </c>
      <c r="B2665" s="17" t="s">
        <v>9625</v>
      </c>
      <c r="C2665" s="17" t="s">
        <v>9626</v>
      </c>
      <c r="D2665" s="19" t="s">
        <v>3662</v>
      </c>
      <c r="E2665" s="20" t="s">
        <v>632</v>
      </c>
      <c r="F2665" s="21">
        <v>22647.0</v>
      </c>
      <c r="G2665" s="14">
        <f t="shared" si="1"/>
        <v>64</v>
      </c>
      <c r="H2665" s="23" t="s">
        <v>26</v>
      </c>
      <c r="I2665" s="24" t="s">
        <v>33</v>
      </c>
      <c r="J2665" s="19" t="s">
        <v>3538</v>
      </c>
      <c r="K2665" s="14">
        <v>13.0</v>
      </c>
      <c r="L2665" s="14">
        <v>0.0</v>
      </c>
      <c r="M2665" s="25"/>
      <c r="N2665" s="26" t="s">
        <v>21</v>
      </c>
      <c r="O2665" s="7"/>
      <c r="P2665" s="7"/>
      <c r="Q2665" s="7"/>
      <c r="R2665" s="7"/>
      <c r="S2665" s="7"/>
      <c r="T2665" s="7"/>
      <c r="U2665" s="7"/>
      <c r="V2665" s="7"/>
      <c r="W2665" s="7"/>
      <c r="X2665" s="7"/>
      <c r="Y2665" s="7"/>
    </row>
    <row r="2666">
      <c r="A2666" s="14" t="s">
        <v>9627</v>
      </c>
      <c r="B2666" s="17" t="s">
        <v>9625</v>
      </c>
      <c r="C2666" s="17" t="s">
        <v>9628</v>
      </c>
      <c r="D2666" s="19" t="s">
        <v>9629</v>
      </c>
      <c r="E2666" s="20" t="s">
        <v>53</v>
      </c>
      <c r="F2666" s="21">
        <v>37475.0</v>
      </c>
      <c r="G2666" s="14">
        <f t="shared" si="1"/>
        <v>24</v>
      </c>
      <c r="H2666" s="23" t="s">
        <v>100</v>
      </c>
      <c r="I2666" s="24" t="s">
        <v>33</v>
      </c>
      <c r="J2666" s="19" t="s">
        <v>53</v>
      </c>
      <c r="K2666" s="14">
        <v>13.0</v>
      </c>
      <c r="L2666" s="14">
        <v>0.0</v>
      </c>
      <c r="M2666" s="25"/>
      <c r="N2666" s="26" t="s">
        <v>21</v>
      </c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7"/>
    </row>
    <row r="2667">
      <c r="A2667" s="14" t="s">
        <v>9630</v>
      </c>
      <c r="B2667" s="17" t="s">
        <v>9625</v>
      </c>
      <c r="C2667" s="17" t="s">
        <v>9631</v>
      </c>
      <c r="D2667" s="19" t="s">
        <v>3759</v>
      </c>
      <c r="E2667" s="20" t="s">
        <v>429</v>
      </c>
      <c r="F2667" s="21">
        <v>25723.0</v>
      </c>
      <c r="G2667" s="14">
        <f t="shared" si="1"/>
        <v>56</v>
      </c>
      <c r="H2667" s="23" t="s">
        <v>26</v>
      </c>
      <c r="I2667" s="24" t="s">
        <v>27</v>
      </c>
      <c r="J2667" s="19" t="s">
        <v>53</v>
      </c>
      <c r="K2667" s="14">
        <v>13.0</v>
      </c>
      <c r="L2667" s="14">
        <v>0.0</v>
      </c>
      <c r="M2667" s="25"/>
      <c r="N2667" s="26" t="s">
        <v>21</v>
      </c>
      <c r="O2667" s="7"/>
      <c r="P2667" s="7"/>
      <c r="Q2667" s="7"/>
      <c r="R2667" s="7"/>
      <c r="S2667" s="7"/>
      <c r="T2667" s="7"/>
      <c r="U2667" s="7"/>
      <c r="V2667" s="7"/>
      <c r="W2667" s="7"/>
      <c r="X2667" s="7"/>
      <c r="Y2667" s="7"/>
    </row>
    <row r="2668">
      <c r="A2668" s="14" t="s">
        <v>9633</v>
      </c>
      <c r="B2668" s="17" t="s">
        <v>9632</v>
      </c>
      <c r="C2668" s="17" t="s">
        <v>9634</v>
      </c>
      <c r="D2668" s="19" t="s">
        <v>9635</v>
      </c>
      <c r="E2668" s="20" t="s">
        <v>1908</v>
      </c>
      <c r="F2668" s="21">
        <v>27070.0</v>
      </c>
      <c r="G2668" s="14">
        <f t="shared" si="1"/>
        <v>52</v>
      </c>
      <c r="H2668" s="23" t="s">
        <v>26</v>
      </c>
      <c r="I2668" s="24" t="s">
        <v>27</v>
      </c>
      <c r="J2668" s="19" t="s">
        <v>58</v>
      </c>
      <c r="K2668" s="14">
        <v>36.0</v>
      </c>
      <c r="L2668" s="14">
        <v>0.0</v>
      </c>
      <c r="M2668" s="25"/>
      <c r="N2668" s="26" t="s">
        <v>21</v>
      </c>
      <c r="O2668" s="7"/>
      <c r="P2668" s="7"/>
      <c r="Q2668" s="7"/>
      <c r="R2668" s="7"/>
      <c r="S2668" s="7"/>
      <c r="T2668" s="7"/>
      <c r="U2668" s="7"/>
      <c r="V2668" s="7"/>
      <c r="W2668" s="7"/>
      <c r="X2668" s="7"/>
      <c r="Y2668" s="7"/>
    </row>
    <row r="2669">
      <c r="A2669" s="14" t="s">
        <v>9636</v>
      </c>
      <c r="B2669" s="17" t="s">
        <v>9632</v>
      </c>
      <c r="C2669" s="17" t="s">
        <v>9637</v>
      </c>
      <c r="D2669" s="19" t="s">
        <v>6215</v>
      </c>
      <c r="E2669" s="20" t="s">
        <v>544</v>
      </c>
      <c r="F2669" s="21">
        <v>24447.0</v>
      </c>
      <c r="G2669" s="14">
        <f t="shared" si="1"/>
        <v>59</v>
      </c>
      <c r="H2669" s="23" t="s">
        <v>26</v>
      </c>
      <c r="I2669" s="24" t="s">
        <v>33</v>
      </c>
      <c r="J2669" s="19" t="s">
        <v>58</v>
      </c>
      <c r="K2669" s="14">
        <v>36.0</v>
      </c>
      <c r="L2669" s="14">
        <v>0.0</v>
      </c>
      <c r="M2669" s="25"/>
      <c r="N2669" s="26" t="s">
        <v>21</v>
      </c>
      <c r="O2669" s="7"/>
      <c r="P2669" s="7"/>
      <c r="Q2669" s="7"/>
      <c r="R2669" s="7"/>
      <c r="S2669" s="7"/>
      <c r="T2669" s="7"/>
      <c r="U2669" s="7"/>
      <c r="V2669" s="7"/>
      <c r="W2669" s="7"/>
      <c r="X2669" s="7"/>
      <c r="Y2669" s="7"/>
    </row>
    <row r="2670">
      <c r="A2670" s="14" t="s">
        <v>9638</v>
      </c>
      <c r="B2670" s="17" t="s">
        <v>9639</v>
      </c>
      <c r="C2670" s="17" t="s">
        <v>9640</v>
      </c>
      <c r="D2670" s="19" t="s">
        <v>9641</v>
      </c>
      <c r="E2670" s="20" t="s">
        <v>104</v>
      </c>
      <c r="F2670" s="27">
        <v>36822.0</v>
      </c>
      <c r="G2670" s="14">
        <f t="shared" si="1"/>
        <v>26</v>
      </c>
      <c r="H2670" s="23" t="s">
        <v>100</v>
      </c>
      <c r="I2670" s="24" t="s">
        <v>33</v>
      </c>
      <c r="J2670" s="19" t="s">
        <v>146</v>
      </c>
      <c r="K2670" s="14">
        <v>10.0</v>
      </c>
      <c r="L2670" s="14">
        <v>0.0</v>
      </c>
      <c r="M2670" s="25"/>
      <c r="N2670" s="26" t="s">
        <v>21</v>
      </c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</row>
    <row r="2671">
      <c r="A2671" s="14" t="s">
        <v>9642</v>
      </c>
      <c r="B2671" s="17" t="s">
        <v>9639</v>
      </c>
      <c r="C2671" s="17" t="s">
        <v>9643</v>
      </c>
      <c r="D2671" s="19" t="s">
        <v>9644</v>
      </c>
      <c r="E2671" s="20" t="s">
        <v>654</v>
      </c>
      <c r="F2671" s="21">
        <v>27592.0</v>
      </c>
      <c r="G2671" s="14">
        <f t="shared" si="1"/>
        <v>51</v>
      </c>
      <c r="H2671" s="23" t="s">
        <v>26</v>
      </c>
      <c r="I2671" s="24" t="s">
        <v>27</v>
      </c>
      <c r="J2671" s="19" t="s">
        <v>146</v>
      </c>
      <c r="K2671" s="14">
        <v>10.0</v>
      </c>
      <c r="L2671" s="14">
        <v>0.0</v>
      </c>
      <c r="M2671" s="25"/>
      <c r="N2671" s="26" t="s">
        <v>21</v>
      </c>
      <c r="O2671" s="7"/>
      <c r="P2671" s="7"/>
      <c r="Q2671" s="7"/>
      <c r="R2671" s="7"/>
      <c r="S2671" s="7"/>
      <c r="T2671" s="7"/>
      <c r="U2671" s="7"/>
      <c r="V2671" s="7"/>
      <c r="W2671" s="7"/>
      <c r="X2671" s="7"/>
      <c r="Y2671" s="7"/>
    </row>
    <row r="2672">
      <c r="A2672" s="14" t="s">
        <v>9645</v>
      </c>
      <c r="B2672" s="17" t="s">
        <v>9639</v>
      </c>
      <c r="C2672" s="17" t="s">
        <v>9646</v>
      </c>
      <c r="D2672" s="19" t="s">
        <v>9647</v>
      </c>
      <c r="E2672" s="20" t="s">
        <v>104</v>
      </c>
      <c r="F2672" s="21">
        <v>38614.0</v>
      </c>
      <c r="G2672" s="14">
        <f t="shared" si="1"/>
        <v>21</v>
      </c>
      <c r="H2672" s="23" t="s">
        <v>100</v>
      </c>
      <c r="I2672" s="24" t="s">
        <v>27</v>
      </c>
      <c r="J2672" s="19" t="s">
        <v>146</v>
      </c>
      <c r="K2672" s="14">
        <v>10.0</v>
      </c>
      <c r="L2672" s="14">
        <v>0.0</v>
      </c>
      <c r="M2672" s="25"/>
      <c r="N2672" s="26" t="s">
        <v>21</v>
      </c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</row>
    <row r="2673">
      <c r="A2673" s="14" t="s">
        <v>9648</v>
      </c>
      <c r="B2673" s="17" t="s">
        <v>9639</v>
      </c>
      <c r="C2673" s="17" t="s">
        <v>9649</v>
      </c>
      <c r="D2673" s="19" t="s">
        <v>8521</v>
      </c>
      <c r="E2673" s="20" t="s">
        <v>654</v>
      </c>
      <c r="F2673" s="21">
        <v>25766.0</v>
      </c>
      <c r="G2673" s="14">
        <f t="shared" si="1"/>
        <v>56</v>
      </c>
      <c r="H2673" s="23" t="s">
        <v>26</v>
      </c>
      <c r="I2673" s="24" t="s">
        <v>33</v>
      </c>
      <c r="J2673" s="19" t="s">
        <v>146</v>
      </c>
      <c r="K2673" s="14">
        <v>10.0</v>
      </c>
      <c r="L2673" s="14">
        <v>0.0</v>
      </c>
      <c r="M2673" s="25"/>
      <c r="N2673" s="26" t="s">
        <v>21</v>
      </c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7"/>
    </row>
    <row r="2674">
      <c r="A2674" s="14" t="s">
        <v>9650</v>
      </c>
      <c r="B2674" s="17" t="s">
        <v>9651</v>
      </c>
      <c r="C2674" s="17" t="s">
        <v>9652</v>
      </c>
      <c r="D2674" s="19" t="s">
        <v>9653</v>
      </c>
      <c r="E2674" s="20" t="s">
        <v>1049</v>
      </c>
      <c r="F2674" s="21">
        <v>26552.0</v>
      </c>
      <c r="G2674" s="14">
        <f t="shared" si="1"/>
        <v>54</v>
      </c>
      <c r="H2674" s="23" t="s">
        <v>26</v>
      </c>
      <c r="I2674" s="24" t="s">
        <v>33</v>
      </c>
      <c r="J2674" s="19" t="s">
        <v>53</v>
      </c>
      <c r="K2674" s="14">
        <v>30.0</v>
      </c>
      <c r="L2674" s="14">
        <v>0.0</v>
      </c>
      <c r="M2674" s="25"/>
      <c r="N2674" s="26" t="s">
        <v>21</v>
      </c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</row>
    <row r="2675">
      <c r="A2675" s="14" t="s">
        <v>9657</v>
      </c>
      <c r="B2675" s="17" t="s">
        <v>9651</v>
      </c>
      <c r="C2675" s="17" t="s">
        <v>9658</v>
      </c>
      <c r="D2675" s="19" t="s">
        <v>9659</v>
      </c>
      <c r="E2675" s="20" t="s">
        <v>104</v>
      </c>
      <c r="F2675" s="21">
        <v>37171.0</v>
      </c>
      <c r="G2675" s="14">
        <f t="shared" si="1"/>
        <v>25</v>
      </c>
      <c r="H2675" s="23" t="s">
        <v>100</v>
      </c>
      <c r="I2675" s="24" t="s">
        <v>33</v>
      </c>
      <c r="J2675" s="19" t="s">
        <v>53</v>
      </c>
      <c r="K2675" s="14">
        <v>30.0</v>
      </c>
      <c r="L2675" s="14">
        <v>0.0</v>
      </c>
      <c r="M2675" s="25"/>
      <c r="N2675" s="26" t="s">
        <v>21</v>
      </c>
      <c r="O2675" s="7"/>
      <c r="P2675" s="7"/>
      <c r="Q2675" s="7"/>
      <c r="R2675" s="7"/>
      <c r="S2675" s="7"/>
      <c r="T2675" s="7"/>
      <c r="U2675" s="7"/>
      <c r="V2675" s="7"/>
      <c r="W2675" s="7"/>
      <c r="X2675" s="7"/>
      <c r="Y2675" s="7"/>
    </row>
    <row r="2676">
      <c r="A2676" s="14" t="s">
        <v>9654</v>
      </c>
      <c r="B2676" s="17" t="s">
        <v>11203</v>
      </c>
      <c r="C2676" s="17" t="s">
        <v>9655</v>
      </c>
      <c r="D2676" s="19" t="s">
        <v>9656</v>
      </c>
      <c r="E2676" s="20" t="s">
        <v>138</v>
      </c>
      <c r="F2676" s="21">
        <v>36687.0</v>
      </c>
      <c r="G2676" s="14">
        <f t="shared" si="1"/>
        <v>26</v>
      </c>
      <c r="H2676" s="23" t="s">
        <v>100</v>
      </c>
      <c r="I2676" s="24" t="s">
        <v>33</v>
      </c>
      <c r="J2676" s="19" t="s">
        <v>53</v>
      </c>
      <c r="K2676" s="14">
        <v>30.0</v>
      </c>
      <c r="L2676" s="14">
        <v>0.0</v>
      </c>
      <c r="M2676" s="25"/>
      <c r="N2676" s="26" t="s">
        <v>21</v>
      </c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</row>
    <row r="2677">
      <c r="A2677" s="14" t="s">
        <v>4393</v>
      </c>
      <c r="B2677" s="17" t="s">
        <v>11203</v>
      </c>
      <c r="C2677" s="17" t="s">
        <v>4395</v>
      </c>
      <c r="D2677" s="19" t="s">
        <v>4396</v>
      </c>
      <c r="E2677" s="20" t="s">
        <v>104</v>
      </c>
      <c r="F2677" s="21">
        <v>37787.0</v>
      </c>
      <c r="G2677" s="14">
        <f t="shared" si="1"/>
        <v>23</v>
      </c>
      <c r="H2677" s="23" t="s">
        <v>100</v>
      </c>
      <c r="I2677" s="24" t="s">
        <v>27</v>
      </c>
      <c r="J2677" s="19" t="s">
        <v>517</v>
      </c>
      <c r="K2677" s="14">
        <v>30.0</v>
      </c>
      <c r="L2677" s="14">
        <v>0.0</v>
      </c>
      <c r="M2677" s="25"/>
      <c r="N2677" s="26" t="s">
        <v>21</v>
      </c>
      <c r="O2677" s="7"/>
      <c r="P2677" s="7"/>
      <c r="Q2677" s="7"/>
      <c r="R2677" s="7"/>
      <c r="S2677" s="7"/>
      <c r="T2677" s="7"/>
      <c r="U2677" s="7"/>
      <c r="V2677" s="7"/>
      <c r="W2677" s="7"/>
      <c r="X2677" s="7"/>
      <c r="Y2677" s="7"/>
    </row>
    <row r="2678">
      <c r="A2678" s="14" t="s">
        <v>9660</v>
      </c>
      <c r="B2678" s="17" t="s">
        <v>9661</v>
      </c>
      <c r="C2678" s="17" t="s">
        <v>9662</v>
      </c>
      <c r="D2678" s="19" t="s">
        <v>9663</v>
      </c>
      <c r="E2678" s="20" t="s">
        <v>624</v>
      </c>
      <c r="F2678" s="21">
        <v>25401.0</v>
      </c>
      <c r="G2678" s="14">
        <f t="shared" si="1"/>
        <v>57</v>
      </c>
      <c r="H2678" s="23" t="s">
        <v>26</v>
      </c>
      <c r="I2678" s="24" t="s">
        <v>27</v>
      </c>
      <c r="J2678" s="19" t="s">
        <v>53</v>
      </c>
      <c r="K2678" s="14">
        <v>10.0</v>
      </c>
      <c r="L2678" s="14">
        <v>0.0</v>
      </c>
      <c r="M2678" s="25"/>
      <c r="N2678" s="26" t="s">
        <v>21</v>
      </c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</row>
    <row r="2679">
      <c r="A2679" s="14" t="s">
        <v>9664</v>
      </c>
      <c r="B2679" s="17" t="s">
        <v>9661</v>
      </c>
      <c r="C2679" s="17" t="s">
        <v>9665</v>
      </c>
      <c r="D2679" s="19" t="s">
        <v>9666</v>
      </c>
      <c r="E2679" s="20" t="s">
        <v>219</v>
      </c>
      <c r="F2679" s="21">
        <v>23940.0</v>
      </c>
      <c r="G2679" s="14">
        <f t="shared" si="1"/>
        <v>61</v>
      </c>
      <c r="H2679" s="23" t="s">
        <v>26</v>
      </c>
      <c r="I2679" s="24" t="s">
        <v>33</v>
      </c>
      <c r="J2679" s="19" t="s">
        <v>53</v>
      </c>
      <c r="K2679" s="14">
        <v>10.0</v>
      </c>
      <c r="L2679" s="14">
        <v>0.0</v>
      </c>
      <c r="M2679" s="25"/>
      <c r="N2679" s="26" t="s">
        <v>21</v>
      </c>
      <c r="O2679" s="7"/>
      <c r="P2679" s="7"/>
      <c r="Q2679" s="7"/>
      <c r="R2679" s="7"/>
      <c r="S2679" s="7"/>
      <c r="T2679" s="7"/>
      <c r="U2679" s="7"/>
      <c r="V2679" s="7"/>
      <c r="W2679" s="7"/>
      <c r="X2679" s="7"/>
      <c r="Y2679" s="7"/>
    </row>
    <row r="2680">
      <c r="A2680" s="14" t="s">
        <v>9667</v>
      </c>
      <c r="B2680" s="17" t="s">
        <v>9668</v>
      </c>
      <c r="C2680" s="17" t="s">
        <v>9669</v>
      </c>
      <c r="D2680" s="19" t="s">
        <v>9670</v>
      </c>
      <c r="E2680" s="20" t="s">
        <v>605</v>
      </c>
      <c r="F2680" s="21">
        <v>27649.0</v>
      </c>
      <c r="G2680" s="14">
        <f t="shared" si="1"/>
        <v>51</v>
      </c>
      <c r="H2680" s="23" t="s">
        <v>26</v>
      </c>
      <c r="I2680" s="24" t="s">
        <v>33</v>
      </c>
      <c r="J2680" s="19" t="s">
        <v>6555</v>
      </c>
      <c r="K2680" s="14">
        <v>7.0</v>
      </c>
      <c r="L2680" s="14">
        <v>0.0</v>
      </c>
      <c r="M2680" s="25"/>
      <c r="N2680" s="26" t="s">
        <v>21</v>
      </c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7"/>
    </row>
    <row r="2681">
      <c r="A2681" s="14" t="s">
        <v>9671</v>
      </c>
      <c r="B2681" s="17" t="s">
        <v>9668</v>
      </c>
      <c r="C2681" s="17" t="s">
        <v>9672</v>
      </c>
      <c r="D2681" s="19" t="s">
        <v>9673</v>
      </c>
      <c r="E2681" s="20" t="s">
        <v>104</v>
      </c>
      <c r="F2681" s="27">
        <v>37244.0</v>
      </c>
      <c r="G2681" s="14">
        <f t="shared" si="1"/>
        <v>24</v>
      </c>
      <c r="H2681" s="23" t="s">
        <v>100</v>
      </c>
      <c r="I2681" s="24" t="s">
        <v>33</v>
      </c>
      <c r="J2681" s="19" t="s">
        <v>6555</v>
      </c>
      <c r="K2681" s="14">
        <v>7.0</v>
      </c>
      <c r="L2681" s="14">
        <v>0.0</v>
      </c>
      <c r="M2681" s="25"/>
      <c r="N2681" s="26" t="s">
        <v>21</v>
      </c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</row>
    <row r="2682">
      <c r="A2682" s="14" t="s">
        <v>9674</v>
      </c>
      <c r="B2682" s="17" t="s">
        <v>9668</v>
      </c>
      <c r="C2682" s="17" t="s">
        <v>9675</v>
      </c>
      <c r="D2682" s="19" t="s">
        <v>5916</v>
      </c>
      <c r="E2682" s="20" t="s">
        <v>104</v>
      </c>
      <c r="F2682" s="21">
        <v>29844.0</v>
      </c>
      <c r="G2682" s="14">
        <f t="shared" si="1"/>
        <v>45</v>
      </c>
      <c r="H2682" s="23" t="s">
        <v>26</v>
      </c>
      <c r="I2682" s="24" t="s">
        <v>27</v>
      </c>
      <c r="J2682" s="19" t="s">
        <v>6555</v>
      </c>
      <c r="K2682" s="14">
        <v>7.0</v>
      </c>
      <c r="L2682" s="14">
        <v>0.0</v>
      </c>
      <c r="M2682" s="25"/>
      <c r="N2682" s="26" t="s">
        <v>21</v>
      </c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7"/>
    </row>
    <row r="2683">
      <c r="A2683" s="14" t="s">
        <v>9676</v>
      </c>
      <c r="B2683" s="17" t="s">
        <v>9677</v>
      </c>
      <c r="C2683" s="17" t="s">
        <v>9678</v>
      </c>
      <c r="D2683" s="19" t="s">
        <v>9679</v>
      </c>
      <c r="E2683" s="20" t="s">
        <v>138</v>
      </c>
      <c r="F2683" s="27">
        <v>25520.0</v>
      </c>
      <c r="G2683" s="14">
        <f t="shared" si="1"/>
        <v>56</v>
      </c>
      <c r="H2683" s="23" t="s">
        <v>26</v>
      </c>
      <c r="I2683" s="24" t="s">
        <v>33</v>
      </c>
      <c r="J2683" s="19" t="s">
        <v>39</v>
      </c>
      <c r="K2683" s="14">
        <v>16.0</v>
      </c>
      <c r="L2683" s="14">
        <v>0.0</v>
      </c>
      <c r="M2683" s="25"/>
      <c r="N2683" s="26" t="s">
        <v>21</v>
      </c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7"/>
    </row>
    <row r="2684">
      <c r="A2684" s="14" t="s">
        <v>9680</v>
      </c>
      <c r="B2684" s="17" t="s">
        <v>9677</v>
      </c>
      <c r="C2684" s="17" t="s">
        <v>9681</v>
      </c>
      <c r="D2684" s="19" t="s">
        <v>9682</v>
      </c>
      <c r="E2684" s="20" t="s">
        <v>104</v>
      </c>
      <c r="F2684" s="21">
        <v>36600.0</v>
      </c>
      <c r="G2684" s="14">
        <f t="shared" si="1"/>
        <v>26</v>
      </c>
      <c r="H2684" s="23" t="s">
        <v>100</v>
      </c>
      <c r="I2684" s="24" t="s">
        <v>33</v>
      </c>
      <c r="J2684" s="19" t="s">
        <v>39</v>
      </c>
      <c r="K2684" s="14">
        <v>16.0</v>
      </c>
      <c r="L2684" s="14">
        <v>0.0</v>
      </c>
      <c r="M2684" s="25"/>
      <c r="N2684" s="26" t="s">
        <v>21</v>
      </c>
      <c r="O2684" s="7"/>
      <c r="P2684" s="7"/>
      <c r="Q2684" s="7"/>
      <c r="R2684" s="7"/>
      <c r="S2684" s="7"/>
      <c r="T2684" s="7"/>
      <c r="U2684" s="7"/>
      <c r="V2684" s="7"/>
      <c r="W2684" s="7"/>
      <c r="X2684" s="7"/>
      <c r="Y2684" s="7"/>
    </row>
    <row r="2685">
      <c r="A2685" s="14" t="s">
        <v>9683</v>
      </c>
      <c r="B2685" s="17" t="s">
        <v>9677</v>
      </c>
      <c r="C2685" s="17" t="s">
        <v>9684</v>
      </c>
      <c r="D2685" s="19" t="s">
        <v>9685</v>
      </c>
      <c r="E2685" s="20" t="s">
        <v>9686</v>
      </c>
      <c r="F2685" s="27">
        <v>28490.0</v>
      </c>
      <c r="G2685" s="14">
        <f t="shared" si="1"/>
        <v>48</v>
      </c>
      <c r="H2685" s="23" t="s">
        <v>26</v>
      </c>
      <c r="I2685" s="24" t="s">
        <v>27</v>
      </c>
      <c r="J2685" s="19" t="s">
        <v>39</v>
      </c>
      <c r="K2685" s="14">
        <v>16.0</v>
      </c>
      <c r="L2685" s="14">
        <v>0.0</v>
      </c>
      <c r="M2685" s="25"/>
      <c r="N2685" s="26" t="s">
        <v>21</v>
      </c>
      <c r="O2685" s="7"/>
      <c r="P2685" s="7"/>
      <c r="Q2685" s="7"/>
      <c r="R2685" s="7"/>
      <c r="S2685" s="7"/>
      <c r="T2685" s="7"/>
      <c r="U2685" s="7"/>
      <c r="V2685" s="7"/>
      <c r="W2685" s="7"/>
      <c r="X2685" s="7"/>
      <c r="Y2685" s="7"/>
    </row>
    <row r="2686">
      <c r="A2686" s="14" t="s">
        <v>9687</v>
      </c>
      <c r="B2686" s="17" t="s">
        <v>9688</v>
      </c>
      <c r="C2686" s="17" t="s">
        <v>9689</v>
      </c>
      <c r="D2686" s="19" t="s">
        <v>9690</v>
      </c>
      <c r="E2686" s="20" t="s">
        <v>195</v>
      </c>
      <c r="F2686" s="21">
        <v>31138.0</v>
      </c>
      <c r="G2686" s="14">
        <f t="shared" si="1"/>
        <v>41</v>
      </c>
      <c r="H2686" s="23" t="s">
        <v>26</v>
      </c>
      <c r="I2686" s="24" t="s">
        <v>33</v>
      </c>
      <c r="J2686" s="19" t="s">
        <v>3723</v>
      </c>
      <c r="K2686" s="14">
        <v>1.0</v>
      </c>
      <c r="L2686" s="14">
        <v>0.0</v>
      </c>
      <c r="M2686" s="25"/>
      <c r="N2686" s="26" t="s">
        <v>21</v>
      </c>
      <c r="O2686" s="7"/>
      <c r="P2686" s="7"/>
      <c r="Q2686" s="7"/>
      <c r="R2686" s="7"/>
      <c r="S2686" s="7"/>
      <c r="T2686" s="7"/>
      <c r="U2686" s="7"/>
      <c r="V2686" s="7"/>
      <c r="W2686" s="7"/>
      <c r="X2686" s="7"/>
      <c r="Y2686" s="7"/>
    </row>
    <row r="2687">
      <c r="A2687" s="14" t="s">
        <v>9692</v>
      </c>
      <c r="B2687" s="17" t="s">
        <v>9688</v>
      </c>
      <c r="C2687" s="17" t="s">
        <v>9693</v>
      </c>
      <c r="D2687" s="19" t="s">
        <v>9694</v>
      </c>
      <c r="E2687" s="20" t="s">
        <v>104</v>
      </c>
      <c r="F2687" s="21">
        <v>32669.0</v>
      </c>
      <c r="G2687" s="14">
        <f t="shared" si="1"/>
        <v>37</v>
      </c>
      <c r="H2687" s="23" t="s">
        <v>26</v>
      </c>
      <c r="I2687" s="24" t="s">
        <v>27</v>
      </c>
      <c r="J2687" s="19" t="s">
        <v>3723</v>
      </c>
      <c r="K2687" s="14">
        <v>1.0</v>
      </c>
      <c r="L2687" s="14">
        <v>0.0</v>
      </c>
      <c r="M2687" s="25"/>
      <c r="N2687" s="26" t="s">
        <v>21</v>
      </c>
      <c r="O2687" s="7"/>
      <c r="P2687" s="7"/>
      <c r="Q2687" s="7"/>
      <c r="R2687" s="7"/>
      <c r="S2687" s="7"/>
      <c r="T2687" s="7"/>
      <c r="U2687" s="7"/>
      <c r="V2687" s="7"/>
      <c r="W2687" s="7"/>
      <c r="X2687" s="7"/>
      <c r="Y2687" s="7"/>
    </row>
    <row r="2688">
      <c r="A2688" s="14" t="s">
        <v>9695</v>
      </c>
      <c r="B2688" s="17" t="s">
        <v>9696</v>
      </c>
      <c r="C2688" s="17" t="s">
        <v>9697</v>
      </c>
      <c r="D2688" s="19" t="s">
        <v>9698</v>
      </c>
      <c r="E2688" s="20" t="s">
        <v>9699</v>
      </c>
      <c r="F2688" s="21">
        <v>33424.0</v>
      </c>
      <c r="G2688" s="14">
        <f t="shared" si="1"/>
        <v>35</v>
      </c>
      <c r="H2688" s="23" t="s">
        <v>26</v>
      </c>
      <c r="I2688" s="24" t="s">
        <v>33</v>
      </c>
      <c r="J2688" s="19" t="s">
        <v>726</v>
      </c>
      <c r="K2688" s="14">
        <v>11.0</v>
      </c>
      <c r="L2688" s="14">
        <v>0.0</v>
      </c>
      <c r="M2688" s="25"/>
      <c r="N2688" s="26" t="s">
        <v>21</v>
      </c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7"/>
    </row>
    <row r="2689">
      <c r="A2689" s="14" t="s">
        <v>9701</v>
      </c>
      <c r="B2689" s="17" t="s">
        <v>9696</v>
      </c>
      <c r="C2689" s="17" t="s">
        <v>9702</v>
      </c>
      <c r="D2689" s="19" t="s">
        <v>9703</v>
      </c>
      <c r="E2689" s="20" t="s">
        <v>104</v>
      </c>
      <c r="F2689" s="27">
        <v>34332.0</v>
      </c>
      <c r="G2689" s="14">
        <f t="shared" si="1"/>
        <v>32</v>
      </c>
      <c r="H2689" s="23" t="s">
        <v>26</v>
      </c>
      <c r="I2689" s="24" t="s">
        <v>27</v>
      </c>
      <c r="J2689" s="19" t="s">
        <v>726</v>
      </c>
      <c r="K2689" s="14">
        <v>11.0</v>
      </c>
      <c r="L2689" s="14">
        <v>0.0</v>
      </c>
      <c r="M2689" s="25"/>
      <c r="N2689" s="26" t="s">
        <v>21</v>
      </c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7"/>
    </row>
    <row r="2690">
      <c r="A2690" s="14" t="s">
        <v>9704</v>
      </c>
      <c r="B2690" s="17" t="s">
        <v>9705</v>
      </c>
      <c r="C2690" s="17" t="s">
        <v>9706</v>
      </c>
      <c r="D2690" s="19" t="s">
        <v>9707</v>
      </c>
      <c r="E2690" s="20" t="s">
        <v>104</v>
      </c>
      <c r="F2690" s="21">
        <v>36935.0</v>
      </c>
      <c r="G2690" s="14">
        <f t="shared" si="1"/>
        <v>25</v>
      </c>
      <c r="H2690" s="23" t="s">
        <v>100</v>
      </c>
      <c r="I2690" s="24" t="s">
        <v>33</v>
      </c>
      <c r="J2690" s="19" t="s">
        <v>53</v>
      </c>
      <c r="K2690" s="14">
        <v>25.0</v>
      </c>
      <c r="L2690" s="14">
        <v>6.0</v>
      </c>
      <c r="M2690" s="28" t="s">
        <v>11269</v>
      </c>
      <c r="N2690" s="26" t="s">
        <v>21</v>
      </c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7"/>
    </row>
    <row r="2691">
      <c r="A2691" s="14" t="s">
        <v>9708</v>
      </c>
      <c r="B2691" s="17" t="s">
        <v>9705</v>
      </c>
      <c r="C2691" s="17" t="s">
        <v>9709</v>
      </c>
      <c r="D2691" s="19" t="s">
        <v>9710</v>
      </c>
      <c r="E2691" s="20" t="s">
        <v>654</v>
      </c>
      <c r="F2691" s="21">
        <v>28401.0</v>
      </c>
      <c r="G2691" s="14">
        <f t="shared" si="1"/>
        <v>49</v>
      </c>
      <c r="H2691" s="23" t="s">
        <v>26</v>
      </c>
      <c r="I2691" s="24" t="s">
        <v>27</v>
      </c>
      <c r="J2691" s="19" t="s">
        <v>53</v>
      </c>
      <c r="K2691" s="14">
        <v>25.0</v>
      </c>
      <c r="L2691" s="14">
        <v>6.0</v>
      </c>
      <c r="M2691" s="28" t="s">
        <v>11269</v>
      </c>
      <c r="N2691" s="26" t="s">
        <v>21</v>
      </c>
      <c r="O2691" s="7"/>
      <c r="P2691" s="7"/>
      <c r="Q2691" s="7"/>
      <c r="R2691" s="7"/>
      <c r="S2691" s="7"/>
      <c r="T2691" s="7"/>
      <c r="U2691" s="7"/>
      <c r="V2691" s="7"/>
      <c r="W2691" s="7"/>
      <c r="X2691" s="7"/>
      <c r="Y2691" s="7"/>
    </row>
    <row r="2692">
      <c r="A2692" s="14" t="s">
        <v>9711</v>
      </c>
      <c r="B2692" s="17" t="s">
        <v>9712</v>
      </c>
      <c r="C2692" s="17" t="s">
        <v>9713</v>
      </c>
      <c r="D2692" s="19" t="s">
        <v>5746</v>
      </c>
      <c r="E2692" s="20" t="s">
        <v>544</v>
      </c>
      <c r="F2692" s="21">
        <v>18757.0</v>
      </c>
      <c r="G2692" s="14">
        <f t="shared" si="1"/>
        <v>75</v>
      </c>
      <c r="H2692" s="23" t="s">
        <v>27</v>
      </c>
      <c r="I2692" s="24" t="s">
        <v>27</v>
      </c>
      <c r="J2692" s="19" t="s">
        <v>53</v>
      </c>
      <c r="K2692" s="14">
        <v>7.0</v>
      </c>
      <c r="L2692" s="14">
        <v>1.0</v>
      </c>
      <c r="M2692" s="25"/>
      <c r="N2692" s="26" t="s">
        <v>21</v>
      </c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7"/>
    </row>
    <row r="2693">
      <c r="A2693" s="14" t="s">
        <v>9714</v>
      </c>
      <c r="B2693" s="17" t="s">
        <v>9715</v>
      </c>
      <c r="C2693" s="17" t="s">
        <v>9716</v>
      </c>
      <c r="D2693" s="19" t="s">
        <v>9717</v>
      </c>
      <c r="E2693" s="20" t="s">
        <v>2038</v>
      </c>
      <c r="F2693" s="21">
        <v>31962.0</v>
      </c>
      <c r="G2693" s="14">
        <f t="shared" si="1"/>
        <v>39</v>
      </c>
      <c r="H2693" s="23" t="s">
        <v>26</v>
      </c>
      <c r="I2693" s="24" t="s">
        <v>27</v>
      </c>
      <c r="J2693" s="19" t="s">
        <v>517</v>
      </c>
      <c r="K2693" s="14">
        <v>7.0</v>
      </c>
      <c r="L2693" s="14">
        <v>0.0</v>
      </c>
      <c r="M2693" s="25"/>
      <c r="N2693" s="26" t="s">
        <v>21</v>
      </c>
      <c r="O2693" s="7"/>
      <c r="P2693" s="7"/>
      <c r="Q2693" s="7"/>
      <c r="R2693" s="7"/>
      <c r="S2693" s="7"/>
      <c r="T2693" s="7"/>
      <c r="U2693" s="7"/>
      <c r="V2693" s="7"/>
      <c r="W2693" s="7"/>
      <c r="X2693" s="7"/>
      <c r="Y2693" s="7"/>
    </row>
    <row r="2694">
      <c r="A2694" s="14" t="s">
        <v>9718</v>
      </c>
      <c r="B2694" s="17" t="s">
        <v>9715</v>
      </c>
      <c r="C2694" s="17" t="s">
        <v>9719</v>
      </c>
      <c r="D2694" s="19" t="s">
        <v>9720</v>
      </c>
      <c r="E2694" s="20" t="s">
        <v>6269</v>
      </c>
      <c r="F2694" s="21">
        <v>35444.0</v>
      </c>
      <c r="G2694" s="14">
        <f t="shared" si="1"/>
        <v>29</v>
      </c>
      <c r="H2694" s="23" t="s">
        <v>26</v>
      </c>
      <c r="I2694" s="24" t="s">
        <v>33</v>
      </c>
      <c r="J2694" s="19" t="s">
        <v>517</v>
      </c>
      <c r="K2694" s="14">
        <v>7.0</v>
      </c>
      <c r="L2694" s="14">
        <v>0.0</v>
      </c>
      <c r="M2694" s="25"/>
      <c r="N2694" s="26" t="s">
        <v>21</v>
      </c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</row>
    <row r="2695">
      <c r="A2695" s="14" t="s">
        <v>9721</v>
      </c>
      <c r="B2695" s="17" t="s">
        <v>9722</v>
      </c>
      <c r="C2695" s="17" t="s">
        <v>9723</v>
      </c>
      <c r="D2695" s="19" t="s">
        <v>9724</v>
      </c>
      <c r="E2695" s="20" t="s">
        <v>3552</v>
      </c>
      <c r="F2695" s="21">
        <v>31151.0</v>
      </c>
      <c r="G2695" s="14">
        <f t="shared" si="1"/>
        <v>41</v>
      </c>
      <c r="H2695" s="23" t="s">
        <v>26</v>
      </c>
      <c r="I2695" s="24" t="s">
        <v>33</v>
      </c>
      <c r="J2695" s="19" t="s">
        <v>68</v>
      </c>
      <c r="K2695" s="14">
        <v>30.0</v>
      </c>
      <c r="L2695" s="14">
        <v>0.0</v>
      </c>
      <c r="M2695" s="25"/>
      <c r="N2695" s="26" t="s">
        <v>21</v>
      </c>
      <c r="O2695" s="7"/>
      <c r="P2695" s="7"/>
      <c r="Q2695" s="7"/>
      <c r="R2695" s="7"/>
      <c r="S2695" s="7"/>
      <c r="T2695" s="7"/>
      <c r="U2695" s="7"/>
      <c r="V2695" s="7"/>
      <c r="W2695" s="7"/>
      <c r="X2695" s="7"/>
      <c r="Y2695" s="7"/>
    </row>
    <row r="2696">
      <c r="A2696" s="14" t="s">
        <v>9725</v>
      </c>
      <c r="B2696" s="17" t="s">
        <v>9722</v>
      </c>
      <c r="C2696" s="17" t="s">
        <v>9726</v>
      </c>
      <c r="D2696" s="19" t="s">
        <v>9727</v>
      </c>
      <c r="E2696" s="20" t="s">
        <v>104</v>
      </c>
      <c r="F2696" s="21">
        <v>32653.0</v>
      </c>
      <c r="G2696" s="14">
        <f t="shared" si="1"/>
        <v>37</v>
      </c>
      <c r="H2696" s="23" t="s">
        <v>26</v>
      </c>
      <c r="I2696" s="24" t="s">
        <v>27</v>
      </c>
      <c r="J2696" s="19" t="s">
        <v>68</v>
      </c>
      <c r="K2696" s="14">
        <v>30.0</v>
      </c>
      <c r="L2696" s="14">
        <v>0.0</v>
      </c>
      <c r="M2696" s="25"/>
      <c r="N2696" s="26" t="s">
        <v>21</v>
      </c>
      <c r="O2696" s="7"/>
      <c r="P2696" s="7"/>
      <c r="Q2696" s="7"/>
      <c r="R2696" s="7"/>
      <c r="S2696" s="7"/>
      <c r="T2696" s="7"/>
      <c r="U2696" s="7"/>
      <c r="V2696" s="7"/>
      <c r="W2696" s="7"/>
      <c r="X2696" s="7"/>
      <c r="Y2696" s="7"/>
    </row>
    <row r="2697">
      <c r="A2697" s="14" t="s">
        <v>9728</v>
      </c>
      <c r="B2697" s="17" t="s">
        <v>9729</v>
      </c>
      <c r="C2697" s="17" t="s">
        <v>9730</v>
      </c>
      <c r="D2697" s="19" t="s">
        <v>9731</v>
      </c>
      <c r="E2697" s="20" t="s">
        <v>104</v>
      </c>
      <c r="F2697" s="21">
        <v>32201.0</v>
      </c>
      <c r="G2697" s="14">
        <f t="shared" si="1"/>
        <v>38</v>
      </c>
      <c r="H2697" s="23" t="s">
        <v>26</v>
      </c>
      <c r="I2697" s="24" t="s">
        <v>27</v>
      </c>
      <c r="J2697" s="19" t="s">
        <v>726</v>
      </c>
      <c r="K2697" s="14">
        <v>17.0</v>
      </c>
      <c r="L2697" s="14">
        <v>0.0</v>
      </c>
      <c r="M2697" s="25"/>
      <c r="N2697" s="26" t="s">
        <v>21</v>
      </c>
      <c r="O2697" s="7"/>
      <c r="P2697" s="7"/>
      <c r="Q2697" s="7"/>
      <c r="R2697" s="7"/>
      <c r="S2697" s="7"/>
      <c r="T2697" s="7"/>
      <c r="U2697" s="7"/>
      <c r="V2697" s="7"/>
      <c r="W2697" s="7"/>
      <c r="X2697" s="7"/>
      <c r="Y2697" s="7"/>
    </row>
    <row r="2698">
      <c r="A2698" s="14" t="s">
        <v>9732</v>
      </c>
      <c r="B2698" s="17" t="s">
        <v>9729</v>
      </c>
      <c r="C2698" s="17" t="s">
        <v>9733</v>
      </c>
      <c r="D2698" s="19" t="s">
        <v>9734</v>
      </c>
      <c r="E2698" s="20" t="s">
        <v>274</v>
      </c>
      <c r="F2698" s="21">
        <v>30141.0</v>
      </c>
      <c r="G2698" s="14">
        <f t="shared" si="1"/>
        <v>44</v>
      </c>
      <c r="H2698" s="23" t="s">
        <v>26</v>
      </c>
      <c r="I2698" s="24" t="s">
        <v>33</v>
      </c>
      <c r="J2698" s="19" t="s">
        <v>726</v>
      </c>
      <c r="K2698" s="14">
        <v>17.0</v>
      </c>
      <c r="L2698" s="14">
        <v>0.0</v>
      </c>
      <c r="M2698" s="25"/>
      <c r="N2698" s="26" t="s">
        <v>21</v>
      </c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</row>
    <row r="2699">
      <c r="A2699" s="14" t="s">
        <v>9735</v>
      </c>
      <c r="B2699" s="17" t="s">
        <v>9736</v>
      </c>
      <c r="C2699" s="17" t="s">
        <v>9737</v>
      </c>
      <c r="D2699" s="19" t="s">
        <v>5352</v>
      </c>
      <c r="E2699" s="20" t="s">
        <v>1370</v>
      </c>
      <c r="F2699" s="21">
        <v>23567.0</v>
      </c>
      <c r="G2699" s="14">
        <f t="shared" si="1"/>
        <v>62</v>
      </c>
      <c r="H2699" s="23" t="s">
        <v>26</v>
      </c>
      <c r="I2699" s="24" t="s">
        <v>33</v>
      </c>
      <c r="J2699" s="19" t="s">
        <v>726</v>
      </c>
      <c r="K2699" s="14">
        <v>16.0</v>
      </c>
      <c r="L2699" s="14">
        <v>0.0</v>
      </c>
      <c r="M2699" s="25"/>
      <c r="N2699" s="26" t="s">
        <v>21</v>
      </c>
      <c r="O2699" s="7"/>
      <c r="P2699" s="7"/>
      <c r="Q2699" s="7"/>
      <c r="R2699" s="7"/>
      <c r="S2699" s="7"/>
      <c r="T2699" s="7"/>
      <c r="U2699" s="7"/>
      <c r="V2699" s="7"/>
      <c r="W2699" s="7"/>
      <c r="X2699" s="7"/>
      <c r="Y2699" s="7"/>
    </row>
    <row r="2700">
      <c r="A2700" s="14" t="s">
        <v>9738</v>
      </c>
      <c r="B2700" s="17" t="s">
        <v>9736</v>
      </c>
      <c r="C2700" s="17" t="s">
        <v>9739</v>
      </c>
      <c r="D2700" s="19" t="s">
        <v>9740</v>
      </c>
      <c r="E2700" s="20" t="s">
        <v>1058</v>
      </c>
      <c r="F2700" s="21">
        <v>24234.0</v>
      </c>
      <c r="G2700" s="14">
        <f t="shared" si="1"/>
        <v>60</v>
      </c>
      <c r="H2700" s="23" t="s">
        <v>26</v>
      </c>
      <c r="I2700" s="24" t="s">
        <v>27</v>
      </c>
      <c r="J2700" s="19" t="s">
        <v>726</v>
      </c>
      <c r="K2700" s="14">
        <v>16.0</v>
      </c>
      <c r="L2700" s="14">
        <v>0.0</v>
      </c>
      <c r="M2700" s="25"/>
      <c r="N2700" s="26" t="s">
        <v>21</v>
      </c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7"/>
    </row>
    <row r="2701">
      <c r="A2701" s="14" t="s">
        <v>9741</v>
      </c>
      <c r="B2701" s="17" t="s">
        <v>9742</v>
      </c>
      <c r="C2701" s="17" t="s">
        <v>9743</v>
      </c>
      <c r="D2701" s="19" t="s">
        <v>9744</v>
      </c>
      <c r="E2701" s="20" t="s">
        <v>104</v>
      </c>
      <c r="F2701" s="21">
        <v>31274.0</v>
      </c>
      <c r="G2701" s="14">
        <f t="shared" si="1"/>
        <v>41</v>
      </c>
      <c r="H2701" s="23" t="s">
        <v>26</v>
      </c>
      <c r="I2701" s="24" t="s">
        <v>33</v>
      </c>
      <c r="J2701" s="19" t="s">
        <v>68</v>
      </c>
      <c r="K2701" s="14">
        <v>35.0</v>
      </c>
      <c r="L2701" s="14">
        <v>0.0</v>
      </c>
      <c r="M2701" s="25"/>
      <c r="N2701" s="26" t="s">
        <v>21</v>
      </c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7"/>
    </row>
    <row r="2702">
      <c r="A2702" s="14" t="s">
        <v>9745</v>
      </c>
      <c r="B2702" s="17" t="s">
        <v>9742</v>
      </c>
      <c r="C2702" s="17" t="s">
        <v>9746</v>
      </c>
      <c r="D2702" s="19" t="s">
        <v>9747</v>
      </c>
      <c r="E2702" s="20" t="s">
        <v>9748</v>
      </c>
      <c r="F2702" s="21">
        <v>32628.0</v>
      </c>
      <c r="G2702" s="14">
        <f t="shared" si="1"/>
        <v>37</v>
      </c>
      <c r="H2702" s="23" t="s">
        <v>26</v>
      </c>
      <c r="I2702" s="24" t="s">
        <v>27</v>
      </c>
      <c r="J2702" s="19" t="s">
        <v>68</v>
      </c>
      <c r="K2702" s="14">
        <v>35.0</v>
      </c>
      <c r="L2702" s="14">
        <v>0.0</v>
      </c>
      <c r="M2702" s="25"/>
      <c r="N2702" s="26" t="s">
        <v>21</v>
      </c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7"/>
    </row>
    <row r="2703">
      <c r="A2703" s="14" t="s">
        <v>9749</v>
      </c>
      <c r="B2703" s="17" t="s">
        <v>9750</v>
      </c>
      <c r="C2703" s="17" t="s">
        <v>9751</v>
      </c>
      <c r="D2703" s="19" t="s">
        <v>9752</v>
      </c>
      <c r="E2703" s="20" t="s">
        <v>67</v>
      </c>
      <c r="F2703" s="21">
        <v>23543.0</v>
      </c>
      <c r="G2703" s="14">
        <f t="shared" si="1"/>
        <v>62</v>
      </c>
      <c r="H2703" s="23" t="s">
        <v>26</v>
      </c>
      <c r="I2703" s="24" t="s">
        <v>27</v>
      </c>
      <c r="J2703" s="19" t="s">
        <v>726</v>
      </c>
      <c r="K2703" s="14">
        <v>18.0</v>
      </c>
      <c r="L2703" s="14">
        <v>0.0</v>
      </c>
      <c r="M2703" s="25"/>
      <c r="N2703" s="26" t="s">
        <v>21</v>
      </c>
      <c r="O2703" s="7"/>
      <c r="P2703" s="7"/>
      <c r="Q2703" s="7"/>
      <c r="R2703" s="7"/>
      <c r="S2703" s="7"/>
      <c r="T2703" s="7"/>
      <c r="U2703" s="7"/>
      <c r="V2703" s="7"/>
      <c r="W2703" s="7"/>
      <c r="X2703" s="7"/>
      <c r="Y2703" s="7"/>
    </row>
    <row r="2704">
      <c r="A2704" s="14" t="s">
        <v>9753</v>
      </c>
      <c r="B2704" s="17" t="s">
        <v>9750</v>
      </c>
      <c r="C2704" s="17" t="s">
        <v>9754</v>
      </c>
      <c r="D2704" s="19" t="s">
        <v>9755</v>
      </c>
      <c r="E2704" s="20" t="s">
        <v>104</v>
      </c>
      <c r="F2704" s="21">
        <v>38408.0</v>
      </c>
      <c r="G2704" s="14">
        <f t="shared" si="1"/>
        <v>21</v>
      </c>
      <c r="H2704" s="23" t="s">
        <v>100</v>
      </c>
      <c r="I2704" s="24" t="s">
        <v>33</v>
      </c>
      <c r="J2704" s="19" t="s">
        <v>726</v>
      </c>
      <c r="K2704" s="14">
        <v>18.0</v>
      </c>
      <c r="L2704" s="14">
        <v>0.0</v>
      </c>
      <c r="M2704" s="25"/>
      <c r="N2704" s="26" t="s">
        <v>21</v>
      </c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</row>
    <row r="2705">
      <c r="A2705" s="14" t="s">
        <v>9756</v>
      </c>
      <c r="B2705" s="17" t="s">
        <v>9757</v>
      </c>
      <c r="C2705" s="17" t="s">
        <v>9758</v>
      </c>
      <c r="D2705" s="19" t="s">
        <v>9759</v>
      </c>
      <c r="E2705" s="20" t="s">
        <v>210</v>
      </c>
      <c r="F2705" s="21">
        <v>34827.0</v>
      </c>
      <c r="G2705" s="14">
        <f t="shared" si="1"/>
        <v>31</v>
      </c>
      <c r="H2705" s="23" t="s">
        <v>100</v>
      </c>
      <c r="I2705" s="24" t="s">
        <v>33</v>
      </c>
      <c r="J2705" s="19" t="s">
        <v>9760</v>
      </c>
      <c r="K2705" s="14">
        <v>3.0</v>
      </c>
      <c r="L2705" s="14">
        <v>7.0</v>
      </c>
      <c r="M2705" s="28" t="s">
        <v>7852</v>
      </c>
      <c r="N2705" s="26" t="s">
        <v>21</v>
      </c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</row>
    <row r="2706">
      <c r="A2706" s="14" t="s">
        <v>9761</v>
      </c>
      <c r="B2706" s="17" t="s">
        <v>9757</v>
      </c>
      <c r="C2706" s="17" t="s">
        <v>9762</v>
      </c>
      <c r="D2706" s="19" t="s">
        <v>9763</v>
      </c>
      <c r="E2706" s="20" t="s">
        <v>7893</v>
      </c>
      <c r="F2706" s="27">
        <v>27345.0</v>
      </c>
      <c r="G2706" s="14">
        <f t="shared" si="1"/>
        <v>51</v>
      </c>
      <c r="H2706" s="23" t="s">
        <v>26</v>
      </c>
      <c r="I2706" s="24" t="s">
        <v>27</v>
      </c>
      <c r="J2706" s="19" t="s">
        <v>9760</v>
      </c>
      <c r="K2706" s="14">
        <v>3.0</v>
      </c>
      <c r="L2706" s="14">
        <v>0.0</v>
      </c>
      <c r="M2706" s="25"/>
      <c r="N2706" s="26" t="s">
        <v>21</v>
      </c>
      <c r="O2706" s="7"/>
      <c r="P2706" s="7"/>
      <c r="Q2706" s="7"/>
      <c r="R2706" s="7"/>
      <c r="S2706" s="7"/>
      <c r="T2706" s="7"/>
      <c r="U2706" s="7"/>
      <c r="V2706" s="7"/>
      <c r="W2706" s="7"/>
      <c r="X2706" s="7"/>
      <c r="Y2706" s="7"/>
    </row>
    <row r="2707">
      <c r="A2707" s="14" t="s">
        <v>9764</v>
      </c>
      <c r="B2707" s="17" t="s">
        <v>9757</v>
      </c>
      <c r="C2707" s="17" t="s">
        <v>9765</v>
      </c>
      <c r="D2707" s="19" t="s">
        <v>9766</v>
      </c>
      <c r="E2707" s="20" t="s">
        <v>9767</v>
      </c>
      <c r="F2707" s="27">
        <v>36444.0</v>
      </c>
      <c r="G2707" s="14">
        <f t="shared" si="1"/>
        <v>27</v>
      </c>
      <c r="H2707" s="23" t="s">
        <v>100</v>
      </c>
      <c r="I2707" s="24" t="s">
        <v>33</v>
      </c>
      <c r="J2707" s="19" t="s">
        <v>9760</v>
      </c>
      <c r="K2707" s="14">
        <v>3.0</v>
      </c>
      <c r="L2707" s="14">
        <v>0.0</v>
      </c>
      <c r="M2707" s="25"/>
      <c r="N2707" s="26" t="s">
        <v>21</v>
      </c>
      <c r="O2707" s="7"/>
      <c r="P2707" s="7"/>
      <c r="Q2707" s="7"/>
      <c r="R2707" s="7"/>
      <c r="S2707" s="7"/>
      <c r="T2707" s="7"/>
      <c r="U2707" s="7"/>
      <c r="V2707" s="7"/>
      <c r="W2707" s="7"/>
      <c r="X2707" s="7"/>
      <c r="Y2707" s="7"/>
    </row>
    <row r="2708">
      <c r="A2708" s="14" t="s">
        <v>9768</v>
      </c>
      <c r="B2708" s="17" t="s">
        <v>9757</v>
      </c>
      <c r="C2708" s="17" t="s">
        <v>9769</v>
      </c>
      <c r="D2708" s="19" t="s">
        <v>9770</v>
      </c>
      <c r="E2708" s="20" t="s">
        <v>9767</v>
      </c>
      <c r="F2708" s="21">
        <v>37753.0</v>
      </c>
      <c r="G2708" s="14">
        <f t="shared" si="1"/>
        <v>23</v>
      </c>
      <c r="H2708" s="23" t="s">
        <v>100</v>
      </c>
      <c r="I2708" s="24" t="s">
        <v>33</v>
      </c>
      <c r="J2708" s="19" t="s">
        <v>9760</v>
      </c>
      <c r="K2708" s="14">
        <v>3.0</v>
      </c>
      <c r="L2708" s="14">
        <v>0.0</v>
      </c>
      <c r="M2708" s="25"/>
      <c r="N2708" s="26" t="s">
        <v>21</v>
      </c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7"/>
    </row>
    <row r="2709">
      <c r="A2709" s="14" t="s">
        <v>9771</v>
      </c>
      <c r="B2709" s="17" t="s">
        <v>9757</v>
      </c>
      <c r="C2709" s="17" t="s">
        <v>9772</v>
      </c>
      <c r="D2709" s="19" t="s">
        <v>8057</v>
      </c>
      <c r="E2709" s="20" t="s">
        <v>9767</v>
      </c>
      <c r="F2709" s="21">
        <v>24505.0</v>
      </c>
      <c r="G2709" s="14">
        <f t="shared" si="1"/>
        <v>59</v>
      </c>
      <c r="H2709" s="23" t="s">
        <v>26</v>
      </c>
      <c r="I2709" s="24" t="s">
        <v>33</v>
      </c>
      <c r="J2709" s="19" t="s">
        <v>9760</v>
      </c>
      <c r="K2709" s="14">
        <v>3.0</v>
      </c>
      <c r="L2709" s="14">
        <v>0.0</v>
      </c>
      <c r="M2709" s="25"/>
      <c r="N2709" s="26" t="s">
        <v>21</v>
      </c>
      <c r="O2709" s="7"/>
      <c r="P2709" s="7"/>
      <c r="Q2709" s="7"/>
      <c r="R2709" s="7"/>
      <c r="S2709" s="7"/>
      <c r="T2709" s="7"/>
      <c r="U2709" s="7"/>
      <c r="V2709" s="7"/>
      <c r="W2709" s="7"/>
      <c r="X2709" s="7"/>
      <c r="Y2709" s="7"/>
    </row>
    <row r="2710">
      <c r="A2710" s="14" t="s">
        <v>9773</v>
      </c>
      <c r="B2710" s="17" t="s">
        <v>9774</v>
      </c>
      <c r="C2710" s="17" t="s">
        <v>9775</v>
      </c>
      <c r="D2710" s="19" t="s">
        <v>9776</v>
      </c>
      <c r="E2710" s="20" t="s">
        <v>434</v>
      </c>
      <c r="F2710" s="21">
        <v>25709.0</v>
      </c>
      <c r="G2710" s="14">
        <f t="shared" si="1"/>
        <v>56</v>
      </c>
      <c r="H2710" s="23" t="s">
        <v>26</v>
      </c>
      <c r="I2710" s="24" t="s">
        <v>33</v>
      </c>
      <c r="J2710" s="19" t="s">
        <v>206</v>
      </c>
      <c r="K2710" s="14">
        <v>1.0</v>
      </c>
      <c r="L2710" s="14">
        <v>0.0</v>
      </c>
      <c r="M2710" s="25"/>
      <c r="N2710" s="26" t="s">
        <v>21</v>
      </c>
      <c r="O2710" s="7"/>
      <c r="P2710" s="7"/>
      <c r="Q2710" s="7"/>
      <c r="R2710" s="7"/>
      <c r="S2710" s="7"/>
      <c r="T2710" s="7"/>
      <c r="U2710" s="7"/>
      <c r="V2710" s="7"/>
      <c r="W2710" s="7"/>
      <c r="X2710" s="7"/>
      <c r="Y2710" s="7"/>
    </row>
    <row r="2711">
      <c r="A2711" s="14" t="s">
        <v>9777</v>
      </c>
      <c r="B2711" s="17" t="s">
        <v>9774</v>
      </c>
      <c r="C2711" s="17" t="s">
        <v>9778</v>
      </c>
      <c r="D2711" s="19" t="s">
        <v>9779</v>
      </c>
      <c r="E2711" s="20" t="s">
        <v>104</v>
      </c>
      <c r="F2711" s="21">
        <v>37726.0</v>
      </c>
      <c r="G2711" s="14">
        <f t="shared" si="1"/>
        <v>23</v>
      </c>
      <c r="H2711" s="23" t="s">
        <v>26</v>
      </c>
      <c r="I2711" s="24" t="s">
        <v>27</v>
      </c>
      <c r="J2711" s="19" t="s">
        <v>206</v>
      </c>
      <c r="K2711" s="14">
        <v>1.0</v>
      </c>
      <c r="L2711" s="14">
        <v>0.0</v>
      </c>
      <c r="M2711" s="25"/>
      <c r="N2711" s="26" t="s">
        <v>21</v>
      </c>
      <c r="O2711" s="7"/>
      <c r="P2711" s="7"/>
      <c r="Q2711" s="7"/>
      <c r="R2711" s="7"/>
      <c r="S2711" s="7"/>
      <c r="T2711" s="7"/>
      <c r="U2711" s="7"/>
      <c r="V2711" s="7"/>
      <c r="W2711" s="7"/>
      <c r="X2711" s="7"/>
      <c r="Y2711" s="7"/>
    </row>
    <row r="2712">
      <c r="A2712" s="14" t="s">
        <v>9780</v>
      </c>
      <c r="B2712" s="17" t="s">
        <v>9781</v>
      </c>
      <c r="C2712" s="17" t="s">
        <v>9782</v>
      </c>
      <c r="D2712" s="19" t="s">
        <v>9783</v>
      </c>
      <c r="E2712" s="20" t="s">
        <v>104</v>
      </c>
      <c r="F2712" s="21">
        <v>34116.0</v>
      </c>
      <c r="G2712" s="14">
        <f t="shared" si="1"/>
        <v>33</v>
      </c>
      <c r="H2712" s="23" t="s">
        <v>26</v>
      </c>
      <c r="I2712" s="24" t="s">
        <v>33</v>
      </c>
      <c r="J2712" s="19" t="s">
        <v>53</v>
      </c>
      <c r="K2712" s="14">
        <v>18.0</v>
      </c>
      <c r="L2712" s="14">
        <v>0.0</v>
      </c>
      <c r="M2712" s="25"/>
      <c r="N2712" s="26" t="s">
        <v>21</v>
      </c>
      <c r="O2712" s="7"/>
      <c r="P2712" s="7"/>
      <c r="Q2712" s="7"/>
      <c r="R2712" s="7"/>
      <c r="S2712" s="7"/>
      <c r="T2712" s="7"/>
      <c r="U2712" s="7"/>
      <c r="V2712" s="7"/>
      <c r="W2712" s="7"/>
      <c r="X2712" s="7"/>
      <c r="Y2712" s="7"/>
    </row>
    <row r="2713">
      <c r="A2713" s="14" t="s">
        <v>9784</v>
      </c>
      <c r="B2713" s="17" t="s">
        <v>9781</v>
      </c>
      <c r="C2713" s="17" t="s">
        <v>9785</v>
      </c>
      <c r="D2713" s="19" t="s">
        <v>9786</v>
      </c>
      <c r="E2713" s="20" t="s">
        <v>104</v>
      </c>
      <c r="F2713" s="21">
        <v>35972.0</v>
      </c>
      <c r="G2713" s="14">
        <f t="shared" si="1"/>
        <v>28</v>
      </c>
      <c r="H2713" s="23" t="s">
        <v>26</v>
      </c>
      <c r="I2713" s="24" t="s">
        <v>27</v>
      </c>
      <c r="J2713" s="19" t="s">
        <v>53</v>
      </c>
      <c r="K2713" s="14">
        <v>18.0</v>
      </c>
      <c r="L2713" s="14">
        <v>0.0</v>
      </c>
      <c r="M2713" s="25"/>
      <c r="N2713" s="26" t="s">
        <v>21</v>
      </c>
      <c r="O2713" s="7"/>
      <c r="P2713" s="7"/>
      <c r="Q2713" s="7"/>
      <c r="R2713" s="7"/>
      <c r="S2713" s="7"/>
      <c r="T2713" s="7"/>
      <c r="U2713" s="7"/>
      <c r="V2713" s="7"/>
      <c r="W2713" s="7"/>
      <c r="X2713" s="7"/>
      <c r="Y2713" s="7"/>
    </row>
    <row r="2714">
      <c r="A2714" s="14" t="s">
        <v>9787</v>
      </c>
      <c r="B2714" s="17" t="s">
        <v>9788</v>
      </c>
      <c r="C2714" s="17" t="s">
        <v>9789</v>
      </c>
      <c r="D2714" s="19" t="s">
        <v>9790</v>
      </c>
      <c r="E2714" s="20" t="s">
        <v>104</v>
      </c>
      <c r="F2714" s="21">
        <v>38377.0</v>
      </c>
      <c r="G2714" s="14">
        <f t="shared" si="1"/>
        <v>21</v>
      </c>
      <c r="H2714" s="23" t="s">
        <v>100</v>
      </c>
      <c r="I2714" s="24" t="s">
        <v>27</v>
      </c>
      <c r="J2714" s="19" t="s">
        <v>328</v>
      </c>
      <c r="K2714" s="14">
        <v>22.0</v>
      </c>
      <c r="L2714" s="14">
        <v>0.0</v>
      </c>
      <c r="M2714" s="25"/>
      <c r="N2714" s="26" t="s">
        <v>21</v>
      </c>
      <c r="O2714" s="7"/>
      <c r="P2714" s="7"/>
      <c r="Q2714" s="7"/>
      <c r="R2714" s="7"/>
      <c r="S2714" s="7"/>
      <c r="T2714" s="7"/>
      <c r="U2714" s="7"/>
      <c r="V2714" s="7"/>
      <c r="W2714" s="7"/>
      <c r="X2714" s="7"/>
      <c r="Y2714" s="7"/>
    </row>
    <row r="2715">
      <c r="A2715" s="14" t="s">
        <v>9791</v>
      </c>
      <c r="B2715" s="17" t="s">
        <v>9788</v>
      </c>
      <c r="C2715" s="17" t="s">
        <v>9792</v>
      </c>
      <c r="D2715" s="19" t="s">
        <v>9793</v>
      </c>
      <c r="E2715" s="20" t="s">
        <v>138</v>
      </c>
      <c r="F2715" s="21">
        <v>36651.0</v>
      </c>
      <c r="G2715" s="14">
        <f t="shared" si="1"/>
        <v>26</v>
      </c>
      <c r="H2715" s="23" t="s">
        <v>100</v>
      </c>
      <c r="I2715" s="24" t="s">
        <v>27</v>
      </c>
      <c r="J2715" s="19" t="s">
        <v>328</v>
      </c>
      <c r="K2715" s="14">
        <v>22.0</v>
      </c>
      <c r="L2715" s="14">
        <v>0.0</v>
      </c>
      <c r="M2715" s="25"/>
      <c r="N2715" s="26" t="s">
        <v>21</v>
      </c>
      <c r="O2715" s="7"/>
      <c r="P2715" s="7"/>
      <c r="Q2715" s="7"/>
      <c r="R2715" s="7"/>
      <c r="S2715" s="7"/>
      <c r="T2715" s="7"/>
      <c r="U2715" s="7"/>
      <c r="V2715" s="7"/>
      <c r="W2715" s="7"/>
      <c r="X2715" s="7"/>
      <c r="Y2715" s="7"/>
    </row>
    <row r="2716">
      <c r="A2716" s="14" t="s">
        <v>9794</v>
      </c>
      <c r="B2716" s="17" t="s">
        <v>9788</v>
      </c>
      <c r="C2716" s="17" t="s">
        <v>9795</v>
      </c>
      <c r="D2716" s="19" t="s">
        <v>9796</v>
      </c>
      <c r="E2716" s="20" t="s">
        <v>6256</v>
      </c>
      <c r="F2716" s="21">
        <v>26120.0</v>
      </c>
      <c r="G2716" s="14">
        <f t="shared" si="1"/>
        <v>55</v>
      </c>
      <c r="H2716" s="23" t="s">
        <v>26</v>
      </c>
      <c r="I2716" s="24" t="s">
        <v>33</v>
      </c>
      <c r="J2716" s="19" t="s">
        <v>328</v>
      </c>
      <c r="K2716" s="14">
        <v>22.0</v>
      </c>
      <c r="L2716" s="14">
        <v>0.0</v>
      </c>
      <c r="M2716" s="25"/>
      <c r="N2716" s="26" t="s">
        <v>21</v>
      </c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</row>
    <row r="2717">
      <c r="A2717" s="14" t="s">
        <v>9797</v>
      </c>
      <c r="B2717" s="17" t="s">
        <v>9788</v>
      </c>
      <c r="C2717" s="17" t="s">
        <v>9798</v>
      </c>
      <c r="D2717" s="19" t="s">
        <v>9799</v>
      </c>
      <c r="E2717" s="20" t="s">
        <v>880</v>
      </c>
      <c r="F2717" s="27">
        <v>26947.0</v>
      </c>
      <c r="G2717" s="14">
        <f t="shared" si="1"/>
        <v>53</v>
      </c>
      <c r="H2717" s="23" t="s">
        <v>26</v>
      </c>
      <c r="I2717" s="24" t="s">
        <v>27</v>
      </c>
      <c r="J2717" s="19" t="s">
        <v>328</v>
      </c>
      <c r="K2717" s="14">
        <v>22.0</v>
      </c>
      <c r="L2717" s="14">
        <v>0.0</v>
      </c>
      <c r="M2717" s="25"/>
      <c r="N2717" s="26" t="s">
        <v>21</v>
      </c>
      <c r="O2717" s="7"/>
      <c r="P2717" s="7"/>
      <c r="Q2717" s="7"/>
      <c r="R2717" s="7"/>
      <c r="S2717" s="7"/>
      <c r="T2717" s="7"/>
      <c r="U2717" s="7"/>
      <c r="V2717" s="7"/>
      <c r="W2717" s="7"/>
      <c r="X2717" s="7"/>
      <c r="Y2717" s="7"/>
    </row>
    <row r="2718">
      <c r="A2718" s="14" t="s">
        <v>9800</v>
      </c>
      <c r="B2718" s="17" t="s">
        <v>9801</v>
      </c>
      <c r="C2718" s="17" t="s">
        <v>9802</v>
      </c>
      <c r="D2718" s="19" t="s">
        <v>9803</v>
      </c>
      <c r="E2718" s="20" t="s">
        <v>1386</v>
      </c>
      <c r="F2718" s="27">
        <v>33892.0</v>
      </c>
      <c r="G2718" s="14">
        <f t="shared" si="1"/>
        <v>34</v>
      </c>
      <c r="H2718" s="23" t="s">
        <v>26</v>
      </c>
      <c r="I2718" s="24" t="s">
        <v>27</v>
      </c>
      <c r="J2718" s="19" t="s">
        <v>726</v>
      </c>
      <c r="K2718" s="14">
        <v>18.0</v>
      </c>
      <c r="L2718" s="14">
        <v>0.0</v>
      </c>
      <c r="M2718" s="25"/>
      <c r="N2718" s="26" t="s">
        <v>21</v>
      </c>
      <c r="O2718" s="7"/>
      <c r="P2718" s="7"/>
      <c r="Q2718" s="7"/>
      <c r="R2718" s="7"/>
      <c r="S2718" s="7"/>
      <c r="T2718" s="7"/>
      <c r="U2718" s="7"/>
      <c r="V2718" s="7"/>
      <c r="W2718" s="7"/>
      <c r="X2718" s="7"/>
      <c r="Y2718" s="7"/>
    </row>
    <row r="2719">
      <c r="A2719" s="14" t="s">
        <v>9804</v>
      </c>
      <c r="B2719" s="17" t="s">
        <v>9801</v>
      </c>
      <c r="C2719" s="17" t="s">
        <v>9805</v>
      </c>
      <c r="D2719" s="19" t="s">
        <v>9806</v>
      </c>
      <c r="E2719" s="20" t="s">
        <v>104</v>
      </c>
      <c r="F2719" s="21">
        <v>33084.0</v>
      </c>
      <c r="G2719" s="14">
        <f t="shared" si="1"/>
        <v>36</v>
      </c>
      <c r="H2719" s="23" t="s">
        <v>26</v>
      </c>
      <c r="I2719" s="24" t="s">
        <v>33</v>
      </c>
      <c r="J2719" s="19" t="s">
        <v>726</v>
      </c>
      <c r="K2719" s="14">
        <v>18.0</v>
      </c>
      <c r="L2719" s="14">
        <v>0.0</v>
      </c>
      <c r="M2719" s="25"/>
      <c r="N2719" s="26" t="s">
        <v>21</v>
      </c>
      <c r="O2719" s="7"/>
      <c r="P2719" s="7"/>
      <c r="Q2719" s="7"/>
      <c r="R2719" s="7"/>
      <c r="S2719" s="7"/>
      <c r="T2719" s="7"/>
      <c r="U2719" s="7"/>
      <c r="V2719" s="7"/>
      <c r="W2719" s="7"/>
      <c r="X2719" s="7"/>
      <c r="Y2719" s="7"/>
    </row>
    <row r="2720">
      <c r="A2720" s="14" t="s">
        <v>9807</v>
      </c>
      <c r="B2720" s="17" t="s">
        <v>9808</v>
      </c>
      <c r="C2720" s="17" t="s">
        <v>9809</v>
      </c>
      <c r="D2720" s="19" t="s">
        <v>9810</v>
      </c>
      <c r="E2720" s="20" t="s">
        <v>53</v>
      </c>
      <c r="F2720" s="21">
        <v>29596.0</v>
      </c>
      <c r="G2720" s="14">
        <f t="shared" si="1"/>
        <v>45</v>
      </c>
      <c r="H2720" s="23" t="s">
        <v>26</v>
      </c>
      <c r="I2720" s="24" t="s">
        <v>33</v>
      </c>
      <c r="J2720" s="19" t="s">
        <v>362</v>
      </c>
      <c r="K2720" s="14">
        <v>24.0</v>
      </c>
      <c r="L2720" s="14">
        <v>5.0</v>
      </c>
      <c r="M2720" s="28" t="s">
        <v>11380</v>
      </c>
      <c r="N2720" s="26" t="s">
        <v>21</v>
      </c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</row>
    <row r="2721">
      <c r="A2721" s="14" t="s">
        <v>9811</v>
      </c>
      <c r="B2721" s="17" t="s">
        <v>9808</v>
      </c>
      <c r="C2721" s="17" t="s">
        <v>9812</v>
      </c>
      <c r="D2721" s="19" t="s">
        <v>9813</v>
      </c>
      <c r="E2721" s="20" t="s">
        <v>274</v>
      </c>
      <c r="F2721" s="21">
        <v>32942.0</v>
      </c>
      <c r="G2721" s="14">
        <f t="shared" si="1"/>
        <v>36</v>
      </c>
      <c r="H2721" s="23" t="s">
        <v>26</v>
      </c>
      <c r="I2721" s="24" t="s">
        <v>27</v>
      </c>
      <c r="J2721" s="19" t="s">
        <v>362</v>
      </c>
      <c r="K2721" s="14">
        <v>24.0</v>
      </c>
      <c r="L2721" s="14">
        <v>5.0</v>
      </c>
      <c r="M2721" s="28" t="s">
        <v>11380</v>
      </c>
      <c r="N2721" s="26" t="s">
        <v>21</v>
      </c>
      <c r="O2721" s="7"/>
      <c r="P2721" s="7"/>
      <c r="Q2721" s="7"/>
      <c r="R2721" s="7"/>
      <c r="S2721" s="7"/>
      <c r="T2721" s="7"/>
      <c r="U2721" s="7"/>
      <c r="V2721" s="7"/>
      <c r="W2721" s="7"/>
      <c r="X2721" s="7"/>
      <c r="Y2721" s="7"/>
    </row>
    <row r="2722">
      <c r="A2722" s="14" t="s">
        <v>9814</v>
      </c>
      <c r="B2722" s="17" t="s">
        <v>9815</v>
      </c>
      <c r="C2722" s="17" t="s">
        <v>9816</v>
      </c>
      <c r="D2722" s="19" t="s">
        <v>9817</v>
      </c>
      <c r="E2722" s="20" t="s">
        <v>104</v>
      </c>
      <c r="F2722" s="21">
        <v>33850.0</v>
      </c>
      <c r="G2722" s="14">
        <f t="shared" si="1"/>
        <v>34</v>
      </c>
      <c r="H2722" s="23" t="s">
        <v>26</v>
      </c>
      <c r="I2722" s="24" t="s">
        <v>33</v>
      </c>
      <c r="J2722" s="19" t="s">
        <v>146</v>
      </c>
      <c r="K2722" s="14">
        <v>2.0</v>
      </c>
      <c r="L2722" s="14">
        <v>0.0</v>
      </c>
      <c r="M2722" s="25"/>
      <c r="N2722" s="26" t="s">
        <v>21</v>
      </c>
      <c r="O2722" s="7"/>
      <c r="P2722" s="7"/>
      <c r="Q2722" s="7"/>
      <c r="R2722" s="7"/>
      <c r="S2722" s="7"/>
      <c r="T2722" s="7"/>
      <c r="U2722" s="7"/>
      <c r="V2722" s="7"/>
      <c r="W2722" s="7"/>
      <c r="X2722" s="7"/>
      <c r="Y2722" s="7"/>
    </row>
    <row r="2723">
      <c r="A2723" s="14" t="s">
        <v>9818</v>
      </c>
      <c r="B2723" s="17" t="s">
        <v>9815</v>
      </c>
      <c r="C2723" s="17" t="s">
        <v>9819</v>
      </c>
      <c r="D2723" s="19" t="s">
        <v>9820</v>
      </c>
      <c r="E2723" s="20" t="s">
        <v>104</v>
      </c>
      <c r="F2723" s="21">
        <v>34974.0</v>
      </c>
      <c r="G2723" s="14">
        <f t="shared" si="1"/>
        <v>31</v>
      </c>
      <c r="H2723" s="23" t="s">
        <v>26</v>
      </c>
      <c r="I2723" s="24" t="s">
        <v>27</v>
      </c>
      <c r="J2723" s="19" t="s">
        <v>146</v>
      </c>
      <c r="K2723" s="14">
        <v>2.0</v>
      </c>
      <c r="L2723" s="14">
        <v>0.0</v>
      </c>
      <c r="M2723" s="25"/>
      <c r="N2723" s="26" t="s">
        <v>21</v>
      </c>
      <c r="O2723" s="7"/>
      <c r="P2723" s="7"/>
      <c r="Q2723" s="7"/>
      <c r="R2723" s="7"/>
      <c r="S2723" s="7"/>
      <c r="T2723" s="7"/>
      <c r="U2723" s="7"/>
      <c r="V2723" s="7"/>
      <c r="W2723" s="7"/>
      <c r="X2723" s="7"/>
      <c r="Y2723" s="7"/>
    </row>
    <row r="2724">
      <c r="A2724" s="14" t="s">
        <v>9821</v>
      </c>
      <c r="B2724" s="17" t="s">
        <v>9822</v>
      </c>
      <c r="C2724" s="17" t="s">
        <v>9823</v>
      </c>
      <c r="D2724" s="19" t="s">
        <v>9824</v>
      </c>
      <c r="E2724" s="20" t="s">
        <v>104</v>
      </c>
      <c r="F2724" s="21">
        <v>30576.0</v>
      </c>
      <c r="G2724" s="14">
        <f t="shared" si="1"/>
        <v>43</v>
      </c>
      <c r="H2724" s="23" t="s">
        <v>27</v>
      </c>
      <c r="I2724" s="24" t="s">
        <v>33</v>
      </c>
      <c r="J2724" s="19" t="s">
        <v>282</v>
      </c>
      <c r="K2724" s="14">
        <v>13.0</v>
      </c>
      <c r="L2724" s="14">
        <v>0.0</v>
      </c>
      <c r="M2724" s="25"/>
      <c r="N2724" s="26" t="s">
        <v>21</v>
      </c>
      <c r="O2724" s="7"/>
      <c r="P2724" s="7"/>
      <c r="Q2724" s="7"/>
      <c r="R2724" s="7"/>
      <c r="S2724" s="7"/>
      <c r="T2724" s="7"/>
      <c r="U2724" s="7"/>
      <c r="V2724" s="7"/>
      <c r="W2724" s="7"/>
      <c r="X2724" s="7"/>
      <c r="Y2724" s="7"/>
    </row>
    <row r="2725">
      <c r="A2725" s="14" t="s">
        <v>9825</v>
      </c>
      <c r="B2725" s="17" t="s">
        <v>9826</v>
      </c>
      <c r="C2725" s="17" t="s">
        <v>9827</v>
      </c>
      <c r="D2725" s="19" t="s">
        <v>9828</v>
      </c>
      <c r="E2725" s="20" t="s">
        <v>104</v>
      </c>
      <c r="F2725" s="21">
        <v>37046.0</v>
      </c>
      <c r="G2725" s="14">
        <f t="shared" si="1"/>
        <v>25</v>
      </c>
      <c r="H2725" s="23" t="s">
        <v>100</v>
      </c>
      <c r="I2725" s="24" t="s">
        <v>33</v>
      </c>
      <c r="J2725" s="19" t="s">
        <v>282</v>
      </c>
      <c r="K2725" s="14">
        <v>13.0</v>
      </c>
      <c r="L2725" s="14">
        <v>0.0</v>
      </c>
      <c r="M2725" s="25"/>
      <c r="N2725" s="26" t="s">
        <v>21</v>
      </c>
      <c r="O2725" s="7"/>
      <c r="P2725" s="7"/>
      <c r="Q2725" s="7"/>
      <c r="R2725" s="7"/>
      <c r="S2725" s="7"/>
      <c r="T2725" s="7"/>
      <c r="U2725" s="7"/>
      <c r="V2725" s="7"/>
      <c r="W2725" s="7"/>
      <c r="X2725" s="7"/>
      <c r="Y2725" s="7"/>
    </row>
    <row r="2726">
      <c r="A2726" s="14" t="s">
        <v>9829</v>
      </c>
      <c r="B2726" s="17" t="s">
        <v>9826</v>
      </c>
      <c r="C2726" s="17" t="s">
        <v>9830</v>
      </c>
      <c r="D2726" s="19" t="s">
        <v>9831</v>
      </c>
      <c r="E2726" s="20" t="s">
        <v>112</v>
      </c>
      <c r="F2726" s="21">
        <v>24574.0</v>
      </c>
      <c r="G2726" s="14">
        <f t="shared" si="1"/>
        <v>59</v>
      </c>
      <c r="H2726" s="23" t="s">
        <v>27</v>
      </c>
      <c r="I2726" s="24" t="s">
        <v>27</v>
      </c>
      <c r="J2726" s="19" t="s">
        <v>282</v>
      </c>
      <c r="K2726" s="14">
        <v>13.0</v>
      </c>
      <c r="L2726" s="14">
        <v>0.0</v>
      </c>
      <c r="M2726" s="25"/>
      <c r="N2726" s="26" t="s">
        <v>21</v>
      </c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7"/>
    </row>
    <row r="2727">
      <c r="A2727" s="14" t="s">
        <v>9832</v>
      </c>
      <c r="B2727" s="17" t="s">
        <v>9833</v>
      </c>
      <c r="C2727" s="17" t="s">
        <v>9834</v>
      </c>
      <c r="D2727" s="19" t="s">
        <v>7345</v>
      </c>
      <c r="E2727" s="20" t="s">
        <v>104</v>
      </c>
      <c r="F2727" s="21">
        <v>27870.0</v>
      </c>
      <c r="G2727" s="14">
        <f t="shared" si="1"/>
        <v>50</v>
      </c>
      <c r="H2727" s="23" t="s">
        <v>27</v>
      </c>
      <c r="I2727" s="24" t="s">
        <v>27</v>
      </c>
      <c r="J2727" s="19" t="s">
        <v>895</v>
      </c>
      <c r="K2727" s="14">
        <v>26.0</v>
      </c>
      <c r="L2727" s="14">
        <v>0.0</v>
      </c>
      <c r="M2727" s="25"/>
      <c r="N2727" s="26" t="s">
        <v>21</v>
      </c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7"/>
    </row>
    <row r="2728">
      <c r="A2728" s="14" t="s">
        <v>9835</v>
      </c>
      <c r="B2728" s="17" t="s">
        <v>9836</v>
      </c>
      <c r="C2728" s="17" t="s">
        <v>9837</v>
      </c>
      <c r="D2728" s="19" t="s">
        <v>9838</v>
      </c>
      <c r="E2728" s="20" t="s">
        <v>104</v>
      </c>
      <c r="F2728" s="27">
        <v>30668.0</v>
      </c>
      <c r="G2728" s="14">
        <f t="shared" si="1"/>
        <v>42</v>
      </c>
      <c r="H2728" s="23" t="s">
        <v>26</v>
      </c>
      <c r="I2728" s="24" t="s">
        <v>33</v>
      </c>
      <c r="J2728" s="19" t="s">
        <v>68</v>
      </c>
      <c r="K2728" s="14">
        <v>32.0</v>
      </c>
      <c r="L2728" s="14">
        <v>5.0</v>
      </c>
      <c r="M2728" s="25"/>
      <c r="N2728" s="26" t="s">
        <v>21</v>
      </c>
      <c r="O2728" s="7"/>
      <c r="P2728" s="7"/>
      <c r="Q2728" s="7"/>
      <c r="R2728" s="7"/>
      <c r="S2728" s="7"/>
      <c r="T2728" s="7"/>
      <c r="U2728" s="7"/>
      <c r="V2728" s="7"/>
      <c r="W2728" s="7"/>
      <c r="X2728" s="7"/>
      <c r="Y2728" s="7"/>
    </row>
    <row r="2729">
      <c r="A2729" s="14" t="s">
        <v>9839</v>
      </c>
      <c r="B2729" s="17" t="s">
        <v>9836</v>
      </c>
      <c r="C2729" s="17" t="s">
        <v>9840</v>
      </c>
      <c r="D2729" s="19" t="s">
        <v>9841</v>
      </c>
      <c r="E2729" s="20" t="s">
        <v>7960</v>
      </c>
      <c r="F2729" s="21">
        <v>34848.0</v>
      </c>
      <c r="G2729" s="14">
        <f t="shared" si="1"/>
        <v>31</v>
      </c>
      <c r="H2729" s="23" t="s">
        <v>26</v>
      </c>
      <c r="I2729" s="24" t="s">
        <v>27</v>
      </c>
      <c r="J2729" s="19" t="s">
        <v>68</v>
      </c>
      <c r="K2729" s="14">
        <v>32.0</v>
      </c>
      <c r="L2729" s="14">
        <v>5.0</v>
      </c>
      <c r="M2729" s="25"/>
      <c r="N2729" s="26" t="s">
        <v>21</v>
      </c>
      <c r="O2729" s="7"/>
      <c r="P2729" s="7"/>
      <c r="Q2729" s="7"/>
      <c r="R2729" s="7"/>
      <c r="S2729" s="7"/>
      <c r="T2729" s="7"/>
      <c r="U2729" s="7"/>
      <c r="V2729" s="7"/>
      <c r="W2729" s="7"/>
      <c r="X2729" s="7"/>
      <c r="Y2729" s="7"/>
    </row>
    <row r="2730">
      <c r="A2730" s="14" t="s">
        <v>9842</v>
      </c>
      <c r="B2730" s="17" t="s">
        <v>9843</v>
      </c>
      <c r="C2730" s="17" t="s">
        <v>9844</v>
      </c>
      <c r="D2730" s="19" t="s">
        <v>9296</v>
      </c>
      <c r="E2730" s="20" t="s">
        <v>9845</v>
      </c>
      <c r="F2730" s="21">
        <v>35554.0</v>
      </c>
      <c r="G2730" s="14">
        <f t="shared" si="1"/>
        <v>29</v>
      </c>
      <c r="H2730" s="23" t="s">
        <v>26</v>
      </c>
      <c r="I2730" s="24" t="s">
        <v>27</v>
      </c>
      <c r="J2730" s="19" t="s">
        <v>146</v>
      </c>
      <c r="K2730" s="14">
        <v>16.0</v>
      </c>
      <c r="L2730" s="14">
        <v>0.0</v>
      </c>
      <c r="M2730" s="25"/>
      <c r="N2730" s="26" t="s">
        <v>21</v>
      </c>
      <c r="O2730" s="7"/>
      <c r="P2730" s="7"/>
      <c r="Q2730" s="7"/>
      <c r="R2730" s="7"/>
      <c r="S2730" s="7"/>
      <c r="T2730" s="7"/>
      <c r="U2730" s="7"/>
      <c r="V2730" s="7"/>
      <c r="W2730" s="7"/>
      <c r="X2730" s="7"/>
      <c r="Y2730" s="7"/>
    </row>
    <row r="2731">
      <c r="A2731" s="14" t="s">
        <v>9846</v>
      </c>
      <c r="B2731" s="17" t="s">
        <v>9843</v>
      </c>
      <c r="C2731" s="17" t="s">
        <v>9847</v>
      </c>
      <c r="D2731" s="19" t="s">
        <v>9848</v>
      </c>
      <c r="E2731" s="20" t="s">
        <v>9849</v>
      </c>
      <c r="F2731" s="21">
        <v>32733.0</v>
      </c>
      <c r="G2731" s="14">
        <f t="shared" si="1"/>
        <v>37</v>
      </c>
      <c r="H2731" s="23" t="s">
        <v>26</v>
      </c>
      <c r="I2731" s="24" t="s">
        <v>33</v>
      </c>
      <c r="J2731" s="19" t="s">
        <v>146</v>
      </c>
      <c r="K2731" s="14">
        <v>16.0</v>
      </c>
      <c r="L2731" s="14">
        <v>0.0</v>
      </c>
      <c r="M2731" s="25"/>
      <c r="N2731" s="26" t="s">
        <v>21</v>
      </c>
      <c r="O2731" s="7"/>
      <c r="P2731" s="7"/>
      <c r="Q2731" s="7"/>
      <c r="R2731" s="7"/>
      <c r="S2731" s="7"/>
      <c r="T2731" s="7"/>
      <c r="U2731" s="7"/>
      <c r="V2731" s="7"/>
      <c r="W2731" s="7"/>
      <c r="X2731" s="7"/>
      <c r="Y2731" s="7"/>
    </row>
    <row r="2732">
      <c r="A2732" s="14" t="s">
        <v>9850</v>
      </c>
      <c r="B2732" s="17" t="s">
        <v>9851</v>
      </c>
      <c r="C2732" s="17" t="s">
        <v>9852</v>
      </c>
      <c r="D2732" s="19" t="s">
        <v>7576</v>
      </c>
      <c r="E2732" s="20" t="s">
        <v>104</v>
      </c>
      <c r="F2732" s="21">
        <v>33655.0</v>
      </c>
      <c r="G2732" s="14">
        <f t="shared" si="1"/>
        <v>34</v>
      </c>
      <c r="H2732" s="23" t="s">
        <v>27</v>
      </c>
      <c r="I2732" s="24" t="s">
        <v>27</v>
      </c>
      <c r="J2732" s="19" t="s">
        <v>1437</v>
      </c>
      <c r="K2732" s="14">
        <v>28.0</v>
      </c>
      <c r="L2732" s="14">
        <v>0.0</v>
      </c>
      <c r="M2732" s="25"/>
      <c r="N2732" s="26" t="s">
        <v>21</v>
      </c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7"/>
    </row>
    <row r="2733">
      <c r="A2733" s="14" t="s">
        <v>9853</v>
      </c>
      <c r="B2733" s="17" t="s">
        <v>9854</v>
      </c>
      <c r="C2733" s="17" t="s">
        <v>9855</v>
      </c>
      <c r="D2733" s="19" t="s">
        <v>5221</v>
      </c>
      <c r="E2733" s="20" t="s">
        <v>67</v>
      </c>
      <c r="F2733" s="21">
        <v>20552.0</v>
      </c>
      <c r="G2733" s="14">
        <f t="shared" si="1"/>
        <v>70</v>
      </c>
      <c r="H2733" s="23" t="s">
        <v>27</v>
      </c>
      <c r="I2733" s="24" t="s">
        <v>27</v>
      </c>
      <c r="J2733" s="19" t="s">
        <v>146</v>
      </c>
      <c r="K2733" s="14">
        <v>7.0</v>
      </c>
      <c r="L2733" s="14">
        <v>0.0</v>
      </c>
      <c r="M2733" s="25"/>
      <c r="N2733" s="26" t="s">
        <v>21</v>
      </c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7"/>
    </row>
    <row r="2734">
      <c r="A2734" s="14" t="s">
        <v>9856</v>
      </c>
      <c r="B2734" s="17" t="s">
        <v>9857</v>
      </c>
      <c r="C2734" s="17" t="s">
        <v>9858</v>
      </c>
      <c r="D2734" s="19" t="s">
        <v>9859</v>
      </c>
      <c r="E2734" s="20" t="s">
        <v>104</v>
      </c>
      <c r="F2734" s="21">
        <v>34049.0</v>
      </c>
      <c r="G2734" s="14">
        <f t="shared" si="1"/>
        <v>33</v>
      </c>
      <c r="H2734" s="23" t="s">
        <v>26</v>
      </c>
      <c r="I2734" s="24" t="s">
        <v>27</v>
      </c>
      <c r="J2734" s="19" t="s">
        <v>282</v>
      </c>
      <c r="K2734" s="14">
        <v>17.0</v>
      </c>
      <c r="L2734" s="14">
        <v>0.0</v>
      </c>
      <c r="M2734" s="25"/>
      <c r="N2734" s="26" t="s">
        <v>21</v>
      </c>
      <c r="O2734" s="7"/>
      <c r="P2734" s="7"/>
      <c r="Q2734" s="7"/>
      <c r="R2734" s="7"/>
      <c r="S2734" s="7"/>
      <c r="T2734" s="7"/>
      <c r="U2734" s="7"/>
      <c r="V2734" s="7"/>
      <c r="W2734" s="7"/>
      <c r="X2734" s="7"/>
      <c r="Y2734" s="7"/>
    </row>
    <row r="2735">
      <c r="A2735" s="14" t="s">
        <v>9860</v>
      </c>
      <c r="B2735" s="17" t="s">
        <v>9857</v>
      </c>
      <c r="C2735" s="17" t="s">
        <v>9861</v>
      </c>
      <c r="D2735" s="19" t="s">
        <v>9862</v>
      </c>
      <c r="E2735" s="20" t="s">
        <v>1058</v>
      </c>
      <c r="F2735" s="21">
        <v>32039.0</v>
      </c>
      <c r="G2735" s="14">
        <f t="shared" si="1"/>
        <v>39</v>
      </c>
      <c r="H2735" s="23" t="s">
        <v>26</v>
      </c>
      <c r="I2735" s="24" t="s">
        <v>33</v>
      </c>
      <c r="J2735" s="19" t="s">
        <v>282</v>
      </c>
      <c r="K2735" s="14">
        <v>17.0</v>
      </c>
      <c r="L2735" s="14">
        <v>0.0</v>
      </c>
      <c r="M2735" s="25"/>
      <c r="N2735" s="26" t="s">
        <v>21</v>
      </c>
      <c r="O2735" s="7"/>
      <c r="P2735" s="7"/>
      <c r="Q2735" s="7"/>
      <c r="R2735" s="7"/>
      <c r="S2735" s="7"/>
      <c r="T2735" s="7"/>
      <c r="U2735" s="7"/>
      <c r="V2735" s="7"/>
      <c r="W2735" s="7"/>
      <c r="X2735" s="7"/>
      <c r="Y2735" s="7"/>
    </row>
    <row r="2736">
      <c r="A2736" s="14" t="s">
        <v>9863</v>
      </c>
      <c r="B2736" s="17" t="s">
        <v>9864</v>
      </c>
      <c r="C2736" s="17" t="s">
        <v>9865</v>
      </c>
      <c r="D2736" s="19" t="s">
        <v>9866</v>
      </c>
      <c r="E2736" s="20" t="s">
        <v>104</v>
      </c>
      <c r="F2736" s="27">
        <v>34635.0</v>
      </c>
      <c r="G2736" s="14">
        <f t="shared" si="1"/>
        <v>32</v>
      </c>
      <c r="H2736" s="23" t="s">
        <v>26</v>
      </c>
      <c r="I2736" s="24" t="s">
        <v>27</v>
      </c>
      <c r="J2736" s="19" t="s">
        <v>9867</v>
      </c>
      <c r="K2736" s="14">
        <v>35.0</v>
      </c>
      <c r="L2736" s="14">
        <v>0.0</v>
      </c>
      <c r="M2736" s="25"/>
      <c r="N2736" s="26" t="s">
        <v>21</v>
      </c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</row>
    <row r="2737">
      <c r="A2737" s="14" t="s">
        <v>9868</v>
      </c>
      <c r="B2737" s="17" t="s">
        <v>9864</v>
      </c>
      <c r="C2737" s="17" t="s">
        <v>9869</v>
      </c>
      <c r="D2737" s="19" t="s">
        <v>9870</v>
      </c>
      <c r="E2737" s="20" t="s">
        <v>104</v>
      </c>
      <c r="F2737" s="21">
        <v>33382.0</v>
      </c>
      <c r="G2737" s="14">
        <f t="shared" si="1"/>
        <v>35</v>
      </c>
      <c r="H2737" s="23" t="s">
        <v>26</v>
      </c>
      <c r="I2737" s="24" t="s">
        <v>33</v>
      </c>
      <c r="J2737" s="19" t="s">
        <v>9867</v>
      </c>
      <c r="K2737" s="14">
        <v>35.0</v>
      </c>
      <c r="L2737" s="14">
        <v>0.0</v>
      </c>
      <c r="M2737" s="25"/>
      <c r="N2737" s="26" t="s">
        <v>21</v>
      </c>
      <c r="O2737" s="7"/>
      <c r="P2737" s="7"/>
      <c r="Q2737" s="7"/>
      <c r="R2737" s="7"/>
      <c r="S2737" s="7"/>
      <c r="T2737" s="7"/>
      <c r="U2737" s="7"/>
      <c r="V2737" s="7"/>
      <c r="W2737" s="7"/>
      <c r="X2737" s="7"/>
      <c r="Y2737" s="7"/>
    </row>
    <row r="2738">
      <c r="A2738" s="14" t="s">
        <v>9871</v>
      </c>
      <c r="B2738" s="17" t="s">
        <v>9872</v>
      </c>
      <c r="C2738" s="17" t="s">
        <v>9873</v>
      </c>
      <c r="D2738" s="19" t="s">
        <v>9874</v>
      </c>
      <c r="E2738" s="20" t="s">
        <v>9875</v>
      </c>
      <c r="F2738" s="27">
        <v>35051.0</v>
      </c>
      <c r="G2738" s="14">
        <f t="shared" si="1"/>
        <v>30</v>
      </c>
      <c r="H2738" s="23" t="s">
        <v>26</v>
      </c>
      <c r="I2738" s="24" t="s">
        <v>33</v>
      </c>
      <c r="J2738" s="19" t="s">
        <v>206</v>
      </c>
      <c r="K2738" s="14">
        <v>10.0</v>
      </c>
      <c r="L2738" s="14">
        <v>0.0</v>
      </c>
      <c r="M2738" s="25"/>
      <c r="N2738" s="26" t="s">
        <v>21</v>
      </c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7"/>
    </row>
    <row r="2739">
      <c r="A2739" s="14" t="s">
        <v>9876</v>
      </c>
      <c r="B2739" s="17" t="s">
        <v>9872</v>
      </c>
      <c r="C2739" s="17" t="s">
        <v>9877</v>
      </c>
      <c r="D2739" s="19" t="s">
        <v>9878</v>
      </c>
      <c r="E2739" s="20" t="s">
        <v>9879</v>
      </c>
      <c r="F2739" s="21">
        <v>35181.0</v>
      </c>
      <c r="G2739" s="14">
        <f t="shared" si="1"/>
        <v>30</v>
      </c>
      <c r="H2739" s="23" t="s">
        <v>26</v>
      </c>
      <c r="I2739" s="24" t="s">
        <v>27</v>
      </c>
      <c r="J2739" s="19" t="s">
        <v>206</v>
      </c>
      <c r="K2739" s="14">
        <v>10.0</v>
      </c>
      <c r="L2739" s="14">
        <v>0.0</v>
      </c>
      <c r="M2739" s="25"/>
      <c r="N2739" s="26" t="s">
        <v>21</v>
      </c>
      <c r="O2739" s="7"/>
      <c r="P2739" s="7"/>
      <c r="Q2739" s="7"/>
      <c r="R2739" s="7"/>
      <c r="S2739" s="7"/>
      <c r="T2739" s="7"/>
      <c r="U2739" s="7"/>
      <c r="V2739" s="7"/>
      <c r="W2739" s="7"/>
      <c r="X2739" s="7"/>
      <c r="Y2739" s="7"/>
    </row>
    <row r="2740">
      <c r="A2740" s="14" t="s">
        <v>9880</v>
      </c>
      <c r="B2740" s="17" t="s">
        <v>9881</v>
      </c>
      <c r="C2740" s="17" t="s">
        <v>9882</v>
      </c>
      <c r="D2740" s="19" t="s">
        <v>4240</v>
      </c>
      <c r="E2740" s="20" t="s">
        <v>104</v>
      </c>
      <c r="F2740" s="27">
        <v>33533.0</v>
      </c>
      <c r="G2740" s="14">
        <f t="shared" si="1"/>
        <v>35</v>
      </c>
      <c r="H2740" s="23" t="s">
        <v>26</v>
      </c>
      <c r="I2740" s="24" t="s">
        <v>33</v>
      </c>
      <c r="J2740" s="19" t="s">
        <v>68</v>
      </c>
      <c r="K2740" s="14">
        <v>34.0</v>
      </c>
      <c r="L2740" s="14">
        <v>0.0</v>
      </c>
      <c r="M2740" s="25"/>
      <c r="N2740" s="26" t="s">
        <v>21</v>
      </c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7"/>
    </row>
    <row r="2741">
      <c r="A2741" s="14" t="s">
        <v>9883</v>
      </c>
      <c r="B2741" s="17" t="s">
        <v>9881</v>
      </c>
      <c r="C2741" s="17" t="s">
        <v>9884</v>
      </c>
      <c r="D2741" s="19" t="s">
        <v>9885</v>
      </c>
      <c r="E2741" s="20" t="s">
        <v>9886</v>
      </c>
      <c r="F2741" s="21">
        <v>30522.0</v>
      </c>
      <c r="G2741" s="14">
        <f t="shared" si="1"/>
        <v>43</v>
      </c>
      <c r="H2741" s="23" t="s">
        <v>26</v>
      </c>
      <c r="I2741" s="24" t="s">
        <v>27</v>
      </c>
      <c r="J2741" s="19" t="s">
        <v>68</v>
      </c>
      <c r="K2741" s="14">
        <v>34.0</v>
      </c>
      <c r="L2741" s="14">
        <v>5.0</v>
      </c>
      <c r="M2741" s="25"/>
      <c r="N2741" s="26" t="s">
        <v>21</v>
      </c>
      <c r="O2741" s="7"/>
      <c r="P2741" s="7"/>
      <c r="Q2741" s="7"/>
      <c r="R2741" s="7"/>
      <c r="S2741" s="7"/>
      <c r="T2741" s="7"/>
      <c r="U2741" s="7"/>
      <c r="V2741" s="7"/>
      <c r="W2741" s="7"/>
      <c r="X2741" s="7"/>
      <c r="Y2741" s="7"/>
    </row>
    <row r="2742">
      <c r="A2742" s="14" t="s">
        <v>9887</v>
      </c>
      <c r="B2742" s="17" t="s">
        <v>9888</v>
      </c>
      <c r="C2742" s="17" t="s">
        <v>9889</v>
      </c>
      <c r="D2742" s="19" t="s">
        <v>9890</v>
      </c>
      <c r="E2742" s="20" t="s">
        <v>1826</v>
      </c>
      <c r="F2742" s="27">
        <v>34668.0</v>
      </c>
      <c r="G2742" s="14">
        <f t="shared" si="1"/>
        <v>31</v>
      </c>
      <c r="H2742" s="23" t="s">
        <v>26</v>
      </c>
      <c r="I2742" s="24" t="s">
        <v>33</v>
      </c>
      <c r="J2742" s="19" t="s">
        <v>53</v>
      </c>
      <c r="K2742" s="14">
        <v>33.0</v>
      </c>
      <c r="L2742" s="14">
        <v>0.0</v>
      </c>
      <c r="M2742" s="25"/>
      <c r="N2742" s="26" t="s">
        <v>21</v>
      </c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7"/>
    </row>
    <row r="2743">
      <c r="A2743" s="14" t="s">
        <v>9891</v>
      </c>
      <c r="B2743" s="17" t="s">
        <v>9888</v>
      </c>
      <c r="C2743" s="17" t="s">
        <v>9892</v>
      </c>
      <c r="D2743" s="19" t="s">
        <v>9893</v>
      </c>
      <c r="E2743" s="20" t="s">
        <v>104</v>
      </c>
      <c r="F2743" s="21">
        <v>36035.0</v>
      </c>
      <c r="G2743" s="14">
        <f t="shared" si="1"/>
        <v>28</v>
      </c>
      <c r="H2743" s="23" t="s">
        <v>26</v>
      </c>
      <c r="I2743" s="24" t="s">
        <v>27</v>
      </c>
      <c r="J2743" s="19" t="s">
        <v>53</v>
      </c>
      <c r="K2743" s="14">
        <v>33.0</v>
      </c>
      <c r="L2743" s="14">
        <v>0.0</v>
      </c>
      <c r="M2743" s="25"/>
      <c r="N2743" s="26" t="s">
        <v>21</v>
      </c>
      <c r="O2743" s="7"/>
      <c r="P2743" s="7"/>
      <c r="Q2743" s="7"/>
      <c r="R2743" s="7"/>
      <c r="S2743" s="7"/>
      <c r="T2743" s="7"/>
      <c r="U2743" s="7"/>
      <c r="V2743" s="7"/>
      <c r="W2743" s="7"/>
      <c r="X2743" s="7"/>
      <c r="Y2743" s="7"/>
    </row>
    <row r="2744">
      <c r="A2744" s="14" t="s">
        <v>9894</v>
      </c>
      <c r="B2744" s="17" t="s">
        <v>9895</v>
      </c>
      <c r="C2744" s="17" t="s">
        <v>9896</v>
      </c>
      <c r="D2744" s="19" t="s">
        <v>9897</v>
      </c>
      <c r="E2744" s="20" t="s">
        <v>104</v>
      </c>
      <c r="F2744" s="21">
        <v>29867.0</v>
      </c>
      <c r="G2744" s="14">
        <f t="shared" si="1"/>
        <v>45</v>
      </c>
      <c r="H2744" s="23" t="s">
        <v>26</v>
      </c>
      <c r="I2744" s="24" t="s">
        <v>33</v>
      </c>
      <c r="J2744" s="19" t="s">
        <v>9898</v>
      </c>
      <c r="K2744" s="14">
        <v>13.0</v>
      </c>
      <c r="L2744" s="14">
        <v>0.0</v>
      </c>
      <c r="M2744" s="25"/>
      <c r="N2744" s="26" t="s">
        <v>21</v>
      </c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7"/>
    </row>
    <row r="2745">
      <c r="A2745" s="14" t="s">
        <v>9899</v>
      </c>
      <c r="B2745" s="17" t="s">
        <v>9895</v>
      </c>
      <c r="C2745" s="17" t="s">
        <v>9900</v>
      </c>
      <c r="D2745" s="19" t="s">
        <v>9901</v>
      </c>
      <c r="E2745" s="20" t="s">
        <v>138</v>
      </c>
      <c r="F2745" s="21">
        <v>33043.0</v>
      </c>
      <c r="G2745" s="14">
        <f t="shared" si="1"/>
        <v>36</v>
      </c>
      <c r="H2745" s="23" t="s">
        <v>26</v>
      </c>
      <c r="I2745" s="24" t="s">
        <v>27</v>
      </c>
      <c r="J2745" s="19" t="s">
        <v>9898</v>
      </c>
      <c r="K2745" s="14">
        <v>13.0</v>
      </c>
      <c r="L2745" s="14">
        <v>0.0</v>
      </c>
      <c r="M2745" s="25"/>
      <c r="N2745" s="26" t="s">
        <v>21</v>
      </c>
      <c r="O2745" s="7"/>
      <c r="P2745" s="7"/>
      <c r="Q2745" s="7"/>
      <c r="R2745" s="7"/>
      <c r="S2745" s="7"/>
      <c r="T2745" s="7"/>
      <c r="U2745" s="7"/>
      <c r="V2745" s="7"/>
      <c r="W2745" s="7"/>
      <c r="X2745" s="7"/>
      <c r="Y2745" s="7"/>
    </row>
    <row r="2746">
      <c r="A2746" s="14" t="s">
        <v>9902</v>
      </c>
      <c r="B2746" s="17" t="s">
        <v>9903</v>
      </c>
      <c r="C2746" s="17" t="s">
        <v>9904</v>
      </c>
      <c r="D2746" s="19" t="s">
        <v>9905</v>
      </c>
      <c r="E2746" s="20" t="s">
        <v>104</v>
      </c>
      <c r="F2746" s="21">
        <v>31456.0</v>
      </c>
      <c r="G2746" s="14">
        <f t="shared" si="1"/>
        <v>40</v>
      </c>
      <c r="H2746" s="23" t="s">
        <v>26</v>
      </c>
      <c r="I2746" s="24" t="s">
        <v>27</v>
      </c>
      <c r="J2746" s="19" t="s">
        <v>328</v>
      </c>
      <c r="K2746" s="14">
        <v>19.0</v>
      </c>
      <c r="L2746" s="14">
        <v>5.0</v>
      </c>
      <c r="M2746" s="28" t="s">
        <v>11487</v>
      </c>
      <c r="N2746" s="26" t="s">
        <v>21</v>
      </c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7"/>
    </row>
    <row r="2747">
      <c r="A2747" s="14" t="s">
        <v>9906</v>
      </c>
      <c r="B2747" s="17" t="s">
        <v>9903</v>
      </c>
      <c r="C2747" s="17" t="s">
        <v>9907</v>
      </c>
      <c r="D2747" s="19" t="s">
        <v>9908</v>
      </c>
      <c r="E2747" s="20" t="s">
        <v>112</v>
      </c>
      <c r="F2747" s="21">
        <v>27563.0</v>
      </c>
      <c r="G2747" s="14">
        <f t="shared" si="1"/>
        <v>51</v>
      </c>
      <c r="H2747" s="23" t="s">
        <v>26</v>
      </c>
      <c r="I2747" s="24" t="s">
        <v>33</v>
      </c>
      <c r="J2747" s="19" t="s">
        <v>328</v>
      </c>
      <c r="K2747" s="14">
        <v>19.0</v>
      </c>
      <c r="L2747" s="14">
        <v>5.0</v>
      </c>
      <c r="M2747" s="25"/>
      <c r="N2747" s="26" t="s">
        <v>21</v>
      </c>
      <c r="O2747" s="7"/>
      <c r="P2747" s="7"/>
      <c r="Q2747" s="7"/>
      <c r="R2747" s="7"/>
      <c r="S2747" s="7"/>
      <c r="T2747" s="7"/>
      <c r="U2747" s="7"/>
      <c r="V2747" s="7"/>
      <c r="W2747" s="7"/>
      <c r="X2747" s="7"/>
      <c r="Y2747" s="7"/>
    </row>
    <row r="2748">
      <c r="A2748" s="14" t="s">
        <v>9909</v>
      </c>
      <c r="B2748" s="17" t="s">
        <v>11496</v>
      </c>
      <c r="C2748" s="17" t="s">
        <v>9911</v>
      </c>
      <c r="D2748" s="19" t="s">
        <v>2069</v>
      </c>
      <c r="E2748" s="20" t="s">
        <v>104</v>
      </c>
      <c r="F2748" s="21">
        <v>35223.0</v>
      </c>
      <c r="G2748" s="14">
        <f t="shared" si="1"/>
        <v>30</v>
      </c>
      <c r="H2748" s="23" t="s">
        <v>100</v>
      </c>
      <c r="I2748" s="24" t="s">
        <v>33</v>
      </c>
      <c r="J2748" s="19" t="s">
        <v>328</v>
      </c>
      <c r="K2748" s="14">
        <v>19.0</v>
      </c>
      <c r="L2748" s="14">
        <v>0.0</v>
      </c>
      <c r="M2748" s="25"/>
      <c r="N2748" s="26" t="s">
        <v>21</v>
      </c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7"/>
    </row>
    <row r="2749">
      <c r="A2749" s="14" t="s">
        <v>9912</v>
      </c>
      <c r="B2749" s="17" t="s">
        <v>11496</v>
      </c>
      <c r="C2749" s="17" t="s">
        <v>9913</v>
      </c>
      <c r="D2749" s="19" t="s">
        <v>9914</v>
      </c>
      <c r="E2749" s="20" t="s">
        <v>3295</v>
      </c>
      <c r="F2749" s="21">
        <v>38750.0</v>
      </c>
      <c r="G2749" s="14">
        <f t="shared" si="1"/>
        <v>20</v>
      </c>
      <c r="H2749" s="23" t="s">
        <v>100</v>
      </c>
      <c r="I2749" s="24" t="s">
        <v>27</v>
      </c>
      <c r="J2749" s="19" t="s">
        <v>328</v>
      </c>
      <c r="K2749" s="14">
        <v>19.0</v>
      </c>
      <c r="L2749" s="14">
        <v>0.0</v>
      </c>
      <c r="M2749" s="25"/>
      <c r="N2749" s="26" t="s">
        <v>21</v>
      </c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7"/>
    </row>
    <row r="2750">
      <c r="A2750" s="14" t="s">
        <v>9915</v>
      </c>
      <c r="B2750" s="17" t="s">
        <v>9916</v>
      </c>
      <c r="C2750" s="17" t="s">
        <v>9917</v>
      </c>
      <c r="D2750" s="19" t="s">
        <v>8601</v>
      </c>
      <c r="E2750" s="20" t="s">
        <v>67</v>
      </c>
      <c r="F2750" s="21">
        <v>22021.0</v>
      </c>
      <c r="G2750" s="14">
        <f t="shared" si="1"/>
        <v>66</v>
      </c>
      <c r="H2750" s="23" t="s">
        <v>26</v>
      </c>
      <c r="I2750" s="24" t="s">
        <v>33</v>
      </c>
      <c r="J2750" s="19" t="s">
        <v>68</v>
      </c>
      <c r="K2750" s="14">
        <v>34.0</v>
      </c>
      <c r="L2750" s="14">
        <v>0.0</v>
      </c>
      <c r="M2750" s="25"/>
      <c r="N2750" s="26" t="s">
        <v>21</v>
      </c>
      <c r="O2750" s="7"/>
      <c r="P2750" s="7"/>
      <c r="Q2750" s="7"/>
      <c r="R2750" s="7"/>
      <c r="S2750" s="7"/>
      <c r="T2750" s="7"/>
      <c r="U2750" s="7"/>
      <c r="V2750" s="7"/>
      <c r="W2750" s="7"/>
      <c r="X2750" s="7"/>
      <c r="Y2750" s="7"/>
    </row>
    <row r="2751">
      <c r="A2751" s="14" t="s">
        <v>9918</v>
      </c>
      <c r="B2751" s="17" t="s">
        <v>9916</v>
      </c>
      <c r="C2751" s="17" t="s">
        <v>9919</v>
      </c>
      <c r="D2751" s="19" t="s">
        <v>9920</v>
      </c>
      <c r="E2751" s="20" t="s">
        <v>67</v>
      </c>
      <c r="F2751" s="21">
        <v>24612.0</v>
      </c>
      <c r="G2751" s="14">
        <f t="shared" si="1"/>
        <v>59</v>
      </c>
      <c r="H2751" s="23" t="s">
        <v>26</v>
      </c>
      <c r="I2751" s="24" t="s">
        <v>27</v>
      </c>
      <c r="J2751" s="19" t="s">
        <v>68</v>
      </c>
      <c r="K2751" s="14">
        <v>34.0</v>
      </c>
      <c r="L2751" s="14">
        <v>0.0</v>
      </c>
      <c r="M2751" s="25"/>
      <c r="N2751" s="26" t="s">
        <v>21</v>
      </c>
      <c r="O2751" s="7"/>
      <c r="P2751" s="7"/>
      <c r="Q2751" s="7"/>
      <c r="R2751" s="7"/>
      <c r="S2751" s="7"/>
      <c r="T2751" s="7"/>
      <c r="U2751" s="7"/>
      <c r="V2751" s="7"/>
      <c r="W2751" s="7"/>
      <c r="X2751" s="7"/>
      <c r="Y2751" s="7"/>
    </row>
    <row r="2752">
      <c r="A2752" s="14" t="s">
        <v>9921</v>
      </c>
      <c r="B2752" s="17" t="s">
        <v>11516</v>
      </c>
      <c r="C2752" s="17" t="s">
        <v>9922</v>
      </c>
      <c r="D2752" s="19" t="s">
        <v>9923</v>
      </c>
      <c r="E2752" s="20" t="s">
        <v>104</v>
      </c>
      <c r="F2752" s="21">
        <v>38251.0</v>
      </c>
      <c r="G2752" s="14">
        <f t="shared" si="1"/>
        <v>22</v>
      </c>
      <c r="H2752" s="23" t="s">
        <v>100</v>
      </c>
      <c r="I2752" s="24" t="s">
        <v>27</v>
      </c>
      <c r="J2752" s="19" t="s">
        <v>68</v>
      </c>
      <c r="K2752" s="14">
        <v>34.0</v>
      </c>
      <c r="L2752" s="14">
        <v>0.0</v>
      </c>
      <c r="M2752" s="25"/>
      <c r="N2752" s="26" t="s">
        <v>21</v>
      </c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</row>
    <row r="2753">
      <c r="A2753" s="14" t="s">
        <v>9924</v>
      </c>
      <c r="B2753" s="17" t="s">
        <v>9925</v>
      </c>
      <c r="C2753" s="17" t="s">
        <v>9926</v>
      </c>
      <c r="D2753" s="19" t="s">
        <v>9927</v>
      </c>
      <c r="E2753" s="20" t="s">
        <v>104</v>
      </c>
      <c r="F2753" s="21">
        <v>38507.0</v>
      </c>
      <c r="G2753" s="14">
        <f t="shared" si="1"/>
        <v>21</v>
      </c>
      <c r="H2753" s="23" t="s">
        <v>100</v>
      </c>
      <c r="I2753" s="24" t="s">
        <v>27</v>
      </c>
      <c r="J2753" s="19" t="s">
        <v>68</v>
      </c>
      <c r="K2753" s="14">
        <v>31.0</v>
      </c>
      <c r="L2753" s="14">
        <v>0.0</v>
      </c>
      <c r="M2753" s="25"/>
      <c r="N2753" s="26" t="s">
        <v>21</v>
      </c>
      <c r="O2753" s="7"/>
      <c r="P2753" s="7"/>
      <c r="Q2753" s="7"/>
      <c r="R2753" s="7"/>
      <c r="S2753" s="7"/>
      <c r="T2753" s="7"/>
      <c r="U2753" s="7"/>
      <c r="V2753" s="7"/>
      <c r="W2753" s="7"/>
      <c r="X2753" s="7"/>
      <c r="Y2753" s="7"/>
    </row>
    <row r="2754">
      <c r="A2754" s="14" t="s">
        <v>9928</v>
      </c>
      <c r="B2754" s="17" t="s">
        <v>9925</v>
      </c>
      <c r="C2754" s="17" t="s">
        <v>9929</v>
      </c>
      <c r="D2754" s="19" t="s">
        <v>9930</v>
      </c>
      <c r="E2754" s="20" t="s">
        <v>67</v>
      </c>
      <c r="F2754" s="21">
        <v>29922.0</v>
      </c>
      <c r="G2754" s="14">
        <f t="shared" si="1"/>
        <v>44</v>
      </c>
      <c r="H2754" s="23" t="s">
        <v>26</v>
      </c>
      <c r="I2754" s="24" t="s">
        <v>27</v>
      </c>
      <c r="J2754" s="19" t="s">
        <v>68</v>
      </c>
      <c r="K2754" s="14">
        <v>31.0</v>
      </c>
      <c r="L2754" s="14">
        <v>0.0</v>
      </c>
      <c r="M2754" s="25"/>
      <c r="N2754" s="26" t="s">
        <v>21</v>
      </c>
      <c r="O2754" s="7"/>
      <c r="P2754" s="7"/>
      <c r="Q2754" s="7"/>
      <c r="R2754" s="7"/>
      <c r="S2754" s="7"/>
      <c r="T2754" s="7"/>
      <c r="U2754" s="7"/>
      <c r="V2754" s="7"/>
      <c r="W2754" s="7"/>
      <c r="X2754" s="7"/>
      <c r="Y2754" s="7"/>
    </row>
    <row r="2755">
      <c r="A2755" s="14" t="s">
        <v>9931</v>
      </c>
      <c r="B2755" s="17" t="s">
        <v>9925</v>
      </c>
      <c r="C2755" s="17" t="s">
        <v>9932</v>
      </c>
      <c r="D2755" s="19" t="s">
        <v>9933</v>
      </c>
      <c r="E2755" s="20" t="s">
        <v>67</v>
      </c>
      <c r="F2755" s="21">
        <v>26893.0</v>
      </c>
      <c r="G2755" s="14">
        <f t="shared" si="1"/>
        <v>53</v>
      </c>
      <c r="H2755" s="23" t="s">
        <v>26</v>
      </c>
      <c r="I2755" s="24" t="s">
        <v>33</v>
      </c>
      <c r="J2755" s="19" t="s">
        <v>68</v>
      </c>
      <c r="K2755" s="14">
        <v>31.0</v>
      </c>
      <c r="L2755" s="14">
        <v>0.0</v>
      </c>
      <c r="M2755" s="25"/>
      <c r="N2755" s="26" t="s">
        <v>21</v>
      </c>
      <c r="O2755" s="7"/>
      <c r="P2755" s="7"/>
      <c r="Q2755" s="7"/>
      <c r="R2755" s="7"/>
      <c r="S2755" s="7"/>
      <c r="T2755" s="7"/>
      <c r="U2755" s="7"/>
      <c r="V2755" s="7"/>
      <c r="W2755" s="7"/>
      <c r="X2755" s="7"/>
      <c r="Y2755" s="7"/>
    </row>
    <row r="2756">
      <c r="A2756" s="14" t="s">
        <v>9934</v>
      </c>
      <c r="B2756" s="17" t="s">
        <v>9935</v>
      </c>
      <c r="C2756" s="17" t="s">
        <v>9936</v>
      </c>
      <c r="D2756" s="19" t="s">
        <v>9937</v>
      </c>
      <c r="E2756" s="20" t="s">
        <v>654</v>
      </c>
      <c r="F2756" s="27">
        <v>21104.0</v>
      </c>
      <c r="G2756" s="14">
        <f t="shared" si="1"/>
        <v>69</v>
      </c>
      <c r="H2756" s="23" t="s">
        <v>26</v>
      </c>
      <c r="I2756" s="24" t="s">
        <v>33</v>
      </c>
      <c r="J2756" s="19" t="s">
        <v>9938</v>
      </c>
      <c r="K2756" s="14">
        <v>26.0</v>
      </c>
      <c r="L2756" s="14">
        <v>0.0</v>
      </c>
      <c r="M2756" s="25"/>
      <c r="N2756" s="26" t="s">
        <v>21</v>
      </c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</row>
    <row r="2757">
      <c r="A2757" s="14" t="s">
        <v>9939</v>
      </c>
      <c r="B2757" s="17" t="s">
        <v>9940</v>
      </c>
      <c r="C2757" s="17" t="s">
        <v>9941</v>
      </c>
      <c r="D2757" s="19" t="s">
        <v>9942</v>
      </c>
      <c r="E2757" s="20" t="s">
        <v>104</v>
      </c>
      <c r="F2757" s="21">
        <v>32278.0</v>
      </c>
      <c r="G2757" s="14">
        <f t="shared" si="1"/>
        <v>38</v>
      </c>
      <c r="H2757" s="23" t="s">
        <v>26</v>
      </c>
      <c r="I2757" s="24" t="s">
        <v>33</v>
      </c>
      <c r="J2757" s="19" t="s">
        <v>68</v>
      </c>
      <c r="K2757" s="14">
        <v>32.0</v>
      </c>
      <c r="L2757" s="14">
        <v>0.0</v>
      </c>
      <c r="M2757" s="25"/>
      <c r="N2757" s="26" t="s">
        <v>21</v>
      </c>
      <c r="O2757" s="7"/>
      <c r="P2757" s="7"/>
      <c r="Q2757" s="7"/>
      <c r="R2757" s="7"/>
      <c r="S2757" s="7"/>
      <c r="T2757" s="7"/>
      <c r="U2757" s="7"/>
      <c r="V2757" s="7"/>
      <c r="W2757" s="7"/>
      <c r="X2757" s="7"/>
      <c r="Y2757" s="7"/>
    </row>
    <row r="2758">
      <c r="A2758" s="14" t="s">
        <v>9943</v>
      </c>
      <c r="B2758" s="17" t="s">
        <v>9940</v>
      </c>
      <c r="C2758" s="17" t="s">
        <v>9944</v>
      </c>
      <c r="D2758" s="19" t="s">
        <v>9945</v>
      </c>
      <c r="E2758" s="20" t="s">
        <v>104</v>
      </c>
      <c r="F2758" s="21">
        <v>33097.0</v>
      </c>
      <c r="G2758" s="14">
        <f t="shared" si="1"/>
        <v>36</v>
      </c>
      <c r="H2758" s="23" t="s">
        <v>26</v>
      </c>
      <c r="I2758" s="24" t="s">
        <v>27</v>
      </c>
      <c r="J2758" s="19" t="s">
        <v>68</v>
      </c>
      <c r="K2758" s="14">
        <v>32.0</v>
      </c>
      <c r="L2758" s="14">
        <v>0.0</v>
      </c>
      <c r="M2758" s="25"/>
      <c r="N2758" s="26" t="s">
        <v>21</v>
      </c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7"/>
    </row>
    <row r="2759">
      <c r="A2759" s="14" t="s">
        <v>9946</v>
      </c>
      <c r="B2759" s="17" t="s">
        <v>9947</v>
      </c>
      <c r="C2759" s="17" t="s">
        <v>9948</v>
      </c>
      <c r="D2759" s="19" t="s">
        <v>9949</v>
      </c>
      <c r="E2759" s="20" t="s">
        <v>138</v>
      </c>
      <c r="F2759" s="21">
        <v>36364.0</v>
      </c>
      <c r="G2759" s="14">
        <f t="shared" si="1"/>
        <v>27</v>
      </c>
      <c r="H2759" s="23" t="s">
        <v>26</v>
      </c>
      <c r="I2759" s="24" t="s">
        <v>27</v>
      </c>
      <c r="J2759" s="19" t="s">
        <v>282</v>
      </c>
      <c r="K2759" s="14">
        <v>17.0</v>
      </c>
      <c r="L2759" s="14">
        <v>0.0</v>
      </c>
      <c r="M2759" s="25"/>
      <c r="N2759" s="26" t="s">
        <v>21</v>
      </c>
      <c r="O2759" s="7"/>
      <c r="P2759" s="7"/>
      <c r="Q2759" s="7"/>
      <c r="R2759" s="7"/>
      <c r="S2759" s="7"/>
      <c r="T2759" s="7"/>
      <c r="U2759" s="7"/>
      <c r="V2759" s="7"/>
      <c r="W2759" s="7"/>
      <c r="X2759" s="7"/>
      <c r="Y2759" s="7"/>
    </row>
    <row r="2760">
      <c r="A2760" s="14" t="s">
        <v>9950</v>
      </c>
      <c r="B2760" s="17" t="s">
        <v>9947</v>
      </c>
      <c r="C2760" s="17" t="s">
        <v>9951</v>
      </c>
      <c r="D2760" s="19" t="s">
        <v>9952</v>
      </c>
      <c r="E2760" s="20" t="s">
        <v>9953</v>
      </c>
      <c r="F2760" s="21">
        <v>34831.0</v>
      </c>
      <c r="G2760" s="14">
        <f t="shared" si="1"/>
        <v>31</v>
      </c>
      <c r="H2760" s="23" t="s">
        <v>26</v>
      </c>
      <c r="I2760" s="24" t="s">
        <v>33</v>
      </c>
      <c r="J2760" s="19" t="s">
        <v>282</v>
      </c>
      <c r="K2760" s="14">
        <v>17.0</v>
      </c>
      <c r="L2760" s="14">
        <v>0.0</v>
      </c>
      <c r="M2760" s="25"/>
      <c r="N2760" s="26" t="s">
        <v>21</v>
      </c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</row>
    <row r="2761">
      <c r="A2761" s="14" t="s">
        <v>9954</v>
      </c>
      <c r="B2761" s="17" t="s">
        <v>9955</v>
      </c>
      <c r="C2761" s="17" t="s">
        <v>9956</v>
      </c>
      <c r="D2761" s="19" t="s">
        <v>9957</v>
      </c>
      <c r="E2761" s="20" t="s">
        <v>104</v>
      </c>
      <c r="F2761" s="21">
        <v>37888.0</v>
      </c>
      <c r="G2761" s="14">
        <f t="shared" si="1"/>
        <v>23</v>
      </c>
      <c r="H2761" s="23" t="s">
        <v>100</v>
      </c>
      <c r="I2761" s="24" t="s">
        <v>33</v>
      </c>
      <c r="J2761" s="19" t="s">
        <v>53</v>
      </c>
      <c r="K2761" s="14">
        <v>18.0</v>
      </c>
      <c r="L2761" s="14">
        <v>0.0</v>
      </c>
      <c r="M2761" s="25"/>
      <c r="N2761" s="26" t="s">
        <v>21</v>
      </c>
      <c r="O2761" s="7"/>
      <c r="P2761" s="7"/>
      <c r="Q2761" s="7"/>
      <c r="R2761" s="7"/>
      <c r="S2761" s="7"/>
      <c r="T2761" s="7"/>
      <c r="U2761" s="7"/>
      <c r="V2761" s="7"/>
      <c r="W2761" s="7"/>
      <c r="X2761" s="7"/>
      <c r="Y2761" s="7"/>
    </row>
    <row r="2762">
      <c r="A2762" s="14" t="s">
        <v>9958</v>
      </c>
      <c r="B2762" s="17" t="s">
        <v>9955</v>
      </c>
      <c r="C2762" s="17" t="s">
        <v>9959</v>
      </c>
      <c r="D2762" s="19" t="s">
        <v>9960</v>
      </c>
      <c r="E2762" s="20" t="s">
        <v>104</v>
      </c>
      <c r="F2762" s="21">
        <v>37450.0</v>
      </c>
      <c r="G2762" s="14">
        <f t="shared" si="1"/>
        <v>24</v>
      </c>
      <c r="H2762" s="23" t="s">
        <v>100</v>
      </c>
      <c r="I2762" s="24" t="s">
        <v>27</v>
      </c>
      <c r="J2762" s="19" t="s">
        <v>53</v>
      </c>
      <c r="K2762" s="14">
        <v>18.0</v>
      </c>
      <c r="L2762" s="14">
        <v>0.0</v>
      </c>
      <c r="M2762" s="25"/>
      <c r="N2762" s="26" t="s">
        <v>21</v>
      </c>
      <c r="O2762" s="7"/>
      <c r="P2762" s="7"/>
      <c r="Q2762" s="7"/>
      <c r="R2762" s="7"/>
      <c r="S2762" s="7"/>
      <c r="T2762" s="7"/>
      <c r="U2762" s="7"/>
      <c r="V2762" s="7"/>
      <c r="W2762" s="7"/>
      <c r="X2762" s="7"/>
      <c r="Y2762" s="7"/>
    </row>
    <row r="2763">
      <c r="A2763" s="14" t="s">
        <v>9961</v>
      </c>
      <c r="B2763" s="17" t="s">
        <v>9955</v>
      </c>
      <c r="C2763" s="17" t="s">
        <v>9962</v>
      </c>
      <c r="D2763" s="19" t="s">
        <v>9963</v>
      </c>
      <c r="E2763" s="20" t="s">
        <v>654</v>
      </c>
      <c r="F2763" s="21">
        <v>24563.0</v>
      </c>
      <c r="G2763" s="14">
        <f t="shared" si="1"/>
        <v>59</v>
      </c>
      <c r="H2763" s="23" t="s">
        <v>26</v>
      </c>
      <c r="I2763" s="24" t="s">
        <v>33</v>
      </c>
      <c r="J2763" s="19" t="s">
        <v>53</v>
      </c>
      <c r="K2763" s="14">
        <v>18.0</v>
      </c>
      <c r="L2763" s="14">
        <v>0.0</v>
      </c>
      <c r="M2763" s="25"/>
      <c r="N2763" s="26" t="s">
        <v>21</v>
      </c>
      <c r="O2763" s="7"/>
      <c r="P2763" s="7"/>
      <c r="Q2763" s="7"/>
      <c r="R2763" s="7"/>
      <c r="S2763" s="7"/>
      <c r="T2763" s="7"/>
      <c r="U2763" s="7"/>
      <c r="V2763" s="7"/>
      <c r="W2763" s="7"/>
      <c r="X2763" s="7"/>
      <c r="Y2763" s="7"/>
    </row>
    <row r="2764">
      <c r="A2764" s="14" t="s">
        <v>9964</v>
      </c>
      <c r="B2764" s="17" t="s">
        <v>9955</v>
      </c>
      <c r="C2764" s="17" t="s">
        <v>9965</v>
      </c>
      <c r="D2764" s="19" t="s">
        <v>9966</v>
      </c>
      <c r="E2764" s="20" t="s">
        <v>9967</v>
      </c>
      <c r="F2764" s="21">
        <v>26905.0</v>
      </c>
      <c r="G2764" s="14">
        <f t="shared" si="1"/>
        <v>53</v>
      </c>
      <c r="H2764" s="23" t="s">
        <v>26</v>
      </c>
      <c r="I2764" s="24" t="s">
        <v>27</v>
      </c>
      <c r="J2764" s="19" t="s">
        <v>53</v>
      </c>
      <c r="K2764" s="14">
        <v>18.0</v>
      </c>
      <c r="L2764" s="14">
        <v>0.0</v>
      </c>
      <c r="M2764" s="25"/>
      <c r="N2764" s="26" t="s">
        <v>21</v>
      </c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</row>
    <row r="2765">
      <c r="A2765" s="14" t="s">
        <v>9968</v>
      </c>
      <c r="B2765" s="17" t="s">
        <v>9969</v>
      </c>
      <c r="C2765" s="17" t="s">
        <v>9970</v>
      </c>
      <c r="D2765" s="19" t="s">
        <v>9971</v>
      </c>
      <c r="E2765" s="20" t="s">
        <v>1049</v>
      </c>
      <c r="F2765" s="21">
        <v>18412.0</v>
      </c>
      <c r="G2765" s="14">
        <f t="shared" si="1"/>
        <v>76</v>
      </c>
      <c r="H2765" s="23" t="s">
        <v>26</v>
      </c>
      <c r="I2765" s="24" t="s">
        <v>27</v>
      </c>
      <c r="J2765" s="19" t="s">
        <v>53</v>
      </c>
      <c r="K2765" s="14">
        <v>18.0</v>
      </c>
      <c r="L2765" s="14">
        <v>1.0</v>
      </c>
      <c r="M2765" s="25"/>
      <c r="N2765" s="26" t="s">
        <v>21</v>
      </c>
      <c r="O2765" s="7"/>
      <c r="P2765" s="7"/>
      <c r="Q2765" s="7"/>
      <c r="R2765" s="7"/>
      <c r="S2765" s="7"/>
      <c r="T2765" s="7"/>
      <c r="U2765" s="7"/>
      <c r="V2765" s="7"/>
      <c r="W2765" s="7"/>
      <c r="X2765" s="7"/>
      <c r="Y2765" s="7"/>
    </row>
    <row r="2766">
      <c r="A2766" s="14" t="s">
        <v>9972</v>
      </c>
      <c r="B2766" s="17" t="s">
        <v>9973</v>
      </c>
      <c r="C2766" s="17" t="s">
        <v>9974</v>
      </c>
      <c r="D2766" s="19" t="s">
        <v>9975</v>
      </c>
      <c r="E2766" s="20" t="s">
        <v>104</v>
      </c>
      <c r="F2766" s="21">
        <v>38076.0</v>
      </c>
      <c r="G2766" s="14">
        <f t="shared" si="1"/>
        <v>22</v>
      </c>
      <c r="H2766" s="23" t="s">
        <v>100</v>
      </c>
      <c r="I2766" s="24" t="s">
        <v>33</v>
      </c>
      <c r="J2766" s="19" t="s">
        <v>53</v>
      </c>
      <c r="K2766" s="14">
        <v>3.0</v>
      </c>
      <c r="L2766" s="14">
        <v>0.0</v>
      </c>
      <c r="M2766" s="25"/>
      <c r="N2766" s="26" t="s">
        <v>21</v>
      </c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7"/>
    </row>
    <row r="2767">
      <c r="A2767" s="14" t="s">
        <v>9976</v>
      </c>
      <c r="B2767" s="17" t="s">
        <v>9973</v>
      </c>
      <c r="C2767" s="17" t="s">
        <v>9977</v>
      </c>
      <c r="D2767" s="19" t="s">
        <v>9978</v>
      </c>
      <c r="E2767" s="20" t="s">
        <v>434</v>
      </c>
      <c r="F2767" s="21">
        <v>27659.0</v>
      </c>
      <c r="G2767" s="14">
        <f t="shared" si="1"/>
        <v>51</v>
      </c>
      <c r="H2767" s="23" t="s">
        <v>26</v>
      </c>
      <c r="I2767" s="24" t="s">
        <v>27</v>
      </c>
      <c r="J2767" s="19" t="s">
        <v>53</v>
      </c>
      <c r="K2767" s="14">
        <v>3.0</v>
      </c>
      <c r="L2767" s="14">
        <v>0.0</v>
      </c>
      <c r="M2767" s="25"/>
      <c r="N2767" s="26" t="s">
        <v>21</v>
      </c>
      <c r="O2767" s="7"/>
      <c r="P2767" s="7"/>
      <c r="Q2767" s="7"/>
      <c r="R2767" s="7"/>
      <c r="S2767" s="7"/>
      <c r="T2767" s="7"/>
      <c r="U2767" s="7"/>
      <c r="V2767" s="7"/>
      <c r="W2767" s="7"/>
      <c r="X2767" s="7"/>
      <c r="Y2767" s="7"/>
    </row>
    <row r="2768">
      <c r="A2768" s="14" t="s">
        <v>9979</v>
      </c>
      <c r="B2768" s="17" t="s">
        <v>9973</v>
      </c>
      <c r="C2768" s="38" t="s">
        <v>11586</v>
      </c>
      <c r="D2768" s="19" t="s">
        <v>2429</v>
      </c>
      <c r="E2768" s="20" t="s">
        <v>434</v>
      </c>
      <c r="F2768" s="21">
        <v>27301.0</v>
      </c>
      <c r="G2768" s="14">
        <f t="shared" si="1"/>
        <v>52</v>
      </c>
      <c r="H2768" s="23" t="s">
        <v>26</v>
      </c>
      <c r="I2768" s="24" t="s">
        <v>33</v>
      </c>
      <c r="J2768" s="19" t="s">
        <v>53</v>
      </c>
      <c r="K2768" s="14">
        <v>3.0</v>
      </c>
      <c r="L2768" s="14">
        <v>0.0</v>
      </c>
      <c r="M2768" s="25"/>
      <c r="N2768" s="26" t="s">
        <v>21</v>
      </c>
      <c r="O2768" s="7"/>
      <c r="P2768" s="7"/>
      <c r="Q2768" s="7"/>
      <c r="R2768" s="7"/>
      <c r="S2768" s="7"/>
      <c r="T2768" s="7"/>
      <c r="U2768" s="7"/>
      <c r="V2768" s="7"/>
      <c r="W2768" s="7"/>
      <c r="X2768" s="7"/>
      <c r="Y2768" s="7"/>
    </row>
    <row r="2769">
      <c r="A2769" s="14" t="s">
        <v>9981</v>
      </c>
      <c r="B2769" s="17" t="s">
        <v>9982</v>
      </c>
      <c r="C2769" s="17" t="s">
        <v>9983</v>
      </c>
      <c r="D2769" s="19" t="s">
        <v>9397</v>
      </c>
      <c r="E2769" s="20" t="s">
        <v>290</v>
      </c>
      <c r="F2769" s="21">
        <v>23184.0</v>
      </c>
      <c r="G2769" s="14">
        <f t="shared" si="1"/>
        <v>63</v>
      </c>
      <c r="H2769" s="23" t="s">
        <v>27</v>
      </c>
      <c r="I2769" s="24" t="s">
        <v>33</v>
      </c>
      <c r="J2769" s="19" t="s">
        <v>206</v>
      </c>
      <c r="K2769" s="14">
        <v>1.0</v>
      </c>
      <c r="L2769" s="14">
        <v>0.0</v>
      </c>
      <c r="M2769" s="25"/>
      <c r="N2769" s="26" t="s">
        <v>21</v>
      </c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7"/>
    </row>
    <row r="2770">
      <c r="A2770" s="14" t="s">
        <v>9984</v>
      </c>
      <c r="B2770" s="17" t="s">
        <v>9985</v>
      </c>
      <c r="C2770" s="17" t="s">
        <v>9986</v>
      </c>
      <c r="D2770" s="19" t="s">
        <v>9987</v>
      </c>
      <c r="E2770" s="20" t="s">
        <v>2079</v>
      </c>
      <c r="F2770" s="21">
        <v>34051.0</v>
      </c>
      <c r="G2770" s="14">
        <f t="shared" si="1"/>
        <v>33</v>
      </c>
      <c r="H2770" s="23" t="s">
        <v>26</v>
      </c>
      <c r="I2770" s="24" t="s">
        <v>27</v>
      </c>
      <c r="J2770" s="19" t="s">
        <v>2196</v>
      </c>
      <c r="K2770" s="14">
        <v>17.0</v>
      </c>
      <c r="L2770" s="14">
        <v>0.0</v>
      </c>
      <c r="M2770" s="25"/>
      <c r="N2770" s="26" t="s">
        <v>21</v>
      </c>
      <c r="O2770" s="7"/>
      <c r="P2770" s="7"/>
      <c r="Q2770" s="7"/>
      <c r="R2770" s="7"/>
      <c r="S2770" s="7"/>
      <c r="T2770" s="7"/>
      <c r="U2770" s="7"/>
      <c r="V2770" s="7"/>
      <c r="W2770" s="7"/>
      <c r="X2770" s="7"/>
      <c r="Y2770" s="7"/>
    </row>
    <row r="2771">
      <c r="A2771" s="14" t="s">
        <v>9988</v>
      </c>
      <c r="B2771" s="17" t="s">
        <v>9989</v>
      </c>
      <c r="C2771" s="17" t="s">
        <v>9990</v>
      </c>
      <c r="D2771" s="19" t="s">
        <v>9991</v>
      </c>
      <c r="E2771" s="20" t="s">
        <v>104</v>
      </c>
      <c r="F2771" s="21">
        <v>29811.0</v>
      </c>
      <c r="G2771" s="14">
        <f t="shared" si="1"/>
        <v>45</v>
      </c>
      <c r="H2771" s="23" t="s">
        <v>26</v>
      </c>
      <c r="I2771" s="24" t="s">
        <v>27</v>
      </c>
      <c r="J2771" s="19" t="s">
        <v>53</v>
      </c>
      <c r="K2771" s="14">
        <v>15.0</v>
      </c>
      <c r="L2771" s="14">
        <v>0.0</v>
      </c>
      <c r="M2771" s="25"/>
      <c r="N2771" s="26" t="s">
        <v>21</v>
      </c>
      <c r="O2771" s="7"/>
      <c r="P2771" s="7"/>
      <c r="Q2771" s="7"/>
      <c r="R2771" s="7"/>
      <c r="S2771" s="7"/>
      <c r="T2771" s="7"/>
      <c r="U2771" s="7"/>
      <c r="V2771" s="7"/>
      <c r="W2771" s="7"/>
      <c r="X2771" s="7"/>
      <c r="Y2771" s="7"/>
    </row>
    <row r="2772">
      <c r="A2772" s="14" t="s">
        <v>9992</v>
      </c>
      <c r="B2772" s="17" t="s">
        <v>9989</v>
      </c>
      <c r="C2772" s="17" t="s">
        <v>9993</v>
      </c>
      <c r="D2772" s="19" t="s">
        <v>9994</v>
      </c>
      <c r="E2772" s="20" t="s">
        <v>176</v>
      </c>
      <c r="F2772" s="21">
        <v>27988.0</v>
      </c>
      <c r="G2772" s="14">
        <f t="shared" si="1"/>
        <v>50</v>
      </c>
      <c r="H2772" s="23" t="s">
        <v>26</v>
      </c>
      <c r="I2772" s="24" t="s">
        <v>33</v>
      </c>
      <c r="J2772" s="19" t="s">
        <v>53</v>
      </c>
      <c r="K2772" s="14">
        <v>15.0</v>
      </c>
      <c r="L2772" s="14">
        <v>0.0</v>
      </c>
      <c r="M2772" s="25"/>
      <c r="N2772" s="26" t="s">
        <v>21</v>
      </c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</row>
    <row r="2773">
      <c r="A2773" s="14" t="s">
        <v>9995</v>
      </c>
      <c r="B2773" s="17" t="s">
        <v>9989</v>
      </c>
      <c r="C2773" s="17" t="s">
        <v>9996</v>
      </c>
      <c r="D2773" s="19" t="s">
        <v>9997</v>
      </c>
      <c r="E2773" s="20" t="s">
        <v>195</v>
      </c>
      <c r="F2773" s="21">
        <v>38766.0</v>
      </c>
      <c r="G2773" s="14">
        <f t="shared" si="1"/>
        <v>20</v>
      </c>
      <c r="H2773" s="23" t="s">
        <v>100</v>
      </c>
      <c r="I2773" s="24" t="s">
        <v>33</v>
      </c>
      <c r="J2773" s="19" t="s">
        <v>53</v>
      </c>
      <c r="K2773" s="14">
        <v>15.0</v>
      </c>
      <c r="L2773" s="14">
        <v>0.0</v>
      </c>
      <c r="M2773" s="25"/>
      <c r="N2773" s="26" t="s">
        <v>21</v>
      </c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7"/>
    </row>
    <row r="2774">
      <c r="A2774" s="14" t="s">
        <v>9998</v>
      </c>
      <c r="B2774" s="17" t="s">
        <v>9989</v>
      </c>
      <c r="C2774" s="17" t="s">
        <v>9999</v>
      </c>
      <c r="D2774" s="19" t="s">
        <v>10000</v>
      </c>
      <c r="E2774" s="20" t="s">
        <v>195</v>
      </c>
      <c r="F2774" s="21">
        <v>37873.0</v>
      </c>
      <c r="G2774" s="14">
        <f t="shared" si="1"/>
        <v>23</v>
      </c>
      <c r="H2774" s="23" t="s">
        <v>100</v>
      </c>
      <c r="I2774" s="24" t="s">
        <v>33</v>
      </c>
      <c r="J2774" s="19" t="s">
        <v>53</v>
      </c>
      <c r="K2774" s="14">
        <v>15.0</v>
      </c>
      <c r="L2774" s="14">
        <v>0.0</v>
      </c>
      <c r="M2774" s="25"/>
      <c r="N2774" s="26" t="s">
        <v>21</v>
      </c>
      <c r="O2774" s="7"/>
      <c r="P2774" s="7"/>
      <c r="Q2774" s="7"/>
      <c r="R2774" s="7"/>
      <c r="S2774" s="7"/>
      <c r="T2774" s="7"/>
      <c r="U2774" s="7"/>
      <c r="V2774" s="7"/>
      <c r="W2774" s="7"/>
      <c r="X2774" s="7"/>
      <c r="Y2774" s="7"/>
    </row>
    <row r="2775">
      <c r="A2775" s="14" t="s">
        <v>10001</v>
      </c>
      <c r="B2775" s="17" t="s">
        <v>10002</v>
      </c>
      <c r="C2775" s="17" t="s">
        <v>10003</v>
      </c>
      <c r="D2775" s="19" t="s">
        <v>10004</v>
      </c>
      <c r="E2775" s="20" t="s">
        <v>544</v>
      </c>
      <c r="F2775" s="21">
        <v>24972.0</v>
      </c>
      <c r="G2775" s="14">
        <f t="shared" si="1"/>
        <v>58</v>
      </c>
      <c r="H2775" s="23" t="s">
        <v>26</v>
      </c>
      <c r="I2775" s="24" t="s">
        <v>33</v>
      </c>
      <c r="J2775" s="19" t="s">
        <v>58</v>
      </c>
      <c r="K2775" s="14">
        <v>7.0</v>
      </c>
      <c r="L2775" s="14">
        <v>0.0</v>
      </c>
      <c r="M2775" s="25"/>
      <c r="N2775" s="26" t="s">
        <v>21</v>
      </c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7"/>
    </row>
    <row r="2776">
      <c r="A2776" s="14" t="s">
        <v>10005</v>
      </c>
      <c r="B2776" s="17" t="s">
        <v>10002</v>
      </c>
      <c r="C2776" s="17" t="s">
        <v>10006</v>
      </c>
      <c r="D2776" s="19" t="s">
        <v>10007</v>
      </c>
      <c r="E2776" s="20" t="s">
        <v>1870</v>
      </c>
      <c r="F2776" s="21">
        <v>38358.0</v>
      </c>
      <c r="G2776" s="14">
        <f t="shared" si="1"/>
        <v>21</v>
      </c>
      <c r="H2776" s="23" t="s">
        <v>100</v>
      </c>
      <c r="I2776" s="24" t="s">
        <v>27</v>
      </c>
      <c r="J2776" s="19" t="s">
        <v>58</v>
      </c>
      <c r="K2776" s="14">
        <v>7.0</v>
      </c>
      <c r="L2776" s="14">
        <v>0.0</v>
      </c>
      <c r="M2776" s="25"/>
      <c r="N2776" s="26" t="s">
        <v>21</v>
      </c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7"/>
    </row>
    <row r="2777">
      <c r="A2777" s="14" t="s">
        <v>10008</v>
      </c>
      <c r="B2777" s="17" t="s">
        <v>10002</v>
      </c>
      <c r="C2777" s="17" t="s">
        <v>10009</v>
      </c>
      <c r="D2777" s="19" t="s">
        <v>10010</v>
      </c>
      <c r="E2777" s="20" t="s">
        <v>3552</v>
      </c>
      <c r="F2777" s="21">
        <v>25734.0</v>
      </c>
      <c r="G2777" s="14">
        <f t="shared" si="1"/>
        <v>56</v>
      </c>
      <c r="H2777" s="23" t="s">
        <v>26</v>
      </c>
      <c r="I2777" s="24" t="s">
        <v>27</v>
      </c>
      <c r="J2777" s="19" t="s">
        <v>58</v>
      </c>
      <c r="K2777" s="14">
        <v>7.0</v>
      </c>
      <c r="L2777" s="14">
        <v>0.0</v>
      </c>
      <c r="M2777" s="25"/>
      <c r="N2777" s="26" t="s">
        <v>21</v>
      </c>
      <c r="O2777" s="7"/>
      <c r="P2777" s="7"/>
      <c r="Q2777" s="7"/>
      <c r="R2777" s="7"/>
      <c r="S2777" s="7"/>
      <c r="T2777" s="7"/>
      <c r="U2777" s="7"/>
      <c r="V2777" s="7"/>
      <c r="W2777" s="7"/>
      <c r="X2777" s="7"/>
      <c r="Y2777" s="7"/>
    </row>
    <row r="2778">
      <c r="A2778" s="14" t="s">
        <v>10011</v>
      </c>
      <c r="B2778" s="17" t="s">
        <v>10012</v>
      </c>
      <c r="C2778" s="17" t="s">
        <v>10013</v>
      </c>
      <c r="D2778" s="19" t="s">
        <v>10014</v>
      </c>
      <c r="E2778" s="20" t="s">
        <v>10015</v>
      </c>
      <c r="F2778" s="21">
        <v>39129.0</v>
      </c>
      <c r="G2778" s="14">
        <f t="shared" si="1"/>
        <v>19</v>
      </c>
      <c r="H2778" s="23" t="s">
        <v>100</v>
      </c>
      <c r="I2778" s="24" t="s">
        <v>33</v>
      </c>
      <c r="J2778" s="19" t="s">
        <v>3387</v>
      </c>
      <c r="K2778" s="14">
        <v>7.0</v>
      </c>
      <c r="L2778" s="14">
        <v>5.0</v>
      </c>
      <c r="M2778" s="25"/>
      <c r="N2778" s="26" t="s">
        <v>21</v>
      </c>
      <c r="O2778" s="7"/>
      <c r="P2778" s="7"/>
      <c r="Q2778" s="7"/>
      <c r="R2778" s="7"/>
      <c r="S2778" s="7"/>
      <c r="T2778" s="7"/>
      <c r="U2778" s="7"/>
      <c r="V2778" s="7"/>
      <c r="W2778" s="7"/>
      <c r="X2778" s="7"/>
      <c r="Y2778" s="7"/>
    </row>
    <row r="2779">
      <c r="A2779" s="14" t="s">
        <v>10016</v>
      </c>
      <c r="B2779" s="17" t="s">
        <v>10012</v>
      </c>
      <c r="C2779" s="17" t="s">
        <v>10017</v>
      </c>
      <c r="D2779" s="19" t="s">
        <v>9601</v>
      </c>
      <c r="E2779" s="20" t="s">
        <v>187</v>
      </c>
      <c r="F2779" s="21">
        <v>28987.0</v>
      </c>
      <c r="G2779" s="14">
        <f t="shared" si="1"/>
        <v>47</v>
      </c>
      <c r="H2779" s="23" t="s">
        <v>26</v>
      </c>
      <c r="I2779" s="24" t="s">
        <v>27</v>
      </c>
      <c r="J2779" s="19" t="s">
        <v>3387</v>
      </c>
      <c r="K2779" s="14">
        <v>7.0</v>
      </c>
      <c r="L2779" s="14">
        <v>5.0</v>
      </c>
      <c r="M2779" s="25"/>
      <c r="N2779" s="26" t="s">
        <v>21</v>
      </c>
      <c r="O2779" s="7"/>
      <c r="P2779" s="7"/>
      <c r="Q2779" s="7"/>
      <c r="R2779" s="7"/>
      <c r="S2779" s="7"/>
      <c r="T2779" s="7"/>
      <c r="U2779" s="7"/>
      <c r="V2779" s="7"/>
      <c r="W2779" s="7"/>
      <c r="X2779" s="7"/>
      <c r="Y2779" s="7"/>
    </row>
    <row r="2780">
      <c r="A2780" s="14" t="s">
        <v>10018</v>
      </c>
      <c r="B2780" s="17" t="s">
        <v>10012</v>
      </c>
      <c r="C2780" s="17" t="s">
        <v>10019</v>
      </c>
      <c r="D2780" s="19" t="s">
        <v>10020</v>
      </c>
      <c r="E2780" s="20" t="s">
        <v>10015</v>
      </c>
      <c r="F2780" s="27">
        <v>26991.0</v>
      </c>
      <c r="G2780" s="14">
        <f t="shared" si="1"/>
        <v>52</v>
      </c>
      <c r="H2780" s="23" t="s">
        <v>26</v>
      </c>
      <c r="I2780" s="24" t="s">
        <v>33</v>
      </c>
      <c r="J2780" s="19" t="s">
        <v>3387</v>
      </c>
      <c r="K2780" s="14">
        <v>7.0</v>
      </c>
      <c r="L2780" s="14">
        <v>5.0</v>
      </c>
      <c r="M2780" s="25"/>
      <c r="N2780" s="26" t="s">
        <v>21</v>
      </c>
      <c r="O2780" s="7"/>
      <c r="P2780" s="7"/>
      <c r="Q2780" s="7"/>
      <c r="R2780" s="7"/>
      <c r="S2780" s="7"/>
      <c r="T2780" s="7"/>
      <c r="U2780" s="7"/>
      <c r="V2780" s="7"/>
      <c r="W2780" s="7"/>
      <c r="X2780" s="7"/>
      <c r="Y2780" s="7"/>
    </row>
    <row r="2781">
      <c r="A2781" s="14" t="s">
        <v>10021</v>
      </c>
      <c r="B2781" s="17" t="s">
        <v>10022</v>
      </c>
      <c r="C2781" s="17" t="s">
        <v>10023</v>
      </c>
      <c r="D2781" s="19" t="s">
        <v>10024</v>
      </c>
      <c r="E2781" s="20" t="s">
        <v>53</v>
      </c>
      <c r="F2781" s="21">
        <v>37172.0</v>
      </c>
      <c r="G2781" s="14">
        <f t="shared" si="1"/>
        <v>25</v>
      </c>
      <c r="H2781" s="23" t="s">
        <v>100</v>
      </c>
      <c r="I2781" s="24" t="s">
        <v>27</v>
      </c>
      <c r="J2781" s="19" t="s">
        <v>58</v>
      </c>
      <c r="K2781" s="14">
        <v>6.0</v>
      </c>
      <c r="L2781" s="14">
        <v>0.0</v>
      </c>
      <c r="M2781" s="25"/>
      <c r="N2781" s="26" t="s">
        <v>21</v>
      </c>
      <c r="O2781" s="7"/>
      <c r="P2781" s="7"/>
      <c r="Q2781" s="7"/>
      <c r="R2781" s="7"/>
      <c r="S2781" s="7"/>
      <c r="T2781" s="7"/>
      <c r="U2781" s="7"/>
      <c r="V2781" s="7"/>
      <c r="W2781" s="7"/>
      <c r="X2781" s="7"/>
      <c r="Y2781" s="7"/>
    </row>
    <row r="2782">
      <c r="A2782" s="14" t="s">
        <v>10025</v>
      </c>
      <c r="B2782" s="17" t="s">
        <v>10022</v>
      </c>
      <c r="C2782" s="17" t="s">
        <v>10026</v>
      </c>
      <c r="D2782" s="19" t="s">
        <v>10027</v>
      </c>
      <c r="E2782" s="20" t="s">
        <v>104</v>
      </c>
      <c r="F2782" s="21">
        <v>29389.0</v>
      </c>
      <c r="G2782" s="14">
        <f t="shared" si="1"/>
        <v>46</v>
      </c>
      <c r="H2782" s="23" t="s">
        <v>26</v>
      </c>
      <c r="I2782" s="24" t="s">
        <v>27</v>
      </c>
      <c r="J2782" s="19" t="s">
        <v>58</v>
      </c>
      <c r="K2782" s="14">
        <v>6.0</v>
      </c>
      <c r="L2782" s="14">
        <v>0.0</v>
      </c>
      <c r="M2782" s="25"/>
      <c r="N2782" s="26" t="s">
        <v>21</v>
      </c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7"/>
    </row>
    <row r="2783">
      <c r="A2783" s="14" t="s">
        <v>10028</v>
      </c>
      <c r="B2783" s="17" t="s">
        <v>10022</v>
      </c>
      <c r="C2783" s="17" t="s">
        <v>10029</v>
      </c>
      <c r="D2783" s="19" t="s">
        <v>10030</v>
      </c>
      <c r="E2783" s="20" t="s">
        <v>5389</v>
      </c>
      <c r="F2783" s="21">
        <v>28745.0</v>
      </c>
      <c r="G2783" s="14">
        <f t="shared" si="1"/>
        <v>48</v>
      </c>
      <c r="H2783" s="23" t="s">
        <v>26</v>
      </c>
      <c r="I2783" s="24" t="s">
        <v>33</v>
      </c>
      <c r="J2783" s="19" t="s">
        <v>58</v>
      </c>
      <c r="K2783" s="14">
        <v>6.0</v>
      </c>
      <c r="L2783" s="14">
        <v>0.0</v>
      </c>
      <c r="M2783" s="25"/>
      <c r="N2783" s="26" t="s">
        <v>21</v>
      </c>
      <c r="O2783" s="7"/>
      <c r="P2783" s="7"/>
      <c r="Q2783" s="7"/>
      <c r="R2783" s="7"/>
      <c r="S2783" s="7"/>
      <c r="T2783" s="7"/>
      <c r="U2783" s="7"/>
      <c r="V2783" s="7"/>
      <c r="W2783" s="7"/>
      <c r="X2783" s="7"/>
      <c r="Y2783" s="7"/>
    </row>
    <row r="2784">
      <c r="A2784" s="14" t="s">
        <v>10031</v>
      </c>
      <c r="B2784" s="17" t="s">
        <v>10032</v>
      </c>
      <c r="C2784" s="17" t="s">
        <v>10033</v>
      </c>
      <c r="D2784" s="19" t="s">
        <v>10034</v>
      </c>
      <c r="E2784" s="20" t="s">
        <v>632</v>
      </c>
      <c r="F2784" s="21">
        <v>26820.0</v>
      </c>
      <c r="G2784" s="14">
        <f t="shared" si="1"/>
        <v>53</v>
      </c>
      <c r="H2784" s="23" t="s">
        <v>26</v>
      </c>
      <c r="I2784" s="24" t="s">
        <v>27</v>
      </c>
      <c r="J2784" s="19" t="s">
        <v>206</v>
      </c>
      <c r="K2784" s="14">
        <v>3.0</v>
      </c>
      <c r="L2784" s="14">
        <v>0.0</v>
      </c>
      <c r="M2784" s="25"/>
      <c r="N2784" s="26" t="s">
        <v>21</v>
      </c>
      <c r="O2784" s="7"/>
      <c r="P2784" s="7"/>
      <c r="Q2784" s="7"/>
      <c r="R2784" s="7"/>
      <c r="S2784" s="7"/>
      <c r="T2784" s="7"/>
      <c r="U2784" s="7"/>
      <c r="V2784" s="7"/>
      <c r="W2784" s="7"/>
      <c r="X2784" s="7"/>
      <c r="Y2784" s="7"/>
    </row>
    <row r="2785">
      <c r="A2785" s="14" t="s">
        <v>10035</v>
      </c>
      <c r="B2785" s="17" t="s">
        <v>10032</v>
      </c>
      <c r="C2785" s="17" t="s">
        <v>10036</v>
      </c>
      <c r="D2785" s="19" t="s">
        <v>10037</v>
      </c>
      <c r="E2785" s="20" t="s">
        <v>880</v>
      </c>
      <c r="F2785" s="21">
        <v>25715.0</v>
      </c>
      <c r="G2785" s="14">
        <f t="shared" si="1"/>
        <v>56</v>
      </c>
      <c r="H2785" s="23" t="s">
        <v>26</v>
      </c>
      <c r="I2785" s="24" t="s">
        <v>33</v>
      </c>
      <c r="J2785" s="19" t="s">
        <v>206</v>
      </c>
      <c r="K2785" s="14">
        <v>3.0</v>
      </c>
      <c r="L2785" s="14">
        <v>0.0</v>
      </c>
      <c r="M2785" s="25"/>
      <c r="N2785" s="26" t="s">
        <v>21</v>
      </c>
      <c r="O2785" s="7"/>
      <c r="P2785" s="7"/>
      <c r="Q2785" s="7"/>
      <c r="R2785" s="7"/>
      <c r="S2785" s="7"/>
      <c r="T2785" s="7"/>
      <c r="U2785" s="7"/>
      <c r="V2785" s="7"/>
      <c r="W2785" s="7"/>
      <c r="X2785" s="7"/>
      <c r="Y2785" s="7"/>
    </row>
    <row r="2786">
      <c r="A2786" s="14" t="s">
        <v>10038</v>
      </c>
      <c r="B2786" s="17" t="s">
        <v>10039</v>
      </c>
      <c r="C2786" s="17" t="s">
        <v>10040</v>
      </c>
      <c r="D2786" s="19" t="s">
        <v>10041</v>
      </c>
      <c r="E2786" s="20" t="s">
        <v>112</v>
      </c>
      <c r="F2786" s="27">
        <v>28118.0</v>
      </c>
      <c r="G2786" s="14">
        <f t="shared" si="1"/>
        <v>49</v>
      </c>
      <c r="H2786" s="23" t="s">
        <v>26</v>
      </c>
      <c r="I2786" s="24" t="s">
        <v>33</v>
      </c>
      <c r="J2786" s="19" t="s">
        <v>206</v>
      </c>
      <c r="K2786" s="14">
        <v>9.0</v>
      </c>
      <c r="L2786" s="14">
        <v>0.0</v>
      </c>
      <c r="M2786" s="25"/>
      <c r="N2786" s="26" t="s">
        <v>21</v>
      </c>
      <c r="O2786" s="7"/>
      <c r="P2786" s="7"/>
      <c r="Q2786" s="7"/>
      <c r="R2786" s="7"/>
      <c r="S2786" s="7"/>
      <c r="T2786" s="7"/>
      <c r="U2786" s="7"/>
      <c r="V2786" s="7"/>
      <c r="W2786" s="7"/>
      <c r="X2786" s="7"/>
      <c r="Y2786" s="7"/>
    </row>
    <row r="2787">
      <c r="A2787" s="14" t="s">
        <v>10042</v>
      </c>
      <c r="B2787" s="17" t="s">
        <v>10039</v>
      </c>
      <c r="C2787" s="17" t="s">
        <v>10043</v>
      </c>
      <c r="D2787" s="19" t="s">
        <v>3966</v>
      </c>
      <c r="E2787" s="20" t="s">
        <v>104</v>
      </c>
      <c r="F2787" s="27">
        <v>32477.0</v>
      </c>
      <c r="G2787" s="14">
        <f t="shared" si="1"/>
        <v>37</v>
      </c>
      <c r="H2787" s="23" t="s">
        <v>26</v>
      </c>
      <c r="I2787" s="24" t="s">
        <v>27</v>
      </c>
      <c r="J2787" s="19" t="s">
        <v>206</v>
      </c>
      <c r="K2787" s="14">
        <v>9.0</v>
      </c>
      <c r="L2787" s="14">
        <v>0.0</v>
      </c>
      <c r="M2787" s="25"/>
      <c r="N2787" s="26" t="s">
        <v>21</v>
      </c>
      <c r="O2787" s="7"/>
      <c r="P2787" s="7"/>
      <c r="Q2787" s="7"/>
      <c r="R2787" s="7"/>
      <c r="S2787" s="7"/>
      <c r="T2787" s="7"/>
      <c r="U2787" s="7"/>
      <c r="V2787" s="7"/>
      <c r="W2787" s="7"/>
      <c r="X2787" s="7"/>
      <c r="Y2787" s="7"/>
    </row>
    <row r="2788">
      <c r="A2788" s="14" t="s">
        <v>10044</v>
      </c>
      <c r="B2788" s="17" t="s">
        <v>10045</v>
      </c>
      <c r="C2788" s="17" t="s">
        <v>10046</v>
      </c>
      <c r="D2788" s="19" t="s">
        <v>10047</v>
      </c>
      <c r="E2788" s="20" t="s">
        <v>104</v>
      </c>
      <c r="F2788" s="21">
        <v>38942.0</v>
      </c>
      <c r="G2788" s="14">
        <f t="shared" si="1"/>
        <v>20</v>
      </c>
      <c r="H2788" s="23" t="s">
        <v>100</v>
      </c>
      <c r="I2788" s="24" t="s">
        <v>33</v>
      </c>
      <c r="J2788" s="19" t="s">
        <v>726</v>
      </c>
      <c r="K2788" s="14">
        <v>15.0</v>
      </c>
      <c r="L2788" s="14">
        <v>0.0</v>
      </c>
      <c r="M2788" s="25"/>
      <c r="N2788" s="26" t="s">
        <v>21</v>
      </c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</row>
    <row r="2789">
      <c r="A2789" s="14" t="s">
        <v>10048</v>
      </c>
      <c r="B2789" s="17" t="s">
        <v>10045</v>
      </c>
      <c r="C2789" s="17" t="s">
        <v>10049</v>
      </c>
      <c r="D2789" s="19" t="s">
        <v>3759</v>
      </c>
      <c r="E2789" s="20" t="s">
        <v>104</v>
      </c>
      <c r="F2789" s="21">
        <v>30891.0</v>
      </c>
      <c r="G2789" s="14">
        <f t="shared" si="1"/>
        <v>42</v>
      </c>
      <c r="H2789" s="23" t="s">
        <v>26</v>
      </c>
      <c r="I2789" s="24" t="s">
        <v>27</v>
      </c>
      <c r="J2789" s="19" t="s">
        <v>726</v>
      </c>
      <c r="K2789" s="14">
        <v>15.0</v>
      </c>
      <c r="L2789" s="14">
        <v>0.0</v>
      </c>
      <c r="M2789" s="25"/>
      <c r="N2789" s="26" t="s">
        <v>21</v>
      </c>
      <c r="O2789" s="7"/>
      <c r="P2789" s="7"/>
      <c r="Q2789" s="7"/>
      <c r="R2789" s="7"/>
      <c r="S2789" s="7"/>
      <c r="T2789" s="7"/>
      <c r="U2789" s="7"/>
      <c r="V2789" s="7"/>
      <c r="W2789" s="7"/>
      <c r="X2789" s="7"/>
      <c r="Y2789" s="7"/>
    </row>
    <row r="2790">
      <c r="A2790" s="14" t="s">
        <v>10050</v>
      </c>
      <c r="B2790" s="17" t="s">
        <v>10045</v>
      </c>
      <c r="C2790" s="17" t="s">
        <v>10051</v>
      </c>
      <c r="D2790" s="19" t="s">
        <v>10052</v>
      </c>
      <c r="E2790" s="20" t="s">
        <v>210</v>
      </c>
      <c r="F2790" s="21">
        <v>29759.0</v>
      </c>
      <c r="G2790" s="14">
        <f t="shared" si="1"/>
        <v>45</v>
      </c>
      <c r="H2790" s="23" t="s">
        <v>26</v>
      </c>
      <c r="I2790" s="24" t="s">
        <v>33</v>
      </c>
      <c r="J2790" s="19" t="s">
        <v>726</v>
      </c>
      <c r="K2790" s="14">
        <v>15.0</v>
      </c>
      <c r="L2790" s="14">
        <v>0.0</v>
      </c>
      <c r="M2790" s="25"/>
      <c r="N2790" s="26" t="s">
        <v>21</v>
      </c>
      <c r="O2790" s="7"/>
      <c r="P2790" s="7"/>
      <c r="Q2790" s="7"/>
      <c r="R2790" s="7"/>
      <c r="S2790" s="7"/>
      <c r="T2790" s="7"/>
      <c r="U2790" s="7"/>
      <c r="V2790" s="7"/>
      <c r="W2790" s="7"/>
      <c r="X2790" s="7"/>
      <c r="Y2790" s="7"/>
    </row>
    <row r="2791">
      <c r="A2791" s="14" t="s">
        <v>10053</v>
      </c>
      <c r="B2791" s="17" t="s">
        <v>10054</v>
      </c>
      <c r="C2791" s="17" t="s">
        <v>10055</v>
      </c>
      <c r="D2791" s="19" t="s">
        <v>10056</v>
      </c>
      <c r="E2791" s="20" t="s">
        <v>53</v>
      </c>
      <c r="F2791" s="21">
        <v>38080.0</v>
      </c>
      <c r="G2791" s="14">
        <f t="shared" si="1"/>
        <v>22</v>
      </c>
      <c r="H2791" s="23" t="s">
        <v>100</v>
      </c>
      <c r="I2791" s="24" t="s">
        <v>27</v>
      </c>
      <c r="J2791" s="19" t="s">
        <v>282</v>
      </c>
      <c r="K2791" s="14">
        <v>11.0</v>
      </c>
      <c r="L2791" s="14">
        <v>0.0</v>
      </c>
      <c r="M2791" s="25"/>
      <c r="N2791" s="26" t="s">
        <v>21</v>
      </c>
      <c r="O2791" s="7"/>
      <c r="P2791" s="7"/>
      <c r="Q2791" s="7"/>
      <c r="R2791" s="7"/>
      <c r="S2791" s="7"/>
      <c r="T2791" s="7"/>
      <c r="U2791" s="7"/>
      <c r="V2791" s="7"/>
      <c r="W2791" s="7"/>
      <c r="X2791" s="7"/>
      <c r="Y2791" s="7"/>
    </row>
    <row r="2792">
      <c r="A2792" s="14" t="s">
        <v>10057</v>
      </c>
      <c r="B2792" s="17" t="s">
        <v>10054</v>
      </c>
      <c r="C2792" s="17" t="s">
        <v>10058</v>
      </c>
      <c r="D2792" s="19" t="s">
        <v>6661</v>
      </c>
      <c r="E2792" s="20" t="s">
        <v>53</v>
      </c>
      <c r="F2792" s="21">
        <v>29057.0</v>
      </c>
      <c r="G2792" s="14">
        <f t="shared" si="1"/>
        <v>47</v>
      </c>
      <c r="H2792" s="23" t="s">
        <v>27</v>
      </c>
      <c r="I2792" s="24" t="s">
        <v>27</v>
      </c>
      <c r="J2792" s="19" t="s">
        <v>282</v>
      </c>
      <c r="K2792" s="14">
        <v>11.0</v>
      </c>
      <c r="L2792" s="14">
        <v>0.0</v>
      </c>
      <c r="M2792" s="25"/>
      <c r="N2792" s="26" t="s">
        <v>21</v>
      </c>
      <c r="O2792" s="7"/>
      <c r="P2792" s="7"/>
      <c r="Q2792" s="7"/>
      <c r="R2792" s="7"/>
      <c r="S2792" s="7"/>
      <c r="T2792" s="7"/>
      <c r="U2792" s="7"/>
      <c r="V2792" s="7"/>
      <c r="W2792" s="7"/>
      <c r="X2792" s="7"/>
      <c r="Y2792" s="7"/>
    </row>
    <row r="2793">
      <c r="A2793" s="14" t="s">
        <v>10059</v>
      </c>
      <c r="B2793" s="17" t="s">
        <v>10060</v>
      </c>
      <c r="C2793" s="17" t="s">
        <v>10061</v>
      </c>
      <c r="D2793" s="19" t="s">
        <v>1549</v>
      </c>
      <c r="E2793" s="20" t="s">
        <v>1058</v>
      </c>
      <c r="F2793" s="21">
        <v>23479.0</v>
      </c>
      <c r="G2793" s="14">
        <f t="shared" si="1"/>
        <v>62</v>
      </c>
      <c r="H2793" s="23" t="s">
        <v>26</v>
      </c>
      <c r="I2793" s="24" t="s">
        <v>27</v>
      </c>
      <c r="J2793" s="19" t="s">
        <v>282</v>
      </c>
      <c r="K2793" s="14">
        <v>14.0</v>
      </c>
      <c r="L2793" s="14">
        <v>0.0</v>
      </c>
      <c r="M2793" s="25"/>
      <c r="N2793" s="26" t="s">
        <v>21</v>
      </c>
      <c r="O2793" s="7"/>
      <c r="P2793" s="7"/>
      <c r="Q2793" s="7"/>
      <c r="R2793" s="7"/>
      <c r="S2793" s="7"/>
      <c r="T2793" s="7"/>
      <c r="U2793" s="7"/>
      <c r="V2793" s="7"/>
      <c r="W2793" s="7"/>
      <c r="X2793" s="7"/>
      <c r="Y2793" s="7"/>
    </row>
    <row r="2794">
      <c r="A2794" s="14" t="s">
        <v>10062</v>
      </c>
      <c r="B2794" s="17" t="s">
        <v>10060</v>
      </c>
      <c r="C2794" s="17" t="s">
        <v>10063</v>
      </c>
      <c r="D2794" s="19" t="s">
        <v>10064</v>
      </c>
      <c r="E2794" s="20" t="s">
        <v>1058</v>
      </c>
      <c r="F2794" s="21">
        <v>22809.0</v>
      </c>
      <c r="G2794" s="14">
        <f t="shared" si="1"/>
        <v>64</v>
      </c>
      <c r="H2794" s="23" t="s">
        <v>26</v>
      </c>
      <c r="I2794" s="24" t="s">
        <v>33</v>
      </c>
      <c r="J2794" s="19" t="s">
        <v>282</v>
      </c>
      <c r="K2794" s="14">
        <v>14.0</v>
      </c>
      <c r="L2794" s="14">
        <v>0.0</v>
      </c>
      <c r="M2794" s="25"/>
      <c r="N2794" s="26" t="s">
        <v>21</v>
      </c>
      <c r="O2794" s="7"/>
      <c r="P2794" s="7"/>
      <c r="Q2794" s="7"/>
      <c r="R2794" s="7"/>
      <c r="S2794" s="7"/>
      <c r="T2794" s="7"/>
      <c r="U2794" s="7"/>
      <c r="V2794" s="7"/>
      <c r="W2794" s="7"/>
      <c r="X2794" s="7"/>
      <c r="Y2794" s="7"/>
    </row>
    <row r="2795">
      <c r="A2795" s="14" t="s">
        <v>10065</v>
      </c>
      <c r="B2795" s="17" t="s">
        <v>10066</v>
      </c>
      <c r="C2795" s="17" t="s">
        <v>10067</v>
      </c>
      <c r="D2795" s="19" t="s">
        <v>10068</v>
      </c>
      <c r="E2795" s="20" t="s">
        <v>67</v>
      </c>
      <c r="F2795" s="27">
        <v>26644.0</v>
      </c>
      <c r="G2795" s="14">
        <f t="shared" si="1"/>
        <v>53</v>
      </c>
      <c r="H2795" s="23" t="s">
        <v>26</v>
      </c>
      <c r="I2795" s="24" t="s">
        <v>33</v>
      </c>
      <c r="J2795" s="19" t="s">
        <v>282</v>
      </c>
      <c r="K2795" s="14">
        <v>14.0</v>
      </c>
      <c r="L2795" s="14">
        <v>0.0</v>
      </c>
      <c r="M2795" s="25"/>
      <c r="N2795" s="26" t="s">
        <v>21</v>
      </c>
      <c r="O2795" s="7"/>
      <c r="P2795" s="7"/>
      <c r="Q2795" s="7"/>
      <c r="R2795" s="7"/>
      <c r="S2795" s="7"/>
      <c r="T2795" s="7"/>
      <c r="U2795" s="7"/>
      <c r="V2795" s="7"/>
      <c r="W2795" s="7"/>
      <c r="X2795" s="7"/>
      <c r="Y2795" s="7"/>
    </row>
    <row r="2796">
      <c r="A2796" s="14" t="s">
        <v>10069</v>
      </c>
      <c r="B2796" s="17" t="s">
        <v>10066</v>
      </c>
      <c r="C2796" s="17" t="s">
        <v>10070</v>
      </c>
      <c r="D2796" s="19" t="s">
        <v>10071</v>
      </c>
      <c r="E2796" s="20" t="s">
        <v>104</v>
      </c>
      <c r="F2796" s="21">
        <v>38903.0</v>
      </c>
      <c r="G2796" s="14">
        <f t="shared" si="1"/>
        <v>20</v>
      </c>
      <c r="H2796" s="23" t="s">
        <v>100</v>
      </c>
      <c r="I2796" s="24" t="s">
        <v>33</v>
      </c>
      <c r="J2796" s="19" t="s">
        <v>282</v>
      </c>
      <c r="K2796" s="14">
        <v>14.0</v>
      </c>
      <c r="L2796" s="14">
        <v>0.0</v>
      </c>
      <c r="M2796" s="25"/>
      <c r="N2796" s="26" t="s">
        <v>21</v>
      </c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7"/>
    </row>
    <row r="2797">
      <c r="A2797" s="14" t="s">
        <v>10072</v>
      </c>
      <c r="B2797" s="17" t="s">
        <v>10066</v>
      </c>
      <c r="C2797" s="17" t="s">
        <v>10073</v>
      </c>
      <c r="D2797" s="19" t="s">
        <v>1494</v>
      </c>
      <c r="E2797" s="20" t="s">
        <v>104</v>
      </c>
      <c r="F2797" s="21">
        <v>29063.0</v>
      </c>
      <c r="G2797" s="14">
        <f t="shared" si="1"/>
        <v>47</v>
      </c>
      <c r="H2797" s="23" t="s">
        <v>26</v>
      </c>
      <c r="I2797" s="24" t="s">
        <v>27</v>
      </c>
      <c r="J2797" s="19" t="s">
        <v>3592</v>
      </c>
      <c r="K2797" s="14">
        <v>14.0</v>
      </c>
      <c r="L2797" s="14">
        <v>0.0</v>
      </c>
      <c r="M2797" s="25"/>
      <c r="N2797" s="26" t="s">
        <v>21</v>
      </c>
      <c r="O2797" s="7"/>
      <c r="P2797" s="7"/>
      <c r="Q2797" s="7"/>
      <c r="R2797" s="7"/>
      <c r="S2797" s="7"/>
      <c r="T2797" s="7"/>
      <c r="U2797" s="7"/>
      <c r="V2797" s="7"/>
      <c r="W2797" s="7"/>
      <c r="X2797" s="7"/>
      <c r="Y2797" s="7"/>
    </row>
    <row r="2798">
      <c r="A2798" s="14" t="s">
        <v>10074</v>
      </c>
      <c r="B2798" s="17" t="s">
        <v>10075</v>
      </c>
      <c r="C2798" s="17" t="s">
        <v>10076</v>
      </c>
      <c r="D2798" s="19" t="s">
        <v>10077</v>
      </c>
      <c r="E2798" s="20" t="s">
        <v>1830</v>
      </c>
      <c r="F2798" s="21">
        <v>37155.0</v>
      </c>
      <c r="G2798" s="14">
        <f t="shared" si="1"/>
        <v>25</v>
      </c>
      <c r="H2798" s="23" t="s">
        <v>26</v>
      </c>
      <c r="I2798" s="24" t="s">
        <v>27</v>
      </c>
      <c r="J2798" s="19" t="s">
        <v>58</v>
      </c>
      <c r="K2798" s="14">
        <v>36.0</v>
      </c>
      <c r="L2798" s="14">
        <v>5.0</v>
      </c>
      <c r="M2798" s="25"/>
      <c r="N2798" s="26" t="s">
        <v>21</v>
      </c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7"/>
    </row>
    <row r="2799">
      <c r="A2799" s="14" t="s">
        <v>10078</v>
      </c>
      <c r="B2799" s="17" t="s">
        <v>10075</v>
      </c>
      <c r="C2799" s="17" t="s">
        <v>10079</v>
      </c>
      <c r="D2799" s="19" t="s">
        <v>10080</v>
      </c>
      <c r="E2799" s="20" t="s">
        <v>10081</v>
      </c>
      <c r="F2799" s="27">
        <v>35414.0</v>
      </c>
      <c r="G2799" s="14">
        <f t="shared" si="1"/>
        <v>29</v>
      </c>
      <c r="H2799" s="23" t="s">
        <v>26</v>
      </c>
      <c r="I2799" s="24" t="s">
        <v>33</v>
      </c>
      <c r="J2799" s="19" t="s">
        <v>58</v>
      </c>
      <c r="K2799" s="14">
        <v>36.0</v>
      </c>
      <c r="L2799" s="14">
        <v>5.0</v>
      </c>
      <c r="M2799" s="25"/>
      <c r="N2799" s="26" t="s">
        <v>21</v>
      </c>
      <c r="O2799" s="7"/>
      <c r="P2799" s="7"/>
      <c r="Q2799" s="7"/>
      <c r="R2799" s="7"/>
      <c r="S2799" s="7"/>
      <c r="T2799" s="7"/>
      <c r="U2799" s="7"/>
      <c r="V2799" s="7"/>
      <c r="W2799" s="7"/>
      <c r="X2799" s="7"/>
      <c r="Y2799" s="7"/>
    </row>
    <row r="2800">
      <c r="A2800" s="14" t="s">
        <v>10082</v>
      </c>
      <c r="B2800" s="17" t="s">
        <v>10083</v>
      </c>
      <c r="C2800" s="17" t="s">
        <v>10084</v>
      </c>
      <c r="D2800" s="19" t="s">
        <v>10085</v>
      </c>
      <c r="E2800" s="20" t="s">
        <v>10086</v>
      </c>
      <c r="F2800" s="21">
        <v>21056.0</v>
      </c>
      <c r="G2800" s="14">
        <f t="shared" si="1"/>
        <v>69</v>
      </c>
      <c r="H2800" s="23" t="s">
        <v>27</v>
      </c>
      <c r="I2800" s="24" t="s">
        <v>33</v>
      </c>
      <c r="J2800" s="19" t="s">
        <v>156</v>
      </c>
      <c r="K2800" s="14">
        <v>33.0</v>
      </c>
      <c r="L2800" s="14">
        <v>0.0</v>
      </c>
      <c r="M2800" s="25"/>
      <c r="N2800" s="26" t="s">
        <v>21</v>
      </c>
      <c r="O2800" s="7"/>
      <c r="P2800" s="7"/>
      <c r="Q2800" s="7"/>
      <c r="R2800" s="7"/>
      <c r="S2800" s="7"/>
      <c r="T2800" s="7"/>
      <c r="U2800" s="7"/>
      <c r="V2800" s="7"/>
      <c r="W2800" s="7"/>
      <c r="X2800" s="7"/>
      <c r="Y2800" s="7"/>
    </row>
    <row r="2801">
      <c r="A2801" s="14" t="s">
        <v>10087</v>
      </c>
      <c r="B2801" s="17" t="s">
        <v>10088</v>
      </c>
      <c r="C2801" s="17" t="s">
        <v>10089</v>
      </c>
      <c r="D2801" s="19" t="s">
        <v>10090</v>
      </c>
      <c r="E2801" s="20" t="s">
        <v>53</v>
      </c>
      <c r="F2801" s="21">
        <v>36285.0</v>
      </c>
      <c r="G2801" s="14">
        <f t="shared" si="1"/>
        <v>27</v>
      </c>
      <c r="H2801" s="23" t="s">
        <v>26</v>
      </c>
      <c r="I2801" s="24" t="s">
        <v>27</v>
      </c>
      <c r="J2801" s="19" t="s">
        <v>68</v>
      </c>
      <c r="K2801" s="14">
        <v>32.0</v>
      </c>
      <c r="L2801" s="14">
        <v>0.0</v>
      </c>
      <c r="M2801" s="25"/>
      <c r="N2801" s="26" t="s">
        <v>21</v>
      </c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</row>
    <row r="2802">
      <c r="A2802" s="14" t="s">
        <v>10091</v>
      </c>
      <c r="B2802" s="17" t="s">
        <v>10088</v>
      </c>
      <c r="C2802" s="17" t="s">
        <v>10092</v>
      </c>
      <c r="D2802" s="19" t="s">
        <v>8808</v>
      </c>
      <c r="E2802" s="20" t="s">
        <v>104</v>
      </c>
      <c r="F2802" s="21">
        <v>35577.0</v>
      </c>
      <c r="G2802" s="14">
        <f t="shared" si="1"/>
        <v>29</v>
      </c>
      <c r="H2802" s="23" t="s">
        <v>26</v>
      </c>
      <c r="I2802" s="24" t="s">
        <v>33</v>
      </c>
      <c r="J2802" s="19" t="s">
        <v>68</v>
      </c>
      <c r="K2802" s="14">
        <v>32.0</v>
      </c>
      <c r="L2802" s="14">
        <v>0.0</v>
      </c>
      <c r="M2802" s="25"/>
      <c r="N2802" s="26" t="s">
        <v>21</v>
      </c>
      <c r="O2802" s="7"/>
      <c r="P2802" s="7"/>
      <c r="Q2802" s="7"/>
      <c r="R2802" s="7"/>
      <c r="S2802" s="7"/>
      <c r="T2802" s="7"/>
      <c r="U2802" s="7"/>
      <c r="V2802" s="7"/>
      <c r="W2802" s="7"/>
      <c r="X2802" s="7"/>
      <c r="Y2802" s="7"/>
    </row>
    <row r="2803">
      <c r="A2803" s="14" t="s">
        <v>10093</v>
      </c>
      <c r="B2803" s="17" t="s">
        <v>10094</v>
      </c>
      <c r="C2803" s="17" t="s">
        <v>10095</v>
      </c>
      <c r="D2803" s="19" t="s">
        <v>4450</v>
      </c>
      <c r="E2803" s="20" t="s">
        <v>2014</v>
      </c>
      <c r="F2803" s="21">
        <v>23168.0</v>
      </c>
      <c r="G2803" s="14">
        <f t="shared" si="1"/>
        <v>63</v>
      </c>
      <c r="H2803" s="23" t="s">
        <v>27</v>
      </c>
      <c r="I2803" s="24" t="s">
        <v>33</v>
      </c>
      <c r="J2803" s="19" t="s">
        <v>472</v>
      </c>
      <c r="K2803" s="14">
        <v>19.0</v>
      </c>
      <c r="L2803" s="14">
        <v>0.0</v>
      </c>
      <c r="M2803" s="25"/>
      <c r="N2803" s="26" t="s">
        <v>21</v>
      </c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</row>
    <row r="2804">
      <c r="A2804" s="14" t="s">
        <v>10096</v>
      </c>
      <c r="B2804" s="17" t="s">
        <v>10097</v>
      </c>
      <c r="C2804" s="17" t="s">
        <v>10098</v>
      </c>
      <c r="D2804" s="19" t="s">
        <v>10099</v>
      </c>
      <c r="E2804" s="20" t="s">
        <v>104</v>
      </c>
      <c r="F2804" s="21">
        <v>33292.0</v>
      </c>
      <c r="G2804" s="14">
        <f t="shared" si="1"/>
        <v>35</v>
      </c>
      <c r="H2804" s="23" t="s">
        <v>26</v>
      </c>
      <c r="I2804" s="24" t="s">
        <v>33</v>
      </c>
      <c r="J2804" s="19" t="s">
        <v>68</v>
      </c>
      <c r="K2804" s="14">
        <v>34.0</v>
      </c>
      <c r="L2804" s="14">
        <v>0.0</v>
      </c>
      <c r="M2804" s="25"/>
      <c r="N2804" s="26" t="s">
        <v>21</v>
      </c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7"/>
    </row>
    <row r="2805">
      <c r="A2805" s="14" t="s">
        <v>10100</v>
      </c>
      <c r="B2805" s="17" t="s">
        <v>10097</v>
      </c>
      <c r="C2805" s="17" t="s">
        <v>10101</v>
      </c>
      <c r="D2805" s="19" t="s">
        <v>10102</v>
      </c>
      <c r="E2805" s="20" t="s">
        <v>391</v>
      </c>
      <c r="F2805" s="21">
        <v>34025.0</v>
      </c>
      <c r="G2805" s="14">
        <f t="shared" si="1"/>
        <v>33</v>
      </c>
      <c r="H2805" s="23" t="s">
        <v>26</v>
      </c>
      <c r="I2805" s="24" t="s">
        <v>27</v>
      </c>
      <c r="J2805" s="19" t="s">
        <v>68</v>
      </c>
      <c r="K2805" s="14">
        <v>34.0</v>
      </c>
      <c r="L2805" s="14">
        <v>0.0</v>
      </c>
      <c r="M2805" s="25"/>
      <c r="N2805" s="26" t="s">
        <v>21</v>
      </c>
      <c r="O2805" s="7"/>
      <c r="P2805" s="7"/>
      <c r="Q2805" s="7"/>
      <c r="R2805" s="7"/>
      <c r="S2805" s="7"/>
      <c r="T2805" s="7"/>
      <c r="U2805" s="7"/>
      <c r="V2805" s="7"/>
      <c r="W2805" s="7"/>
      <c r="X2805" s="7"/>
      <c r="Y2805" s="7"/>
    </row>
    <row r="2806">
      <c r="A2806" s="14" t="s">
        <v>10103</v>
      </c>
      <c r="B2806" s="17" t="s">
        <v>10104</v>
      </c>
      <c r="C2806" s="17" t="s">
        <v>10105</v>
      </c>
      <c r="D2806" s="19" t="s">
        <v>10106</v>
      </c>
      <c r="E2806" s="20" t="s">
        <v>10107</v>
      </c>
      <c r="F2806" s="21">
        <v>33749.0</v>
      </c>
      <c r="G2806" s="14">
        <f t="shared" si="1"/>
        <v>34</v>
      </c>
      <c r="H2806" s="23" t="s">
        <v>26</v>
      </c>
      <c r="I2806" s="24" t="s">
        <v>33</v>
      </c>
      <c r="J2806" s="19" t="s">
        <v>58</v>
      </c>
      <c r="K2806" s="14">
        <v>5.0</v>
      </c>
      <c r="L2806" s="14">
        <v>0.0</v>
      </c>
      <c r="M2806" s="25"/>
      <c r="N2806" s="26" t="s">
        <v>21</v>
      </c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</row>
    <row r="2807">
      <c r="A2807" s="14" t="s">
        <v>10108</v>
      </c>
      <c r="B2807" s="17" t="s">
        <v>10104</v>
      </c>
      <c r="C2807" s="17" t="s">
        <v>10109</v>
      </c>
      <c r="D2807" s="19" t="s">
        <v>10110</v>
      </c>
      <c r="E2807" s="20" t="s">
        <v>53</v>
      </c>
      <c r="F2807" s="21">
        <v>35256.0</v>
      </c>
      <c r="G2807" s="14">
        <f t="shared" si="1"/>
        <v>30</v>
      </c>
      <c r="H2807" s="23" t="s">
        <v>26</v>
      </c>
      <c r="I2807" s="24" t="s">
        <v>27</v>
      </c>
      <c r="J2807" s="19" t="s">
        <v>58</v>
      </c>
      <c r="K2807" s="14">
        <v>5.0</v>
      </c>
      <c r="L2807" s="14">
        <v>0.0</v>
      </c>
      <c r="M2807" s="25"/>
      <c r="N2807" s="26" t="s">
        <v>21</v>
      </c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</row>
    <row r="2808">
      <c r="A2808" s="14" t="s">
        <v>10111</v>
      </c>
      <c r="B2808" s="17" t="s">
        <v>10112</v>
      </c>
      <c r="C2808" s="17" t="s">
        <v>10113</v>
      </c>
      <c r="D2808" s="19" t="s">
        <v>10114</v>
      </c>
      <c r="E2808" s="20" t="s">
        <v>434</v>
      </c>
      <c r="F2808" s="27">
        <v>23697.0</v>
      </c>
      <c r="G2808" s="14">
        <f t="shared" si="1"/>
        <v>61</v>
      </c>
      <c r="H2808" s="23" t="s">
        <v>26</v>
      </c>
      <c r="I2808" s="24" t="s">
        <v>27</v>
      </c>
      <c r="J2808" s="19" t="s">
        <v>53</v>
      </c>
      <c r="K2808" s="14">
        <v>9.0</v>
      </c>
      <c r="L2808" s="14">
        <v>0.0</v>
      </c>
      <c r="M2808" s="25"/>
      <c r="N2808" s="26" t="s">
        <v>21</v>
      </c>
      <c r="O2808" s="7"/>
      <c r="P2808" s="7"/>
      <c r="Q2808" s="7"/>
      <c r="R2808" s="7"/>
      <c r="S2808" s="7"/>
      <c r="T2808" s="7"/>
      <c r="U2808" s="7"/>
      <c r="V2808" s="7"/>
      <c r="W2808" s="7"/>
      <c r="X2808" s="7"/>
      <c r="Y2808" s="7"/>
    </row>
    <row r="2809">
      <c r="A2809" s="14" t="s">
        <v>10115</v>
      </c>
      <c r="B2809" s="17" t="s">
        <v>10116</v>
      </c>
      <c r="C2809" s="17" t="s">
        <v>10117</v>
      </c>
      <c r="D2809" s="19" t="s">
        <v>10118</v>
      </c>
      <c r="E2809" s="20" t="s">
        <v>544</v>
      </c>
      <c r="F2809" s="27">
        <v>22992.0</v>
      </c>
      <c r="G2809" s="14">
        <f t="shared" si="1"/>
        <v>63</v>
      </c>
      <c r="H2809" s="23" t="s">
        <v>26</v>
      </c>
      <c r="I2809" s="24" t="s">
        <v>33</v>
      </c>
      <c r="J2809" s="19" t="s">
        <v>58</v>
      </c>
      <c r="K2809" s="14">
        <v>7.0</v>
      </c>
      <c r="L2809" s="14">
        <v>0.0</v>
      </c>
      <c r="M2809" s="25"/>
      <c r="N2809" s="26" t="s">
        <v>21</v>
      </c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</row>
    <row r="2810">
      <c r="A2810" s="14" t="s">
        <v>10119</v>
      </c>
      <c r="B2810" s="17" t="s">
        <v>10116</v>
      </c>
      <c r="C2810" s="17" t="s">
        <v>10120</v>
      </c>
      <c r="D2810" s="19" t="s">
        <v>10121</v>
      </c>
      <c r="E2810" s="20" t="s">
        <v>53</v>
      </c>
      <c r="F2810" s="27">
        <v>38686.0</v>
      </c>
      <c r="G2810" s="14">
        <f t="shared" si="1"/>
        <v>20</v>
      </c>
      <c r="H2810" s="23" t="s">
        <v>100</v>
      </c>
      <c r="I2810" s="24" t="s">
        <v>33</v>
      </c>
      <c r="J2810" s="19" t="s">
        <v>58</v>
      </c>
      <c r="K2810" s="14">
        <v>7.0</v>
      </c>
      <c r="L2810" s="14">
        <v>0.0</v>
      </c>
      <c r="M2810" s="25"/>
      <c r="N2810" s="26" t="s">
        <v>21</v>
      </c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7"/>
    </row>
    <row r="2811">
      <c r="A2811" s="14" t="s">
        <v>10122</v>
      </c>
      <c r="B2811" s="17" t="s">
        <v>10116</v>
      </c>
      <c r="C2811" s="17" t="s">
        <v>10123</v>
      </c>
      <c r="D2811" s="19" t="s">
        <v>10124</v>
      </c>
      <c r="E2811" s="20" t="s">
        <v>544</v>
      </c>
      <c r="F2811" s="21">
        <v>25055.0</v>
      </c>
      <c r="G2811" s="14">
        <f t="shared" si="1"/>
        <v>58</v>
      </c>
      <c r="H2811" s="23" t="s">
        <v>26</v>
      </c>
      <c r="I2811" s="24" t="s">
        <v>27</v>
      </c>
      <c r="J2811" s="19" t="s">
        <v>58</v>
      </c>
      <c r="K2811" s="14">
        <v>7.0</v>
      </c>
      <c r="L2811" s="14">
        <v>0.0</v>
      </c>
      <c r="M2811" s="25"/>
      <c r="N2811" s="26" t="s">
        <v>21</v>
      </c>
      <c r="O2811" s="7"/>
      <c r="P2811" s="7"/>
      <c r="Q2811" s="7"/>
      <c r="R2811" s="7"/>
      <c r="S2811" s="7"/>
      <c r="T2811" s="7"/>
      <c r="U2811" s="7"/>
      <c r="V2811" s="7"/>
      <c r="W2811" s="7"/>
      <c r="X2811" s="7"/>
      <c r="Y2811" s="7"/>
    </row>
    <row r="2812">
      <c r="A2812" s="14" t="s">
        <v>10125</v>
      </c>
      <c r="B2812" s="17" t="s">
        <v>10116</v>
      </c>
      <c r="C2812" s="17" t="s">
        <v>10126</v>
      </c>
      <c r="D2812" s="19" t="s">
        <v>10127</v>
      </c>
      <c r="E2812" s="20" t="s">
        <v>104</v>
      </c>
      <c r="F2812" s="21">
        <v>37005.0</v>
      </c>
      <c r="G2812" s="14">
        <f t="shared" si="1"/>
        <v>25</v>
      </c>
      <c r="H2812" s="23" t="s">
        <v>100</v>
      </c>
      <c r="I2812" s="24" t="s">
        <v>33</v>
      </c>
      <c r="J2812" s="19" t="s">
        <v>58</v>
      </c>
      <c r="K2812" s="14">
        <v>7.0</v>
      </c>
      <c r="L2812" s="14">
        <v>0.0</v>
      </c>
      <c r="M2812" s="25"/>
      <c r="N2812" s="26" t="s">
        <v>21</v>
      </c>
      <c r="O2812" s="7"/>
      <c r="P2812" s="7"/>
      <c r="Q2812" s="7"/>
      <c r="R2812" s="7"/>
      <c r="S2812" s="7"/>
      <c r="T2812" s="7"/>
      <c r="U2812" s="7"/>
      <c r="V2812" s="7"/>
      <c r="W2812" s="7"/>
      <c r="X2812" s="7"/>
      <c r="Y2812" s="7"/>
    </row>
    <row r="2813">
      <c r="A2813" s="14" t="s">
        <v>10128</v>
      </c>
      <c r="B2813" s="17" t="s">
        <v>10129</v>
      </c>
      <c r="C2813" s="17" t="s">
        <v>10130</v>
      </c>
      <c r="D2813" s="19" t="s">
        <v>5617</v>
      </c>
      <c r="E2813" s="20" t="s">
        <v>984</v>
      </c>
      <c r="F2813" s="27">
        <v>22960.0</v>
      </c>
      <c r="G2813" s="14">
        <f t="shared" si="1"/>
        <v>63</v>
      </c>
      <c r="H2813" s="23" t="s">
        <v>27</v>
      </c>
      <c r="I2813" s="24" t="s">
        <v>33</v>
      </c>
      <c r="J2813" s="19" t="s">
        <v>328</v>
      </c>
      <c r="K2813" s="14">
        <v>19.0</v>
      </c>
      <c r="L2813" s="14">
        <v>0.0</v>
      </c>
      <c r="M2813" s="25"/>
      <c r="N2813" s="26" t="s">
        <v>21</v>
      </c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7"/>
    </row>
    <row r="2814">
      <c r="A2814" s="14" t="s">
        <v>10131</v>
      </c>
      <c r="B2814" s="17" t="s">
        <v>10132</v>
      </c>
      <c r="C2814" s="17" t="s">
        <v>10133</v>
      </c>
      <c r="D2814" s="19" t="s">
        <v>10134</v>
      </c>
      <c r="E2814" s="20" t="s">
        <v>104</v>
      </c>
      <c r="F2814" s="27">
        <v>35792.0</v>
      </c>
      <c r="G2814" s="14">
        <f t="shared" si="1"/>
        <v>28</v>
      </c>
      <c r="H2814" s="23" t="s">
        <v>100</v>
      </c>
      <c r="I2814" s="24" t="s">
        <v>33</v>
      </c>
      <c r="J2814" s="19" t="s">
        <v>146</v>
      </c>
      <c r="K2814" s="14">
        <v>2.0</v>
      </c>
      <c r="L2814" s="14">
        <v>7.0</v>
      </c>
      <c r="M2814" s="54" t="s">
        <v>11840</v>
      </c>
      <c r="N2814" s="26" t="s">
        <v>21</v>
      </c>
      <c r="O2814" s="7"/>
      <c r="P2814" s="7"/>
      <c r="Q2814" s="7"/>
      <c r="R2814" s="7"/>
      <c r="S2814" s="7"/>
      <c r="T2814" s="7"/>
      <c r="U2814" s="7"/>
      <c r="V2814" s="7"/>
      <c r="W2814" s="7"/>
      <c r="X2814" s="7"/>
      <c r="Y2814" s="7"/>
    </row>
    <row r="2815">
      <c r="A2815" s="14" t="s">
        <v>10135</v>
      </c>
      <c r="B2815" s="17" t="s">
        <v>10132</v>
      </c>
      <c r="C2815" s="17" t="s">
        <v>10136</v>
      </c>
      <c r="D2815" s="19" t="s">
        <v>10137</v>
      </c>
      <c r="E2815" s="20" t="s">
        <v>104</v>
      </c>
      <c r="F2815" s="21">
        <v>28888.0</v>
      </c>
      <c r="G2815" s="14">
        <f t="shared" si="1"/>
        <v>47</v>
      </c>
      <c r="H2815" s="23" t="s">
        <v>26</v>
      </c>
      <c r="I2815" s="24" t="s">
        <v>27</v>
      </c>
      <c r="J2815" s="19" t="s">
        <v>146</v>
      </c>
      <c r="K2815" s="14">
        <v>2.0</v>
      </c>
      <c r="L2815" s="14">
        <v>0.0</v>
      </c>
      <c r="M2815" s="25"/>
      <c r="N2815" s="26" t="s">
        <v>21</v>
      </c>
      <c r="O2815" s="7"/>
      <c r="P2815" s="7"/>
      <c r="Q2815" s="7"/>
      <c r="R2815" s="7"/>
      <c r="S2815" s="7"/>
      <c r="T2815" s="7"/>
      <c r="U2815" s="7"/>
      <c r="V2815" s="7"/>
      <c r="W2815" s="7"/>
      <c r="X2815" s="7"/>
      <c r="Y2815" s="7"/>
    </row>
    <row r="2816">
      <c r="A2816" s="14" t="s">
        <v>10138</v>
      </c>
      <c r="B2816" s="17" t="s">
        <v>10132</v>
      </c>
      <c r="C2816" s="17" t="s">
        <v>10139</v>
      </c>
      <c r="D2816" s="19" t="s">
        <v>10140</v>
      </c>
      <c r="E2816" s="20" t="s">
        <v>632</v>
      </c>
      <c r="F2816" s="21">
        <v>25430.0</v>
      </c>
      <c r="G2816" s="14">
        <f t="shared" si="1"/>
        <v>57</v>
      </c>
      <c r="H2816" s="23" t="s">
        <v>26</v>
      </c>
      <c r="I2816" s="24" t="s">
        <v>33</v>
      </c>
      <c r="J2816" s="19" t="s">
        <v>146</v>
      </c>
      <c r="K2816" s="14">
        <v>2.0</v>
      </c>
      <c r="L2816" s="14">
        <v>0.0</v>
      </c>
      <c r="M2816" s="25"/>
      <c r="N2816" s="26" t="s">
        <v>21</v>
      </c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</row>
    <row r="2817">
      <c r="A2817" s="14" t="s">
        <v>10141</v>
      </c>
      <c r="B2817" s="17" t="s">
        <v>10142</v>
      </c>
      <c r="C2817" s="17" t="s">
        <v>10143</v>
      </c>
      <c r="D2817" s="19" t="s">
        <v>10144</v>
      </c>
      <c r="E2817" s="20" t="s">
        <v>53</v>
      </c>
      <c r="F2817" s="21">
        <v>34527.0</v>
      </c>
      <c r="G2817" s="14">
        <f t="shared" si="1"/>
        <v>32</v>
      </c>
      <c r="H2817" s="23" t="s">
        <v>26</v>
      </c>
      <c r="I2817" s="24" t="s">
        <v>33</v>
      </c>
      <c r="J2817" s="19" t="s">
        <v>282</v>
      </c>
      <c r="K2817" s="14">
        <v>16.0</v>
      </c>
      <c r="L2817" s="14">
        <v>0.0</v>
      </c>
      <c r="M2817" s="25"/>
      <c r="N2817" s="26" t="s">
        <v>21</v>
      </c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</row>
    <row r="2818">
      <c r="A2818" s="14" t="s">
        <v>10145</v>
      </c>
      <c r="B2818" s="17" t="s">
        <v>10142</v>
      </c>
      <c r="C2818" s="17" t="s">
        <v>10146</v>
      </c>
      <c r="D2818" s="19" t="s">
        <v>10147</v>
      </c>
      <c r="E2818" s="20" t="s">
        <v>104</v>
      </c>
      <c r="F2818" s="21">
        <v>34931.0</v>
      </c>
      <c r="G2818" s="14">
        <f t="shared" si="1"/>
        <v>31</v>
      </c>
      <c r="H2818" s="23" t="s">
        <v>26</v>
      </c>
      <c r="I2818" s="24" t="s">
        <v>27</v>
      </c>
      <c r="J2818" s="19" t="s">
        <v>282</v>
      </c>
      <c r="K2818" s="14">
        <v>16.0</v>
      </c>
      <c r="L2818" s="14">
        <v>0.0</v>
      </c>
      <c r="M2818" s="25"/>
      <c r="N2818" s="26" t="s">
        <v>21</v>
      </c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7"/>
    </row>
    <row r="2819">
      <c r="A2819" s="14" t="s">
        <v>10148</v>
      </c>
      <c r="B2819" s="17" t="s">
        <v>10149</v>
      </c>
      <c r="C2819" s="17" t="s">
        <v>10150</v>
      </c>
      <c r="D2819" s="19" t="s">
        <v>10151</v>
      </c>
      <c r="E2819" s="20" t="s">
        <v>210</v>
      </c>
      <c r="F2819" s="27">
        <v>21500.0</v>
      </c>
      <c r="G2819" s="14">
        <f t="shared" si="1"/>
        <v>67</v>
      </c>
      <c r="H2819" s="23" t="s">
        <v>26</v>
      </c>
      <c r="I2819" s="24" t="s">
        <v>33</v>
      </c>
      <c r="J2819" s="19" t="s">
        <v>328</v>
      </c>
      <c r="K2819" s="14">
        <v>23.0</v>
      </c>
      <c r="L2819" s="14">
        <v>0.0</v>
      </c>
      <c r="M2819" s="25"/>
      <c r="N2819" s="26" t="s">
        <v>21</v>
      </c>
      <c r="O2819" s="7"/>
      <c r="P2819" s="7"/>
      <c r="Q2819" s="7"/>
      <c r="R2819" s="7"/>
      <c r="S2819" s="7"/>
      <c r="T2819" s="7"/>
      <c r="U2819" s="7"/>
      <c r="V2819" s="7"/>
      <c r="W2819" s="7"/>
      <c r="X2819" s="7"/>
      <c r="Y2819" s="7"/>
    </row>
    <row r="2820">
      <c r="A2820" s="14" t="s">
        <v>10152</v>
      </c>
      <c r="B2820" s="17" t="s">
        <v>10149</v>
      </c>
      <c r="C2820" s="17" t="s">
        <v>10153</v>
      </c>
      <c r="D2820" s="19" t="s">
        <v>10154</v>
      </c>
      <c r="E2820" s="20" t="s">
        <v>632</v>
      </c>
      <c r="F2820" s="21">
        <v>19943.0</v>
      </c>
      <c r="G2820" s="14">
        <f t="shared" si="1"/>
        <v>72</v>
      </c>
      <c r="H2820" s="23" t="s">
        <v>26</v>
      </c>
      <c r="I2820" s="24" t="s">
        <v>27</v>
      </c>
      <c r="J2820" s="19" t="s">
        <v>328</v>
      </c>
      <c r="K2820" s="14">
        <v>23.0</v>
      </c>
      <c r="L2820" s="14">
        <v>0.0</v>
      </c>
      <c r="M2820" s="25"/>
      <c r="N2820" s="26" t="s">
        <v>21</v>
      </c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7"/>
    </row>
    <row r="2821">
      <c r="A2821" s="14" t="s">
        <v>10155</v>
      </c>
      <c r="B2821" s="17" t="s">
        <v>10156</v>
      </c>
      <c r="C2821" s="17" t="s">
        <v>10157</v>
      </c>
      <c r="D2821" s="19" t="s">
        <v>10158</v>
      </c>
      <c r="E2821" s="20" t="s">
        <v>372</v>
      </c>
      <c r="F2821" s="21">
        <v>30139.0</v>
      </c>
      <c r="G2821" s="14">
        <f t="shared" si="1"/>
        <v>44</v>
      </c>
      <c r="H2821" s="23" t="s">
        <v>26</v>
      </c>
      <c r="I2821" s="24" t="s">
        <v>33</v>
      </c>
      <c r="J2821" s="19" t="s">
        <v>282</v>
      </c>
      <c r="K2821" s="14">
        <v>14.0</v>
      </c>
      <c r="L2821" s="14">
        <v>0.0</v>
      </c>
      <c r="M2821" s="25"/>
      <c r="N2821" s="26" t="s">
        <v>21</v>
      </c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7"/>
    </row>
    <row r="2822">
      <c r="A2822" s="14" t="s">
        <v>10159</v>
      </c>
      <c r="B2822" s="17" t="s">
        <v>10156</v>
      </c>
      <c r="C2822" s="17" t="s">
        <v>10160</v>
      </c>
      <c r="D2822" s="19" t="s">
        <v>10161</v>
      </c>
      <c r="E2822" s="20" t="s">
        <v>53</v>
      </c>
      <c r="F2822" s="21">
        <v>31721.0</v>
      </c>
      <c r="G2822" s="14">
        <f t="shared" si="1"/>
        <v>39</v>
      </c>
      <c r="H2822" s="23" t="s">
        <v>26</v>
      </c>
      <c r="I2822" s="24" t="s">
        <v>27</v>
      </c>
      <c r="J2822" s="19" t="s">
        <v>282</v>
      </c>
      <c r="K2822" s="14">
        <v>14.0</v>
      </c>
      <c r="L2822" s="14">
        <v>0.0</v>
      </c>
      <c r="M2822" s="25"/>
      <c r="N2822" s="26" t="s">
        <v>21</v>
      </c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7"/>
    </row>
    <row r="2823">
      <c r="A2823" s="14" t="s">
        <v>10162</v>
      </c>
      <c r="B2823" s="17" t="s">
        <v>10163</v>
      </c>
      <c r="C2823" s="17" t="s">
        <v>10164</v>
      </c>
      <c r="D2823" s="19" t="s">
        <v>10165</v>
      </c>
      <c r="E2823" s="20" t="s">
        <v>104</v>
      </c>
      <c r="F2823" s="21">
        <v>35822.0</v>
      </c>
      <c r="G2823" s="14">
        <f t="shared" si="1"/>
        <v>28</v>
      </c>
      <c r="H2823" s="23" t="s">
        <v>26</v>
      </c>
      <c r="I2823" s="24" t="s">
        <v>33</v>
      </c>
      <c r="J2823" s="19" t="s">
        <v>53</v>
      </c>
      <c r="K2823" s="14">
        <v>18.0</v>
      </c>
      <c r="L2823" s="14">
        <v>0.0</v>
      </c>
      <c r="M2823" s="25"/>
      <c r="N2823" s="26" t="s">
        <v>21</v>
      </c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7"/>
    </row>
    <row r="2824">
      <c r="A2824" s="14" t="s">
        <v>10166</v>
      </c>
      <c r="B2824" s="17" t="s">
        <v>10163</v>
      </c>
      <c r="C2824" s="17" t="s">
        <v>10167</v>
      </c>
      <c r="D2824" s="19" t="s">
        <v>10168</v>
      </c>
      <c r="E2824" s="20" t="s">
        <v>104</v>
      </c>
      <c r="F2824" s="27">
        <v>35427.0</v>
      </c>
      <c r="G2824" s="14">
        <f t="shared" si="1"/>
        <v>29</v>
      </c>
      <c r="H2824" s="23" t="s">
        <v>26</v>
      </c>
      <c r="I2824" s="24" t="s">
        <v>27</v>
      </c>
      <c r="J2824" s="19" t="s">
        <v>53</v>
      </c>
      <c r="K2824" s="14">
        <v>18.0</v>
      </c>
      <c r="L2824" s="14">
        <v>0.0</v>
      </c>
      <c r="M2824" s="25"/>
      <c r="N2824" s="26" t="s">
        <v>21</v>
      </c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</row>
    <row r="2825">
      <c r="A2825" s="14" t="s">
        <v>10169</v>
      </c>
      <c r="B2825" s="17" t="s">
        <v>10170</v>
      </c>
      <c r="C2825" s="17" t="s">
        <v>10171</v>
      </c>
      <c r="D2825" s="19" t="s">
        <v>10172</v>
      </c>
      <c r="E2825" s="20" t="s">
        <v>4388</v>
      </c>
      <c r="F2825" s="27">
        <v>25852.0</v>
      </c>
      <c r="G2825" s="14">
        <f t="shared" si="1"/>
        <v>56</v>
      </c>
      <c r="H2825" s="23" t="s">
        <v>26</v>
      </c>
      <c r="I2825" s="24" t="s">
        <v>27</v>
      </c>
      <c r="J2825" s="19" t="s">
        <v>362</v>
      </c>
      <c r="K2825" s="14">
        <v>26.0</v>
      </c>
      <c r="L2825" s="14">
        <v>0.0</v>
      </c>
      <c r="M2825" s="25"/>
      <c r="N2825" s="26" t="s">
        <v>21</v>
      </c>
      <c r="O2825" s="7"/>
      <c r="P2825" s="7"/>
      <c r="Q2825" s="7"/>
      <c r="R2825" s="7"/>
      <c r="S2825" s="7"/>
      <c r="T2825" s="7"/>
      <c r="U2825" s="7"/>
      <c r="V2825" s="7"/>
      <c r="W2825" s="7"/>
      <c r="X2825" s="7"/>
      <c r="Y2825" s="7"/>
    </row>
    <row r="2826">
      <c r="A2826" s="14" t="s">
        <v>10173</v>
      </c>
      <c r="B2826" s="17" t="s">
        <v>10170</v>
      </c>
      <c r="C2826" s="17" t="s">
        <v>10174</v>
      </c>
      <c r="D2826" s="19" t="s">
        <v>10175</v>
      </c>
      <c r="E2826" s="20" t="s">
        <v>6102</v>
      </c>
      <c r="F2826" s="21">
        <v>23897.0</v>
      </c>
      <c r="G2826" s="14">
        <f t="shared" si="1"/>
        <v>61</v>
      </c>
      <c r="H2826" s="23" t="s">
        <v>26</v>
      </c>
      <c r="I2826" s="24" t="s">
        <v>33</v>
      </c>
      <c r="J2826" s="19" t="s">
        <v>362</v>
      </c>
      <c r="K2826" s="14">
        <v>26.0</v>
      </c>
      <c r="L2826" s="14">
        <v>0.0</v>
      </c>
      <c r="M2826" s="25"/>
      <c r="N2826" s="26" t="s">
        <v>21</v>
      </c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7"/>
    </row>
    <row r="2827">
      <c r="A2827" s="14" t="s">
        <v>10176</v>
      </c>
      <c r="B2827" s="17" t="s">
        <v>10177</v>
      </c>
      <c r="C2827" s="17" t="s">
        <v>10178</v>
      </c>
      <c r="D2827" s="19" t="s">
        <v>10179</v>
      </c>
      <c r="E2827" s="20" t="s">
        <v>104</v>
      </c>
      <c r="F2827" s="21">
        <v>34040.0</v>
      </c>
      <c r="G2827" s="14">
        <f t="shared" si="1"/>
        <v>33</v>
      </c>
      <c r="H2827" s="23" t="s">
        <v>26</v>
      </c>
      <c r="I2827" s="24" t="s">
        <v>33</v>
      </c>
      <c r="J2827" s="19" t="s">
        <v>146</v>
      </c>
      <c r="K2827" s="14">
        <v>3.0</v>
      </c>
      <c r="L2827" s="14">
        <v>0.0</v>
      </c>
      <c r="M2827" s="25"/>
      <c r="N2827" s="26" t="s">
        <v>21</v>
      </c>
      <c r="O2827" s="7"/>
      <c r="P2827" s="7"/>
      <c r="Q2827" s="7"/>
      <c r="R2827" s="7"/>
      <c r="S2827" s="7"/>
      <c r="T2827" s="7"/>
      <c r="U2827" s="7"/>
      <c r="V2827" s="7"/>
      <c r="W2827" s="7"/>
      <c r="X2827" s="7"/>
      <c r="Y2827" s="7"/>
    </row>
    <row r="2828">
      <c r="A2828" s="14" t="s">
        <v>10180</v>
      </c>
      <c r="B2828" s="17" t="s">
        <v>10177</v>
      </c>
      <c r="C2828" s="17" t="s">
        <v>10181</v>
      </c>
      <c r="D2828" s="19" t="s">
        <v>10182</v>
      </c>
      <c r="E2828" s="20" t="s">
        <v>85</v>
      </c>
      <c r="F2828" s="21">
        <v>33832.0</v>
      </c>
      <c r="G2828" s="14">
        <f t="shared" si="1"/>
        <v>34</v>
      </c>
      <c r="H2828" s="23" t="s">
        <v>26</v>
      </c>
      <c r="I2828" s="24" t="s">
        <v>27</v>
      </c>
      <c r="J2828" s="19" t="s">
        <v>146</v>
      </c>
      <c r="K2828" s="14">
        <v>3.0</v>
      </c>
      <c r="L2828" s="14">
        <v>0.0</v>
      </c>
      <c r="M2828" s="25"/>
      <c r="N2828" s="26" t="s">
        <v>21</v>
      </c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7"/>
    </row>
    <row r="2829">
      <c r="A2829" s="14" t="s">
        <v>10183</v>
      </c>
      <c r="B2829" s="17" t="s">
        <v>10184</v>
      </c>
      <c r="C2829" s="17" t="s">
        <v>10185</v>
      </c>
      <c r="D2829" s="19" t="s">
        <v>10186</v>
      </c>
      <c r="E2829" s="20" t="s">
        <v>104</v>
      </c>
      <c r="F2829" s="21">
        <v>36342.0</v>
      </c>
      <c r="G2829" s="14">
        <f t="shared" si="1"/>
        <v>27</v>
      </c>
      <c r="H2829" s="23" t="s">
        <v>100</v>
      </c>
      <c r="I2829" s="24" t="s">
        <v>33</v>
      </c>
      <c r="J2829" s="19" t="s">
        <v>328</v>
      </c>
      <c r="K2829" s="14">
        <v>23.0</v>
      </c>
      <c r="L2829" s="14">
        <v>0.0</v>
      </c>
      <c r="M2829" s="25"/>
      <c r="N2829" s="26" t="s">
        <v>21</v>
      </c>
      <c r="O2829" s="7"/>
      <c r="P2829" s="7"/>
      <c r="Q2829" s="7"/>
      <c r="R2829" s="7"/>
      <c r="S2829" s="7"/>
      <c r="T2829" s="7"/>
      <c r="U2829" s="7"/>
      <c r="V2829" s="7"/>
      <c r="W2829" s="7"/>
      <c r="X2829" s="7"/>
      <c r="Y2829" s="7"/>
    </row>
    <row r="2830">
      <c r="A2830" s="14" t="s">
        <v>10187</v>
      </c>
      <c r="B2830" s="17" t="s">
        <v>10184</v>
      </c>
      <c r="C2830" s="17" t="s">
        <v>10188</v>
      </c>
      <c r="D2830" s="19" t="s">
        <v>3759</v>
      </c>
      <c r="E2830" s="20" t="s">
        <v>650</v>
      </c>
      <c r="F2830" s="21">
        <v>26481.0</v>
      </c>
      <c r="G2830" s="14">
        <f t="shared" si="1"/>
        <v>54</v>
      </c>
      <c r="H2830" s="23" t="s">
        <v>27</v>
      </c>
      <c r="I2830" s="24" t="s">
        <v>27</v>
      </c>
      <c r="J2830" s="19" t="s">
        <v>726</v>
      </c>
      <c r="K2830" s="14">
        <v>14.0</v>
      </c>
      <c r="L2830" s="14">
        <v>0.0</v>
      </c>
      <c r="M2830" s="25"/>
      <c r="N2830" s="26" t="s">
        <v>21</v>
      </c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7"/>
    </row>
    <row r="2831">
      <c r="A2831" s="14" t="s">
        <v>10189</v>
      </c>
      <c r="B2831" s="17" t="s">
        <v>10190</v>
      </c>
      <c r="C2831" s="17" t="s">
        <v>10191</v>
      </c>
      <c r="D2831" s="19" t="s">
        <v>10192</v>
      </c>
      <c r="E2831" s="20" t="s">
        <v>654</v>
      </c>
      <c r="F2831" s="21">
        <v>23774.0</v>
      </c>
      <c r="G2831" s="14">
        <f t="shared" si="1"/>
        <v>61</v>
      </c>
      <c r="H2831" s="23" t="s">
        <v>26</v>
      </c>
      <c r="I2831" s="24" t="s">
        <v>33</v>
      </c>
      <c r="J2831" s="19" t="s">
        <v>53</v>
      </c>
      <c r="K2831" s="14">
        <v>18.0</v>
      </c>
      <c r="L2831" s="14">
        <v>0.0</v>
      </c>
      <c r="M2831" s="25"/>
      <c r="N2831" s="26" t="s">
        <v>21</v>
      </c>
      <c r="O2831" s="7"/>
      <c r="P2831" s="7"/>
      <c r="Q2831" s="7"/>
      <c r="R2831" s="7"/>
      <c r="S2831" s="7"/>
      <c r="T2831" s="7"/>
      <c r="U2831" s="7"/>
      <c r="V2831" s="7"/>
      <c r="W2831" s="7"/>
      <c r="X2831" s="7"/>
      <c r="Y2831" s="7"/>
    </row>
    <row r="2832">
      <c r="A2832" s="14" t="s">
        <v>10193</v>
      </c>
      <c r="B2832" s="17" t="s">
        <v>10190</v>
      </c>
      <c r="C2832" s="17" t="s">
        <v>10194</v>
      </c>
      <c r="D2832" s="19" t="s">
        <v>10195</v>
      </c>
      <c r="E2832" s="20" t="s">
        <v>654</v>
      </c>
      <c r="F2832" s="21">
        <v>25509.0</v>
      </c>
      <c r="G2832" s="14">
        <f t="shared" si="1"/>
        <v>56</v>
      </c>
      <c r="H2832" s="23" t="s">
        <v>26</v>
      </c>
      <c r="I2832" s="24" t="s">
        <v>27</v>
      </c>
      <c r="J2832" s="19" t="s">
        <v>53</v>
      </c>
      <c r="K2832" s="14">
        <v>18.0</v>
      </c>
      <c r="L2832" s="14">
        <v>0.0</v>
      </c>
      <c r="M2832" s="25"/>
      <c r="N2832" s="26" t="s">
        <v>21</v>
      </c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7"/>
    </row>
    <row r="2833">
      <c r="A2833" s="14" t="s">
        <v>10196</v>
      </c>
      <c r="B2833" s="17" t="s">
        <v>10197</v>
      </c>
      <c r="C2833" s="17" t="s">
        <v>10198</v>
      </c>
      <c r="D2833" s="19" t="s">
        <v>10199</v>
      </c>
      <c r="E2833" s="20" t="s">
        <v>650</v>
      </c>
      <c r="F2833" s="21">
        <v>23896.0</v>
      </c>
      <c r="G2833" s="14">
        <f t="shared" si="1"/>
        <v>61</v>
      </c>
      <c r="H2833" s="23" t="s">
        <v>26</v>
      </c>
      <c r="I2833" s="24" t="s">
        <v>27</v>
      </c>
      <c r="J2833" s="19" t="s">
        <v>53</v>
      </c>
      <c r="K2833" s="14">
        <v>18.0</v>
      </c>
      <c r="L2833" s="14">
        <v>0.0</v>
      </c>
      <c r="M2833" s="25"/>
      <c r="N2833" s="26" t="s">
        <v>21</v>
      </c>
      <c r="O2833" s="7"/>
      <c r="P2833" s="7"/>
      <c r="Q2833" s="7"/>
      <c r="R2833" s="7"/>
      <c r="S2833" s="7"/>
      <c r="T2833" s="7"/>
      <c r="U2833" s="7"/>
      <c r="V2833" s="7"/>
      <c r="W2833" s="7"/>
      <c r="X2833" s="7"/>
      <c r="Y2833" s="7"/>
    </row>
    <row r="2834">
      <c r="A2834" s="14" t="s">
        <v>10200</v>
      </c>
      <c r="B2834" s="17" t="s">
        <v>10197</v>
      </c>
      <c r="C2834" s="17" t="s">
        <v>10201</v>
      </c>
      <c r="D2834" s="19" t="s">
        <v>10202</v>
      </c>
      <c r="E2834" s="20" t="s">
        <v>650</v>
      </c>
      <c r="F2834" s="21">
        <v>21956.0</v>
      </c>
      <c r="G2834" s="14">
        <f t="shared" si="1"/>
        <v>66</v>
      </c>
      <c r="H2834" s="23" t="s">
        <v>26</v>
      </c>
      <c r="I2834" s="24" t="s">
        <v>33</v>
      </c>
      <c r="J2834" s="19" t="s">
        <v>53</v>
      </c>
      <c r="K2834" s="14">
        <v>18.0</v>
      </c>
      <c r="L2834" s="14">
        <v>0.0</v>
      </c>
      <c r="M2834" s="25"/>
      <c r="N2834" s="26" t="s">
        <v>21</v>
      </c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7"/>
    </row>
    <row r="2835">
      <c r="A2835" s="14" t="s">
        <v>10203</v>
      </c>
      <c r="B2835" s="17" t="s">
        <v>10204</v>
      </c>
      <c r="C2835" s="17" t="s">
        <v>10205</v>
      </c>
      <c r="D2835" s="19" t="s">
        <v>10206</v>
      </c>
      <c r="E2835" s="20" t="s">
        <v>53</v>
      </c>
      <c r="F2835" s="21">
        <v>35875.0</v>
      </c>
      <c r="G2835" s="14">
        <f t="shared" si="1"/>
        <v>28</v>
      </c>
      <c r="H2835" s="23" t="s">
        <v>26</v>
      </c>
      <c r="I2835" s="24" t="s">
        <v>27</v>
      </c>
      <c r="J2835" s="19" t="s">
        <v>10207</v>
      </c>
      <c r="K2835" s="14">
        <v>16.0</v>
      </c>
      <c r="L2835" s="14">
        <v>0.0</v>
      </c>
      <c r="M2835" s="25"/>
      <c r="N2835" s="26" t="s">
        <v>21</v>
      </c>
      <c r="O2835" s="7"/>
      <c r="P2835" s="7"/>
      <c r="Q2835" s="7"/>
      <c r="R2835" s="7"/>
      <c r="S2835" s="7"/>
      <c r="T2835" s="7"/>
      <c r="U2835" s="7"/>
      <c r="V2835" s="7"/>
      <c r="W2835" s="7"/>
      <c r="X2835" s="7"/>
      <c r="Y2835" s="7"/>
    </row>
    <row r="2836">
      <c r="A2836" s="14" t="s">
        <v>10208</v>
      </c>
      <c r="B2836" s="17" t="s">
        <v>10204</v>
      </c>
      <c r="C2836" s="17" t="s">
        <v>10209</v>
      </c>
      <c r="D2836" s="19" t="s">
        <v>10210</v>
      </c>
      <c r="E2836" s="20" t="s">
        <v>337</v>
      </c>
      <c r="F2836" s="27">
        <v>35393.0</v>
      </c>
      <c r="G2836" s="14">
        <f t="shared" si="1"/>
        <v>29</v>
      </c>
      <c r="H2836" s="23" t="s">
        <v>26</v>
      </c>
      <c r="I2836" s="24" t="s">
        <v>33</v>
      </c>
      <c r="J2836" s="19" t="s">
        <v>10207</v>
      </c>
      <c r="K2836" s="14">
        <v>16.0</v>
      </c>
      <c r="L2836" s="14">
        <v>0.0</v>
      </c>
      <c r="M2836" s="25"/>
      <c r="N2836" s="26" t="s">
        <v>21</v>
      </c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7"/>
    </row>
    <row r="2837">
      <c r="A2837" s="14" t="s">
        <v>10211</v>
      </c>
      <c r="B2837" s="17" t="s">
        <v>10212</v>
      </c>
      <c r="C2837" s="17" t="s">
        <v>10213</v>
      </c>
      <c r="D2837" s="19" t="s">
        <v>10214</v>
      </c>
      <c r="E2837" s="20" t="s">
        <v>53</v>
      </c>
      <c r="F2837" s="21">
        <v>27458.0</v>
      </c>
      <c r="G2837" s="14">
        <f t="shared" si="1"/>
        <v>51</v>
      </c>
      <c r="H2837" s="23" t="s">
        <v>26</v>
      </c>
      <c r="I2837" s="24" t="s">
        <v>33</v>
      </c>
      <c r="J2837" s="19" t="s">
        <v>282</v>
      </c>
      <c r="K2837" s="14">
        <v>17.0</v>
      </c>
      <c r="L2837" s="14">
        <v>0.0</v>
      </c>
      <c r="M2837" s="25"/>
      <c r="N2837" s="26" t="s">
        <v>21</v>
      </c>
      <c r="O2837" s="7"/>
      <c r="P2837" s="7"/>
      <c r="Q2837" s="7"/>
      <c r="R2837" s="7"/>
      <c r="S2837" s="7"/>
      <c r="T2837" s="7"/>
      <c r="U2837" s="7"/>
      <c r="V2837" s="7"/>
      <c r="W2837" s="7"/>
      <c r="X2837" s="7"/>
      <c r="Y2837" s="7"/>
    </row>
    <row r="2838">
      <c r="A2838" s="14" t="s">
        <v>10215</v>
      </c>
      <c r="B2838" s="17" t="s">
        <v>10212</v>
      </c>
      <c r="C2838" s="17" t="s">
        <v>10216</v>
      </c>
      <c r="D2838" s="19" t="s">
        <v>10217</v>
      </c>
      <c r="E2838" s="20" t="s">
        <v>195</v>
      </c>
      <c r="F2838" s="21">
        <v>30203.0</v>
      </c>
      <c r="G2838" s="14">
        <f t="shared" si="1"/>
        <v>44</v>
      </c>
      <c r="H2838" s="23" t="s">
        <v>26</v>
      </c>
      <c r="I2838" s="24" t="s">
        <v>27</v>
      </c>
      <c r="J2838" s="19" t="s">
        <v>282</v>
      </c>
      <c r="K2838" s="14">
        <v>17.0</v>
      </c>
      <c r="L2838" s="14">
        <v>0.0</v>
      </c>
      <c r="M2838" s="25"/>
      <c r="N2838" s="26" t="s">
        <v>21</v>
      </c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7"/>
    </row>
    <row r="2839">
      <c r="A2839" s="14" t="s">
        <v>10218</v>
      </c>
      <c r="B2839" s="17" t="s">
        <v>10219</v>
      </c>
      <c r="C2839" s="17" t="s">
        <v>10220</v>
      </c>
      <c r="D2839" s="19" t="s">
        <v>10221</v>
      </c>
      <c r="E2839" s="20" t="s">
        <v>5570</v>
      </c>
      <c r="F2839" s="27">
        <v>35763.0</v>
      </c>
      <c r="G2839" s="14">
        <f t="shared" si="1"/>
        <v>28</v>
      </c>
      <c r="H2839" s="23" t="s">
        <v>26</v>
      </c>
      <c r="I2839" s="24" t="s">
        <v>27</v>
      </c>
      <c r="J2839" s="19" t="s">
        <v>282</v>
      </c>
      <c r="K2839" s="14">
        <v>18.0</v>
      </c>
      <c r="L2839" s="14">
        <v>0.0</v>
      </c>
      <c r="M2839" s="25"/>
      <c r="N2839" s="26" t="s">
        <v>21</v>
      </c>
      <c r="O2839" s="7"/>
      <c r="P2839" s="7"/>
      <c r="Q2839" s="7"/>
      <c r="R2839" s="7"/>
      <c r="S2839" s="7"/>
      <c r="T2839" s="7"/>
      <c r="U2839" s="7"/>
      <c r="V2839" s="7"/>
      <c r="W2839" s="7"/>
      <c r="X2839" s="7"/>
      <c r="Y2839" s="7"/>
    </row>
    <row r="2840">
      <c r="A2840" s="14" t="s">
        <v>10222</v>
      </c>
      <c r="B2840" s="17" t="s">
        <v>10219</v>
      </c>
      <c r="C2840" s="17" t="s">
        <v>10223</v>
      </c>
      <c r="D2840" s="19" t="s">
        <v>10224</v>
      </c>
      <c r="E2840" s="20" t="s">
        <v>104</v>
      </c>
      <c r="F2840" s="21">
        <v>35634.0</v>
      </c>
      <c r="G2840" s="14">
        <f t="shared" si="1"/>
        <v>29</v>
      </c>
      <c r="H2840" s="23" t="s">
        <v>26</v>
      </c>
      <c r="I2840" s="24" t="s">
        <v>33</v>
      </c>
      <c r="J2840" s="19" t="s">
        <v>282</v>
      </c>
      <c r="K2840" s="14">
        <v>18.0</v>
      </c>
      <c r="L2840" s="14">
        <v>0.0</v>
      </c>
      <c r="M2840" s="25"/>
      <c r="N2840" s="26" t="s">
        <v>21</v>
      </c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7"/>
    </row>
    <row r="2841">
      <c r="A2841" s="14" t="s">
        <v>10225</v>
      </c>
      <c r="B2841" s="17" t="s">
        <v>10226</v>
      </c>
      <c r="C2841" s="17" t="s">
        <v>10227</v>
      </c>
      <c r="D2841" s="19" t="s">
        <v>10228</v>
      </c>
      <c r="E2841" s="20" t="s">
        <v>10229</v>
      </c>
      <c r="F2841" s="21">
        <v>35925.0</v>
      </c>
      <c r="G2841" s="14">
        <f t="shared" si="1"/>
        <v>28</v>
      </c>
      <c r="H2841" s="23" t="s">
        <v>26</v>
      </c>
      <c r="I2841" s="24" t="s">
        <v>27</v>
      </c>
      <c r="J2841" s="19" t="s">
        <v>53</v>
      </c>
      <c r="K2841" s="14">
        <v>33.0</v>
      </c>
      <c r="L2841" s="14">
        <v>0.0</v>
      </c>
      <c r="M2841" s="25"/>
      <c r="N2841" s="26" t="s">
        <v>21</v>
      </c>
      <c r="O2841" s="7"/>
      <c r="P2841" s="7"/>
      <c r="Q2841" s="7"/>
      <c r="R2841" s="7"/>
      <c r="S2841" s="7"/>
      <c r="T2841" s="7"/>
      <c r="U2841" s="7"/>
      <c r="V2841" s="7"/>
      <c r="W2841" s="7"/>
      <c r="X2841" s="7"/>
      <c r="Y2841" s="7"/>
    </row>
    <row r="2842">
      <c r="A2842" s="14" t="s">
        <v>10230</v>
      </c>
      <c r="B2842" s="17" t="s">
        <v>10226</v>
      </c>
      <c r="C2842" s="17" t="s">
        <v>10231</v>
      </c>
      <c r="D2842" s="19" t="s">
        <v>10232</v>
      </c>
      <c r="E2842" s="20" t="s">
        <v>104</v>
      </c>
      <c r="F2842" s="21">
        <v>35652.0</v>
      </c>
      <c r="G2842" s="14">
        <f t="shared" si="1"/>
        <v>29</v>
      </c>
      <c r="H2842" s="23" t="s">
        <v>26</v>
      </c>
      <c r="I2842" s="24" t="s">
        <v>33</v>
      </c>
      <c r="J2842" s="19" t="s">
        <v>53</v>
      </c>
      <c r="K2842" s="14">
        <v>33.0</v>
      </c>
      <c r="L2842" s="14">
        <v>0.0</v>
      </c>
      <c r="M2842" s="25"/>
      <c r="N2842" s="26" t="s">
        <v>21</v>
      </c>
      <c r="O2842" s="7"/>
      <c r="P2842" s="7"/>
      <c r="Q2842" s="7"/>
      <c r="R2842" s="7"/>
      <c r="S2842" s="7"/>
      <c r="T2842" s="7"/>
      <c r="U2842" s="7"/>
      <c r="V2842" s="7"/>
      <c r="W2842" s="7"/>
      <c r="X2842" s="7"/>
      <c r="Y2842" s="7"/>
    </row>
    <row r="2843">
      <c r="A2843" s="14" t="s">
        <v>10233</v>
      </c>
      <c r="B2843" s="17" t="s">
        <v>10234</v>
      </c>
      <c r="C2843" s="17" t="s">
        <v>10235</v>
      </c>
      <c r="D2843" s="19" t="s">
        <v>10236</v>
      </c>
      <c r="E2843" s="20" t="s">
        <v>10237</v>
      </c>
      <c r="F2843" s="21">
        <v>25091.0</v>
      </c>
      <c r="G2843" s="14">
        <f t="shared" si="1"/>
        <v>58</v>
      </c>
      <c r="H2843" s="23" t="s">
        <v>27</v>
      </c>
      <c r="I2843" s="24" t="s">
        <v>27</v>
      </c>
      <c r="J2843" s="19" t="s">
        <v>2196</v>
      </c>
      <c r="K2843" s="14">
        <v>11.0</v>
      </c>
      <c r="L2843" s="14">
        <v>0.0</v>
      </c>
      <c r="M2843" s="25"/>
      <c r="N2843" s="26" t="s">
        <v>21</v>
      </c>
      <c r="O2843" s="7"/>
      <c r="P2843" s="7"/>
      <c r="Q2843" s="7"/>
      <c r="R2843" s="7"/>
      <c r="S2843" s="7"/>
      <c r="T2843" s="7"/>
      <c r="U2843" s="7"/>
      <c r="V2843" s="7"/>
      <c r="W2843" s="7"/>
      <c r="X2843" s="7"/>
      <c r="Y2843" s="7"/>
    </row>
    <row r="2844">
      <c r="A2844" s="14" t="s">
        <v>10238</v>
      </c>
      <c r="B2844" s="17" t="s">
        <v>10234</v>
      </c>
      <c r="C2844" s="17" t="s">
        <v>10239</v>
      </c>
      <c r="D2844" s="19" t="s">
        <v>10240</v>
      </c>
      <c r="E2844" s="20" t="s">
        <v>104</v>
      </c>
      <c r="F2844" s="21">
        <v>37322.0</v>
      </c>
      <c r="G2844" s="14">
        <f t="shared" si="1"/>
        <v>24</v>
      </c>
      <c r="H2844" s="23" t="s">
        <v>100</v>
      </c>
      <c r="I2844" s="24" t="s">
        <v>27</v>
      </c>
      <c r="J2844" s="19" t="s">
        <v>2196</v>
      </c>
      <c r="K2844" s="14">
        <v>11.0</v>
      </c>
      <c r="L2844" s="14">
        <v>0.0</v>
      </c>
      <c r="M2844" s="25"/>
      <c r="N2844" s="26" t="s">
        <v>21</v>
      </c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7"/>
    </row>
    <row r="2845">
      <c r="A2845" s="14" t="s">
        <v>10241</v>
      </c>
      <c r="B2845" s="17" t="s">
        <v>10234</v>
      </c>
      <c r="C2845" s="17" t="s">
        <v>10242</v>
      </c>
      <c r="D2845" s="19" t="s">
        <v>10243</v>
      </c>
      <c r="E2845" s="20" t="s">
        <v>104</v>
      </c>
      <c r="F2845" s="21">
        <v>36171.0</v>
      </c>
      <c r="G2845" s="14">
        <f t="shared" si="1"/>
        <v>27</v>
      </c>
      <c r="H2845" s="23" t="s">
        <v>100</v>
      </c>
      <c r="I2845" s="24" t="s">
        <v>33</v>
      </c>
      <c r="J2845" s="19" t="s">
        <v>2196</v>
      </c>
      <c r="K2845" s="14">
        <v>11.0</v>
      </c>
      <c r="L2845" s="14">
        <v>0.0</v>
      </c>
      <c r="M2845" s="25"/>
      <c r="N2845" s="26" t="s">
        <v>21</v>
      </c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7"/>
    </row>
    <row r="2846">
      <c r="A2846" s="14" t="s">
        <v>10244</v>
      </c>
      <c r="B2846" s="17" t="s">
        <v>10245</v>
      </c>
      <c r="C2846" s="17" t="s">
        <v>10246</v>
      </c>
      <c r="D2846" s="19" t="s">
        <v>10247</v>
      </c>
      <c r="E2846" s="20" t="s">
        <v>632</v>
      </c>
      <c r="F2846" s="21">
        <v>25677.0</v>
      </c>
      <c r="G2846" s="14">
        <f t="shared" si="1"/>
        <v>56</v>
      </c>
      <c r="H2846" s="23" t="s">
        <v>26</v>
      </c>
      <c r="I2846" s="24" t="s">
        <v>33</v>
      </c>
      <c r="J2846" s="19" t="s">
        <v>68</v>
      </c>
      <c r="K2846" s="14">
        <v>18.0</v>
      </c>
      <c r="L2846" s="14">
        <v>0.0</v>
      </c>
      <c r="M2846" s="25"/>
      <c r="N2846" s="26" t="s">
        <v>21</v>
      </c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7"/>
    </row>
    <row r="2847">
      <c r="A2847" s="14" t="s">
        <v>10248</v>
      </c>
      <c r="B2847" s="17" t="s">
        <v>10245</v>
      </c>
      <c r="C2847" s="17" t="s">
        <v>10249</v>
      </c>
      <c r="D2847" s="19" t="s">
        <v>10250</v>
      </c>
      <c r="E2847" s="20" t="s">
        <v>53</v>
      </c>
      <c r="F2847" s="21">
        <v>31073.0</v>
      </c>
      <c r="G2847" s="14">
        <f t="shared" si="1"/>
        <v>41</v>
      </c>
      <c r="H2847" s="23" t="s">
        <v>26</v>
      </c>
      <c r="I2847" s="24" t="s">
        <v>27</v>
      </c>
      <c r="J2847" s="19" t="s">
        <v>68</v>
      </c>
      <c r="K2847" s="14">
        <v>18.0</v>
      </c>
      <c r="L2847" s="14">
        <v>0.0</v>
      </c>
      <c r="M2847" s="25"/>
      <c r="N2847" s="26" t="s">
        <v>21</v>
      </c>
      <c r="O2847" s="7"/>
      <c r="P2847" s="7"/>
      <c r="Q2847" s="7"/>
      <c r="R2847" s="7"/>
      <c r="S2847" s="7"/>
      <c r="T2847" s="7"/>
      <c r="U2847" s="7"/>
      <c r="V2847" s="7"/>
      <c r="W2847" s="7"/>
      <c r="X2847" s="7"/>
      <c r="Y2847" s="7"/>
    </row>
    <row r="2848">
      <c r="A2848" s="14" t="s">
        <v>10251</v>
      </c>
      <c r="B2848" s="17" t="s">
        <v>10252</v>
      </c>
      <c r="C2848" s="17" t="s">
        <v>10253</v>
      </c>
      <c r="D2848" s="19" t="s">
        <v>10254</v>
      </c>
      <c r="E2848" s="20" t="s">
        <v>1058</v>
      </c>
      <c r="F2848" s="21">
        <v>18361.0</v>
      </c>
      <c r="G2848" s="14">
        <f t="shared" si="1"/>
        <v>76</v>
      </c>
      <c r="H2848" s="23" t="s">
        <v>26</v>
      </c>
      <c r="I2848" s="24" t="s">
        <v>27</v>
      </c>
      <c r="J2848" s="19" t="s">
        <v>726</v>
      </c>
      <c r="K2848" s="14">
        <v>14.0</v>
      </c>
      <c r="L2848" s="14">
        <v>0.0</v>
      </c>
      <c r="M2848" s="25"/>
      <c r="N2848" s="26" t="s">
        <v>21</v>
      </c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7"/>
    </row>
    <row r="2849">
      <c r="A2849" s="14" t="s">
        <v>10256</v>
      </c>
      <c r="B2849" s="17" t="s">
        <v>10252</v>
      </c>
      <c r="C2849" s="17" t="s">
        <v>10257</v>
      </c>
      <c r="D2849" s="19" t="s">
        <v>10258</v>
      </c>
      <c r="E2849" s="20" t="s">
        <v>1058</v>
      </c>
      <c r="F2849" s="21">
        <v>20280.0</v>
      </c>
      <c r="G2849" s="14">
        <f t="shared" si="1"/>
        <v>71</v>
      </c>
      <c r="H2849" s="23" t="s">
        <v>26</v>
      </c>
      <c r="I2849" s="24" t="s">
        <v>33</v>
      </c>
      <c r="J2849" s="19" t="s">
        <v>726</v>
      </c>
      <c r="K2849" s="14">
        <v>14.0</v>
      </c>
      <c r="L2849" s="14">
        <v>0.0</v>
      </c>
      <c r="M2849" s="25"/>
      <c r="N2849" s="26" t="s">
        <v>21</v>
      </c>
      <c r="O2849" s="7"/>
      <c r="P2849" s="7"/>
      <c r="Q2849" s="7"/>
      <c r="R2849" s="7"/>
      <c r="S2849" s="7"/>
      <c r="T2849" s="7"/>
      <c r="U2849" s="7"/>
      <c r="V2849" s="7"/>
      <c r="W2849" s="7"/>
      <c r="X2849" s="7"/>
      <c r="Y2849" s="7"/>
    </row>
    <row r="2850">
      <c r="A2850" s="14" t="s">
        <v>10259</v>
      </c>
      <c r="B2850" s="17" t="s">
        <v>10260</v>
      </c>
      <c r="C2850" s="17" t="s">
        <v>10261</v>
      </c>
      <c r="D2850" s="19" t="s">
        <v>8423</v>
      </c>
      <c r="E2850" s="20" t="s">
        <v>112</v>
      </c>
      <c r="F2850" s="27">
        <v>19292.0</v>
      </c>
      <c r="G2850" s="14">
        <f t="shared" si="1"/>
        <v>74</v>
      </c>
      <c r="H2850" s="23" t="s">
        <v>27</v>
      </c>
      <c r="I2850" s="24" t="s">
        <v>27</v>
      </c>
      <c r="J2850" s="19" t="s">
        <v>3387</v>
      </c>
      <c r="K2850" s="14">
        <v>9.0</v>
      </c>
      <c r="L2850" s="14">
        <v>1.0</v>
      </c>
      <c r="M2850" s="25"/>
      <c r="N2850" s="26" t="s">
        <v>21</v>
      </c>
      <c r="O2850" s="7"/>
      <c r="P2850" s="7"/>
      <c r="Q2850" s="7"/>
      <c r="R2850" s="7"/>
      <c r="S2850" s="7"/>
      <c r="T2850" s="7"/>
      <c r="U2850" s="7"/>
      <c r="V2850" s="7"/>
      <c r="W2850" s="7"/>
      <c r="X2850" s="7"/>
      <c r="Y2850" s="7"/>
    </row>
    <row r="2851">
      <c r="A2851" s="14" t="s">
        <v>10262</v>
      </c>
      <c r="B2851" s="17" t="s">
        <v>10263</v>
      </c>
      <c r="C2851" s="17" t="s">
        <v>10264</v>
      </c>
      <c r="D2851" s="19" t="s">
        <v>10265</v>
      </c>
      <c r="E2851" s="20" t="s">
        <v>10266</v>
      </c>
      <c r="F2851" s="21">
        <v>30076.0</v>
      </c>
      <c r="G2851" s="14">
        <f t="shared" si="1"/>
        <v>44</v>
      </c>
      <c r="H2851" s="23" t="s">
        <v>26</v>
      </c>
      <c r="I2851" s="24" t="s">
        <v>33</v>
      </c>
      <c r="J2851" s="19" t="s">
        <v>206</v>
      </c>
      <c r="K2851" s="14">
        <v>2.0</v>
      </c>
      <c r="L2851" s="14">
        <v>0.0</v>
      </c>
      <c r="M2851" s="25"/>
      <c r="N2851" s="26" t="s">
        <v>21</v>
      </c>
      <c r="O2851" s="7"/>
      <c r="P2851" s="7"/>
      <c r="Q2851" s="7"/>
      <c r="R2851" s="7"/>
      <c r="S2851" s="7"/>
      <c r="T2851" s="7"/>
      <c r="U2851" s="7"/>
      <c r="V2851" s="7"/>
      <c r="W2851" s="7"/>
      <c r="X2851" s="7"/>
      <c r="Y2851" s="7"/>
    </row>
    <row r="2852">
      <c r="A2852" s="14" t="s">
        <v>10267</v>
      </c>
      <c r="B2852" s="17" t="s">
        <v>10263</v>
      </c>
      <c r="C2852" s="17" t="s">
        <v>10268</v>
      </c>
      <c r="D2852" s="19" t="s">
        <v>10269</v>
      </c>
      <c r="E2852" s="20" t="s">
        <v>1291</v>
      </c>
      <c r="F2852" s="21">
        <v>25096.0</v>
      </c>
      <c r="G2852" s="14">
        <f t="shared" si="1"/>
        <v>58</v>
      </c>
      <c r="H2852" s="23" t="s">
        <v>26</v>
      </c>
      <c r="I2852" s="24" t="s">
        <v>27</v>
      </c>
      <c r="J2852" s="19" t="s">
        <v>206</v>
      </c>
      <c r="K2852" s="14">
        <v>2.0</v>
      </c>
      <c r="L2852" s="14">
        <v>0.0</v>
      </c>
      <c r="M2852" s="25"/>
      <c r="N2852" s="26" t="s">
        <v>21</v>
      </c>
      <c r="O2852" s="7"/>
      <c r="P2852" s="7"/>
      <c r="Q2852" s="7"/>
      <c r="R2852" s="7"/>
      <c r="S2852" s="7"/>
      <c r="T2852" s="7"/>
      <c r="U2852" s="7"/>
      <c r="V2852" s="7"/>
      <c r="W2852" s="7"/>
      <c r="X2852" s="7"/>
      <c r="Y2852" s="7"/>
    </row>
    <row r="2853">
      <c r="A2853" s="14" t="s">
        <v>10270</v>
      </c>
      <c r="B2853" s="17" t="s">
        <v>10271</v>
      </c>
      <c r="C2853" s="17" t="s">
        <v>10272</v>
      </c>
      <c r="D2853" s="19" t="s">
        <v>10273</v>
      </c>
      <c r="E2853" s="20" t="s">
        <v>104</v>
      </c>
      <c r="F2853" s="21">
        <v>35209.0</v>
      </c>
      <c r="G2853" s="14">
        <f t="shared" si="1"/>
        <v>30</v>
      </c>
      <c r="H2853" s="23" t="s">
        <v>26</v>
      </c>
      <c r="I2853" s="24" t="s">
        <v>27</v>
      </c>
      <c r="J2853" s="19" t="s">
        <v>328</v>
      </c>
      <c r="K2853" s="14">
        <v>21.0</v>
      </c>
      <c r="L2853" s="14">
        <v>0.0</v>
      </c>
      <c r="M2853" s="25"/>
      <c r="N2853" s="26" t="s">
        <v>21</v>
      </c>
      <c r="O2853" s="7"/>
      <c r="P2853" s="7"/>
      <c r="Q2853" s="7"/>
      <c r="R2853" s="7"/>
      <c r="S2853" s="7"/>
      <c r="T2853" s="7"/>
      <c r="U2853" s="7"/>
      <c r="V2853" s="7"/>
      <c r="W2853" s="7"/>
      <c r="X2853" s="7"/>
      <c r="Y2853" s="7"/>
    </row>
    <row r="2854">
      <c r="A2854" s="14" t="s">
        <v>10274</v>
      </c>
      <c r="B2854" s="17" t="s">
        <v>10271</v>
      </c>
      <c r="C2854" s="17" t="s">
        <v>10275</v>
      </c>
      <c r="D2854" s="19" t="s">
        <v>10276</v>
      </c>
      <c r="E2854" s="20" t="s">
        <v>104</v>
      </c>
      <c r="F2854" s="21">
        <v>34464.0</v>
      </c>
      <c r="G2854" s="14">
        <f t="shared" si="1"/>
        <v>32</v>
      </c>
      <c r="H2854" s="23" t="s">
        <v>26</v>
      </c>
      <c r="I2854" s="24" t="s">
        <v>33</v>
      </c>
      <c r="J2854" s="19" t="s">
        <v>328</v>
      </c>
      <c r="K2854" s="14">
        <v>21.0</v>
      </c>
      <c r="L2854" s="14">
        <v>0.0</v>
      </c>
      <c r="M2854" s="25"/>
      <c r="N2854" s="26" t="s">
        <v>21</v>
      </c>
      <c r="O2854" s="7"/>
      <c r="P2854" s="7"/>
      <c r="Q2854" s="7"/>
      <c r="R2854" s="7"/>
      <c r="S2854" s="7"/>
      <c r="T2854" s="7"/>
      <c r="U2854" s="7"/>
      <c r="V2854" s="7"/>
      <c r="W2854" s="7"/>
      <c r="X2854" s="7"/>
      <c r="Y2854" s="7"/>
    </row>
    <row r="2855">
      <c r="A2855" s="14" t="s">
        <v>10277</v>
      </c>
      <c r="B2855" s="17" t="s">
        <v>10278</v>
      </c>
      <c r="C2855" s="17" t="s">
        <v>10279</v>
      </c>
      <c r="D2855" s="19" t="s">
        <v>10280</v>
      </c>
      <c r="E2855" s="20" t="s">
        <v>421</v>
      </c>
      <c r="F2855" s="21">
        <v>32906.0</v>
      </c>
      <c r="G2855" s="14">
        <f t="shared" si="1"/>
        <v>36</v>
      </c>
      <c r="H2855" s="23" t="s">
        <v>26</v>
      </c>
      <c r="I2855" s="24" t="s">
        <v>33</v>
      </c>
      <c r="J2855" s="19" t="s">
        <v>257</v>
      </c>
      <c r="K2855" s="14">
        <v>18.0</v>
      </c>
      <c r="L2855" s="14">
        <v>0.0</v>
      </c>
      <c r="M2855" s="25"/>
      <c r="N2855" s="26" t="s">
        <v>21</v>
      </c>
      <c r="O2855" s="7"/>
      <c r="P2855" s="7"/>
      <c r="Q2855" s="7"/>
      <c r="R2855" s="7"/>
      <c r="S2855" s="7"/>
      <c r="T2855" s="7"/>
      <c r="U2855" s="7"/>
      <c r="V2855" s="7"/>
      <c r="W2855" s="7"/>
      <c r="X2855" s="7"/>
      <c r="Y2855" s="7"/>
    </row>
    <row r="2856">
      <c r="A2856" s="14" t="s">
        <v>10281</v>
      </c>
      <c r="B2856" s="17" t="s">
        <v>10278</v>
      </c>
      <c r="C2856" s="17" t="s">
        <v>10282</v>
      </c>
      <c r="D2856" s="19" t="s">
        <v>10283</v>
      </c>
      <c r="E2856" s="20" t="s">
        <v>104</v>
      </c>
      <c r="F2856" s="21">
        <v>34177.0</v>
      </c>
      <c r="G2856" s="14">
        <f t="shared" si="1"/>
        <v>33</v>
      </c>
      <c r="H2856" s="23" t="s">
        <v>26</v>
      </c>
      <c r="I2856" s="24" t="s">
        <v>27</v>
      </c>
      <c r="J2856" s="19" t="s">
        <v>257</v>
      </c>
      <c r="K2856" s="14">
        <v>18.0</v>
      </c>
      <c r="L2856" s="14">
        <v>0.0</v>
      </c>
      <c r="M2856" s="25"/>
      <c r="N2856" s="26" t="s">
        <v>21</v>
      </c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7"/>
    </row>
    <row r="2857">
      <c r="A2857" s="14" t="s">
        <v>10284</v>
      </c>
      <c r="B2857" s="17" t="s">
        <v>10285</v>
      </c>
      <c r="C2857" s="17" t="s">
        <v>10286</v>
      </c>
      <c r="D2857" s="19" t="s">
        <v>10287</v>
      </c>
      <c r="E2857" s="20" t="s">
        <v>104</v>
      </c>
      <c r="F2857" s="21">
        <v>37538.0</v>
      </c>
      <c r="G2857" s="14">
        <f t="shared" si="1"/>
        <v>24</v>
      </c>
      <c r="H2857" s="23" t="s">
        <v>100</v>
      </c>
      <c r="I2857" s="24" t="s">
        <v>33</v>
      </c>
      <c r="J2857" s="19" t="s">
        <v>53</v>
      </c>
      <c r="K2857" s="14">
        <v>10.0</v>
      </c>
      <c r="L2857" s="14">
        <v>0.0</v>
      </c>
      <c r="M2857" s="25"/>
      <c r="N2857" s="26" t="s">
        <v>21</v>
      </c>
      <c r="O2857" s="7"/>
      <c r="P2857" s="7"/>
      <c r="Q2857" s="7"/>
      <c r="R2857" s="7"/>
      <c r="S2857" s="7"/>
      <c r="T2857" s="7"/>
      <c r="U2857" s="7"/>
      <c r="V2857" s="7"/>
      <c r="W2857" s="7"/>
      <c r="X2857" s="7"/>
      <c r="Y2857" s="7"/>
    </row>
    <row r="2858">
      <c r="A2858" s="14" t="s">
        <v>10288</v>
      </c>
      <c r="B2858" s="17" t="s">
        <v>10285</v>
      </c>
      <c r="C2858" s="17" t="s">
        <v>10289</v>
      </c>
      <c r="D2858" s="19" t="s">
        <v>10290</v>
      </c>
      <c r="E2858" s="20" t="s">
        <v>10291</v>
      </c>
      <c r="F2858" s="21">
        <v>21652.0</v>
      </c>
      <c r="G2858" s="14">
        <f t="shared" si="1"/>
        <v>67</v>
      </c>
      <c r="H2858" s="23" t="s">
        <v>27</v>
      </c>
      <c r="I2858" s="24" t="s">
        <v>33</v>
      </c>
      <c r="J2858" s="19" t="s">
        <v>53</v>
      </c>
      <c r="K2858" s="14">
        <v>10.0</v>
      </c>
      <c r="L2858" s="14">
        <v>0.0</v>
      </c>
      <c r="M2858" s="25"/>
      <c r="N2858" s="26" t="s">
        <v>21</v>
      </c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7"/>
    </row>
    <row r="2859">
      <c r="A2859" s="14" t="s">
        <v>10292</v>
      </c>
      <c r="B2859" s="17" t="s">
        <v>10293</v>
      </c>
      <c r="C2859" s="17" t="s">
        <v>10294</v>
      </c>
      <c r="D2859" s="19" t="s">
        <v>10295</v>
      </c>
      <c r="E2859" s="20" t="s">
        <v>138</v>
      </c>
      <c r="F2859" s="27">
        <v>36515.0</v>
      </c>
      <c r="G2859" s="14">
        <f t="shared" si="1"/>
        <v>26</v>
      </c>
      <c r="H2859" s="23" t="s">
        <v>26</v>
      </c>
      <c r="I2859" s="24" t="s">
        <v>27</v>
      </c>
      <c r="J2859" s="19" t="s">
        <v>95</v>
      </c>
      <c r="K2859" s="14">
        <v>13.0</v>
      </c>
      <c r="L2859" s="14">
        <v>0.0</v>
      </c>
      <c r="M2859" s="25"/>
      <c r="N2859" s="26" t="s">
        <v>21</v>
      </c>
      <c r="O2859" s="7"/>
      <c r="P2859" s="7"/>
      <c r="Q2859" s="7"/>
      <c r="R2859" s="7"/>
      <c r="S2859" s="7"/>
      <c r="T2859" s="7"/>
      <c r="U2859" s="7"/>
      <c r="V2859" s="7"/>
      <c r="W2859" s="7"/>
      <c r="X2859" s="7"/>
      <c r="Y2859" s="7"/>
    </row>
    <row r="2860">
      <c r="A2860" s="14" t="s">
        <v>10296</v>
      </c>
      <c r="B2860" s="17" t="s">
        <v>10293</v>
      </c>
      <c r="C2860" s="17" t="s">
        <v>10297</v>
      </c>
      <c r="D2860" s="19" t="s">
        <v>10298</v>
      </c>
      <c r="E2860" s="20" t="s">
        <v>150</v>
      </c>
      <c r="F2860" s="21">
        <v>36725.0</v>
      </c>
      <c r="G2860" s="14">
        <f t="shared" si="1"/>
        <v>26</v>
      </c>
      <c r="H2860" s="23" t="s">
        <v>26</v>
      </c>
      <c r="I2860" s="24" t="s">
        <v>33</v>
      </c>
      <c r="J2860" s="19" t="s">
        <v>95</v>
      </c>
      <c r="K2860" s="14">
        <v>13.0</v>
      </c>
      <c r="L2860" s="14">
        <v>0.0</v>
      </c>
      <c r="M2860" s="25"/>
      <c r="N2860" s="26" t="s">
        <v>21</v>
      </c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</row>
    <row r="2861">
      <c r="A2861" s="14" t="s">
        <v>10299</v>
      </c>
      <c r="B2861" s="17" t="s">
        <v>10300</v>
      </c>
      <c r="C2861" s="17" t="s">
        <v>10301</v>
      </c>
      <c r="D2861" s="19" t="s">
        <v>10302</v>
      </c>
      <c r="E2861" s="20" t="s">
        <v>880</v>
      </c>
      <c r="F2861" s="21">
        <v>16511.0</v>
      </c>
      <c r="G2861" s="14">
        <f t="shared" si="1"/>
        <v>81</v>
      </c>
      <c r="H2861" s="23" t="s">
        <v>26</v>
      </c>
      <c r="I2861" s="24" t="s">
        <v>27</v>
      </c>
      <c r="J2861" s="19" t="s">
        <v>53</v>
      </c>
      <c r="K2861" s="14">
        <v>18.0</v>
      </c>
      <c r="L2861" s="14">
        <v>0.0</v>
      </c>
      <c r="M2861" s="25"/>
      <c r="N2861" s="26" t="s">
        <v>21</v>
      </c>
      <c r="O2861" s="7"/>
      <c r="P2861" s="7"/>
      <c r="Q2861" s="7"/>
      <c r="R2861" s="7"/>
      <c r="S2861" s="7"/>
      <c r="T2861" s="7"/>
      <c r="U2861" s="7"/>
      <c r="V2861" s="7"/>
      <c r="W2861" s="7"/>
      <c r="X2861" s="7"/>
      <c r="Y2861" s="7"/>
    </row>
    <row r="2862">
      <c r="A2862" s="14" t="s">
        <v>10303</v>
      </c>
      <c r="B2862" s="17" t="s">
        <v>10300</v>
      </c>
      <c r="C2862" s="17" t="s">
        <v>10304</v>
      </c>
      <c r="D2862" s="19" t="s">
        <v>10305</v>
      </c>
      <c r="E2862" s="20" t="s">
        <v>10306</v>
      </c>
      <c r="F2862" s="21">
        <v>15463.0</v>
      </c>
      <c r="G2862" s="14">
        <f t="shared" si="1"/>
        <v>84</v>
      </c>
      <c r="H2862" s="23" t="s">
        <v>26</v>
      </c>
      <c r="I2862" s="24" t="s">
        <v>33</v>
      </c>
      <c r="J2862" s="19" t="s">
        <v>53</v>
      </c>
      <c r="K2862" s="14">
        <v>18.0</v>
      </c>
      <c r="L2862" s="14">
        <v>0.0</v>
      </c>
      <c r="M2862" s="25"/>
      <c r="N2862" s="26" t="s">
        <v>21</v>
      </c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7"/>
    </row>
    <row r="2863">
      <c r="A2863" s="14" t="s">
        <v>10307</v>
      </c>
      <c r="B2863" s="17" t="s">
        <v>10308</v>
      </c>
      <c r="C2863" s="17" t="s">
        <v>10309</v>
      </c>
      <c r="D2863" s="19" t="s">
        <v>10310</v>
      </c>
      <c r="E2863" s="20" t="s">
        <v>53</v>
      </c>
      <c r="F2863" s="21">
        <v>38954.0</v>
      </c>
      <c r="G2863" s="14">
        <f t="shared" si="1"/>
        <v>20</v>
      </c>
      <c r="H2863" s="23" t="s">
        <v>100</v>
      </c>
      <c r="I2863" s="24" t="s">
        <v>27</v>
      </c>
      <c r="J2863" s="19" t="s">
        <v>53</v>
      </c>
      <c r="K2863" s="14">
        <v>18.0</v>
      </c>
      <c r="L2863" s="14">
        <v>0.0</v>
      </c>
      <c r="M2863" s="25"/>
      <c r="N2863" s="26" t="s">
        <v>21</v>
      </c>
      <c r="O2863" s="7"/>
      <c r="P2863" s="7"/>
      <c r="Q2863" s="7"/>
      <c r="R2863" s="7"/>
      <c r="S2863" s="7"/>
      <c r="T2863" s="7"/>
      <c r="U2863" s="7"/>
      <c r="V2863" s="7"/>
      <c r="W2863" s="7"/>
      <c r="X2863" s="7"/>
      <c r="Y2863" s="7"/>
    </row>
    <row r="2864">
      <c r="A2864" s="14" t="s">
        <v>10311</v>
      </c>
      <c r="B2864" s="17" t="s">
        <v>10308</v>
      </c>
      <c r="C2864" s="17" t="s">
        <v>10312</v>
      </c>
      <c r="D2864" s="19" t="s">
        <v>8108</v>
      </c>
      <c r="E2864" s="20" t="s">
        <v>1058</v>
      </c>
      <c r="F2864" s="21">
        <v>27231.0</v>
      </c>
      <c r="G2864" s="14">
        <f t="shared" si="1"/>
        <v>52</v>
      </c>
      <c r="H2864" s="23" t="s">
        <v>26</v>
      </c>
      <c r="I2864" s="24" t="s">
        <v>27</v>
      </c>
      <c r="J2864" s="19" t="s">
        <v>53</v>
      </c>
      <c r="K2864" s="14">
        <v>18.0</v>
      </c>
      <c r="L2864" s="14">
        <v>0.0</v>
      </c>
      <c r="M2864" s="25"/>
      <c r="N2864" s="26" t="s">
        <v>21</v>
      </c>
      <c r="O2864" s="7"/>
      <c r="P2864" s="7"/>
      <c r="Q2864" s="7"/>
      <c r="R2864" s="7"/>
      <c r="S2864" s="7"/>
      <c r="T2864" s="7"/>
      <c r="U2864" s="7"/>
      <c r="V2864" s="7"/>
      <c r="W2864" s="7"/>
      <c r="X2864" s="7"/>
      <c r="Y2864" s="7"/>
    </row>
    <row r="2865">
      <c r="A2865" s="14" t="s">
        <v>10313</v>
      </c>
      <c r="B2865" s="17" t="s">
        <v>10308</v>
      </c>
      <c r="C2865" s="17" t="s">
        <v>10314</v>
      </c>
      <c r="D2865" s="19" t="s">
        <v>1143</v>
      </c>
      <c r="E2865" s="20" t="s">
        <v>1058</v>
      </c>
      <c r="F2865" s="21">
        <v>28360.0</v>
      </c>
      <c r="G2865" s="14">
        <f t="shared" si="1"/>
        <v>49</v>
      </c>
      <c r="H2865" s="23" t="s">
        <v>26</v>
      </c>
      <c r="I2865" s="24" t="s">
        <v>33</v>
      </c>
      <c r="J2865" s="19" t="s">
        <v>53</v>
      </c>
      <c r="K2865" s="14">
        <v>18.0</v>
      </c>
      <c r="L2865" s="14">
        <v>0.0</v>
      </c>
      <c r="M2865" s="25"/>
      <c r="N2865" s="26" t="s">
        <v>21</v>
      </c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7"/>
    </row>
    <row r="2866">
      <c r="A2866" s="14" t="s">
        <v>10315</v>
      </c>
      <c r="B2866" s="17" t="s">
        <v>10316</v>
      </c>
      <c r="C2866" s="17" t="s">
        <v>10317</v>
      </c>
      <c r="D2866" s="19" t="s">
        <v>10318</v>
      </c>
      <c r="E2866" s="20" t="s">
        <v>666</v>
      </c>
      <c r="F2866" s="27">
        <v>23325.0</v>
      </c>
      <c r="G2866" s="14">
        <f t="shared" si="1"/>
        <v>62</v>
      </c>
      <c r="H2866" s="23" t="s">
        <v>26</v>
      </c>
      <c r="I2866" s="24" t="s">
        <v>33</v>
      </c>
      <c r="J2866" s="19" t="s">
        <v>53</v>
      </c>
      <c r="K2866" s="14">
        <v>18.0</v>
      </c>
      <c r="L2866" s="14">
        <v>0.0</v>
      </c>
      <c r="M2866" s="25"/>
      <c r="N2866" s="26" t="s">
        <v>21</v>
      </c>
      <c r="O2866" s="7"/>
      <c r="P2866" s="7"/>
      <c r="Q2866" s="7"/>
      <c r="R2866" s="7"/>
      <c r="S2866" s="7"/>
      <c r="T2866" s="7"/>
      <c r="U2866" s="7"/>
      <c r="V2866" s="7"/>
      <c r="W2866" s="7"/>
      <c r="X2866" s="7"/>
      <c r="Y2866" s="7"/>
    </row>
    <row r="2867">
      <c r="A2867" s="14" t="s">
        <v>10319</v>
      </c>
      <c r="B2867" s="17" t="s">
        <v>10316</v>
      </c>
      <c r="C2867" s="17" t="s">
        <v>10320</v>
      </c>
      <c r="D2867" s="19" t="s">
        <v>3759</v>
      </c>
      <c r="E2867" s="20" t="s">
        <v>1049</v>
      </c>
      <c r="F2867" s="21">
        <v>24385.0</v>
      </c>
      <c r="G2867" s="14">
        <f t="shared" si="1"/>
        <v>60</v>
      </c>
      <c r="H2867" s="23" t="s">
        <v>26</v>
      </c>
      <c r="I2867" s="24" t="s">
        <v>27</v>
      </c>
      <c r="J2867" s="19" t="s">
        <v>53</v>
      </c>
      <c r="K2867" s="14">
        <v>18.0</v>
      </c>
      <c r="L2867" s="14">
        <v>0.0</v>
      </c>
      <c r="M2867" s="25"/>
      <c r="N2867" s="26" t="s">
        <v>21</v>
      </c>
      <c r="O2867" s="7"/>
      <c r="P2867" s="7"/>
      <c r="Q2867" s="7"/>
      <c r="R2867" s="7"/>
      <c r="S2867" s="7"/>
      <c r="T2867" s="7"/>
      <c r="U2867" s="7"/>
      <c r="V2867" s="7"/>
      <c r="W2867" s="7"/>
      <c r="X2867" s="7"/>
      <c r="Y2867" s="7"/>
    </row>
    <row r="2868">
      <c r="A2868" s="14" t="s">
        <v>10321</v>
      </c>
      <c r="B2868" s="17" t="s">
        <v>10322</v>
      </c>
      <c r="C2868" s="17" t="s">
        <v>10323</v>
      </c>
      <c r="D2868" s="19" t="s">
        <v>10324</v>
      </c>
      <c r="E2868" s="20" t="s">
        <v>1903</v>
      </c>
      <c r="F2868" s="21">
        <v>23457.0</v>
      </c>
      <c r="G2868" s="14">
        <f t="shared" si="1"/>
        <v>62</v>
      </c>
      <c r="H2868" s="23" t="s">
        <v>26</v>
      </c>
      <c r="I2868" s="24" t="s">
        <v>33</v>
      </c>
      <c r="J2868" s="19" t="s">
        <v>53</v>
      </c>
      <c r="K2868" s="14">
        <v>18.0</v>
      </c>
      <c r="L2868" s="14">
        <v>0.0</v>
      </c>
      <c r="M2868" s="25"/>
      <c r="N2868" s="26" t="s">
        <v>21</v>
      </c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</row>
    <row r="2869">
      <c r="A2869" s="14" t="s">
        <v>10325</v>
      </c>
      <c r="B2869" s="17" t="s">
        <v>10322</v>
      </c>
      <c r="C2869" s="17" t="s">
        <v>10326</v>
      </c>
      <c r="D2869" s="19" t="s">
        <v>10327</v>
      </c>
      <c r="E2869" s="20" t="s">
        <v>219</v>
      </c>
      <c r="F2869" s="21">
        <v>26746.0</v>
      </c>
      <c r="G2869" s="14">
        <f t="shared" si="1"/>
        <v>53</v>
      </c>
      <c r="H2869" s="23" t="s">
        <v>26</v>
      </c>
      <c r="I2869" s="24" t="s">
        <v>27</v>
      </c>
      <c r="J2869" s="19" t="s">
        <v>53</v>
      </c>
      <c r="K2869" s="14">
        <v>18.0</v>
      </c>
      <c r="L2869" s="14">
        <v>0.0</v>
      </c>
      <c r="M2869" s="25"/>
      <c r="N2869" s="26" t="s">
        <v>21</v>
      </c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7"/>
    </row>
    <row r="2870">
      <c r="A2870" s="14" t="s">
        <v>10328</v>
      </c>
      <c r="B2870" s="17" t="s">
        <v>10322</v>
      </c>
      <c r="C2870" s="17" t="s">
        <v>10329</v>
      </c>
      <c r="D2870" s="19" t="s">
        <v>10330</v>
      </c>
      <c r="E2870" s="20" t="s">
        <v>104</v>
      </c>
      <c r="F2870" s="21">
        <v>37091.0</v>
      </c>
      <c r="G2870" s="14">
        <f t="shared" si="1"/>
        <v>25</v>
      </c>
      <c r="H2870" s="23" t="s">
        <v>100</v>
      </c>
      <c r="I2870" s="24" t="s">
        <v>33</v>
      </c>
      <c r="J2870" s="19" t="s">
        <v>53</v>
      </c>
      <c r="K2870" s="14">
        <v>18.0</v>
      </c>
      <c r="L2870" s="14">
        <v>0.0</v>
      </c>
      <c r="M2870" s="25"/>
      <c r="N2870" s="26" t="s">
        <v>21</v>
      </c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</row>
    <row r="2871">
      <c r="A2871" s="14" t="s">
        <v>10331</v>
      </c>
      <c r="B2871" s="17" t="s">
        <v>10332</v>
      </c>
      <c r="C2871" s="17" t="s">
        <v>10333</v>
      </c>
      <c r="D2871" s="19" t="s">
        <v>10334</v>
      </c>
      <c r="E2871" s="20" t="s">
        <v>104</v>
      </c>
      <c r="F2871" s="21">
        <v>37393.0</v>
      </c>
      <c r="G2871" s="14">
        <f t="shared" si="1"/>
        <v>24</v>
      </c>
      <c r="H2871" s="23" t="s">
        <v>100</v>
      </c>
      <c r="I2871" s="24" t="s">
        <v>27</v>
      </c>
      <c r="J2871" s="19" t="s">
        <v>726</v>
      </c>
      <c r="K2871" s="14">
        <v>18.0</v>
      </c>
      <c r="L2871" s="14">
        <v>0.0</v>
      </c>
      <c r="M2871" s="25"/>
      <c r="N2871" s="26" t="s">
        <v>21</v>
      </c>
      <c r="O2871" s="7"/>
      <c r="P2871" s="7"/>
      <c r="Q2871" s="7"/>
      <c r="R2871" s="7"/>
      <c r="S2871" s="7"/>
      <c r="T2871" s="7"/>
      <c r="U2871" s="7"/>
      <c r="V2871" s="7"/>
      <c r="W2871" s="7"/>
      <c r="X2871" s="7"/>
      <c r="Y2871" s="7"/>
    </row>
    <row r="2872">
      <c r="A2872" s="14" t="s">
        <v>10335</v>
      </c>
      <c r="B2872" s="17" t="s">
        <v>10332</v>
      </c>
      <c r="C2872" s="17" t="s">
        <v>10336</v>
      </c>
      <c r="D2872" s="19" t="s">
        <v>5617</v>
      </c>
      <c r="E2872" s="20" t="s">
        <v>1049</v>
      </c>
      <c r="F2872" s="21">
        <v>25004.0</v>
      </c>
      <c r="G2872" s="14">
        <f t="shared" si="1"/>
        <v>58</v>
      </c>
      <c r="H2872" s="23" t="s">
        <v>26</v>
      </c>
      <c r="I2872" s="24" t="s">
        <v>33</v>
      </c>
      <c r="J2872" s="19" t="s">
        <v>726</v>
      </c>
      <c r="K2872" s="14">
        <v>18.0</v>
      </c>
      <c r="L2872" s="14">
        <v>0.0</v>
      </c>
      <c r="M2872" s="25"/>
      <c r="N2872" s="26" t="s">
        <v>21</v>
      </c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</row>
    <row r="2873">
      <c r="A2873" s="14" t="s">
        <v>10337</v>
      </c>
      <c r="B2873" s="17" t="s">
        <v>10332</v>
      </c>
      <c r="C2873" s="17" t="s">
        <v>10338</v>
      </c>
      <c r="D2873" s="19" t="s">
        <v>10339</v>
      </c>
      <c r="E2873" s="20" t="s">
        <v>650</v>
      </c>
      <c r="F2873" s="21">
        <v>26521.0</v>
      </c>
      <c r="G2873" s="14">
        <f t="shared" si="1"/>
        <v>54</v>
      </c>
      <c r="H2873" s="23" t="s">
        <v>26</v>
      </c>
      <c r="I2873" s="24" t="s">
        <v>27</v>
      </c>
      <c r="J2873" s="19" t="s">
        <v>726</v>
      </c>
      <c r="K2873" s="14">
        <v>18.0</v>
      </c>
      <c r="L2873" s="14">
        <v>0.0</v>
      </c>
      <c r="M2873" s="25"/>
      <c r="N2873" s="26" t="s">
        <v>21</v>
      </c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7"/>
    </row>
    <row r="2874">
      <c r="A2874" s="14" t="s">
        <v>10340</v>
      </c>
      <c r="B2874" s="17" t="s">
        <v>10341</v>
      </c>
      <c r="C2874" s="17" t="s">
        <v>10342</v>
      </c>
      <c r="D2874" s="19" t="s">
        <v>10343</v>
      </c>
      <c r="E2874" s="20" t="s">
        <v>650</v>
      </c>
      <c r="F2874" s="21">
        <v>16537.0</v>
      </c>
      <c r="G2874" s="14">
        <f t="shared" si="1"/>
        <v>81</v>
      </c>
      <c r="H2874" s="23" t="s">
        <v>26</v>
      </c>
      <c r="I2874" s="24" t="s">
        <v>33</v>
      </c>
      <c r="J2874" s="19" t="s">
        <v>517</v>
      </c>
      <c r="K2874" s="14">
        <v>7.0</v>
      </c>
      <c r="L2874" s="14">
        <v>0.0</v>
      </c>
      <c r="M2874" s="25"/>
      <c r="N2874" s="26" t="s">
        <v>21</v>
      </c>
      <c r="O2874" s="7"/>
      <c r="P2874" s="7"/>
      <c r="Q2874" s="7"/>
      <c r="R2874" s="7"/>
      <c r="S2874" s="7"/>
      <c r="T2874" s="7"/>
      <c r="U2874" s="7"/>
      <c r="V2874" s="7"/>
      <c r="W2874" s="7"/>
      <c r="X2874" s="7"/>
      <c r="Y2874" s="7"/>
    </row>
    <row r="2875">
      <c r="A2875" s="14" t="s">
        <v>10344</v>
      </c>
      <c r="B2875" s="17" t="s">
        <v>10341</v>
      </c>
      <c r="C2875" s="17" t="s">
        <v>10345</v>
      </c>
      <c r="D2875" s="19" t="s">
        <v>554</v>
      </c>
      <c r="E2875" s="20" t="s">
        <v>650</v>
      </c>
      <c r="F2875" s="21">
        <v>19637.0</v>
      </c>
      <c r="G2875" s="14">
        <f t="shared" si="1"/>
        <v>73</v>
      </c>
      <c r="H2875" s="23" t="s">
        <v>26</v>
      </c>
      <c r="I2875" s="24" t="s">
        <v>27</v>
      </c>
      <c r="J2875" s="19" t="s">
        <v>517</v>
      </c>
      <c r="K2875" s="14">
        <v>7.0</v>
      </c>
      <c r="L2875" s="14">
        <v>1.0</v>
      </c>
      <c r="M2875" s="25"/>
      <c r="N2875" s="26" t="s">
        <v>21</v>
      </c>
      <c r="O2875" s="7"/>
      <c r="P2875" s="7"/>
      <c r="Q2875" s="7"/>
      <c r="R2875" s="7"/>
      <c r="S2875" s="7"/>
      <c r="T2875" s="7"/>
      <c r="U2875" s="7"/>
      <c r="V2875" s="7"/>
      <c r="W2875" s="7"/>
      <c r="X2875" s="7"/>
      <c r="Y2875" s="7"/>
    </row>
    <row r="2876">
      <c r="A2876" s="14" t="s">
        <v>10346</v>
      </c>
      <c r="B2876" s="17" t="s">
        <v>10347</v>
      </c>
      <c r="C2876" s="17" t="s">
        <v>10348</v>
      </c>
      <c r="D2876" s="19" t="s">
        <v>10349</v>
      </c>
      <c r="E2876" s="20" t="s">
        <v>53</v>
      </c>
      <c r="F2876" s="21">
        <v>38558.0</v>
      </c>
      <c r="G2876" s="14">
        <f t="shared" si="1"/>
        <v>21</v>
      </c>
      <c r="H2876" s="23" t="s">
        <v>100</v>
      </c>
      <c r="I2876" s="24" t="s">
        <v>27</v>
      </c>
      <c r="J2876" s="19" t="s">
        <v>58</v>
      </c>
      <c r="K2876" s="14">
        <v>7.0</v>
      </c>
      <c r="L2876" s="14">
        <v>0.0</v>
      </c>
      <c r="M2876" s="25"/>
      <c r="N2876" s="26" t="s">
        <v>21</v>
      </c>
      <c r="O2876" s="7"/>
      <c r="P2876" s="7"/>
      <c r="Q2876" s="7"/>
      <c r="R2876" s="7"/>
      <c r="S2876" s="7"/>
      <c r="T2876" s="7"/>
      <c r="U2876" s="7"/>
      <c r="V2876" s="7"/>
      <c r="W2876" s="7"/>
      <c r="X2876" s="7"/>
      <c r="Y2876" s="7"/>
    </row>
    <row r="2877">
      <c r="A2877" s="14" t="s">
        <v>10350</v>
      </c>
      <c r="B2877" s="17" t="s">
        <v>10347</v>
      </c>
      <c r="C2877" s="17" t="s">
        <v>10351</v>
      </c>
      <c r="D2877" s="19" t="s">
        <v>10352</v>
      </c>
      <c r="E2877" s="20" t="s">
        <v>67</v>
      </c>
      <c r="F2877" s="21">
        <v>26913.0</v>
      </c>
      <c r="G2877" s="14">
        <f t="shared" si="1"/>
        <v>53</v>
      </c>
      <c r="H2877" s="23" t="s">
        <v>26</v>
      </c>
      <c r="I2877" s="24" t="s">
        <v>33</v>
      </c>
      <c r="J2877" s="19" t="s">
        <v>58</v>
      </c>
      <c r="K2877" s="14">
        <v>7.0</v>
      </c>
      <c r="L2877" s="14">
        <v>0.0</v>
      </c>
      <c r="M2877" s="25"/>
      <c r="N2877" s="26" t="s">
        <v>21</v>
      </c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7"/>
    </row>
    <row r="2878">
      <c r="A2878" s="14" t="s">
        <v>10353</v>
      </c>
      <c r="B2878" s="17" t="s">
        <v>10347</v>
      </c>
      <c r="C2878" s="17" t="s">
        <v>10354</v>
      </c>
      <c r="D2878" s="19" t="s">
        <v>10355</v>
      </c>
      <c r="E2878" s="20" t="s">
        <v>1291</v>
      </c>
      <c r="F2878" s="27">
        <v>27741.0</v>
      </c>
      <c r="G2878" s="14">
        <f t="shared" si="1"/>
        <v>50</v>
      </c>
      <c r="H2878" s="23" t="s">
        <v>26</v>
      </c>
      <c r="I2878" s="24" t="s">
        <v>27</v>
      </c>
      <c r="J2878" s="19" t="s">
        <v>58</v>
      </c>
      <c r="K2878" s="14">
        <v>7.0</v>
      </c>
      <c r="L2878" s="14">
        <v>0.0</v>
      </c>
      <c r="M2878" s="25"/>
      <c r="N2878" s="26" t="s">
        <v>21</v>
      </c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7"/>
    </row>
    <row r="2879">
      <c r="A2879" s="14" t="s">
        <v>10356</v>
      </c>
      <c r="B2879" s="17" t="s">
        <v>10347</v>
      </c>
      <c r="C2879" s="17" t="s">
        <v>10357</v>
      </c>
      <c r="D2879" s="19" t="s">
        <v>10358</v>
      </c>
      <c r="E2879" s="20" t="s">
        <v>53</v>
      </c>
      <c r="F2879" s="21">
        <v>36409.0</v>
      </c>
      <c r="G2879" s="14">
        <f t="shared" si="1"/>
        <v>27</v>
      </c>
      <c r="H2879" s="23" t="s">
        <v>100</v>
      </c>
      <c r="I2879" s="24" t="s">
        <v>33</v>
      </c>
      <c r="J2879" s="19" t="s">
        <v>58</v>
      </c>
      <c r="K2879" s="14">
        <v>7.0</v>
      </c>
      <c r="L2879" s="14">
        <v>0.0</v>
      </c>
      <c r="M2879" s="25"/>
      <c r="N2879" s="26" t="s">
        <v>21</v>
      </c>
      <c r="O2879" s="7"/>
      <c r="P2879" s="7"/>
      <c r="Q2879" s="7"/>
      <c r="R2879" s="7"/>
      <c r="S2879" s="7"/>
      <c r="T2879" s="7"/>
      <c r="U2879" s="7"/>
      <c r="V2879" s="7"/>
      <c r="W2879" s="7"/>
      <c r="X2879" s="7"/>
      <c r="Y2879" s="7"/>
    </row>
    <row r="2880">
      <c r="A2880" s="14" t="s">
        <v>10359</v>
      </c>
      <c r="B2880" s="17" t="s">
        <v>10360</v>
      </c>
      <c r="C2880" s="17" t="s">
        <v>10361</v>
      </c>
      <c r="D2880" s="19" t="s">
        <v>10362</v>
      </c>
      <c r="E2880" s="20" t="s">
        <v>10081</v>
      </c>
      <c r="F2880" s="27">
        <v>37582.0</v>
      </c>
      <c r="G2880" s="14">
        <f t="shared" si="1"/>
        <v>23</v>
      </c>
      <c r="H2880" s="23" t="s">
        <v>100</v>
      </c>
      <c r="I2880" s="24" t="s">
        <v>33</v>
      </c>
      <c r="J2880" s="19" t="s">
        <v>10363</v>
      </c>
      <c r="K2880" s="14">
        <v>6.0</v>
      </c>
      <c r="L2880" s="14">
        <v>0.0</v>
      </c>
      <c r="M2880" s="25"/>
      <c r="N2880" s="26" t="s">
        <v>21</v>
      </c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7"/>
    </row>
    <row r="2881">
      <c r="A2881" s="14" t="s">
        <v>10364</v>
      </c>
      <c r="B2881" s="17" t="s">
        <v>10360</v>
      </c>
      <c r="C2881" s="17" t="s">
        <v>10365</v>
      </c>
      <c r="D2881" s="19" t="s">
        <v>10366</v>
      </c>
      <c r="E2881" s="20" t="s">
        <v>53</v>
      </c>
      <c r="F2881" s="27">
        <v>38309.0</v>
      </c>
      <c r="G2881" s="14">
        <f t="shared" si="1"/>
        <v>21</v>
      </c>
      <c r="H2881" s="23" t="s">
        <v>100</v>
      </c>
      <c r="I2881" s="24" t="s">
        <v>27</v>
      </c>
      <c r="J2881" s="19" t="s">
        <v>10363</v>
      </c>
      <c r="K2881" s="14">
        <v>6.0</v>
      </c>
      <c r="L2881" s="14">
        <v>0.0</v>
      </c>
      <c r="M2881" s="25"/>
      <c r="N2881" s="26" t="s">
        <v>21</v>
      </c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7"/>
    </row>
    <row r="2882">
      <c r="A2882" s="14" t="s">
        <v>10367</v>
      </c>
      <c r="B2882" s="17" t="s">
        <v>10360</v>
      </c>
      <c r="C2882" s="17" t="s">
        <v>10368</v>
      </c>
      <c r="D2882" s="19" t="s">
        <v>10369</v>
      </c>
      <c r="E2882" s="20" t="s">
        <v>10081</v>
      </c>
      <c r="F2882" s="21">
        <v>27700.0</v>
      </c>
      <c r="G2882" s="14">
        <f t="shared" si="1"/>
        <v>50</v>
      </c>
      <c r="H2882" s="23" t="s">
        <v>26</v>
      </c>
      <c r="I2882" s="24" t="s">
        <v>33</v>
      </c>
      <c r="J2882" s="19" t="s">
        <v>10363</v>
      </c>
      <c r="K2882" s="14">
        <v>6.0</v>
      </c>
      <c r="L2882" s="14">
        <v>0.0</v>
      </c>
      <c r="M2882" s="25"/>
      <c r="N2882" s="26" t="s">
        <v>21</v>
      </c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7"/>
    </row>
    <row r="2883">
      <c r="A2883" s="14" t="s">
        <v>10370</v>
      </c>
      <c r="B2883" s="17" t="s">
        <v>10360</v>
      </c>
      <c r="C2883" s="17" t="s">
        <v>10371</v>
      </c>
      <c r="D2883" s="19" t="s">
        <v>10372</v>
      </c>
      <c r="E2883" s="20" t="s">
        <v>654</v>
      </c>
      <c r="F2883" s="21">
        <v>31172.0</v>
      </c>
      <c r="G2883" s="14">
        <f t="shared" si="1"/>
        <v>41</v>
      </c>
      <c r="H2883" s="23" t="s">
        <v>26</v>
      </c>
      <c r="I2883" s="24" t="s">
        <v>27</v>
      </c>
      <c r="J2883" s="19" t="s">
        <v>10363</v>
      </c>
      <c r="K2883" s="14">
        <v>6.0</v>
      </c>
      <c r="L2883" s="14">
        <v>0.0</v>
      </c>
      <c r="M2883" s="25"/>
      <c r="N2883" s="26" t="s">
        <v>21</v>
      </c>
      <c r="O2883" s="7"/>
      <c r="P2883" s="7"/>
      <c r="Q2883" s="7"/>
      <c r="R2883" s="7"/>
      <c r="S2883" s="7"/>
      <c r="T2883" s="7"/>
      <c r="U2883" s="7"/>
      <c r="V2883" s="7"/>
      <c r="W2883" s="7"/>
      <c r="X2883" s="7"/>
      <c r="Y2883" s="7"/>
    </row>
    <row r="2884">
      <c r="A2884" s="14" t="s">
        <v>10373</v>
      </c>
      <c r="B2884" s="17" t="s">
        <v>10374</v>
      </c>
      <c r="C2884" s="17" t="s">
        <v>10375</v>
      </c>
      <c r="D2884" s="19" t="s">
        <v>1487</v>
      </c>
      <c r="E2884" s="20" t="s">
        <v>650</v>
      </c>
      <c r="F2884" s="21">
        <v>26115.0</v>
      </c>
      <c r="G2884" s="14">
        <f t="shared" si="1"/>
        <v>55</v>
      </c>
      <c r="H2884" s="23" t="s">
        <v>26</v>
      </c>
      <c r="I2884" s="24" t="s">
        <v>33</v>
      </c>
      <c r="J2884" s="19" t="s">
        <v>53</v>
      </c>
      <c r="K2884" s="14">
        <v>7.0</v>
      </c>
      <c r="L2884" s="14">
        <v>0.0</v>
      </c>
      <c r="M2884" s="25"/>
      <c r="N2884" s="26" t="s">
        <v>21</v>
      </c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7"/>
    </row>
    <row r="2885">
      <c r="A2885" s="14" t="s">
        <v>10376</v>
      </c>
      <c r="B2885" s="17" t="s">
        <v>10374</v>
      </c>
      <c r="C2885" s="17" t="s">
        <v>10377</v>
      </c>
      <c r="D2885" s="19" t="s">
        <v>10378</v>
      </c>
      <c r="E2885" s="20" t="s">
        <v>104</v>
      </c>
      <c r="F2885" s="21">
        <v>37101.0</v>
      </c>
      <c r="G2885" s="14">
        <f t="shared" si="1"/>
        <v>25</v>
      </c>
      <c r="H2885" s="23" t="s">
        <v>100</v>
      </c>
      <c r="I2885" s="24" t="s">
        <v>27</v>
      </c>
      <c r="J2885" s="19" t="s">
        <v>53</v>
      </c>
      <c r="K2885" s="14">
        <v>7.0</v>
      </c>
      <c r="L2885" s="14">
        <v>0.0</v>
      </c>
      <c r="M2885" s="25"/>
      <c r="N2885" s="26" t="s">
        <v>21</v>
      </c>
      <c r="O2885" s="7"/>
      <c r="P2885" s="7"/>
      <c r="Q2885" s="7"/>
      <c r="R2885" s="7"/>
      <c r="S2885" s="7"/>
      <c r="T2885" s="7"/>
      <c r="U2885" s="7"/>
      <c r="V2885" s="7"/>
      <c r="W2885" s="7"/>
      <c r="X2885" s="7"/>
      <c r="Y2885" s="7"/>
    </row>
    <row r="2886">
      <c r="A2886" s="14" t="s">
        <v>10380</v>
      </c>
      <c r="B2886" s="17" t="s">
        <v>10381</v>
      </c>
      <c r="C2886" s="17" t="s">
        <v>10382</v>
      </c>
      <c r="D2886" s="19" t="s">
        <v>10383</v>
      </c>
      <c r="E2886" s="20" t="s">
        <v>104</v>
      </c>
      <c r="F2886" s="21">
        <v>29419.0</v>
      </c>
      <c r="G2886" s="14">
        <f t="shared" si="1"/>
        <v>46</v>
      </c>
      <c r="H2886" s="23" t="s">
        <v>26</v>
      </c>
      <c r="I2886" s="24" t="s">
        <v>33</v>
      </c>
      <c r="J2886" s="19" t="s">
        <v>146</v>
      </c>
      <c r="K2886" s="14">
        <v>1.0</v>
      </c>
      <c r="L2886" s="14">
        <v>0.0</v>
      </c>
      <c r="M2886" s="25"/>
      <c r="N2886" s="26" t="s">
        <v>21</v>
      </c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7"/>
    </row>
    <row r="2887">
      <c r="A2887" s="14" t="s">
        <v>10384</v>
      </c>
      <c r="B2887" s="17" t="s">
        <v>10381</v>
      </c>
      <c r="C2887" s="17" t="s">
        <v>10385</v>
      </c>
      <c r="D2887" s="19" t="s">
        <v>10386</v>
      </c>
      <c r="E2887" s="20" t="s">
        <v>104</v>
      </c>
      <c r="F2887" s="21">
        <v>30816.0</v>
      </c>
      <c r="G2887" s="14">
        <f t="shared" si="1"/>
        <v>42</v>
      </c>
      <c r="H2887" s="23" t="s">
        <v>26</v>
      </c>
      <c r="I2887" s="24" t="s">
        <v>27</v>
      </c>
      <c r="J2887" s="19" t="s">
        <v>146</v>
      </c>
      <c r="K2887" s="14">
        <v>1.0</v>
      </c>
      <c r="L2887" s="14">
        <v>0.0</v>
      </c>
      <c r="M2887" s="25"/>
      <c r="N2887" s="26" t="s">
        <v>21</v>
      </c>
      <c r="O2887" s="7"/>
      <c r="P2887" s="7"/>
      <c r="Q2887" s="7"/>
      <c r="R2887" s="7"/>
      <c r="S2887" s="7"/>
      <c r="T2887" s="7"/>
      <c r="U2887" s="7"/>
      <c r="V2887" s="7"/>
      <c r="W2887" s="7"/>
      <c r="X2887" s="7"/>
      <c r="Y2887" s="7"/>
    </row>
    <row r="2888">
      <c r="A2888" s="14" t="s">
        <v>10387</v>
      </c>
      <c r="B2888" s="17" t="s">
        <v>10388</v>
      </c>
      <c r="C2888" s="17" t="s">
        <v>10389</v>
      </c>
      <c r="D2888" s="19" t="s">
        <v>10390</v>
      </c>
      <c r="E2888" s="20" t="s">
        <v>138</v>
      </c>
      <c r="F2888" s="21">
        <v>27445.0</v>
      </c>
      <c r="G2888" s="14">
        <f t="shared" si="1"/>
        <v>51</v>
      </c>
      <c r="H2888" s="23" t="s">
        <v>26</v>
      </c>
      <c r="I2888" s="24" t="s">
        <v>27</v>
      </c>
      <c r="J2888" s="19" t="s">
        <v>53</v>
      </c>
      <c r="K2888" s="14">
        <v>10.0</v>
      </c>
      <c r="L2888" s="14">
        <v>0.0</v>
      </c>
      <c r="M2888" s="25"/>
      <c r="N2888" s="26" t="s">
        <v>21</v>
      </c>
      <c r="O2888" s="7"/>
      <c r="P2888" s="7"/>
      <c r="Q2888" s="7"/>
      <c r="R2888" s="7"/>
      <c r="S2888" s="7"/>
      <c r="T2888" s="7"/>
      <c r="U2888" s="7"/>
      <c r="V2888" s="7"/>
      <c r="W2888" s="7"/>
      <c r="X2888" s="7"/>
      <c r="Y2888" s="7"/>
    </row>
    <row r="2889">
      <c r="A2889" s="14" t="s">
        <v>10391</v>
      </c>
      <c r="B2889" s="17" t="s">
        <v>10388</v>
      </c>
      <c r="C2889" s="17" t="s">
        <v>10392</v>
      </c>
      <c r="D2889" s="19" t="s">
        <v>10393</v>
      </c>
      <c r="E2889" s="20" t="s">
        <v>984</v>
      </c>
      <c r="F2889" s="21">
        <v>22687.0</v>
      </c>
      <c r="G2889" s="14">
        <f t="shared" si="1"/>
        <v>64</v>
      </c>
      <c r="H2889" s="23" t="s">
        <v>26</v>
      </c>
      <c r="I2889" s="24" t="s">
        <v>33</v>
      </c>
      <c r="J2889" s="19" t="s">
        <v>53</v>
      </c>
      <c r="K2889" s="14">
        <v>10.0</v>
      </c>
      <c r="L2889" s="14">
        <v>0.0</v>
      </c>
      <c r="M2889" s="25"/>
      <c r="N2889" s="26" t="s">
        <v>21</v>
      </c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7"/>
    </row>
    <row r="2890">
      <c r="A2890" s="14" t="s">
        <v>10394</v>
      </c>
      <c r="B2890" s="17" t="s">
        <v>10395</v>
      </c>
      <c r="C2890" s="17" t="s">
        <v>10396</v>
      </c>
      <c r="D2890" s="19" t="s">
        <v>10397</v>
      </c>
      <c r="E2890" s="20" t="s">
        <v>650</v>
      </c>
      <c r="F2890" s="21">
        <v>26053.0</v>
      </c>
      <c r="G2890" s="14">
        <f t="shared" si="1"/>
        <v>55</v>
      </c>
      <c r="H2890" s="23" t="s">
        <v>26</v>
      </c>
      <c r="I2890" s="24" t="s">
        <v>27</v>
      </c>
      <c r="J2890" s="19" t="s">
        <v>53</v>
      </c>
      <c r="K2890" s="14">
        <v>10.0</v>
      </c>
      <c r="L2890" s="14">
        <v>5.0</v>
      </c>
      <c r="M2890" s="25"/>
      <c r="N2890" s="26" t="s">
        <v>21</v>
      </c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7"/>
    </row>
    <row r="2891">
      <c r="A2891" s="14" t="s">
        <v>10398</v>
      </c>
      <c r="B2891" s="17" t="s">
        <v>10395</v>
      </c>
      <c r="C2891" s="17" t="s">
        <v>10399</v>
      </c>
      <c r="D2891" s="19" t="s">
        <v>4523</v>
      </c>
      <c r="E2891" s="20" t="s">
        <v>650</v>
      </c>
      <c r="F2891" s="21">
        <v>24218.0</v>
      </c>
      <c r="G2891" s="14">
        <f t="shared" si="1"/>
        <v>60</v>
      </c>
      <c r="H2891" s="23" t="s">
        <v>26</v>
      </c>
      <c r="I2891" s="24" t="s">
        <v>33</v>
      </c>
      <c r="J2891" s="19" t="s">
        <v>53</v>
      </c>
      <c r="K2891" s="14">
        <v>10.0</v>
      </c>
      <c r="L2891" s="14">
        <v>5.0</v>
      </c>
      <c r="M2891" s="25"/>
      <c r="N2891" s="26" t="s">
        <v>21</v>
      </c>
      <c r="O2891" s="7"/>
      <c r="P2891" s="7"/>
      <c r="Q2891" s="7"/>
      <c r="R2891" s="7"/>
      <c r="S2891" s="7"/>
      <c r="T2891" s="7"/>
      <c r="U2891" s="7"/>
      <c r="V2891" s="7"/>
      <c r="W2891" s="7"/>
      <c r="X2891" s="7"/>
      <c r="Y2891" s="7"/>
    </row>
    <row r="2892">
      <c r="A2892" s="14" t="s">
        <v>10400</v>
      </c>
      <c r="B2892" s="17" t="s">
        <v>10401</v>
      </c>
      <c r="C2892" s="17" t="s">
        <v>10402</v>
      </c>
      <c r="D2892" s="19" t="s">
        <v>10403</v>
      </c>
      <c r="E2892" s="20" t="s">
        <v>1622</v>
      </c>
      <c r="F2892" s="21">
        <v>31673.0</v>
      </c>
      <c r="G2892" s="14">
        <f t="shared" si="1"/>
        <v>40</v>
      </c>
      <c r="H2892" s="23" t="s">
        <v>26</v>
      </c>
      <c r="I2892" s="24" t="s">
        <v>27</v>
      </c>
      <c r="J2892" s="19" t="s">
        <v>53</v>
      </c>
      <c r="K2892" s="14">
        <v>10.0</v>
      </c>
      <c r="L2892" s="14">
        <v>0.0</v>
      </c>
      <c r="M2892" s="25"/>
      <c r="N2892" s="26" t="s">
        <v>21</v>
      </c>
      <c r="O2892" s="7"/>
      <c r="P2892" s="7"/>
      <c r="Q2892" s="7"/>
      <c r="R2892" s="7"/>
      <c r="S2892" s="7"/>
      <c r="T2892" s="7"/>
      <c r="U2892" s="7"/>
      <c r="V2892" s="7"/>
      <c r="W2892" s="7"/>
      <c r="X2892" s="7"/>
      <c r="Y2892" s="7"/>
    </row>
    <row r="2893">
      <c r="A2893" s="14" t="s">
        <v>10404</v>
      </c>
      <c r="B2893" s="17" t="s">
        <v>10401</v>
      </c>
      <c r="C2893" s="17" t="s">
        <v>10405</v>
      </c>
      <c r="D2893" s="19" t="s">
        <v>10406</v>
      </c>
      <c r="E2893" s="20" t="s">
        <v>654</v>
      </c>
      <c r="F2893" s="21">
        <v>26198.0</v>
      </c>
      <c r="G2893" s="14">
        <f t="shared" si="1"/>
        <v>55</v>
      </c>
      <c r="H2893" s="23" t="s">
        <v>26</v>
      </c>
      <c r="I2893" s="24" t="s">
        <v>33</v>
      </c>
      <c r="J2893" s="19" t="s">
        <v>53</v>
      </c>
      <c r="K2893" s="14">
        <v>10.0</v>
      </c>
      <c r="L2893" s="14">
        <v>0.0</v>
      </c>
      <c r="M2893" s="25"/>
      <c r="N2893" s="26" t="s">
        <v>21</v>
      </c>
      <c r="O2893" s="7"/>
      <c r="P2893" s="7"/>
      <c r="Q2893" s="7"/>
      <c r="R2893" s="7"/>
      <c r="S2893" s="7"/>
      <c r="T2893" s="7"/>
      <c r="U2893" s="7"/>
      <c r="V2893" s="7"/>
      <c r="W2893" s="7"/>
      <c r="X2893" s="7"/>
      <c r="Y2893" s="7"/>
    </row>
    <row r="2894">
      <c r="A2894" s="14" t="s">
        <v>10407</v>
      </c>
      <c r="B2894" s="17" t="s">
        <v>10408</v>
      </c>
      <c r="C2894" s="17" t="s">
        <v>10409</v>
      </c>
      <c r="D2894" s="19" t="s">
        <v>10410</v>
      </c>
      <c r="E2894" s="20" t="s">
        <v>654</v>
      </c>
      <c r="F2894" s="21">
        <v>27942.0</v>
      </c>
      <c r="G2894" s="14">
        <f t="shared" si="1"/>
        <v>50</v>
      </c>
      <c r="H2894" s="23" t="s">
        <v>26</v>
      </c>
      <c r="I2894" s="24" t="s">
        <v>27</v>
      </c>
      <c r="J2894" s="19" t="s">
        <v>517</v>
      </c>
      <c r="K2894" s="14">
        <v>7.0</v>
      </c>
      <c r="L2894" s="14">
        <v>0.0</v>
      </c>
      <c r="M2894" s="25"/>
      <c r="N2894" s="26" t="s">
        <v>21</v>
      </c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7"/>
    </row>
    <row r="2895">
      <c r="A2895" s="14" t="s">
        <v>10411</v>
      </c>
      <c r="B2895" s="17" t="s">
        <v>10408</v>
      </c>
      <c r="C2895" s="17" t="s">
        <v>10412</v>
      </c>
      <c r="D2895" s="19" t="s">
        <v>4523</v>
      </c>
      <c r="E2895" s="20" t="s">
        <v>654</v>
      </c>
      <c r="F2895" s="21">
        <v>23193.0</v>
      </c>
      <c r="G2895" s="14">
        <f t="shared" si="1"/>
        <v>63</v>
      </c>
      <c r="H2895" s="23" t="s">
        <v>26</v>
      </c>
      <c r="I2895" s="24" t="s">
        <v>33</v>
      </c>
      <c r="J2895" s="19" t="s">
        <v>517</v>
      </c>
      <c r="K2895" s="14">
        <v>7.0</v>
      </c>
      <c r="L2895" s="14">
        <v>0.0</v>
      </c>
      <c r="M2895" s="25"/>
      <c r="N2895" s="26" t="s">
        <v>21</v>
      </c>
      <c r="O2895" s="7"/>
      <c r="P2895" s="7"/>
      <c r="Q2895" s="7"/>
      <c r="R2895" s="7"/>
      <c r="S2895" s="7"/>
      <c r="T2895" s="7"/>
      <c r="U2895" s="7"/>
      <c r="V2895" s="7"/>
      <c r="W2895" s="7"/>
      <c r="X2895" s="7"/>
      <c r="Y2895" s="7"/>
    </row>
    <row r="2896">
      <c r="A2896" s="14" t="s">
        <v>10413</v>
      </c>
      <c r="B2896" s="17" t="s">
        <v>10414</v>
      </c>
      <c r="C2896" s="17" t="s">
        <v>10415</v>
      </c>
      <c r="D2896" s="19" t="s">
        <v>5348</v>
      </c>
      <c r="E2896" s="20" t="s">
        <v>104</v>
      </c>
      <c r="F2896" s="21">
        <v>29768.0</v>
      </c>
      <c r="G2896" s="14">
        <f t="shared" si="1"/>
        <v>45</v>
      </c>
      <c r="H2896" s="23" t="s">
        <v>26</v>
      </c>
      <c r="I2896" s="24" t="s">
        <v>27</v>
      </c>
      <c r="J2896" s="19" t="s">
        <v>146</v>
      </c>
      <c r="K2896" s="14">
        <v>7.0</v>
      </c>
      <c r="L2896" s="14">
        <v>0.0</v>
      </c>
      <c r="M2896" s="25"/>
      <c r="N2896" s="26" t="s">
        <v>21</v>
      </c>
      <c r="O2896" s="7"/>
      <c r="P2896" s="7"/>
      <c r="Q2896" s="7"/>
      <c r="R2896" s="7"/>
      <c r="S2896" s="7"/>
      <c r="T2896" s="7"/>
      <c r="U2896" s="7"/>
      <c r="V2896" s="7"/>
      <c r="W2896" s="7"/>
      <c r="X2896" s="7"/>
      <c r="Y2896" s="7"/>
    </row>
    <row r="2897">
      <c r="A2897" s="14" t="s">
        <v>10416</v>
      </c>
      <c r="B2897" s="52" t="s">
        <v>12236</v>
      </c>
      <c r="C2897" s="17" t="s">
        <v>10418</v>
      </c>
      <c r="D2897" s="19" t="s">
        <v>10419</v>
      </c>
      <c r="E2897" s="20" t="s">
        <v>104</v>
      </c>
      <c r="F2897" s="21">
        <v>36428.0</v>
      </c>
      <c r="G2897" s="14">
        <f t="shared" si="1"/>
        <v>27</v>
      </c>
      <c r="H2897" s="23" t="s">
        <v>100</v>
      </c>
      <c r="I2897" s="24" t="s">
        <v>33</v>
      </c>
      <c r="J2897" s="19" t="s">
        <v>53</v>
      </c>
      <c r="K2897" s="14">
        <v>9.0</v>
      </c>
      <c r="L2897" s="14">
        <v>0.0</v>
      </c>
      <c r="M2897" s="25"/>
      <c r="N2897" s="26" t="s">
        <v>21</v>
      </c>
      <c r="O2897" s="7"/>
      <c r="P2897" s="7"/>
      <c r="Q2897" s="7"/>
      <c r="R2897" s="7"/>
      <c r="S2897" s="7"/>
      <c r="T2897" s="7"/>
      <c r="U2897" s="7"/>
      <c r="V2897" s="7"/>
      <c r="W2897" s="7"/>
      <c r="X2897" s="7"/>
      <c r="Y2897" s="7"/>
    </row>
    <row r="2898">
      <c r="A2898" s="14" t="s">
        <v>10420</v>
      </c>
      <c r="B2898" s="17" t="s">
        <v>10417</v>
      </c>
      <c r="C2898" s="17" t="s">
        <v>10421</v>
      </c>
      <c r="D2898" s="19" t="s">
        <v>10422</v>
      </c>
      <c r="E2898" s="20" t="s">
        <v>880</v>
      </c>
      <c r="F2898" s="21">
        <v>28280.0</v>
      </c>
      <c r="G2898" s="14">
        <f t="shared" si="1"/>
        <v>49</v>
      </c>
      <c r="H2898" s="23" t="s">
        <v>26</v>
      </c>
      <c r="I2898" s="24" t="s">
        <v>27</v>
      </c>
      <c r="J2898" s="19" t="s">
        <v>53</v>
      </c>
      <c r="K2898" s="14">
        <v>9.0</v>
      </c>
      <c r="L2898" s="14">
        <v>0.0</v>
      </c>
      <c r="M2898" s="25"/>
      <c r="N2898" s="26" t="s">
        <v>21</v>
      </c>
      <c r="O2898" s="7"/>
      <c r="P2898" s="7"/>
      <c r="Q2898" s="7"/>
      <c r="R2898" s="7"/>
      <c r="S2898" s="7"/>
      <c r="T2898" s="7"/>
      <c r="U2898" s="7"/>
      <c r="V2898" s="7"/>
      <c r="W2898" s="7"/>
      <c r="X2898" s="7"/>
      <c r="Y2898" s="7"/>
    </row>
    <row r="2899">
      <c r="A2899" s="14" t="s">
        <v>10423</v>
      </c>
      <c r="B2899" s="17" t="s">
        <v>10417</v>
      </c>
      <c r="C2899" s="17" t="s">
        <v>10424</v>
      </c>
      <c r="D2899" s="19" t="s">
        <v>10425</v>
      </c>
      <c r="E2899" s="20" t="s">
        <v>605</v>
      </c>
      <c r="F2899" s="27">
        <v>25568.0</v>
      </c>
      <c r="G2899" s="14">
        <f t="shared" si="1"/>
        <v>56</v>
      </c>
      <c r="H2899" s="23" t="s">
        <v>26</v>
      </c>
      <c r="I2899" s="24" t="s">
        <v>33</v>
      </c>
      <c r="J2899" s="19" t="s">
        <v>53</v>
      </c>
      <c r="K2899" s="14">
        <v>9.0</v>
      </c>
      <c r="L2899" s="14">
        <v>0.0</v>
      </c>
      <c r="M2899" s="25"/>
      <c r="N2899" s="26" t="s">
        <v>21</v>
      </c>
      <c r="O2899" s="7"/>
      <c r="P2899" s="7"/>
      <c r="Q2899" s="7"/>
      <c r="R2899" s="7"/>
      <c r="S2899" s="7"/>
      <c r="T2899" s="7"/>
      <c r="U2899" s="7"/>
      <c r="V2899" s="7"/>
      <c r="W2899" s="7"/>
      <c r="X2899" s="7"/>
      <c r="Y2899" s="7"/>
    </row>
    <row r="2900">
      <c r="A2900" s="14" t="s">
        <v>10426</v>
      </c>
      <c r="B2900" s="17" t="s">
        <v>10427</v>
      </c>
      <c r="C2900" s="17" t="s">
        <v>10428</v>
      </c>
      <c r="D2900" s="19" t="s">
        <v>10429</v>
      </c>
      <c r="E2900" s="20" t="s">
        <v>10430</v>
      </c>
      <c r="F2900" s="21">
        <v>25299.0</v>
      </c>
      <c r="G2900" s="14">
        <f t="shared" si="1"/>
        <v>57</v>
      </c>
      <c r="H2900" s="23" t="s">
        <v>26</v>
      </c>
      <c r="I2900" s="24" t="s">
        <v>33</v>
      </c>
      <c r="J2900" s="19" t="s">
        <v>68</v>
      </c>
      <c r="K2900" s="14">
        <v>33.0</v>
      </c>
      <c r="L2900" s="14">
        <v>0.0</v>
      </c>
      <c r="M2900" s="25"/>
      <c r="N2900" s="26" t="s">
        <v>21</v>
      </c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</row>
    <row r="2901">
      <c r="A2901" s="14" t="s">
        <v>10431</v>
      </c>
      <c r="B2901" s="17" t="s">
        <v>10427</v>
      </c>
      <c r="C2901" s="17" t="s">
        <v>10432</v>
      </c>
      <c r="D2901" s="19" t="s">
        <v>10433</v>
      </c>
      <c r="E2901" s="20" t="s">
        <v>53</v>
      </c>
      <c r="F2901" s="21">
        <v>28495.0</v>
      </c>
      <c r="G2901" s="14">
        <f t="shared" si="1"/>
        <v>48</v>
      </c>
      <c r="H2901" s="23" t="s">
        <v>26</v>
      </c>
      <c r="I2901" s="24" t="s">
        <v>27</v>
      </c>
      <c r="J2901" s="19" t="s">
        <v>68</v>
      </c>
      <c r="K2901" s="14">
        <v>33.0</v>
      </c>
      <c r="L2901" s="14">
        <v>0.0</v>
      </c>
      <c r="M2901" s="25"/>
      <c r="N2901" s="26" t="s">
        <v>21</v>
      </c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7"/>
    </row>
    <row r="2902">
      <c r="A2902" s="14" t="s">
        <v>10434</v>
      </c>
      <c r="B2902" s="17" t="s">
        <v>6738</v>
      </c>
      <c r="C2902" s="17" t="s">
        <v>10436</v>
      </c>
      <c r="D2902" s="19" t="s">
        <v>10437</v>
      </c>
      <c r="E2902" s="20" t="s">
        <v>53</v>
      </c>
      <c r="F2902" s="21">
        <v>36191.0</v>
      </c>
      <c r="G2902" s="14">
        <f t="shared" si="1"/>
        <v>27</v>
      </c>
      <c r="H2902" s="23" t="s">
        <v>100</v>
      </c>
      <c r="I2902" s="24" t="s">
        <v>33</v>
      </c>
      <c r="J2902" s="19" t="s">
        <v>10438</v>
      </c>
      <c r="K2902" s="14">
        <v>26.0</v>
      </c>
      <c r="L2902" s="14">
        <v>0.0</v>
      </c>
      <c r="M2902" s="25"/>
      <c r="N2902" s="26" t="s">
        <v>21</v>
      </c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</row>
    <row r="2903">
      <c r="A2903" s="14" t="s">
        <v>10439</v>
      </c>
      <c r="B2903" s="17" t="s">
        <v>10435</v>
      </c>
      <c r="C2903" s="17" t="s">
        <v>10440</v>
      </c>
      <c r="D2903" s="19" t="s">
        <v>10441</v>
      </c>
      <c r="E2903" s="20" t="s">
        <v>10442</v>
      </c>
      <c r="F2903" s="21">
        <v>26706.0</v>
      </c>
      <c r="G2903" s="14">
        <f t="shared" si="1"/>
        <v>53</v>
      </c>
      <c r="H2903" s="23" t="s">
        <v>26</v>
      </c>
      <c r="I2903" s="24" t="s">
        <v>33</v>
      </c>
      <c r="J2903" s="19" t="s">
        <v>10438</v>
      </c>
      <c r="K2903" s="14">
        <v>8.0</v>
      </c>
      <c r="L2903" s="14">
        <v>0.0</v>
      </c>
      <c r="M2903" s="25"/>
      <c r="N2903" s="26" t="s">
        <v>21</v>
      </c>
      <c r="O2903" s="7"/>
      <c r="P2903" s="7"/>
      <c r="Q2903" s="7"/>
      <c r="R2903" s="7"/>
      <c r="S2903" s="7"/>
      <c r="T2903" s="7"/>
      <c r="U2903" s="7"/>
      <c r="V2903" s="7"/>
      <c r="W2903" s="7"/>
      <c r="X2903" s="7"/>
      <c r="Y2903" s="7"/>
    </row>
    <row r="2904">
      <c r="A2904" s="14" t="s">
        <v>10443</v>
      </c>
      <c r="B2904" s="17" t="s">
        <v>10435</v>
      </c>
      <c r="C2904" s="17" t="s">
        <v>10444</v>
      </c>
      <c r="D2904" s="19" t="s">
        <v>10445</v>
      </c>
      <c r="E2904" s="20" t="s">
        <v>544</v>
      </c>
      <c r="F2904" s="21">
        <v>26609.0</v>
      </c>
      <c r="G2904" s="14">
        <f t="shared" si="1"/>
        <v>53</v>
      </c>
      <c r="H2904" s="23" t="s">
        <v>26</v>
      </c>
      <c r="I2904" s="24" t="s">
        <v>27</v>
      </c>
      <c r="J2904" s="19" t="s">
        <v>10438</v>
      </c>
      <c r="K2904" s="14">
        <v>8.0</v>
      </c>
      <c r="L2904" s="14">
        <v>0.0</v>
      </c>
      <c r="M2904" s="25"/>
      <c r="N2904" s="26" t="s">
        <v>21</v>
      </c>
      <c r="O2904" s="7"/>
      <c r="P2904" s="7"/>
      <c r="Q2904" s="7"/>
      <c r="R2904" s="7"/>
      <c r="S2904" s="7"/>
      <c r="T2904" s="7"/>
      <c r="U2904" s="7"/>
      <c r="V2904" s="7"/>
      <c r="W2904" s="7"/>
      <c r="X2904" s="7"/>
      <c r="Y2904" s="7"/>
    </row>
    <row r="2905">
      <c r="A2905" s="14" t="s">
        <v>10446</v>
      </c>
      <c r="B2905" s="17" t="s">
        <v>10447</v>
      </c>
      <c r="C2905" s="17" t="s">
        <v>10448</v>
      </c>
      <c r="D2905" s="19" t="s">
        <v>10449</v>
      </c>
      <c r="E2905" s="20" t="s">
        <v>138</v>
      </c>
      <c r="F2905" s="21">
        <v>39305.0</v>
      </c>
      <c r="G2905" s="14">
        <f t="shared" si="1"/>
        <v>19</v>
      </c>
      <c r="H2905" s="23" t="s">
        <v>100</v>
      </c>
      <c r="I2905" s="24" t="s">
        <v>33</v>
      </c>
      <c r="J2905" s="19" t="s">
        <v>328</v>
      </c>
      <c r="K2905" s="14">
        <v>27.0</v>
      </c>
      <c r="L2905" s="14">
        <v>0.0</v>
      </c>
      <c r="M2905" s="25"/>
      <c r="N2905" s="26" t="s">
        <v>21</v>
      </c>
      <c r="O2905" s="7"/>
      <c r="P2905" s="7"/>
      <c r="Q2905" s="7"/>
      <c r="R2905" s="7"/>
      <c r="S2905" s="7"/>
      <c r="T2905" s="7"/>
      <c r="U2905" s="7"/>
      <c r="V2905" s="7"/>
      <c r="W2905" s="7"/>
      <c r="X2905" s="7"/>
      <c r="Y2905" s="7"/>
    </row>
    <row r="2906">
      <c r="A2906" s="14" t="s">
        <v>10450</v>
      </c>
      <c r="B2906" s="17" t="s">
        <v>10447</v>
      </c>
      <c r="C2906" s="17" t="s">
        <v>10451</v>
      </c>
      <c r="D2906" s="19" t="s">
        <v>10452</v>
      </c>
      <c r="E2906" s="20" t="s">
        <v>1291</v>
      </c>
      <c r="F2906" s="21">
        <v>22465.0</v>
      </c>
      <c r="G2906" s="14">
        <f t="shared" si="1"/>
        <v>65</v>
      </c>
      <c r="H2906" s="23" t="s">
        <v>26</v>
      </c>
      <c r="I2906" s="24" t="s">
        <v>33</v>
      </c>
      <c r="J2906" s="19" t="s">
        <v>328</v>
      </c>
      <c r="K2906" s="14">
        <v>27.0</v>
      </c>
      <c r="L2906" s="14">
        <v>0.0</v>
      </c>
      <c r="M2906" s="25"/>
      <c r="N2906" s="26" t="s">
        <v>21</v>
      </c>
      <c r="O2906" s="7"/>
      <c r="P2906" s="7"/>
      <c r="Q2906" s="7"/>
      <c r="R2906" s="7"/>
      <c r="S2906" s="7"/>
      <c r="T2906" s="7"/>
      <c r="U2906" s="7"/>
      <c r="V2906" s="7"/>
      <c r="W2906" s="7"/>
      <c r="X2906" s="7"/>
      <c r="Y2906" s="7"/>
    </row>
    <row r="2907">
      <c r="A2907" s="14" t="s">
        <v>10453</v>
      </c>
      <c r="B2907" s="17" t="s">
        <v>10447</v>
      </c>
      <c r="C2907" s="17" t="s">
        <v>10454</v>
      </c>
      <c r="D2907" s="19" t="s">
        <v>10455</v>
      </c>
      <c r="E2907" s="20" t="s">
        <v>53</v>
      </c>
      <c r="F2907" s="27">
        <v>35046.0</v>
      </c>
      <c r="G2907" s="14">
        <f t="shared" si="1"/>
        <v>30</v>
      </c>
      <c r="H2907" s="23" t="s">
        <v>100</v>
      </c>
      <c r="I2907" s="24" t="s">
        <v>33</v>
      </c>
      <c r="J2907" s="19" t="s">
        <v>328</v>
      </c>
      <c r="K2907" s="14">
        <v>27.0</v>
      </c>
      <c r="L2907" s="14">
        <v>5.0</v>
      </c>
      <c r="M2907" s="28" t="s">
        <v>12282</v>
      </c>
      <c r="N2907" s="26" t="s">
        <v>21</v>
      </c>
      <c r="O2907" s="7"/>
      <c r="P2907" s="7"/>
      <c r="Q2907" s="7"/>
      <c r="R2907" s="7"/>
      <c r="S2907" s="7"/>
      <c r="T2907" s="7"/>
      <c r="U2907" s="7"/>
      <c r="V2907" s="7"/>
      <c r="W2907" s="7"/>
      <c r="X2907" s="7"/>
      <c r="Y2907" s="7"/>
    </row>
    <row r="2908">
      <c r="A2908" s="14" t="s">
        <v>10456</v>
      </c>
      <c r="B2908" s="17" t="s">
        <v>10447</v>
      </c>
      <c r="C2908" s="17" t="s">
        <v>10457</v>
      </c>
      <c r="D2908" s="19" t="s">
        <v>10458</v>
      </c>
      <c r="E2908" s="20" t="s">
        <v>1291</v>
      </c>
      <c r="F2908" s="27">
        <v>26960.0</v>
      </c>
      <c r="G2908" s="14">
        <f t="shared" si="1"/>
        <v>53</v>
      </c>
      <c r="H2908" s="23" t="s">
        <v>26</v>
      </c>
      <c r="I2908" s="24" t="s">
        <v>27</v>
      </c>
      <c r="J2908" s="19" t="s">
        <v>328</v>
      </c>
      <c r="K2908" s="14">
        <v>27.0</v>
      </c>
      <c r="L2908" s="14">
        <v>0.0</v>
      </c>
      <c r="M2908" s="25"/>
      <c r="N2908" s="26" t="s">
        <v>21</v>
      </c>
      <c r="O2908" s="7"/>
      <c r="P2908" s="7"/>
      <c r="Q2908" s="7"/>
      <c r="R2908" s="7"/>
      <c r="S2908" s="7"/>
      <c r="T2908" s="7"/>
      <c r="U2908" s="7"/>
      <c r="V2908" s="7"/>
      <c r="W2908" s="7"/>
      <c r="X2908" s="7"/>
      <c r="Y2908" s="7"/>
    </row>
    <row r="2909">
      <c r="A2909" s="14" t="s">
        <v>10459</v>
      </c>
      <c r="B2909" s="17" t="s">
        <v>10460</v>
      </c>
      <c r="C2909" s="17" t="s">
        <v>10461</v>
      </c>
      <c r="D2909" s="19" t="s">
        <v>10462</v>
      </c>
      <c r="E2909" s="20" t="s">
        <v>53</v>
      </c>
      <c r="F2909" s="21">
        <v>32902.0</v>
      </c>
      <c r="G2909" s="14">
        <f t="shared" si="1"/>
        <v>36</v>
      </c>
      <c r="H2909" s="23" t="s">
        <v>26</v>
      </c>
      <c r="I2909" s="24" t="s">
        <v>27</v>
      </c>
      <c r="J2909" s="19" t="s">
        <v>58</v>
      </c>
      <c r="K2909" s="14">
        <v>9.0</v>
      </c>
      <c r="L2909" s="14">
        <v>0.0</v>
      </c>
      <c r="M2909" s="25"/>
      <c r="N2909" s="26" t="s">
        <v>21</v>
      </c>
      <c r="O2909" s="7"/>
      <c r="P2909" s="7"/>
      <c r="Q2909" s="7"/>
      <c r="R2909" s="7"/>
      <c r="S2909" s="7"/>
      <c r="T2909" s="7"/>
      <c r="U2909" s="7"/>
      <c r="V2909" s="7"/>
      <c r="W2909" s="7"/>
      <c r="X2909" s="7"/>
      <c r="Y2909" s="7"/>
    </row>
    <row r="2910">
      <c r="A2910" s="14" t="s">
        <v>10463</v>
      </c>
      <c r="B2910" s="17" t="s">
        <v>10460</v>
      </c>
      <c r="C2910" s="17" t="s">
        <v>10464</v>
      </c>
      <c r="D2910" s="19" t="s">
        <v>10465</v>
      </c>
      <c r="E2910" s="20" t="s">
        <v>231</v>
      </c>
      <c r="F2910" s="21">
        <v>29533.0</v>
      </c>
      <c r="G2910" s="14">
        <f t="shared" si="1"/>
        <v>45</v>
      </c>
      <c r="H2910" s="23" t="s">
        <v>26</v>
      </c>
      <c r="I2910" s="24" t="s">
        <v>33</v>
      </c>
      <c r="J2910" s="19" t="s">
        <v>58</v>
      </c>
      <c r="K2910" s="14">
        <v>9.0</v>
      </c>
      <c r="L2910" s="14">
        <v>0.0</v>
      </c>
      <c r="M2910" s="25"/>
      <c r="N2910" s="26" t="s">
        <v>21</v>
      </c>
      <c r="O2910" s="7"/>
      <c r="P2910" s="7"/>
      <c r="Q2910" s="7"/>
      <c r="R2910" s="7"/>
      <c r="S2910" s="7"/>
      <c r="T2910" s="7"/>
      <c r="U2910" s="7"/>
      <c r="V2910" s="7"/>
      <c r="W2910" s="7"/>
      <c r="X2910" s="7"/>
      <c r="Y2910" s="7"/>
    </row>
    <row r="2911">
      <c r="A2911" s="14" t="s">
        <v>10466</v>
      </c>
      <c r="B2911" s="17" t="s">
        <v>10467</v>
      </c>
      <c r="C2911" s="17" t="s">
        <v>10468</v>
      </c>
      <c r="D2911" s="19" t="s">
        <v>10469</v>
      </c>
      <c r="E2911" s="20" t="s">
        <v>138</v>
      </c>
      <c r="F2911" s="21">
        <v>29092.0</v>
      </c>
      <c r="G2911" s="14">
        <f t="shared" si="1"/>
        <v>47</v>
      </c>
      <c r="H2911" s="23" t="s">
        <v>100</v>
      </c>
      <c r="I2911" s="24" t="s">
        <v>33</v>
      </c>
      <c r="J2911" s="19" t="s">
        <v>68</v>
      </c>
      <c r="K2911" s="14">
        <v>29.0</v>
      </c>
      <c r="L2911" s="14">
        <v>0.0</v>
      </c>
      <c r="M2911" s="25"/>
      <c r="N2911" s="26" t="s">
        <v>21</v>
      </c>
      <c r="O2911" s="7"/>
      <c r="P2911" s="7"/>
      <c r="Q2911" s="7"/>
      <c r="R2911" s="7"/>
      <c r="S2911" s="7"/>
      <c r="T2911" s="7"/>
      <c r="U2911" s="7"/>
      <c r="V2911" s="7"/>
      <c r="W2911" s="7"/>
      <c r="X2911" s="7"/>
      <c r="Y2911" s="7"/>
    </row>
    <row r="2912">
      <c r="A2912" s="14" t="s">
        <v>10470</v>
      </c>
      <c r="B2912" s="17" t="s">
        <v>10467</v>
      </c>
      <c r="C2912" s="17" t="s">
        <v>10471</v>
      </c>
      <c r="D2912" s="19" t="s">
        <v>10472</v>
      </c>
      <c r="E2912" s="20" t="s">
        <v>1741</v>
      </c>
      <c r="F2912" s="21">
        <v>28019.0</v>
      </c>
      <c r="G2912" s="14">
        <f t="shared" si="1"/>
        <v>50</v>
      </c>
      <c r="H2912" s="23" t="s">
        <v>100</v>
      </c>
      <c r="I2912" s="24" t="s">
        <v>27</v>
      </c>
      <c r="J2912" s="19" t="s">
        <v>68</v>
      </c>
      <c r="K2912" s="14">
        <v>29.0</v>
      </c>
      <c r="L2912" s="14">
        <v>0.0</v>
      </c>
      <c r="M2912" s="25"/>
      <c r="N2912" s="26" t="s">
        <v>21</v>
      </c>
      <c r="O2912" s="7"/>
      <c r="P2912" s="7"/>
      <c r="Q2912" s="7"/>
      <c r="R2912" s="7"/>
      <c r="S2912" s="7"/>
      <c r="T2912" s="7"/>
      <c r="U2912" s="7"/>
      <c r="V2912" s="7"/>
      <c r="W2912" s="7"/>
      <c r="X2912" s="7"/>
      <c r="Y2912" s="7"/>
    </row>
    <row r="2913">
      <c r="A2913" s="14" t="s">
        <v>10473</v>
      </c>
      <c r="B2913" s="17" t="s">
        <v>10474</v>
      </c>
      <c r="C2913" s="17" t="s">
        <v>10475</v>
      </c>
      <c r="D2913" s="19" t="s">
        <v>10476</v>
      </c>
      <c r="E2913" s="20" t="s">
        <v>10477</v>
      </c>
      <c r="F2913" s="21">
        <v>36009.0</v>
      </c>
      <c r="G2913" s="14">
        <f t="shared" si="1"/>
        <v>28</v>
      </c>
      <c r="H2913" s="23" t="s">
        <v>100</v>
      </c>
      <c r="I2913" s="24" t="s">
        <v>33</v>
      </c>
      <c r="J2913" s="19" t="s">
        <v>282</v>
      </c>
      <c r="K2913" s="14">
        <v>13.0</v>
      </c>
      <c r="L2913" s="14">
        <v>0.0</v>
      </c>
      <c r="M2913" s="25"/>
      <c r="N2913" s="26" t="s">
        <v>21</v>
      </c>
      <c r="O2913" s="7"/>
      <c r="P2913" s="7"/>
      <c r="Q2913" s="7"/>
      <c r="R2913" s="7"/>
      <c r="S2913" s="7"/>
      <c r="T2913" s="7"/>
      <c r="U2913" s="7"/>
      <c r="V2913" s="7"/>
      <c r="W2913" s="7"/>
      <c r="X2913" s="7"/>
      <c r="Y2913" s="7"/>
    </row>
    <row r="2914">
      <c r="A2914" s="14" t="s">
        <v>10478</v>
      </c>
      <c r="B2914" s="17" t="s">
        <v>10474</v>
      </c>
      <c r="C2914" s="17" t="s">
        <v>10479</v>
      </c>
      <c r="D2914" s="19" t="s">
        <v>10480</v>
      </c>
      <c r="E2914" s="20" t="s">
        <v>112</v>
      </c>
      <c r="F2914" s="21">
        <v>26605.0</v>
      </c>
      <c r="G2914" s="14">
        <f t="shared" si="1"/>
        <v>53</v>
      </c>
      <c r="H2914" s="23" t="s">
        <v>26</v>
      </c>
      <c r="I2914" s="24" t="s">
        <v>33</v>
      </c>
      <c r="J2914" s="19" t="s">
        <v>282</v>
      </c>
      <c r="K2914" s="14">
        <v>13.0</v>
      </c>
      <c r="L2914" s="14">
        <v>0.0</v>
      </c>
      <c r="M2914" s="25"/>
      <c r="N2914" s="26" t="s">
        <v>21</v>
      </c>
      <c r="O2914" s="7"/>
      <c r="P2914" s="7"/>
      <c r="Q2914" s="7"/>
      <c r="R2914" s="7"/>
      <c r="S2914" s="7"/>
      <c r="T2914" s="7"/>
      <c r="U2914" s="7"/>
      <c r="V2914" s="7"/>
      <c r="W2914" s="7"/>
      <c r="X2914" s="7"/>
      <c r="Y2914" s="7"/>
    </row>
    <row r="2915">
      <c r="A2915" s="14" t="s">
        <v>10481</v>
      </c>
      <c r="B2915" s="17" t="s">
        <v>10474</v>
      </c>
      <c r="C2915" s="17" t="s">
        <v>10482</v>
      </c>
      <c r="D2915" s="19" t="s">
        <v>10483</v>
      </c>
      <c r="E2915" s="20" t="s">
        <v>53</v>
      </c>
      <c r="F2915" s="21">
        <v>37640.0</v>
      </c>
      <c r="G2915" s="14">
        <f t="shared" si="1"/>
        <v>23</v>
      </c>
      <c r="H2915" s="23" t="s">
        <v>100</v>
      </c>
      <c r="I2915" s="24" t="s">
        <v>33</v>
      </c>
      <c r="J2915" s="19" t="s">
        <v>282</v>
      </c>
      <c r="K2915" s="14">
        <v>13.0</v>
      </c>
      <c r="L2915" s="14">
        <v>0.0</v>
      </c>
      <c r="M2915" s="25"/>
      <c r="N2915" s="26" t="s">
        <v>21</v>
      </c>
      <c r="O2915" s="7"/>
      <c r="P2915" s="7"/>
      <c r="Q2915" s="7"/>
      <c r="R2915" s="7"/>
      <c r="S2915" s="7"/>
      <c r="T2915" s="7"/>
      <c r="U2915" s="7"/>
      <c r="V2915" s="7"/>
      <c r="W2915" s="7"/>
      <c r="X2915" s="7"/>
      <c r="Y2915" s="7"/>
    </row>
    <row r="2916">
      <c r="A2916" s="14" t="s">
        <v>10484</v>
      </c>
      <c r="B2916" s="17" t="s">
        <v>10474</v>
      </c>
      <c r="C2916" s="17" t="s">
        <v>10485</v>
      </c>
      <c r="D2916" s="19" t="s">
        <v>6047</v>
      </c>
      <c r="E2916" s="20" t="s">
        <v>10477</v>
      </c>
      <c r="F2916" s="27">
        <v>25933.0</v>
      </c>
      <c r="G2916" s="14">
        <f t="shared" si="1"/>
        <v>55</v>
      </c>
      <c r="H2916" s="23" t="s">
        <v>26</v>
      </c>
      <c r="I2916" s="24" t="s">
        <v>27</v>
      </c>
      <c r="J2916" s="19" t="s">
        <v>282</v>
      </c>
      <c r="K2916" s="14">
        <v>13.0</v>
      </c>
      <c r="L2916" s="14">
        <v>0.0</v>
      </c>
      <c r="M2916" s="25"/>
      <c r="N2916" s="26" t="s">
        <v>21</v>
      </c>
      <c r="O2916" s="7"/>
      <c r="P2916" s="7"/>
      <c r="Q2916" s="7"/>
      <c r="R2916" s="7"/>
      <c r="S2916" s="7"/>
      <c r="T2916" s="7"/>
      <c r="U2916" s="7"/>
      <c r="V2916" s="7"/>
      <c r="W2916" s="7"/>
      <c r="X2916" s="7"/>
      <c r="Y2916" s="7"/>
    </row>
    <row r="2917">
      <c r="A2917" s="14" t="s">
        <v>10486</v>
      </c>
      <c r="B2917" s="17" t="s">
        <v>10487</v>
      </c>
      <c r="C2917" s="17" t="s">
        <v>10488</v>
      </c>
      <c r="D2917" s="19" t="s">
        <v>10489</v>
      </c>
      <c r="E2917" s="20" t="s">
        <v>10490</v>
      </c>
      <c r="F2917" s="21">
        <v>35626.0</v>
      </c>
      <c r="G2917" s="14">
        <f t="shared" si="1"/>
        <v>29</v>
      </c>
      <c r="H2917" s="23" t="s">
        <v>26</v>
      </c>
      <c r="I2917" s="24" t="s">
        <v>27</v>
      </c>
      <c r="J2917" s="19" t="s">
        <v>156</v>
      </c>
      <c r="K2917" s="14">
        <v>29.0</v>
      </c>
      <c r="L2917" s="14">
        <v>0.0</v>
      </c>
      <c r="M2917" s="25"/>
      <c r="N2917" s="26" t="s">
        <v>21</v>
      </c>
      <c r="O2917" s="7"/>
      <c r="P2917" s="7"/>
      <c r="Q2917" s="7"/>
      <c r="R2917" s="7"/>
      <c r="S2917" s="7"/>
      <c r="T2917" s="7"/>
      <c r="U2917" s="7"/>
      <c r="V2917" s="7"/>
      <c r="W2917" s="7"/>
      <c r="X2917" s="7"/>
      <c r="Y2917" s="7"/>
    </row>
    <row r="2918">
      <c r="A2918" s="14" t="s">
        <v>10491</v>
      </c>
      <c r="B2918" s="17" t="s">
        <v>10487</v>
      </c>
      <c r="C2918" s="17" t="s">
        <v>10492</v>
      </c>
      <c r="D2918" s="19" t="s">
        <v>10493</v>
      </c>
      <c r="E2918" s="20" t="s">
        <v>1733</v>
      </c>
      <c r="F2918" s="21">
        <v>32790.0</v>
      </c>
      <c r="G2918" s="14">
        <f t="shared" si="1"/>
        <v>37</v>
      </c>
      <c r="H2918" s="23" t="s">
        <v>26</v>
      </c>
      <c r="I2918" s="24" t="s">
        <v>33</v>
      </c>
      <c r="J2918" s="19" t="s">
        <v>156</v>
      </c>
      <c r="K2918" s="14">
        <v>29.0</v>
      </c>
      <c r="L2918" s="14">
        <v>0.0</v>
      </c>
      <c r="M2918" s="25"/>
      <c r="N2918" s="26" t="s">
        <v>21</v>
      </c>
      <c r="O2918" s="7"/>
      <c r="P2918" s="7"/>
      <c r="Q2918" s="7"/>
      <c r="R2918" s="7"/>
      <c r="S2918" s="7"/>
      <c r="T2918" s="7"/>
      <c r="U2918" s="7"/>
      <c r="V2918" s="7"/>
      <c r="W2918" s="7"/>
      <c r="X2918" s="7"/>
      <c r="Y2918" s="7"/>
    </row>
    <row r="2919">
      <c r="A2919" s="14" t="s">
        <v>10494</v>
      </c>
      <c r="B2919" s="17" t="s">
        <v>10495</v>
      </c>
      <c r="C2919" s="17" t="s">
        <v>10496</v>
      </c>
      <c r="D2919" s="19" t="s">
        <v>10497</v>
      </c>
      <c r="E2919" s="20" t="s">
        <v>10498</v>
      </c>
      <c r="F2919" s="21">
        <v>34645.0</v>
      </c>
      <c r="G2919" s="14">
        <f t="shared" si="1"/>
        <v>31</v>
      </c>
      <c r="H2919" s="23" t="s">
        <v>26</v>
      </c>
      <c r="I2919" s="24" t="s">
        <v>27</v>
      </c>
      <c r="J2919" s="19" t="s">
        <v>58</v>
      </c>
      <c r="K2919" s="14">
        <v>9.0</v>
      </c>
      <c r="L2919" s="14">
        <v>0.0</v>
      </c>
      <c r="M2919" s="25"/>
      <c r="N2919" s="26" t="s">
        <v>21</v>
      </c>
      <c r="O2919" s="7"/>
      <c r="P2919" s="7"/>
      <c r="Q2919" s="7"/>
      <c r="R2919" s="7"/>
      <c r="S2919" s="7"/>
      <c r="T2919" s="7"/>
      <c r="U2919" s="7"/>
      <c r="V2919" s="7"/>
      <c r="W2919" s="7"/>
      <c r="X2919" s="7"/>
      <c r="Y2919" s="7"/>
    </row>
    <row r="2920">
      <c r="A2920" s="14" t="s">
        <v>10499</v>
      </c>
      <c r="B2920" s="17" t="s">
        <v>10495</v>
      </c>
      <c r="C2920" s="17" t="s">
        <v>10500</v>
      </c>
      <c r="D2920" s="19" t="s">
        <v>10501</v>
      </c>
      <c r="E2920" s="20" t="s">
        <v>112</v>
      </c>
      <c r="F2920" s="27">
        <v>33937.0</v>
      </c>
      <c r="G2920" s="14">
        <f t="shared" si="1"/>
        <v>33</v>
      </c>
      <c r="H2920" s="23" t="s">
        <v>26</v>
      </c>
      <c r="I2920" s="24" t="s">
        <v>33</v>
      </c>
      <c r="J2920" s="19" t="s">
        <v>58</v>
      </c>
      <c r="K2920" s="14">
        <v>9.0</v>
      </c>
      <c r="L2920" s="14">
        <v>0.0</v>
      </c>
      <c r="M2920" s="25"/>
      <c r="N2920" s="26" t="s">
        <v>21</v>
      </c>
      <c r="O2920" s="7"/>
      <c r="P2920" s="7"/>
      <c r="Q2920" s="7"/>
      <c r="R2920" s="7"/>
      <c r="S2920" s="7"/>
      <c r="T2920" s="7"/>
      <c r="U2920" s="7"/>
      <c r="V2920" s="7"/>
      <c r="W2920" s="7"/>
      <c r="X2920" s="7"/>
      <c r="Y2920" s="7"/>
    </row>
    <row r="2921">
      <c r="A2921" s="14" t="s">
        <v>10502</v>
      </c>
      <c r="B2921" s="17" t="s">
        <v>10503</v>
      </c>
      <c r="C2921" s="17" t="s">
        <v>10504</v>
      </c>
      <c r="D2921" s="19" t="s">
        <v>2102</v>
      </c>
      <c r="E2921" s="20" t="s">
        <v>749</v>
      </c>
      <c r="F2921" s="21">
        <v>19881.0</v>
      </c>
      <c r="G2921" s="14">
        <f t="shared" si="1"/>
        <v>72</v>
      </c>
      <c r="H2921" s="23" t="s">
        <v>27</v>
      </c>
      <c r="I2921" s="24" t="s">
        <v>27</v>
      </c>
      <c r="J2921" s="19" t="s">
        <v>146</v>
      </c>
      <c r="K2921" s="14">
        <v>9.0</v>
      </c>
      <c r="L2921" s="14">
        <v>0.0</v>
      </c>
      <c r="M2921" s="25"/>
      <c r="N2921" s="26" t="s">
        <v>21</v>
      </c>
      <c r="O2921" s="7"/>
      <c r="P2921" s="7"/>
      <c r="Q2921" s="7"/>
      <c r="R2921" s="7"/>
      <c r="S2921" s="7"/>
      <c r="T2921" s="7"/>
      <c r="U2921" s="7"/>
      <c r="V2921" s="7"/>
      <c r="W2921" s="7"/>
      <c r="X2921" s="7"/>
      <c r="Y2921" s="7"/>
    </row>
    <row r="2922">
      <c r="A2922" s="14" t="s">
        <v>10506</v>
      </c>
      <c r="B2922" s="17" t="s">
        <v>10507</v>
      </c>
      <c r="C2922" s="17" t="s">
        <v>10508</v>
      </c>
      <c r="D2922" s="19" t="s">
        <v>10509</v>
      </c>
      <c r="E2922" s="20" t="s">
        <v>104</v>
      </c>
      <c r="F2922" s="21">
        <v>38221.0</v>
      </c>
      <c r="G2922" s="14">
        <f t="shared" si="1"/>
        <v>22</v>
      </c>
      <c r="H2922" s="23" t="s">
        <v>100</v>
      </c>
      <c r="I2922" s="24" t="s">
        <v>27</v>
      </c>
      <c r="J2922" s="19" t="s">
        <v>95</v>
      </c>
      <c r="K2922" s="14">
        <v>16.0</v>
      </c>
      <c r="L2922" s="14">
        <v>0.0</v>
      </c>
      <c r="M2922" s="25"/>
      <c r="N2922" s="26" t="s">
        <v>21</v>
      </c>
      <c r="O2922" s="7"/>
      <c r="P2922" s="7"/>
      <c r="Q2922" s="7"/>
      <c r="R2922" s="7"/>
      <c r="S2922" s="7"/>
      <c r="T2922" s="7"/>
      <c r="U2922" s="7"/>
      <c r="V2922" s="7"/>
      <c r="W2922" s="7"/>
      <c r="X2922" s="7"/>
      <c r="Y2922" s="7"/>
    </row>
    <row r="2923">
      <c r="A2923" s="14" t="s">
        <v>10510</v>
      </c>
      <c r="B2923" s="17" t="s">
        <v>10507</v>
      </c>
      <c r="C2923" s="17" t="s">
        <v>10511</v>
      </c>
      <c r="D2923" s="19" t="s">
        <v>10512</v>
      </c>
      <c r="E2923" s="20" t="s">
        <v>1049</v>
      </c>
      <c r="F2923" s="21">
        <v>28946.0</v>
      </c>
      <c r="G2923" s="14">
        <f t="shared" si="1"/>
        <v>47</v>
      </c>
      <c r="H2923" s="23" t="s">
        <v>26</v>
      </c>
      <c r="I2923" s="24" t="s">
        <v>33</v>
      </c>
      <c r="J2923" s="19" t="s">
        <v>95</v>
      </c>
      <c r="K2923" s="14">
        <v>16.0</v>
      </c>
      <c r="L2923" s="14">
        <v>0.0</v>
      </c>
      <c r="M2923" s="25"/>
      <c r="N2923" s="26" t="s">
        <v>21</v>
      </c>
      <c r="O2923" s="7"/>
      <c r="P2923" s="7"/>
      <c r="Q2923" s="7"/>
      <c r="R2923" s="7"/>
      <c r="S2923" s="7"/>
      <c r="T2923" s="7"/>
      <c r="U2923" s="7"/>
      <c r="V2923" s="7"/>
      <c r="W2923" s="7"/>
      <c r="X2923" s="7"/>
      <c r="Y2923" s="7"/>
    </row>
    <row r="2924">
      <c r="A2924" s="14" t="s">
        <v>10513</v>
      </c>
      <c r="B2924" s="17" t="s">
        <v>10507</v>
      </c>
      <c r="C2924" s="17" t="s">
        <v>10514</v>
      </c>
      <c r="D2924" s="19" t="s">
        <v>10515</v>
      </c>
      <c r="E2924" s="20" t="s">
        <v>104</v>
      </c>
      <c r="F2924" s="21">
        <v>29824.0</v>
      </c>
      <c r="G2924" s="14">
        <f t="shared" si="1"/>
        <v>45</v>
      </c>
      <c r="H2924" s="23" t="s">
        <v>26</v>
      </c>
      <c r="I2924" s="24" t="s">
        <v>27</v>
      </c>
      <c r="J2924" s="19" t="s">
        <v>95</v>
      </c>
      <c r="K2924" s="14">
        <v>16.0</v>
      </c>
      <c r="L2924" s="14">
        <v>0.0</v>
      </c>
      <c r="M2924" s="25"/>
      <c r="N2924" s="26" t="s">
        <v>21</v>
      </c>
      <c r="O2924" s="7"/>
      <c r="P2924" s="7"/>
      <c r="Q2924" s="7"/>
      <c r="R2924" s="7"/>
      <c r="S2924" s="7"/>
      <c r="T2924" s="7"/>
      <c r="U2924" s="7"/>
      <c r="V2924" s="7"/>
      <c r="W2924" s="7"/>
      <c r="X2924" s="7"/>
      <c r="Y2924" s="7"/>
    </row>
    <row r="2925">
      <c r="A2925" s="14" t="s">
        <v>10516</v>
      </c>
      <c r="B2925" s="52" t="s">
        <v>12387</v>
      </c>
      <c r="C2925" s="17" t="s">
        <v>10518</v>
      </c>
      <c r="D2925" s="19" t="s">
        <v>10519</v>
      </c>
      <c r="E2925" s="20" t="s">
        <v>53</v>
      </c>
      <c r="F2925" s="21">
        <v>35847.0</v>
      </c>
      <c r="G2925" s="14">
        <f t="shared" si="1"/>
        <v>28</v>
      </c>
      <c r="H2925" s="23" t="s">
        <v>26</v>
      </c>
      <c r="I2925" s="24" t="s">
        <v>33</v>
      </c>
      <c r="J2925" s="19" t="s">
        <v>58</v>
      </c>
      <c r="K2925" s="14">
        <v>7.0</v>
      </c>
      <c r="L2925" s="14">
        <v>0.0</v>
      </c>
      <c r="M2925" s="28" t="s">
        <v>10950</v>
      </c>
      <c r="N2925" s="26" t="s">
        <v>21</v>
      </c>
      <c r="O2925" s="7"/>
      <c r="P2925" s="7"/>
      <c r="Q2925" s="7"/>
      <c r="R2925" s="7"/>
      <c r="S2925" s="7"/>
      <c r="T2925" s="7"/>
      <c r="U2925" s="7"/>
      <c r="V2925" s="7"/>
      <c r="W2925" s="7"/>
      <c r="X2925" s="7"/>
      <c r="Y2925" s="7"/>
    </row>
    <row r="2926">
      <c r="A2926" s="14" t="s">
        <v>10520</v>
      </c>
      <c r="B2926" s="17" t="s">
        <v>10517</v>
      </c>
      <c r="C2926" s="17" t="s">
        <v>10521</v>
      </c>
      <c r="D2926" s="19" t="s">
        <v>10522</v>
      </c>
      <c r="E2926" s="20" t="s">
        <v>10523</v>
      </c>
      <c r="F2926" s="21">
        <v>27461.0</v>
      </c>
      <c r="G2926" s="14">
        <f t="shared" si="1"/>
        <v>51</v>
      </c>
      <c r="H2926" s="23" t="s">
        <v>26</v>
      </c>
      <c r="I2926" s="24" t="s">
        <v>27</v>
      </c>
      <c r="J2926" s="19" t="s">
        <v>58</v>
      </c>
      <c r="K2926" s="14">
        <v>7.0</v>
      </c>
      <c r="L2926" s="14">
        <v>0.0</v>
      </c>
      <c r="M2926" s="25"/>
      <c r="N2926" s="26" t="s">
        <v>21</v>
      </c>
      <c r="O2926" s="7"/>
      <c r="P2926" s="7"/>
      <c r="Q2926" s="7"/>
      <c r="R2926" s="7"/>
      <c r="S2926" s="7"/>
      <c r="T2926" s="7"/>
      <c r="U2926" s="7"/>
      <c r="V2926" s="7"/>
      <c r="W2926" s="7"/>
      <c r="X2926" s="7"/>
      <c r="Y2926" s="7"/>
    </row>
    <row r="2927">
      <c r="A2927" s="14" t="s">
        <v>10524</v>
      </c>
      <c r="B2927" s="17" t="s">
        <v>10517</v>
      </c>
      <c r="C2927" s="17" t="s">
        <v>10525</v>
      </c>
      <c r="D2927" s="19" t="s">
        <v>10526</v>
      </c>
      <c r="E2927" s="20" t="s">
        <v>290</v>
      </c>
      <c r="F2927" s="21">
        <v>26669.0</v>
      </c>
      <c r="G2927" s="14">
        <f t="shared" si="1"/>
        <v>53</v>
      </c>
      <c r="H2927" s="23" t="s">
        <v>26</v>
      </c>
      <c r="I2927" s="24" t="s">
        <v>33</v>
      </c>
      <c r="J2927" s="19" t="s">
        <v>58</v>
      </c>
      <c r="K2927" s="14">
        <v>7.0</v>
      </c>
      <c r="L2927" s="14">
        <v>0.0</v>
      </c>
      <c r="M2927" s="25"/>
      <c r="N2927" s="26" t="s">
        <v>21</v>
      </c>
      <c r="O2927" s="7"/>
      <c r="P2927" s="7"/>
      <c r="Q2927" s="7"/>
      <c r="R2927" s="7"/>
      <c r="S2927" s="7"/>
      <c r="T2927" s="7"/>
      <c r="U2927" s="7"/>
      <c r="V2927" s="7"/>
      <c r="W2927" s="7"/>
      <c r="X2927" s="7"/>
      <c r="Y2927" s="7"/>
    </row>
    <row r="2928">
      <c r="A2928" s="14" t="s">
        <v>10527</v>
      </c>
      <c r="B2928" s="17" t="s">
        <v>10517</v>
      </c>
      <c r="C2928" s="17" t="s">
        <v>10528</v>
      </c>
      <c r="D2928" s="19" t="s">
        <v>677</v>
      </c>
      <c r="E2928" s="20" t="s">
        <v>104</v>
      </c>
      <c r="F2928" s="27">
        <v>38702.0</v>
      </c>
      <c r="G2928" s="14">
        <f t="shared" si="1"/>
        <v>20</v>
      </c>
      <c r="H2928" s="23" t="s">
        <v>26</v>
      </c>
      <c r="I2928" s="24" t="s">
        <v>33</v>
      </c>
      <c r="J2928" s="19" t="s">
        <v>146</v>
      </c>
      <c r="K2928" s="14">
        <v>7.0</v>
      </c>
      <c r="L2928" s="14">
        <v>0.0</v>
      </c>
      <c r="M2928" s="25"/>
      <c r="N2928" s="26" t="s">
        <v>21</v>
      </c>
      <c r="O2928" s="7"/>
      <c r="P2928" s="7"/>
      <c r="Q2928" s="7"/>
      <c r="R2928" s="7"/>
      <c r="S2928" s="7"/>
      <c r="T2928" s="7"/>
      <c r="U2928" s="7"/>
      <c r="V2928" s="7"/>
      <c r="W2928" s="7"/>
      <c r="X2928" s="7"/>
      <c r="Y2928" s="7"/>
    </row>
    <row r="2929">
      <c r="A2929" s="14" t="s">
        <v>10529</v>
      </c>
      <c r="B2929" s="17" t="s">
        <v>10530</v>
      </c>
      <c r="C2929" s="17" t="s">
        <v>10531</v>
      </c>
      <c r="D2929" s="19" t="s">
        <v>10532</v>
      </c>
      <c r="E2929" s="20" t="s">
        <v>195</v>
      </c>
      <c r="F2929" s="21">
        <v>34064.0</v>
      </c>
      <c r="G2929" s="14">
        <f t="shared" si="1"/>
        <v>33</v>
      </c>
      <c r="H2929" s="23" t="s">
        <v>26</v>
      </c>
      <c r="I2929" s="24" t="s">
        <v>33</v>
      </c>
      <c r="J2929" s="19" t="s">
        <v>362</v>
      </c>
      <c r="K2929" s="14">
        <v>24.0</v>
      </c>
      <c r="L2929" s="14">
        <v>0.0</v>
      </c>
      <c r="M2929" s="25"/>
      <c r="N2929" s="26" t="s">
        <v>21</v>
      </c>
      <c r="O2929" s="7"/>
      <c r="P2929" s="7"/>
      <c r="Q2929" s="7"/>
      <c r="R2929" s="7"/>
      <c r="S2929" s="7"/>
      <c r="T2929" s="7"/>
      <c r="U2929" s="7"/>
      <c r="V2929" s="7"/>
      <c r="W2929" s="7"/>
      <c r="X2929" s="7"/>
      <c r="Y2929" s="7"/>
    </row>
    <row r="2930">
      <c r="A2930" s="14" t="s">
        <v>10533</v>
      </c>
      <c r="B2930" s="17" t="s">
        <v>10530</v>
      </c>
      <c r="C2930" s="17" t="s">
        <v>10534</v>
      </c>
      <c r="D2930" s="19" t="s">
        <v>10535</v>
      </c>
      <c r="E2930" s="20" t="s">
        <v>104</v>
      </c>
      <c r="F2930" s="21">
        <v>35191.0</v>
      </c>
      <c r="G2930" s="14">
        <f t="shared" si="1"/>
        <v>30</v>
      </c>
      <c r="H2930" s="23" t="s">
        <v>26</v>
      </c>
      <c r="I2930" s="24" t="s">
        <v>27</v>
      </c>
      <c r="J2930" s="19" t="s">
        <v>362</v>
      </c>
      <c r="K2930" s="14">
        <v>24.0</v>
      </c>
      <c r="L2930" s="14">
        <v>5.0</v>
      </c>
      <c r="M2930" s="28" t="s">
        <v>12415</v>
      </c>
      <c r="N2930" s="26" t="s">
        <v>21</v>
      </c>
      <c r="O2930" s="7"/>
      <c r="P2930" s="7"/>
      <c r="Q2930" s="7"/>
      <c r="R2930" s="7"/>
      <c r="S2930" s="7"/>
      <c r="T2930" s="7"/>
      <c r="U2930" s="7"/>
      <c r="V2930" s="7"/>
      <c r="W2930" s="7"/>
      <c r="X2930" s="7"/>
      <c r="Y2930" s="7"/>
    </row>
    <row r="2931">
      <c r="A2931" s="14" t="s">
        <v>10536</v>
      </c>
      <c r="B2931" s="17" t="s">
        <v>10537</v>
      </c>
      <c r="C2931" s="17" t="s">
        <v>10538</v>
      </c>
      <c r="D2931" s="19" t="s">
        <v>323</v>
      </c>
      <c r="E2931" s="20" t="s">
        <v>337</v>
      </c>
      <c r="F2931" s="21">
        <v>35511.0</v>
      </c>
      <c r="G2931" s="14">
        <f t="shared" si="1"/>
        <v>29</v>
      </c>
      <c r="H2931" s="23" t="s">
        <v>26</v>
      </c>
      <c r="I2931" s="24" t="s">
        <v>27</v>
      </c>
      <c r="J2931" s="19" t="s">
        <v>328</v>
      </c>
      <c r="K2931" s="14">
        <v>10.0</v>
      </c>
      <c r="L2931" s="14">
        <v>0.0</v>
      </c>
      <c r="M2931" s="25"/>
      <c r="N2931" s="26" t="s">
        <v>21</v>
      </c>
      <c r="O2931" s="7"/>
      <c r="P2931" s="7"/>
      <c r="Q2931" s="7"/>
      <c r="R2931" s="7"/>
      <c r="S2931" s="7"/>
      <c r="T2931" s="7"/>
      <c r="U2931" s="7"/>
      <c r="V2931" s="7"/>
      <c r="W2931" s="7"/>
      <c r="X2931" s="7"/>
      <c r="Y2931" s="7"/>
    </row>
    <row r="2932">
      <c r="A2932" s="14" t="s">
        <v>10539</v>
      </c>
      <c r="B2932" s="17" t="s">
        <v>10537</v>
      </c>
      <c r="C2932" s="17" t="s">
        <v>10540</v>
      </c>
      <c r="D2932" s="19" t="s">
        <v>10541</v>
      </c>
      <c r="E2932" s="20" t="s">
        <v>53</v>
      </c>
      <c r="F2932" s="27">
        <v>34322.0</v>
      </c>
      <c r="G2932" s="14">
        <f t="shared" si="1"/>
        <v>32</v>
      </c>
      <c r="H2932" s="23" t="s">
        <v>26</v>
      </c>
      <c r="I2932" s="24" t="s">
        <v>33</v>
      </c>
      <c r="J2932" s="19" t="s">
        <v>328</v>
      </c>
      <c r="K2932" s="14">
        <v>10.0</v>
      </c>
      <c r="L2932" s="14">
        <v>0.0</v>
      </c>
      <c r="M2932" s="25"/>
      <c r="N2932" s="26" t="s">
        <v>21</v>
      </c>
      <c r="O2932" s="7"/>
      <c r="P2932" s="7"/>
      <c r="Q2932" s="7"/>
      <c r="R2932" s="7"/>
      <c r="S2932" s="7"/>
      <c r="T2932" s="7"/>
      <c r="U2932" s="7"/>
      <c r="V2932" s="7"/>
      <c r="W2932" s="7"/>
      <c r="X2932" s="7"/>
      <c r="Y2932" s="7"/>
    </row>
    <row r="2933">
      <c r="A2933" s="14" t="s">
        <v>10542</v>
      </c>
      <c r="B2933" s="17" t="s">
        <v>10543</v>
      </c>
      <c r="C2933" s="17" t="s">
        <v>10544</v>
      </c>
      <c r="D2933" s="19" t="s">
        <v>3759</v>
      </c>
      <c r="E2933" s="20" t="s">
        <v>654</v>
      </c>
      <c r="F2933" s="21">
        <v>25020.0</v>
      </c>
      <c r="G2933" s="14">
        <f t="shared" si="1"/>
        <v>58</v>
      </c>
      <c r="H2933" s="23" t="s">
        <v>27</v>
      </c>
      <c r="I2933" s="24" t="s">
        <v>27</v>
      </c>
      <c r="J2933" s="19" t="s">
        <v>58</v>
      </c>
      <c r="K2933" s="14">
        <v>7.0</v>
      </c>
      <c r="L2933" s="14">
        <v>0.0</v>
      </c>
      <c r="M2933" s="25"/>
      <c r="N2933" s="26" t="s">
        <v>21</v>
      </c>
      <c r="O2933" s="7"/>
      <c r="P2933" s="7"/>
      <c r="Q2933" s="7"/>
      <c r="R2933" s="7"/>
      <c r="S2933" s="7"/>
      <c r="T2933" s="7"/>
      <c r="U2933" s="7"/>
      <c r="V2933" s="7"/>
      <c r="W2933" s="7"/>
      <c r="X2933" s="7"/>
      <c r="Y2933" s="7"/>
    </row>
    <row r="2934">
      <c r="A2934" s="14" t="s">
        <v>10545</v>
      </c>
      <c r="B2934" s="17" t="s">
        <v>10546</v>
      </c>
      <c r="C2934" s="17" t="s">
        <v>10547</v>
      </c>
      <c r="D2934" s="19" t="s">
        <v>10548</v>
      </c>
      <c r="E2934" s="20" t="s">
        <v>104</v>
      </c>
      <c r="F2934" s="21">
        <v>34460.0</v>
      </c>
      <c r="G2934" s="14">
        <f t="shared" si="1"/>
        <v>32</v>
      </c>
      <c r="H2934" s="23" t="s">
        <v>26</v>
      </c>
      <c r="I2934" s="24" t="s">
        <v>27</v>
      </c>
      <c r="J2934" s="19" t="s">
        <v>10549</v>
      </c>
      <c r="K2934" s="14">
        <v>20.0</v>
      </c>
      <c r="L2934" s="14">
        <v>0.0</v>
      </c>
      <c r="M2934" s="25"/>
      <c r="N2934" s="26" t="s">
        <v>21</v>
      </c>
      <c r="O2934" s="7"/>
      <c r="P2934" s="7"/>
      <c r="Q2934" s="7"/>
      <c r="R2934" s="7"/>
      <c r="S2934" s="7"/>
      <c r="T2934" s="7"/>
      <c r="U2934" s="7"/>
      <c r="V2934" s="7"/>
      <c r="W2934" s="7"/>
      <c r="X2934" s="7"/>
      <c r="Y2934" s="7"/>
    </row>
    <row r="2935">
      <c r="A2935" s="14" t="s">
        <v>10550</v>
      </c>
      <c r="B2935" s="17" t="s">
        <v>10546</v>
      </c>
      <c r="C2935" s="17" t="s">
        <v>10551</v>
      </c>
      <c r="D2935" s="19" t="s">
        <v>10552</v>
      </c>
      <c r="E2935" s="20" t="s">
        <v>104</v>
      </c>
      <c r="F2935" s="21">
        <v>31723.0</v>
      </c>
      <c r="G2935" s="14">
        <f t="shared" si="1"/>
        <v>39</v>
      </c>
      <c r="H2935" s="23" t="s">
        <v>26</v>
      </c>
      <c r="I2935" s="24" t="s">
        <v>33</v>
      </c>
      <c r="J2935" s="19" t="s">
        <v>10549</v>
      </c>
      <c r="K2935" s="14">
        <v>20.0</v>
      </c>
      <c r="L2935" s="14">
        <v>0.0</v>
      </c>
      <c r="M2935" s="25"/>
      <c r="N2935" s="26" t="s">
        <v>21</v>
      </c>
      <c r="O2935" s="7"/>
      <c r="P2935" s="7"/>
      <c r="Q2935" s="7"/>
      <c r="R2935" s="7"/>
      <c r="S2935" s="7"/>
      <c r="T2935" s="7"/>
      <c r="U2935" s="7"/>
      <c r="V2935" s="7"/>
      <c r="W2935" s="7"/>
      <c r="X2935" s="7"/>
      <c r="Y2935" s="7"/>
    </row>
    <row r="2936">
      <c r="A2936" s="14" t="s">
        <v>10553</v>
      </c>
      <c r="B2936" s="17" t="s">
        <v>10554</v>
      </c>
      <c r="C2936" s="17" t="s">
        <v>10555</v>
      </c>
      <c r="D2936" s="19" t="s">
        <v>10556</v>
      </c>
      <c r="E2936" s="20" t="s">
        <v>1049</v>
      </c>
      <c r="F2936" s="21">
        <v>20109.0</v>
      </c>
      <c r="G2936" s="14">
        <f t="shared" si="1"/>
        <v>71</v>
      </c>
      <c r="H2936" s="23" t="s">
        <v>100</v>
      </c>
      <c r="I2936" s="24" t="s">
        <v>27</v>
      </c>
      <c r="J2936" s="19" t="s">
        <v>53</v>
      </c>
      <c r="K2936" s="14">
        <v>17.0</v>
      </c>
      <c r="L2936" s="14">
        <v>0.0</v>
      </c>
      <c r="M2936" s="25"/>
      <c r="N2936" s="26" t="s">
        <v>21</v>
      </c>
      <c r="O2936" s="7"/>
      <c r="P2936" s="7"/>
      <c r="Q2936" s="7"/>
      <c r="R2936" s="7"/>
      <c r="S2936" s="7"/>
      <c r="T2936" s="7"/>
      <c r="U2936" s="7"/>
      <c r="V2936" s="7"/>
      <c r="W2936" s="7"/>
      <c r="X2936" s="7"/>
      <c r="Y2936" s="7"/>
    </row>
    <row r="2937">
      <c r="A2937" s="14" t="s">
        <v>10557</v>
      </c>
      <c r="B2937" s="17" t="s">
        <v>10558</v>
      </c>
      <c r="C2937" s="17" t="s">
        <v>10559</v>
      </c>
      <c r="D2937" s="19" t="s">
        <v>10560</v>
      </c>
      <c r="E2937" s="20" t="s">
        <v>10561</v>
      </c>
      <c r="F2937" s="21">
        <v>16666.0</v>
      </c>
      <c r="G2937" s="14">
        <f t="shared" si="1"/>
        <v>81</v>
      </c>
      <c r="H2937" s="23" t="s">
        <v>27</v>
      </c>
      <c r="I2937" s="24" t="s">
        <v>27</v>
      </c>
      <c r="J2937" s="19" t="s">
        <v>53</v>
      </c>
      <c r="K2937" s="14">
        <v>25.0</v>
      </c>
      <c r="L2937" s="14">
        <v>0.0</v>
      </c>
      <c r="M2937" s="25"/>
      <c r="N2937" s="26" t="s">
        <v>21</v>
      </c>
      <c r="O2937" s="7"/>
      <c r="P2937" s="7"/>
      <c r="Q2937" s="7"/>
      <c r="R2937" s="7"/>
      <c r="S2937" s="7"/>
      <c r="T2937" s="7"/>
      <c r="U2937" s="7"/>
      <c r="V2937" s="7"/>
      <c r="W2937" s="7"/>
      <c r="X2937" s="7"/>
      <c r="Y2937" s="7"/>
    </row>
    <row r="2938">
      <c r="A2938" s="14" t="s">
        <v>10562</v>
      </c>
      <c r="B2938" s="17" t="s">
        <v>10563</v>
      </c>
      <c r="C2938" s="17" t="s">
        <v>10564</v>
      </c>
      <c r="D2938" s="19" t="s">
        <v>10565</v>
      </c>
      <c r="E2938" s="20" t="s">
        <v>53</v>
      </c>
      <c r="F2938" s="21">
        <v>31620.0</v>
      </c>
      <c r="G2938" s="14">
        <f t="shared" si="1"/>
        <v>40</v>
      </c>
      <c r="H2938" s="23" t="s">
        <v>26</v>
      </c>
      <c r="I2938" s="24" t="s">
        <v>27</v>
      </c>
      <c r="J2938" s="19" t="s">
        <v>68</v>
      </c>
      <c r="K2938" s="14">
        <v>31.0</v>
      </c>
      <c r="L2938" s="14">
        <v>0.0</v>
      </c>
      <c r="M2938" s="25"/>
      <c r="N2938" s="26" t="s">
        <v>21</v>
      </c>
      <c r="O2938" s="7"/>
      <c r="P2938" s="7"/>
      <c r="Q2938" s="7"/>
      <c r="R2938" s="7"/>
      <c r="S2938" s="7"/>
      <c r="T2938" s="7"/>
      <c r="U2938" s="7"/>
      <c r="V2938" s="7"/>
      <c r="W2938" s="7"/>
      <c r="X2938" s="7"/>
      <c r="Y2938" s="7"/>
    </row>
    <row r="2939">
      <c r="A2939" s="14" t="s">
        <v>10566</v>
      </c>
      <c r="B2939" s="17" t="s">
        <v>10563</v>
      </c>
      <c r="C2939" s="17" t="s">
        <v>10567</v>
      </c>
      <c r="D2939" s="19" t="s">
        <v>10568</v>
      </c>
      <c r="E2939" s="20" t="s">
        <v>53</v>
      </c>
      <c r="F2939" s="21">
        <v>29221.0</v>
      </c>
      <c r="G2939" s="14">
        <f t="shared" si="1"/>
        <v>46</v>
      </c>
      <c r="H2939" s="23" t="s">
        <v>26</v>
      </c>
      <c r="I2939" s="24" t="s">
        <v>33</v>
      </c>
      <c r="J2939" s="19" t="s">
        <v>68</v>
      </c>
      <c r="K2939" s="14">
        <v>31.0</v>
      </c>
      <c r="L2939" s="14">
        <v>0.0</v>
      </c>
      <c r="M2939" s="25"/>
      <c r="N2939" s="26" t="s">
        <v>21</v>
      </c>
      <c r="O2939" s="7"/>
      <c r="P2939" s="7"/>
      <c r="Q2939" s="7"/>
      <c r="R2939" s="7"/>
      <c r="S2939" s="7"/>
      <c r="T2939" s="7"/>
      <c r="U2939" s="7"/>
      <c r="V2939" s="7"/>
      <c r="W2939" s="7"/>
      <c r="X2939" s="7"/>
      <c r="Y2939" s="7"/>
    </row>
    <row r="2940">
      <c r="A2940" s="14" t="s">
        <v>10569</v>
      </c>
      <c r="B2940" s="17" t="s">
        <v>10570</v>
      </c>
      <c r="C2940" s="17" t="s">
        <v>10571</v>
      </c>
      <c r="D2940" s="19" t="s">
        <v>10572</v>
      </c>
      <c r="E2940" s="20" t="s">
        <v>104</v>
      </c>
      <c r="F2940" s="21">
        <v>36290.0</v>
      </c>
      <c r="G2940" s="14">
        <f t="shared" si="1"/>
        <v>27</v>
      </c>
      <c r="H2940" s="23" t="s">
        <v>100</v>
      </c>
      <c r="I2940" s="24" t="s">
        <v>33</v>
      </c>
      <c r="J2940" s="19" t="s">
        <v>156</v>
      </c>
      <c r="K2940" s="14">
        <v>29.0</v>
      </c>
      <c r="L2940" s="14">
        <v>0.0</v>
      </c>
      <c r="M2940" s="25"/>
      <c r="N2940" s="26" t="s">
        <v>21</v>
      </c>
      <c r="O2940" s="7"/>
      <c r="P2940" s="7"/>
      <c r="Q2940" s="7"/>
      <c r="R2940" s="7"/>
      <c r="S2940" s="7"/>
      <c r="T2940" s="7"/>
      <c r="U2940" s="7"/>
      <c r="V2940" s="7"/>
      <c r="W2940" s="7"/>
      <c r="X2940" s="7"/>
      <c r="Y2940" s="7"/>
    </row>
    <row r="2941">
      <c r="A2941" s="14" t="s">
        <v>10573</v>
      </c>
      <c r="B2941" s="17" t="s">
        <v>10570</v>
      </c>
      <c r="C2941" s="17" t="s">
        <v>10574</v>
      </c>
      <c r="D2941" s="19" t="s">
        <v>10575</v>
      </c>
      <c r="E2941" s="20" t="s">
        <v>10576</v>
      </c>
      <c r="F2941" s="21">
        <v>25433.0</v>
      </c>
      <c r="G2941" s="14">
        <f t="shared" si="1"/>
        <v>57</v>
      </c>
      <c r="H2941" s="23" t="s">
        <v>27</v>
      </c>
      <c r="I2941" s="24" t="s">
        <v>27</v>
      </c>
      <c r="J2941" s="19" t="s">
        <v>156</v>
      </c>
      <c r="K2941" s="14">
        <v>29.0</v>
      </c>
      <c r="L2941" s="14">
        <v>0.0</v>
      </c>
      <c r="M2941" s="25"/>
      <c r="N2941" s="26" t="s">
        <v>21</v>
      </c>
      <c r="O2941" s="7"/>
      <c r="P2941" s="7"/>
      <c r="Q2941" s="7"/>
      <c r="R2941" s="7"/>
      <c r="S2941" s="7"/>
      <c r="T2941" s="7"/>
      <c r="U2941" s="7"/>
      <c r="V2941" s="7"/>
      <c r="W2941" s="7"/>
      <c r="X2941" s="7"/>
      <c r="Y2941" s="7"/>
    </row>
    <row r="2942">
      <c r="A2942" s="14" t="s">
        <v>10577</v>
      </c>
      <c r="B2942" s="17" t="s">
        <v>10570</v>
      </c>
      <c r="C2942" s="17" t="s">
        <v>10578</v>
      </c>
      <c r="D2942" s="19" t="s">
        <v>10579</v>
      </c>
      <c r="E2942" s="20" t="s">
        <v>104</v>
      </c>
      <c r="F2942" s="21">
        <v>35705.0</v>
      </c>
      <c r="G2942" s="14">
        <f t="shared" si="1"/>
        <v>29</v>
      </c>
      <c r="H2942" s="23" t="s">
        <v>100</v>
      </c>
      <c r="I2942" s="24" t="s">
        <v>27</v>
      </c>
      <c r="J2942" s="19" t="s">
        <v>156</v>
      </c>
      <c r="K2942" s="14">
        <v>29.0</v>
      </c>
      <c r="L2942" s="14">
        <v>0.0</v>
      </c>
      <c r="M2942" s="25"/>
      <c r="N2942" s="26" t="s">
        <v>21</v>
      </c>
      <c r="O2942" s="7"/>
      <c r="P2942" s="7"/>
      <c r="Q2942" s="7"/>
      <c r="R2942" s="7"/>
      <c r="S2942" s="7"/>
      <c r="T2942" s="7"/>
      <c r="U2942" s="7"/>
      <c r="V2942" s="7"/>
      <c r="W2942" s="7"/>
      <c r="X2942" s="7"/>
      <c r="Y2942" s="7"/>
    </row>
    <row r="2943">
      <c r="A2943" s="14" t="s">
        <v>10580</v>
      </c>
      <c r="B2943" s="17" t="s">
        <v>10581</v>
      </c>
      <c r="C2943" s="17" t="s">
        <v>10582</v>
      </c>
      <c r="D2943" s="19" t="s">
        <v>10583</v>
      </c>
      <c r="E2943" s="20" t="s">
        <v>104</v>
      </c>
      <c r="F2943" s="21">
        <v>36205.0</v>
      </c>
      <c r="G2943" s="14">
        <f t="shared" si="1"/>
        <v>27</v>
      </c>
      <c r="H2943" s="23" t="s">
        <v>26</v>
      </c>
      <c r="I2943" s="24" t="s">
        <v>27</v>
      </c>
      <c r="J2943" s="19" t="s">
        <v>206</v>
      </c>
      <c r="K2943" s="14">
        <v>8.0</v>
      </c>
      <c r="L2943" s="14">
        <v>0.0</v>
      </c>
      <c r="M2943" s="25"/>
      <c r="N2943" s="26" t="s">
        <v>21</v>
      </c>
      <c r="O2943" s="7"/>
      <c r="P2943" s="7"/>
      <c r="Q2943" s="7"/>
      <c r="R2943" s="7"/>
      <c r="S2943" s="7"/>
      <c r="T2943" s="7"/>
      <c r="U2943" s="7"/>
      <c r="V2943" s="7"/>
      <c r="W2943" s="7"/>
      <c r="X2943" s="7"/>
      <c r="Y2943" s="7"/>
    </row>
    <row r="2944">
      <c r="A2944" s="14" t="s">
        <v>10584</v>
      </c>
      <c r="B2944" s="17" t="s">
        <v>10581</v>
      </c>
      <c r="C2944" s="17" t="s">
        <v>10585</v>
      </c>
      <c r="D2944" s="19" t="s">
        <v>10586</v>
      </c>
      <c r="E2944" s="20" t="s">
        <v>187</v>
      </c>
      <c r="F2944" s="21">
        <v>33279.0</v>
      </c>
      <c r="G2944" s="14">
        <f t="shared" si="1"/>
        <v>35</v>
      </c>
      <c r="H2944" s="23" t="s">
        <v>26</v>
      </c>
      <c r="I2944" s="24" t="s">
        <v>33</v>
      </c>
      <c r="J2944" s="19" t="s">
        <v>206</v>
      </c>
      <c r="K2944" s="14">
        <v>8.0</v>
      </c>
      <c r="L2944" s="14">
        <v>0.0</v>
      </c>
      <c r="M2944" s="25"/>
      <c r="N2944" s="26" t="s">
        <v>21</v>
      </c>
      <c r="O2944" s="7"/>
      <c r="P2944" s="7"/>
      <c r="Q2944" s="7"/>
      <c r="R2944" s="7"/>
      <c r="S2944" s="7"/>
      <c r="T2944" s="7"/>
      <c r="U2944" s="7"/>
      <c r="V2944" s="7"/>
      <c r="W2944" s="7"/>
      <c r="X2944" s="7"/>
      <c r="Y2944" s="7"/>
    </row>
    <row r="2945">
      <c r="A2945" s="14" t="s">
        <v>10587</v>
      </c>
      <c r="B2945" s="17" t="s">
        <v>10588</v>
      </c>
      <c r="C2945" s="17" t="s">
        <v>10589</v>
      </c>
      <c r="D2945" s="19" t="s">
        <v>10590</v>
      </c>
      <c r="E2945" s="20" t="s">
        <v>654</v>
      </c>
      <c r="F2945" s="21">
        <v>24931.0</v>
      </c>
      <c r="G2945" s="14">
        <f t="shared" si="1"/>
        <v>58</v>
      </c>
      <c r="H2945" s="23" t="s">
        <v>26</v>
      </c>
      <c r="I2945" s="24" t="s">
        <v>33</v>
      </c>
      <c r="J2945" s="19" t="s">
        <v>68</v>
      </c>
      <c r="K2945" s="14">
        <v>28.0</v>
      </c>
      <c r="L2945" s="14">
        <v>0.0</v>
      </c>
      <c r="M2945" s="25"/>
      <c r="N2945" s="26" t="s">
        <v>21</v>
      </c>
      <c r="O2945" s="7"/>
      <c r="P2945" s="7"/>
      <c r="Q2945" s="7"/>
      <c r="R2945" s="7"/>
      <c r="S2945" s="7"/>
      <c r="T2945" s="7"/>
      <c r="U2945" s="7"/>
      <c r="V2945" s="7"/>
      <c r="W2945" s="7"/>
      <c r="X2945" s="7"/>
      <c r="Y2945" s="7"/>
    </row>
    <row r="2946">
      <c r="A2946" s="14" t="s">
        <v>10592</v>
      </c>
      <c r="B2946" s="17" t="s">
        <v>10588</v>
      </c>
      <c r="C2946" s="17" t="s">
        <v>10593</v>
      </c>
      <c r="D2946" s="19" t="s">
        <v>10594</v>
      </c>
      <c r="E2946" s="20" t="s">
        <v>10595</v>
      </c>
      <c r="F2946" s="21">
        <v>39274.0</v>
      </c>
      <c r="G2946" s="14">
        <f t="shared" si="1"/>
        <v>19</v>
      </c>
      <c r="H2946" s="23" t="s">
        <v>100</v>
      </c>
      <c r="I2946" s="24" t="s">
        <v>27</v>
      </c>
      <c r="J2946" s="19" t="s">
        <v>68</v>
      </c>
      <c r="K2946" s="14">
        <v>28.0</v>
      </c>
      <c r="L2946" s="14">
        <v>0.0</v>
      </c>
      <c r="M2946" s="25"/>
      <c r="N2946" s="26" t="s">
        <v>21</v>
      </c>
      <c r="O2946" s="7"/>
      <c r="P2946" s="7"/>
      <c r="Q2946" s="7"/>
      <c r="R2946" s="7"/>
      <c r="S2946" s="7"/>
      <c r="T2946" s="7"/>
      <c r="U2946" s="7"/>
      <c r="V2946" s="7"/>
      <c r="W2946" s="7"/>
      <c r="X2946" s="7"/>
      <c r="Y2946" s="7"/>
    </row>
    <row r="2947">
      <c r="A2947" s="14" t="s">
        <v>10596</v>
      </c>
      <c r="B2947" s="17" t="s">
        <v>10588</v>
      </c>
      <c r="C2947" s="17" t="s">
        <v>10597</v>
      </c>
      <c r="D2947" s="19" t="s">
        <v>10598</v>
      </c>
      <c r="E2947" s="20" t="s">
        <v>10595</v>
      </c>
      <c r="F2947" s="21">
        <v>38482.0</v>
      </c>
      <c r="G2947" s="14">
        <f t="shared" si="1"/>
        <v>21</v>
      </c>
      <c r="H2947" s="23" t="s">
        <v>100</v>
      </c>
      <c r="I2947" s="24" t="s">
        <v>27</v>
      </c>
      <c r="J2947" s="19" t="s">
        <v>68</v>
      </c>
      <c r="K2947" s="14">
        <v>28.0</v>
      </c>
      <c r="L2947" s="14">
        <v>0.0</v>
      </c>
      <c r="M2947" s="25"/>
      <c r="N2947" s="26" t="s">
        <v>21</v>
      </c>
      <c r="O2947" s="7"/>
      <c r="P2947" s="7"/>
      <c r="Q2947" s="7"/>
      <c r="R2947" s="7"/>
      <c r="S2947" s="7"/>
      <c r="T2947" s="7"/>
      <c r="U2947" s="7"/>
      <c r="V2947" s="7"/>
      <c r="W2947" s="7"/>
      <c r="X2947" s="7"/>
      <c r="Y2947" s="7"/>
    </row>
    <row r="2948">
      <c r="A2948" s="14" t="s">
        <v>10599</v>
      </c>
      <c r="B2948" s="17" t="s">
        <v>10588</v>
      </c>
      <c r="C2948" s="17" t="s">
        <v>10600</v>
      </c>
      <c r="D2948" s="19" t="s">
        <v>10601</v>
      </c>
      <c r="E2948" s="20" t="s">
        <v>2200</v>
      </c>
      <c r="F2948" s="21">
        <v>25483.0</v>
      </c>
      <c r="G2948" s="14">
        <f t="shared" si="1"/>
        <v>57</v>
      </c>
      <c r="H2948" s="23" t="s">
        <v>26</v>
      </c>
      <c r="I2948" s="24" t="s">
        <v>27</v>
      </c>
      <c r="J2948" s="19" t="s">
        <v>68</v>
      </c>
      <c r="K2948" s="14">
        <v>28.0</v>
      </c>
      <c r="L2948" s="14">
        <v>0.0</v>
      </c>
      <c r="M2948" s="25"/>
      <c r="N2948" s="26" t="s">
        <v>21</v>
      </c>
      <c r="O2948" s="7"/>
      <c r="P2948" s="7"/>
      <c r="Q2948" s="7"/>
      <c r="R2948" s="7"/>
      <c r="S2948" s="7"/>
      <c r="T2948" s="7"/>
      <c r="U2948" s="7"/>
      <c r="V2948" s="7"/>
      <c r="W2948" s="7"/>
      <c r="X2948" s="7"/>
      <c r="Y2948" s="7"/>
    </row>
    <row r="2949">
      <c r="A2949" s="14" t="s">
        <v>10602</v>
      </c>
      <c r="B2949" s="17" t="s">
        <v>10588</v>
      </c>
      <c r="C2949" s="17" t="s">
        <v>10603</v>
      </c>
      <c r="D2949" s="19" t="s">
        <v>10604</v>
      </c>
      <c r="E2949" s="20" t="s">
        <v>10595</v>
      </c>
      <c r="F2949" s="21">
        <v>36981.0</v>
      </c>
      <c r="G2949" s="14">
        <f t="shared" si="1"/>
        <v>25</v>
      </c>
      <c r="H2949" s="23" t="s">
        <v>100</v>
      </c>
      <c r="I2949" s="24" t="s">
        <v>33</v>
      </c>
      <c r="J2949" s="19" t="s">
        <v>68</v>
      </c>
      <c r="K2949" s="14">
        <v>28.0</v>
      </c>
      <c r="L2949" s="14">
        <v>0.0</v>
      </c>
      <c r="M2949" s="25"/>
      <c r="N2949" s="26" t="s">
        <v>21</v>
      </c>
      <c r="O2949" s="7"/>
      <c r="P2949" s="7"/>
      <c r="Q2949" s="7"/>
      <c r="R2949" s="7"/>
      <c r="S2949" s="7"/>
      <c r="T2949" s="7"/>
      <c r="U2949" s="7"/>
      <c r="V2949" s="7"/>
      <c r="W2949" s="7"/>
      <c r="X2949" s="7"/>
      <c r="Y2949" s="7"/>
    </row>
    <row r="2950">
      <c r="A2950" s="14" t="s">
        <v>10605</v>
      </c>
      <c r="B2950" s="17" t="s">
        <v>10606</v>
      </c>
      <c r="C2950" s="17" t="s">
        <v>10607</v>
      </c>
      <c r="D2950" s="19" t="s">
        <v>10608</v>
      </c>
      <c r="E2950" s="20" t="s">
        <v>1934</v>
      </c>
      <c r="F2950" s="21">
        <v>17029.0</v>
      </c>
      <c r="G2950" s="14">
        <f t="shared" si="1"/>
        <v>80</v>
      </c>
      <c r="H2950" s="23" t="s">
        <v>27</v>
      </c>
      <c r="I2950" s="24" t="s">
        <v>27</v>
      </c>
      <c r="J2950" s="19" t="s">
        <v>362</v>
      </c>
      <c r="K2950" s="14">
        <v>25.0</v>
      </c>
      <c r="L2950" s="14">
        <v>0.0</v>
      </c>
      <c r="M2950" s="25"/>
      <c r="N2950" s="26" t="s">
        <v>21</v>
      </c>
      <c r="O2950" s="7"/>
      <c r="P2950" s="7"/>
      <c r="Q2950" s="7"/>
      <c r="R2950" s="7"/>
      <c r="S2950" s="7"/>
      <c r="T2950" s="7"/>
      <c r="U2950" s="7"/>
      <c r="V2950" s="7"/>
      <c r="W2950" s="7"/>
      <c r="X2950" s="7"/>
      <c r="Y2950" s="7"/>
    </row>
    <row r="2951">
      <c r="A2951" s="14" t="s">
        <v>10609</v>
      </c>
      <c r="B2951" s="17" t="s">
        <v>10610</v>
      </c>
      <c r="C2951" s="17" t="s">
        <v>10611</v>
      </c>
      <c r="D2951" s="19" t="s">
        <v>2302</v>
      </c>
      <c r="E2951" s="20" t="s">
        <v>984</v>
      </c>
      <c r="F2951" s="21">
        <v>21246.0</v>
      </c>
      <c r="G2951" s="14">
        <f t="shared" si="1"/>
        <v>68</v>
      </c>
      <c r="H2951" s="23" t="s">
        <v>26</v>
      </c>
      <c r="I2951" s="24" t="s">
        <v>33</v>
      </c>
      <c r="J2951" s="19" t="s">
        <v>282</v>
      </c>
      <c r="K2951" s="14">
        <v>13.0</v>
      </c>
      <c r="L2951" s="14">
        <v>0.0</v>
      </c>
      <c r="M2951" s="25"/>
      <c r="N2951" s="26" t="s">
        <v>21</v>
      </c>
      <c r="O2951" s="7"/>
      <c r="P2951" s="7"/>
      <c r="Q2951" s="7"/>
      <c r="R2951" s="7"/>
      <c r="S2951" s="7"/>
      <c r="T2951" s="7"/>
      <c r="U2951" s="7"/>
      <c r="V2951" s="7"/>
      <c r="W2951" s="7"/>
      <c r="X2951" s="7"/>
      <c r="Y2951" s="7"/>
    </row>
    <row r="2952">
      <c r="A2952" s="14" t="s">
        <v>10612</v>
      </c>
      <c r="B2952" s="17" t="s">
        <v>10610</v>
      </c>
      <c r="C2952" s="17" t="s">
        <v>10613</v>
      </c>
      <c r="D2952" s="19" t="s">
        <v>10614</v>
      </c>
      <c r="E2952" s="20" t="s">
        <v>112</v>
      </c>
      <c r="F2952" s="21">
        <v>24628.0</v>
      </c>
      <c r="G2952" s="14">
        <f t="shared" si="1"/>
        <v>59</v>
      </c>
      <c r="H2952" s="23" t="s">
        <v>26</v>
      </c>
      <c r="I2952" s="24" t="s">
        <v>27</v>
      </c>
      <c r="J2952" s="19" t="s">
        <v>282</v>
      </c>
      <c r="K2952" s="14">
        <v>13.0</v>
      </c>
      <c r="L2952" s="14">
        <v>0.0</v>
      </c>
      <c r="M2952" s="25"/>
      <c r="N2952" s="26" t="s">
        <v>21</v>
      </c>
      <c r="O2952" s="7"/>
      <c r="P2952" s="7"/>
      <c r="Q2952" s="7"/>
      <c r="R2952" s="7"/>
      <c r="S2952" s="7"/>
      <c r="T2952" s="7"/>
      <c r="U2952" s="7"/>
      <c r="V2952" s="7"/>
      <c r="W2952" s="7"/>
      <c r="X2952" s="7"/>
      <c r="Y2952" s="7"/>
    </row>
    <row r="2953">
      <c r="A2953" s="14" t="s">
        <v>10615</v>
      </c>
      <c r="B2953" s="17" t="s">
        <v>10616</v>
      </c>
      <c r="C2953" s="17" t="s">
        <v>10617</v>
      </c>
      <c r="D2953" s="19" t="s">
        <v>10618</v>
      </c>
      <c r="E2953" s="20" t="s">
        <v>544</v>
      </c>
      <c r="F2953" s="21">
        <v>27182.0</v>
      </c>
      <c r="G2953" s="14">
        <f t="shared" si="1"/>
        <v>52</v>
      </c>
      <c r="H2953" s="23" t="s">
        <v>26</v>
      </c>
      <c r="I2953" s="24" t="s">
        <v>33</v>
      </c>
      <c r="J2953" s="19" t="s">
        <v>10619</v>
      </c>
      <c r="K2953" s="14">
        <v>10.0</v>
      </c>
      <c r="L2953" s="14">
        <v>0.0</v>
      </c>
      <c r="M2953" s="25"/>
      <c r="N2953" s="26" t="s">
        <v>21</v>
      </c>
      <c r="O2953" s="7"/>
      <c r="P2953" s="7"/>
      <c r="Q2953" s="7"/>
      <c r="R2953" s="7"/>
      <c r="S2953" s="7"/>
      <c r="T2953" s="7"/>
      <c r="U2953" s="7"/>
      <c r="V2953" s="7"/>
      <c r="W2953" s="7"/>
      <c r="X2953" s="7"/>
      <c r="Y2953" s="7"/>
    </row>
    <row r="2954">
      <c r="A2954" s="14" t="s">
        <v>10620</v>
      </c>
      <c r="B2954" s="17" t="s">
        <v>10621</v>
      </c>
      <c r="C2954" s="17" t="s">
        <v>10622</v>
      </c>
      <c r="D2954" s="19" t="s">
        <v>10623</v>
      </c>
      <c r="E2954" s="20" t="s">
        <v>104</v>
      </c>
      <c r="F2954" s="21">
        <v>35143.0</v>
      </c>
      <c r="G2954" s="14">
        <f t="shared" si="1"/>
        <v>30</v>
      </c>
      <c r="H2954" s="23" t="s">
        <v>26</v>
      </c>
      <c r="I2954" s="24" t="s">
        <v>33</v>
      </c>
      <c r="J2954" s="19" t="s">
        <v>2762</v>
      </c>
      <c r="K2954" s="14">
        <v>1.0</v>
      </c>
      <c r="L2954" s="14">
        <v>0.0</v>
      </c>
      <c r="M2954" s="25"/>
      <c r="N2954" s="26" t="s">
        <v>21</v>
      </c>
      <c r="O2954" s="7"/>
      <c r="P2954" s="7"/>
      <c r="Q2954" s="7"/>
      <c r="R2954" s="7"/>
      <c r="S2954" s="7"/>
      <c r="T2954" s="7"/>
      <c r="U2954" s="7"/>
      <c r="V2954" s="7"/>
      <c r="W2954" s="7"/>
      <c r="X2954" s="7"/>
      <c r="Y2954" s="7"/>
    </row>
    <row r="2955">
      <c r="A2955" s="14" t="s">
        <v>10624</v>
      </c>
      <c r="B2955" s="17" t="s">
        <v>10621</v>
      </c>
      <c r="C2955" s="17" t="s">
        <v>10625</v>
      </c>
      <c r="D2955" s="19" t="s">
        <v>10626</v>
      </c>
      <c r="E2955" s="20" t="s">
        <v>4705</v>
      </c>
      <c r="F2955" s="21">
        <v>35996.0</v>
      </c>
      <c r="G2955" s="14">
        <f t="shared" si="1"/>
        <v>28</v>
      </c>
      <c r="H2955" s="23" t="s">
        <v>26</v>
      </c>
      <c r="I2955" s="24" t="s">
        <v>27</v>
      </c>
      <c r="J2955" s="19" t="s">
        <v>2762</v>
      </c>
      <c r="K2955" s="14">
        <v>1.0</v>
      </c>
      <c r="L2955" s="14">
        <v>0.0</v>
      </c>
      <c r="M2955" s="25"/>
      <c r="N2955" s="26" t="s">
        <v>21</v>
      </c>
      <c r="O2955" s="7"/>
      <c r="P2955" s="7"/>
      <c r="Q2955" s="7"/>
      <c r="R2955" s="7"/>
      <c r="S2955" s="7"/>
      <c r="T2955" s="7"/>
      <c r="U2955" s="7"/>
      <c r="V2955" s="7"/>
      <c r="W2955" s="7"/>
      <c r="X2955" s="7"/>
      <c r="Y2955" s="7"/>
    </row>
    <row r="2956">
      <c r="A2956" s="14" t="s">
        <v>10627</v>
      </c>
      <c r="B2956" s="17" t="s">
        <v>10628</v>
      </c>
      <c r="C2956" s="17" t="s">
        <v>10629</v>
      </c>
      <c r="D2956" s="19" t="s">
        <v>10630</v>
      </c>
      <c r="E2956" s="20" t="s">
        <v>632</v>
      </c>
      <c r="F2956" s="21">
        <v>20310.0</v>
      </c>
      <c r="G2956" s="14">
        <f t="shared" si="1"/>
        <v>71</v>
      </c>
      <c r="H2956" s="23" t="s">
        <v>27</v>
      </c>
      <c r="I2956" s="24" t="s">
        <v>27</v>
      </c>
      <c r="J2956" s="19" t="s">
        <v>53</v>
      </c>
      <c r="K2956" s="14">
        <v>11.0</v>
      </c>
      <c r="L2956" s="14">
        <v>0.0</v>
      </c>
      <c r="M2956" s="25"/>
      <c r="N2956" s="26" t="s">
        <v>21</v>
      </c>
      <c r="O2956" s="7"/>
      <c r="P2956" s="7"/>
      <c r="Q2956" s="7"/>
      <c r="R2956" s="7"/>
      <c r="S2956" s="7"/>
      <c r="T2956" s="7"/>
      <c r="U2956" s="7"/>
      <c r="V2956" s="7"/>
      <c r="W2956" s="7"/>
      <c r="X2956" s="7"/>
      <c r="Y2956" s="7"/>
    </row>
    <row r="2957">
      <c r="A2957" s="14" t="s">
        <v>10631</v>
      </c>
      <c r="B2957" s="17" t="s">
        <v>10632</v>
      </c>
      <c r="C2957" s="17" t="s">
        <v>10633</v>
      </c>
      <c r="D2957" s="19" t="s">
        <v>10634</v>
      </c>
      <c r="E2957" s="20" t="s">
        <v>53</v>
      </c>
      <c r="F2957" s="21">
        <v>29999.0</v>
      </c>
      <c r="G2957" s="14">
        <f t="shared" si="1"/>
        <v>44</v>
      </c>
      <c r="H2957" s="23" t="s">
        <v>100</v>
      </c>
      <c r="I2957" s="24" t="s">
        <v>33</v>
      </c>
      <c r="J2957" s="19" t="s">
        <v>328</v>
      </c>
      <c r="K2957" s="14">
        <v>25.0</v>
      </c>
      <c r="L2957" s="14">
        <v>0.0</v>
      </c>
      <c r="M2957" s="25"/>
      <c r="N2957" s="26" t="s">
        <v>21</v>
      </c>
      <c r="O2957" s="7"/>
      <c r="P2957" s="7"/>
      <c r="Q2957" s="7"/>
      <c r="R2957" s="7"/>
      <c r="S2957" s="7"/>
      <c r="T2957" s="7"/>
      <c r="U2957" s="7"/>
      <c r="V2957" s="7"/>
      <c r="W2957" s="7"/>
      <c r="X2957" s="7"/>
      <c r="Y2957" s="7"/>
    </row>
    <row r="2958">
      <c r="A2958" s="14" t="s">
        <v>10635</v>
      </c>
      <c r="B2958" s="17" t="s">
        <v>10636</v>
      </c>
      <c r="C2958" s="17" t="s">
        <v>10637</v>
      </c>
      <c r="D2958" s="19" t="s">
        <v>10638</v>
      </c>
      <c r="E2958" s="20" t="s">
        <v>53</v>
      </c>
      <c r="F2958" s="21">
        <v>35950.0</v>
      </c>
      <c r="G2958" s="14">
        <f t="shared" si="1"/>
        <v>28</v>
      </c>
      <c r="H2958" s="23" t="s">
        <v>26</v>
      </c>
      <c r="I2958" s="24" t="s">
        <v>27</v>
      </c>
      <c r="J2958" s="19" t="s">
        <v>362</v>
      </c>
      <c r="K2958" s="14">
        <v>27.0</v>
      </c>
      <c r="L2958" s="14">
        <v>0.0</v>
      </c>
      <c r="M2958" s="25"/>
      <c r="N2958" s="26" t="s">
        <v>21</v>
      </c>
      <c r="O2958" s="7"/>
      <c r="P2958" s="7"/>
      <c r="Q2958" s="7"/>
      <c r="R2958" s="7"/>
      <c r="S2958" s="7"/>
      <c r="T2958" s="7"/>
      <c r="U2958" s="7"/>
      <c r="V2958" s="7"/>
      <c r="W2958" s="7"/>
      <c r="X2958" s="7"/>
      <c r="Y2958" s="7"/>
    </row>
    <row r="2959">
      <c r="A2959" s="14" t="s">
        <v>10640</v>
      </c>
      <c r="B2959" s="17" t="s">
        <v>10636</v>
      </c>
      <c r="C2959" s="17" t="s">
        <v>10641</v>
      </c>
      <c r="D2959" s="19" t="s">
        <v>10642</v>
      </c>
      <c r="E2959" s="20" t="s">
        <v>654</v>
      </c>
      <c r="F2959" s="21">
        <v>33545.0</v>
      </c>
      <c r="G2959" s="14">
        <f t="shared" si="1"/>
        <v>34</v>
      </c>
      <c r="H2959" s="23" t="s">
        <v>26</v>
      </c>
      <c r="I2959" s="24" t="s">
        <v>33</v>
      </c>
      <c r="J2959" s="19" t="s">
        <v>362</v>
      </c>
      <c r="K2959" s="14">
        <v>27.0</v>
      </c>
      <c r="L2959" s="14">
        <v>0.0</v>
      </c>
      <c r="M2959" s="25"/>
      <c r="N2959" s="26" t="s">
        <v>21</v>
      </c>
      <c r="O2959" s="7"/>
      <c r="P2959" s="7"/>
      <c r="Q2959" s="7"/>
      <c r="R2959" s="7"/>
      <c r="S2959" s="7"/>
      <c r="T2959" s="7"/>
      <c r="U2959" s="7"/>
      <c r="V2959" s="7"/>
      <c r="W2959" s="7"/>
      <c r="X2959" s="7"/>
      <c r="Y2959" s="7"/>
    </row>
    <row r="2960">
      <c r="A2960" s="14" t="s">
        <v>10643</v>
      </c>
      <c r="B2960" s="17" t="s">
        <v>10644</v>
      </c>
      <c r="C2960" s="17" t="s">
        <v>10645</v>
      </c>
      <c r="D2960" s="19" t="s">
        <v>10646</v>
      </c>
      <c r="E2960" s="20" t="s">
        <v>8861</v>
      </c>
      <c r="F2960" s="21">
        <v>37867.0</v>
      </c>
      <c r="G2960" s="14">
        <f t="shared" si="1"/>
        <v>23</v>
      </c>
      <c r="H2960" s="23" t="s">
        <v>100</v>
      </c>
      <c r="I2960" s="24" t="s">
        <v>33</v>
      </c>
      <c r="J2960" s="19" t="s">
        <v>2196</v>
      </c>
      <c r="K2960" s="14">
        <v>15.0</v>
      </c>
      <c r="L2960" s="14">
        <v>5.0</v>
      </c>
      <c r="M2960" s="25"/>
      <c r="N2960" s="26" t="s">
        <v>21</v>
      </c>
      <c r="O2960" s="7"/>
      <c r="P2960" s="7"/>
      <c r="Q2960" s="7"/>
      <c r="R2960" s="7"/>
      <c r="S2960" s="7"/>
      <c r="T2960" s="7"/>
      <c r="U2960" s="7"/>
      <c r="V2960" s="7"/>
      <c r="W2960" s="7"/>
      <c r="X2960" s="7"/>
      <c r="Y2960" s="7"/>
    </row>
    <row r="2961">
      <c r="A2961" s="14" t="s">
        <v>10647</v>
      </c>
      <c r="B2961" s="17" t="s">
        <v>10644</v>
      </c>
      <c r="C2961" s="17" t="s">
        <v>10648</v>
      </c>
      <c r="D2961" s="19" t="s">
        <v>10649</v>
      </c>
      <c r="E2961" s="20" t="s">
        <v>10015</v>
      </c>
      <c r="F2961" s="21">
        <v>25744.0</v>
      </c>
      <c r="G2961" s="14">
        <f t="shared" si="1"/>
        <v>56</v>
      </c>
      <c r="H2961" s="23" t="s">
        <v>27</v>
      </c>
      <c r="I2961" s="24" t="s">
        <v>27</v>
      </c>
      <c r="J2961" s="19" t="s">
        <v>2196</v>
      </c>
      <c r="K2961" s="14">
        <v>15.0</v>
      </c>
      <c r="L2961" s="14">
        <v>5.0</v>
      </c>
      <c r="M2961" s="25"/>
      <c r="N2961" s="26" t="s">
        <v>21</v>
      </c>
      <c r="O2961" s="7"/>
      <c r="P2961" s="7"/>
      <c r="Q2961" s="7"/>
      <c r="R2961" s="7"/>
      <c r="S2961" s="7"/>
      <c r="T2961" s="7"/>
      <c r="U2961" s="7"/>
      <c r="V2961" s="7"/>
      <c r="W2961" s="7"/>
      <c r="X2961" s="7"/>
      <c r="Y2961" s="7"/>
    </row>
    <row r="2962">
      <c r="A2962" s="14" t="s">
        <v>10650</v>
      </c>
      <c r="B2962" s="17" t="s">
        <v>10651</v>
      </c>
      <c r="C2962" s="17" t="s">
        <v>10652</v>
      </c>
      <c r="D2962" s="19" t="s">
        <v>10653</v>
      </c>
      <c r="E2962" s="20" t="s">
        <v>104</v>
      </c>
      <c r="F2962" s="21">
        <v>33451.0</v>
      </c>
      <c r="G2962" s="14">
        <f t="shared" si="1"/>
        <v>35</v>
      </c>
      <c r="H2962" s="23" t="s">
        <v>26</v>
      </c>
      <c r="I2962" s="24" t="s">
        <v>33</v>
      </c>
      <c r="J2962" s="19" t="s">
        <v>146</v>
      </c>
      <c r="K2962" s="14">
        <v>7.0</v>
      </c>
      <c r="L2962" s="14">
        <v>0.0</v>
      </c>
      <c r="M2962" s="25"/>
      <c r="N2962" s="26" t="s">
        <v>21</v>
      </c>
      <c r="O2962" s="7"/>
      <c r="P2962" s="7"/>
      <c r="Q2962" s="7"/>
      <c r="R2962" s="7"/>
      <c r="S2962" s="7"/>
      <c r="T2962" s="7"/>
      <c r="U2962" s="7"/>
      <c r="V2962" s="7"/>
      <c r="W2962" s="7"/>
      <c r="X2962" s="7"/>
      <c r="Y2962" s="7"/>
    </row>
    <row r="2963">
      <c r="A2963" s="14" t="s">
        <v>10654</v>
      </c>
      <c r="B2963" s="17" t="s">
        <v>10651</v>
      </c>
      <c r="C2963" s="17" t="s">
        <v>10655</v>
      </c>
      <c r="D2963" s="19" t="s">
        <v>10656</v>
      </c>
      <c r="E2963" s="20" t="s">
        <v>274</v>
      </c>
      <c r="F2963" s="21">
        <v>33771.0</v>
      </c>
      <c r="G2963" s="14">
        <f t="shared" si="1"/>
        <v>34</v>
      </c>
      <c r="H2963" s="23" t="s">
        <v>26</v>
      </c>
      <c r="I2963" s="24" t="s">
        <v>27</v>
      </c>
      <c r="J2963" s="19" t="s">
        <v>146</v>
      </c>
      <c r="K2963" s="14">
        <v>7.0</v>
      </c>
      <c r="L2963" s="14">
        <v>0.0</v>
      </c>
      <c r="M2963" s="25"/>
      <c r="N2963" s="26" t="s">
        <v>21</v>
      </c>
      <c r="O2963" s="7"/>
      <c r="P2963" s="7"/>
      <c r="Q2963" s="7"/>
      <c r="R2963" s="7"/>
      <c r="S2963" s="7"/>
      <c r="T2963" s="7"/>
      <c r="U2963" s="7"/>
      <c r="V2963" s="7"/>
      <c r="W2963" s="7"/>
      <c r="X2963" s="7"/>
      <c r="Y2963" s="7"/>
    </row>
    <row r="2964">
      <c r="A2964" s="14" t="s">
        <v>10657</v>
      </c>
      <c r="B2964" s="17" t="s">
        <v>10658</v>
      </c>
      <c r="C2964" s="17" t="s">
        <v>10659</v>
      </c>
      <c r="D2964" s="19" t="s">
        <v>10660</v>
      </c>
      <c r="E2964" s="20" t="s">
        <v>104</v>
      </c>
      <c r="F2964" s="21">
        <v>35111.0</v>
      </c>
      <c r="G2964" s="14">
        <f t="shared" si="1"/>
        <v>30</v>
      </c>
      <c r="H2964" s="23" t="s">
        <v>26</v>
      </c>
      <c r="I2964" s="24" t="s">
        <v>27</v>
      </c>
      <c r="J2964" s="19" t="s">
        <v>146</v>
      </c>
      <c r="K2964" s="14">
        <v>9.0</v>
      </c>
      <c r="L2964" s="14">
        <v>0.0</v>
      </c>
      <c r="M2964" s="25"/>
      <c r="N2964" s="26" t="s">
        <v>21</v>
      </c>
      <c r="O2964" s="7"/>
      <c r="P2964" s="7"/>
      <c r="Q2964" s="7"/>
      <c r="R2964" s="7"/>
      <c r="S2964" s="7"/>
      <c r="T2964" s="7"/>
      <c r="U2964" s="7"/>
      <c r="V2964" s="7"/>
      <c r="W2964" s="7"/>
      <c r="X2964" s="7"/>
      <c r="Y2964" s="7"/>
    </row>
    <row r="2965">
      <c r="A2965" s="14" t="s">
        <v>10661</v>
      </c>
      <c r="B2965" s="17" t="s">
        <v>10658</v>
      </c>
      <c r="C2965" s="17" t="s">
        <v>10662</v>
      </c>
      <c r="D2965" s="19" t="s">
        <v>10663</v>
      </c>
      <c r="E2965" s="20" t="s">
        <v>104</v>
      </c>
      <c r="F2965" s="21">
        <v>34840.0</v>
      </c>
      <c r="G2965" s="14">
        <f t="shared" si="1"/>
        <v>31</v>
      </c>
      <c r="H2965" s="23" t="s">
        <v>26</v>
      </c>
      <c r="I2965" s="24" t="s">
        <v>33</v>
      </c>
      <c r="J2965" s="19" t="s">
        <v>146</v>
      </c>
      <c r="K2965" s="14">
        <v>9.0</v>
      </c>
      <c r="L2965" s="14">
        <v>0.0</v>
      </c>
      <c r="M2965" s="25"/>
      <c r="N2965" s="26" t="s">
        <v>21</v>
      </c>
      <c r="O2965" s="7"/>
      <c r="P2965" s="7"/>
      <c r="Q2965" s="7"/>
      <c r="R2965" s="7"/>
      <c r="S2965" s="7"/>
      <c r="T2965" s="7"/>
      <c r="U2965" s="7"/>
      <c r="V2965" s="7"/>
      <c r="W2965" s="7"/>
      <c r="X2965" s="7"/>
      <c r="Y2965" s="7"/>
    </row>
    <row r="2966">
      <c r="A2966" s="14" t="s">
        <v>10664</v>
      </c>
      <c r="B2966" s="17" t="s">
        <v>10665</v>
      </c>
      <c r="C2966" s="17" t="s">
        <v>10666</v>
      </c>
      <c r="D2966" s="19" t="s">
        <v>9752</v>
      </c>
      <c r="E2966" s="20" t="s">
        <v>632</v>
      </c>
      <c r="F2966" s="21">
        <v>17345.0</v>
      </c>
      <c r="G2966" s="14">
        <f t="shared" si="1"/>
        <v>79</v>
      </c>
      <c r="H2966" s="23" t="s">
        <v>26</v>
      </c>
      <c r="I2966" s="24" t="s">
        <v>27</v>
      </c>
      <c r="J2966" s="19" t="s">
        <v>146</v>
      </c>
      <c r="K2966" s="14">
        <v>10.0</v>
      </c>
      <c r="L2966" s="14">
        <v>0.0</v>
      </c>
      <c r="M2966" s="25"/>
      <c r="N2966" s="26" t="s">
        <v>21</v>
      </c>
      <c r="O2966" s="7"/>
      <c r="P2966" s="7"/>
      <c r="Q2966" s="7"/>
      <c r="R2966" s="7"/>
      <c r="S2966" s="7"/>
      <c r="T2966" s="7"/>
      <c r="U2966" s="7"/>
      <c r="V2966" s="7"/>
      <c r="W2966" s="7"/>
      <c r="X2966" s="7"/>
      <c r="Y2966" s="7"/>
    </row>
    <row r="2967">
      <c r="A2967" s="14" t="s">
        <v>10667</v>
      </c>
      <c r="B2967" s="17" t="s">
        <v>10668</v>
      </c>
      <c r="C2967" s="17" t="s">
        <v>10669</v>
      </c>
      <c r="D2967" s="19" t="s">
        <v>10670</v>
      </c>
      <c r="E2967" s="20" t="s">
        <v>654</v>
      </c>
      <c r="F2967" s="21">
        <v>18461.0</v>
      </c>
      <c r="G2967" s="14">
        <f t="shared" si="1"/>
        <v>76</v>
      </c>
      <c r="H2967" s="23" t="s">
        <v>26</v>
      </c>
      <c r="I2967" s="24" t="s">
        <v>33</v>
      </c>
      <c r="J2967" s="19" t="s">
        <v>146</v>
      </c>
      <c r="K2967" s="14">
        <v>10.0</v>
      </c>
      <c r="L2967" s="14">
        <v>1.0</v>
      </c>
      <c r="M2967" s="25"/>
      <c r="N2967" s="26" t="s">
        <v>21</v>
      </c>
      <c r="O2967" s="7"/>
      <c r="P2967" s="7"/>
      <c r="Q2967" s="7"/>
      <c r="R2967" s="7"/>
      <c r="S2967" s="7"/>
      <c r="T2967" s="7"/>
      <c r="U2967" s="7"/>
      <c r="V2967" s="7"/>
      <c r="W2967" s="7"/>
      <c r="X2967" s="7"/>
      <c r="Y2967" s="7"/>
    </row>
    <row r="2968">
      <c r="A2968" s="14" t="s">
        <v>10671</v>
      </c>
      <c r="B2968" s="17" t="s">
        <v>10668</v>
      </c>
      <c r="C2968" s="17" t="s">
        <v>10672</v>
      </c>
      <c r="D2968" s="19" t="s">
        <v>6651</v>
      </c>
      <c r="E2968" s="20" t="s">
        <v>53</v>
      </c>
      <c r="F2968" s="21">
        <v>38193.0</v>
      </c>
      <c r="G2968" s="14">
        <f t="shared" si="1"/>
        <v>22</v>
      </c>
      <c r="H2968" s="23" t="s">
        <v>100</v>
      </c>
      <c r="I2968" s="24" t="s">
        <v>27</v>
      </c>
      <c r="J2968" s="19" t="s">
        <v>146</v>
      </c>
      <c r="K2968" s="14">
        <v>10.0</v>
      </c>
      <c r="L2968" s="14">
        <v>0.0</v>
      </c>
      <c r="M2968" s="25"/>
      <c r="N2968" s="26" t="s">
        <v>21</v>
      </c>
      <c r="O2968" s="7"/>
      <c r="P2968" s="7"/>
      <c r="Q2968" s="7"/>
      <c r="R2968" s="7"/>
      <c r="S2968" s="7"/>
      <c r="T2968" s="7"/>
      <c r="U2968" s="7"/>
      <c r="V2968" s="7"/>
      <c r="W2968" s="7"/>
      <c r="X2968" s="7"/>
      <c r="Y2968" s="7"/>
    </row>
    <row r="2969">
      <c r="A2969" s="14" t="s">
        <v>10673</v>
      </c>
      <c r="B2969" s="17" t="s">
        <v>10668</v>
      </c>
      <c r="C2969" s="17" t="s">
        <v>10674</v>
      </c>
      <c r="D2969" s="19" t="s">
        <v>10675</v>
      </c>
      <c r="E2969" s="20" t="s">
        <v>654</v>
      </c>
      <c r="F2969" s="21">
        <v>22844.0</v>
      </c>
      <c r="G2969" s="14">
        <f t="shared" si="1"/>
        <v>64</v>
      </c>
      <c r="H2969" s="23" t="s">
        <v>26</v>
      </c>
      <c r="I2969" s="24" t="s">
        <v>27</v>
      </c>
      <c r="J2969" s="19" t="s">
        <v>146</v>
      </c>
      <c r="K2969" s="14">
        <v>10.0</v>
      </c>
      <c r="L2969" s="14">
        <v>0.0</v>
      </c>
      <c r="M2969" s="25"/>
      <c r="N2969" s="26" t="s">
        <v>21</v>
      </c>
      <c r="O2969" s="7"/>
      <c r="P2969" s="7"/>
      <c r="Q2969" s="7"/>
      <c r="R2969" s="7"/>
      <c r="S2969" s="7"/>
      <c r="T2969" s="7"/>
      <c r="U2969" s="7"/>
      <c r="V2969" s="7"/>
      <c r="W2969" s="7"/>
      <c r="X2969" s="7"/>
      <c r="Y2969" s="7"/>
    </row>
    <row r="2970">
      <c r="A2970" s="14" t="s">
        <v>10676</v>
      </c>
      <c r="B2970" s="17" t="s">
        <v>10677</v>
      </c>
      <c r="C2970" s="17" t="s">
        <v>10678</v>
      </c>
      <c r="D2970" s="19" t="s">
        <v>10679</v>
      </c>
      <c r="E2970" s="20" t="s">
        <v>654</v>
      </c>
      <c r="F2970" s="21">
        <v>28176.0</v>
      </c>
      <c r="G2970" s="14">
        <f t="shared" si="1"/>
        <v>49</v>
      </c>
      <c r="H2970" s="23" t="s">
        <v>26</v>
      </c>
      <c r="I2970" s="24" t="s">
        <v>27</v>
      </c>
      <c r="J2970" s="19" t="s">
        <v>53</v>
      </c>
      <c r="K2970" s="14">
        <v>10.0</v>
      </c>
      <c r="L2970" s="14">
        <v>0.0</v>
      </c>
      <c r="M2970" s="25"/>
      <c r="N2970" s="26" t="s">
        <v>21</v>
      </c>
      <c r="O2970" s="7"/>
      <c r="P2970" s="7"/>
      <c r="Q2970" s="7"/>
      <c r="R2970" s="7"/>
      <c r="S2970" s="7"/>
      <c r="T2970" s="7"/>
      <c r="U2970" s="7"/>
      <c r="V2970" s="7"/>
      <c r="W2970" s="7"/>
      <c r="X2970" s="7"/>
      <c r="Y2970" s="7"/>
    </row>
    <row r="2971">
      <c r="A2971" s="14" t="s">
        <v>10680</v>
      </c>
      <c r="B2971" s="17" t="s">
        <v>10677</v>
      </c>
      <c r="C2971" s="17" t="s">
        <v>10681</v>
      </c>
      <c r="D2971" s="19" t="s">
        <v>10682</v>
      </c>
      <c r="E2971" s="20" t="s">
        <v>104</v>
      </c>
      <c r="F2971" s="21">
        <v>38299.0</v>
      </c>
      <c r="G2971" s="14">
        <f t="shared" si="1"/>
        <v>21</v>
      </c>
      <c r="H2971" s="23" t="s">
        <v>100</v>
      </c>
      <c r="I2971" s="24" t="s">
        <v>27</v>
      </c>
      <c r="J2971" s="19" t="s">
        <v>53</v>
      </c>
      <c r="K2971" s="14">
        <v>10.0</v>
      </c>
      <c r="L2971" s="14">
        <v>0.0</v>
      </c>
      <c r="M2971" s="25"/>
      <c r="N2971" s="26" t="s">
        <v>21</v>
      </c>
      <c r="O2971" s="7"/>
      <c r="P2971" s="7"/>
      <c r="Q2971" s="7"/>
      <c r="R2971" s="7"/>
      <c r="S2971" s="7"/>
      <c r="T2971" s="7"/>
      <c r="U2971" s="7"/>
      <c r="V2971" s="7"/>
      <c r="W2971" s="7"/>
      <c r="X2971" s="7"/>
      <c r="Y2971" s="7"/>
    </row>
    <row r="2972">
      <c r="A2972" s="14" t="s">
        <v>10683</v>
      </c>
      <c r="B2972" s="17" t="s">
        <v>10677</v>
      </c>
      <c r="C2972" s="17" t="s">
        <v>10684</v>
      </c>
      <c r="D2972" s="19" t="s">
        <v>10685</v>
      </c>
      <c r="E2972" s="20" t="s">
        <v>654</v>
      </c>
      <c r="F2972" s="21">
        <v>24488.0</v>
      </c>
      <c r="G2972" s="14">
        <f t="shared" si="1"/>
        <v>59</v>
      </c>
      <c r="H2972" s="23" t="s">
        <v>26</v>
      </c>
      <c r="I2972" s="24" t="s">
        <v>33</v>
      </c>
      <c r="J2972" s="19" t="s">
        <v>53</v>
      </c>
      <c r="K2972" s="14">
        <v>10.0</v>
      </c>
      <c r="L2972" s="14">
        <v>0.0</v>
      </c>
      <c r="M2972" s="25"/>
      <c r="N2972" s="26" t="s">
        <v>21</v>
      </c>
      <c r="O2972" s="7"/>
      <c r="P2972" s="7"/>
      <c r="Q2972" s="7"/>
      <c r="R2972" s="7"/>
      <c r="S2972" s="7"/>
      <c r="T2972" s="7"/>
      <c r="U2972" s="7"/>
      <c r="V2972" s="7"/>
      <c r="W2972" s="7"/>
      <c r="X2972" s="7"/>
      <c r="Y2972" s="7"/>
    </row>
    <row r="2973">
      <c r="A2973" s="14" t="s">
        <v>10686</v>
      </c>
      <c r="B2973" s="17" t="s">
        <v>10687</v>
      </c>
      <c r="C2973" s="17" t="s">
        <v>10688</v>
      </c>
      <c r="D2973" s="19" t="s">
        <v>10689</v>
      </c>
      <c r="E2973" s="20" t="s">
        <v>104</v>
      </c>
      <c r="F2973" s="27">
        <v>30669.0</v>
      </c>
      <c r="G2973" s="14">
        <f t="shared" si="1"/>
        <v>42</v>
      </c>
      <c r="H2973" s="23" t="s">
        <v>26</v>
      </c>
      <c r="I2973" s="24" t="s">
        <v>27</v>
      </c>
      <c r="J2973" s="19" t="s">
        <v>53</v>
      </c>
      <c r="K2973" s="14">
        <v>10.0</v>
      </c>
      <c r="L2973" s="14">
        <v>0.0</v>
      </c>
      <c r="M2973" s="25"/>
      <c r="N2973" s="26" t="s">
        <v>21</v>
      </c>
      <c r="O2973" s="7"/>
      <c r="P2973" s="7"/>
      <c r="Q2973" s="7"/>
      <c r="R2973" s="7"/>
      <c r="S2973" s="7"/>
      <c r="T2973" s="7"/>
      <c r="U2973" s="7"/>
      <c r="V2973" s="7"/>
      <c r="W2973" s="7"/>
      <c r="X2973" s="7"/>
      <c r="Y2973" s="7"/>
    </row>
    <row r="2974">
      <c r="A2974" s="14" t="s">
        <v>10690</v>
      </c>
      <c r="B2974" s="17" t="s">
        <v>10687</v>
      </c>
      <c r="C2974" s="17" t="s">
        <v>10691</v>
      </c>
      <c r="D2974" s="19" t="s">
        <v>9838</v>
      </c>
      <c r="E2974" s="20" t="s">
        <v>654</v>
      </c>
      <c r="F2974" s="21">
        <v>25396.0</v>
      </c>
      <c r="G2974" s="14">
        <f t="shared" si="1"/>
        <v>57</v>
      </c>
      <c r="H2974" s="23" t="s">
        <v>26</v>
      </c>
      <c r="I2974" s="24" t="s">
        <v>33</v>
      </c>
      <c r="J2974" s="19" t="s">
        <v>53</v>
      </c>
      <c r="K2974" s="14">
        <v>10.0</v>
      </c>
      <c r="L2974" s="14">
        <v>0.0</v>
      </c>
      <c r="M2974" s="25"/>
      <c r="N2974" s="26" t="s">
        <v>21</v>
      </c>
      <c r="O2974" s="7"/>
      <c r="P2974" s="7"/>
      <c r="Q2974" s="7"/>
      <c r="R2974" s="7"/>
      <c r="S2974" s="7"/>
      <c r="T2974" s="7"/>
      <c r="U2974" s="7"/>
      <c r="V2974" s="7"/>
      <c r="W2974" s="7"/>
      <c r="X2974" s="7"/>
      <c r="Y2974" s="7"/>
    </row>
    <row r="2975">
      <c r="A2975" s="14" t="s">
        <v>10692</v>
      </c>
      <c r="B2975" s="17" t="s">
        <v>10687</v>
      </c>
      <c r="C2975" s="17" t="s">
        <v>10693</v>
      </c>
      <c r="D2975" s="19" t="s">
        <v>10694</v>
      </c>
      <c r="E2975" s="20" t="s">
        <v>104</v>
      </c>
      <c r="F2975" s="21">
        <v>36923.0</v>
      </c>
      <c r="G2975" s="14">
        <f t="shared" si="1"/>
        <v>25</v>
      </c>
      <c r="H2975" s="23" t="s">
        <v>100</v>
      </c>
      <c r="I2975" s="24" t="s">
        <v>27</v>
      </c>
      <c r="J2975" s="19" t="s">
        <v>53</v>
      </c>
      <c r="K2975" s="14">
        <v>10.0</v>
      </c>
      <c r="L2975" s="14">
        <v>5.0</v>
      </c>
      <c r="M2975" s="25"/>
      <c r="N2975" s="26" t="s">
        <v>21</v>
      </c>
      <c r="O2975" s="7"/>
      <c r="P2975" s="7"/>
      <c r="Q2975" s="7"/>
      <c r="R2975" s="7"/>
      <c r="S2975" s="7"/>
      <c r="T2975" s="7"/>
      <c r="U2975" s="7"/>
      <c r="V2975" s="7"/>
      <c r="W2975" s="7"/>
      <c r="X2975" s="7"/>
      <c r="Y2975" s="7"/>
    </row>
    <row r="2976">
      <c r="A2976" s="14" t="s">
        <v>10695</v>
      </c>
      <c r="B2976" s="17" t="s">
        <v>10696</v>
      </c>
      <c r="C2976" s="17" t="s">
        <v>10697</v>
      </c>
      <c r="D2976" s="19" t="s">
        <v>10698</v>
      </c>
      <c r="E2976" s="20" t="s">
        <v>104</v>
      </c>
      <c r="F2976" s="21">
        <v>35263.0</v>
      </c>
      <c r="G2976" s="14">
        <f t="shared" si="1"/>
        <v>30</v>
      </c>
      <c r="H2976" s="23" t="s">
        <v>100</v>
      </c>
      <c r="I2976" s="24" t="s">
        <v>33</v>
      </c>
      <c r="J2976" s="19" t="s">
        <v>146</v>
      </c>
      <c r="K2976" s="14">
        <v>10.0</v>
      </c>
      <c r="L2976" s="14">
        <v>0.0</v>
      </c>
      <c r="M2976" s="25"/>
      <c r="N2976" s="26" t="s">
        <v>21</v>
      </c>
      <c r="O2976" s="7"/>
      <c r="P2976" s="7"/>
      <c r="Q2976" s="7"/>
      <c r="R2976" s="7"/>
      <c r="S2976" s="7"/>
      <c r="T2976" s="7"/>
      <c r="U2976" s="7"/>
      <c r="V2976" s="7"/>
      <c r="W2976" s="7"/>
      <c r="X2976" s="7"/>
      <c r="Y2976" s="7"/>
    </row>
    <row r="2977">
      <c r="A2977" s="14" t="s">
        <v>10699</v>
      </c>
      <c r="B2977" s="17" t="s">
        <v>10696</v>
      </c>
      <c r="C2977" s="17" t="s">
        <v>10700</v>
      </c>
      <c r="D2977" s="19" t="s">
        <v>4957</v>
      </c>
      <c r="E2977" s="20" t="s">
        <v>654</v>
      </c>
      <c r="F2977" s="21">
        <v>26077.0</v>
      </c>
      <c r="G2977" s="14">
        <f t="shared" si="1"/>
        <v>55</v>
      </c>
      <c r="H2977" s="23" t="s">
        <v>26</v>
      </c>
      <c r="I2977" s="24" t="s">
        <v>33</v>
      </c>
      <c r="J2977" s="19" t="s">
        <v>146</v>
      </c>
      <c r="K2977" s="14">
        <v>10.0</v>
      </c>
      <c r="L2977" s="14">
        <v>0.0</v>
      </c>
      <c r="M2977" s="25"/>
      <c r="N2977" s="26" t="s">
        <v>21</v>
      </c>
      <c r="O2977" s="7"/>
      <c r="P2977" s="7"/>
      <c r="Q2977" s="7"/>
      <c r="R2977" s="7"/>
      <c r="S2977" s="7"/>
      <c r="T2977" s="7"/>
      <c r="U2977" s="7"/>
      <c r="V2977" s="7"/>
      <c r="W2977" s="7"/>
      <c r="X2977" s="7"/>
      <c r="Y2977" s="7"/>
    </row>
    <row r="2978">
      <c r="A2978" s="14" t="s">
        <v>10701</v>
      </c>
      <c r="B2978" s="17" t="s">
        <v>10696</v>
      </c>
      <c r="C2978" s="17" t="s">
        <v>10702</v>
      </c>
      <c r="D2978" s="19" t="s">
        <v>10703</v>
      </c>
      <c r="E2978" s="20" t="s">
        <v>104</v>
      </c>
      <c r="F2978" s="21">
        <v>29462.0</v>
      </c>
      <c r="G2978" s="14">
        <f t="shared" si="1"/>
        <v>46</v>
      </c>
      <c r="H2978" s="23" t="s">
        <v>26</v>
      </c>
      <c r="I2978" s="24" t="s">
        <v>27</v>
      </c>
      <c r="J2978" s="19" t="s">
        <v>146</v>
      </c>
      <c r="K2978" s="14">
        <v>10.0</v>
      </c>
      <c r="L2978" s="14">
        <v>0.0</v>
      </c>
      <c r="M2978" s="25"/>
      <c r="N2978" s="26" t="s">
        <v>21</v>
      </c>
      <c r="O2978" s="7"/>
      <c r="P2978" s="7"/>
      <c r="Q2978" s="7"/>
      <c r="R2978" s="7"/>
      <c r="S2978" s="7"/>
      <c r="T2978" s="7"/>
      <c r="U2978" s="7"/>
      <c r="V2978" s="7"/>
      <c r="W2978" s="7"/>
      <c r="X2978" s="7"/>
      <c r="Y2978" s="7"/>
    </row>
    <row r="2979">
      <c r="A2979" s="14" t="s">
        <v>10704</v>
      </c>
      <c r="B2979" s="17" t="s">
        <v>10705</v>
      </c>
      <c r="C2979" s="17" t="s">
        <v>10706</v>
      </c>
      <c r="D2979" s="19" t="s">
        <v>10707</v>
      </c>
      <c r="E2979" s="20" t="s">
        <v>53</v>
      </c>
      <c r="F2979" s="21">
        <v>35706.0</v>
      </c>
      <c r="G2979" s="14">
        <f t="shared" si="1"/>
        <v>29</v>
      </c>
      <c r="H2979" s="23" t="s">
        <v>100</v>
      </c>
      <c r="I2979" s="24" t="s">
        <v>33</v>
      </c>
      <c r="J2979" s="19" t="s">
        <v>146</v>
      </c>
      <c r="K2979" s="14">
        <v>10.0</v>
      </c>
      <c r="L2979" s="14">
        <v>0.0</v>
      </c>
      <c r="M2979" s="25"/>
      <c r="N2979" s="26" t="s">
        <v>21</v>
      </c>
      <c r="O2979" s="7"/>
      <c r="P2979" s="7"/>
      <c r="Q2979" s="7"/>
      <c r="R2979" s="7"/>
      <c r="S2979" s="7"/>
      <c r="T2979" s="7"/>
      <c r="U2979" s="7"/>
      <c r="V2979" s="7"/>
      <c r="W2979" s="7"/>
      <c r="X2979" s="7"/>
      <c r="Y2979" s="7"/>
    </row>
    <row r="2980">
      <c r="A2980" s="14" t="s">
        <v>10708</v>
      </c>
      <c r="B2980" s="17" t="s">
        <v>10705</v>
      </c>
      <c r="C2980" s="17" t="s">
        <v>10709</v>
      </c>
      <c r="D2980" s="19" t="s">
        <v>10710</v>
      </c>
      <c r="E2980" s="20" t="s">
        <v>53</v>
      </c>
      <c r="F2980" s="21">
        <v>38200.0</v>
      </c>
      <c r="G2980" s="14">
        <f t="shared" si="1"/>
        <v>22</v>
      </c>
      <c r="H2980" s="23" t="s">
        <v>100</v>
      </c>
      <c r="I2980" s="24" t="s">
        <v>33</v>
      </c>
      <c r="J2980" s="19" t="s">
        <v>146</v>
      </c>
      <c r="K2980" s="14">
        <v>10.0</v>
      </c>
      <c r="L2980" s="14">
        <v>0.0</v>
      </c>
      <c r="M2980" s="25"/>
      <c r="N2980" s="26" t="s">
        <v>21</v>
      </c>
      <c r="O2980" s="7"/>
      <c r="P2980" s="7"/>
      <c r="Q2980" s="7"/>
      <c r="R2980" s="7"/>
      <c r="S2980" s="7"/>
      <c r="T2980" s="7"/>
      <c r="U2980" s="7"/>
      <c r="V2980" s="7"/>
      <c r="W2980" s="7"/>
      <c r="X2980" s="7"/>
      <c r="Y2980" s="7"/>
    </row>
    <row r="2981">
      <c r="A2981" s="14" t="s">
        <v>10711</v>
      </c>
      <c r="B2981" s="17" t="s">
        <v>10705</v>
      </c>
      <c r="C2981" s="17" t="s">
        <v>10712</v>
      </c>
      <c r="D2981" s="19" t="s">
        <v>10352</v>
      </c>
      <c r="E2981" s="20" t="s">
        <v>632</v>
      </c>
      <c r="F2981" s="21">
        <v>26832.0</v>
      </c>
      <c r="G2981" s="14">
        <f t="shared" si="1"/>
        <v>53</v>
      </c>
      <c r="H2981" s="23" t="s">
        <v>26</v>
      </c>
      <c r="I2981" s="24" t="s">
        <v>33</v>
      </c>
      <c r="J2981" s="19" t="s">
        <v>146</v>
      </c>
      <c r="K2981" s="14">
        <v>10.0</v>
      </c>
      <c r="L2981" s="14">
        <v>0.0</v>
      </c>
      <c r="M2981" s="25"/>
      <c r="N2981" s="26" t="s">
        <v>21</v>
      </c>
      <c r="O2981" s="7"/>
      <c r="P2981" s="7"/>
      <c r="Q2981" s="7"/>
      <c r="R2981" s="7"/>
      <c r="S2981" s="7"/>
      <c r="T2981" s="7"/>
      <c r="U2981" s="7"/>
      <c r="V2981" s="7"/>
      <c r="W2981" s="7"/>
      <c r="X2981" s="7"/>
      <c r="Y2981" s="7"/>
    </row>
    <row r="2982">
      <c r="A2982" s="14" t="s">
        <v>10713</v>
      </c>
      <c r="B2982" s="17" t="s">
        <v>10705</v>
      </c>
      <c r="C2982" s="17" t="s">
        <v>10714</v>
      </c>
      <c r="D2982" s="19" t="s">
        <v>554</v>
      </c>
      <c r="E2982" s="20" t="s">
        <v>187</v>
      </c>
      <c r="F2982" s="21">
        <v>28293.0</v>
      </c>
      <c r="G2982" s="14">
        <f t="shared" si="1"/>
        <v>49</v>
      </c>
      <c r="H2982" s="23" t="s">
        <v>26</v>
      </c>
      <c r="I2982" s="24" t="s">
        <v>27</v>
      </c>
      <c r="J2982" s="19" t="s">
        <v>146</v>
      </c>
      <c r="K2982" s="14">
        <v>10.0</v>
      </c>
      <c r="L2982" s="14">
        <v>0.0</v>
      </c>
      <c r="M2982" s="25"/>
      <c r="N2982" s="26" t="s">
        <v>21</v>
      </c>
      <c r="O2982" s="7"/>
      <c r="P2982" s="7"/>
      <c r="Q2982" s="7"/>
      <c r="R2982" s="7"/>
      <c r="S2982" s="7"/>
      <c r="T2982" s="7"/>
      <c r="U2982" s="7"/>
      <c r="V2982" s="7"/>
      <c r="W2982" s="7"/>
      <c r="X2982" s="7"/>
      <c r="Y2982" s="7"/>
    </row>
    <row r="2983">
      <c r="A2983" s="14" t="s">
        <v>10715</v>
      </c>
      <c r="B2983" s="17" t="s">
        <v>10716</v>
      </c>
      <c r="C2983" s="17" t="s">
        <v>10717</v>
      </c>
      <c r="D2983" s="19" t="s">
        <v>10718</v>
      </c>
      <c r="E2983" s="20" t="s">
        <v>10719</v>
      </c>
      <c r="F2983" s="21">
        <v>25036.0</v>
      </c>
      <c r="G2983" s="14">
        <f t="shared" si="1"/>
        <v>58</v>
      </c>
      <c r="H2983" s="23" t="s">
        <v>26</v>
      </c>
      <c r="I2983" s="24" t="s">
        <v>27</v>
      </c>
      <c r="J2983" s="19" t="s">
        <v>146</v>
      </c>
      <c r="K2983" s="14">
        <v>10.0</v>
      </c>
      <c r="L2983" s="14">
        <v>1.0</v>
      </c>
      <c r="M2983" s="25"/>
      <c r="N2983" s="26" t="s">
        <v>21</v>
      </c>
      <c r="O2983" s="7"/>
      <c r="P2983" s="7"/>
      <c r="Q2983" s="7"/>
      <c r="R2983" s="7"/>
      <c r="S2983" s="7"/>
      <c r="T2983" s="7"/>
      <c r="U2983" s="7"/>
      <c r="V2983" s="7"/>
      <c r="W2983" s="7"/>
      <c r="X2983" s="7"/>
      <c r="Y2983" s="7"/>
    </row>
    <row r="2984">
      <c r="A2984" s="14" t="s">
        <v>10720</v>
      </c>
      <c r="B2984" s="17" t="s">
        <v>10716</v>
      </c>
      <c r="C2984" s="17" t="s">
        <v>10721</v>
      </c>
      <c r="D2984" s="19" t="s">
        <v>10722</v>
      </c>
      <c r="E2984" s="20" t="s">
        <v>10723</v>
      </c>
      <c r="F2984" s="21">
        <v>22479.0</v>
      </c>
      <c r="G2984" s="14">
        <f t="shared" si="1"/>
        <v>65</v>
      </c>
      <c r="H2984" s="23" t="s">
        <v>26</v>
      </c>
      <c r="I2984" s="24" t="s">
        <v>33</v>
      </c>
      <c r="J2984" s="19" t="s">
        <v>146</v>
      </c>
      <c r="K2984" s="14">
        <v>10.0</v>
      </c>
      <c r="L2984" s="14">
        <v>1.0</v>
      </c>
      <c r="M2984" s="25"/>
      <c r="N2984" s="26" t="s">
        <v>21</v>
      </c>
      <c r="O2984" s="7"/>
      <c r="P2984" s="7"/>
      <c r="Q2984" s="7"/>
      <c r="R2984" s="7"/>
      <c r="S2984" s="7"/>
      <c r="T2984" s="7"/>
      <c r="U2984" s="7"/>
      <c r="V2984" s="7"/>
      <c r="W2984" s="7"/>
      <c r="X2984" s="7"/>
      <c r="Y2984" s="7"/>
    </row>
    <row r="2985">
      <c r="A2985" s="14" t="s">
        <v>10724</v>
      </c>
      <c r="B2985" s="17" t="s">
        <v>10725</v>
      </c>
      <c r="C2985" s="17" t="s">
        <v>10726</v>
      </c>
      <c r="D2985" s="19" t="s">
        <v>10727</v>
      </c>
      <c r="E2985" s="20" t="s">
        <v>654</v>
      </c>
      <c r="F2985" s="21">
        <v>21309.0</v>
      </c>
      <c r="G2985" s="14">
        <f t="shared" si="1"/>
        <v>68</v>
      </c>
      <c r="H2985" s="23" t="s">
        <v>26</v>
      </c>
      <c r="I2985" s="24" t="s">
        <v>27</v>
      </c>
      <c r="J2985" s="19" t="s">
        <v>68</v>
      </c>
      <c r="K2985" s="14">
        <v>31.0</v>
      </c>
      <c r="L2985" s="14">
        <v>0.0</v>
      </c>
      <c r="M2985" s="25"/>
      <c r="N2985" s="26" t="s">
        <v>21</v>
      </c>
      <c r="O2985" s="7"/>
      <c r="P2985" s="7"/>
      <c r="Q2985" s="7"/>
      <c r="R2985" s="7"/>
      <c r="S2985" s="7"/>
      <c r="T2985" s="7"/>
      <c r="U2985" s="7"/>
      <c r="V2985" s="7"/>
      <c r="W2985" s="7"/>
      <c r="X2985" s="7"/>
      <c r="Y2985" s="7"/>
    </row>
    <row r="2986">
      <c r="A2986" s="14" t="s">
        <v>10728</v>
      </c>
      <c r="B2986" s="17" t="s">
        <v>10729</v>
      </c>
      <c r="C2986" s="17" t="s">
        <v>10730</v>
      </c>
      <c r="D2986" s="19" t="s">
        <v>10731</v>
      </c>
      <c r="E2986" s="20" t="s">
        <v>104</v>
      </c>
      <c r="F2986" s="21">
        <v>29351.0</v>
      </c>
      <c r="G2986" s="14">
        <f t="shared" si="1"/>
        <v>46</v>
      </c>
      <c r="H2986" s="23" t="s">
        <v>26</v>
      </c>
      <c r="I2986" s="24" t="s">
        <v>33</v>
      </c>
      <c r="J2986" s="19" t="s">
        <v>68</v>
      </c>
      <c r="K2986" s="14">
        <v>31.0</v>
      </c>
      <c r="L2986" s="14">
        <v>0.0</v>
      </c>
      <c r="M2986" s="25"/>
      <c r="N2986" s="26" t="s">
        <v>21</v>
      </c>
      <c r="O2986" s="7"/>
      <c r="P2986" s="7"/>
      <c r="Q2986" s="7"/>
      <c r="R2986" s="7"/>
      <c r="S2986" s="7"/>
      <c r="T2986" s="7"/>
      <c r="U2986" s="7"/>
      <c r="V2986" s="7"/>
      <c r="W2986" s="7"/>
      <c r="X2986" s="7"/>
      <c r="Y2986" s="7"/>
    </row>
    <row r="2987">
      <c r="A2987" s="14" t="s">
        <v>10732</v>
      </c>
      <c r="B2987" s="17" t="s">
        <v>10729</v>
      </c>
      <c r="C2987" s="17" t="s">
        <v>10733</v>
      </c>
      <c r="D2987" s="19" t="s">
        <v>3771</v>
      </c>
      <c r="E2987" s="20" t="s">
        <v>104</v>
      </c>
      <c r="F2987" s="21">
        <v>31833.0</v>
      </c>
      <c r="G2987" s="14">
        <f t="shared" si="1"/>
        <v>39</v>
      </c>
      <c r="H2987" s="23" t="s">
        <v>26</v>
      </c>
      <c r="I2987" s="24" t="s">
        <v>27</v>
      </c>
      <c r="J2987" s="19" t="s">
        <v>68</v>
      </c>
      <c r="K2987" s="14">
        <v>31.0</v>
      </c>
      <c r="L2987" s="14">
        <v>0.0</v>
      </c>
      <c r="M2987" s="25"/>
      <c r="N2987" s="26" t="s">
        <v>21</v>
      </c>
      <c r="O2987" s="7"/>
      <c r="P2987" s="7"/>
      <c r="Q2987" s="7"/>
      <c r="R2987" s="7"/>
      <c r="S2987" s="7"/>
      <c r="T2987" s="7"/>
      <c r="U2987" s="7"/>
      <c r="V2987" s="7"/>
      <c r="W2987" s="7"/>
      <c r="X2987" s="7"/>
      <c r="Y2987" s="7"/>
    </row>
    <row r="2988">
      <c r="A2988" s="14" t="s">
        <v>10734</v>
      </c>
      <c r="B2988" s="17" t="s">
        <v>10735</v>
      </c>
      <c r="C2988" s="17" t="s">
        <v>10736</v>
      </c>
      <c r="D2988" s="19" t="s">
        <v>709</v>
      </c>
      <c r="E2988" s="20" t="s">
        <v>3760</v>
      </c>
      <c r="F2988" s="21">
        <v>24939.0</v>
      </c>
      <c r="G2988" s="14">
        <f t="shared" si="1"/>
        <v>58</v>
      </c>
      <c r="H2988" s="23" t="s">
        <v>26</v>
      </c>
      <c r="I2988" s="24" t="s">
        <v>27</v>
      </c>
      <c r="J2988" s="19" t="s">
        <v>156</v>
      </c>
      <c r="K2988" s="14">
        <v>31.0</v>
      </c>
      <c r="L2988" s="14">
        <v>0.0</v>
      </c>
      <c r="M2988" s="25"/>
      <c r="N2988" s="26" t="s">
        <v>21</v>
      </c>
      <c r="O2988" s="7"/>
      <c r="P2988" s="7"/>
      <c r="Q2988" s="7"/>
      <c r="R2988" s="7"/>
      <c r="S2988" s="7"/>
      <c r="T2988" s="7"/>
      <c r="U2988" s="7"/>
      <c r="V2988" s="7"/>
      <c r="W2988" s="7"/>
      <c r="X2988" s="7"/>
      <c r="Y2988" s="7"/>
    </row>
    <row r="2989">
      <c r="A2989" s="14" t="s">
        <v>10737</v>
      </c>
      <c r="B2989" s="17" t="s">
        <v>10735</v>
      </c>
      <c r="C2989" s="17" t="s">
        <v>10738</v>
      </c>
      <c r="D2989" s="19" t="s">
        <v>10739</v>
      </c>
      <c r="E2989" s="20" t="s">
        <v>67</v>
      </c>
      <c r="F2989" s="21">
        <v>21408.0</v>
      </c>
      <c r="G2989" s="14">
        <f t="shared" si="1"/>
        <v>68</v>
      </c>
      <c r="H2989" s="23" t="s">
        <v>26</v>
      </c>
      <c r="I2989" s="24" t="s">
        <v>33</v>
      </c>
      <c r="J2989" s="19" t="s">
        <v>156</v>
      </c>
      <c r="K2989" s="14">
        <v>31.0</v>
      </c>
      <c r="L2989" s="14">
        <v>1.0</v>
      </c>
      <c r="M2989" s="25"/>
      <c r="N2989" s="26" t="s">
        <v>21</v>
      </c>
      <c r="O2989" s="7"/>
      <c r="P2989" s="7"/>
      <c r="Q2989" s="7"/>
      <c r="R2989" s="7"/>
      <c r="S2989" s="7"/>
      <c r="T2989" s="7"/>
      <c r="U2989" s="7"/>
      <c r="V2989" s="7"/>
      <c r="W2989" s="7"/>
      <c r="X2989" s="7"/>
      <c r="Y2989" s="7"/>
    </row>
    <row r="2990">
      <c r="A2990" s="14" t="s">
        <v>10740</v>
      </c>
      <c r="B2990" s="17" t="s">
        <v>10741</v>
      </c>
      <c r="C2990" s="17" t="s">
        <v>10742</v>
      </c>
      <c r="D2990" s="19" t="s">
        <v>10743</v>
      </c>
      <c r="E2990" s="20" t="s">
        <v>654</v>
      </c>
      <c r="F2990" s="21">
        <v>27242.0</v>
      </c>
      <c r="G2990" s="14">
        <f t="shared" si="1"/>
        <v>52</v>
      </c>
      <c r="H2990" s="23" t="s">
        <v>26</v>
      </c>
      <c r="I2990" s="24" t="s">
        <v>27</v>
      </c>
      <c r="J2990" s="19" t="s">
        <v>68</v>
      </c>
      <c r="K2990" s="14">
        <v>31.0</v>
      </c>
      <c r="L2990" s="14">
        <v>5.0</v>
      </c>
      <c r="M2990" s="25"/>
      <c r="N2990" s="26" t="s">
        <v>21</v>
      </c>
      <c r="O2990" s="7"/>
      <c r="P2990" s="7"/>
      <c r="Q2990" s="7"/>
      <c r="R2990" s="7"/>
      <c r="S2990" s="7"/>
      <c r="T2990" s="7"/>
      <c r="U2990" s="7"/>
      <c r="V2990" s="7"/>
      <c r="W2990" s="7"/>
      <c r="X2990" s="7"/>
      <c r="Y2990" s="7"/>
    </row>
    <row r="2991">
      <c r="A2991" s="14" t="s">
        <v>10744</v>
      </c>
      <c r="B2991" s="17" t="s">
        <v>10741</v>
      </c>
      <c r="C2991" s="17" t="s">
        <v>10745</v>
      </c>
      <c r="D2991" s="19" t="s">
        <v>10746</v>
      </c>
      <c r="E2991" s="20" t="s">
        <v>654</v>
      </c>
      <c r="F2991" s="21">
        <v>26118.0</v>
      </c>
      <c r="G2991" s="14">
        <f t="shared" si="1"/>
        <v>55</v>
      </c>
      <c r="H2991" s="23" t="s">
        <v>26</v>
      </c>
      <c r="I2991" s="24" t="s">
        <v>33</v>
      </c>
      <c r="J2991" s="19" t="s">
        <v>68</v>
      </c>
      <c r="K2991" s="14">
        <v>31.0</v>
      </c>
      <c r="L2991" s="14">
        <v>5.0</v>
      </c>
      <c r="M2991" s="25"/>
      <c r="N2991" s="26" t="s">
        <v>21</v>
      </c>
      <c r="O2991" s="7"/>
      <c r="P2991" s="7"/>
      <c r="Q2991" s="7"/>
      <c r="R2991" s="7"/>
      <c r="S2991" s="7"/>
      <c r="T2991" s="7"/>
      <c r="U2991" s="7"/>
      <c r="V2991" s="7"/>
      <c r="W2991" s="7"/>
      <c r="X2991" s="7"/>
      <c r="Y2991" s="7"/>
    </row>
    <row r="2992">
      <c r="A2992" s="14" t="s">
        <v>10747</v>
      </c>
      <c r="B2992" s="17" t="s">
        <v>10748</v>
      </c>
      <c r="C2992" s="17" t="s">
        <v>10749</v>
      </c>
      <c r="D2992" s="19" t="s">
        <v>10750</v>
      </c>
      <c r="E2992" s="20" t="s">
        <v>654</v>
      </c>
      <c r="F2992" s="21">
        <v>23081.0</v>
      </c>
      <c r="G2992" s="14">
        <f t="shared" si="1"/>
        <v>63</v>
      </c>
      <c r="H2992" s="23" t="s">
        <v>26</v>
      </c>
      <c r="I2992" s="24" t="s">
        <v>33</v>
      </c>
      <c r="J2992" s="19" t="s">
        <v>53</v>
      </c>
      <c r="K2992" s="14">
        <v>29.0</v>
      </c>
      <c r="L2992" s="14">
        <v>0.0</v>
      </c>
      <c r="M2992" s="25"/>
      <c r="N2992" s="26" t="s">
        <v>21</v>
      </c>
      <c r="O2992" s="7"/>
      <c r="P2992" s="7"/>
      <c r="Q2992" s="7"/>
      <c r="R2992" s="7"/>
      <c r="S2992" s="7"/>
      <c r="T2992" s="7"/>
      <c r="U2992" s="7"/>
      <c r="V2992" s="7"/>
      <c r="W2992" s="7"/>
      <c r="X2992" s="7"/>
      <c r="Y2992" s="7"/>
    </row>
    <row r="2993">
      <c r="A2993" s="14" t="s">
        <v>10751</v>
      </c>
      <c r="B2993" s="17" t="s">
        <v>10748</v>
      </c>
      <c r="C2993" s="17" t="s">
        <v>10752</v>
      </c>
      <c r="D2993" s="19" t="s">
        <v>386</v>
      </c>
      <c r="E2993" s="20" t="s">
        <v>632</v>
      </c>
      <c r="F2993" s="21">
        <v>23491.0</v>
      </c>
      <c r="G2993" s="14">
        <f t="shared" si="1"/>
        <v>62</v>
      </c>
      <c r="H2993" s="23" t="s">
        <v>26</v>
      </c>
      <c r="I2993" s="24" t="s">
        <v>27</v>
      </c>
      <c r="J2993" s="19" t="s">
        <v>53</v>
      </c>
      <c r="K2993" s="14">
        <v>29.0</v>
      </c>
      <c r="L2993" s="14">
        <v>0.0</v>
      </c>
      <c r="M2993" s="25"/>
      <c r="N2993" s="26" t="s">
        <v>21</v>
      </c>
      <c r="O2993" s="7"/>
      <c r="P2993" s="7"/>
      <c r="Q2993" s="7"/>
      <c r="R2993" s="7"/>
      <c r="S2993" s="7"/>
      <c r="T2993" s="7"/>
      <c r="U2993" s="7"/>
      <c r="V2993" s="7"/>
      <c r="W2993" s="7"/>
      <c r="X2993" s="7"/>
      <c r="Y2993" s="7"/>
    </row>
    <row r="2994">
      <c r="A2994" s="14" t="s">
        <v>10753</v>
      </c>
      <c r="B2994" s="17" t="s">
        <v>10754</v>
      </c>
      <c r="C2994" s="17" t="s">
        <v>10755</v>
      </c>
      <c r="D2994" s="19" t="s">
        <v>10756</v>
      </c>
      <c r="E2994" s="20" t="s">
        <v>104</v>
      </c>
      <c r="F2994" s="21">
        <v>37469.0</v>
      </c>
      <c r="G2994" s="14">
        <f t="shared" si="1"/>
        <v>24</v>
      </c>
      <c r="H2994" s="23" t="s">
        <v>100</v>
      </c>
      <c r="I2994" s="24" t="s">
        <v>33</v>
      </c>
      <c r="J2994" s="19" t="s">
        <v>53</v>
      </c>
      <c r="K2994" s="14">
        <v>28.0</v>
      </c>
      <c r="L2994" s="14">
        <v>0.0</v>
      </c>
      <c r="M2994" s="25"/>
      <c r="N2994" s="26" t="s">
        <v>21</v>
      </c>
      <c r="O2994" s="7"/>
      <c r="P2994" s="7"/>
      <c r="Q2994" s="7"/>
      <c r="R2994" s="7"/>
      <c r="S2994" s="7"/>
      <c r="T2994" s="7"/>
      <c r="U2994" s="7"/>
      <c r="V2994" s="7"/>
      <c r="W2994" s="7"/>
      <c r="X2994" s="7"/>
      <c r="Y2994" s="7"/>
    </row>
    <row r="2995">
      <c r="A2995" s="14" t="s">
        <v>10757</v>
      </c>
      <c r="B2995" s="17" t="s">
        <v>10754</v>
      </c>
      <c r="C2995" s="17" t="s">
        <v>10758</v>
      </c>
      <c r="D2995" s="19" t="s">
        <v>8782</v>
      </c>
      <c r="E2995" s="20" t="s">
        <v>1049</v>
      </c>
      <c r="F2995" s="21">
        <v>20558.0</v>
      </c>
      <c r="G2995" s="14">
        <f t="shared" si="1"/>
        <v>70</v>
      </c>
      <c r="H2995" s="23" t="s">
        <v>26</v>
      </c>
      <c r="I2995" s="24" t="s">
        <v>33</v>
      </c>
      <c r="J2995" s="19" t="s">
        <v>53</v>
      </c>
      <c r="K2995" s="14">
        <v>28.0</v>
      </c>
      <c r="L2995" s="14">
        <v>0.0</v>
      </c>
      <c r="M2995" s="25"/>
      <c r="N2995" s="26" t="s">
        <v>21</v>
      </c>
      <c r="O2995" s="7"/>
      <c r="P2995" s="7"/>
      <c r="Q2995" s="7"/>
      <c r="R2995" s="7"/>
      <c r="S2995" s="7"/>
      <c r="T2995" s="7"/>
      <c r="U2995" s="7"/>
      <c r="V2995" s="7"/>
      <c r="W2995" s="7"/>
      <c r="X2995" s="7"/>
      <c r="Y2995" s="7"/>
    </row>
    <row r="2996">
      <c r="A2996" s="14" t="s">
        <v>10759</v>
      </c>
      <c r="B2996" s="17" t="s">
        <v>10754</v>
      </c>
      <c r="C2996" s="17" t="s">
        <v>10760</v>
      </c>
      <c r="D2996" s="19" t="s">
        <v>10761</v>
      </c>
      <c r="E2996" s="20" t="s">
        <v>1049</v>
      </c>
      <c r="F2996" s="27">
        <v>23299.0</v>
      </c>
      <c r="G2996" s="14">
        <f t="shared" si="1"/>
        <v>63</v>
      </c>
      <c r="H2996" s="23" t="s">
        <v>26</v>
      </c>
      <c r="I2996" s="24" t="s">
        <v>27</v>
      </c>
      <c r="J2996" s="19" t="s">
        <v>53</v>
      </c>
      <c r="K2996" s="14">
        <v>28.0</v>
      </c>
      <c r="L2996" s="14">
        <v>0.0</v>
      </c>
      <c r="M2996" s="25"/>
      <c r="N2996" s="26" t="s">
        <v>21</v>
      </c>
      <c r="O2996" s="7"/>
      <c r="P2996" s="7"/>
      <c r="Q2996" s="7"/>
      <c r="R2996" s="7"/>
      <c r="S2996" s="7"/>
      <c r="T2996" s="7"/>
      <c r="U2996" s="7"/>
      <c r="V2996" s="7"/>
      <c r="W2996" s="7"/>
      <c r="X2996" s="7"/>
      <c r="Y2996" s="7"/>
    </row>
    <row r="2997">
      <c r="A2997" s="14" t="s">
        <v>10762</v>
      </c>
      <c r="B2997" s="17" t="s">
        <v>10763</v>
      </c>
      <c r="C2997" s="17" t="s">
        <v>10764</v>
      </c>
      <c r="D2997" s="19" t="s">
        <v>10765</v>
      </c>
      <c r="E2997" s="20" t="s">
        <v>104</v>
      </c>
      <c r="F2997" s="21">
        <v>28393.0</v>
      </c>
      <c r="G2997" s="14">
        <f t="shared" si="1"/>
        <v>49</v>
      </c>
      <c r="H2997" s="23" t="s">
        <v>26</v>
      </c>
      <c r="I2997" s="24" t="s">
        <v>33</v>
      </c>
      <c r="J2997" s="19" t="s">
        <v>10766</v>
      </c>
      <c r="K2997" s="14">
        <v>29.0</v>
      </c>
      <c r="L2997" s="14">
        <v>0.0</v>
      </c>
      <c r="M2997" s="25"/>
      <c r="N2997" s="26" t="s">
        <v>21</v>
      </c>
      <c r="O2997" s="7"/>
      <c r="P2997" s="7"/>
      <c r="Q2997" s="7"/>
      <c r="R2997" s="7"/>
      <c r="S2997" s="7"/>
      <c r="T2997" s="7"/>
      <c r="U2997" s="7"/>
      <c r="V2997" s="7"/>
      <c r="W2997" s="7"/>
      <c r="X2997" s="7"/>
      <c r="Y2997" s="7"/>
    </row>
    <row r="2998">
      <c r="A2998" s="14" t="s">
        <v>10767</v>
      </c>
      <c r="B2998" s="17" t="s">
        <v>10763</v>
      </c>
      <c r="C2998" s="17" t="s">
        <v>10768</v>
      </c>
      <c r="D2998" s="19" t="s">
        <v>10769</v>
      </c>
      <c r="E2998" s="20" t="s">
        <v>104</v>
      </c>
      <c r="F2998" s="27">
        <v>37177.0</v>
      </c>
      <c r="G2998" s="14">
        <f t="shared" si="1"/>
        <v>25</v>
      </c>
      <c r="H2998" s="23" t="s">
        <v>100</v>
      </c>
      <c r="I2998" s="24" t="s">
        <v>33</v>
      </c>
      <c r="J2998" s="19" t="s">
        <v>10766</v>
      </c>
      <c r="K2998" s="14">
        <v>29.0</v>
      </c>
      <c r="L2998" s="14">
        <v>0.0</v>
      </c>
      <c r="M2998" s="25"/>
      <c r="N2998" s="26" t="s">
        <v>21</v>
      </c>
      <c r="O2998" s="7"/>
      <c r="P2998" s="7"/>
      <c r="Q2998" s="7"/>
      <c r="R2998" s="7"/>
      <c r="S2998" s="7"/>
      <c r="T2998" s="7"/>
      <c r="U2998" s="7"/>
      <c r="V2998" s="7"/>
      <c r="W2998" s="7"/>
      <c r="X2998" s="7"/>
      <c r="Y2998" s="7"/>
    </row>
    <row r="2999">
      <c r="A2999" s="14" t="s">
        <v>10770</v>
      </c>
      <c r="B2999" s="17" t="s">
        <v>10763</v>
      </c>
      <c r="C2999" s="17" t="s">
        <v>10771</v>
      </c>
      <c r="D2999" s="19" t="s">
        <v>10772</v>
      </c>
      <c r="E2999" s="20" t="s">
        <v>1816</v>
      </c>
      <c r="F2999" s="21">
        <v>28624.0</v>
      </c>
      <c r="G2999" s="14">
        <f t="shared" si="1"/>
        <v>48</v>
      </c>
      <c r="H2999" s="23" t="s">
        <v>26</v>
      </c>
      <c r="I2999" s="24" t="s">
        <v>27</v>
      </c>
      <c r="J2999" s="19" t="s">
        <v>10766</v>
      </c>
      <c r="K2999" s="14">
        <v>29.0</v>
      </c>
      <c r="L2999" s="14">
        <v>0.0</v>
      </c>
      <c r="M2999" s="25"/>
      <c r="N2999" s="26" t="s">
        <v>21</v>
      </c>
      <c r="O2999" s="7"/>
      <c r="P2999" s="7"/>
      <c r="Q2999" s="7"/>
      <c r="R2999" s="7"/>
      <c r="S2999" s="7"/>
      <c r="T2999" s="7"/>
      <c r="U2999" s="7"/>
      <c r="V2999" s="7"/>
      <c r="W2999" s="7"/>
      <c r="X2999" s="7"/>
      <c r="Y2999" s="7"/>
    </row>
    <row r="3000">
      <c r="A3000" s="14" t="s">
        <v>10773</v>
      </c>
      <c r="B3000" s="17" t="s">
        <v>10774</v>
      </c>
      <c r="C3000" s="17" t="s">
        <v>10775</v>
      </c>
      <c r="D3000" s="19" t="s">
        <v>10776</v>
      </c>
      <c r="E3000" s="20" t="s">
        <v>104</v>
      </c>
      <c r="F3000" s="21">
        <v>35437.0</v>
      </c>
      <c r="G3000" s="14">
        <f t="shared" si="1"/>
        <v>29</v>
      </c>
      <c r="H3000" s="23" t="s">
        <v>100</v>
      </c>
      <c r="I3000" s="24" t="s">
        <v>33</v>
      </c>
      <c r="J3000" s="19" t="s">
        <v>53</v>
      </c>
      <c r="K3000" s="14">
        <v>28.0</v>
      </c>
      <c r="L3000" s="14">
        <v>0.0</v>
      </c>
      <c r="M3000" s="25"/>
      <c r="N3000" s="26" t="s">
        <v>21</v>
      </c>
      <c r="O3000" s="7"/>
      <c r="P3000" s="7"/>
      <c r="Q3000" s="7"/>
      <c r="R3000" s="7"/>
      <c r="S3000" s="7"/>
      <c r="T3000" s="7"/>
      <c r="U3000" s="7"/>
      <c r="V3000" s="7"/>
      <c r="W3000" s="7"/>
      <c r="X3000" s="7"/>
      <c r="Y3000" s="7"/>
    </row>
    <row r="3001">
      <c r="A3001" s="14" t="s">
        <v>10777</v>
      </c>
      <c r="B3001" s="17" t="s">
        <v>10774</v>
      </c>
      <c r="C3001" s="17" t="s">
        <v>10778</v>
      </c>
      <c r="D3001" s="19" t="s">
        <v>10779</v>
      </c>
      <c r="E3001" s="20" t="s">
        <v>10780</v>
      </c>
      <c r="F3001" s="21">
        <v>22917.0</v>
      </c>
      <c r="G3001" s="14">
        <f t="shared" si="1"/>
        <v>64</v>
      </c>
      <c r="H3001" s="23" t="s">
        <v>26</v>
      </c>
      <c r="I3001" s="24" t="s">
        <v>33</v>
      </c>
      <c r="J3001" s="19" t="s">
        <v>53</v>
      </c>
      <c r="K3001" s="14">
        <v>28.0</v>
      </c>
      <c r="L3001" s="14">
        <v>0.0</v>
      </c>
      <c r="M3001" s="25"/>
      <c r="N3001" s="26" t="s">
        <v>21</v>
      </c>
      <c r="O3001" s="7"/>
      <c r="P3001" s="7"/>
      <c r="Q3001" s="7"/>
      <c r="R3001" s="7"/>
      <c r="S3001" s="7"/>
      <c r="T3001" s="7"/>
      <c r="U3001" s="7"/>
      <c r="V3001" s="7"/>
      <c r="W3001" s="7"/>
      <c r="X3001" s="7"/>
      <c r="Y3001" s="7"/>
    </row>
    <row r="3002">
      <c r="A3002" s="14" t="s">
        <v>10781</v>
      </c>
      <c r="B3002" s="17" t="s">
        <v>10774</v>
      </c>
      <c r="C3002" s="17" t="s">
        <v>10782</v>
      </c>
      <c r="D3002" s="19" t="s">
        <v>10783</v>
      </c>
      <c r="E3002" s="20" t="s">
        <v>10784</v>
      </c>
      <c r="F3002" s="27">
        <v>22260.0</v>
      </c>
      <c r="G3002" s="14">
        <f t="shared" si="1"/>
        <v>65</v>
      </c>
      <c r="H3002" s="23" t="s">
        <v>26</v>
      </c>
      <c r="I3002" s="24" t="s">
        <v>27</v>
      </c>
      <c r="J3002" s="19" t="s">
        <v>53</v>
      </c>
      <c r="K3002" s="14">
        <v>28.0</v>
      </c>
      <c r="L3002" s="14">
        <v>1.0</v>
      </c>
      <c r="M3002" s="25"/>
      <c r="N3002" s="26" t="s">
        <v>21</v>
      </c>
      <c r="O3002" s="7"/>
      <c r="P3002" s="7"/>
      <c r="Q3002" s="7"/>
      <c r="R3002" s="7"/>
      <c r="S3002" s="7"/>
      <c r="T3002" s="7"/>
      <c r="U3002" s="7"/>
      <c r="V3002" s="7"/>
      <c r="W3002" s="7"/>
      <c r="X3002" s="7"/>
      <c r="Y3002" s="7"/>
    </row>
    <row r="3003">
      <c r="A3003" s="14" t="s">
        <v>10785</v>
      </c>
      <c r="B3003" s="17" t="s">
        <v>10786</v>
      </c>
      <c r="C3003" s="17" t="s">
        <v>10787</v>
      </c>
      <c r="D3003" s="19" t="s">
        <v>10788</v>
      </c>
      <c r="E3003" s="20" t="s">
        <v>104</v>
      </c>
      <c r="F3003" s="21">
        <v>37718.0</v>
      </c>
      <c r="G3003" s="14">
        <f t="shared" si="1"/>
        <v>23</v>
      </c>
      <c r="H3003" s="23" t="s">
        <v>100</v>
      </c>
      <c r="I3003" s="24" t="s">
        <v>33</v>
      </c>
      <c r="J3003" s="19" t="s">
        <v>68</v>
      </c>
      <c r="K3003" s="14">
        <v>28.0</v>
      </c>
      <c r="L3003" s="14">
        <v>0.0</v>
      </c>
      <c r="M3003" s="25"/>
      <c r="N3003" s="26" t="s">
        <v>21</v>
      </c>
      <c r="O3003" s="7"/>
      <c r="P3003" s="7"/>
      <c r="Q3003" s="7"/>
      <c r="R3003" s="7"/>
      <c r="S3003" s="7"/>
      <c r="T3003" s="7"/>
      <c r="U3003" s="7"/>
      <c r="V3003" s="7"/>
      <c r="W3003" s="7"/>
      <c r="X3003" s="7"/>
      <c r="Y3003" s="7"/>
    </row>
    <row r="3004">
      <c r="A3004" s="14" t="s">
        <v>10789</v>
      </c>
      <c r="B3004" s="17" t="s">
        <v>10786</v>
      </c>
      <c r="C3004" s="17" t="s">
        <v>10790</v>
      </c>
      <c r="D3004" s="19" t="s">
        <v>10791</v>
      </c>
      <c r="E3004" s="20" t="s">
        <v>231</v>
      </c>
      <c r="F3004" s="21">
        <v>22466.0</v>
      </c>
      <c r="G3004" s="14">
        <f t="shared" si="1"/>
        <v>65</v>
      </c>
      <c r="H3004" s="23" t="s">
        <v>26</v>
      </c>
      <c r="I3004" s="24" t="s">
        <v>33</v>
      </c>
      <c r="J3004" s="19" t="s">
        <v>68</v>
      </c>
      <c r="K3004" s="14">
        <v>28.0</v>
      </c>
      <c r="L3004" s="14">
        <v>0.0</v>
      </c>
      <c r="M3004" s="25"/>
      <c r="N3004" s="26" t="s">
        <v>21</v>
      </c>
      <c r="O3004" s="7"/>
      <c r="P3004" s="7"/>
      <c r="Q3004" s="7"/>
      <c r="R3004" s="7"/>
      <c r="S3004" s="7"/>
      <c r="T3004" s="7"/>
      <c r="U3004" s="7"/>
      <c r="V3004" s="7"/>
      <c r="W3004" s="7"/>
      <c r="X3004" s="7"/>
      <c r="Y3004" s="7"/>
    </row>
    <row r="3005">
      <c r="A3005" s="14" t="s">
        <v>10792</v>
      </c>
      <c r="B3005" s="17" t="s">
        <v>10793</v>
      </c>
      <c r="C3005" s="17" t="s">
        <v>10794</v>
      </c>
      <c r="D3005" s="19" t="s">
        <v>10795</v>
      </c>
      <c r="E3005" s="20" t="s">
        <v>10796</v>
      </c>
      <c r="F3005" s="21">
        <v>17168.0</v>
      </c>
      <c r="G3005" s="14">
        <f t="shared" si="1"/>
        <v>79</v>
      </c>
      <c r="H3005" s="23" t="s">
        <v>26</v>
      </c>
      <c r="I3005" s="24" t="s">
        <v>27</v>
      </c>
      <c r="J3005" s="19" t="s">
        <v>53</v>
      </c>
      <c r="K3005" s="14">
        <v>28.0</v>
      </c>
      <c r="L3005" s="14">
        <v>1.0</v>
      </c>
      <c r="M3005" s="25"/>
      <c r="N3005" s="26" t="s">
        <v>21</v>
      </c>
      <c r="O3005" s="7"/>
      <c r="P3005" s="7"/>
      <c r="Q3005" s="7"/>
      <c r="R3005" s="7"/>
      <c r="S3005" s="7"/>
      <c r="T3005" s="7"/>
      <c r="U3005" s="7"/>
      <c r="V3005" s="7"/>
      <c r="W3005" s="7"/>
      <c r="X3005" s="7"/>
      <c r="Y3005" s="7"/>
    </row>
    <row r="3006">
      <c r="A3006" s="14" t="s">
        <v>10797</v>
      </c>
      <c r="B3006" s="17" t="s">
        <v>10793</v>
      </c>
      <c r="C3006" s="17" t="s">
        <v>10798</v>
      </c>
      <c r="D3006" s="19" t="s">
        <v>879</v>
      </c>
      <c r="E3006" s="20" t="s">
        <v>104</v>
      </c>
      <c r="F3006" s="21">
        <v>31524.0</v>
      </c>
      <c r="G3006" s="14">
        <f t="shared" si="1"/>
        <v>40</v>
      </c>
      <c r="H3006" s="23" t="s">
        <v>100</v>
      </c>
      <c r="I3006" s="24" t="s">
        <v>33</v>
      </c>
      <c r="J3006" s="19" t="s">
        <v>53</v>
      </c>
      <c r="K3006" s="14">
        <v>28.0</v>
      </c>
      <c r="L3006" s="14">
        <v>0.0</v>
      </c>
      <c r="M3006" s="25"/>
      <c r="N3006" s="26" t="s">
        <v>21</v>
      </c>
      <c r="O3006" s="7"/>
      <c r="P3006" s="7"/>
      <c r="Q3006" s="7"/>
      <c r="R3006" s="7"/>
      <c r="S3006" s="7"/>
      <c r="T3006" s="7"/>
      <c r="U3006" s="7"/>
      <c r="V3006" s="7"/>
      <c r="W3006" s="7"/>
      <c r="X3006" s="7"/>
      <c r="Y3006" s="7"/>
    </row>
    <row r="3007">
      <c r="A3007" s="14" t="s">
        <v>10799</v>
      </c>
      <c r="B3007" s="17" t="s">
        <v>10793</v>
      </c>
      <c r="C3007" s="17" t="s">
        <v>10800</v>
      </c>
      <c r="D3007" s="19" t="s">
        <v>10801</v>
      </c>
      <c r="E3007" s="20" t="s">
        <v>10796</v>
      </c>
      <c r="F3007" s="21">
        <v>14246.0</v>
      </c>
      <c r="G3007" s="14">
        <f t="shared" si="1"/>
        <v>87</v>
      </c>
      <c r="H3007" s="23" t="s">
        <v>26</v>
      </c>
      <c r="I3007" s="24" t="s">
        <v>33</v>
      </c>
      <c r="J3007" s="19" t="s">
        <v>53</v>
      </c>
      <c r="K3007" s="14">
        <v>28.0</v>
      </c>
      <c r="L3007" s="14">
        <v>1.0</v>
      </c>
      <c r="M3007" s="25"/>
      <c r="N3007" s="26" t="s">
        <v>21</v>
      </c>
      <c r="O3007" s="7"/>
      <c r="P3007" s="7"/>
      <c r="Q3007" s="7"/>
      <c r="R3007" s="7"/>
      <c r="S3007" s="7"/>
      <c r="T3007" s="7"/>
      <c r="U3007" s="7"/>
      <c r="V3007" s="7"/>
      <c r="W3007" s="7"/>
      <c r="X3007" s="7"/>
      <c r="Y3007" s="7"/>
    </row>
    <row r="3008">
      <c r="A3008" s="14" t="s">
        <v>10802</v>
      </c>
      <c r="B3008" s="17" t="s">
        <v>10803</v>
      </c>
      <c r="C3008" s="17" t="s">
        <v>10804</v>
      </c>
      <c r="D3008" s="19" t="s">
        <v>10805</v>
      </c>
      <c r="E3008" s="20" t="s">
        <v>104</v>
      </c>
      <c r="F3008" s="21">
        <v>31664.0</v>
      </c>
      <c r="G3008" s="14">
        <f t="shared" si="1"/>
        <v>40</v>
      </c>
      <c r="H3008" s="23" t="s">
        <v>26</v>
      </c>
      <c r="I3008" s="24" t="s">
        <v>27</v>
      </c>
      <c r="J3008" s="19" t="s">
        <v>156</v>
      </c>
      <c r="K3008" s="14">
        <v>16.0</v>
      </c>
      <c r="L3008" s="14">
        <v>0.0</v>
      </c>
      <c r="M3008" s="25"/>
      <c r="N3008" s="26" t="s">
        <v>21</v>
      </c>
      <c r="O3008" s="7"/>
      <c r="P3008" s="7"/>
      <c r="Q3008" s="7"/>
      <c r="R3008" s="7"/>
      <c r="S3008" s="7"/>
      <c r="T3008" s="7"/>
      <c r="U3008" s="7"/>
      <c r="V3008" s="7"/>
      <c r="W3008" s="7"/>
      <c r="X3008" s="7"/>
      <c r="Y3008" s="7"/>
    </row>
    <row r="3009">
      <c r="A3009" s="14" t="s">
        <v>10806</v>
      </c>
      <c r="B3009" s="17" t="s">
        <v>10803</v>
      </c>
      <c r="C3009" s="17" t="s">
        <v>10807</v>
      </c>
      <c r="D3009" s="19" t="s">
        <v>10808</v>
      </c>
      <c r="E3009" s="20" t="s">
        <v>104</v>
      </c>
      <c r="F3009" s="21">
        <v>29661.0</v>
      </c>
      <c r="G3009" s="14">
        <f t="shared" si="1"/>
        <v>45</v>
      </c>
      <c r="H3009" s="23" t="s">
        <v>26</v>
      </c>
      <c r="I3009" s="24" t="s">
        <v>33</v>
      </c>
      <c r="J3009" s="19" t="s">
        <v>156</v>
      </c>
      <c r="K3009" s="14">
        <v>16.0</v>
      </c>
      <c r="L3009" s="14">
        <v>0.0</v>
      </c>
      <c r="M3009" s="25"/>
      <c r="N3009" s="26" t="s">
        <v>21</v>
      </c>
      <c r="O3009" s="7"/>
      <c r="P3009" s="7"/>
      <c r="Q3009" s="7"/>
      <c r="R3009" s="7"/>
      <c r="S3009" s="7"/>
      <c r="T3009" s="7"/>
      <c r="U3009" s="7"/>
      <c r="V3009" s="7"/>
      <c r="W3009" s="7"/>
      <c r="X3009" s="7"/>
      <c r="Y3009" s="7"/>
    </row>
    <row r="3010">
      <c r="A3010" s="14" t="s">
        <v>10809</v>
      </c>
      <c r="B3010" s="17" t="s">
        <v>10810</v>
      </c>
      <c r="C3010" s="17" t="s">
        <v>10811</v>
      </c>
      <c r="D3010" s="19" t="s">
        <v>10812</v>
      </c>
      <c r="E3010" s="20" t="s">
        <v>195</v>
      </c>
      <c r="F3010" s="27">
        <v>12003.0</v>
      </c>
      <c r="G3010" s="14">
        <f t="shared" si="1"/>
        <v>93</v>
      </c>
      <c r="H3010" s="23" t="s">
        <v>26</v>
      </c>
      <c r="I3010" s="24" t="s">
        <v>27</v>
      </c>
      <c r="J3010" s="19" t="s">
        <v>156</v>
      </c>
      <c r="K3010" s="14">
        <v>28.0</v>
      </c>
      <c r="L3010" s="14">
        <v>0.0</v>
      </c>
      <c r="M3010" s="25"/>
      <c r="N3010" s="26" t="s">
        <v>21</v>
      </c>
      <c r="O3010" s="7"/>
      <c r="P3010" s="7"/>
      <c r="Q3010" s="7"/>
      <c r="R3010" s="7"/>
      <c r="S3010" s="7"/>
      <c r="T3010" s="7"/>
      <c r="U3010" s="7"/>
      <c r="V3010" s="7"/>
      <c r="W3010" s="7"/>
      <c r="X3010" s="7"/>
      <c r="Y3010" s="7"/>
    </row>
    <row r="3011">
      <c r="A3011" s="14" t="s">
        <v>10813</v>
      </c>
      <c r="B3011" s="17" t="s">
        <v>10814</v>
      </c>
      <c r="C3011" s="17" t="s">
        <v>10815</v>
      </c>
      <c r="D3011" s="19" t="s">
        <v>10816</v>
      </c>
      <c r="E3011" s="20" t="s">
        <v>53</v>
      </c>
      <c r="F3011" s="21">
        <v>38240.0</v>
      </c>
      <c r="G3011" s="14">
        <f t="shared" si="1"/>
        <v>22</v>
      </c>
      <c r="H3011" s="23" t="s">
        <v>100</v>
      </c>
      <c r="I3011" s="24" t="s">
        <v>33</v>
      </c>
      <c r="J3011" s="19" t="s">
        <v>53</v>
      </c>
      <c r="K3011" s="14">
        <v>29.0</v>
      </c>
      <c r="L3011" s="14">
        <v>0.0</v>
      </c>
      <c r="M3011" s="25"/>
      <c r="N3011" s="26" t="s">
        <v>21</v>
      </c>
      <c r="O3011" s="7"/>
      <c r="P3011" s="7"/>
      <c r="Q3011" s="7"/>
      <c r="R3011" s="7"/>
      <c r="S3011" s="7"/>
      <c r="T3011" s="7"/>
      <c r="U3011" s="7"/>
      <c r="V3011" s="7"/>
      <c r="W3011" s="7"/>
      <c r="X3011" s="7"/>
      <c r="Y3011" s="7"/>
    </row>
    <row r="3012">
      <c r="A3012" s="14" t="s">
        <v>10817</v>
      </c>
      <c r="B3012" s="17" t="s">
        <v>10814</v>
      </c>
      <c r="C3012" s="17" t="s">
        <v>10818</v>
      </c>
      <c r="D3012" s="19" t="s">
        <v>10819</v>
      </c>
      <c r="E3012" s="20" t="s">
        <v>654</v>
      </c>
      <c r="F3012" s="21">
        <v>25750.0</v>
      </c>
      <c r="G3012" s="14">
        <f t="shared" si="1"/>
        <v>56</v>
      </c>
      <c r="H3012" s="23" t="s">
        <v>26</v>
      </c>
      <c r="I3012" s="24" t="s">
        <v>33</v>
      </c>
      <c r="J3012" s="19" t="s">
        <v>53</v>
      </c>
      <c r="K3012" s="14">
        <v>29.0</v>
      </c>
      <c r="L3012" s="14">
        <v>0.0</v>
      </c>
      <c r="M3012" s="25"/>
      <c r="N3012" s="26" t="s">
        <v>21</v>
      </c>
      <c r="O3012" s="7"/>
      <c r="P3012" s="7"/>
      <c r="Q3012" s="7"/>
      <c r="R3012" s="7"/>
      <c r="S3012" s="7"/>
      <c r="T3012" s="7"/>
      <c r="U3012" s="7"/>
      <c r="V3012" s="7"/>
      <c r="W3012" s="7"/>
      <c r="X3012" s="7"/>
      <c r="Y3012" s="7"/>
    </row>
    <row r="3013">
      <c r="A3013" s="14" t="s">
        <v>10820</v>
      </c>
      <c r="B3013" s="17" t="s">
        <v>10814</v>
      </c>
      <c r="C3013" s="17" t="s">
        <v>10821</v>
      </c>
      <c r="D3013" s="19" t="s">
        <v>2772</v>
      </c>
      <c r="E3013" s="20" t="s">
        <v>210</v>
      </c>
      <c r="F3013" s="21">
        <v>29046.0</v>
      </c>
      <c r="G3013" s="14">
        <f t="shared" si="1"/>
        <v>47</v>
      </c>
      <c r="H3013" s="23" t="s">
        <v>26</v>
      </c>
      <c r="I3013" s="24" t="s">
        <v>27</v>
      </c>
      <c r="J3013" s="19" t="s">
        <v>53</v>
      </c>
      <c r="K3013" s="14">
        <v>29.0</v>
      </c>
      <c r="L3013" s="14">
        <v>0.0</v>
      </c>
      <c r="M3013" s="25"/>
      <c r="N3013" s="26" t="s">
        <v>21</v>
      </c>
      <c r="O3013" s="7"/>
      <c r="P3013" s="7"/>
      <c r="Q3013" s="7"/>
      <c r="R3013" s="7"/>
      <c r="S3013" s="7"/>
      <c r="T3013" s="7"/>
      <c r="U3013" s="7"/>
      <c r="V3013" s="7"/>
      <c r="W3013" s="7"/>
      <c r="X3013" s="7"/>
      <c r="Y3013" s="7"/>
    </row>
    <row r="3014">
      <c r="A3014" s="14" t="s">
        <v>10822</v>
      </c>
      <c r="B3014" s="17" t="s">
        <v>10823</v>
      </c>
      <c r="C3014" s="17" t="s">
        <v>10824</v>
      </c>
      <c r="D3014" s="19" t="s">
        <v>10825</v>
      </c>
      <c r="E3014" s="20" t="s">
        <v>1816</v>
      </c>
      <c r="F3014" s="21">
        <v>26481.0</v>
      </c>
      <c r="G3014" s="14">
        <f t="shared" si="1"/>
        <v>54</v>
      </c>
      <c r="H3014" s="23" t="s">
        <v>26</v>
      </c>
      <c r="I3014" s="24" t="s">
        <v>27</v>
      </c>
      <c r="J3014" s="19" t="s">
        <v>53</v>
      </c>
      <c r="K3014" s="14">
        <v>29.0</v>
      </c>
      <c r="L3014" s="14">
        <v>1.0</v>
      </c>
      <c r="M3014" s="25"/>
      <c r="N3014" s="26" t="s">
        <v>21</v>
      </c>
      <c r="O3014" s="7"/>
      <c r="P3014" s="7"/>
      <c r="Q3014" s="7"/>
      <c r="R3014" s="7"/>
      <c r="S3014" s="7"/>
      <c r="T3014" s="7"/>
      <c r="U3014" s="7"/>
      <c r="V3014" s="7"/>
      <c r="W3014" s="7"/>
      <c r="X3014" s="7"/>
      <c r="Y3014" s="7"/>
    </row>
    <row r="3015">
      <c r="A3015" s="14" t="s">
        <v>10826</v>
      </c>
      <c r="B3015" s="17" t="s">
        <v>10827</v>
      </c>
      <c r="C3015" s="17" t="s">
        <v>10828</v>
      </c>
      <c r="D3015" s="19" t="s">
        <v>10829</v>
      </c>
      <c r="E3015" s="20" t="s">
        <v>624</v>
      </c>
      <c r="F3015" s="21">
        <v>23324.0</v>
      </c>
      <c r="G3015" s="14">
        <f t="shared" si="1"/>
        <v>62</v>
      </c>
      <c r="H3015" s="23" t="s">
        <v>26</v>
      </c>
      <c r="I3015" s="24" t="s">
        <v>33</v>
      </c>
      <c r="J3015" s="19" t="s">
        <v>53</v>
      </c>
      <c r="K3015" s="14">
        <v>29.0</v>
      </c>
      <c r="L3015" s="14">
        <v>0.0</v>
      </c>
      <c r="M3015" s="25"/>
      <c r="N3015" s="26" t="s">
        <v>21</v>
      </c>
      <c r="O3015" s="7"/>
      <c r="P3015" s="7"/>
      <c r="Q3015" s="7"/>
      <c r="R3015" s="7"/>
      <c r="S3015" s="7"/>
      <c r="T3015" s="7"/>
      <c r="U3015" s="7"/>
      <c r="V3015" s="7"/>
      <c r="W3015" s="7"/>
      <c r="X3015" s="7"/>
      <c r="Y3015" s="7"/>
    </row>
    <row r="3016">
      <c r="A3016" s="14" t="s">
        <v>10830</v>
      </c>
      <c r="B3016" s="17" t="s">
        <v>10827</v>
      </c>
      <c r="C3016" s="17" t="s">
        <v>10831</v>
      </c>
      <c r="D3016" s="19" t="s">
        <v>9217</v>
      </c>
      <c r="E3016" s="20" t="s">
        <v>624</v>
      </c>
      <c r="F3016" s="21">
        <v>22883.0</v>
      </c>
      <c r="G3016" s="14">
        <f t="shared" si="1"/>
        <v>64</v>
      </c>
      <c r="H3016" s="23" t="s">
        <v>26</v>
      </c>
      <c r="I3016" s="24" t="s">
        <v>27</v>
      </c>
      <c r="J3016" s="19" t="s">
        <v>53</v>
      </c>
      <c r="K3016" s="14">
        <v>29.0</v>
      </c>
      <c r="L3016" s="14">
        <v>0.0</v>
      </c>
      <c r="M3016" s="25"/>
      <c r="N3016" s="26" t="s">
        <v>21</v>
      </c>
      <c r="O3016" s="7"/>
      <c r="P3016" s="7"/>
      <c r="Q3016" s="7"/>
      <c r="R3016" s="7"/>
      <c r="S3016" s="7"/>
      <c r="T3016" s="7"/>
      <c r="U3016" s="7"/>
      <c r="V3016" s="7"/>
      <c r="W3016" s="7"/>
      <c r="X3016" s="7"/>
      <c r="Y3016" s="7"/>
    </row>
    <row r="3017">
      <c r="A3017" s="14" t="s">
        <v>10832</v>
      </c>
      <c r="B3017" s="17" t="s">
        <v>10833</v>
      </c>
      <c r="C3017" s="17" t="s">
        <v>10834</v>
      </c>
      <c r="D3017" s="19" t="s">
        <v>10835</v>
      </c>
      <c r="E3017" s="20" t="s">
        <v>104</v>
      </c>
      <c r="F3017" s="27">
        <v>37575.0</v>
      </c>
      <c r="G3017" s="14">
        <f t="shared" si="1"/>
        <v>23</v>
      </c>
      <c r="H3017" s="23" t="s">
        <v>100</v>
      </c>
      <c r="I3017" s="24" t="s">
        <v>33</v>
      </c>
      <c r="J3017" s="19" t="s">
        <v>53</v>
      </c>
      <c r="K3017" s="14">
        <v>29.0</v>
      </c>
      <c r="L3017" s="14">
        <v>0.0</v>
      </c>
      <c r="M3017" s="25"/>
      <c r="N3017" s="26" t="s">
        <v>21</v>
      </c>
      <c r="O3017" s="7"/>
      <c r="P3017" s="7"/>
      <c r="Q3017" s="7"/>
      <c r="R3017" s="7"/>
      <c r="S3017" s="7"/>
      <c r="T3017" s="7"/>
      <c r="U3017" s="7"/>
      <c r="V3017" s="7"/>
      <c r="W3017" s="7"/>
      <c r="X3017" s="7"/>
      <c r="Y3017" s="7"/>
    </row>
    <row r="3018">
      <c r="A3018" s="14" t="s">
        <v>10836</v>
      </c>
      <c r="B3018" s="17" t="s">
        <v>10833</v>
      </c>
      <c r="C3018" s="17" t="s">
        <v>10837</v>
      </c>
      <c r="D3018" s="19" t="s">
        <v>10838</v>
      </c>
      <c r="E3018" s="20" t="s">
        <v>1741</v>
      </c>
      <c r="F3018" s="21">
        <v>27992.0</v>
      </c>
      <c r="G3018" s="14">
        <f t="shared" si="1"/>
        <v>50</v>
      </c>
      <c r="H3018" s="23" t="s">
        <v>26</v>
      </c>
      <c r="I3018" s="24" t="s">
        <v>27</v>
      </c>
      <c r="J3018" s="19" t="s">
        <v>53</v>
      </c>
      <c r="K3018" s="14">
        <v>29.0</v>
      </c>
      <c r="L3018" s="14">
        <v>0.0</v>
      </c>
      <c r="M3018" s="25"/>
      <c r="N3018" s="26" t="s">
        <v>21</v>
      </c>
      <c r="O3018" s="7"/>
      <c r="P3018" s="7"/>
      <c r="Q3018" s="7"/>
      <c r="R3018" s="7"/>
      <c r="S3018" s="7"/>
      <c r="T3018" s="7"/>
      <c r="U3018" s="7"/>
      <c r="V3018" s="7"/>
      <c r="W3018" s="7"/>
      <c r="X3018" s="7"/>
      <c r="Y3018" s="7"/>
    </row>
    <row r="3019">
      <c r="A3019" s="14" t="s">
        <v>10839</v>
      </c>
      <c r="B3019" s="17" t="s">
        <v>10833</v>
      </c>
      <c r="C3019" s="17" t="s">
        <v>10840</v>
      </c>
      <c r="D3019" s="19" t="s">
        <v>4125</v>
      </c>
      <c r="E3019" s="20" t="s">
        <v>1741</v>
      </c>
      <c r="F3019" s="21">
        <v>25718.0</v>
      </c>
      <c r="G3019" s="14">
        <f t="shared" si="1"/>
        <v>56</v>
      </c>
      <c r="H3019" s="23" t="s">
        <v>26</v>
      </c>
      <c r="I3019" s="24" t="s">
        <v>33</v>
      </c>
      <c r="J3019" s="19" t="s">
        <v>53</v>
      </c>
      <c r="K3019" s="14">
        <v>29.0</v>
      </c>
      <c r="L3019" s="14">
        <v>0.0</v>
      </c>
      <c r="M3019" s="25"/>
      <c r="N3019" s="26" t="s">
        <v>21</v>
      </c>
      <c r="O3019" s="7"/>
      <c r="P3019" s="7"/>
      <c r="Q3019" s="7"/>
      <c r="R3019" s="7"/>
      <c r="S3019" s="7"/>
      <c r="T3019" s="7"/>
      <c r="U3019" s="7"/>
      <c r="V3019" s="7"/>
      <c r="W3019" s="7"/>
      <c r="X3019" s="7"/>
      <c r="Y3019" s="7"/>
    </row>
    <row r="3020">
      <c r="A3020" s="14" t="s">
        <v>10841</v>
      </c>
      <c r="B3020" s="17" t="s">
        <v>10842</v>
      </c>
      <c r="C3020" s="17" t="s">
        <v>10843</v>
      </c>
      <c r="D3020" s="19" t="s">
        <v>10844</v>
      </c>
      <c r="E3020" s="20" t="s">
        <v>536</v>
      </c>
      <c r="F3020" s="21">
        <v>32278.0</v>
      </c>
      <c r="G3020" s="14">
        <f t="shared" si="1"/>
        <v>38</v>
      </c>
      <c r="H3020" s="23" t="s">
        <v>26</v>
      </c>
      <c r="I3020" s="24" t="s">
        <v>27</v>
      </c>
      <c r="J3020" s="19" t="s">
        <v>146</v>
      </c>
      <c r="K3020" s="14">
        <v>3.0</v>
      </c>
      <c r="L3020" s="14">
        <v>0.0</v>
      </c>
      <c r="M3020" s="25"/>
      <c r="N3020" s="26" t="s">
        <v>21</v>
      </c>
      <c r="O3020" s="7"/>
      <c r="P3020" s="7"/>
      <c r="Q3020" s="7"/>
      <c r="R3020" s="7"/>
      <c r="S3020" s="7"/>
      <c r="T3020" s="7"/>
      <c r="U3020" s="7"/>
      <c r="V3020" s="7"/>
      <c r="W3020" s="7"/>
      <c r="X3020" s="7"/>
      <c r="Y3020" s="7"/>
    </row>
    <row r="3021">
      <c r="A3021" s="14" t="s">
        <v>10845</v>
      </c>
      <c r="B3021" s="17" t="s">
        <v>10842</v>
      </c>
      <c r="C3021" s="17" t="s">
        <v>10847</v>
      </c>
      <c r="D3021" s="19" t="s">
        <v>10848</v>
      </c>
      <c r="E3021" s="20" t="s">
        <v>536</v>
      </c>
      <c r="F3021" s="21">
        <v>38579.0</v>
      </c>
      <c r="G3021" s="14">
        <f t="shared" si="1"/>
        <v>21</v>
      </c>
      <c r="H3021" s="23" t="s">
        <v>26</v>
      </c>
      <c r="I3021" s="24" t="s">
        <v>33</v>
      </c>
      <c r="J3021" s="19" t="s">
        <v>4305</v>
      </c>
      <c r="K3021" s="14">
        <v>3.0</v>
      </c>
      <c r="L3021" s="14">
        <v>0.0</v>
      </c>
      <c r="M3021" s="25"/>
      <c r="N3021" s="26" t="s">
        <v>21</v>
      </c>
      <c r="O3021" s="7"/>
      <c r="P3021" s="7"/>
      <c r="Q3021" s="7"/>
      <c r="R3021" s="7"/>
      <c r="S3021" s="7"/>
      <c r="T3021" s="7"/>
      <c r="U3021" s="7"/>
      <c r="V3021" s="7"/>
      <c r="W3021" s="7"/>
      <c r="X3021" s="7"/>
      <c r="Y3021" s="7"/>
    </row>
    <row r="3022">
      <c r="A3022" s="14" t="s">
        <v>10849</v>
      </c>
      <c r="B3022" s="17" t="s">
        <v>10842</v>
      </c>
      <c r="C3022" s="17" t="s">
        <v>10850</v>
      </c>
      <c r="D3022" s="19" t="s">
        <v>10851</v>
      </c>
      <c r="E3022" s="20" t="s">
        <v>104</v>
      </c>
      <c r="F3022" s="21">
        <v>39196.0</v>
      </c>
      <c r="G3022" s="14">
        <f t="shared" si="1"/>
        <v>19</v>
      </c>
      <c r="H3022" s="23" t="s">
        <v>100</v>
      </c>
      <c r="I3022" s="24" t="s">
        <v>27</v>
      </c>
      <c r="J3022" s="19" t="s">
        <v>4305</v>
      </c>
      <c r="K3022" s="14">
        <v>3.0</v>
      </c>
      <c r="L3022" s="14">
        <v>0.0</v>
      </c>
      <c r="M3022" s="25"/>
      <c r="N3022" s="26" t="s">
        <v>21</v>
      </c>
      <c r="O3022" s="7"/>
      <c r="P3022" s="7"/>
      <c r="Q3022" s="7"/>
      <c r="R3022" s="7"/>
      <c r="S3022" s="7"/>
      <c r="T3022" s="7"/>
      <c r="U3022" s="7"/>
      <c r="V3022" s="7"/>
      <c r="W3022" s="7"/>
      <c r="X3022" s="7"/>
      <c r="Y3022" s="7"/>
    </row>
    <row r="3023">
      <c r="A3023" s="14" t="s">
        <v>10852</v>
      </c>
      <c r="B3023" s="17" t="s">
        <v>10842</v>
      </c>
      <c r="C3023" s="17" t="s">
        <v>10853</v>
      </c>
      <c r="D3023" s="19" t="s">
        <v>10854</v>
      </c>
      <c r="E3023" s="20" t="s">
        <v>536</v>
      </c>
      <c r="F3023" s="21">
        <v>30084.0</v>
      </c>
      <c r="G3023" s="14">
        <f t="shared" si="1"/>
        <v>44</v>
      </c>
      <c r="H3023" s="23" t="s">
        <v>26</v>
      </c>
      <c r="I3023" s="24" t="s">
        <v>33</v>
      </c>
      <c r="J3023" s="19" t="s">
        <v>146</v>
      </c>
      <c r="K3023" s="14">
        <v>3.0</v>
      </c>
      <c r="L3023" s="14">
        <v>0.0</v>
      </c>
      <c r="M3023" s="25"/>
      <c r="N3023" s="26" t="s">
        <v>21</v>
      </c>
      <c r="O3023" s="7"/>
      <c r="P3023" s="7"/>
      <c r="Q3023" s="7"/>
      <c r="R3023" s="7"/>
      <c r="S3023" s="7"/>
      <c r="T3023" s="7"/>
      <c r="U3023" s="7"/>
      <c r="V3023" s="7"/>
      <c r="W3023" s="7"/>
      <c r="X3023" s="7"/>
      <c r="Y3023" s="7"/>
    </row>
    <row r="3024">
      <c r="A3024" s="14" t="s">
        <v>10855</v>
      </c>
      <c r="B3024" s="17" t="s">
        <v>10856</v>
      </c>
      <c r="C3024" s="17" t="s">
        <v>10857</v>
      </c>
      <c r="D3024" s="19" t="s">
        <v>10858</v>
      </c>
      <c r="E3024" s="20" t="s">
        <v>104</v>
      </c>
      <c r="F3024" s="21">
        <v>36764.0</v>
      </c>
      <c r="G3024" s="14">
        <f t="shared" si="1"/>
        <v>26</v>
      </c>
      <c r="H3024" s="23" t="s">
        <v>100</v>
      </c>
      <c r="I3024" s="24" t="s">
        <v>27</v>
      </c>
      <c r="J3024" s="19" t="s">
        <v>53</v>
      </c>
      <c r="K3024" s="14">
        <v>29.0</v>
      </c>
      <c r="L3024" s="14">
        <v>0.0</v>
      </c>
      <c r="M3024" s="25"/>
      <c r="N3024" s="26" t="s">
        <v>21</v>
      </c>
      <c r="O3024" s="7"/>
      <c r="P3024" s="7"/>
      <c r="Q3024" s="7"/>
      <c r="R3024" s="7"/>
      <c r="S3024" s="7"/>
      <c r="T3024" s="7"/>
      <c r="U3024" s="7"/>
      <c r="V3024" s="7"/>
      <c r="W3024" s="7"/>
      <c r="X3024" s="7"/>
      <c r="Y3024" s="7"/>
    </row>
    <row r="3025">
      <c r="A3025" s="14" t="s">
        <v>10859</v>
      </c>
      <c r="B3025" s="17" t="s">
        <v>10856</v>
      </c>
      <c r="C3025" s="17" t="s">
        <v>10860</v>
      </c>
      <c r="D3025" s="19" t="s">
        <v>10861</v>
      </c>
      <c r="E3025" s="20" t="s">
        <v>104</v>
      </c>
      <c r="F3025" s="21">
        <v>37436.0</v>
      </c>
      <c r="G3025" s="14">
        <f t="shared" si="1"/>
        <v>24</v>
      </c>
      <c r="H3025" s="23" t="s">
        <v>100</v>
      </c>
      <c r="I3025" s="24" t="s">
        <v>33</v>
      </c>
      <c r="J3025" s="19" t="s">
        <v>53</v>
      </c>
      <c r="K3025" s="14">
        <v>29.0</v>
      </c>
      <c r="L3025" s="14">
        <v>0.0</v>
      </c>
      <c r="M3025" s="25"/>
      <c r="N3025" s="26" t="s">
        <v>21</v>
      </c>
      <c r="O3025" s="7"/>
      <c r="P3025" s="7"/>
      <c r="Q3025" s="7"/>
      <c r="R3025" s="7"/>
      <c r="S3025" s="7"/>
      <c r="T3025" s="7"/>
      <c r="U3025" s="7"/>
      <c r="V3025" s="7"/>
      <c r="W3025" s="7"/>
      <c r="X3025" s="7"/>
      <c r="Y3025" s="7"/>
    </row>
    <row r="3026">
      <c r="A3026" s="14" t="s">
        <v>10862</v>
      </c>
      <c r="B3026" s="17" t="s">
        <v>10856</v>
      </c>
      <c r="C3026" s="17" t="s">
        <v>10863</v>
      </c>
      <c r="D3026" s="19" t="s">
        <v>10864</v>
      </c>
      <c r="E3026" s="20" t="s">
        <v>802</v>
      </c>
      <c r="F3026" s="21">
        <v>22313.0</v>
      </c>
      <c r="G3026" s="14">
        <f t="shared" si="1"/>
        <v>65</v>
      </c>
      <c r="H3026" s="23" t="s">
        <v>26</v>
      </c>
      <c r="I3026" s="24" t="s">
        <v>33</v>
      </c>
      <c r="J3026" s="19" t="s">
        <v>68</v>
      </c>
      <c r="K3026" s="14">
        <v>29.0</v>
      </c>
      <c r="L3026" s="14">
        <v>0.0</v>
      </c>
      <c r="M3026" s="25"/>
      <c r="N3026" s="26" t="s">
        <v>21</v>
      </c>
      <c r="O3026" s="7"/>
      <c r="P3026" s="7"/>
      <c r="Q3026" s="7"/>
      <c r="R3026" s="7"/>
      <c r="S3026" s="7"/>
      <c r="T3026" s="7"/>
      <c r="U3026" s="7"/>
      <c r="V3026" s="7"/>
      <c r="W3026" s="7"/>
      <c r="X3026" s="7"/>
      <c r="Y3026" s="7"/>
    </row>
    <row r="3027">
      <c r="A3027" s="14" t="s">
        <v>10865</v>
      </c>
      <c r="B3027" s="17" t="s">
        <v>10866</v>
      </c>
      <c r="C3027" s="17" t="s">
        <v>10867</v>
      </c>
      <c r="D3027" s="19" t="s">
        <v>10868</v>
      </c>
      <c r="E3027" s="20" t="s">
        <v>104</v>
      </c>
      <c r="F3027" s="21">
        <v>30565.0</v>
      </c>
      <c r="G3027" s="14">
        <f t="shared" si="1"/>
        <v>43</v>
      </c>
      <c r="H3027" s="23" t="s">
        <v>26</v>
      </c>
      <c r="I3027" s="24" t="s">
        <v>27</v>
      </c>
      <c r="J3027" s="19" t="s">
        <v>53</v>
      </c>
      <c r="K3027" s="14">
        <v>29.0</v>
      </c>
      <c r="L3027" s="14">
        <v>0.0</v>
      </c>
      <c r="M3027" s="25"/>
      <c r="N3027" s="26" t="s">
        <v>21</v>
      </c>
      <c r="O3027" s="7"/>
      <c r="P3027" s="7"/>
      <c r="Q3027" s="7"/>
      <c r="R3027" s="7"/>
      <c r="S3027" s="7"/>
      <c r="T3027" s="7"/>
      <c r="U3027" s="7"/>
      <c r="V3027" s="7"/>
      <c r="W3027" s="7"/>
      <c r="X3027" s="7"/>
      <c r="Y3027" s="7"/>
    </row>
    <row r="3028">
      <c r="A3028" s="14" t="s">
        <v>10869</v>
      </c>
      <c r="B3028" s="17" t="s">
        <v>10866</v>
      </c>
      <c r="C3028" s="17" t="s">
        <v>10870</v>
      </c>
      <c r="D3028" s="19" t="s">
        <v>10871</v>
      </c>
      <c r="E3028" s="20" t="s">
        <v>104</v>
      </c>
      <c r="F3028" s="21">
        <v>38152.0</v>
      </c>
      <c r="G3028" s="14">
        <f t="shared" si="1"/>
        <v>22</v>
      </c>
      <c r="H3028" s="23" t="s">
        <v>100</v>
      </c>
      <c r="I3028" s="24" t="s">
        <v>33</v>
      </c>
      <c r="J3028" s="19" t="s">
        <v>53</v>
      </c>
      <c r="K3028" s="14">
        <v>29.0</v>
      </c>
      <c r="L3028" s="14">
        <v>0.0</v>
      </c>
      <c r="M3028" s="25"/>
      <c r="N3028" s="26" t="s">
        <v>21</v>
      </c>
      <c r="O3028" s="7"/>
      <c r="P3028" s="7"/>
      <c r="Q3028" s="7"/>
      <c r="R3028" s="7"/>
      <c r="S3028" s="7"/>
      <c r="T3028" s="7"/>
      <c r="U3028" s="7"/>
      <c r="V3028" s="7"/>
      <c r="W3028" s="7"/>
      <c r="X3028" s="7"/>
      <c r="Y3028" s="7"/>
    </row>
    <row r="3029">
      <c r="A3029" s="14" t="s">
        <v>10872</v>
      </c>
      <c r="B3029" s="17" t="s">
        <v>10866</v>
      </c>
      <c r="C3029" s="17" t="s">
        <v>10873</v>
      </c>
      <c r="D3029" s="19" t="s">
        <v>10874</v>
      </c>
      <c r="E3029" s="20" t="s">
        <v>1049</v>
      </c>
      <c r="F3029" s="21">
        <v>26299.0</v>
      </c>
      <c r="G3029" s="14">
        <f t="shared" si="1"/>
        <v>54</v>
      </c>
      <c r="H3029" s="23" t="s">
        <v>26</v>
      </c>
      <c r="I3029" s="24" t="s">
        <v>33</v>
      </c>
      <c r="J3029" s="19" t="s">
        <v>53</v>
      </c>
      <c r="K3029" s="14">
        <v>29.0</v>
      </c>
      <c r="L3029" s="14">
        <v>0.0</v>
      </c>
      <c r="M3029" s="25"/>
      <c r="N3029" s="26" t="s">
        <v>21</v>
      </c>
      <c r="O3029" s="7"/>
      <c r="P3029" s="7"/>
      <c r="Q3029" s="7"/>
      <c r="R3029" s="7"/>
      <c r="S3029" s="7"/>
      <c r="T3029" s="7"/>
      <c r="U3029" s="7"/>
      <c r="V3029" s="7"/>
      <c r="W3029" s="7"/>
      <c r="X3029" s="7"/>
      <c r="Y3029" s="7"/>
    </row>
    <row r="3030">
      <c r="A3030" s="14" t="s">
        <v>10875</v>
      </c>
      <c r="B3030" s="17" t="s">
        <v>10876</v>
      </c>
      <c r="C3030" s="17" t="s">
        <v>10877</v>
      </c>
      <c r="D3030" s="19" t="s">
        <v>10878</v>
      </c>
      <c r="E3030" s="20" t="s">
        <v>654</v>
      </c>
      <c r="F3030" s="21">
        <v>22145.0</v>
      </c>
      <c r="G3030" s="14">
        <f t="shared" si="1"/>
        <v>66</v>
      </c>
      <c r="H3030" s="23" t="s">
        <v>26</v>
      </c>
      <c r="I3030" s="24" t="s">
        <v>27</v>
      </c>
      <c r="J3030" s="19" t="s">
        <v>206</v>
      </c>
      <c r="K3030" s="14">
        <v>2.0</v>
      </c>
      <c r="L3030" s="14">
        <v>7.0</v>
      </c>
      <c r="M3030" s="28" t="s">
        <v>12826</v>
      </c>
      <c r="N3030" s="26" t="s">
        <v>21</v>
      </c>
      <c r="O3030" s="7"/>
      <c r="P3030" s="7"/>
      <c r="Q3030" s="7"/>
      <c r="R3030" s="7"/>
      <c r="S3030" s="7"/>
      <c r="T3030" s="7"/>
      <c r="U3030" s="7"/>
      <c r="V3030" s="7"/>
      <c r="W3030" s="7"/>
      <c r="X3030" s="7"/>
      <c r="Y3030" s="7"/>
    </row>
    <row r="3031">
      <c r="A3031" s="14" t="s">
        <v>10879</v>
      </c>
      <c r="B3031" s="17" t="s">
        <v>10880</v>
      </c>
      <c r="C3031" s="17" t="s">
        <v>10881</v>
      </c>
      <c r="D3031" s="19" t="s">
        <v>7967</v>
      </c>
      <c r="E3031" s="20" t="s">
        <v>1786</v>
      </c>
      <c r="F3031" s="21">
        <v>22653.0</v>
      </c>
      <c r="G3031" s="14">
        <f t="shared" si="1"/>
        <v>64</v>
      </c>
      <c r="H3031" s="23" t="s">
        <v>26</v>
      </c>
      <c r="I3031" s="24" t="s">
        <v>33</v>
      </c>
      <c r="J3031" s="19" t="s">
        <v>68</v>
      </c>
      <c r="K3031" s="14">
        <v>33.0</v>
      </c>
      <c r="L3031" s="14">
        <v>0.0</v>
      </c>
      <c r="M3031" s="25"/>
      <c r="N3031" s="26" t="s">
        <v>21</v>
      </c>
      <c r="O3031" s="7"/>
      <c r="P3031" s="7"/>
      <c r="Q3031" s="7"/>
      <c r="R3031" s="7"/>
      <c r="S3031" s="7"/>
      <c r="T3031" s="7"/>
      <c r="U3031" s="7"/>
      <c r="V3031" s="7"/>
      <c r="W3031" s="7"/>
      <c r="X3031" s="7"/>
      <c r="Y3031" s="7"/>
    </row>
    <row r="3032">
      <c r="A3032" s="14" t="s">
        <v>10882</v>
      </c>
      <c r="B3032" s="17" t="s">
        <v>10880</v>
      </c>
      <c r="C3032" s="17" t="s">
        <v>10883</v>
      </c>
      <c r="D3032" s="19" t="s">
        <v>10884</v>
      </c>
      <c r="E3032" s="20" t="s">
        <v>654</v>
      </c>
      <c r="F3032" s="21">
        <v>25516.0</v>
      </c>
      <c r="G3032" s="14">
        <f t="shared" si="1"/>
        <v>56</v>
      </c>
      <c r="H3032" s="23" t="s">
        <v>26</v>
      </c>
      <c r="I3032" s="24" t="s">
        <v>27</v>
      </c>
      <c r="J3032" s="19" t="s">
        <v>68</v>
      </c>
      <c r="K3032" s="14">
        <v>33.0</v>
      </c>
      <c r="L3032" s="14">
        <v>0.0</v>
      </c>
      <c r="M3032" s="25"/>
      <c r="N3032" s="26" t="s">
        <v>21</v>
      </c>
      <c r="O3032" s="7"/>
      <c r="P3032" s="7"/>
      <c r="Q3032" s="7"/>
      <c r="R3032" s="7"/>
      <c r="S3032" s="7"/>
      <c r="T3032" s="7"/>
      <c r="U3032" s="7"/>
      <c r="V3032" s="7"/>
      <c r="W3032" s="7"/>
      <c r="X3032" s="7"/>
      <c r="Y3032" s="7"/>
    </row>
    <row r="3033">
      <c r="A3033" s="14" t="s">
        <v>10885</v>
      </c>
      <c r="B3033" s="17" t="s">
        <v>10886</v>
      </c>
      <c r="C3033" s="17" t="s">
        <v>10887</v>
      </c>
      <c r="D3033" s="19" t="s">
        <v>4673</v>
      </c>
      <c r="E3033" s="20" t="s">
        <v>1816</v>
      </c>
      <c r="F3033" s="21">
        <v>22112.0</v>
      </c>
      <c r="G3033" s="14">
        <f t="shared" si="1"/>
        <v>66</v>
      </c>
      <c r="H3033" s="23" t="s">
        <v>27</v>
      </c>
      <c r="I3033" s="24" t="s">
        <v>33</v>
      </c>
      <c r="J3033" s="19" t="s">
        <v>362</v>
      </c>
      <c r="K3033" s="14">
        <v>33.0</v>
      </c>
      <c r="L3033" s="14">
        <v>0.0</v>
      </c>
      <c r="M3033" s="25"/>
      <c r="N3033" s="26" t="s">
        <v>21</v>
      </c>
      <c r="O3033" s="7"/>
      <c r="P3033" s="7"/>
      <c r="Q3033" s="7"/>
      <c r="R3033" s="7"/>
      <c r="S3033" s="7"/>
      <c r="T3033" s="7"/>
      <c r="U3033" s="7"/>
      <c r="V3033" s="7"/>
      <c r="W3033" s="7"/>
      <c r="X3033" s="7"/>
      <c r="Y3033" s="7"/>
    </row>
    <row r="3034">
      <c r="A3034" s="14" t="s">
        <v>10888</v>
      </c>
      <c r="B3034" s="17" t="s">
        <v>10889</v>
      </c>
      <c r="C3034" s="17" t="s">
        <v>10890</v>
      </c>
      <c r="D3034" s="19" t="s">
        <v>10891</v>
      </c>
      <c r="E3034" s="20" t="s">
        <v>53</v>
      </c>
      <c r="F3034" s="21">
        <v>35920.0</v>
      </c>
      <c r="G3034" s="14">
        <f t="shared" si="1"/>
        <v>28</v>
      </c>
      <c r="H3034" s="23" t="s">
        <v>26</v>
      </c>
      <c r="I3034" s="24" t="s">
        <v>27</v>
      </c>
      <c r="J3034" s="19" t="s">
        <v>68</v>
      </c>
      <c r="K3034" s="14">
        <v>28.0</v>
      </c>
      <c r="L3034" s="14">
        <v>0.0</v>
      </c>
      <c r="M3034" s="25"/>
      <c r="N3034" s="26" t="s">
        <v>21</v>
      </c>
      <c r="O3034" s="7"/>
      <c r="P3034" s="7"/>
      <c r="Q3034" s="7"/>
      <c r="R3034" s="7"/>
      <c r="S3034" s="7"/>
      <c r="T3034" s="7"/>
      <c r="U3034" s="7"/>
      <c r="V3034" s="7"/>
      <c r="W3034" s="7"/>
      <c r="X3034" s="7"/>
      <c r="Y3034" s="7"/>
    </row>
    <row r="3035">
      <c r="A3035" s="14" t="s">
        <v>10892</v>
      </c>
      <c r="B3035" s="17" t="s">
        <v>10889</v>
      </c>
      <c r="C3035" s="17" t="s">
        <v>10893</v>
      </c>
      <c r="D3035" s="19" t="s">
        <v>10894</v>
      </c>
      <c r="E3035" s="20" t="s">
        <v>337</v>
      </c>
      <c r="F3035" s="27">
        <v>28440.0</v>
      </c>
      <c r="G3035" s="14">
        <f t="shared" si="1"/>
        <v>48</v>
      </c>
      <c r="H3035" s="23" t="s">
        <v>26</v>
      </c>
      <c r="I3035" s="24" t="s">
        <v>33</v>
      </c>
      <c r="J3035" s="19" t="s">
        <v>68</v>
      </c>
      <c r="K3035" s="14">
        <v>28.0</v>
      </c>
      <c r="L3035" s="14">
        <v>0.0</v>
      </c>
      <c r="M3035" s="25"/>
      <c r="N3035" s="26" t="s">
        <v>21</v>
      </c>
      <c r="O3035" s="7"/>
      <c r="P3035" s="7"/>
      <c r="Q3035" s="7"/>
      <c r="R3035" s="7"/>
      <c r="S3035" s="7"/>
      <c r="T3035" s="7"/>
      <c r="U3035" s="7"/>
      <c r="V3035" s="7"/>
      <c r="W3035" s="7"/>
      <c r="X3035" s="7"/>
      <c r="Y3035" s="7"/>
    </row>
    <row r="3036">
      <c r="A3036" s="14" t="s">
        <v>10895</v>
      </c>
      <c r="B3036" s="17" t="s">
        <v>10889</v>
      </c>
      <c r="C3036" s="17" t="s">
        <v>10896</v>
      </c>
      <c r="D3036" s="19" t="s">
        <v>10897</v>
      </c>
      <c r="E3036" s="20" t="s">
        <v>10898</v>
      </c>
      <c r="F3036" s="27">
        <v>29586.0</v>
      </c>
      <c r="G3036" s="14">
        <f t="shared" si="1"/>
        <v>45</v>
      </c>
      <c r="H3036" s="23" t="s">
        <v>26</v>
      </c>
      <c r="I3036" s="24" t="s">
        <v>27</v>
      </c>
      <c r="J3036" s="19" t="s">
        <v>68</v>
      </c>
      <c r="K3036" s="14">
        <v>28.0</v>
      </c>
      <c r="L3036" s="14">
        <v>0.0</v>
      </c>
      <c r="M3036" s="25"/>
      <c r="N3036" s="26" t="s">
        <v>21</v>
      </c>
      <c r="O3036" s="7"/>
      <c r="P3036" s="7"/>
      <c r="Q3036" s="7"/>
      <c r="R3036" s="7"/>
      <c r="S3036" s="7"/>
      <c r="T3036" s="7"/>
      <c r="U3036" s="7"/>
      <c r="V3036" s="7"/>
      <c r="W3036" s="7"/>
      <c r="X3036" s="7"/>
      <c r="Y3036" s="7"/>
    </row>
    <row r="3037">
      <c r="A3037" s="14" t="s">
        <v>10899</v>
      </c>
      <c r="B3037" s="17" t="s">
        <v>10900</v>
      </c>
      <c r="C3037" s="17" t="s">
        <v>10901</v>
      </c>
      <c r="D3037" s="19" t="s">
        <v>10902</v>
      </c>
      <c r="E3037" s="20" t="s">
        <v>104</v>
      </c>
      <c r="F3037" s="27">
        <v>35046.0</v>
      </c>
      <c r="G3037" s="14">
        <f t="shared" si="1"/>
        <v>30</v>
      </c>
      <c r="H3037" s="23" t="s">
        <v>100</v>
      </c>
      <c r="I3037" s="24" t="s">
        <v>33</v>
      </c>
      <c r="J3037" s="19" t="s">
        <v>206</v>
      </c>
      <c r="K3037" s="14">
        <v>2.0</v>
      </c>
      <c r="L3037" s="14">
        <v>0.0</v>
      </c>
      <c r="M3037" s="25"/>
      <c r="N3037" s="26" t="s">
        <v>21</v>
      </c>
      <c r="O3037" s="7"/>
      <c r="P3037" s="7"/>
      <c r="Q3037" s="7"/>
      <c r="R3037" s="7"/>
      <c r="S3037" s="7"/>
      <c r="T3037" s="7"/>
      <c r="U3037" s="7"/>
      <c r="V3037" s="7"/>
      <c r="W3037" s="7"/>
      <c r="X3037" s="7"/>
      <c r="Y3037" s="7"/>
    </row>
    <row r="3038">
      <c r="A3038" s="14" t="s">
        <v>10903</v>
      </c>
      <c r="B3038" s="17" t="s">
        <v>10900</v>
      </c>
      <c r="C3038" s="17" t="s">
        <v>10904</v>
      </c>
      <c r="D3038" s="19" t="s">
        <v>10905</v>
      </c>
      <c r="E3038" s="20" t="s">
        <v>654</v>
      </c>
      <c r="F3038" s="21">
        <v>26497.0</v>
      </c>
      <c r="G3038" s="14">
        <f t="shared" si="1"/>
        <v>54</v>
      </c>
      <c r="H3038" s="23" t="s">
        <v>26</v>
      </c>
      <c r="I3038" s="24" t="s">
        <v>27</v>
      </c>
      <c r="J3038" s="19" t="s">
        <v>206</v>
      </c>
      <c r="K3038" s="14">
        <v>2.0</v>
      </c>
      <c r="L3038" s="14">
        <v>0.0</v>
      </c>
      <c r="M3038" s="25"/>
      <c r="N3038" s="26" t="s">
        <v>21</v>
      </c>
      <c r="O3038" s="7"/>
      <c r="P3038" s="7"/>
      <c r="Q3038" s="7"/>
      <c r="R3038" s="7"/>
      <c r="S3038" s="7"/>
      <c r="T3038" s="7"/>
      <c r="U3038" s="7"/>
      <c r="V3038" s="7"/>
      <c r="W3038" s="7"/>
      <c r="X3038" s="7"/>
      <c r="Y3038" s="7"/>
    </row>
    <row r="3039">
      <c r="A3039" s="14" t="s">
        <v>10906</v>
      </c>
      <c r="B3039" s="17" t="s">
        <v>10900</v>
      </c>
      <c r="C3039" s="17" t="s">
        <v>10907</v>
      </c>
      <c r="D3039" s="19" t="s">
        <v>10908</v>
      </c>
      <c r="E3039" s="20" t="s">
        <v>654</v>
      </c>
      <c r="F3039" s="21">
        <v>22844.0</v>
      </c>
      <c r="G3039" s="14">
        <f t="shared" si="1"/>
        <v>64</v>
      </c>
      <c r="H3039" s="23" t="s">
        <v>26</v>
      </c>
      <c r="I3039" s="24" t="s">
        <v>33</v>
      </c>
      <c r="J3039" s="19" t="s">
        <v>206</v>
      </c>
      <c r="K3039" s="14">
        <v>2.0</v>
      </c>
      <c r="L3039" s="14">
        <v>0.0</v>
      </c>
      <c r="M3039" s="25"/>
      <c r="N3039" s="26" t="s">
        <v>21</v>
      </c>
      <c r="O3039" s="7"/>
      <c r="P3039" s="7"/>
      <c r="Q3039" s="7"/>
      <c r="R3039" s="7"/>
      <c r="S3039" s="7"/>
      <c r="T3039" s="7"/>
      <c r="U3039" s="7"/>
      <c r="V3039" s="7"/>
      <c r="W3039" s="7"/>
      <c r="X3039" s="7"/>
      <c r="Y3039" s="7"/>
    </row>
    <row r="3040">
      <c r="A3040" s="14" t="s">
        <v>10909</v>
      </c>
      <c r="B3040" s="17" t="s">
        <v>10910</v>
      </c>
      <c r="C3040" s="17" t="s">
        <v>10911</v>
      </c>
      <c r="D3040" s="19" t="s">
        <v>10912</v>
      </c>
      <c r="E3040" s="20" t="s">
        <v>104</v>
      </c>
      <c r="F3040" s="21">
        <v>35797.0</v>
      </c>
      <c r="G3040" s="14">
        <f t="shared" si="1"/>
        <v>28</v>
      </c>
      <c r="H3040" s="23" t="s">
        <v>100</v>
      </c>
      <c r="I3040" s="24" t="s">
        <v>33</v>
      </c>
      <c r="J3040" s="19" t="s">
        <v>446</v>
      </c>
      <c r="K3040" s="14">
        <v>33.0</v>
      </c>
      <c r="L3040" s="14">
        <v>0.0</v>
      </c>
      <c r="M3040" s="25"/>
      <c r="N3040" s="26" t="s">
        <v>21</v>
      </c>
      <c r="O3040" s="7"/>
      <c r="P3040" s="7"/>
      <c r="Q3040" s="7"/>
      <c r="R3040" s="7"/>
      <c r="S3040" s="7"/>
      <c r="T3040" s="7"/>
      <c r="U3040" s="7"/>
      <c r="V3040" s="7"/>
      <c r="W3040" s="7"/>
      <c r="X3040" s="7"/>
      <c r="Y3040" s="7"/>
    </row>
    <row r="3041">
      <c r="A3041" s="14" t="s">
        <v>10913</v>
      </c>
      <c r="B3041" s="17" t="s">
        <v>10910</v>
      </c>
      <c r="C3041" s="17" t="s">
        <v>10914</v>
      </c>
      <c r="D3041" s="19" t="s">
        <v>712</v>
      </c>
      <c r="E3041" s="20" t="s">
        <v>2980</v>
      </c>
      <c r="F3041" s="21">
        <v>25070.0</v>
      </c>
      <c r="G3041" s="14">
        <f t="shared" si="1"/>
        <v>58</v>
      </c>
      <c r="H3041" s="23" t="s">
        <v>26</v>
      </c>
      <c r="I3041" s="24" t="s">
        <v>33</v>
      </c>
      <c r="J3041" s="19" t="s">
        <v>446</v>
      </c>
      <c r="K3041" s="14">
        <v>33.0</v>
      </c>
      <c r="L3041" s="14">
        <v>0.0</v>
      </c>
      <c r="M3041" s="25"/>
      <c r="N3041" s="26" t="s">
        <v>21</v>
      </c>
      <c r="O3041" s="7"/>
      <c r="P3041" s="7"/>
      <c r="Q3041" s="7"/>
      <c r="R3041" s="7"/>
      <c r="S3041" s="7"/>
      <c r="T3041" s="7"/>
      <c r="U3041" s="7"/>
      <c r="V3041" s="7"/>
      <c r="W3041" s="7"/>
      <c r="X3041" s="7"/>
      <c r="Y3041" s="7"/>
    </row>
    <row r="3042">
      <c r="A3042" s="14" t="s">
        <v>10916</v>
      </c>
      <c r="B3042" s="17" t="s">
        <v>10910</v>
      </c>
      <c r="C3042" s="17" t="s">
        <v>10917</v>
      </c>
      <c r="D3042" s="19" t="s">
        <v>10918</v>
      </c>
      <c r="E3042" s="20" t="s">
        <v>53</v>
      </c>
      <c r="F3042" s="21">
        <v>38360.0</v>
      </c>
      <c r="G3042" s="14">
        <f t="shared" si="1"/>
        <v>21</v>
      </c>
      <c r="H3042" s="23" t="s">
        <v>100</v>
      </c>
      <c r="I3042" s="24" t="s">
        <v>33</v>
      </c>
      <c r="J3042" s="19" t="s">
        <v>446</v>
      </c>
      <c r="K3042" s="14">
        <v>33.0</v>
      </c>
      <c r="L3042" s="14">
        <v>0.0</v>
      </c>
      <c r="M3042" s="25"/>
      <c r="N3042" s="26" t="s">
        <v>21</v>
      </c>
      <c r="O3042" s="7"/>
      <c r="P3042" s="7"/>
      <c r="Q3042" s="7"/>
      <c r="R3042" s="7"/>
      <c r="S3042" s="7"/>
      <c r="T3042" s="7"/>
      <c r="U3042" s="7"/>
      <c r="V3042" s="7"/>
      <c r="W3042" s="7"/>
      <c r="X3042" s="7"/>
      <c r="Y3042" s="7"/>
    </row>
    <row r="3043">
      <c r="A3043" s="14" t="s">
        <v>10919</v>
      </c>
      <c r="B3043" s="17" t="s">
        <v>10910</v>
      </c>
      <c r="C3043" s="17" t="s">
        <v>10920</v>
      </c>
      <c r="D3043" s="19" t="s">
        <v>10921</v>
      </c>
      <c r="E3043" s="20" t="s">
        <v>67</v>
      </c>
      <c r="F3043" s="21">
        <v>25101.0</v>
      </c>
      <c r="G3043" s="14">
        <f t="shared" si="1"/>
        <v>58</v>
      </c>
      <c r="H3043" s="23" t="s">
        <v>26</v>
      </c>
      <c r="I3043" s="24" t="s">
        <v>27</v>
      </c>
      <c r="J3043" s="19" t="s">
        <v>446</v>
      </c>
      <c r="K3043" s="14">
        <v>33.0</v>
      </c>
      <c r="L3043" s="14">
        <v>0.0</v>
      </c>
      <c r="M3043" s="25"/>
      <c r="N3043" s="26" t="s">
        <v>21</v>
      </c>
      <c r="O3043" s="7"/>
      <c r="P3043" s="7"/>
      <c r="Q3043" s="7"/>
      <c r="R3043" s="7"/>
      <c r="S3043" s="7"/>
      <c r="T3043" s="7"/>
      <c r="U3043" s="7"/>
      <c r="V3043" s="7"/>
      <c r="W3043" s="7"/>
      <c r="X3043" s="7"/>
      <c r="Y3043" s="7"/>
    </row>
    <row r="3044">
      <c r="A3044" s="14" t="s">
        <v>10922</v>
      </c>
      <c r="B3044" s="17" t="s">
        <v>10923</v>
      </c>
      <c r="C3044" s="17" t="s">
        <v>10924</v>
      </c>
      <c r="D3044" s="19" t="s">
        <v>10925</v>
      </c>
      <c r="E3044" s="20" t="s">
        <v>219</v>
      </c>
      <c r="F3044" s="21">
        <v>23291.0</v>
      </c>
      <c r="G3044" s="14">
        <f t="shared" si="1"/>
        <v>63</v>
      </c>
      <c r="H3044" s="23" t="s">
        <v>26</v>
      </c>
      <c r="I3044" s="24" t="s">
        <v>33</v>
      </c>
      <c r="J3044" s="19" t="s">
        <v>53</v>
      </c>
      <c r="K3044" s="14">
        <v>2.0</v>
      </c>
      <c r="L3044" s="14">
        <v>0.0</v>
      </c>
      <c r="M3044" s="25"/>
      <c r="N3044" s="26" t="s">
        <v>21</v>
      </c>
      <c r="O3044" s="7"/>
      <c r="P3044" s="7"/>
      <c r="Q3044" s="7"/>
      <c r="R3044" s="7"/>
      <c r="S3044" s="7"/>
      <c r="T3044" s="7"/>
      <c r="U3044" s="7"/>
      <c r="V3044" s="7"/>
      <c r="W3044" s="7"/>
      <c r="X3044" s="7"/>
      <c r="Y3044" s="7"/>
    </row>
    <row r="3045">
      <c r="A3045" s="14" t="s">
        <v>10926</v>
      </c>
      <c r="B3045" s="17" t="s">
        <v>10927</v>
      </c>
      <c r="C3045" s="17" t="s">
        <v>10928</v>
      </c>
      <c r="D3045" s="19" t="s">
        <v>10929</v>
      </c>
      <c r="E3045" s="20" t="s">
        <v>337</v>
      </c>
      <c r="F3045" s="21">
        <v>37645.0</v>
      </c>
      <c r="G3045" s="14">
        <f t="shared" si="1"/>
        <v>23</v>
      </c>
      <c r="H3045" s="23" t="s">
        <v>100</v>
      </c>
      <c r="I3045" s="24" t="s">
        <v>27</v>
      </c>
      <c r="J3045" s="19" t="s">
        <v>53</v>
      </c>
      <c r="K3045" s="14">
        <v>16.0</v>
      </c>
      <c r="L3045" s="14">
        <v>0.0</v>
      </c>
      <c r="M3045" s="25"/>
      <c r="N3045" s="26" t="s">
        <v>21</v>
      </c>
      <c r="O3045" s="7"/>
      <c r="P3045" s="7"/>
      <c r="Q3045" s="7"/>
      <c r="R3045" s="7"/>
      <c r="S3045" s="7"/>
      <c r="T3045" s="7"/>
      <c r="U3045" s="7"/>
      <c r="V3045" s="7"/>
      <c r="W3045" s="7"/>
      <c r="X3045" s="7"/>
      <c r="Y3045" s="7"/>
    </row>
    <row r="3046">
      <c r="A3046" s="14" t="s">
        <v>10930</v>
      </c>
      <c r="B3046" s="17" t="s">
        <v>10927</v>
      </c>
      <c r="C3046" s="17" t="s">
        <v>10931</v>
      </c>
      <c r="D3046" s="19" t="s">
        <v>10932</v>
      </c>
      <c r="E3046" s="20" t="s">
        <v>632</v>
      </c>
      <c r="F3046" s="21">
        <v>23446.0</v>
      </c>
      <c r="G3046" s="14">
        <f t="shared" si="1"/>
        <v>62</v>
      </c>
      <c r="H3046" s="23" t="s">
        <v>26</v>
      </c>
      <c r="I3046" s="24" t="s">
        <v>33</v>
      </c>
      <c r="J3046" s="19" t="s">
        <v>53</v>
      </c>
      <c r="K3046" s="14">
        <v>16.0</v>
      </c>
      <c r="L3046" s="14">
        <v>0.0</v>
      </c>
      <c r="M3046" s="25"/>
      <c r="N3046" s="26" t="s">
        <v>21</v>
      </c>
      <c r="O3046" s="7"/>
      <c r="P3046" s="7"/>
      <c r="Q3046" s="7"/>
      <c r="R3046" s="7"/>
      <c r="S3046" s="7"/>
      <c r="T3046" s="7"/>
      <c r="U3046" s="7"/>
      <c r="V3046" s="7"/>
      <c r="W3046" s="7"/>
      <c r="X3046" s="7"/>
      <c r="Y3046" s="7"/>
    </row>
    <row r="3047">
      <c r="A3047" s="14" t="s">
        <v>10933</v>
      </c>
      <c r="B3047" s="17" t="s">
        <v>10927</v>
      </c>
      <c r="C3047" s="17" t="s">
        <v>10934</v>
      </c>
      <c r="D3047" s="19" t="s">
        <v>10935</v>
      </c>
      <c r="E3047" s="20" t="s">
        <v>632</v>
      </c>
      <c r="F3047" s="21">
        <v>25740.0</v>
      </c>
      <c r="G3047" s="14">
        <f t="shared" si="1"/>
        <v>56</v>
      </c>
      <c r="H3047" s="23" t="s">
        <v>26</v>
      </c>
      <c r="I3047" s="24" t="s">
        <v>27</v>
      </c>
      <c r="J3047" s="19" t="s">
        <v>53</v>
      </c>
      <c r="K3047" s="14">
        <v>16.0</v>
      </c>
      <c r="L3047" s="14">
        <v>0.0</v>
      </c>
      <c r="M3047" s="25"/>
      <c r="N3047" s="26" t="s">
        <v>21</v>
      </c>
      <c r="O3047" s="7"/>
      <c r="P3047" s="7"/>
      <c r="Q3047" s="7"/>
      <c r="R3047" s="7"/>
      <c r="S3047" s="7"/>
      <c r="T3047" s="7"/>
      <c r="U3047" s="7"/>
      <c r="V3047" s="7"/>
      <c r="W3047" s="7"/>
      <c r="X3047" s="7"/>
      <c r="Y3047" s="7"/>
    </row>
    <row r="3048">
      <c r="A3048" s="14" t="s">
        <v>10936</v>
      </c>
      <c r="B3048" s="17" t="s">
        <v>10937</v>
      </c>
      <c r="C3048" s="17" t="s">
        <v>10938</v>
      </c>
      <c r="D3048" s="19" t="s">
        <v>10939</v>
      </c>
      <c r="E3048" s="20" t="s">
        <v>1816</v>
      </c>
      <c r="F3048" s="21">
        <v>26090.0</v>
      </c>
      <c r="G3048" s="14">
        <f t="shared" si="1"/>
        <v>55</v>
      </c>
      <c r="H3048" s="23" t="s">
        <v>26</v>
      </c>
      <c r="I3048" s="24" t="s">
        <v>33</v>
      </c>
      <c r="J3048" s="19" t="s">
        <v>53</v>
      </c>
      <c r="K3048" s="14">
        <v>16.0</v>
      </c>
      <c r="L3048" s="14">
        <v>0.0</v>
      </c>
      <c r="M3048" s="25"/>
      <c r="N3048" s="26" t="s">
        <v>21</v>
      </c>
      <c r="O3048" s="7"/>
      <c r="P3048" s="7"/>
      <c r="Q3048" s="7"/>
      <c r="R3048" s="7"/>
      <c r="S3048" s="7"/>
      <c r="T3048" s="7"/>
      <c r="U3048" s="7"/>
      <c r="V3048" s="7"/>
      <c r="W3048" s="7"/>
      <c r="X3048" s="7"/>
      <c r="Y3048" s="7"/>
    </row>
    <row r="3049">
      <c r="A3049" s="14" t="s">
        <v>10940</v>
      </c>
      <c r="B3049" s="17" t="s">
        <v>10937</v>
      </c>
      <c r="C3049" s="17" t="s">
        <v>10941</v>
      </c>
      <c r="D3049" s="19" t="s">
        <v>10942</v>
      </c>
      <c r="E3049" s="20" t="s">
        <v>104</v>
      </c>
      <c r="F3049" s="27">
        <v>39050.0</v>
      </c>
      <c r="G3049" s="14">
        <f t="shared" si="1"/>
        <v>19</v>
      </c>
      <c r="H3049" s="23" t="s">
        <v>100</v>
      </c>
      <c r="I3049" s="24" t="s">
        <v>33</v>
      </c>
      <c r="J3049" s="19" t="s">
        <v>53</v>
      </c>
      <c r="K3049" s="14">
        <v>16.0</v>
      </c>
      <c r="L3049" s="14">
        <v>0.0</v>
      </c>
      <c r="M3049" s="25"/>
      <c r="N3049" s="26" t="s">
        <v>21</v>
      </c>
      <c r="O3049" s="7"/>
      <c r="P3049" s="7"/>
      <c r="Q3049" s="7"/>
      <c r="R3049" s="7"/>
      <c r="S3049" s="7"/>
      <c r="T3049" s="7"/>
      <c r="U3049" s="7"/>
      <c r="V3049" s="7"/>
      <c r="W3049" s="7"/>
      <c r="X3049" s="7"/>
      <c r="Y3049" s="7"/>
    </row>
    <row r="3050">
      <c r="A3050" s="14" t="s">
        <v>10943</v>
      </c>
      <c r="B3050" s="17" t="s">
        <v>10937</v>
      </c>
      <c r="C3050" s="17" t="s">
        <v>10944</v>
      </c>
      <c r="D3050" s="19" t="s">
        <v>386</v>
      </c>
      <c r="E3050" s="20" t="s">
        <v>1816</v>
      </c>
      <c r="F3050" s="21">
        <v>27890.0</v>
      </c>
      <c r="G3050" s="14">
        <f t="shared" si="1"/>
        <v>50</v>
      </c>
      <c r="H3050" s="23" t="s">
        <v>26</v>
      </c>
      <c r="I3050" s="24" t="s">
        <v>27</v>
      </c>
      <c r="J3050" s="19" t="s">
        <v>726</v>
      </c>
      <c r="K3050" s="14">
        <v>16.0</v>
      </c>
      <c r="L3050" s="14">
        <v>0.0</v>
      </c>
      <c r="M3050" s="25"/>
      <c r="N3050" s="26" t="s">
        <v>21</v>
      </c>
      <c r="O3050" s="7"/>
      <c r="P3050" s="7"/>
      <c r="Q3050" s="7"/>
      <c r="R3050" s="7"/>
      <c r="S3050" s="7"/>
      <c r="T3050" s="7"/>
      <c r="U3050" s="7"/>
      <c r="V3050" s="7"/>
      <c r="W3050" s="7"/>
      <c r="X3050" s="7"/>
      <c r="Y3050" s="7"/>
    </row>
    <row r="3051">
      <c r="A3051" s="14" t="s">
        <v>10946</v>
      </c>
      <c r="B3051" s="17" t="s">
        <v>10947</v>
      </c>
      <c r="C3051" s="17" t="s">
        <v>10948</v>
      </c>
      <c r="D3051" s="19" t="s">
        <v>10949</v>
      </c>
      <c r="E3051" s="20" t="s">
        <v>502</v>
      </c>
      <c r="F3051" s="21">
        <v>36346.0</v>
      </c>
      <c r="G3051" s="14">
        <f t="shared" si="1"/>
        <v>27</v>
      </c>
      <c r="H3051" s="23" t="s">
        <v>26</v>
      </c>
      <c r="I3051" s="24" t="s">
        <v>33</v>
      </c>
      <c r="J3051" s="19" t="s">
        <v>156</v>
      </c>
      <c r="K3051" s="14">
        <v>32.0</v>
      </c>
      <c r="L3051" s="14">
        <v>0.0</v>
      </c>
      <c r="M3051" s="25"/>
      <c r="N3051" s="26" t="s">
        <v>21</v>
      </c>
      <c r="O3051" s="7"/>
      <c r="P3051" s="7"/>
      <c r="Q3051" s="7"/>
      <c r="R3051" s="7"/>
      <c r="S3051" s="7"/>
      <c r="T3051" s="7"/>
      <c r="U3051" s="7"/>
      <c r="V3051" s="7"/>
      <c r="W3051" s="7"/>
      <c r="X3051" s="7"/>
      <c r="Y3051" s="7"/>
    </row>
    <row r="3052">
      <c r="A3052" s="14" t="s">
        <v>10951</v>
      </c>
      <c r="B3052" s="17" t="s">
        <v>10952</v>
      </c>
      <c r="C3052" s="17" t="s">
        <v>10953</v>
      </c>
      <c r="D3052" s="19" t="s">
        <v>4050</v>
      </c>
      <c r="E3052" s="20" t="s">
        <v>1816</v>
      </c>
      <c r="F3052" s="27">
        <v>25552.0</v>
      </c>
      <c r="G3052" s="14">
        <f t="shared" si="1"/>
        <v>56</v>
      </c>
      <c r="H3052" s="23" t="s">
        <v>26</v>
      </c>
      <c r="I3052" s="24" t="s">
        <v>33</v>
      </c>
      <c r="J3052" s="19" t="s">
        <v>328</v>
      </c>
      <c r="K3052" s="14">
        <v>25.0</v>
      </c>
      <c r="L3052" s="14">
        <v>0.0</v>
      </c>
      <c r="M3052" s="25"/>
      <c r="N3052" s="26" t="s">
        <v>21</v>
      </c>
      <c r="O3052" s="7"/>
      <c r="P3052" s="7"/>
      <c r="Q3052" s="7"/>
      <c r="R3052" s="7"/>
      <c r="S3052" s="7"/>
      <c r="T3052" s="7"/>
      <c r="U3052" s="7"/>
      <c r="V3052" s="7"/>
      <c r="W3052" s="7"/>
      <c r="X3052" s="7"/>
      <c r="Y3052" s="7"/>
    </row>
    <row r="3053">
      <c r="A3053" s="14" t="s">
        <v>10954</v>
      </c>
      <c r="B3053" s="17" t="s">
        <v>10952</v>
      </c>
      <c r="C3053" s="17" t="s">
        <v>10955</v>
      </c>
      <c r="D3053" s="19" t="s">
        <v>3759</v>
      </c>
      <c r="E3053" s="20" t="s">
        <v>1816</v>
      </c>
      <c r="F3053" s="27">
        <v>28836.0</v>
      </c>
      <c r="G3053" s="14">
        <f t="shared" si="1"/>
        <v>47</v>
      </c>
      <c r="H3053" s="23" t="s">
        <v>26</v>
      </c>
      <c r="I3053" s="24" t="s">
        <v>27</v>
      </c>
      <c r="J3053" s="19" t="s">
        <v>328</v>
      </c>
      <c r="K3053" s="14">
        <v>25.0</v>
      </c>
      <c r="L3053" s="14">
        <v>0.0</v>
      </c>
      <c r="M3053" s="25"/>
      <c r="N3053" s="26" t="s">
        <v>21</v>
      </c>
      <c r="O3053" s="7"/>
      <c r="P3053" s="7"/>
      <c r="Q3053" s="7"/>
      <c r="R3053" s="7"/>
      <c r="S3053" s="7"/>
      <c r="T3053" s="7"/>
      <c r="U3053" s="7"/>
      <c r="V3053" s="7"/>
      <c r="W3053" s="7"/>
      <c r="X3053" s="7"/>
      <c r="Y3053" s="7"/>
    </row>
    <row r="3054">
      <c r="A3054" s="14" t="s">
        <v>10956</v>
      </c>
      <c r="B3054" s="17" t="s">
        <v>10957</v>
      </c>
      <c r="C3054" s="17" t="s">
        <v>10958</v>
      </c>
      <c r="D3054" s="19" t="s">
        <v>5090</v>
      </c>
      <c r="E3054" s="20" t="s">
        <v>104</v>
      </c>
      <c r="F3054" s="27">
        <v>31743.0</v>
      </c>
      <c r="G3054" s="14">
        <f t="shared" si="1"/>
        <v>39</v>
      </c>
      <c r="H3054" s="23" t="s">
        <v>26</v>
      </c>
      <c r="I3054" s="24" t="s">
        <v>27</v>
      </c>
      <c r="J3054" s="19" t="s">
        <v>1960</v>
      </c>
      <c r="K3054" s="14">
        <v>16.0</v>
      </c>
      <c r="L3054" s="14">
        <v>0.0</v>
      </c>
      <c r="M3054" s="25"/>
      <c r="N3054" s="26" t="s">
        <v>21</v>
      </c>
      <c r="O3054" s="7"/>
      <c r="P3054" s="7"/>
      <c r="Q3054" s="7"/>
      <c r="R3054" s="7"/>
      <c r="S3054" s="7"/>
      <c r="T3054" s="7"/>
      <c r="U3054" s="7"/>
      <c r="V3054" s="7"/>
      <c r="W3054" s="7"/>
      <c r="X3054" s="7"/>
      <c r="Y3054" s="7"/>
    </row>
    <row r="3055">
      <c r="A3055" s="14" t="s">
        <v>10959</v>
      </c>
      <c r="B3055" s="17" t="s">
        <v>10957</v>
      </c>
      <c r="C3055" s="17" t="s">
        <v>10960</v>
      </c>
      <c r="D3055" s="19" t="s">
        <v>10961</v>
      </c>
      <c r="E3055" s="20" t="s">
        <v>104</v>
      </c>
      <c r="F3055" s="21">
        <v>31884.0</v>
      </c>
      <c r="G3055" s="14">
        <f t="shared" si="1"/>
        <v>39</v>
      </c>
      <c r="H3055" s="23" t="s">
        <v>26</v>
      </c>
      <c r="I3055" s="24" t="s">
        <v>33</v>
      </c>
      <c r="J3055" s="19" t="s">
        <v>1960</v>
      </c>
      <c r="K3055" s="14">
        <v>16.0</v>
      </c>
      <c r="L3055" s="14">
        <v>0.0</v>
      </c>
      <c r="M3055" s="25"/>
      <c r="N3055" s="26" t="s">
        <v>21</v>
      </c>
      <c r="O3055" s="7"/>
      <c r="P3055" s="7"/>
      <c r="Q3055" s="7"/>
      <c r="R3055" s="7"/>
      <c r="S3055" s="7"/>
      <c r="T3055" s="7"/>
      <c r="U3055" s="7"/>
      <c r="V3055" s="7"/>
      <c r="W3055" s="7"/>
      <c r="X3055" s="7"/>
      <c r="Y3055" s="7"/>
    </row>
    <row r="3056">
      <c r="A3056" s="14" t="s">
        <v>10962</v>
      </c>
      <c r="B3056" s="17" t="s">
        <v>10963</v>
      </c>
      <c r="C3056" s="17" t="s">
        <v>10964</v>
      </c>
      <c r="D3056" s="19" t="s">
        <v>10965</v>
      </c>
      <c r="E3056" s="20" t="s">
        <v>1291</v>
      </c>
      <c r="F3056" s="21">
        <v>24607.0</v>
      </c>
      <c r="G3056" s="14">
        <f t="shared" si="1"/>
        <v>59</v>
      </c>
      <c r="H3056" s="23" t="s">
        <v>26</v>
      </c>
      <c r="I3056" s="24" t="s">
        <v>27</v>
      </c>
      <c r="J3056" s="19" t="s">
        <v>68</v>
      </c>
      <c r="K3056" s="14">
        <v>33.0</v>
      </c>
      <c r="L3056" s="14">
        <v>0.0</v>
      </c>
      <c r="M3056" s="25"/>
      <c r="N3056" s="26" t="s">
        <v>21</v>
      </c>
      <c r="O3056" s="7"/>
      <c r="P3056" s="7"/>
      <c r="Q3056" s="7"/>
      <c r="R3056" s="7"/>
      <c r="S3056" s="7"/>
      <c r="T3056" s="7"/>
      <c r="U3056" s="7"/>
      <c r="V3056" s="7"/>
      <c r="W3056" s="7"/>
      <c r="X3056" s="7"/>
      <c r="Y3056" s="7"/>
    </row>
    <row r="3057">
      <c r="A3057" s="14" t="s">
        <v>10966</v>
      </c>
      <c r="B3057" s="17" t="s">
        <v>10967</v>
      </c>
      <c r="C3057" s="17" t="s">
        <v>10968</v>
      </c>
      <c r="D3057" s="19" t="s">
        <v>10969</v>
      </c>
      <c r="E3057" s="20" t="s">
        <v>104</v>
      </c>
      <c r="F3057" s="21">
        <v>31590.0</v>
      </c>
      <c r="G3057" s="14">
        <f t="shared" si="1"/>
        <v>40</v>
      </c>
      <c r="H3057" s="23" t="s">
        <v>26</v>
      </c>
      <c r="I3057" s="24" t="s">
        <v>33</v>
      </c>
      <c r="J3057" s="19" t="s">
        <v>146</v>
      </c>
      <c r="K3057" s="14">
        <v>4.0</v>
      </c>
      <c r="L3057" s="14">
        <v>0.0</v>
      </c>
      <c r="M3057" s="25"/>
      <c r="N3057" s="26" t="s">
        <v>21</v>
      </c>
      <c r="O3057" s="7"/>
      <c r="P3057" s="7"/>
      <c r="Q3057" s="7"/>
      <c r="R3057" s="7"/>
      <c r="S3057" s="7"/>
      <c r="T3057" s="7"/>
      <c r="U3057" s="7"/>
      <c r="V3057" s="7"/>
      <c r="W3057" s="7"/>
      <c r="X3057" s="7"/>
      <c r="Y3057" s="7"/>
    </row>
    <row r="3058">
      <c r="A3058" s="14" t="s">
        <v>10971</v>
      </c>
      <c r="B3058" s="17" t="s">
        <v>10972</v>
      </c>
      <c r="C3058" s="17" t="s">
        <v>10973</v>
      </c>
      <c r="D3058" s="19" t="s">
        <v>10974</v>
      </c>
      <c r="E3058" s="20" t="s">
        <v>2680</v>
      </c>
      <c r="F3058" s="21">
        <v>29037.0</v>
      </c>
      <c r="G3058" s="14">
        <f t="shared" si="1"/>
        <v>47</v>
      </c>
      <c r="H3058" s="23" t="s">
        <v>26</v>
      </c>
      <c r="I3058" s="24" t="s">
        <v>27</v>
      </c>
      <c r="J3058" s="19" t="s">
        <v>146</v>
      </c>
      <c r="K3058" s="14">
        <v>4.0</v>
      </c>
      <c r="L3058" s="14">
        <v>0.0</v>
      </c>
      <c r="M3058" s="25"/>
      <c r="N3058" s="26" t="s">
        <v>21</v>
      </c>
      <c r="O3058" s="7"/>
      <c r="P3058" s="7"/>
      <c r="Q3058" s="7"/>
      <c r="R3058" s="7"/>
      <c r="S3058" s="7"/>
      <c r="T3058" s="7"/>
      <c r="U3058" s="7"/>
      <c r="V3058" s="7"/>
      <c r="W3058" s="7"/>
      <c r="X3058" s="7"/>
      <c r="Y3058" s="7"/>
    </row>
    <row r="3059">
      <c r="A3059" s="14" t="s">
        <v>10975</v>
      </c>
      <c r="B3059" s="17" t="s">
        <v>10972</v>
      </c>
      <c r="C3059" s="17" t="s">
        <v>10976</v>
      </c>
      <c r="D3059" s="19" t="s">
        <v>397</v>
      </c>
      <c r="E3059" s="20" t="s">
        <v>632</v>
      </c>
      <c r="F3059" s="21">
        <v>28255.0</v>
      </c>
      <c r="G3059" s="14">
        <f t="shared" si="1"/>
        <v>49</v>
      </c>
      <c r="H3059" s="23" t="s">
        <v>26</v>
      </c>
      <c r="I3059" s="24" t="s">
        <v>33</v>
      </c>
      <c r="J3059" s="19" t="s">
        <v>146</v>
      </c>
      <c r="K3059" s="14">
        <v>4.0</v>
      </c>
      <c r="L3059" s="14">
        <v>0.0</v>
      </c>
      <c r="M3059" s="25"/>
      <c r="N3059" s="26" t="s">
        <v>21</v>
      </c>
      <c r="O3059" s="7"/>
      <c r="P3059" s="7"/>
      <c r="Q3059" s="7"/>
      <c r="R3059" s="7"/>
      <c r="S3059" s="7"/>
      <c r="T3059" s="7"/>
      <c r="U3059" s="7"/>
      <c r="V3059" s="7"/>
      <c r="W3059" s="7"/>
      <c r="X3059" s="7"/>
      <c r="Y3059" s="7"/>
    </row>
    <row r="3060">
      <c r="A3060" s="14" t="s">
        <v>10977</v>
      </c>
      <c r="B3060" s="17" t="s">
        <v>10978</v>
      </c>
      <c r="C3060" s="17" t="s">
        <v>10979</v>
      </c>
      <c r="D3060" s="19" t="s">
        <v>10980</v>
      </c>
      <c r="E3060" s="20" t="s">
        <v>632</v>
      </c>
      <c r="F3060" s="21">
        <v>17660.0</v>
      </c>
      <c r="G3060" s="14">
        <f t="shared" si="1"/>
        <v>78</v>
      </c>
      <c r="H3060" s="23" t="s">
        <v>26</v>
      </c>
      <c r="I3060" s="24" t="s">
        <v>33</v>
      </c>
      <c r="J3060" s="19" t="s">
        <v>4305</v>
      </c>
      <c r="K3060" s="14">
        <v>4.0</v>
      </c>
      <c r="L3060" s="14">
        <v>0.0</v>
      </c>
      <c r="M3060" s="25"/>
      <c r="N3060" s="26" t="s">
        <v>21</v>
      </c>
      <c r="O3060" s="7"/>
      <c r="P3060" s="7"/>
      <c r="Q3060" s="7"/>
      <c r="R3060" s="7"/>
      <c r="S3060" s="7"/>
      <c r="T3060" s="7"/>
      <c r="U3060" s="7"/>
      <c r="V3060" s="7"/>
      <c r="W3060" s="7"/>
      <c r="X3060" s="7"/>
      <c r="Y3060" s="7"/>
    </row>
    <row r="3061">
      <c r="A3061" s="14" t="s">
        <v>10981</v>
      </c>
      <c r="B3061" s="17" t="s">
        <v>10978</v>
      </c>
      <c r="C3061" s="17" t="s">
        <v>10982</v>
      </c>
      <c r="D3061" s="19" t="s">
        <v>10984</v>
      </c>
      <c r="E3061" s="20" t="s">
        <v>632</v>
      </c>
      <c r="F3061" s="21">
        <v>21042.0</v>
      </c>
      <c r="G3061" s="14">
        <f t="shared" si="1"/>
        <v>69</v>
      </c>
      <c r="H3061" s="23" t="s">
        <v>26</v>
      </c>
      <c r="I3061" s="24" t="s">
        <v>27</v>
      </c>
      <c r="J3061" s="19" t="s">
        <v>4305</v>
      </c>
      <c r="K3061" s="14">
        <v>4.0</v>
      </c>
      <c r="L3061" s="14">
        <v>0.0</v>
      </c>
      <c r="M3061" s="25"/>
      <c r="N3061" s="26" t="s">
        <v>21</v>
      </c>
      <c r="O3061" s="7"/>
      <c r="P3061" s="7"/>
      <c r="Q3061" s="7"/>
      <c r="R3061" s="7"/>
      <c r="S3061" s="7"/>
      <c r="T3061" s="7"/>
      <c r="U3061" s="7"/>
      <c r="V3061" s="7"/>
      <c r="W3061" s="7"/>
      <c r="X3061" s="7"/>
      <c r="Y3061" s="7"/>
    </row>
    <row r="3062">
      <c r="A3062" s="14" t="s">
        <v>10985</v>
      </c>
      <c r="B3062" s="17" t="s">
        <v>10986</v>
      </c>
      <c r="C3062" s="17" t="s">
        <v>10987</v>
      </c>
      <c r="D3062" s="19" t="s">
        <v>10988</v>
      </c>
      <c r="E3062" s="20" t="s">
        <v>53</v>
      </c>
      <c r="F3062" s="21">
        <v>30808.0</v>
      </c>
      <c r="G3062" s="14">
        <f t="shared" si="1"/>
        <v>42</v>
      </c>
      <c r="H3062" s="23" t="s">
        <v>26</v>
      </c>
      <c r="I3062" s="24" t="s">
        <v>33</v>
      </c>
      <c r="J3062" s="19" t="s">
        <v>68</v>
      </c>
      <c r="K3062" s="14">
        <v>34.0</v>
      </c>
      <c r="L3062" s="14">
        <v>0.0</v>
      </c>
      <c r="M3062" s="25"/>
      <c r="N3062" s="26" t="s">
        <v>21</v>
      </c>
      <c r="O3062" s="7"/>
      <c r="P3062" s="7"/>
      <c r="Q3062" s="7"/>
      <c r="R3062" s="7"/>
      <c r="S3062" s="7"/>
      <c r="T3062" s="7"/>
      <c r="U3062" s="7"/>
      <c r="V3062" s="7"/>
      <c r="W3062" s="7"/>
      <c r="X3062" s="7"/>
      <c r="Y3062" s="7"/>
    </row>
    <row r="3063">
      <c r="A3063" s="14" t="s">
        <v>10990</v>
      </c>
      <c r="B3063" s="17" t="s">
        <v>10986</v>
      </c>
      <c r="C3063" s="17" t="s">
        <v>10991</v>
      </c>
      <c r="D3063" s="19" t="s">
        <v>10992</v>
      </c>
      <c r="E3063" s="20" t="s">
        <v>10993</v>
      </c>
      <c r="F3063" s="27">
        <v>31773.0</v>
      </c>
      <c r="G3063" s="14">
        <f t="shared" si="1"/>
        <v>39</v>
      </c>
      <c r="H3063" s="23" t="s">
        <v>26</v>
      </c>
      <c r="I3063" s="24" t="s">
        <v>27</v>
      </c>
      <c r="J3063" s="19" t="s">
        <v>68</v>
      </c>
      <c r="K3063" s="14">
        <v>34.0</v>
      </c>
      <c r="L3063" s="14">
        <v>0.0</v>
      </c>
      <c r="M3063" s="25"/>
      <c r="N3063" s="26" t="s">
        <v>21</v>
      </c>
      <c r="O3063" s="7"/>
      <c r="P3063" s="7"/>
      <c r="Q3063" s="7"/>
      <c r="R3063" s="7"/>
      <c r="S3063" s="7"/>
      <c r="T3063" s="7"/>
      <c r="U3063" s="7"/>
      <c r="V3063" s="7"/>
      <c r="W3063" s="7"/>
      <c r="X3063" s="7"/>
      <c r="Y3063" s="7"/>
    </row>
    <row r="3064">
      <c r="A3064" s="14" t="s">
        <v>10994</v>
      </c>
      <c r="B3064" s="17" t="s">
        <v>10995</v>
      </c>
      <c r="C3064" s="17" t="s">
        <v>10996</v>
      </c>
      <c r="D3064" s="19" t="s">
        <v>10997</v>
      </c>
      <c r="E3064" s="20" t="s">
        <v>53</v>
      </c>
      <c r="F3064" s="21">
        <v>35692.0</v>
      </c>
      <c r="G3064" s="14">
        <f t="shared" si="1"/>
        <v>29</v>
      </c>
      <c r="H3064" s="23" t="s">
        <v>100</v>
      </c>
      <c r="I3064" s="24" t="s">
        <v>33</v>
      </c>
      <c r="J3064" s="19" t="s">
        <v>68</v>
      </c>
      <c r="K3064" s="14">
        <v>31.0</v>
      </c>
      <c r="L3064" s="14">
        <v>0.0</v>
      </c>
      <c r="M3064" s="25"/>
      <c r="N3064" s="26" t="s">
        <v>21</v>
      </c>
      <c r="O3064" s="7"/>
      <c r="P3064" s="7"/>
      <c r="Q3064" s="7"/>
      <c r="R3064" s="7"/>
      <c r="S3064" s="7"/>
      <c r="T3064" s="7"/>
      <c r="U3064" s="7"/>
      <c r="V3064" s="7"/>
      <c r="W3064" s="7"/>
      <c r="X3064" s="7"/>
      <c r="Y3064" s="7"/>
    </row>
    <row r="3065">
      <c r="A3065" s="14" t="s">
        <v>10998</v>
      </c>
      <c r="B3065" s="17" t="s">
        <v>10995</v>
      </c>
      <c r="C3065" s="17" t="s">
        <v>10999</v>
      </c>
      <c r="D3065" s="19" t="s">
        <v>11000</v>
      </c>
      <c r="E3065" s="20" t="s">
        <v>53</v>
      </c>
      <c r="F3065" s="27">
        <v>37936.0</v>
      </c>
      <c r="G3065" s="14">
        <f t="shared" si="1"/>
        <v>22</v>
      </c>
      <c r="H3065" s="23" t="s">
        <v>100</v>
      </c>
      <c r="I3065" s="24" t="s">
        <v>27</v>
      </c>
      <c r="J3065" s="19" t="s">
        <v>68</v>
      </c>
      <c r="K3065" s="14">
        <v>31.0</v>
      </c>
      <c r="L3065" s="14">
        <v>0.0</v>
      </c>
      <c r="M3065" s="25"/>
      <c r="N3065" s="26" t="s">
        <v>21</v>
      </c>
      <c r="O3065" s="7"/>
      <c r="P3065" s="7"/>
      <c r="Q3065" s="7"/>
      <c r="R3065" s="7"/>
      <c r="S3065" s="7"/>
      <c r="T3065" s="7"/>
      <c r="U3065" s="7"/>
      <c r="V3065" s="7"/>
      <c r="W3065" s="7"/>
      <c r="X3065" s="7"/>
      <c r="Y3065" s="7"/>
    </row>
    <row r="3066">
      <c r="A3066" s="14" t="s">
        <v>11001</v>
      </c>
      <c r="B3066" s="17" t="s">
        <v>10995</v>
      </c>
      <c r="C3066" s="17" t="s">
        <v>11002</v>
      </c>
      <c r="D3066" s="19" t="s">
        <v>11003</v>
      </c>
      <c r="E3066" s="20" t="s">
        <v>104</v>
      </c>
      <c r="F3066" s="21">
        <v>28754.0</v>
      </c>
      <c r="G3066" s="14">
        <f t="shared" si="1"/>
        <v>48</v>
      </c>
      <c r="H3066" s="23" t="s">
        <v>26</v>
      </c>
      <c r="I3066" s="24" t="s">
        <v>27</v>
      </c>
      <c r="J3066" s="19" t="s">
        <v>68</v>
      </c>
      <c r="K3066" s="14">
        <v>31.0</v>
      </c>
      <c r="L3066" s="14">
        <v>0.0</v>
      </c>
      <c r="M3066" s="25"/>
      <c r="N3066" s="26" t="s">
        <v>21</v>
      </c>
      <c r="O3066" s="7"/>
      <c r="P3066" s="7"/>
      <c r="Q3066" s="7"/>
      <c r="R3066" s="7"/>
      <c r="S3066" s="7"/>
      <c r="T3066" s="7"/>
      <c r="U3066" s="7"/>
      <c r="V3066" s="7"/>
      <c r="W3066" s="7"/>
      <c r="X3066" s="7"/>
      <c r="Y3066" s="7"/>
    </row>
    <row r="3067">
      <c r="A3067" s="14" t="s">
        <v>11004</v>
      </c>
      <c r="B3067" s="17" t="s">
        <v>10995</v>
      </c>
      <c r="C3067" s="17" t="s">
        <v>11005</v>
      </c>
      <c r="D3067" s="19" t="s">
        <v>11006</v>
      </c>
      <c r="E3067" s="20" t="s">
        <v>4915</v>
      </c>
      <c r="F3067" s="21">
        <v>23905.0</v>
      </c>
      <c r="G3067" s="14">
        <f t="shared" si="1"/>
        <v>61</v>
      </c>
      <c r="H3067" s="23" t="s">
        <v>26</v>
      </c>
      <c r="I3067" s="24" t="s">
        <v>33</v>
      </c>
      <c r="J3067" s="19" t="s">
        <v>68</v>
      </c>
      <c r="K3067" s="14">
        <v>31.0</v>
      </c>
      <c r="L3067" s="14">
        <v>0.0</v>
      </c>
      <c r="M3067" s="25"/>
      <c r="N3067" s="26" t="s">
        <v>21</v>
      </c>
      <c r="O3067" s="7"/>
      <c r="P3067" s="7"/>
      <c r="Q3067" s="7"/>
      <c r="R3067" s="7"/>
      <c r="S3067" s="7"/>
      <c r="T3067" s="7"/>
      <c r="U3067" s="7"/>
      <c r="V3067" s="7"/>
      <c r="W3067" s="7"/>
      <c r="X3067" s="7"/>
      <c r="Y3067" s="7"/>
    </row>
    <row r="3068">
      <c r="A3068" s="14" t="s">
        <v>11007</v>
      </c>
      <c r="B3068" s="17" t="s">
        <v>11008</v>
      </c>
      <c r="C3068" s="17" t="s">
        <v>11009</v>
      </c>
      <c r="D3068" s="19" t="s">
        <v>11010</v>
      </c>
      <c r="E3068" s="20" t="s">
        <v>104</v>
      </c>
      <c r="F3068" s="21">
        <v>27958.0</v>
      </c>
      <c r="G3068" s="14">
        <f t="shared" si="1"/>
        <v>50</v>
      </c>
      <c r="H3068" s="23" t="s">
        <v>26</v>
      </c>
      <c r="I3068" s="24" t="s">
        <v>33</v>
      </c>
      <c r="J3068" s="19" t="s">
        <v>53</v>
      </c>
      <c r="K3068" s="14">
        <v>31.0</v>
      </c>
      <c r="L3068" s="14">
        <v>0.0</v>
      </c>
      <c r="M3068" s="25"/>
      <c r="N3068" s="26" t="s">
        <v>21</v>
      </c>
      <c r="O3068" s="7"/>
      <c r="P3068" s="7"/>
      <c r="Q3068" s="7"/>
      <c r="R3068" s="7"/>
      <c r="S3068" s="7"/>
      <c r="T3068" s="7"/>
      <c r="U3068" s="7"/>
      <c r="V3068" s="7"/>
      <c r="W3068" s="7"/>
      <c r="X3068" s="7"/>
      <c r="Y3068" s="7"/>
    </row>
    <row r="3069">
      <c r="A3069" s="14" t="s">
        <v>11011</v>
      </c>
      <c r="B3069" s="17" t="s">
        <v>11008</v>
      </c>
      <c r="C3069" s="17" t="s">
        <v>11012</v>
      </c>
      <c r="D3069" s="19" t="s">
        <v>11013</v>
      </c>
      <c r="E3069" s="20" t="s">
        <v>104</v>
      </c>
      <c r="F3069" s="21">
        <v>31419.0</v>
      </c>
      <c r="G3069" s="14">
        <f t="shared" si="1"/>
        <v>40</v>
      </c>
      <c r="H3069" s="23" t="s">
        <v>26</v>
      </c>
      <c r="I3069" s="24" t="s">
        <v>27</v>
      </c>
      <c r="J3069" s="19" t="s">
        <v>53</v>
      </c>
      <c r="K3069" s="14">
        <v>31.0</v>
      </c>
      <c r="L3069" s="14">
        <v>0.0</v>
      </c>
      <c r="M3069" s="25"/>
      <c r="N3069" s="26" t="s">
        <v>21</v>
      </c>
      <c r="O3069" s="7"/>
      <c r="P3069" s="7"/>
      <c r="Q3069" s="7"/>
      <c r="R3069" s="7"/>
      <c r="S3069" s="7"/>
      <c r="T3069" s="7"/>
      <c r="U3069" s="7"/>
      <c r="V3069" s="7"/>
      <c r="W3069" s="7"/>
      <c r="X3069" s="7"/>
      <c r="Y3069" s="7"/>
    </row>
    <row r="3070">
      <c r="A3070" s="14" t="s">
        <v>11014</v>
      </c>
      <c r="B3070" s="17" t="s">
        <v>11015</v>
      </c>
      <c r="C3070" s="17" t="s">
        <v>11016</v>
      </c>
      <c r="D3070" s="19" t="s">
        <v>11017</v>
      </c>
      <c r="E3070" s="20" t="s">
        <v>654</v>
      </c>
      <c r="F3070" s="21">
        <v>22082.0</v>
      </c>
      <c r="G3070" s="14">
        <f t="shared" si="1"/>
        <v>66</v>
      </c>
      <c r="H3070" s="23" t="s">
        <v>27</v>
      </c>
      <c r="I3070" s="24" t="s">
        <v>27</v>
      </c>
      <c r="J3070" s="19" t="s">
        <v>328</v>
      </c>
      <c r="K3070" s="14">
        <v>27.0</v>
      </c>
      <c r="L3070" s="14">
        <v>0.0</v>
      </c>
      <c r="M3070" s="25"/>
      <c r="N3070" s="26" t="s">
        <v>21</v>
      </c>
      <c r="O3070" s="7"/>
      <c r="P3070" s="7"/>
      <c r="Q3070" s="7"/>
      <c r="R3070" s="7"/>
      <c r="S3070" s="7"/>
      <c r="T3070" s="7"/>
      <c r="U3070" s="7"/>
      <c r="V3070" s="7"/>
      <c r="W3070" s="7"/>
      <c r="X3070" s="7"/>
      <c r="Y3070" s="7"/>
    </row>
    <row r="3071">
      <c r="A3071" s="14" t="s">
        <v>11018</v>
      </c>
      <c r="B3071" s="17" t="s">
        <v>11019</v>
      </c>
      <c r="C3071" s="17" t="s">
        <v>11020</v>
      </c>
      <c r="D3071" s="19" t="s">
        <v>11021</v>
      </c>
      <c r="E3071" s="20" t="s">
        <v>11022</v>
      </c>
      <c r="F3071" s="21">
        <v>36015.0</v>
      </c>
      <c r="G3071" s="14">
        <f t="shared" si="1"/>
        <v>28</v>
      </c>
      <c r="H3071" s="23" t="s">
        <v>26</v>
      </c>
      <c r="I3071" s="24" t="s">
        <v>33</v>
      </c>
      <c r="J3071" s="19" t="s">
        <v>53</v>
      </c>
      <c r="K3071" s="14">
        <v>27.0</v>
      </c>
      <c r="L3071" s="14">
        <v>0.0</v>
      </c>
      <c r="M3071" s="25"/>
      <c r="N3071" s="26" t="s">
        <v>21</v>
      </c>
      <c r="O3071" s="7"/>
      <c r="P3071" s="7"/>
      <c r="Q3071" s="7"/>
      <c r="R3071" s="7"/>
      <c r="S3071" s="7"/>
      <c r="T3071" s="7"/>
      <c r="U3071" s="7"/>
      <c r="V3071" s="7"/>
      <c r="W3071" s="7"/>
      <c r="X3071" s="7"/>
      <c r="Y3071" s="7"/>
    </row>
    <row r="3072">
      <c r="A3072" s="14" t="s">
        <v>11023</v>
      </c>
      <c r="B3072" s="17" t="s">
        <v>11019</v>
      </c>
      <c r="C3072" s="17" t="s">
        <v>11024</v>
      </c>
      <c r="D3072" s="19" t="s">
        <v>11025</v>
      </c>
      <c r="E3072" s="20" t="s">
        <v>53</v>
      </c>
      <c r="F3072" s="27">
        <v>36122.0</v>
      </c>
      <c r="G3072" s="14">
        <f t="shared" si="1"/>
        <v>27</v>
      </c>
      <c r="H3072" s="23" t="s">
        <v>26</v>
      </c>
      <c r="I3072" s="24" t="s">
        <v>27</v>
      </c>
      <c r="J3072" s="19" t="s">
        <v>53</v>
      </c>
      <c r="K3072" s="14">
        <v>27.0</v>
      </c>
      <c r="L3072" s="14">
        <v>7.0</v>
      </c>
      <c r="M3072" s="25"/>
      <c r="N3072" s="26" t="s">
        <v>21</v>
      </c>
      <c r="O3072" s="7"/>
      <c r="P3072" s="7"/>
      <c r="Q3072" s="7"/>
      <c r="R3072" s="7"/>
      <c r="S3072" s="7"/>
      <c r="T3072" s="7"/>
      <c r="U3072" s="7"/>
      <c r="V3072" s="7"/>
      <c r="W3072" s="7"/>
      <c r="X3072" s="7"/>
      <c r="Y3072" s="7"/>
    </row>
    <row r="3073">
      <c r="A3073" s="14" t="s">
        <v>11026</v>
      </c>
      <c r="B3073" s="17" t="s">
        <v>11027</v>
      </c>
      <c r="C3073" s="17" t="s">
        <v>11028</v>
      </c>
      <c r="D3073" s="19" t="s">
        <v>11029</v>
      </c>
      <c r="E3073" s="20" t="s">
        <v>274</v>
      </c>
      <c r="F3073" s="21">
        <v>23169.0</v>
      </c>
      <c r="G3073" s="14">
        <f t="shared" si="1"/>
        <v>63</v>
      </c>
      <c r="H3073" s="23" t="s">
        <v>26</v>
      </c>
      <c r="I3073" s="24" t="s">
        <v>33</v>
      </c>
      <c r="J3073" s="19" t="s">
        <v>146</v>
      </c>
      <c r="K3073" s="14">
        <v>1.0</v>
      </c>
      <c r="L3073" s="14">
        <v>0.0</v>
      </c>
      <c r="M3073" s="25"/>
      <c r="N3073" s="26" t="s">
        <v>21</v>
      </c>
      <c r="O3073" s="7"/>
      <c r="P3073" s="7"/>
      <c r="Q3073" s="7"/>
      <c r="R3073" s="7"/>
      <c r="S3073" s="7"/>
      <c r="T3073" s="7"/>
      <c r="U3073" s="7"/>
      <c r="V3073" s="7"/>
      <c r="W3073" s="7"/>
      <c r="X3073" s="7"/>
      <c r="Y3073" s="7"/>
    </row>
    <row r="3074">
      <c r="A3074" s="14" t="s">
        <v>11030</v>
      </c>
      <c r="B3074" s="17" t="s">
        <v>11027</v>
      </c>
      <c r="C3074" s="17" t="s">
        <v>11031</v>
      </c>
      <c r="D3074" s="19" t="s">
        <v>11032</v>
      </c>
      <c r="E3074" s="20" t="s">
        <v>53</v>
      </c>
      <c r="F3074" s="21">
        <v>36401.0</v>
      </c>
      <c r="G3074" s="14">
        <f t="shared" si="1"/>
        <v>27</v>
      </c>
      <c r="H3074" s="23" t="s">
        <v>100</v>
      </c>
      <c r="I3074" s="24" t="s">
        <v>27</v>
      </c>
      <c r="J3074" s="19" t="s">
        <v>146</v>
      </c>
      <c r="K3074" s="14">
        <v>1.0</v>
      </c>
      <c r="L3074" s="14">
        <v>0.0</v>
      </c>
      <c r="M3074" s="25"/>
      <c r="N3074" s="26" t="s">
        <v>21</v>
      </c>
      <c r="O3074" s="7"/>
      <c r="P3074" s="7"/>
      <c r="Q3074" s="7"/>
      <c r="R3074" s="7"/>
      <c r="S3074" s="7"/>
      <c r="T3074" s="7"/>
      <c r="U3074" s="7"/>
      <c r="V3074" s="7"/>
      <c r="W3074" s="7"/>
      <c r="X3074" s="7"/>
      <c r="Y3074" s="7"/>
    </row>
    <row r="3075">
      <c r="A3075" s="14" t="s">
        <v>11033</v>
      </c>
      <c r="B3075" s="17" t="s">
        <v>11027</v>
      </c>
      <c r="C3075" s="17" t="s">
        <v>11034</v>
      </c>
      <c r="D3075" s="19" t="s">
        <v>11035</v>
      </c>
      <c r="E3075" s="20" t="s">
        <v>53</v>
      </c>
      <c r="F3075" s="21">
        <v>36401.0</v>
      </c>
      <c r="G3075" s="14">
        <f t="shared" si="1"/>
        <v>27</v>
      </c>
      <c r="H3075" s="23" t="s">
        <v>100</v>
      </c>
      <c r="I3075" s="24" t="s">
        <v>27</v>
      </c>
      <c r="J3075" s="19" t="s">
        <v>146</v>
      </c>
      <c r="K3075" s="14">
        <v>1.0</v>
      </c>
      <c r="L3075" s="14">
        <v>0.0</v>
      </c>
      <c r="M3075" s="25"/>
      <c r="N3075" s="26" t="s">
        <v>21</v>
      </c>
      <c r="O3075" s="7"/>
      <c r="P3075" s="7"/>
      <c r="Q3075" s="7"/>
      <c r="R3075" s="7"/>
      <c r="S3075" s="7"/>
      <c r="T3075" s="7"/>
      <c r="U3075" s="7"/>
      <c r="V3075" s="7"/>
      <c r="W3075" s="7"/>
      <c r="X3075" s="7"/>
      <c r="Y3075" s="7"/>
    </row>
    <row r="3076">
      <c r="A3076" s="14" t="s">
        <v>11036</v>
      </c>
      <c r="B3076" s="17" t="s">
        <v>11027</v>
      </c>
      <c r="C3076" s="17" t="s">
        <v>11037</v>
      </c>
      <c r="D3076" s="19" t="s">
        <v>11038</v>
      </c>
      <c r="E3076" s="20" t="s">
        <v>5871</v>
      </c>
      <c r="F3076" s="21">
        <v>23900.0</v>
      </c>
      <c r="G3076" s="14">
        <f t="shared" si="1"/>
        <v>61</v>
      </c>
      <c r="H3076" s="23" t="s">
        <v>26</v>
      </c>
      <c r="I3076" s="24" t="s">
        <v>27</v>
      </c>
      <c r="J3076" s="19" t="s">
        <v>146</v>
      </c>
      <c r="K3076" s="14">
        <v>1.0</v>
      </c>
      <c r="L3076" s="14">
        <v>0.0</v>
      </c>
      <c r="M3076" s="25"/>
      <c r="N3076" s="26" t="s">
        <v>21</v>
      </c>
      <c r="O3076" s="7"/>
      <c r="P3076" s="7"/>
      <c r="Q3076" s="7"/>
      <c r="R3076" s="7"/>
      <c r="S3076" s="7"/>
      <c r="T3076" s="7"/>
      <c r="U3076" s="7"/>
      <c r="V3076" s="7"/>
      <c r="W3076" s="7"/>
      <c r="X3076" s="7"/>
      <c r="Y3076" s="7"/>
    </row>
    <row r="3077">
      <c r="A3077" s="14" t="s">
        <v>11039</v>
      </c>
      <c r="B3077" s="17" t="s">
        <v>11040</v>
      </c>
      <c r="C3077" s="17" t="s">
        <v>11041</v>
      </c>
      <c r="D3077" s="19" t="s">
        <v>11042</v>
      </c>
      <c r="E3077" s="20" t="s">
        <v>11043</v>
      </c>
      <c r="F3077" s="27">
        <v>27716.0</v>
      </c>
      <c r="G3077" s="14">
        <f t="shared" si="1"/>
        <v>50</v>
      </c>
      <c r="H3077" s="23" t="s">
        <v>27</v>
      </c>
      <c r="I3077" s="24" t="s">
        <v>33</v>
      </c>
      <c r="J3077" s="19" t="s">
        <v>58</v>
      </c>
      <c r="K3077" s="14">
        <v>9.0</v>
      </c>
      <c r="L3077" s="14">
        <v>0.0</v>
      </c>
      <c r="M3077" s="25"/>
      <c r="N3077" s="26" t="s">
        <v>21</v>
      </c>
      <c r="O3077" s="7"/>
      <c r="P3077" s="7"/>
      <c r="Q3077" s="7"/>
      <c r="R3077" s="7"/>
      <c r="S3077" s="7"/>
      <c r="T3077" s="7"/>
      <c r="U3077" s="7"/>
      <c r="V3077" s="7"/>
      <c r="W3077" s="7"/>
      <c r="X3077" s="7"/>
      <c r="Y3077" s="7"/>
    </row>
    <row r="3078">
      <c r="A3078" s="14" t="s">
        <v>11044</v>
      </c>
      <c r="B3078" s="17" t="s">
        <v>11045</v>
      </c>
      <c r="C3078" s="17" t="s">
        <v>11046</v>
      </c>
      <c r="D3078" s="19" t="s">
        <v>11047</v>
      </c>
      <c r="E3078" s="20" t="s">
        <v>104</v>
      </c>
      <c r="F3078" s="27">
        <v>33190.0</v>
      </c>
      <c r="G3078" s="14">
        <f t="shared" si="1"/>
        <v>35</v>
      </c>
      <c r="H3078" s="23" t="s">
        <v>26</v>
      </c>
      <c r="I3078" s="24" t="s">
        <v>33</v>
      </c>
      <c r="J3078" s="19" t="s">
        <v>104</v>
      </c>
      <c r="K3078" s="14">
        <v>36.0</v>
      </c>
      <c r="L3078" s="14">
        <v>0.0</v>
      </c>
      <c r="M3078" s="25"/>
      <c r="N3078" s="26" t="s">
        <v>21</v>
      </c>
      <c r="O3078" s="7"/>
      <c r="P3078" s="7"/>
      <c r="Q3078" s="7"/>
      <c r="R3078" s="7"/>
      <c r="S3078" s="7"/>
      <c r="T3078" s="7"/>
      <c r="U3078" s="7"/>
      <c r="V3078" s="7"/>
      <c r="W3078" s="7"/>
      <c r="X3078" s="7"/>
      <c r="Y3078" s="7"/>
    </row>
    <row r="3079">
      <c r="A3079" s="14" t="s">
        <v>11048</v>
      </c>
      <c r="B3079" s="17" t="s">
        <v>11045</v>
      </c>
      <c r="C3079" s="17" t="s">
        <v>11049</v>
      </c>
      <c r="D3079" s="19" t="s">
        <v>11050</v>
      </c>
      <c r="E3079" s="20" t="s">
        <v>11051</v>
      </c>
      <c r="F3079" s="21">
        <v>34363.0</v>
      </c>
      <c r="G3079" s="14">
        <f t="shared" si="1"/>
        <v>32</v>
      </c>
      <c r="H3079" s="23" t="s">
        <v>26</v>
      </c>
      <c r="I3079" s="24" t="s">
        <v>27</v>
      </c>
      <c r="J3079" s="19" t="s">
        <v>104</v>
      </c>
      <c r="K3079" s="14">
        <v>36.0</v>
      </c>
      <c r="L3079" s="14">
        <v>0.0</v>
      </c>
      <c r="M3079" s="25"/>
      <c r="N3079" s="26" t="s">
        <v>21</v>
      </c>
      <c r="O3079" s="7"/>
      <c r="P3079" s="7"/>
      <c r="Q3079" s="7"/>
      <c r="R3079" s="7"/>
      <c r="S3079" s="7"/>
      <c r="T3079" s="7"/>
      <c r="U3079" s="7"/>
      <c r="V3079" s="7"/>
      <c r="W3079" s="7"/>
      <c r="X3079" s="7"/>
      <c r="Y3079" s="7"/>
    </row>
    <row r="3080">
      <c r="A3080" s="14" t="s">
        <v>11052</v>
      </c>
      <c r="B3080" s="17" t="s">
        <v>11053</v>
      </c>
      <c r="C3080" s="17" t="s">
        <v>11054</v>
      </c>
      <c r="D3080" s="19" t="s">
        <v>11055</v>
      </c>
      <c r="E3080" s="20" t="s">
        <v>11056</v>
      </c>
      <c r="F3080" s="21">
        <v>28313.0</v>
      </c>
      <c r="G3080" s="14">
        <f t="shared" si="1"/>
        <v>49</v>
      </c>
      <c r="H3080" s="23" t="s">
        <v>26</v>
      </c>
      <c r="I3080" s="24" t="s">
        <v>33</v>
      </c>
      <c r="J3080" s="19" t="s">
        <v>53</v>
      </c>
      <c r="K3080" s="14">
        <v>36.0</v>
      </c>
      <c r="L3080" s="14">
        <v>0.0</v>
      </c>
      <c r="M3080" s="25"/>
      <c r="N3080" s="26" t="s">
        <v>21</v>
      </c>
      <c r="O3080" s="7"/>
      <c r="P3080" s="7"/>
      <c r="Q3080" s="7"/>
      <c r="R3080" s="7"/>
      <c r="S3080" s="7"/>
      <c r="T3080" s="7"/>
      <c r="U3080" s="7"/>
      <c r="V3080" s="7"/>
      <c r="W3080" s="7"/>
      <c r="X3080" s="7"/>
      <c r="Y3080" s="7"/>
    </row>
    <row r="3081">
      <c r="A3081" s="14" t="s">
        <v>11057</v>
      </c>
      <c r="B3081" s="17" t="s">
        <v>11053</v>
      </c>
      <c r="C3081" s="17" t="s">
        <v>11058</v>
      </c>
      <c r="D3081" s="19" t="s">
        <v>4670</v>
      </c>
      <c r="E3081" s="20" t="s">
        <v>5197</v>
      </c>
      <c r="F3081" s="21">
        <v>32154.0</v>
      </c>
      <c r="G3081" s="14">
        <f t="shared" si="1"/>
        <v>38</v>
      </c>
      <c r="H3081" s="23" t="s">
        <v>26</v>
      </c>
      <c r="I3081" s="24" t="s">
        <v>27</v>
      </c>
      <c r="J3081" s="19" t="s">
        <v>53</v>
      </c>
      <c r="K3081" s="14">
        <v>36.0</v>
      </c>
      <c r="L3081" s="14">
        <v>0.0</v>
      </c>
      <c r="M3081" s="25"/>
      <c r="N3081" s="26" t="s">
        <v>21</v>
      </c>
      <c r="O3081" s="7"/>
      <c r="P3081" s="7"/>
      <c r="Q3081" s="7"/>
      <c r="R3081" s="7"/>
      <c r="S3081" s="7"/>
      <c r="T3081" s="7"/>
      <c r="U3081" s="7"/>
      <c r="V3081" s="7"/>
      <c r="W3081" s="7"/>
      <c r="X3081" s="7"/>
      <c r="Y3081" s="7"/>
    </row>
    <row r="3082">
      <c r="A3082" s="14" t="s">
        <v>11059</v>
      </c>
      <c r="B3082" s="17" t="s">
        <v>11060</v>
      </c>
      <c r="C3082" s="17" t="s">
        <v>11061</v>
      </c>
      <c r="D3082" s="19" t="s">
        <v>11062</v>
      </c>
      <c r="E3082" s="20" t="s">
        <v>337</v>
      </c>
      <c r="F3082" s="21">
        <v>35445.0</v>
      </c>
      <c r="G3082" s="14">
        <f t="shared" si="1"/>
        <v>29</v>
      </c>
      <c r="H3082" s="23" t="s">
        <v>26</v>
      </c>
      <c r="I3082" s="24" t="s">
        <v>27</v>
      </c>
      <c r="J3082" s="19" t="s">
        <v>53</v>
      </c>
      <c r="K3082" s="14">
        <v>30.0</v>
      </c>
      <c r="L3082" s="14">
        <v>0.0</v>
      </c>
      <c r="M3082" s="25"/>
      <c r="N3082" s="26" t="s">
        <v>21</v>
      </c>
      <c r="O3082" s="7"/>
      <c r="P3082" s="7"/>
      <c r="Q3082" s="7"/>
      <c r="R3082" s="7"/>
      <c r="S3082" s="7"/>
      <c r="T3082" s="7"/>
      <c r="U3082" s="7"/>
      <c r="V3082" s="7"/>
      <c r="W3082" s="7"/>
      <c r="X3082" s="7"/>
      <c r="Y3082" s="7"/>
    </row>
    <row r="3083">
      <c r="A3083" s="14" t="s">
        <v>11063</v>
      </c>
      <c r="B3083" s="17" t="s">
        <v>11060</v>
      </c>
      <c r="C3083" s="17" t="s">
        <v>11064</v>
      </c>
      <c r="D3083" s="19" t="s">
        <v>11065</v>
      </c>
      <c r="E3083" s="20" t="s">
        <v>104</v>
      </c>
      <c r="F3083" s="21">
        <v>35870.0</v>
      </c>
      <c r="G3083" s="14">
        <f t="shared" si="1"/>
        <v>28</v>
      </c>
      <c r="H3083" s="23" t="s">
        <v>26</v>
      </c>
      <c r="I3083" s="24" t="s">
        <v>33</v>
      </c>
      <c r="J3083" s="19" t="s">
        <v>53</v>
      </c>
      <c r="K3083" s="14">
        <v>30.0</v>
      </c>
      <c r="L3083" s="14">
        <v>0.0</v>
      </c>
      <c r="M3083" s="25"/>
      <c r="N3083" s="26" t="s">
        <v>21</v>
      </c>
      <c r="O3083" s="7"/>
      <c r="P3083" s="7"/>
      <c r="Q3083" s="7"/>
      <c r="R3083" s="7"/>
      <c r="S3083" s="7"/>
      <c r="T3083" s="7"/>
      <c r="U3083" s="7"/>
      <c r="V3083" s="7"/>
      <c r="W3083" s="7"/>
      <c r="X3083" s="7"/>
      <c r="Y3083" s="7"/>
    </row>
    <row r="3084">
      <c r="A3084" s="14" t="s">
        <v>11066</v>
      </c>
      <c r="B3084" s="17" t="s">
        <v>11067</v>
      </c>
      <c r="C3084" s="17" t="s">
        <v>11068</v>
      </c>
      <c r="D3084" s="19" t="s">
        <v>11069</v>
      </c>
      <c r="E3084" s="20" t="s">
        <v>11070</v>
      </c>
      <c r="F3084" s="27">
        <v>34268.0</v>
      </c>
      <c r="G3084" s="14">
        <f t="shared" si="1"/>
        <v>33</v>
      </c>
      <c r="H3084" s="23" t="s">
        <v>26</v>
      </c>
      <c r="I3084" s="24" t="s">
        <v>33</v>
      </c>
      <c r="J3084" s="19" t="s">
        <v>517</v>
      </c>
      <c r="K3084" s="14">
        <v>8.0</v>
      </c>
      <c r="L3084" s="14">
        <v>0.0</v>
      </c>
      <c r="M3084" s="25"/>
      <c r="N3084" s="26" t="s">
        <v>21</v>
      </c>
      <c r="O3084" s="7"/>
      <c r="P3084" s="7"/>
      <c r="Q3084" s="7"/>
      <c r="R3084" s="7"/>
      <c r="S3084" s="7"/>
      <c r="T3084" s="7"/>
      <c r="U3084" s="7"/>
      <c r="V3084" s="7"/>
      <c r="W3084" s="7"/>
      <c r="X3084" s="7"/>
      <c r="Y3084" s="7"/>
    </row>
    <row r="3085">
      <c r="A3085" s="14" t="s">
        <v>11071</v>
      </c>
      <c r="B3085" s="17" t="s">
        <v>11067</v>
      </c>
      <c r="C3085" s="17" t="s">
        <v>11072</v>
      </c>
      <c r="D3085" s="19" t="s">
        <v>11073</v>
      </c>
      <c r="E3085" s="20" t="s">
        <v>104</v>
      </c>
      <c r="F3085" s="27">
        <v>34992.0</v>
      </c>
      <c r="G3085" s="14">
        <f t="shared" si="1"/>
        <v>31</v>
      </c>
      <c r="H3085" s="23" t="s">
        <v>26</v>
      </c>
      <c r="I3085" s="24" t="s">
        <v>27</v>
      </c>
      <c r="J3085" s="19" t="s">
        <v>517</v>
      </c>
      <c r="K3085" s="14">
        <v>8.0</v>
      </c>
      <c r="L3085" s="14">
        <v>0.0</v>
      </c>
      <c r="M3085" s="25"/>
      <c r="N3085" s="26" t="s">
        <v>21</v>
      </c>
      <c r="O3085" s="7"/>
      <c r="P3085" s="7"/>
      <c r="Q3085" s="7"/>
      <c r="R3085" s="7"/>
      <c r="S3085" s="7"/>
      <c r="T3085" s="7"/>
      <c r="U3085" s="7"/>
      <c r="V3085" s="7"/>
      <c r="W3085" s="7"/>
      <c r="X3085" s="7"/>
      <c r="Y3085" s="7"/>
    </row>
    <row r="3086">
      <c r="A3086" s="14" t="s">
        <v>11074</v>
      </c>
      <c r="B3086" s="17" t="s">
        <v>11075</v>
      </c>
      <c r="C3086" s="17" t="s">
        <v>11076</v>
      </c>
      <c r="D3086" s="19" t="s">
        <v>11077</v>
      </c>
      <c r="E3086" s="20" t="s">
        <v>11078</v>
      </c>
      <c r="F3086" s="21">
        <v>26860.0</v>
      </c>
      <c r="G3086" s="14">
        <f t="shared" si="1"/>
        <v>53</v>
      </c>
      <c r="H3086" s="23" t="s">
        <v>26</v>
      </c>
      <c r="I3086" s="24" t="s">
        <v>27</v>
      </c>
      <c r="J3086" s="19" t="s">
        <v>11079</v>
      </c>
      <c r="K3086" s="14">
        <v>9.0</v>
      </c>
      <c r="L3086" s="14">
        <v>0.0</v>
      </c>
      <c r="M3086" s="25"/>
      <c r="N3086" s="26" t="s">
        <v>21</v>
      </c>
      <c r="O3086" s="7"/>
      <c r="P3086" s="7"/>
      <c r="Q3086" s="7"/>
      <c r="R3086" s="7"/>
      <c r="S3086" s="7"/>
      <c r="T3086" s="7"/>
      <c r="U3086" s="7"/>
      <c r="V3086" s="7"/>
      <c r="W3086" s="7"/>
      <c r="X3086" s="7"/>
      <c r="Y3086" s="7"/>
    </row>
    <row r="3087">
      <c r="A3087" s="14" t="s">
        <v>11080</v>
      </c>
      <c r="B3087" s="17" t="s">
        <v>11075</v>
      </c>
      <c r="C3087" s="17" t="s">
        <v>11081</v>
      </c>
      <c r="D3087" s="19" t="s">
        <v>11082</v>
      </c>
      <c r="E3087" s="20" t="s">
        <v>104</v>
      </c>
      <c r="F3087" s="21">
        <v>36792.0</v>
      </c>
      <c r="G3087" s="14">
        <f t="shared" si="1"/>
        <v>26</v>
      </c>
      <c r="H3087" s="23" t="s">
        <v>100</v>
      </c>
      <c r="I3087" s="24" t="s">
        <v>33</v>
      </c>
      <c r="J3087" s="19" t="s">
        <v>11079</v>
      </c>
      <c r="K3087" s="14">
        <v>9.0</v>
      </c>
      <c r="L3087" s="14">
        <v>4.0</v>
      </c>
      <c r="M3087" s="25"/>
      <c r="N3087" s="26" t="s">
        <v>21</v>
      </c>
      <c r="O3087" s="7"/>
      <c r="P3087" s="7"/>
      <c r="Q3087" s="7"/>
      <c r="R3087" s="7"/>
      <c r="S3087" s="7"/>
      <c r="T3087" s="7"/>
      <c r="U3087" s="7"/>
      <c r="V3087" s="7"/>
      <c r="W3087" s="7"/>
      <c r="X3087" s="7"/>
      <c r="Y3087" s="7"/>
    </row>
    <row r="3088">
      <c r="A3088" s="14" t="s">
        <v>11083</v>
      </c>
      <c r="B3088" s="17" t="s">
        <v>11075</v>
      </c>
      <c r="C3088" s="17" t="s">
        <v>11084</v>
      </c>
      <c r="D3088" s="19" t="s">
        <v>11085</v>
      </c>
      <c r="E3088" s="20" t="s">
        <v>219</v>
      </c>
      <c r="F3088" s="21">
        <v>24141.0</v>
      </c>
      <c r="G3088" s="14">
        <f t="shared" si="1"/>
        <v>60</v>
      </c>
      <c r="H3088" s="23" t="s">
        <v>26</v>
      </c>
      <c r="I3088" s="24" t="s">
        <v>33</v>
      </c>
      <c r="J3088" s="19" t="s">
        <v>11079</v>
      </c>
      <c r="K3088" s="14">
        <v>9.0</v>
      </c>
      <c r="L3088" s="14">
        <v>0.0</v>
      </c>
      <c r="M3088" s="25"/>
      <c r="N3088" s="26" t="s">
        <v>21</v>
      </c>
      <c r="O3088" s="7"/>
      <c r="P3088" s="7"/>
      <c r="Q3088" s="7"/>
      <c r="R3088" s="7"/>
      <c r="S3088" s="7"/>
      <c r="T3088" s="7"/>
      <c r="U3088" s="7"/>
      <c r="V3088" s="7"/>
      <c r="W3088" s="7"/>
      <c r="X3088" s="7"/>
      <c r="Y3088" s="7"/>
    </row>
    <row r="3089">
      <c r="A3089" s="14" t="s">
        <v>11086</v>
      </c>
      <c r="B3089" s="17" t="s">
        <v>11087</v>
      </c>
      <c r="C3089" s="17" t="s">
        <v>11088</v>
      </c>
      <c r="D3089" s="19" t="s">
        <v>11089</v>
      </c>
      <c r="E3089" s="20" t="s">
        <v>11090</v>
      </c>
      <c r="F3089" s="21">
        <v>33753.0</v>
      </c>
      <c r="G3089" s="14">
        <f t="shared" si="1"/>
        <v>34</v>
      </c>
      <c r="H3089" s="23" t="s">
        <v>26</v>
      </c>
      <c r="I3089" s="24" t="s">
        <v>27</v>
      </c>
      <c r="J3089" s="19" t="s">
        <v>1915</v>
      </c>
      <c r="K3089" s="14">
        <v>12.0</v>
      </c>
      <c r="L3089" s="14">
        <v>0.0</v>
      </c>
      <c r="M3089" s="25"/>
      <c r="N3089" s="26" t="s">
        <v>21</v>
      </c>
      <c r="O3089" s="7"/>
      <c r="P3089" s="7"/>
      <c r="Q3089" s="7"/>
      <c r="R3089" s="7"/>
      <c r="S3089" s="7"/>
      <c r="T3089" s="7"/>
      <c r="U3089" s="7"/>
      <c r="V3089" s="7"/>
      <c r="W3089" s="7"/>
      <c r="X3089" s="7"/>
      <c r="Y3089" s="7"/>
    </row>
    <row r="3090">
      <c r="A3090" s="14" t="s">
        <v>11091</v>
      </c>
      <c r="B3090" s="17" t="s">
        <v>11087</v>
      </c>
      <c r="C3090" s="17" t="s">
        <v>11092</v>
      </c>
      <c r="D3090" s="19" t="s">
        <v>11093</v>
      </c>
      <c r="E3090" s="20" t="s">
        <v>53</v>
      </c>
      <c r="F3090" s="27">
        <v>34268.0</v>
      </c>
      <c r="G3090" s="14">
        <f t="shared" si="1"/>
        <v>33</v>
      </c>
      <c r="H3090" s="23" t="s">
        <v>26</v>
      </c>
      <c r="I3090" s="24" t="s">
        <v>33</v>
      </c>
      <c r="J3090" s="19" t="s">
        <v>1915</v>
      </c>
      <c r="K3090" s="14">
        <v>12.0</v>
      </c>
      <c r="L3090" s="14">
        <v>0.0</v>
      </c>
      <c r="M3090" s="25"/>
      <c r="N3090" s="26" t="s">
        <v>21</v>
      </c>
      <c r="O3090" s="7"/>
      <c r="P3090" s="7"/>
      <c r="Q3090" s="7"/>
      <c r="R3090" s="7"/>
      <c r="S3090" s="7"/>
      <c r="T3090" s="7"/>
      <c r="U3090" s="7"/>
      <c r="V3090" s="7"/>
      <c r="W3090" s="7"/>
      <c r="X3090" s="7"/>
      <c r="Y3090" s="7"/>
    </row>
    <row r="3091">
      <c r="A3091" s="14" t="s">
        <v>11094</v>
      </c>
      <c r="B3091" s="17" t="s">
        <v>11095</v>
      </c>
      <c r="C3091" s="17" t="s">
        <v>11096</v>
      </c>
      <c r="D3091" s="19" t="s">
        <v>11097</v>
      </c>
      <c r="E3091" s="20" t="s">
        <v>53</v>
      </c>
      <c r="F3091" s="21">
        <v>35922.0</v>
      </c>
      <c r="G3091" s="14">
        <f t="shared" si="1"/>
        <v>28</v>
      </c>
      <c r="H3091" s="23" t="s">
        <v>26</v>
      </c>
      <c r="I3091" s="24" t="s">
        <v>27</v>
      </c>
      <c r="J3091" s="19" t="s">
        <v>989</v>
      </c>
      <c r="K3091" s="14">
        <v>26.0</v>
      </c>
      <c r="L3091" s="14">
        <v>0.0</v>
      </c>
      <c r="M3091" s="25"/>
      <c r="N3091" s="26" t="s">
        <v>21</v>
      </c>
      <c r="O3091" s="7"/>
      <c r="P3091" s="7"/>
      <c r="Q3091" s="7"/>
      <c r="R3091" s="7"/>
      <c r="S3091" s="7"/>
      <c r="T3091" s="7"/>
      <c r="U3091" s="7"/>
      <c r="V3091" s="7"/>
      <c r="W3091" s="7"/>
      <c r="X3091" s="7"/>
      <c r="Y3091" s="7"/>
    </row>
    <row r="3092">
      <c r="A3092" s="14" t="s">
        <v>11098</v>
      </c>
      <c r="B3092" s="17" t="s">
        <v>11095</v>
      </c>
      <c r="C3092" s="17" t="s">
        <v>11099</v>
      </c>
      <c r="D3092" s="19" t="s">
        <v>11100</v>
      </c>
      <c r="E3092" s="20" t="s">
        <v>104</v>
      </c>
      <c r="F3092" s="21">
        <v>33738.0</v>
      </c>
      <c r="G3092" s="14">
        <f t="shared" si="1"/>
        <v>34</v>
      </c>
      <c r="H3092" s="23" t="s">
        <v>26</v>
      </c>
      <c r="I3092" s="24" t="s">
        <v>33</v>
      </c>
      <c r="J3092" s="19" t="s">
        <v>989</v>
      </c>
      <c r="K3092" s="14">
        <v>26.0</v>
      </c>
      <c r="L3092" s="14">
        <v>0.0</v>
      </c>
      <c r="M3092" s="25"/>
      <c r="N3092" s="26" t="s">
        <v>21</v>
      </c>
      <c r="O3092" s="7"/>
      <c r="P3092" s="7"/>
      <c r="Q3092" s="7"/>
      <c r="R3092" s="7"/>
      <c r="S3092" s="7"/>
      <c r="T3092" s="7"/>
      <c r="U3092" s="7"/>
      <c r="V3092" s="7"/>
      <c r="W3092" s="7"/>
      <c r="X3092" s="7"/>
      <c r="Y3092" s="7"/>
    </row>
    <row r="3093">
      <c r="A3093" s="14" t="s">
        <v>11101</v>
      </c>
      <c r="B3093" s="17" t="s">
        <v>11102</v>
      </c>
      <c r="C3093" s="17" t="s">
        <v>11103</v>
      </c>
      <c r="D3093" s="19" t="s">
        <v>11104</v>
      </c>
      <c r="E3093" s="20" t="s">
        <v>104</v>
      </c>
      <c r="F3093" s="21">
        <v>32874.0</v>
      </c>
      <c r="G3093" s="14">
        <f t="shared" si="1"/>
        <v>36</v>
      </c>
      <c r="H3093" s="23" t="s">
        <v>26</v>
      </c>
      <c r="I3093" s="24" t="s">
        <v>27</v>
      </c>
      <c r="J3093" s="19" t="s">
        <v>11105</v>
      </c>
      <c r="K3093" s="14">
        <v>24.0</v>
      </c>
      <c r="L3093" s="14">
        <v>0.0</v>
      </c>
      <c r="M3093" s="25"/>
      <c r="N3093" s="26" t="s">
        <v>21</v>
      </c>
      <c r="O3093" s="7"/>
      <c r="P3093" s="7"/>
      <c r="Q3093" s="7"/>
      <c r="R3093" s="7"/>
      <c r="S3093" s="7"/>
      <c r="T3093" s="7"/>
      <c r="U3093" s="7"/>
      <c r="V3093" s="7"/>
      <c r="W3093" s="7"/>
      <c r="X3093" s="7"/>
      <c r="Y3093" s="7"/>
    </row>
    <row r="3094">
      <c r="A3094" s="14" t="s">
        <v>11106</v>
      </c>
      <c r="B3094" s="17" t="s">
        <v>11102</v>
      </c>
      <c r="C3094" s="17" t="s">
        <v>11107</v>
      </c>
      <c r="D3094" s="19" t="s">
        <v>11108</v>
      </c>
      <c r="E3094" s="20" t="s">
        <v>195</v>
      </c>
      <c r="F3094" s="21">
        <v>33337.0</v>
      </c>
      <c r="G3094" s="14">
        <f t="shared" si="1"/>
        <v>35</v>
      </c>
      <c r="H3094" s="23" t="s">
        <v>26</v>
      </c>
      <c r="I3094" s="24" t="s">
        <v>33</v>
      </c>
      <c r="J3094" s="19" t="s">
        <v>11105</v>
      </c>
      <c r="K3094" s="14">
        <v>24.0</v>
      </c>
      <c r="L3094" s="14">
        <v>0.0</v>
      </c>
      <c r="M3094" s="25"/>
      <c r="N3094" s="26" t="s">
        <v>21</v>
      </c>
      <c r="O3094" s="7"/>
      <c r="P3094" s="7"/>
      <c r="Q3094" s="7"/>
      <c r="R3094" s="7"/>
      <c r="S3094" s="7"/>
      <c r="T3094" s="7"/>
      <c r="U3094" s="7"/>
      <c r="V3094" s="7"/>
      <c r="W3094" s="7"/>
      <c r="X3094" s="7"/>
      <c r="Y3094" s="7"/>
    </row>
    <row r="3095">
      <c r="A3095" s="14" t="s">
        <v>11109</v>
      </c>
      <c r="B3095" s="17" t="s">
        <v>11110</v>
      </c>
      <c r="C3095" s="17" t="s">
        <v>11111</v>
      </c>
      <c r="D3095" s="19" t="s">
        <v>11112</v>
      </c>
      <c r="E3095" s="20" t="s">
        <v>1095</v>
      </c>
      <c r="F3095" s="21">
        <v>36722.0</v>
      </c>
      <c r="G3095" s="14">
        <f t="shared" si="1"/>
        <v>26</v>
      </c>
      <c r="H3095" s="23" t="s">
        <v>26</v>
      </c>
      <c r="I3095" s="24" t="s">
        <v>27</v>
      </c>
      <c r="J3095" s="19" t="s">
        <v>146</v>
      </c>
      <c r="K3095" s="14">
        <v>3.0</v>
      </c>
      <c r="L3095" s="14">
        <v>0.0</v>
      </c>
      <c r="M3095" s="25"/>
      <c r="N3095" s="26" t="s">
        <v>21</v>
      </c>
      <c r="O3095" s="7"/>
      <c r="P3095" s="7"/>
      <c r="Q3095" s="7"/>
      <c r="R3095" s="7"/>
      <c r="S3095" s="7"/>
      <c r="T3095" s="7"/>
      <c r="U3095" s="7"/>
      <c r="V3095" s="7"/>
      <c r="W3095" s="7"/>
      <c r="X3095" s="7"/>
      <c r="Y3095" s="7"/>
    </row>
    <row r="3096">
      <c r="A3096" s="14" t="s">
        <v>11113</v>
      </c>
      <c r="B3096" s="17" t="s">
        <v>11114</v>
      </c>
      <c r="C3096" s="17" t="s">
        <v>11115</v>
      </c>
      <c r="D3096" s="19" t="s">
        <v>11116</v>
      </c>
      <c r="E3096" s="20" t="s">
        <v>104</v>
      </c>
      <c r="F3096" s="21">
        <v>35874.0</v>
      </c>
      <c r="G3096" s="14">
        <f t="shared" si="1"/>
        <v>28</v>
      </c>
      <c r="H3096" s="23" t="s">
        <v>100</v>
      </c>
      <c r="I3096" s="24" t="s">
        <v>27</v>
      </c>
      <c r="J3096" s="19" t="s">
        <v>146</v>
      </c>
      <c r="K3096" s="14">
        <v>10.0</v>
      </c>
      <c r="L3096" s="14">
        <v>0.0</v>
      </c>
      <c r="M3096" s="25"/>
      <c r="N3096" s="26" t="s">
        <v>21</v>
      </c>
      <c r="O3096" s="7"/>
      <c r="P3096" s="7"/>
      <c r="Q3096" s="7"/>
      <c r="R3096" s="7"/>
      <c r="S3096" s="7"/>
      <c r="T3096" s="7"/>
      <c r="U3096" s="7"/>
      <c r="V3096" s="7"/>
      <c r="W3096" s="7"/>
      <c r="X3096" s="7"/>
      <c r="Y3096" s="7"/>
    </row>
    <row r="3097">
      <c r="A3097" s="14" t="s">
        <v>11117</v>
      </c>
      <c r="B3097" s="17" t="s">
        <v>11114</v>
      </c>
      <c r="C3097" s="17" t="s">
        <v>11118</v>
      </c>
      <c r="D3097" s="19" t="s">
        <v>11119</v>
      </c>
      <c r="E3097" s="20" t="s">
        <v>654</v>
      </c>
      <c r="F3097" s="21">
        <v>27734.0</v>
      </c>
      <c r="G3097" s="14">
        <f t="shared" si="1"/>
        <v>50</v>
      </c>
      <c r="H3097" s="23" t="s">
        <v>26</v>
      </c>
      <c r="I3097" s="24" t="s">
        <v>27</v>
      </c>
      <c r="J3097" s="19" t="s">
        <v>146</v>
      </c>
      <c r="K3097" s="14">
        <v>10.0</v>
      </c>
      <c r="L3097" s="14">
        <v>0.0</v>
      </c>
      <c r="M3097" s="25"/>
      <c r="N3097" s="26" t="s">
        <v>21</v>
      </c>
      <c r="O3097" s="7"/>
      <c r="P3097" s="7"/>
      <c r="Q3097" s="7"/>
      <c r="R3097" s="7"/>
      <c r="S3097" s="7"/>
      <c r="T3097" s="7"/>
      <c r="U3097" s="7"/>
      <c r="V3097" s="7"/>
      <c r="W3097" s="7"/>
      <c r="X3097" s="7"/>
      <c r="Y3097" s="7"/>
    </row>
    <row r="3098">
      <c r="A3098" s="14" t="s">
        <v>11120</v>
      </c>
      <c r="B3098" s="17" t="s">
        <v>11114</v>
      </c>
      <c r="C3098" s="17" t="s">
        <v>11121</v>
      </c>
      <c r="D3098" s="19" t="s">
        <v>11122</v>
      </c>
      <c r="E3098" s="20" t="s">
        <v>219</v>
      </c>
      <c r="F3098" s="21">
        <v>24607.0</v>
      </c>
      <c r="G3098" s="14">
        <f t="shared" si="1"/>
        <v>59</v>
      </c>
      <c r="H3098" s="23" t="s">
        <v>26</v>
      </c>
      <c r="I3098" s="24" t="s">
        <v>33</v>
      </c>
      <c r="J3098" s="19" t="s">
        <v>146</v>
      </c>
      <c r="K3098" s="14">
        <v>10.0</v>
      </c>
      <c r="L3098" s="14">
        <v>0.0</v>
      </c>
      <c r="M3098" s="25"/>
      <c r="N3098" s="26" t="s">
        <v>21</v>
      </c>
      <c r="O3098" s="7"/>
      <c r="P3098" s="7"/>
      <c r="Q3098" s="7"/>
      <c r="R3098" s="7"/>
      <c r="S3098" s="7"/>
      <c r="T3098" s="7"/>
      <c r="U3098" s="7"/>
      <c r="V3098" s="7"/>
      <c r="W3098" s="7"/>
      <c r="X3098" s="7"/>
      <c r="Y3098" s="7"/>
    </row>
    <row r="3099">
      <c r="A3099" s="14" t="s">
        <v>11123</v>
      </c>
      <c r="B3099" s="17" t="s">
        <v>11124</v>
      </c>
      <c r="C3099" s="17" t="s">
        <v>11125</v>
      </c>
      <c r="D3099" s="19" t="s">
        <v>10788</v>
      </c>
      <c r="E3099" s="20" t="s">
        <v>150</v>
      </c>
      <c r="F3099" s="27">
        <v>36860.0</v>
      </c>
      <c r="G3099" s="14">
        <f t="shared" si="1"/>
        <v>25</v>
      </c>
      <c r="H3099" s="23" t="s">
        <v>26</v>
      </c>
      <c r="I3099" s="24" t="s">
        <v>33</v>
      </c>
      <c r="J3099" s="19" t="s">
        <v>282</v>
      </c>
      <c r="K3099" s="14">
        <v>13.0</v>
      </c>
      <c r="L3099" s="14">
        <v>0.0</v>
      </c>
      <c r="M3099" s="25"/>
      <c r="N3099" s="26" t="s">
        <v>21</v>
      </c>
      <c r="O3099" s="7"/>
      <c r="P3099" s="7"/>
      <c r="Q3099" s="7"/>
      <c r="R3099" s="7"/>
      <c r="S3099" s="7"/>
      <c r="T3099" s="7"/>
      <c r="U3099" s="7"/>
      <c r="V3099" s="7"/>
      <c r="W3099" s="7"/>
      <c r="X3099" s="7"/>
      <c r="Y3099" s="7"/>
    </row>
    <row r="3100">
      <c r="A3100" s="14" t="s">
        <v>11126</v>
      </c>
      <c r="B3100" s="17" t="s">
        <v>11124</v>
      </c>
      <c r="C3100" s="17" t="s">
        <v>11127</v>
      </c>
      <c r="D3100" s="19" t="s">
        <v>11128</v>
      </c>
      <c r="E3100" s="20" t="s">
        <v>104</v>
      </c>
      <c r="F3100" s="27">
        <v>37588.0</v>
      </c>
      <c r="G3100" s="14">
        <f t="shared" si="1"/>
        <v>23</v>
      </c>
      <c r="H3100" s="23" t="s">
        <v>26</v>
      </c>
      <c r="I3100" s="24" t="s">
        <v>27</v>
      </c>
      <c r="J3100" s="19" t="s">
        <v>282</v>
      </c>
      <c r="K3100" s="14">
        <v>13.0</v>
      </c>
      <c r="L3100" s="14">
        <v>0.0</v>
      </c>
      <c r="M3100" s="25"/>
      <c r="N3100" s="26" t="s">
        <v>21</v>
      </c>
      <c r="O3100" s="7"/>
      <c r="P3100" s="7"/>
      <c r="Q3100" s="7"/>
      <c r="R3100" s="7"/>
      <c r="S3100" s="7"/>
      <c r="T3100" s="7"/>
      <c r="U3100" s="7"/>
      <c r="V3100" s="7"/>
      <c r="W3100" s="7"/>
      <c r="X3100" s="7"/>
      <c r="Y3100" s="7"/>
    </row>
    <row r="3101">
      <c r="A3101" s="14" t="s">
        <v>11129</v>
      </c>
      <c r="B3101" s="17" t="s">
        <v>11130</v>
      </c>
      <c r="C3101" s="17" t="s">
        <v>11131</v>
      </c>
      <c r="D3101" s="19" t="s">
        <v>11132</v>
      </c>
      <c r="E3101" s="20" t="s">
        <v>104</v>
      </c>
      <c r="F3101" s="21">
        <v>33819.0</v>
      </c>
      <c r="G3101" s="14">
        <f t="shared" si="1"/>
        <v>34</v>
      </c>
      <c r="H3101" s="23" t="s">
        <v>26</v>
      </c>
      <c r="I3101" s="24" t="s">
        <v>27</v>
      </c>
      <c r="J3101" s="19" t="s">
        <v>362</v>
      </c>
      <c r="K3101" s="14">
        <v>26.0</v>
      </c>
      <c r="L3101" s="14">
        <v>0.0</v>
      </c>
      <c r="M3101" s="25"/>
      <c r="N3101" s="26" t="s">
        <v>21</v>
      </c>
      <c r="O3101" s="7"/>
      <c r="P3101" s="7"/>
      <c r="Q3101" s="7"/>
      <c r="R3101" s="7"/>
      <c r="S3101" s="7"/>
      <c r="T3101" s="7"/>
      <c r="U3101" s="7"/>
      <c r="V3101" s="7"/>
      <c r="W3101" s="7"/>
      <c r="X3101" s="7"/>
      <c r="Y3101" s="7"/>
    </row>
    <row r="3102">
      <c r="A3102" s="14" t="s">
        <v>11133</v>
      </c>
      <c r="B3102" s="17" t="s">
        <v>11130</v>
      </c>
      <c r="C3102" s="17" t="s">
        <v>11134</v>
      </c>
      <c r="D3102" s="19" t="s">
        <v>11135</v>
      </c>
      <c r="E3102" s="20" t="s">
        <v>11136</v>
      </c>
      <c r="F3102" s="21">
        <v>31488.0</v>
      </c>
      <c r="G3102" s="14">
        <f t="shared" si="1"/>
        <v>40</v>
      </c>
      <c r="H3102" s="23" t="s">
        <v>26</v>
      </c>
      <c r="I3102" s="24" t="s">
        <v>33</v>
      </c>
      <c r="J3102" s="19" t="s">
        <v>362</v>
      </c>
      <c r="K3102" s="14">
        <v>26.0</v>
      </c>
      <c r="L3102" s="14">
        <v>0.0</v>
      </c>
      <c r="M3102" s="25"/>
      <c r="N3102" s="26" t="s">
        <v>21</v>
      </c>
      <c r="O3102" s="7"/>
      <c r="P3102" s="7"/>
      <c r="Q3102" s="7"/>
      <c r="R3102" s="7"/>
      <c r="S3102" s="7"/>
      <c r="T3102" s="7"/>
      <c r="U3102" s="7"/>
      <c r="V3102" s="7"/>
      <c r="W3102" s="7"/>
      <c r="X3102" s="7"/>
      <c r="Y3102" s="7"/>
    </row>
    <row r="3103">
      <c r="A3103" s="14" t="s">
        <v>11137</v>
      </c>
      <c r="B3103" s="17" t="s">
        <v>11138</v>
      </c>
      <c r="C3103" s="17" t="s">
        <v>11139</v>
      </c>
      <c r="D3103" s="19" t="s">
        <v>11140</v>
      </c>
      <c r="E3103" s="20" t="s">
        <v>536</v>
      </c>
      <c r="F3103" s="21">
        <v>34224.0</v>
      </c>
      <c r="G3103" s="14">
        <f t="shared" si="1"/>
        <v>33</v>
      </c>
      <c r="H3103" s="23" t="s">
        <v>26</v>
      </c>
      <c r="I3103" s="24" t="s">
        <v>27</v>
      </c>
      <c r="J3103" s="19" t="s">
        <v>68</v>
      </c>
      <c r="K3103" s="14">
        <v>4.0</v>
      </c>
      <c r="L3103" s="14">
        <v>0.0</v>
      </c>
      <c r="M3103" s="25"/>
      <c r="N3103" s="26" t="s">
        <v>21</v>
      </c>
      <c r="O3103" s="7"/>
      <c r="P3103" s="7"/>
      <c r="Q3103" s="7"/>
      <c r="R3103" s="7"/>
      <c r="S3103" s="7"/>
      <c r="T3103" s="7"/>
      <c r="U3103" s="7"/>
      <c r="V3103" s="7"/>
      <c r="W3103" s="7"/>
      <c r="X3103" s="7"/>
      <c r="Y3103" s="7"/>
    </row>
    <row r="3104">
      <c r="A3104" s="14" t="s">
        <v>11141</v>
      </c>
      <c r="B3104" s="17" t="s">
        <v>11138</v>
      </c>
      <c r="C3104" s="17" t="s">
        <v>11142</v>
      </c>
      <c r="D3104" s="19" t="s">
        <v>11143</v>
      </c>
      <c r="E3104" s="20" t="s">
        <v>104</v>
      </c>
      <c r="F3104" s="21">
        <v>32779.0</v>
      </c>
      <c r="G3104" s="14">
        <f t="shared" si="1"/>
        <v>37</v>
      </c>
      <c r="H3104" s="23" t="s">
        <v>26</v>
      </c>
      <c r="I3104" s="24" t="s">
        <v>33</v>
      </c>
      <c r="J3104" s="19" t="s">
        <v>68</v>
      </c>
      <c r="K3104" s="14">
        <v>4.0</v>
      </c>
      <c r="L3104" s="14">
        <v>0.0</v>
      </c>
      <c r="M3104" s="25"/>
      <c r="N3104" s="26" t="s">
        <v>21</v>
      </c>
      <c r="O3104" s="7"/>
      <c r="P3104" s="7"/>
      <c r="Q3104" s="7"/>
      <c r="R3104" s="7"/>
      <c r="S3104" s="7"/>
      <c r="T3104" s="7"/>
      <c r="U3104" s="7"/>
      <c r="V3104" s="7"/>
      <c r="W3104" s="7"/>
      <c r="X3104" s="7"/>
      <c r="Y3104" s="7"/>
    </row>
    <row r="3105">
      <c r="A3105" s="14" t="s">
        <v>11144</v>
      </c>
      <c r="B3105" s="17" t="s">
        <v>11145</v>
      </c>
      <c r="C3105" s="17" t="s">
        <v>11146</v>
      </c>
      <c r="D3105" s="19" t="s">
        <v>11147</v>
      </c>
      <c r="E3105" s="20" t="s">
        <v>195</v>
      </c>
      <c r="F3105" s="21">
        <v>34241.0</v>
      </c>
      <c r="G3105" s="14">
        <f t="shared" si="1"/>
        <v>33</v>
      </c>
      <c r="H3105" s="23" t="s">
        <v>26</v>
      </c>
      <c r="I3105" s="24" t="s">
        <v>27</v>
      </c>
      <c r="J3105" s="19" t="s">
        <v>156</v>
      </c>
      <c r="K3105" s="14">
        <v>29.0</v>
      </c>
      <c r="L3105" s="14">
        <v>5.0</v>
      </c>
      <c r="M3105" s="25"/>
      <c r="N3105" s="26" t="s">
        <v>21</v>
      </c>
      <c r="O3105" s="7"/>
      <c r="P3105" s="7"/>
      <c r="Q3105" s="7"/>
      <c r="R3105" s="7"/>
      <c r="S3105" s="7"/>
      <c r="T3105" s="7"/>
      <c r="U3105" s="7"/>
      <c r="V3105" s="7"/>
      <c r="W3105" s="7"/>
      <c r="X3105" s="7"/>
      <c r="Y3105" s="7"/>
    </row>
    <row r="3106">
      <c r="A3106" s="14" t="s">
        <v>11148</v>
      </c>
      <c r="B3106" s="17" t="s">
        <v>11145</v>
      </c>
      <c r="C3106" s="17" t="s">
        <v>11149</v>
      </c>
      <c r="D3106" s="19" t="s">
        <v>8366</v>
      </c>
      <c r="E3106" s="20" t="s">
        <v>480</v>
      </c>
      <c r="F3106" s="21">
        <v>33091.0</v>
      </c>
      <c r="G3106" s="14">
        <f t="shared" si="1"/>
        <v>36</v>
      </c>
      <c r="H3106" s="23" t="s">
        <v>26</v>
      </c>
      <c r="I3106" s="24" t="s">
        <v>33</v>
      </c>
      <c r="J3106" s="19" t="s">
        <v>156</v>
      </c>
      <c r="K3106" s="14">
        <v>29.0</v>
      </c>
      <c r="L3106" s="14">
        <v>5.0</v>
      </c>
      <c r="M3106" s="25"/>
      <c r="N3106" s="26" t="s">
        <v>21</v>
      </c>
      <c r="O3106" s="7"/>
      <c r="P3106" s="7"/>
      <c r="Q3106" s="7"/>
      <c r="R3106" s="7"/>
      <c r="S3106" s="7"/>
      <c r="T3106" s="7"/>
      <c r="U3106" s="7"/>
      <c r="V3106" s="7"/>
      <c r="W3106" s="7"/>
      <c r="X3106" s="7"/>
      <c r="Y3106" s="7"/>
    </row>
    <row r="3107">
      <c r="A3107" s="14" t="s">
        <v>11150</v>
      </c>
      <c r="B3107" s="17" t="s">
        <v>11151</v>
      </c>
      <c r="C3107" s="17" t="s">
        <v>11152</v>
      </c>
      <c r="D3107" s="19" t="s">
        <v>11153</v>
      </c>
      <c r="E3107" s="20" t="s">
        <v>11154</v>
      </c>
      <c r="F3107" s="21">
        <v>38992.0</v>
      </c>
      <c r="G3107" s="14">
        <f t="shared" si="1"/>
        <v>20</v>
      </c>
      <c r="H3107" s="23" t="s">
        <v>100</v>
      </c>
      <c r="I3107" s="24" t="s">
        <v>33</v>
      </c>
      <c r="J3107" s="19" t="s">
        <v>206</v>
      </c>
      <c r="K3107" s="14">
        <v>3.0</v>
      </c>
      <c r="L3107" s="14">
        <v>0.0</v>
      </c>
      <c r="M3107" s="25"/>
      <c r="N3107" s="26" t="s">
        <v>21</v>
      </c>
      <c r="O3107" s="7"/>
      <c r="P3107" s="7"/>
      <c r="Q3107" s="7"/>
      <c r="R3107" s="7"/>
      <c r="S3107" s="7"/>
      <c r="T3107" s="7"/>
      <c r="U3107" s="7"/>
      <c r="V3107" s="7"/>
      <c r="W3107" s="7"/>
      <c r="X3107" s="7"/>
      <c r="Y3107" s="7"/>
    </row>
    <row r="3108">
      <c r="A3108" s="14" t="s">
        <v>11155</v>
      </c>
      <c r="B3108" s="17" t="s">
        <v>11151</v>
      </c>
      <c r="C3108" s="17" t="s">
        <v>11156</v>
      </c>
      <c r="D3108" s="19" t="s">
        <v>11157</v>
      </c>
      <c r="E3108" s="20" t="s">
        <v>702</v>
      </c>
      <c r="F3108" s="21">
        <v>31110.0</v>
      </c>
      <c r="G3108" s="14">
        <f t="shared" si="1"/>
        <v>41</v>
      </c>
      <c r="H3108" s="23" t="s">
        <v>27</v>
      </c>
      <c r="I3108" s="24" t="s">
        <v>27</v>
      </c>
      <c r="J3108" s="19" t="s">
        <v>206</v>
      </c>
      <c r="K3108" s="14">
        <v>3.0</v>
      </c>
      <c r="L3108" s="14">
        <v>0.0</v>
      </c>
      <c r="M3108" s="25"/>
      <c r="N3108" s="26" t="s">
        <v>21</v>
      </c>
      <c r="O3108" s="7"/>
      <c r="P3108" s="7"/>
      <c r="Q3108" s="7"/>
      <c r="R3108" s="7"/>
      <c r="S3108" s="7"/>
      <c r="T3108" s="7"/>
      <c r="U3108" s="7"/>
      <c r="V3108" s="7"/>
      <c r="W3108" s="7"/>
      <c r="X3108" s="7"/>
      <c r="Y3108" s="7"/>
    </row>
    <row r="3109">
      <c r="A3109" s="14" t="s">
        <v>11158</v>
      </c>
      <c r="B3109" s="17" t="s">
        <v>11159</v>
      </c>
      <c r="C3109" s="17" t="s">
        <v>11160</v>
      </c>
      <c r="D3109" s="19" t="s">
        <v>11161</v>
      </c>
      <c r="E3109" s="20" t="s">
        <v>1058</v>
      </c>
      <c r="F3109" s="21">
        <v>28307.0</v>
      </c>
      <c r="G3109" s="14">
        <f t="shared" si="1"/>
        <v>49</v>
      </c>
      <c r="H3109" s="23" t="s">
        <v>26</v>
      </c>
      <c r="I3109" s="24" t="s">
        <v>27</v>
      </c>
      <c r="J3109" s="19" t="s">
        <v>39</v>
      </c>
      <c r="K3109" s="14">
        <v>30.0</v>
      </c>
      <c r="L3109" s="14">
        <v>0.0</v>
      </c>
      <c r="M3109" s="25"/>
      <c r="N3109" s="26" t="s">
        <v>21</v>
      </c>
      <c r="O3109" s="7"/>
      <c r="P3109" s="7"/>
      <c r="Q3109" s="7"/>
      <c r="R3109" s="7"/>
      <c r="S3109" s="7"/>
      <c r="T3109" s="7"/>
      <c r="U3109" s="7"/>
      <c r="V3109" s="7"/>
      <c r="W3109" s="7"/>
      <c r="X3109" s="7"/>
      <c r="Y3109" s="7"/>
    </row>
    <row r="3110">
      <c r="A3110" s="14" t="s">
        <v>11162</v>
      </c>
      <c r="B3110" s="17" t="s">
        <v>11159</v>
      </c>
      <c r="C3110" s="17" t="s">
        <v>11163</v>
      </c>
      <c r="D3110" s="19" t="s">
        <v>11164</v>
      </c>
      <c r="E3110" s="20" t="s">
        <v>53</v>
      </c>
      <c r="F3110" s="27">
        <v>38685.0</v>
      </c>
      <c r="G3110" s="14">
        <f t="shared" si="1"/>
        <v>20</v>
      </c>
      <c r="H3110" s="23" t="s">
        <v>100</v>
      </c>
      <c r="I3110" s="24" t="s">
        <v>33</v>
      </c>
      <c r="J3110" s="19" t="s">
        <v>68</v>
      </c>
      <c r="K3110" s="14">
        <v>30.0</v>
      </c>
      <c r="L3110" s="14">
        <v>0.0</v>
      </c>
      <c r="M3110" s="25"/>
      <c r="N3110" s="26" t="s">
        <v>21</v>
      </c>
      <c r="O3110" s="7"/>
      <c r="P3110" s="7"/>
      <c r="Q3110" s="7"/>
      <c r="R3110" s="7"/>
      <c r="S3110" s="7"/>
      <c r="T3110" s="7"/>
      <c r="U3110" s="7"/>
      <c r="V3110" s="7"/>
      <c r="W3110" s="7"/>
      <c r="X3110" s="7"/>
      <c r="Y3110" s="7"/>
    </row>
    <row r="3111">
      <c r="A3111" s="14" t="s">
        <v>11165</v>
      </c>
      <c r="B3111" s="17" t="s">
        <v>11159</v>
      </c>
      <c r="C3111" s="17" t="s">
        <v>11166</v>
      </c>
      <c r="D3111" s="19" t="s">
        <v>2257</v>
      </c>
      <c r="E3111" s="20" t="s">
        <v>104</v>
      </c>
      <c r="F3111" s="27">
        <v>28409.0</v>
      </c>
      <c r="G3111" s="14">
        <f t="shared" si="1"/>
        <v>49</v>
      </c>
      <c r="H3111" s="23" t="s">
        <v>26</v>
      </c>
      <c r="I3111" s="24" t="s">
        <v>33</v>
      </c>
      <c r="J3111" s="19" t="s">
        <v>68</v>
      </c>
      <c r="K3111" s="14">
        <v>30.0</v>
      </c>
      <c r="L3111" s="14">
        <v>0.0</v>
      </c>
      <c r="M3111" s="25"/>
      <c r="N3111" s="26" t="s">
        <v>21</v>
      </c>
      <c r="O3111" s="7"/>
      <c r="P3111" s="7"/>
      <c r="Q3111" s="7"/>
      <c r="R3111" s="7"/>
      <c r="S3111" s="7"/>
      <c r="T3111" s="7"/>
      <c r="U3111" s="7"/>
      <c r="V3111" s="7"/>
      <c r="W3111" s="7"/>
      <c r="X3111" s="7"/>
      <c r="Y3111" s="7"/>
    </row>
    <row r="3112">
      <c r="A3112" s="14" t="s">
        <v>11167</v>
      </c>
      <c r="B3112" s="17" t="s">
        <v>11168</v>
      </c>
      <c r="C3112" s="17" t="s">
        <v>11169</v>
      </c>
      <c r="D3112" s="19" t="s">
        <v>11170</v>
      </c>
      <c r="E3112" s="20" t="s">
        <v>7293</v>
      </c>
      <c r="F3112" s="21">
        <v>26666.0</v>
      </c>
      <c r="G3112" s="14">
        <f t="shared" si="1"/>
        <v>53</v>
      </c>
      <c r="H3112" s="23" t="s">
        <v>26</v>
      </c>
      <c r="I3112" s="24" t="s">
        <v>33</v>
      </c>
      <c r="J3112" s="19" t="s">
        <v>282</v>
      </c>
      <c r="K3112" s="14">
        <v>16.0</v>
      </c>
      <c r="L3112" s="14">
        <v>0.0</v>
      </c>
      <c r="M3112" s="25"/>
      <c r="N3112" s="26" t="s">
        <v>21</v>
      </c>
      <c r="O3112" s="7"/>
      <c r="P3112" s="7"/>
      <c r="Q3112" s="7"/>
      <c r="R3112" s="7"/>
      <c r="S3112" s="7"/>
      <c r="T3112" s="7"/>
      <c r="U3112" s="7"/>
      <c r="V3112" s="7"/>
      <c r="W3112" s="7"/>
      <c r="X3112" s="7"/>
      <c r="Y3112" s="7"/>
    </row>
    <row r="3113">
      <c r="A3113" s="14" t="s">
        <v>11171</v>
      </c>
      <c r="B3113" s="17" t="s">
        <v>11168</v>
      </c>
      <c r="C3113" s="17" t="s">
        <v>11172</v>
      </c>
      <c r="D3113" s="19" t="s">
        <v>512</v>
      </c>
      <c r="E3113" s="20" t="s">
        <v>11173</v>
      </c>
      <c r="F3113" s="21">
        <v>31959.0</v>
      </c>
      <c r="G3113" s="14">
        <f t="shared" si="1"/>
        <v>39</v>
      </c>
      <c r="H3113" s="23" t="s">
        <v>26</v>
      </c>
      <c r="I3113" s="24" t="s">
        <v>27</v>
      </c>
      <c r="J3113" s="19" t="s">
        <v>282</v>
      </c>
      <c r="K3113" s="14">
        <v>16.0</v>
      </c>
      <c r="L3113" s="14">
        <v>0.0</v>
      </c>
      <c r="M3113" s="25"/>
      <c r="N3113" s="26" t="s">
        <v>21</v>
      </c>
      <c r="O3113" s="7"/>
      <c r="P3113" s="7"/>
      <c r="Q3113" s="7"/>
      <c r="R3113" s="7"/>
      <c r="S3113" s="7"/>
      <c r="T3113" s="7"/>
      <c r="U3113" s="7"/>
      <c r="V3113" s="7"/>
      <c r="W3113" s="7"/>
      <c r="X3113" s="7"/>
      <c r="Y3113" s="7"/>
    </row>
    <row r="3114">
      <c r="A3114" s="14" t="s">
        <v>11174</v>
      </c>
      <c r="B3114" s="17" t="s">
        <v>11175</v>
      </c>
      <c r="C3114" s="17" t="s">
        <v>11176</v>
      </c>
      <c r="D3114" s="19" t="s">
        <v>11017</v>
      </c>
      <c r="E3114" s="20" t="s">
        <v>138</v>
      </c>
      <c r="F3114" s="21">
        <v>30809.0</v>
      </c>
      <c r="G3114" s="14">
        <f t="shared" si="1"/>
        <v>42</v>
      </c>
      <c r="H3114" s="23" t="s">
        <v>26</v>
      </c>
      <c r="I3114" s="24" t="s">
        <v>27</v>
      </c>
      <c r="J3114" s="19" t="s">
        <v>11177</v>
      </c>
      <c r="K3114" s="14">
        <v>25.0</v>
      </c>
      <c r="L3114" s="14">
        <v>0.0</v>
      </c>
      <c r="M3114" s="25"/>
      <c r="N3114" s="26" t="s">
        <v>21</v>
      </c>
      <c r="O3114" s="7"/>
      <c r="P3114" s="7"/>
      <c r="Q3114" s="7"/>
      <c r="R3114" s="7"/>
      <c r="S3114" s="7"/>
      <c r="T3114" s="7"/>
      <c r="U3114" s="7"/>
      <c r="V3114" s="7"/>
      <c r="W3114" s="7"/>
      <c r="X3114" s="7"/>
      <c r="Y3114" s="7"/>
    </row>
    <row r="3115">
      <c r="A3115" s="14" t="s">
        <v>11178</v>
      </c>
      <c r="B3115" s="17" t="s">
        <v>11175</v>
      </c>
      <c r="C3115" s="17" t="s">
        <v>11179</v>
      </c>
      <c r="D3115" s="19" t="s">
        <v>11180</v>
      </c>
      <c r="E3115" s="20" t="s">
        <v>53</v>
      </c>
      <c r="F3115" s="27">
        <v>30599.0</v>
      </c>
      <c r="G3115" s="14">
        <f t="shared" si="1"/>
        <v>43</v>
      </c>
      <c r="H3115" s="23" t="s">
        <v>26</v>
      </c>
      <c r="I3115" s="24" t="s">
        <v>33</v>
      </c>
      <c r="J3115" s="19" t="s">
        <v>11177</v>
      </c>
      <c r="K3115" s="14">
        <v>25.0</v>
      </c>
      <c r="L3115" s="14">
        <v>0.0</v>
      </c>
      <c r="M3115" s="25"/>
      <c r="N3115" s="26" t="s">
        <v>21</v>
      </c>
      <c r="O3115" s="7"/>
      <c r="P3115" s="7"/>
      <c r="Q3115" s="7"/>
      <c r="R3115" s="7"/>
      <c r="S3115" s="7"/>
      <c r="T3115" s="7"/>
      <c r="U3115" s="7"/>
      <c r="V3115" s="7"/>
      <c r="W3115" s="7"/>
      <c r="X3115" s="7"/>
      <c r="Y3115" s="7"/>
    </row>
    <row r="3116">
      <c r="A3116" s="14" t="s">
        <v>11181</v>
      </c>
      <c r="B3116" s="17" t="s">
        <v>11175</v>
      </c>
      <c r="C3116" s="17" t="s">
        <v>11182</v>
      </c>
      <c r="D3116" s="19" t="s">
        <v>11183</v>
      </c>
      <c r="E3116" s="20" t="s">
        <v>53</v>
      </c>
      <c r="F3116" s="21">
        <v>38899.0</v>
      </c>
      <c r="G3116" s="14">
        <f t="shared" si="1"/>
        <v>20</v>
      </c>
      <c r="H3116" s="23" t="s">
        <v>100</v>
      </c>
      <c r="I3116" s="24" t="s">
        <v>33</v>
      </c>
      <c r="J3116" s="19" t="s">
        <v>328</v>
      </c>
      <c r="K3116" s="14">
        <v>25.0</v>
      </c>
      <c r="L3116" s="14">
        <v>0.0</v>
      </c>
      <c r="M3116" s="25"/>
      <c r="N3116" s="26" t="s">
        <v>21</v>
      </c>
      <c r="O3116" s="7"/>
      <c r="P3116" s="7"/>
      <c r="Q3116" s="7"/>
      <c r="R3116" s="7"/>
      <c r="S3116" s="7"/>
      <c r="T3116" s="7"/>
      <c r="U3116" s="7"/>
      <c r="V3116" s="7"/>
      <c r="W3116" s="7"/>
      <c r="X3116" s="7"/>
      <c r="Y3116" s="7"/>
    </row>
    <row r="3117">
      <c r="A3117" s="14" t="s">
        <v>11184</v>
      </c>
      <c r="B3117" s="17" t="s">
        <v>11185</v>
      </c>
      <c r="C3117" s="17" t="s">
        <v>11186</v>
      </c>
      <c r="D3117" s="19" t="s">
        <v>11187</v>
      </c>
      <c r="E3117" s="20" t="s">
        <v>104</v>
      </c>
      <c r="F3117" s="27">
        <v>39010.0</v>
      </c>
      <c r="G3117" s="14">
        <f t="shared" si="1"/>
        <v>20</v>
      </c>
      <c r="H3117" s="23" t="s">
        <v>100</v>
      </c>
      <c r="I3117" s="24" t="s">
        <v>27</v>
      </c>
      <c r="J3117" s="19" t="s">
        <v>362</v>
      </c>
      <c r="K3117" s="14">
        <v>26.0</v>
      </c>
      <c r="L3117" s="14">
        <v>0.0</v>
      </c>
      <c r="M3117" s="25"/>
      <c r="N3117" s="26" t="s">
        <v>21</v>
      </c>
      <c r="O3117" s="7"/>
      <c r="P3117" s="7"/>
      <c r="Q3117" s="7"/>
      <c r="R3117" s="7"/>
      <c r="S3117" s="7"/>
      <c r="T3117" s="7"/>
      <c r="U3117" s="7"/>
      <c r="V3117" s="7"/>
      <c r="W3117" s="7"/>
      <c r="X3117" s="7"/>
      <c r="Y3117" s="7"/>
    </row>
    <row r="3118">
      <c r="A3118" s="14" t="s">
        <v>11188</v>
      </c>
      <c r="B3118" s="17" t="s">
        <v>11185</v>
      </c>
      <c r="C3118" s="17" t="s">
        <v>11189</v>
      </c>
      <c r="D3118" s="19" t="s">
        <v>11190</v>
      </c>
      <c r="E3118" s="20" t="s">
        <v>138</v>
      </c>
      <c r="F3118" s="27">
        <v>30609.0</v>
      </c>
      <c r="G3118" s="14">
        <f t="shared" si="1"/>
        <v>43</v>
      </c>
      <c r="H3118" s="23" t="s">
        <v>26</v>
      </c>
      <c r="I3118" s="24" t="s">
        <v>27</v>
      </c>
      <c r="J3118" s="19" t="s">
        <v>362</v>
      </c>
      <c r="K3118" s="14">
        <v>26.0</v>
      </c>
      <c r="L3118" s="14">
        <v>0.0</v>
      </c>
      <c r="M3118" s="25"/>
      <c r="N3118" s="26" t="s">
        <v>21</v>
      </c>
      <c r="O3118" s="7"/>
      <c r="P3118" s="7"/>
      <c r="Q3118" s="7"/>
      <c r="R3118" s="7"/>
      <c r="S3118" s="7"/>
      <c r="T3118" s="7"/>
      <c r="U3118" s="7"/>
      <c r="V3118" s="7"/>
      <c r="W3118" s="7"/>
      <c r="X3118" s="7"/>
      <c r="Y3118" s="7"/>
    </row>
    <row r="3119">
      <c r="A3119" s="14" t="s">
        <v>11191</v>
      </c>
      <c r="B3119" s="17" t="s">
        <v>11185</v>
      </c>
      <c r="C3119" s="17" t="s">
        <v>11192</v>
      </c>
      <c r="D3119" s="19" t="s">
        <v>11193</v>
      </c>
      <c r="E3119" s="20" t="s">
        <v>11194</v>
      </c>
      <c r="F3119" s="21">
        <v>29743.0</v>
      </c>
      <c r="G3119" s="14">
        <f t="shared" si="1"/>
        <v>45</v>
      </c>
      <c r="H3119" s="23" t="s">
        <v>26</v>
      </c>
      <c r="I3119" s="24" t="s">
        <v>33</v>
      </c>
      <c r="J3119" s="19" t="s">
        <v>362</v>
      </c>
      <c r="K3119" s="14">
        <v>26.0</v>
      </c>
      <c r="L3119" s="14">
        <v>0.0</v>
      </c>
      <c r="M3119" s="25"/>
      <c r="N3119" s="26" t="s">
        <v>21</v>
      </c>
      <c r="O3119" s="7"/>
      <c r="P3119" s="7"/>
      <c r="Q3119" s="7"/>
      <c r="R3119" s="7"/>
      <c r="S3119" s="7"/>
      <c r="T3119" s="7"/>
      <c r="U3119" s="7"/>
      <c r="V3119" s="7"/>
      <c r="W3119" s="7"/>
      <c r="X3119" s="7"/>
      <c r="Y3119" s="7"/>
    </row>
    <row r="3120">
      <c r="A3120" s="14" t="s">
        <v>11195</v>
      </c>
      <c r="B3120" s="17" t="s">
        <v>11196</v>
      </c>
      <c r="C3120" s="17" t="s">
        <v>11197</v>
      </c>
      <c r="D3120" s="19" t="s">
        <v>11198</v>
      </c>
      <c r="E3120" s="20" t="s">
        <v>403</v>
      </c>
      <c r="F3120" s="21">
        <v>27769.0</v>
      </c>
      <c r="G3120" s="14">
        <f t="shared" si="1"/>
        <v>50</v>
      </c>
      <c r="H3120" s="23" t="s">
        <v>27</v>
      </c>
      <c r="I3120" s="24" t="s">
        <v>33</v>
      </c>
      <c r="J3120" s="19" t="s">
        <v>68</v>
      </c>
      <c r="K3120" s="14">
        <v>35.0</v>
      </c>
      <c r="L3120" s="14">
        <v>0.0</v>
      </c>
      <c r="M3120" s="25"/>
      <c r="N3120" s="26" t="s">
        <v>21</v>
      </c>
      <c r="O3120" s="7"/>
      <c r="P3120" s="7"/>
      <c r="Q3120" s="7"/>
      <c r="R3120" s="7"/>
      <c r="S3120" s="7"/>
      <c r="T3120" s="7"/>
      <c r="U3120" s="7"/>
      <c r="V3120" s="7"/>
      <c r="W3120" s="7"/>
      <c r="X3120" s="7"/>
      <c r="Y3120" s="7"/>
    </row>
    <row r="3121">
      <c r="A3121" s="14" t="s">
        <v>11199</v>
      </c>
      <c r="B3121" s="17" t="s">
        <v>11200</v>
      </c>
      <c r="C3121" s="17" t="s">
        <v>11201</v>
      </c>
      <c r="D3121" s="19" t="s">
        <v>11202</v>
      </c>
      <c r="E3121" s="20" t="s">
        <v>104</v>
      </c>
      <c r="F3121" s="21">
        <v>37841.0</v>
      </c>
      <c r="G3121" s="14">
        <f t="shared" si="1"/>
        <v>23</v>
      </c>
      <c r="H3121" s="23" t="s">
        <v>100</v>
      </c>
      <c r="I3121" s="24" t="s">
        <v>27</v>
      </c>
      <c r="J3121" s="19" t="s">
        <v>104</v>
      </c>
      <c r="K3121" s="14">
        <v>14.0</v>
      </c>
      <c r="L3121" s="14">
        <v>0.0</v>
      </c>
      <c r="M3121" s="25"/>
      <c r="N3121" s="26" t="s">
        <v>21</v>
      </c>
      <c r="O3121" s="7"/>
      <c r="P3121" s="7"/>
      <c r="Q3121" s="7"/>
      <c r="R3121" s="7"/>
      <c r="S3121" s="7"/>
      <c r="T3121" s="7"/>
      <c r="U3121" s="7"/>
      <c r="V3121" s="7"/>
      <c r="W3121" s="7"/>
      <c r="X3121" s="7"/>
      <c r="Y3121" s="7"/>
    </row>
    <row r="3122">
      <c r="A3122" s="14" t="s">
        <v>11204</v>
      </c>
      <c r="B3122" s="17" t="s">
        <v>11200</v>
      </c>
      <c r="C3122" s="17" t="s">
        <v>11205</v>
      </c>
      <c r="D3122" s="19" t="s">
        <v>9296</v>
      </c>
      <c r="E3122" s="20" t="s">
        <v>104</v>
      </c>
      <c r="F3122" s="21">
        <v>31133.0</v>
      </c>
      <c r="G3122" s="14">
        <f t="shared" si="1"/>
        <v>41</v>
      </c>
      <c r="H3122" s="23" t="s">
        <v>26</v>
      </c>
      <c r="I3122" s="24" t="s">
        <v>27</v>
      </c>
      <c r="J3122" s="19" t="s">
        <v>104</v>
      </c>
      <c r="K3122" s="14">
        <v>14.0</v>
      </c>
      <c r="L3122" s="14">
        <v>0.0</v>
      </c>
      <c r="M3122" s="25"/>
      <c r="N3122" s="26" t="s">
        <v>21</v>
      </c>
      <c r="O3122" s="7"/>
      <c r="P3122" s="7"/>
      <c r="Q3122" s="7"/>
      <c r="R3122" s="7"/>
      <c r="S3122" s="7"/>
      <c r="T3122" s="7"/>
      <c r="U3122" s="7"/>
      <c r="V3122" s="7"/>
      <c r="W3122" s="7"/>
      <c r="X3122" s="7"/>
      <c r="Y3122" s="7"/>
    </row>
    <row r="3123">
      <c r="A3123" s="14" t="s">
        <v>11206</v>
      </c>
      <c r="B3123" s="17" t="s">
        <v>11200</v>
      </c>
      <c r="C3123" s="17" t="s">
        <v>11207</v>
      </c>
      <c r="D3123" s="19" t="s">
        <v>11208</v>
      </c>
      <c r="E3123" s="20" t="s">
        <v>11209</v>
      </c>
      <c r="F3123" s="21">
        <v>27405.0</v>
      </c>
      <c r="G3123" s="14">
        <f t="shared" si="1"/>
        <v>51</v>
      </c>
      <c r="H3123" s="23" t="s">
        <v>26</v>
      </c>
      <c r="I3123" s="24" t="s">
        <v>33</v>
      </c>
      <c r="J3123" s="19" t="s">
        <v>104</v>
      </c>
      <c r="K3123" s="14">
        <v>14.0</v>
      </c>
      <c r="L3123" s="14">
        <v>0.0</v>
      </c>
      <c r="M3123" s="25"/>
      <c r="N3123" s="26" t="s">
        <v>21</v>
      </c>
      <c r="O3123" s="7"/>
      <c r="P3123" s="7"/>
      <c r="Q3123" s="7"/>
      <c r="R3123" s="7"/>
      <c r="S3123" s="7"/>
      <c r="T3123" s="7"/>
      <c r="U3123" s="7"/>
      <c r="V3123" s="7"/>
      <c r="W3123" s="7"/>
      <c r="X3123" s="7"/>
      <c r="Y3123" s="7"/>
    </row>
    <row r="3124">
      <c r="A3124" s="14" t="s">
        <v>11210</v>
      </c>
      <c r="B3124" s="17" t="s">
        <v>11211</v>
      </c>
      <c r="C3124" s="17" t="s">
        <v>11212</v>
      </c>
      <c r="D3124" s="19" t="s">
        <v>11213</v>
      </c>
      <c r="E3124" s="20" t="s">
        <v>11214</v>
      </c>
      <c r="F3124" s="21">
        <v>28247.0</v>
      </c>
      <c r="G3124" s="14">
        <f t="shared" si="1"/>
        <v>49</v>
      </c>
      <c r="H3124" s="23" t="s">
        <v>26</v>
      </c>
      <c r="I3124" s="24" t="s">
        <v>33</v>
      </c>
      <c r="J3124" s="19" t="s">
        <v>328</v>
      </c>
      <c r="K3124" s="14">
        <v>27.0</v>
      </c>
      <c r="L3124" s="14">
        <v>0.0</v>
      </c>
      <c r="M3124" s="25"/>
      <c r="N3124" s="26" t="s">
        <v>21</v>
      </c>
      <c r="O3124" s="7"/>
      <c r="P3124" s="7"/>
      <c r="Q3124" s="7"/>
      <c r="R3124" s="7"/>
      <c r="S3124" s="7"/>
      <c r="T3124" s="7"/>
      <c r="U3124" s="7"/>
      <c r="V3124" s="7"/>
      <c r="W3124" s="7"/>
      <c r="X3124" s="7"/>
      <c r="Y3124" s="7"/>
    </row>
    <row r="3125">
      <c r="A3125" s="14" t="s">
        <v>11215</v>
      </c>
      <c r="B3125" s="17" t="s">
        <v>11211</v>
      </c>
      <c r="C3125" s="17" t="s">
        <v>11216</v>
      </c>
      <c r="D3125" s="19" t="s">
        <v>11217</v>
      </c>
      <c r="E3125" s="20" t="s">
        <v>138</v>
      </c>
      <c r="F3125" s="27">
        <v>39002.0</v>
      </c>
      <c r="G3125" s="14">
        <f t="shared" si="1"/>
        <v>20</v>
      </c>
      <c r="H3125" s="23" t="s">
        <v>100</v>
      </c>
      <c r="I3125" s="24" t="s">
        <v>27</v>
      </c>
      <c r="J3125" s="19" t="s">
        <v>328</v>
      </c>
      <c r="K3125" s="14">
        <v>27.0</v>
      </c>
      <c r="L3125" s="14">
        <v>0.0</v>
      </c>
      <c r="M3125" s="25"/>
      <c r="N3125" s="26" t="s">
        <v>21</v>
      </c>
      <c r="O3125" s="7"/>
      <c r="P3125" s="7"/>
      <c r="Q3125" s="7"/>
      <c r="R3125" s="7"/>
      <c r="S3125" s="7"/>
      <c r="T3125" s="7"/>
      <c r="U3125" s="7"/>
      <c r="V3125" s="7"/>
      <c r="W3125" s="7"/>
      <c r="X3125" s="7"/>
      <c r="Y3125" s="7"/>
    </row>
    <row r="3126">
      <c r="A3126" s="14" t="s">
        <v>11218</v>
      </c>
      <c r="B3126" s="17" t="s">
        <v>11211</v>
      </c>
      <c r="C3126" s="17" t="s">
        <v>11219</v>
      </c>
      <c r="D3126" s="19" t="s">
        <v>11220</v>
      </c>
      <c r="E3126" s="20" t="s">
        <v>5054</v>
      </c>
      <c r="F3126" s="21">
        <v>31054.0</v>
      </c>
      <c r="G3126" s="14">
        <f t="shared" si="1"/>
        <v>41</v>
      </c>
      <c r="H3126" s="23" t="s">
        <v>26</v>
      </c>
      <c r="I3126" s="24" t="s">
        <v>27</v>
      </c>
      <c r="J3126" s="19" t="s">
        <v>328</v>
      </c>
      <c r="K3126" s="14">
        <v>27.0</v>
      </c>
      <c r="L3126" s="14">
        <v>0.0</v>
      </c>
      <c r="M3126" s="25"/>
      <c r="N3126" s="26" t="s">
        <v>21</v>
      </c>
      <c r="O3126" s="7"/>
      <c r="P3126" s="7"/>
      <c r="Q3126" s="7"/>
      <c r="R3126" s="7"/>
      <c r="S3126" s="7"/>
      <c r="T3126" s="7"/>
      <c r="U3126" s="7"/>
      <c r="V3126" s="7"/>
      <c r="W3126" s="7"/>
      <c r="X3126" s="7"/>
      <c r="Y3126" s="7"/>
    </row>
    <row r="3127">
      <c r="A3127" s="14" t="s">
        <v>11221</v>
      </c>
      <c r="B3127" s="38" t="s">
        <v>13220</v>
      </c>
      <c r="C3127" s="17" t="s">
        <v>11223</v>
      </c>
      <c r="D3127" s="19" t="s">
        <v>11224</v>
      </c>
      <c r="E3127" s="20" t="s">
        <v>104</v>
      </c>
      <c r="F3127" s="21">
        <v>37505.0</v>
      </c>
      <c r="G3127" s="14">
        <f t="shared" si="1"/>
        <v>24</v>
      </c>
      <c r="H3127" s="23" t="s">
        <v>100</v>
      </c>
      <c r="I3127" s="24" t="s">
        <v>33</v>
      </c>
      <c r="J3127" s="19" t="s">
        <v>282</v>
      </c>
      <c r="K3127" s="14">
        <v>14.0</v>
      </c>
      <c r="L3127" s="14">
        <v>0.0</v>
      </c>
      <c r="M3127" s="25"/>
      <c r="N3127" s="26" t="s">
        <v>21</v>
      </c>
      <c r="O3127" s="7"/>
      <c r="P3127" s="7"/>
      <c r="Q3127" s="7"/>
      <c r="R3127" s="7"/>
      <c r="S3127" s="7"/>
      <c r="T3127" s="7"/>
      <c r="U3127" s="7"/>
      <c r="V3127" s="7"/>
      <c r="W3127" s="7"/>
      <c r="X3127" s="7"/>
      <c r="Y3127" s="7"/>
    </row>
    <row r="3128">
      <c r="A3128" s="14" t="s">
        <v>11225</v>
      </c>
      <c r="B3128" s="17" t="s">
        <v>11222</v>
      </c>
      <c r="C3128" s="17" t="s">
        <v>11226</v>
      </c>
      <c r="D3128" s="19" t="s">
        <v>11227</v>
      </c>
      <c r="E3128" s="20" t="s">
        <v>11228</v>
      </c>
      <c r="F3128" s="21">
        <v>22556.0</v>
      </c>
      <c r="G3128" s="14">
        <f t="shared" si="1"/>
        <v>65</v>
      </c>
      <c r="H3128" s="23" t="s">
        <v>26</v>
      </c>
      <c r="I3128" s="24" t="s">
        <v>33</v>
      </c>
      <c r="J3128" s="19" t="s">
        <v>282</v>
      </c>
      <c r="K3128" s="14">
        <v>14.0</v>
      </c>
      <c r="L3128" s="14">
        <v>0.0</v>
      </c>
      <c r="M3128" s="25"/>
      <c r="N3128" s="26" t="s">
        <v>21</v>
      </c>
      <c r="O3128" s="7"/>
      <c r="P3128" s="7"/>
      <c r="Q3128" s="7"/>
      <c r="R3128" s="7"/>
      <c r="S3128" s="7"/>
      <c r="T3128" s="7"/>
      <c r="U3128" s="7"/>
      <c r="V3128" s="7"/>
      <c r="W3128" s="7"/>
      <c r="X3128" s="7"/>
      <c r="Y3128" s="7"/>
    </row>
    <row r="3129">
      <c r="A3129" s="14" t="s">
        <v>11229</v>
      </c>
      <c r="B3129" s="17" t="s">
        <v>11222</v>
      </c>
      <c r="C3129" s="17" t="s">
        <v>11230</v>
      </c>
      <c r="D3129" s="19" t="s">
        <v>11231</v>
      </c>
      <c r="E3129" s="20" t="s">
        <v>11228</v>
      </c>
      <c r="F3129" s="27">
        <v>23665.0</v>
      </c>
      <c r="G3129" s="14">
        <f t="shared" si="1"/>
        <v>62</v>
      </c>
      <c r="H3129" s="23" t="s">
        <v>26</v>
      </c>
      <c r="I3129" s="24" t="s">
        <v>27</v>
      </c>
      <c r="J3129" s="19" t="s">
        <v>282</v>
      </c>
      <c r="K3129" s="14">
        <v>14.0</v>
      </c>
      <c r="L3129" s="14">
        <v>0.0</v>
      </c>
      <c r="M3129" s="25"/>
      <c r="N3129" s="26" t="s">
        <v>21</v>
      </c>
      <c r="O3129" s="7"/>
      <c r="P3129" s="7"/>
      <c r="Q3129" s="7"/>
      <c r="R3129" s="7"/>
      <c r="S3129" s="7"/>
      <c r="T3129" s="7"/>
      <c r="U3129" s="7"/>
      <c r="V3129" s="7"/>
      <c r="W3129" s="7"/>
      <c r="X3129" s="7"/>
      <c r="Y3129" s="7"/>
    </row>
    <row r="3130">
      <c r="A3130" s="14" t="s">
        <v>11232</v>
      </c>
      <c r="B3130" s="17" t="s">
        <v>11233</v>
      </c>
      <c r="C3130" s="17" t="s">
        <v>11234</v>
      </c>
      <c r="D3130" s="19" t="s">
        <v>11235</v>
      </c>
      <c r="E3130" s="20" t="s">
        <v>219</v>
      </c>
      <c r="F3130" s="21">
        <v>32269.0</v>
      </c>
      <c r="G3130" s="14">
        <f t="shared" si="1"/>
        <v>38</v>
      </c>
      <c r="H3130" s="23" t="s">
        <v>26</v>
      </c>
      <c r="I3130" s="24" t="s">
        <v>27</v>
      </c>
      <c r="J3130" s="19" t="s">
        <v>104</v>
      </c>
      <c r="K3130" s="14">
        <v>14.0</v>
      </c>
      <c r="L3130" s="14">
        <v>0.0</v>
      </c>
      <c r="M3130" s="25"/>
      <c r="N3130" s="26" t="s">
        <v>21</v>
      </c>
      <c r="O3130" s="7"/>
      <c r="P3130" s="7"/>
      <c r="Q3130" s="7"/>
      <c r="R3130" s="7"/>
      <c r="S3130" s="7"/>
      <c r="T3130" s="7"/>
      <c r="U3130" s="7"/>
      <c r="V3130" s="7"/>
      <c r="W3130" s="7"/>
      <c r="X3130" s="7"/>
      <c r="Y3130" s="7"/>
    </row>
    <row r="3131">
      <c r="A3131" s="14" t="s">
        <v>11236</v>
      </c>
      <c r="B3131" s="17" t="s">
        <v>11233</v>
      </c>
      <c r="C3131" s="17" t="s">
        <v>11237</v>
      </c>
      <c r="D3131" s="19" t="s">
        <v>11238</v>
      </c>
      <c r="E3131" s="20" t="s">
        <v>104</v>
      </c>
      <c r="F3131" s="21">
        <v>31904.0</v>
      </c>
      <c r="G3131" s="14">
        <f t="shared" si="1"/>
        <v>39</v>
      </c>
      <c r="H3131" s="23" t="s">
        <v>26</v>
      </c>
      <c r="I3131" s="24" t="s">
        <v>33</v>
      </c>
      <c r="J3131" s="19" t="s">
        <v>104</v>
      </c>
      <c r="K3131" s="14">
        <v>14.0</v>
      </c>
      <c r="L3131" s="14">
        <v>0.0</v>
      </c>
      <c r="M3131" s="25"/>
      <c r="N3131" s="26" t="s">
        <v>21</v>
      </c>
      <c r="O3131" s="7"/>
      <c r="P3131" s="7"/>
      <c r="Q3131" s="7"/>
      <c r="R3131" s="7"/>
      <c r="S3131" s="7"/>
      <c r="T3131" s="7"/>
      <c r="U3131" s="7"/>
      <c r="V3131" s="7"/>
      <c r="W3131" s="7"/>
      <c r="X3131" s="7"/>
      <c r="Y3131" s="7"/>
    </row>
    <row r="3132">
      <c r="A3132" s="14" t="s">
        <v>11239</v>
      </c>
      <c r="B3132" s="17" t="s">
        <v>11240</v>
      </c>
      <c r="C3132" s="17" t="s">
        <v>11241</v>
      </c>
      <c r="D3132" s="19" t="s">
        <v>11242</v>
      </c>
      <c r="E3132" s="20" t="s">
        <v>11228</v>
      </c>
      <c r="F3132" s="21">
        <v>27520.0</v>
      </c>
      <c r="G3132" s="14">
        <f t="shared" si="1"/>
        <v>51</v>
      </c>
      <c r="H3132" s="23" t="s">
        <v>26</v>
      </c>
      <c r="I3132" s="24" t="s">
        <v>27</v>
      </c>
      <c r="J3132" s="19" t="s">
        <v>104</v>
      </c>
      <c r="K3132" s="14">
        <v>24.0</v>
      </c>
      <c r="L3132" s="14">
        <v>0.0</v>
      </c>
      <c r="M3132" s="25"/>
      <c r="N3132" s="26" t="s">
        <v>21</v>
      </c>
      <c r="O3132" s="7"/>
      <c r="P3132" s="7"/>
      <c r="Q3132" s="7"/>
      <c r="R3132" s="7"/>
      <c r="S3132" s="7"/>
      <c r="T3132" s="7"/>
      <c r="U3132" s="7"/>
      <c r="V3132" s="7"/>
      <c r="W3132" s="7"/>
      <c r="X3132" s="7"/>
      <c r="Y3132" s="7"/>
    </row>
    <row r="3133">
      <c r="A3133" s="14" t="s">
        <v>11243</v>
      </c>
      <c r="B3133" s="17" t="s">
        <v>11240</v>
      </c>
      <c r="C3133" s="17" t="s">
        <v>11244</v>
      </c>
      <c r="D3133" s="19" t="s">
        <v>11245</v>
      </c>
      <c r="E3133" s="20" t="s">
        <v>11228</v>
      </c>
      <c r="F3133" s="27">
        <v>25187.0</v>
      </c>
      <c r="G3133" s="14">
        <f t="shared" si="1"/>
        <v>57</v>
      </c>
      <c r="H3133" s="23" t="s">
        <v>26</v>
      </c>
      <c r="I3133" s="24" t="s">
        <v>33</v>
      </c>
      <c r="J3133" s="19" t="s">
        <v>104</v>
      </c>
      <c r="K3133" s="14">
        <v>24.0</v>
      </c>
      <c r="L3133" s="14">
        <v>0.0</v>
      </c>
      <c r="M3133" s="25"/>
      <c r="N3133" s="26" t="s">
        <v>21</v>
      </c>
      <c r="O3133" s="7"/>
      <c r="P3133" s="7"/>
      <c r="Q3133" s="7"/>
      <c r="R3133" s="7"/>
      <c r="S3133" s="7"/>
      <c r="T3133" s="7"/>
      <c r="U3133" s="7"/>
      <c r="V3133" s="7"/>
      <c r="W3133" s="7"/>
      <c r="X3133" s="7"/>
      <c r="Y3133" s="7"/>
    </row>
    <row r="3134">
      <c r="A3134" s="14" t="s">
        <v>11246</v>
      </c>
      <c r="B3134" s="17" t="s">
        <v>11240</v>
      </c>
      <c r="C3134" s="17" t="s">
        <v>11247</v>
      </c>
      <c r="D3134" s="19" t="s">
        <v>11248</v>
      </c>
      <c r="E3134" s="20" t="s">
        <v>104</v>
      </c>
      <c r="F3134" s="21">
        <v>38913.0</v>
      </c>
      <c r="G3134" s="14">
        <f t="shared" si="1"/>
        <v>20</v>
      </c>
      <c r="H3134" s="23" t="s">
        <v>100</v>
      </c>
      <c r="I3134" s="24" t="s">
        <v>33</v>
      </c>
      <c r="J3134" s="19" t="s">
        <v>104</v>
      </c>
      <c r="K3134" s="14">
        <v>24.0</v>
      </c>
      <c r="L3134" s="14">
        <v>0.0</v>
      </c>
      <c r="M3134" s="25"/>
      <c r="N3134" s="26" t="s">
        <v>21</v>
      </c>
      <c r="O3134" s="7"/>
      <c r="P3134" s="7"/>
      <c r="Q3134" s="7"/>
      <c r="R3134" s="7"/>
      <c r="S3134" s="7"/>
      <c r="T3134" s="7"/>
      <c r="U3134" s="7"/>
      <c r="V3134" s="7"/>
      <c r="W3134" s="7"/>
      <c r="X3134" s="7"/>
      <c r="Y3134" s="7"/>
    </row>
    <row r="3135">
      <c r="A3135" s="14" t="s">
        <v>11249</v>
      </c>
      <c r="B3135" s="17" t="s">
        <v>11250</v>
      </c>
      <c r="C3135" s="17" t="s">
        <v>11251</v>
      </c>
      <c r="D3135" s="19" t="s">
        <v>11252</v>
      </c>
      <c r="E3135" s="20" t="s">
        <v>210</v>
      </c>
      <c r="F3135" s="21">
        <v>28347.0</v>
      </c>
      <c r="G3135" s="14">
        <f t="shared" si="1"/>
        <v>49</v>
      </c>
      <c r="H3135" s="23" t="s">
        <v>26</v>
      </c>
      <c r="I3135" s="24" t="s">
        <v>33</v>
      </c>
      <c r="J3135" s="19" t="s">
        <v>282</v>
      </c>
      <c r="K3135" s="14">
        <v>14.0</v>
      </c>
      <c r="L3135" s="14">
        <v>0.0</v>
      </c>
      <c r="M3135" s="25"/>
      <c r="N3135" s="26" t="s">
        <v>21</v>
      </c>
      <c r="O3135" s="7"/>
      <c r="P3135" s="7"/>
      <c r="Q3135" s="7"/>
      <c r="R3135" s="7"/>
      <c r="S3135" s="7"/>
      <c r="T3135" s="7"/>
      <c r="U3135" s="7"/>
      <c r="V3135" s="7"/>
      <c r="W3135" s="7"/>
      <c r="X3135" s="7"/>
      <c r="Y3135" s="7"/>
    </row>
    <row r="3136">
      <c r="A3136" s="14" t="s">
        <v>11253</v>
      </c>
      <c r="B3136" s="17" t="s">
        <v>11250</v>
      </c>
      <c r="C3136" s="17" t="s">
        <v>11254</v>
      </c>
      <c r="D3136" s="19" t="s">
        <v>11255</v>
      </c>
      <c r="E3136" s="20" t="s">
        <v>104</v>
      </c>
      <c r="F3136" s="21">
        <v>30508.0</v>
      </c>
      <c r="G3136" s="14">
        <f t="shared" si="1"/>
        <v>43</v>
      </c>
      <c r="H3136" s="23" t="s">
        <v>26</v>
      </c>
      <c r="I3136" s="24" t="s">
        <v>27</v>
      </c>
      <c r="J3136" s="19" t="s">
        <v>282</v>
      </c>
      <c r="K3136" s="14">
        <v>14.0</v>
      </c>
      <c r="L3136" s="14">
        <v>0.0</v>
      </c>
      <c r="M3136" s="25"/>
      <c r="N3136" s="26" t="s">
        <v>21</v>
      </c>
      <c r="O3136" s="7"/>
      <c r="P3136" s="7"/>
      <c r="Q3136" s="7"/>
      <c r="R3136" s="7"/>
      <c r="S3136" s="7"/>
      <c r="T3136" s="7"/>
      <c r="U3136" s="7"/>
      <c r="V3136" s="7"/>
      <c r="W3136" s="7"/>
      <c r="X3136" s="7"/>
      <c r="Y3136" s="7"/>
    </row>
    <row r="3137">
      <c r="A3137" s="14" t="s">
        <v>11256</v>
      </c>
      <c r="B3137" s="17" t="s">
        <v>11257</v>
      </c>
      <c r="C3137" s="17" t="s">
        <v>11258</v>
      </c>
      <c r="D3137" s="19" t="s">
        <v>11259</v>
      </c>
      <c r="E3137" s="20" t="s">
        <v>1291</v>
      </c>
      <c r="F3137" s="27">
        <v>26587.0</v>
      </c>
      <c r="G3137" s="14">
        <f t="shared" si="1"/>
        <v>54</v>
      </c>
      <c r="H3137" s="23" t="s">
        <v>26</v>
      </c>
      <c r="I3137" s="24" t="s">
        <v>33</v>
      </c>
      <c r="J3137" s="19" t="s">
        <v>156</v>
      </c>
      <c r="K3137" s="14">
        <v>33.0</v>
      </c>
      <c r="L3137" s="14">
        <v>0.0</v>
      </c>
      <c r="M3137" s="25"/>
      <c r="N3137" s="26" t="s">
        <v>21</v>
      </c>
      <c r="O3137" s="7"/>
      <c r="P3137" s="7"/>
      <c r="Q3137" s="7"/>
      <c r="R3137" s="7"/>
      <c r="S3137" s="7"/>
      <c r="T3137" s="7"/>
      <c r="U3137" s="7"/>
      <c r="V3137" s="7"/>
      <c r="W3137" s="7"/>
      <c r="X3137" s="7"/>
      <c r="Y3137" s="7"/>
    </row>
    <row r="3138">
      <c r="A3138" s="14" t="s">
        <v>11260</v>
      </c>
      <c r="B3138" s="17" t="s">
        <v>11261</v>
      </c>
      <c r="C3138" s="17" t="s">
        <v>11262</v>
      </c>
      <c r="D3138" s="19" t="s">
        <v>10670</v>
      </c>
      <c r="E3138" s="20" t="s">
        <v>104</v>
      </c>
      <c r="F3138" s="21">
        <v>29344.0</v>
      </c>
      <c r="G3138" s="14">
        <f t="shared" si="1"/>
        <v>46</v>
      </c>
      <c r="H3138" s="23" t="s">
        <v>26</v>
      </c>
      <c r="I3138" s="24" t="s">
        <v>33</v>
      </c>
      <c r="J3138" s="19" t="s">
        <v>362</v>
      </c>
      <c r="K3138" s="14">
        <v>24.0</v>
      </c>
      <c r="L3138" s="14">
        <v>0.0</v>
      </c>
      <c r="M3138" s="25"/>
      <c r="N3138" s="26" t="s">
        <v>21</v>
      </c>
      <c r="O3138" s="7"/>
      <c r="P3138" s="7"/>
      <c r="Q3138" s="7"/>
      <c r="R3138" s="7"/>
      <c r="S3138" s="7"/>
      <c r="T3138" s="7"/>
      <c r="U3138" s="7"/>
      <c r="V3138" s="7"/>
      <c r="W3138" s="7"/>
      <c r="X3138" s="7"/>
      <c r="Y3138" s="7"/>
    </row>
    <row r="3139">
      <c r="A3139" s="14" t="s">
        <v>11263</v>
      </c>
      <c r="B3139" s="17" t="s">
        <v>11261</v>
      </c>
      <c r="C3139" s="17" t="s">
        <v>11264</v>
      </c>
      <c r="D3139" s="19" t="s">
        <v>6901</v>
      </c>
      <c r="E3139" s="20" t="s">
        <v>11265</v>
      </c>
      <c r="F3139" s="21">
        <v>28176.0</v>
      </c>
      <c r="G3139" s="14">
        <f t="shared" si="1"/>
        <v>49</v>
      </c>
      <c r="H3139" s="23" t="s">
        <v>26</v>
      </c>
      <c r="I3139" s="24" t="s">
        <v>27</v>
      </c>
      <c r="J3139" s="19" t="s">
        <v>362</v>
      </c>
      <c r="K3139" s="14">
        <v>24.0</v>
      </c>
      <c r="L3139" s="14">
        <v>0.0</v>
      </c>
      <c r="M3139" s="25"/>
      <c r="N3139" s="26" t="s">
        <v>21</v>
      </c>
      <c r="O3139" s="7"/>
      <c r="P3139" s="7"/>
      <c r="Q3139" s="7"/>
      <c r="R3139" s="7"/>
      <c r="S3139" s="7"/>
      <c r="T3139" s="7"/>
      <c r="U3139" s="7"/>
      <c r="V3139" s="7"/>
      <c r="W3139" s="7"/>
      <c r="X3139" s="7"/>
      <c r="Y3139" s="7"/>
    </row>
    <row r="3140">
      <c r="A3140" s="14" t="s">
        <v>11266</v>
      </c>
      <c r="B3140" s="17" t="s">
        <v>11261</v>
      </c>
      <c r="C3140" s="17" t="s">
        <v>11267</v>
      </c>
      <c r="D3140" s="19" t="s">
        <v>11268</v>
      </c>
      <c r="E3140" s="20" t="s">
        <v>104</v>
      </c>
      <c r="F3140" s="21">
        <v>37758.0</v>
      </c>
      <c r="G3140" s="14">
        <f t="shared" si="1"/>
        <v>23</v>
      </c>
      <c r="H3140" s="23" t="s">
        <v>100</v>
      </c>
      <c r="I3140" s="24" t="s">
        <v>33</v>
      </c>
      <c r="J3140" s="19" t="s">
        <v>362</v>
      </c>
      <c r="K3140" s="14">
        <v>24.0</v>
      </c>
      <c r="L3140" s="14">
        <v>0.0</v>
      </c>
      <c r="M3140" s="25"/>
      <c r="N3140" s="26" t="s">
        <v>21</v>
      </c>
      <c r="O3140" s="7"/>
      <c r="P3140" s="7"/>
      <c r="Q3140" s="7"/>
      <c r="R3140" s="7"/>
      <c r="S3140" s="7"/>
      <c r="T3140" s="7"/>
      <c r="U3140" s="7"/>
      <c r="V3140" s="7"/>
      <c r="W3140" s="7"/>
      <c r="X3140" s="7"/>
      <c r="Y3140" s="7"/>
    </row>
    <row r="3141">
      <c r="A3141" s="14" t="s">
        <v>11270</v>
      </c>
      <c r="B3141" s="17" t="s">
        <v>11271</v>
      </c>
      <c r="C3141" s="17" t="s">
        <v>11272</v>
      </c>
      <c r="D3141" s="19" t="s">
        <v>1815</v>
      </c>
      <c r="E3141" s="20" t="s">
        <v>632</v>
      </c>
      <c r="F3141" s="21">
        <v>19541.0</v>
      </c>
      <c r="G3141" s="14">
        <f t="shared" si="1"/>
        <v>73</v>
      </c>
      <c r="H3141" s="23" t="s">
        <v>27</v>
      </c>
      <c r="I3141" s="24" t="s">
        <v>27</v>
      </c>
      <c r="J3141" s="19" t="s">
        <v>362</v>
      </c>
      <c r="K3141" s="14">
        <v>22.0</v>
      </c>
      <c r="L3141" s="14">
        <v>0.0</v>
      </c>
      <c r="M3141" s="25"/>
      <c r="N3141" s="26" t="s">
        <v>21</v>
      </c>
      <c r="O3141" s="7"/>
      <c r="P3141" s="7"/>
      <c r="Q3141" s="7"/>
      <c r="R3141" s="7"/>
      <c r="S3141" s="7"/>
      <c r="T3141" s="7"/>
      <c r="U3141" s="7"/>
      <c r="V3141" s="7"/>
      <c r="W3141" s="7"/>
      <c r="X3141" s="7"/>
      <c r="Y3141" s="7"/>
    </row>
    <row r="3142">
      <c r="A3142" s="14" t="s">
        <v>11273</v>
      </c>
      <c r="B3142" s="17" t="s">
        <v>11274</v>
      </c>
      <c r="C3142" s="17" t="s">
        <v>11275</v>
      </c>
      <c r="D3142" s="19" t="s">
        <v>11276</v>
      </c>
      <c r="E3142" s="20" t="s">
        <v>880</v>
      </c>
      <c r="F3142" s="21">
        <v>22006.0</v>
      </c>
      <c r="G3142" s="14">
        <f t="shared" si="1"/>
        <v>66</v>
      </c>
      <c r="H3142" s="23" t="s">
        <v>27</v>
      </c>
      <c r="I3142" s="24" t="s">
        <v>27</v>
      </c>
      <c r="J3142" s="19" t="s">
        <v>53</v>
      </c>
      <c r="K3142" s="14">
        <v>4.0</v>
      </c>
      <c r="L3142" s="14">
        <v>0.0</v>
      </c>
      <c r="M3142" s="25"/>
      <c r="N3142" s="26" t="s">
        <v>21</v>
      </c>
      <c r="O3142" s="7"/>
      <c r="P3142" s="7"/>
      <c r="Q3142" s="7"/>
      <c r="R3142" s="7"/>
      <c r="S3142" s="7"/>
      <c r="T3142" s="7"/>
      <c r="U3142" s="7"/>
      <c r="V3142" s="7"/>
      <c r="W3142" s="7"/>
      <c r="X3142" s="7"/>
      <c r="Y3142" s="7"/>
    </row>
    <row r="3143">
      <c r="A3143" s="14" t="s">
        <v>11277</v>
      </c>
      <c r="B3143" s="17" t="s">
        <v>11278</v>
      </c>
      <c r="C3143" s="17" t="s">
        <v>11279</v>
      </c>
      <c r="D3143" s="19" t="s">
        <v>11280</v>
      </c>
      <c r="E3143" s="20" t="s">
        <v>104</v>
      </c>
      <c r="F3143" s="21">
        <v>31973.0</v>
      </c>
      <c r="G3143" s="14">
        <f t="shared" si="1"/>
        <v>39</v>
      </c>
      <c r="H3143" s="23" t="s">
        <v>26</v>
      </c>
      <c r="I3143" s="24" t="s">
        <v>33</v>
      </c>
      <c r="J3143" s="19" t="s">
        <v>282</v>
      </c>
      <c r="K3143" s="14">
        <v>17.0</v>
      </c>
      <c r="L3143" s="14">
        <v>0.0</v>
      </c>
      <c r="M3143" s="25"/>
      <c r="N3143" s="26" t="s">
        <v>21</v>
      </c>
      <c r="O3143" s="7"/>
      <c r="P3143" s="7"/>
      <c r="Q3143" s="7"/>
      <c r="R3143" s="7"/>
      <c r="S3143" s="7"/>
      <c r="T3143" s="7"/>
      <c r="U3143" s="7"/>
      <c r="V3143" s="7"/>
      <c r="W3143" s="7"/>
      <c r="X3143" s="7"/>
      <c r="Y3143" s="7"/>
    </row>
    <row r="3144">
      <c r="A3144" s="14" t="s">
        <v>11281</v>
      </c>
      <c r="B3144" s="17" t="s">
        <v>11278</v>
      </c>
      <c r="C3144" s="17" t="s">
        <v>11282</v>
      </c>
      <c r="D3144" s="19" t="s">
        <v>11283</v>
      </c>
      <c r="E3144" s="20" t="s">
        <v>104</v>
      </c>
      <c r="F3144" s="21">
        <v>32886.0</v>
      </c>
      <c r="G3144" s="14">
        <f t="shared" si="1"/>
        <v>36</v>
      </c>
      <c r="H3144" s="23" t="s">
        <v>26</v>
      </c>
      <c r="I3144" s="24" t="s">
        <v>27</v>
      </c>
      <c r="J3144" s="19" t="s">
        <v>282</v>
      </c>
      <c r="K3144" s="14">
        <v>17.0</v>
      </c>
      <c r="L3144" s="14">
        <v>0.0</v>
      </c>
      <c r="M3144" s="25"/>
      <c r="N3144" s="26" t="s">
        <v>21</v>
      </c>
      <c r="O3144" s="7"/>
      <c r="P3144" s="7"/>
      <c r="Q3144" s="7"/>
      <c r="R3144" s="7"/>
      <c r="S3144" s="7"/>
      <c r="T3144" s="7"/>
      <c r="U3144" s="7"/>
      <c r="V3144" s="7"/>
      <c r="W3144" s="7"/>
      <c r="X3144" s="7"/>
      <c r="Y3144" s="7"/>
    </row>
    <row r="3145">
      <c r="A3145" s="14" t="s">
        <v>11284</v>
      </c>
      <c r="B3145" s="17" t="s">
        <v>11285</v>
      </c>
      <c r="C3145" s="17" t="s">
        <v>11286</v>
      </c>
      <c r="D3145" s="19" t="s">
        <v>11287</v>
      </c>
      <c r="E3145" s="20" t="s">
        <v>104</v>
      </c>
      <c r="F3145" s="21">
        <v>34241.0</v>
      </c>
      <c r="G3145" s="14">
        <f t="shared" si="1"/>
        <v>33</v>
      </c>
      <c r="H3145" s="23" t="s">
        <v>26</v>
      </c>
      <c r="I3145" s="24" t="s">
        <v>33</v>
      </c>
      <c r="J3145" s="19" t="s">
        <v>328</v>
      </c>
      <c r="K3145" s="14">
        <v>27.0</v>
      </c>
      <c r="L3145" s="14">
        <v>0.0</v>
      </c>
      <c r="M3145" s="25"/>
      <c r="N3145" s="26" t="s">
        <v>21</v>
      </c>
      <c r="O3145" s="7"/>
      <c r="P3145" s="7"/>
      <c r="Q3145" s="7"/>
      <c r="R3145" s="7"/>
      <c r="S3145" s="7"/>
      <c r="T3145" s="7"/>
      <c r="U3145" s="7"/>
      <c r="V3145" s="7"/>
      <c r="W3145" s="7"/>
      <c r="X3145" s="7"/>
      <c r="Y3145" s="7"/>
    </row>
    <row r="3146">
      <c r="A3146" s="14" t="s">
        <v>11288</v>
      </c>
      <c r="B3146" s="17" t="s">
        <v>11285</v>
      </c>
      <c r="C3146" s="17" t="s">
        <v>11289</v>
      </c>
      <c r="D3146" s="19" t="s">
        <v>11290</v>
      </c>
      <c r="E3146" s="20" t="s">
        <v>11291</v>
      </c>
      <c r="F3146" s="27">
        <v>35025.0</v>
      </c>
      <c r="G3146" s="14">
        <f t="shared" si="1"/>
        <v>30</v>
      </c>
      <c r="H3146" s="23" t="s">
        <v>26</v>
      </c>
      <c r="I3146" s="24" t="s">
        <v>27</v>
      </c>
      <c r="J3146" s="19" t="s">
        <v>328</v>
      </c>
      <c r="K3146" s="14">
        <v>27.0</v>
      </c>
      <c r="L3146" s="14">
        <v>0.0</v>
      </c>
      <c r="M3146" s="25"/>
      <c r="N3146" s="26" t="s">
        <v>21</v>
      </c>
      <c r="O3146" s="7"/>
      <c r="P3146" s="7"/>
      <c r="Q3146" s="7"/>
      <c r="R3146" s="7"/>
      <c r="S3146" s="7"/>
      <c r="T3146" s="7"/>
      <c r="U3146" s="7"/>
      <c r="V3146" s="7"/>
      <c r="W3146" s="7"/>
      <c r="X3146" s="7"/>
      <c r="Y3146" s="7"/>
    </row>
    <row r="3147">
      <c r="A3147" s="14" t="s">
        <v>11292</v>
      </c>
      <c r="B3147" s="17" t="s">
        <v>11293</v>
      </c>
      <c r="C3147" s="17" t="s">
        <v>11294</v>
      </c>
      <c r="D3147" s="19" t="s">
        <v>11295</v>
      </c>
      <c r="E3147" s="20" t="s">
        <v>104</v>
      </c>
      <c r="F3147" s="27">
        <v>31361.0</v>
      </c>
      <c r="G3147" s="14">
        <f t="shared" si="1"/>
        <v>40</v>
      </c>
      <c r="H3147" s="23" t="s">
        <v>100</v>
      </c>
      <c r="I3147" s="24" t="s">
        <v>33</v>
      </c>
      <c r="J3147" s="19" t="s">
        <v>53</v>
      </c>
      <c r="K3147" s="14">
        <v>29.0</v>
      </c>
      <c r="L3147" s="14">
        <v>0.0</v>
      </c>
      <c r="M3147" s="25"/>
      <c r="N3147" s="26" t="s">
        <v>21</v>
      </c>
      <c r="O3147" s="7"/>
      <c r="P3147" s="7"/>
      <c r="Q3147" s="7"/>
      <c r="R3147" s="7"/>
      <c r="S3147" s="7"/>
      <c r="T3147" s="7"/>
      <c r="U3147" s="7"/>
      <c r="V3147" s="7"/>
      <c r="W3147" s="7"/>
      <c r="X3147" s="7"/>
      <c r="Y3147" s="7"/>
    </row>
    <row r="3148">
      <c r="A3148" s="14" t="s">
        <v>11296</v>
      </c>
      <c r="B3148" s="17" t="s">
        <v>11293</v>
      </c>
      <c r="C3148" s="17" t="s">
        <v>11297</v>
      </c>
      <c r="D3148" s="19" t="s">
        <v>11298</v>
      </c>
      <c r="E3148" s="20" t="s">
        <v>104</v>
      </c>
      <c r="F3148" s="21">
        <v>34928.0</v>
      </c>
      <c r="G3148" s="14">
        <f t="shared" si="1"/>
        <v>31</v>
      </c>
      <c r="H3148" s="23" t="s">
        <v>100</v>
      </c>
      <c r="I3148" s="24" t="s">
        <v>33</v>
      </c>
      <c r="J3148" s="19" t="s">
        <v>53</v>
      </c>
      <c r="K3148" s="14">
        <v>29.0</v>
      </c>
      <c r="L3148" s="14">
        <v>0.0</v>
      </c>
      <c r="M3148" s="25"/>
      <c r="N3148" s="26" t="s">
        <v>21</v>
      </c>
      <c r="O3148" s="7"/>
      <c r="P3148" s="7"/>
      <c r="Q3148" s="7"/>
      <c r="R3148" s="7"/>
      <c r="S3148" s="7"/>
      <c r="T3148" s="7"/>
      <c r="U3148" s="7"/>
      <c r="V3148" s="7"/>
      <c r="W3148" s="7"/>
      <c r="X3148" s="7"/>
      <c r="Y3148" s="7"/>
    </row>
    <row r="3149">
      <c r="A3149" s="14" t="s">
        <v>11299</v>
      </c>
      <c r="B3149" s="17" t="s">
        <v>11293</v>
      </c>
      <c r="C3149" s="17" t="s">
        <v>11300</v>
      </c>
      <c r="D3149" s="19" t="s">
        <v>11301</v>
      </c>
      <c r="E3149" s="20" t="s">
        <v>53</v>
      </c>
      <c r="F3149" s="21">
        <v>31234.0</v>
      </c>
      <c r="G3149" s="14">
        <f t="shared" si="1"/>
        <v>41</v>
      </c>
      <c r="H3149" s="23" t="s">
        <v>100</v>
      </c>
      <c r="I3149" s="24" t="s">
        <v>33</v>
      </c>
      <c r="J3149" s="19" t="s">
        <v>53</v>
      </c>
      <c r="K3149" s="14">
        <v>29.0</v>
      </c>
      <c r="L3149" s="14">
        <v>0.0</v>
      </c>
      <c r="M3149" s="25"/>
      <c r="N3149" s="26" t="s">
        <v>21</v>
      </c>
      <c r="O3149" s="7"/>
      <c r="P3149" s="7"/>
      <c r="Q3149" s="7"/>
      <c r="R3149" s="7"/>
      <c r="S3149" s="7"/>
      <c r="T3149" s="7"/>
      <c r="U3149" s="7"/>
      <c r="V3149" s="7"/>
      <c r="W3149" s="7"/>
      <c r="X3149" s="7"/>
      <c r="Y3149" s="7"/>
    </row>
    <row r="3150">
      <c r="A3150" s="14" t="s">
        <v>11302</v>
      </c>
      <c r="B3150" s="17" t="s">
        <v>11303</v>
      </c>
      <c r="C3150" s="17" t="s">
        <v>11304</v>
      </c>
      <c r="D3150" s="19" t="s">
        <v>11305</v>
      </c>
      <c r="E3150" s="20" t="s">
        <v>104</v>
      </c>
      <c r="F3150" s="21">
        <v>32819.0</v>
      </c>
      <c r="G3150" s="14">
        <f t="shared" si="1"/>
        <v>36</v>
      </c>
      <c r="H3150" s="23" t="s">
        <v>26</v>
      </c>
      <c r="I3150" s="24" t="s">
        <v>27</v>
      </c>
      <c r="J3150" s="19" t="s">
        <v>68</v>
      </c>
      <c r="K3150" s="14">
        <v>32.0</v>
      </c>
      <c r="L3150" s="14">
        <v>0.0</v>
      </c>
      <c r="M3150" s="25"/>
      <c r="N3150" s="26" t="s">
        <v>21</v>
      </c>
      <c r="O3150" s="7"/>
      <c r="P3150" s="7"/>
      <c r="Q3150" s="7"/>
      <c r="R3150" s="7"/>
      <c r="S3150" s="7"/>
      <c r="T3150" s="7"/>
      <c r="U3150" s="7"/>
      <c r="V3150" s="7"/>
      <c r="W3150" s="7"/>
      <c r="X3150" s="7"/>
      <c r="Y3150" s="7"/>
    </row>
    <row r="3151">
      <c r="A3151" s="14" t="s">
        <v>11306</v>
      </c>
      <c r="B3151" s="17" t="s">
        <v>11303</v>
      </c>
      <c r="C3151" s="17" t="s">
        <v>11307</v>
      </c>
      <c r="D3151" s="19" t="s">
        <v>2657</v>
      </c>
      <c r="E3151" s="20" t="s">
        <v>53</v>
      </c>
      <c r="F3151" s="21">
        <v>29530.0</v>
      </c>
      <c r="G3151" s="14">
        <f t="shared" si="1"/>
        <v>45</v>
      </c>
      <c r="H3151" s="23" t="s">
        <v>26</v>
      </c>
      <c r="I3151" s="24" t="s">
        <v>33</v>
      </c>
      <c r="J3151" s="19" t="s">
        <v>68</v>
      </c>
      <c r="K3151" s="14">
        <v>32.0</v>
      </c>
      <c r="L3151" s="14">
        <v>0.0</v>
      </c>
      <c r="M3151" s="25"/>
      <c r="N3151" s="26" t="s">
        <v>21</v>
      </c>
      <c r="O3151" s="7"/>
      <c r="P3151" s="7"/>
      <c r="Q3151" s="7"/>
      <c r="R3151" s="7"/>
      <c r="S3151" s="7"/>
      <c r="T3151" s="7"/>
      <c r="U3151" s="7"/>
      <c r="V3151" s="7"/>
      <c r="W3151" s="7"/>
      <c r="X3151" s="7"/>
      <c r="Y3151" s="7"/>
    </row>
    <row r="3152">
      <c r="A3152" s="14" t="s">
        <v>11308</v>
      </c>
      <c r="B3152" s="17" t="s">
        <v>11309</v>
      </c>
      <c r="C3152" s="17" t="s">
        <v>11310</v>
      </c>
      <c r="D3152" s="19" t="s">
        <v>11311</v>
      </c>
      <c r="E3152" s="20" t="s">
        <v>632</v>
      </c>
      <c r="F3152" s="21">
        <v>15909.0</v>
      </c>
      <c r="G3152" s="14">
        <f t="shared" si="1"/>
        <v>83</v>
      </c>
      <c r="H3152" s="23" t="s">
        <v>26</v>
      </c>
      <c r="I3152" s="24" t="s">
        <v>27</v>
      </c>
      <c r="J3152" s="19" t="s">
        <v>68</v>
      </c>
      <c r="K3152" s="14">
        <v>33.0</v>
      </c>
      <c r="L3152" s="14">
        <v>1.0</v>
      </c>
      <c r="M3152" s="25"/>
      <c r="N3152" s="26" t="s">
        <v>21</v>
      </c>
      <c r="O3152" s="7"/>
      <c r="P3152" s="7"/>
      <c r="Q3152" s="7"/>
      <c r="R3152" s="7"/>
      <c r="S3152" s="7"/>
      <c r="T3152" s="7"/>
      <c r="U3152" s="7"/>
      <c r="V3152" s="7"/>
      <c r="W3152" s="7"/>
      <c r="X3152" s="7"/>
      <c r="Y3152" s="7"/>
    </row>
    <row r="3153">
      <c r="A3153" s="14" t="s">
        <v>11312</v>
      </c>
      <c r="B3153" s="17" t="s">
        <v>11313</v>
      </c>
      <c r="C3153" s="17" t="s">
        <v>11314</v>
      </c>
      <c r="D3153" s="19" t="s">
        <v>11315</v>
      </c>
      <c r="E3153" s="20" t="s">
        <v>104</v>
      </c>
      <c r="F3153" s="21">
        <v>36867.0</v>
      </c>
      <c r="G3153" s="14">
        <f t="shared" si="1"/>
        <v>25</v>
      </c>
      <c r="H3153" s="23" t="s">
        <v>100</v>
      </c>
      <c r="I3153" s="24" t="s">
        <v>27</v>
      </c>
      <c r="J3153" s="19" t="s">
        <v>68</v>
      </c>
      <c r="K3153" s="14">
        <v>31.0</v>
      </c>
      <c r="L3153" s="14">
        <v>0.0</v>
      </c>
      <c r="M3153" s="25"/>
      <c r="N3153" s="26" t="s">
        <v>21</v>
      </c>
      <c r="O3153" s="7"/>
      <c r="P3153" s="7"/>
      <c r="Q3153" s="7"/>
      <c r="R3153" s="7"/>
      <c r="S3153" s="7"/>
      <c r="T3153" s="7"/>
      <c r="U3153" s="7"/>
      <c r="V3153" s="7"/>
      <c r="W3153" s="7"/>
      <c r="X3153" s="7"/>
      <c r="Y3153" s="7"/>
    </row>
    <row r="3154">
      <c r="A3154" s="14" t="s">
        <v>11316</v>
      </c>
      <c r="B3154" s="17" t="s">
        <v>11313</v>
      </c>
      <c r="C3154" s="17" t="s">
        <v>11317</v>
      </c>
      <c r="D3154" s="19" t="s">
        <v>11318</v>
      </c>
      <c r="E3154" s="20" t="s">
        <v>650</v>
      </c>
      <c r="F3154" s="21">
        <v>20506.0</v>
      </c>
      <c r="G3154" s="14">
        <f t="shared" si="1"/>
        <v>70</v>
      </c>
      <c r="H3154" s="23" t="s">
        <v>26</v>
      </c>
      <c r="I3154" s="24" t="s">
        <v>33</v>
      </c>
      <c r="J3154" s="19" t="s">
        <v>68</v>
      </c>
      <c r="K3154" s="14">
        <v>31.0</v>
      </c>
      <c r="L3154" s="14">
        <v>0.0</v>
      </c>
      <c r="M3154" s="25"/>
      <c r="N3154" s="26" t="s">
        <v>21</v>
      </c>
      <c r="O3154" s="7"/>
      <c r="P3154" s="7"/>
      <c r="Q3154" s="7"/>
      <c r="R3154" s="7"/>
      <c r="S3154" s="7"/>
      <c r="T3154" s="7"/>
      <c r="U3154" s="7"/>
      <c r="V3154" s="7"/>
      <c r="W3154" s="7"/>
      <c r="X3154" s="7"/>
      <c r="Y3154" s="7"/>
    </row>
    <row r="3155">
      <c r="A3155" s="14" t="s">
        <v>11319</v>
      </c>
      <c r="B3155" s="17" t="s">
        <v>11313</v>
      </c>
      <c r="C3155" s="17" t="s">
        <v>11320</v>
      </c>
      <c r="D3155" s="19" t="s">
        <v>1549</v>
      </c>
      <c r="E3155" s="20" t="s">
        <v>650</v>
      </c>
      <c r="F3155" s="21">
        <v>27067.0</v>
      </c>
      <c r="G3155" s="14">
        <f t="shared" si="1"/>
        <v>52</v>
      </c>
      <c r="H3155" s="23" t="s">
        <v>26</v>
      </c>
      <c r="I3155" s="24" t="s">
        <v>27</v>
      </c>
      <c r="J3155" s="19" t="s">
        <v>68</v>
      </c>
      <c r="K3155" s="14">
        <v>31.0</v>
      </c>
      <c r="L3155" s="14">
        <v>0.0</v>
      </c>
      <c r="M3155" s="25"/>
      <c r="N3155" s="26" t="s">
        <v>21</v>
      </c>
      <c r="O3155" s="7"/>
      <c r="P3155" s="7"/>
      <c r="Q3155" s="7"/>
      <c r="R3155" s="7"/>
      <c r="S3155" s="7"/>
      <c r="T3155" s="7"/>
      <c r="U3155" s="7"/>
      <c r="V3155" s="7"/>
      <c r="W3155" s="7"/>
      <c r="X3155" s="7"/>
      <c r="Y3155" s="7"/>
    </row>
    <row r="3156">
      <c r="A3156" s="14" t="s">
        <v>11321</v>
      </c>
      <c r="B3156" s="17" t="s">
        <v>11322</v>
      </c>
      <c r="C3156" s="17" t="s">
        <v>11323</v>
      </c>
      <c r="D3156" s="19" t="s">
        <v>11324</v>
      </c>
      <c r="E3156" s="20" t="s">
        <v>11325</v>
      </c>
      <c r="F3156" s="21">
        <v>32229.0</v>
      </c>
      <c r="G3156" s="14">
        <f t="shared" si="1"/>
        <v>38</v>
      </c>
      <c r="H3156" s="23" t="s">
        <v>26</v>
      </c>
      <c r="I3156" s="24" t="s">
        <v>33</v>
      </c>
      <c r="J3156" s="19" t="s">
        <v>1437</v>
      </c>
      <c r="K3156" s="14">
        <v>31.0</v>
      </c>
      <c r="L3156" s="14">
        <v>0.0</v>
      </c>
      <c r="M3156" s="25"/>
      <c r="N3156" s="26" t="s">
        <v>21</v>
      </c>
      <c r="O3156" s="7"/>
      <c r="P3156" s="7"/>
      <c r="Q3156" s="7"/>
      <c r="R3156" s="7"/>
      <c r="S3156" s="7"/>
      <c r="T3156" s="7"/>
      <c r="U3156" s="7"/>
      <c r="V3156" s="7"/>
      <c r="W3156" s="7"/>
      <c r="X3156" s="7"/>
      <c r="Y3156" s="7"/>
    </row>
    <row r="3157">
      <c r="A3157" s="14" t="s">
        <v>11326</v>
      </c>
      <c r="B3157" s="17" t="s">
        <v>11322</v>
      </c>
      <c r="C3157" s="17" t="s">
        <v>11327</v>
      </c>
      <c r="D3157" s="19" t="s">
        <v>1279</v>
      </c>
      <c r="E3157" s="20" t="s">
        <v>104</v>
      </c>
      <c r="F3157" s="21">
        <v>33499.0</v>
      </c>
      <c r="G3157" s="14">
        <f t="shared" si="1"/>
        <v>35</v>
      </c>
      <c r="H3157" s="23" t="s">
        <v>26</v>
      </c>
      <c r="I3157" s="24" t="s">
        <v>27</v>
      </c>
      <c r="J3157" s="19" t="s">
        <v>1437</v>
      </c>
      <c r="K3157" s="14">
        <v>31.0</v>
      </c>
      <c r="L3157" s="14">
        <v>0.0</v>
      </c>
      <c r="M3157" s="25"/>
      <c r="N3157" s="26" t="s">
        <v>21</v>
      </c>
      <c r="O3157" s="7"/>
      <c r="P3157" s="7"/>
      <c r="Q3157" s="7"/>
      <c r="R3157" s="7"/>
      <c r="S3157" s="7"/>
      <c r="T3157" s="7"/>
      <c r="U3157" s="7"/>
      <c r="V3157" s="7"/>
      <c r="W3157" s="7"/>
      <c r="X3157" s="7"/>
      <c r="Y3157" s="7"/>
    </row>
    <row r="3158">
      <c r="A3158" s="14" t="s">
        <v>11328</v>
      </c>
      <c r="B3158" s="17" t="s">
        <v>11329</v>
      </c>
      <c r="C3158" s="17" t="s">
        <v>11330</v>
      </c>
      <c r="D3158" s="19" t="s">
        <v>4240</v>
      </c>
      <c r="E3158" s="20" t="s">
        <v>67</v>
      </c>
      <c r="F3158" s="27">
        <v>25183.0</v>
      </c>
      <c r="G3158" s="14">
        <f t="shared" si="1"/>
        <v>57</v>
      </c>
      <c r="H3158" s="23" t="s">
        <v>26</v>
      </c>
      <c r="I3158" s="24" t="s">
        <v>33</v>
      </c>
      <c r="J3158" s="19" t="s">
        <v>68</v>
      </c>
      <c r="K3158" s="14">
        <v>31.0</v>
      </c>
      <c r="L3158" s="14">
        <v>0.0</v>
      </c>
      <c r="M3158" s="25"/>
      <c r="N3158" s="26" t="s">
        <v>21</v>
      </c>
      <c r="O3158" s="7"/>
      <c r="P3158" s="7"/>
      <c r="Q3158" s="7"/>
      <c r="R3158" s="7"/>
      <c r="S3158" s="7"/>
      <c r="T3158" s="7"/>
      <c r="U3158" s="7"/>
      <c r="V3158" s="7"/>
      <c r="W3158" s="7"/>
      <c r="X3158" s="7"/>
      <c r="Y3158" s="7"/>
    </row>
    <row r="3159">
      <c r="A3159" s="14" t="s">
        <v>11331</v>
      </c>
      <c r="B3159" s="17" t="s">
        <v>11329</v>
      </c>
      <c r="C3159" s="17" t="s">
        <v>11332</v>
      </c>
      <c r="D3159" s="19" t="s">
        <v>11333</v>
      </c>
      <c r="E3159" s="20" t="s">
        <v>104</v>
      </c>
      <c r="F3159" s="21">
        <v>39117.0</v>
      </c>
      <c r="G3159" s="14">
        <f t="shared" si="1"/>
        <v>19</v>
      </c>
      <c r="H3159" s="23" t="s">
        <v>100</v>
      </c>
      <c r="I3159" s="24" t="s">
        <v>33</v>
      </c>
      <c r="J3159" s="19" t="s">
        <v>68</v>
      </c>
      <c r="K3159" s="14">
        <v>31.0</v>
      </c>
      <c r="L3159" s="14">
        <v>0.0</v>
      </c>
      <c r="M3159" s="25"/>
      <c r="N3159" s="26" t="s">
        <v>21</v>
      </c>
      <c r="O3159" s="7"/>
      <c r="P3159" s="7"/>
      <c r="Q3159" s="7"/>
      <c r="R3159" s="7"/>
      <c r="S3159" s="7"/>
      <c r="T3159" s="7"/>
      <c r="U3159" s="7"/>
      <c r="V3159" s="7"/>
      <c r="W3159" s="7"/>
      <c r="X3159" s="7"/>
      <c r="Y3159" s="7"/>
    </row>
    <row r="3160">
      <c r="A3160" s="14" t="s">
        <v>11334</v>
      </c>
      <c r="B3160" s="17" t="s">
        <v>11329</v>
      </c>
      <c r="C3160" s="17" t="s">
        <v>11335</v>
      </c>
      <c r="D3160" s="19" t="s">
        <v>2640</v>
      </c>
      <c r="E3160" s="20" t="s">
        <v>1058</v>
      </c>
      <c r="F3160" s="27">
        <v>26643.0</v>
      </c>
      <c r="G3160" s="14">
        <f t="shared" si="1"/>
        <v>53</v>
      </c>
      <c r="H3160" s="23" t="s">
        <v>26</v>
      </c>
      <c r="I3160" s="24" t="s">
        <v>27</v>
      </c>
      <c r="J3160" s="19" t="s">
        <v>68</v>
      </c>
      <c r="K3160" s="14">
        <v>31.0</v>
      </c>
      <c r="L3160" s="14">
        <v>0.0</v>
      </c>
      <c r="M3160" s="25"/>
      <c r="N3160" s="26" t="s">
        <v>21</v>
      </c>
      <c r="O3160" s="7"/>
      <c r="P3160" s="7"/>
      <c r="Q3160" s="7"/>
      <c r="R3160" s="7"/>
      <c r="S3160" s="7"/>
      <c r="T3160" s="7"/>
      <c r="U3160" s="7"/>
      <c r="V3160" s="7"/>
      <c r="W3160" s="7"/>
      <c r="X3160" s="7"/>
      <c r="Y3160" s="7"/>
    </row>
    <row r="3161">
      <c r="A3161" s="14" t="s">
        <v>11336</v>
      </c>
      <c r="B3161" s="17" t="s">
        <v>11337</v>
      </c>
      <c r="C3161" s="17" t="s">
        <v>11338</v>
      </c>
      <c r="D3161" s="19" t="s">
        <v>11339</v>
      </c>
      <c r="E3161" s="20" t="s">
        <v>104</v>
      </c>
      <c r="F3161" s="21">
        <v>36378.0</v>
      </c>
      <c r="G3161" s="14">
        <f t="shared" si="1"/>
        <v>27</v>
      </c>
      <c r="H3161" s="23" t="s">
        <v>100</v>
      </c>
      <c r="I3161" s="24" t="s">
        <v>27</v>
      </c>
      <c r="J3161" s="19" t="s">
        <v>53</v>
      </c>
      <c r="K3161" s="14">
        <v>34.0</v>
      </c>
      <c r="L3161" s="14">
        <v>0.0</v>
      </c>
      <c r="M3161" s="25"/>
      <c r="N3161" s="26" t="s">
        <v>21</v>
      </c>
      <c r="O3161" s="7"/>
      <c r="P3161" s="7"/>
      <c r="Q3161" s="7"/>
      <c r="R3161" s="7"/>
      <c r="S3161" s="7"/>
      <c r="T3161" s="7"/>
      <c r="U3161" s="7"/>
      <c r="V3161" s="7"/>
      <c r="W3161" s="7"/>
      <c r="X3161" s="7"/>
      <c r="Y3161" s="7"/>
    </row>
    <row r="3162">
      <c r="A3162" s="14" t="s">
        <v>11340</v>
      </c>
      <c r="B3162" s="17" t="s">
        <v>11337</v>
      </c>
      <c r="C3162" s="17" t="s">
        <v>11341</v>
      </c>
      <c r="D3162" s="19" t="s">
        <v>11342</v>
      </c>
      <c r="E3162" s="20" t="s">
        <v>104</v>
      </c>
      <c r="F3162" s="21">
        <v>39152.0</v>
      </c>
      <c r="G3162" s="14">
        <f t="shared" si="1"/>
        <v>19</v>
      </c>
      <c r="H3162" s="23" t="s">
        <v>100</v>
      </c>
      <c r="I3162" s="24" t="s">
        <v>27</v>
      </c>
      <c r="J3162" s="19" t="s">
        <v>53</v>
      </c>
      <c r="K3162" s="14">
        <v>34.0</v>
      </c>
      <c r="L3162" s="14">
        <v>6.0</v>
      </c>
      <c r="M3162" s="25"/>
      <c r="N3162" s="26" t="s">
        <v>21</v>
      </c>
      <c r="O3162" s="7"/>
      <c r="P3162" s="7"/>
      <c r="Q3162" s="7"/>
      <c r="R3162" s="7"/>
      <c r="S3162" s="7"/>
      <c r="T3162" s="7"/>
      <c r="U3162" s="7"/>
      <c r="V3162" s="7"/>
      <c r="W3162" s="7"/>
      <c r="X3162" s="7"/>
      <c r="Y3162" s="7"/>
    </row>
    <row r="3163">
      <c r="A3163" s="14" t="s">
        <v>11343</v>
      </c>
      <c r="B3163" s="17" t="s">
        <v>11337</v>
      </c>
      <c r="C3163" s="17" t="s">
        <v>11344</v>
      </c>
      <c r="D3163" s="19" t="s">
        <v>11345</v>
      </c>
      <c r="E3163" s="20" t="s">
        <v>104</v>
      </c>
      <c r="F3163" s="27">
        <v>29943.0</v>
      </c>
      <c r="G3163" s="14">
        <f t="shared" si="1"/>
        <v>44</v>
      </c>
      <c r="H3163" s="23" t="s">
        <v>26</v>
      </c>
      <c r="I3163" s="24" t="s">
        <v>27</v>
      </c>
      <c r="J3163" s="19" t="s">
        <v>53</v>
      </c>
      <c r="K3163" s="14">
        <v>34.0</v>
      </c>
      <c r="L3163" s="14">
        <v>6.0</v>
      </c>
      <c r="M3163" s="25"/>
      <c r="N3163" s="26" t="s">
        <v>21</v>
      </c>
      <c r="O3163" s="7"/>
      <c r="P3163" s="7"/>
      <c r="Q3163" s="7"/>
      <c r="R3163" s="7"/>
      <c r="S3163" s="7"/>
      <c r="T3163" s="7"/>
      <c r="U3163" s="7"/>
      <c r="V3163" s="7"/>
      <c r="W3163" s="7"/>
      <c r="X3163" s="7"/>
      <c r="Y3163" s="7"/>
    </row>
    <row r="3164">
      <c r="A3164" s="14" t="s">
        <v>11346</v>
      </c>
      <c r="B3164" s="17" t="s">
        <v>11337</v>
      </c>
      <c r="C3164" s="17" t="s">
        <v>11347</v>
      </c>
      <c r="D3164" s="19" t="s">
        <v>3402</v>
      </c>
      <c r="E3164" s="20" t="s">
        <v>67</v>
      </c>
      <c r="F3164" s="21">
        <v>27435.0</v>
      </c>
      <c r="G3164" s="14">
        <f t="shared" si="1"/>
        <v>51</v>
      </c>
      <c r="H3164" s="23" t="s">
        <v>26</v>
      </c>
      <c r="I3164" s="24" t="s">
        <v>33</v>
      </c>
      <c r="J3164" s="19" t="s">
        <v>53</v>
      </c>
      <c r="K3164" s="14">
        <v>34.0</v>
      </c>
      <c r="L3164" s="14">
        <v>6.0</v>
      </c>
      <c r="M3164" s="25"/>
      <c r="N3164" s="26" t="s">
        <v>21</v>
      </c>
      <c r="O3164" s="7"/>
      <c r="P3164" s="7"/>
      <c r="Q3164" s="7"/>
      <c r="R3164" s="7"/>
      <c r="S3164" s="7"/>
      <c r="T3164" s="7"/>
      <c r="U3164" s="7"/>
      <c r="V3164" s="7"/>
      <c r="W3164" s="7"/>
      <c r="X3164" s="7"/>
      <c r="Y3164" s="7"/>
    </row>
    <row r="3165">
      <c r="A3165" s="14" t="s">
        <v>11348</v>
      </c>
      <c r="B3165" s="17" t="s">
        <v>11349</v>
      </c>
      <c r="C3165" s="17" t="s">
        <v>11350</v>
      </c>
      <c r="D3165" s="19" t="s">
        <v>11351</v>
      </c>
      <c r="E3165" s="20" t="s">
        <v>67</v>
      </c>
      <c r="F3165" s="21">
        <v>24187.0</v>
      </c>
      <c r="G3165" s="14">
        <f t="shared" si="1"/>
        <v>60</v>
      </c>
      <c r="H3165" s="23" t="s">
        <v>26</v>
      </c>
      <c r="I3165" s="24" t="s">
        <v>33</v>
      </c>
      <c r="J3165" s="19" t="s">
        <v>68</v>
      </c>
      <c r="K3165" s="14">
        <v>32.0</v>
      </c>
      <c r="L3165" s="14">
        <v>0.0</v>
      </c>
      <c r="M3165" s="25"/>
      <c r="N3165" s="26" t="s">
        <v>21</v>
      </c>
      <c r="O3165" s="7"/>
      <c r="P3165" s="7"/>
      <c r="Q3165" s="7"/>
      <c r="R3165" s="7"/>
      <c r="S3165" s="7"/>
      <c r="T3165" s="7"/>
      <c r="U3165" s="7"/>
      <c r="V3165" s="7"/>
      <c r="W3165" s="7"/>
      <c r="X3165" s="7"/>
      <c r="Y3165" s="7"/>
    </row>
    <row r="3166">
      <c r="A3166" s="14" t="s">
        <v>11352</v>
      </c>
      <c r="B3166" s="17" t="s">
        <v>11349</v>
      </c>
      <c r="C3166" s="17" t="s">
        <v>11353</v>
      </c>
      <c r="D3166" s="19" t="s">
        <v>11354</v>
      </c>
      <c r="E3166" s="20" t="s">
        <v>104</v>
      </c>
      <c r="F3166" s="21">
        <v>38807.0</v>
      </c>
      <c r="G3166" s="14">
        <f t="shared" si="1"/>
        <v>20</v>
      </c>
      <c r="H3166" s="23" t="s">
        <v>100</v>
      </c>
      <c r="I3166" s="24" t="s">
        <v>33</v>
      </c>
      <c r="J3166" s="19" t="s">
        <v>3560</v>
      </c>
      <c r="K3166" s="14">
        <v>32.0</v>
      </c>
      <c r="L3166" s="14">
        <v>0.0</v>
      </c>
      <c r="M3166" s="25"/>
      <c r="N3166" s="26" t="s">
        <v>21</v>
      </c>
      <c r="O3166" s="7"/>
      <c r="P3166" s="7"/>
      <c r="Q3166" s="7"/>
      <c r="R3166" s="7"/>
      <c r="S3166" s="7"/>
      <c r="T3166" s="7"/>
      <c r="U3166" s="7"/>
      <c r="V3166" s="7"/>
      <c r="W3166" s="7"/>
      <c r="X3166" s="7"/>
      <c r="Y3166" s="7"/>
    </row>
    <row r="3167">
      <c r="A3167" s="14" t="s">
        <v>11355</v>
      </c>
      <c r="B3167" s="17" t="s">
        <v>11349</v>
      </c>
      <c r="C3167" s="17" t="s">
        <v>11356</v>
      </c>
      <c r="D3167" s="19" t="s">
        <v>9207</v>
      </c>
      <c r="E3167" s="20" t="s">
        <v>219</v>
      </c>
      <c r="F3167" s="27">
        <v>26643.0</v>
      </c>
      <c r="G3167" s="14">
        <f t="shared" si="1"/>
        <v>53</v>
      </c>
      <c r="H3167" s="23" t="s">
        <v>26</v>
      </c>
      <c r="I3167" s="24" t="s">
        <v>27</v>
      </c>
      <c r="J3167" s="19" t="s">
        <v>68</v>
      </c>
      <c r="K3167" s="14">
        <v>32.0</v>
      </c>
      <c r="L3167" s="14">
        <v>0.0</v>
      </c>
      <c r="M3167" s="25"/>
      <c r="N3167" s="26" t="s">
        <v>21</v>
      </c>
      <c r="O3167" s="7"/>
      <c r="P3167" s="7"/>
      <c r="Q3167" s="7"/>
      <c r="R3167" s="7"/>
      <c r="S3167" s="7"/>
      <c r="T3167" s="7"/>
      <c r="U3167" s="7"/>
      <c r="V3167" s="7"/>
      <c r="W3167" s="7"/>
      <c r="X3167" s="7"/>
      <c r="Y3167" s="7"/>
    </row>
    <row r="3168">
      <c r="A3168" s="14" t="s">
        <v>11357</v>
      </c>
      <c r="B3168" s="17" t="s">
        <v>11358</v>
      </c>
      <c r="C3168" s="17" t="s">
        <v>11359</v>
      </c>
      <c r="D3168" s="19" t="s">
        <v>11360</v>
      </c>
      <c r="E3168" s="20" t="s">
        <v>104</v>
      </c>
      <c r="F3168" s="21">
        <v>36277.0</v>
      </c>
      <c r="G3168" s="14">
        <f t="shared" si="1"/>
        <v>27</v>
      </c>
      <c r="H3168" s="23" t="s">
        <v>100</v>
      </c>
      <c r="I3168" s="24" t="s">
        <v>33</v>
      </c>
      <c r="J3168" s="19" t="s">
        <v>53</v>
      </c>
      <c r="K3168" s="14">
        <v>32.0</v>
      </c>
      <c r="L3168" s="14">
        <v>0.0</v>
      </c>
      <c r="M3168" s="25"/>
      <c r="N3168" s="26" t="s">
        <v>21</v>
      </c>
      <c r="O3168" s="7"/>
      <c r="P3168" s="7"/>
      <c r="Q3168" s="7"/>
      <c r="R3168" s="7"/>
      <c r="S3168" s="7"/>
      <c r="T3168" s="7"/>
      <c r="U3168" s="7"/>
      <c r="V3168" s="7"/>
      <c r="W3168" s="7"/>
      <c r="X3168" s="7"/>
      <c r="Y3168" s="7"/>
    </row>
    <row r="3169">
      <c r="A3169" s="14" t="s">
        <v>11361</v>
      </c>
      <c r="B3169" s="17" t="s">
        <v>11358</v>
      </c>
      <c r="C3169" s="17" t="s">
        <v>11362</v>
      </c>
      <c r="D3169" s="19" t="s">
        <v>11363</v>
      </c>
      <c r="E3169" s="20" t="s">
        <v>666</v>
      </c>
      <c r="F3169" s="21">
        <v>23877.0</v>
      </c>
      <c r="G3169" s="14">
        <f t="shared" si="1"/>
        <v>61</v>
      </c>
      <c r="H3169" s="23" t="s">
        <v>26</v>
      </c>
      <c r="I3169" s="24" t="s">
        <v>33</v>
      </c>
      <c r="J3169" s="19" t="s">
        <v>53</v>
      </c>
      <c r="K3169" s="14">
        <v>32.0</v>
      </c>
      <c r="L3169" s="14">
        <v>0.0</v>
      </c>
      <c r="M3169" s="25"/>
      <c r="N3169" s="26" t="s">
        <v>21</v>
      </c>
      <c r="O3169" s="7"/>
      <c r="P3169" s="7"/>
      <c r="Q3169" s="7"/>
      <c r="R3169" s="7"/>
      <c r="S3169" s="7"/>
      <c r="T3169" s="7"/>
      <c r="U3169" s="7"/>
      <c r="V3169" s="7"/>
      <c r="W3169" s="7"/>
      <c r="X3169" s="7"/>
      <c r="Y3169" s="7"/>
    </row>
    <row r="3170">
      <c r="A3170" s="14" t="s">
        <v>11364</v>
      </c>
      <c r="B3170" s="17" t="s">
        <v>11358</v>
      </c>
      <c r="C3170" s="17" t="s">
        <v>11365</v>
      </c>
      <c r="D3170" s="19" t="s">
        <v>11366</v>
      </c>
      <c r="E3170" s="20" t="s">
        <v>650</v>
      </c>
      <c r="F3170" s="27">
        <v>26988.0</v>
      </c>
      <c r="G3170" s="14">
        <f t="shared" si="1"/>
        <v>52</v>
      </c>
      <c r="H3170" s="23" t="s">
        <v>26</v>
      </c>
      <c r="I3170" s="24" t="s">
        <v>27</v>
      </c>
      <c r="J3170" s="19" t="s">
        <v>53</v>
      </c>
      <c r="K3170" s="14">
        <v>32.0</v>
      </c>
      <c r="L3170" s="14">
        <v>0.0</v>
      </c>
      <c r="M3170" s="25"/>
      <c r="N3170" s="26" t="s">
        <v>21</v>
      </c>
      <c r="O3170" s="7"/>
      <c r="P3170" s="7"/>
      <c r="Q3170" s="7"/>
      <c r="R3170" s="7"/>
      <c r="S3170" s="7"/>
      <c r="T3170" s="7"/>
      <c r="U3170" s="7"/>
      <c r="V3170" s="7"/>
      <c r="W3170" s="7"/>
      <c r="X3170" s="7"/>
      <c r="Y3170" s="7"/>
    </row>
    <row r="3171">
      <c r="A3171" s="14" t="s">
        <v>11367</v>
      </c>
      <c r="B3171" s="17" t="s">
        <v>11358</v>
      </c>
      <c r="C3171" s="17" t="s">
        <v>11368</v>
      </c>
      <c r="D3171" s="19" t="s">
        <v>11369</v>
      </c>
      <c r="E3171" s="20" t="s">
        <v>650</v>
      </c>
      <c r="F3171" s="21">
        <v>12966.0</v>
      </c>
      <c r="G3171" s="14">
        <f t="shared" si="1"/>
        <v>91</v>
      </c>
      <c r="H3171" s="23" t="s">
        <v>26</v>
      </c>
      <c r="I3171" s="24" t="s">
        <v>27</v>
      </c>
      <c r="J3171" s="19" t="s">
        <v>156</v>
      </c>
      <c r="K3171" s="14">
        <v>32.0</v>
      </c>
      <c r="L3171" s="14">
        <v>0.0</v>
      </c>
      <c r="M3171" s="25"/>
      <c r="N3171" s="26" t="s">
        <v>21</v>
      </c>
      <c r="O3171" s="7"/>
      <c r="P3171" s="7"/>
      <c r="Q3171" s="7"/>
      <c r="R3171" s="7"/>
      <c r="S3171" s="7"/>
      <c r="T3171" s="7"/>
      <c r="U3171" s="7"/>
      <c r="V3171" s="7"/>
      <c r="W3171" s="7"/>
      <c r="X3171" s="7"/>
      <c r="Y3171" s="7"/>
    </row>
    <row r="3172">
      <c r="A3172" s="14" t="s">
        <v>11370</v>
      </c>
      <c r="B3172" s="17" t="s">
        <v>11358</v>
      </c>
      <c r="C3172" s="17" t="s">
        <v>11371</v>
      </c>
      <c r="D3172" s="19" t="s">
        <v>11372</v>
      </c>
      <c r="E3172" s="20" t="s">
        <v>104</v>
      </c>
      <c r="F3172" s="21">
        <v>37266.0</v>
      </c>
      <c r="G3172" s="14">
        <f t="shared" si="1"/>
        <v>24</v>
      </c>
      <c r="H3172" s="23" t="s">
        <v>100</v>
      </c>
      <c r="I3172" s="24" t="s">
        <v>27</v>
      </c>
      <c r="J3172" s="19" t="s">
        <v>53</v>
      </c>
      <c r="K3172" s="14">
        <v>32.0</v>
      </c>
      <c r="L3172" s="14">
        <v>0.0</v>
      </c>
      <c r="M3172" s="25"/>
      <c r="N3172" s="26" t="s">
        <v>21</v>
      </c>
      <c r="O3172" s="7"/>
      <c r="P3172" s="7"/>
      <c r="Q3172" s="7"/>
      <c r="R3172" s="7"/>
      <c r="S3172" s="7"/>
      <c r="T3172" s="7"/>
      <c r="U3172" s="7"/>
      <c r="V3172" s="7"/>
      <c r="W3172" s="7"/>
      <c r="X3172" s="7"/>
      <c r="Y3172" s="7"/>
    </row>
    <row r="3173">
      <c r="A3173" s="14" t="s">
        <v>11373</v>
      </c>
      <c r="B3173" s="17" t="s">
        <v>11374</v>
      </c>
      <c r="C3173" s="17" t="s">
        <v>11375</v>
      </c>
      <c r="D3173" s="19" t="s">
        <v>11376</v>
      </c>
      <c r="E3173" s="20" t="s">
        <v>654</v>
      </c>
      <c r="F3173" s="21">
        <v>28068.0</v>
      </c>
      <c r="G3173" s="14">
        <f t="shared" si="1"/>
        <v>49</v>
      </c>
      <c r="H3173" s="23" t="s">
        <v>26</v>
      </c>
      <c r="I3173" s="24" t="s">
        <v>27</v>
      </c>
      <c r="J3173" s="19" t="s">
        <v>68</v>
      </c>
      <c r="K3173" s="14">
        <v>32.0</v>
      </c>
      <c r="L3173" s="14">
        <v>0.0</v>
      </c>
      <c r="M3173" s="25"/>
      <c r="N3173" s="26" t="s">
        <v>21</v>
      </c>
      <c r="O3173" s="7"/>
      <c r="P3173" s="7"/>
      <c r="Q3173" s="7"/>
      <c r="R3173" s="7"/>
      <c r="S3173" s="7"/>
      <c r="T3173" s="7"/>
      <c r="U3173" s="7"/>
      <c r="V3173" s="7"/>
      <c r="W3173" s="7"/>
      <c r="X3173" s="7"/>
      <c r="Y3173" s="7"/>
    </row>
    <row r="3174">
      <c r="A3174" s="14" t="s">
        <v>11377</v>
      </c>
      <c r="B3174" s="17" t="s">
        <v>11378</v>
      </c>
      <c r="C3174" s="17" t="s">
        <v>11379</v>
      </c>
      <c r="D3174" s="19" t="s">
        <v>11381</v>
      </c>
      <c r="E3174" s="20" t="s">
        <v>104</v>
      </c>
      <c r="F3174" s="21">
        <v>29403.0</v>
      </c>
      <c r="G3174" s="14">
        <f t="shared" si="1"/>
        <v>46</v>
      </c>
      <c r="H3174" s="23" t="s">
        <v>26</v>
      </c>
      <c r="I3174" s="24" t="s">
        <v>27</v>
      </c>
      <c r="J3174" s="19" t="s">
        <v>156</v>
      </c>
      <c r="K3174" s="14">
        <v>32.0</v>
      </c>
      <c r="L3174" s="14">
        <v>0.0</v>
      </c>
      <c r="M3174" s="25"/>
      <c r="N3174" s="26" t="s">
        <v>21</v>
      </c>
      <c r="O3174" s="7"/>
      <c r="P3174" s="7"/>
      <c r="Q3174" s="7"/>
      <c r="R3174" s="7"/>
      <c r="S3174" s="7"/>
      <c r="T3174" s="7"/>
      <c r="U3174" s="7"/>
      <c r="V3174" s="7"/>
      <c r="W3174" s="7"/>
      <c r="X3174" s="7"/>
      <c r="Y3174" s="7"/>
    </row>
    <row r="3175">
      <c r="A3175" s="14" t="s">
        <v>11382</v>
      </c>
      <c r="B3175" s="17" t="s">
        <v>11378</v>
      </c>
      <c r="C3175" s="17" t="s">
        <v>11383</v>
      </c>
      <c r="D3175" s="19" t="s">
        <v>11384</v>
      </c>
      <c r="E3175" s="20" t="s">
        <v>290</v>
      </c>
      <c r="F3175" s="21">
        <v>28572.0</v>
      </c>
      <c r="G3175" s="14">
        <f t="shared" si="1"/>
        <v>48</v>
      </c>
      <c r="H3175" s="23" t="s">
        <v>26</v>
      </c>
      <c r="I3175" s="24" t="s">
        <v>33</v>
      </c>
      <c r="J3175" s="19" t="s">
        <v>156</v>
      </c>
      <c r="K3175" s="14">
        <v>32.0</v>
      </c>
      <c r="L3175" s="14">
        <v>0.0</v>
      </c>
      <c r="M3175" s="25"/>
      <c r="N3175" s="26" t="s">
        <v>21</v>
      </c>
      <c r="O3175" s="7"/>
      <c r="P3175" s="7"/>
      <c r="Q3175" s="7"/>
      <c r="R3175" s="7"/>
      <c r="S3175" s="7"/>
      <c r="T3175" s="7"/>
      <c r="U3175" s="7"/>
      <c r="V3175" s="7"/>
      <c r="W3175" s="7"/>
      <c r="X3175" s="7"/>
      <c r="Y3175" s="7"/>
    </row>
    <row r="3176">
      <c r="A3176" s="14" t="s">
        <v>11385</v>
      </c>
      <c r="B3176" s="17" t="s">
        <v>11378</v>
      </c>
      <c r="C3176" s="17" t="s">
        <v>11386</v>
      </c>
      <c r="D3176" s="19" t="s">
        <v>11387</v>
      </c>
      <c r="E3176" s="20" t="s">
        <v>138</v>
      </c>
      <c r="F3176" s="27">
        <v>37600.0</v>
      </c>
      <c r="G3176" s="14">
        <f t="shared" si="1"/>
        <v>23</v>
      </c>
      <c r="H3176" s="23" t="s">
        <v>100</v>
      </c>
      <c r="I3176" s="24" t="s">
        <v>27</v>
      </c>
      <c r="J3176" s="19" t="s">
        <v>156</v>
      </c>
      <c r="K3176" s="14">
        <v>32.0</v>
      </c>
      <c r="L3176" s="14">
        <v>0.0</v>
      </c>
      <c r="M3176" s="25"/>
      <c r="N3176" s="26" t="s">
        <v>21</v>
      </c>
      <c r="O3176" s="7"/>
      <c r="P3176" s="7"/>
      <c r="Q3176" s="7"/>
      <c r="R3176" s="7"/>
      <c r="S3176" s="7"/>
      <c r="T3176" s="7"/>
      <c r="U3176" s="7"/>
      <c r="V3176" s="7"/>
      <c r="W3176" s="7"/>
      <c r="X3176" s="7"/>
      <c r="Y3176" s="7"/>
    </row>
    <row r="3177">
      <c r="A3177" s="14" t="s">
        <v>11388</v>
      </c>
      <c r="B3177" s="17" t="s">
        <v>11389</v>
      </c>
      <c r="C3177" s="17" t="s">
        <v>11390</v>
      </c>
      <c r="D3177" s="19" t="s">
        <v>11391</v>
      </c>
      <c r="E3177" s="20" t="s">
        <v>4175</v>
      </c>
      <c r="F3177" s="27">
        <v>27381.0</v>
      </c>
      <c r="G3177" s="14">
        <f t="shared" si="1"/>
        <v>51</v>
      </c>
      <c r="H3177" s="23" t="s">
        <v>26</v>
      </c>
      <c r="I3177" s="24" t="s">
        <v>27</v>
      </c>
      <c r="J3177" s="19" t="s">
        <v>328</v>
      </c>
      <c r="K3177" s="14">
        <v>26.0</v>
      </c>
      <c r="L3177" s="14">
        <v>0.0</v>
      </c>
      <c r="M3177" s="25"/>
      <c r="N3177" s="26" t="s">
        <v>21</v>
      </c>
      <c r="O3177" s="7"/>
      <c r="P3177" s="7"/>
      <c r="Q3177" s="7"/>
      <c r="R3177" s="7"/>
      <c r="S3177" s="7"/>
      <c r="T3177" s="7"/>
      <c r="U3177" s="7"/>
      <c r="V3177" s="7"/>
      <c r="W3177" s="7"/>
      <c r="X3177" s="7"/>
      <c r="Y3177" s="7"/>
    </row>
    <row r="3178">
      <c r="A3178" s="14" t="s">
        <v>11392</v>
      </c>
      <c r="B3178" s="17" t="s">
        <v>11389</v>
      </c>
      <c r="C3178" s="17" t="s">
        <v>11393</v>
      </c>
      <c r="D3178" s="19" t="s">
        <v>11394</v>
      </c>
      <c r="E3178" s="20" t="s">
        <v>4175</v>
      </c>
      <c r="F3178" s="21">
        <v>14793.0</v>
      </c>
      <c r="G3178" s="14">
        <f t="shared" si="1"/>
        <v>86</v>
      </c>
      <c r="H3178" s="23" t="s">
        <v>27</v>
      </c>
      <c r="I3178" s="24" t="s">
        <v>33</v>
      </c>
      <c r="J3178" s="19" t="s">
        <v>328</v>
      </c>
      <c r="K3178" s="14">
        <v>26.0</v>
      </c>
      <c r="L3178" s="14">
        <v>1.0</v>
      </c>
      <c r="M3178" s="25"/>
      <c r="N3178" s="26" t="s">
        <v>21</v>
      </c>
      <c r="O3178" s="7"/>
      <c r="P3178" s="7"/>
      <c r="Q3178" s="7"/>
      <c r="R3178" s="7"/>
      <c r="S3178" s="7"/>
      <c r="T3178" s="7"/>
      <c r="U3178" s="7"/>
      <c r="V3178" s="7"/>
      <c r="W3178" s="7"/>
      <c r="X3178" s="7"/>
      <c r="Y3178" s="7"/>
    </row>
    <row r="3179">
      <c r="A3179" s="14" t="s">
        <v>11395</v>
      </c>
      <c r="B3179" s="17" t="s">
        <v>11389</v>
      </c>
      <c r="C3179" s="17" t="s">
        <v>11396</v>
      </c>
      <c r="D3179" s="19" t="s">
        <v>11397</v>
      </c>
      <c r="E3179" s="20" t="s">
        <v>53</v>
      </c>
      <c r="F3179" s="21">
        <v>29048.0</v>
      </c>
      <c r="G3179" s="14">
        <f t="shared" si="1"/>
        <v>47</v>
      </c>
      <c r="H3179" s="23" t="s">
        <v>26</v>
      </c>
      <c r="I3179" s="24" t="s">
        <v>33</v>
      </c>
      <c r="J3179" s="19" t="s">
        <v>328</v>
      </c>
      <c r="K3179" s="14">
        <v>26.0</v>
      </c>
      <c r="L3179" s="14">
        <v>0.0</v>
      </c>
      <c r="M3179" s="25"/>
      <c r="N3179" s="26" t="s">
        <v>21</v>
      </c>
      <c r="O3179" s="7"/>
      <c r="P3179" s="7"/>
      <c r="Q3179" s="7"/>
      <c r="R3179" s="7"/>
      <c r="S3179" s="7"/>
      <c r="T3179" s="7"/>
      <c r="U3179" s="7"/>
      <c r="V3179" s="7"/>
      <c r="W3179" s="7"/>
      <c r="X3179" s="7"/>
      <c r="Y3179" s="7"/>
    </row>
    <row r="3180">
      <c r="A3180" s="14" t="s">
        <v>11398</v>
      </c>
      <c r="B3180" s="17" t="s">
        <v>11389</v>
      </c>
      <c r="C3180" s="17" t="s">
        <v>11399</v>
      </c>
      <c r="D3180" s="19" t="s">
        <v>11400</v>
      </c>
      <c r="E3180" s="20" t="s">
        <v>11401</v>
      </c>
      <c r="F3180" s="21">
        <v>38766.0</v>
      </c>
      <c r="G3180" s="14">
        <f t="shared" si="1"/>
        <v>20</v>
      </c>
      <c r="H3180" s="23" t="s">
        <v>100</v>
      </c>
      <c r="I3180" s="24" t="s">
        <v>27</v>
      </c>
      <c r="J3180" s="19" t="s">
        <v>328</v>
      </c>
      <c r="K3180" s="14">
        <v>26.0</v>
      </c>
      <c r="L3180" s="14">
        <v>0.0</v>
      </c>
      <c r="M3180" s="25"/>
      <c r="N3180" s="26" t="s">
        <v>21</v>
      </c>
      <c r="O3180" s="7"/>
      <c r="P3180" s="7"/>
      <c r="Q3180" s="7"/>
      <c r="R3180" s="7"/>
      <c r="S3180" s="7"/>
      <c r="T3180" s="7"/>
      <c r="U3180" s="7"/>
      <c r="V3180" s="7"/>
      <c r="W3180" s="7"/>
      <c r="X3180" s="7"/>
      <c r="Y3180" s="7"/>
    </row>
    <row r="3181">
      <c r="A3181" s="14" t="s">
        <v>11402</v>
      </c>
      <c r="B3181" s="17" t="s">
        <v>11403</v>
      </c>
      <c r="C3181" s="17" t="s">
        <v>11404</v>
      </c>
      <c r="D3181" s="19" t="s">
        <v>11405</v>
      </c>
      <c r="E3181" s="20" t="s">
        <v>632</v>
      </c>
      <c r="F3181" s="21">
        <v>20370.0</v>
      </c>
      <c r="G3181" s="14">
        <f t="shared" si="1"/>
        <v>71</v>
      </c>
      <c r="H3181" s="23" t="s">
        <v>26</v>
      </c>
      <c r="I3181" s="24" t="s">
        <v>27</v>
      </c>
      <c r="J3181" s="19" t="s">
        <v>156</v>
      </c>
      <c r="K3181" s="14">
        <v>30.0</v>
      </c>
      <c r="L3181" s="14">
        <v>0.0</v>
      </c>
      <c r="M3181" s="25"/>
      <c r="N3181" s="26" t="s">
        <v>21</v>
      </c>
      <c r="O3181" s="7"/>
      <c r="P3181" s="7"/>
      <c r="Q3181" s="7"/>
      <c r="R3181" s="7"/>
      <c r="S3181" s="7"/>
      <c r="T3181" s="7"/>
      <c r="U3181" s="7"/>
      <c r="V3181" s="7"/>
      <c r="W3181" s="7"/>
      <c r="X3181" s="7"/>
      <c r="Y3181" s="7"/>
    </row>
    <row r="3182">
      <c r="A3182" s="14" t="s">
        <v>11406</v>
      </c>
      <c r="B3182" s="17" t="s">
        <v>11407</v>
      </c>
      <c r="C3182" s="17" t="s">
        <v>11408</v>
      </c>
      <c r="D3182" s="19" t="s">
        <v>11409</v>
      </c>
      <c r="E3182" s="20" t="s">
        <v>632</v>
      </c>
      <c r="F3182" s="21">
        <v>22322.0</v>
      </c>
      <c r="G3182" s="14">
        <f t="shared" si="1"/>
        <v>65</v>
      </c>
      <c r="H3182" s="23" t="s">
        <v>26</v>
      </c>
      <c r="I3182" s="24" t="s">
        <v>33</v>
      </c>
      <c r="J3182" s="19" t="s">
        <v>68</v>
      </c>
      <c r="K3182" s="14">
        <v>30.0</v>
      </c>
      <c r="L3182" s="14">
        <v>0.0</v>
      </c>
      <c r="M3182" s="25"/>
      <c r="N3182" s="26" t="s">
        <v>21</v>
      </c>
      <c r="O3182" s="7"/>
      <c r="P3182" s="7"/>
      <c r="Q3182" s="7"/>
      <c r="R3182" s="7"/>
      <c r="S3182" s="7"/>
      <c r="T3182" s="7"/>
      <c r="U3182" s="7"/>
      <c r="V3182" s="7"/>
      <c r="W3182" s="7"/>
      <c r="X3182" s="7"/>
      <c r="Y3182" s="7"/>
    </row>
    <row r="3183">
      <c r="A3183" s="14" t="s">
        <v>11410</v>
      </c>
      <c r="B3183" s="17" t="s">
        <v>11407</v>
      </c>
      <c r="C3183" s="17" t="s">
        <v>11411</v>
      </c>
      <c r="D3183" s="19" t="s">
        <v>11412</v>
      </c>
      <c r="E3183" s="20" t="s">
        <v>632</v>
      </c>
      <c r="F3183" s="21">
        <v>26580.0</v>
      </c>
      <c r="G3183" s="14">
        <f t="shared" si="1"/>
        <v>54</v>
      </c>
      <c r="H3183" s="23" t="s">
        <v>26</v>
      </c>
      <c r="I3183" s="24" t="s">
        <v>27</v>
      </c>
      <c r="J3183" s="19" t="s">
        <v>68</v>
      </c>
      <c r="K3183" s="14">
        <v>30.0</v>
      </c>
      <c r="L3183" s="14">
        <v>0.0</v>
      </c>
      <c r="M3183" s="25"/>
      <c r="N3183" s="26" t="s">
        <v>21</v>
      </c>
      <c r="O3183" s="7"/>
      <c r="P3183" s="7"/>
      <c r="Q3183" s="7"/>
      <c r="R3183" s="7"/>
      <c r="S3183" s="7"/>
      <c r="T3183" s="7"/>
      <c r="U3183" s="7"/>
      <c r="V3183" s="7"/>
      <c r="W3183" s="7"/>
      <c r="X3183" s="7"/>
      <c r="Y3183" s="7"/>
    </row>
    <row r="3184">
      <c r="A3184" s="14" t="s">
        <v>11413</v>
      </c>
      <c r="B3184" s="17" t="s">
        <v>11414</v>
      </c>
      <c r="C3184" s="17" t="s">
        <v>11415</v>
      </c>
      <c r="D3184" s="19" t="s">
        <v>11416</v>
      </c>
      <c r="E3184" s="20" t="s">
        <v>104</v>
      </c>
      <c r="F3184" s="21">
        <v>28689.0</v>
      </c>
      <c r="G3184" s="14">
        <f t="shared" si="1"/>
        <v>48</v>
      </c>
      <c r="H3184" s="23" t="s">
        <v>26</v>
      </c>
      <c r="I3184" s="24" t="s">
        <v>27</v>
      </c>
      <c r="J3184" s="19" t="s">
        <v>68</v>
      </c>
      <c r="K3184" s="14">
        <v>30.0</v>
      </c>
      <c r="L3184" s="14">
        <v>0.0</v>
      </c>
      <c r="M3184" s="25"/>
      <c r="N3184" s="26" t="s">
        <v>21</v>
      </c>
      <c r="O3184" s="7"/>
      <c r="P3184" s="7"/>
      <c r="Q3184" s="7"/>
      <c r="R3184" s="7"/>
      <c r="S3184" s="7"/>
      <c r="T3184" s="7"/>
      <c r="U3184" s="7"/>
      <c r="V3184" s="7"/>
      <c r="W3184" s="7"/>
      <c r="X3184" s="7"/>
      <c r="Y3184" s="7"/>
    </row>
    <row r="3185">
      <c r="A3185" s="14" t="s">
        <v>11417</v>
      </c>
      <c r="B3185" s="17" t="s">
        <v>11414</v>
      </c>
      <c r="C3185" s="17" t="s">
        <v>11418</v>
      </c>
      <c r="D3185" s="19" t="s">
        <v>11419</v>
      </c>
      <c r="E3185" s="20" t="s">
        <v>104</v>
      </c>
      <c r="F3185" s="27">
        <v>27747.0</v>
      </c>
      <c r="G3185" s="14">
        <f t="shared" si="1"/>
        <v>50</v>
      </c>
      <c r="H3185" s="23" t="s">
        <v>26</v>
      </c>
      <c r="I3185" s="24" t="s">
        <v>33</v>
      </c>
      <c r="J3185" s="19" t="s">
        <v>53</v>
      </c>
      <c r="K3185" s="14">
        <v>30.0</v>
      </c>
      <c r="L3185" s="14">
        <v>0.0</v>
      </c>
      <c r="M3185" s="25"/>
      <c r="N3185" s="26" t="s">
        <v>21</v>
      </c>
      <c r="O3185" s="7"/>
      <c r="P3185" s="7"/>
      <c r="Q3185" s="7"/>
      <c r="R3185" s="7"/>
      <c r="S3185" s="7"/>
      <c r="T3185" s="7"/>
      <c r="U3185" s="7"/>
      <c r="V3185" s="7"/>
      <c r="W3185" s="7"/>
      <c r="X3185" s="7"/>
      <c r="Y3185" s="7"/>
    </row>
    <row r="3186">
      <c r="A3186" s="14" t="s">
        <v>11420</v>
      </c>
      <c r="B3186" s="17" t="s">
        <v>11421</v>
      </c>
      <c r="C3186" s="17" t="s">
        <v>11422</v>
      </c>
      <c r="D3186" s="19" t="s">
        <v>11423</v>
      </c>
      <c r="E3186" s="20" t="s">
        <v>53</v>
      </c>
      <c r="F3186" s="21">
        <v>30693.0</v>
      </c>
      <c r="G3186" s="14">
        <f t="shared" si="1"/>
        <v>42</v>
      </c>
      <c r="H3186" s="23" t="s">
        <v>26</v>
      </c>
      <c r="I3186" s="24" t="s">
        <v>27</v>
      </c>
      <c r="J3186" s="19" t="s">
        <v>53</v>
      </c>
      <c r="K3186" s="14">
        <v>30.0</v>
      </c>
      <c r="L3186" s="14">
        <v>0.0</v>
      </c>
      <c r="M3186" s="25"/>
      <c r="N3186" s="26" t="s">
        <v>21</v>
      </c>
      <c r="O3186" s="7"/>
      <c r="P3186" s="7"/>
      <c r="Q3186" s="7"/>
      <c r="R3186" s="7"/>
      <c r="S3186" s="7"/>
      <c r="T3186" s="7"/>
      <c r="U3186" s="7"/>
      <c r="V3186" s="7"/>
      <c r="W3186" s="7"/>
      <c r="X3186" s="7"/>
      <c r="Y3186" s="7"/>
    </row>
    <row r="3187">
      <c r="A3187" s="14" t="s">
        <v>11424</v>
      </c>
      <c r="B3187" s="17" t="s">
        <v>11421</v>
      </c>
      <c r="C3187" s="17" t="s">
        <v>11425</v>
      </c>
      <c r="D3187" s="19" t="s">
        <v>11426</v>
      </c>
      <c r="E3187" s="20" t="s">
        <v>104</v>
      </c>
      <c r="F3187" s="21">
        <v>37779.0</v>
      </c>
      <c r="G3187" s="14">
        <f t="shared" si="1"/>
        <v>23</v>
      </c>
      <c r="H3187" s="23" t="s">
        <v>100</v>
      </c>
      <c r="I3187" s="24" t="s">
        <v>33</v>
      </c>
      <c r="J3187" s="19" t="s">
        <v>53</v>
      </c>
      <c r="K3187" s="14">
        <v>30.0</v>
      </c>
      <c r="L3187" s="14">
        <v>0.0</v>
      </c>
      <c r="M3187" s="25"/>
      <c r="N3187" s="26" t="s">
        <v>21</v>
      </c>
      <c r="O3187" s="7"/>
      <c r="P3187" s="7"/>
      <c r="Q3187" s="7"/>
      <c r="R3187" s="7"/>
      <c r="S3187" s="7"/>
      <c r="T3187" s="7"/>
      <c r="U3187" s="7"/>
      <c r="V3187" s="7"/>
      <c r="W3187" s="7"/>
      <c r="X3187" s="7"/>
      <c r="Y3187" s="7"/>
    </row>
    <row r="3188">
      <c r="A3188" s="14" t="s">
        <v>11427</v>
      </c>
      <c r="B3188" s="17" t="s">
        <v>11421</v>
      </c>
      <c r="C3188" s="17" t="s">
        <v>11428</v>
      </c>
      <c r="D3188" s="19" t="s">
        <v>7583</v>
      </c>
      <c r="E3188" s="20" t="s">
        <v>104</v>
      </c>
      <c r="F3188" s="27">
        <v>28834.0</v>
      </c>
      <c r="G3188" s="14">
        <f t="shared" si="1"/>
        <v>47</v>
      </c>
      <c r="H3188" s="23" t="s">
        <v>26</v>
      </c>
      <c r="I3188" s="24" t="s">
        <v>33</v>
      </c>
      <c r="J3188" s="19" t="s">
        <v>53</v>
      </c>
      <c r="K3188" s="14">
        <v>30.0</v>
      </c>
      <c r="L3188" s="14">
        <v>0.0</v>
      </c>
      <c r="M3188" s="25"/>
      <c r="N3188" s="26" t="s">
        <v>21</v>
      </c>
      <c r="O3188" s="7"/>
      <c r="P3188" s="7"/>
      <c r="Q3188" s="7"/>
      <c r="R3188" s="7"/>
      <c r="S3188" s="7"/>
      <c r="T3188" s="7"/>
      <c r="U3188" s="7"/>
      <c r="V3188" s="7"/>
      <c r="W3188" s="7"/>
      <c r="X3188" s="7"/>
      <c r="Y3188" s="7"/>
    </row>
    <row r="3189">
      <c r="A3189" s="14" t="s">
        <v>11429</v>
      </c>
      <c r="B3189" s="17" t="s">
        <v>11430</v>
      </c>
      <c r="C3189" s="17" t="s">
        <v>11431</v>
      </c>
      <c r="D3189" s="19" t="s">
        <v>5704</v>
      </c>
      <c r="E3189" s="20" t="s">
        <v>7082</v>
      </c>
      <c r="F3189" s="27">
        <v>24057.0</v>
      </c>
      <c r="G3189" s="14">
        <f t="shared" si="1"/>
        <v>60</v>
      </c>
      <c r="H3189" s="23" t="s">
        <v>26</v>
      </c>
      <c r="I3189" s="24" t="s">
        <v>27</v>
      </c>
      <c r="J3189" s="19" t="s">
        <v>53</v>
      </c>
      <c r="K3189" s="14">
        <v>30.0</v>
      </c>
      <c r="L3189" s="14">
        <v>0.0</v>
      </c>
      <c r="M3189" s="25"/>
      <c r="N3189" s="26" t="s">
        <v>21</v>
      </c>
      <c r="O3189" s="7"/>
      <c r="P3189" s="7"/>
      <c r="Q3189" s="7"/>
      <c r="R3189" s="7"/>
      <c r="S3189" s="7"/>
      <c r="T3189" s="7"/>
      <c r="U3189" s="7"/>
      <c r="V3189" s="7"/>
      <c r="W3189" s="7"/>
      <c r="X3189" s="7"/>
      <c r="Y3189" s="7"/>
    </row>
    <row r="3190">
      <c r="A3190" s="14" t="s">
        <v>11432</v>
      </c>
      <c r="B3190" s="17" t="s">
        <v>11430</v>
      </c>
      <c r="C3190" s="17" t="s">
        <v>11433</v>
      </c>
      <c r="D3190" s="19" t="s">
        <v>11434</v>
      </c>
      <c r="E3190" s="20" t="s">
        <v>632</v>
      </c>
      <c r="F3190" s="21">
        <v>23437.0</v>
      </c>
      <c r="G3190" s="14">
        <f t="shared" si="1"/>
        <v>62</v>
      </c>
      <c r="H3190" s="23" t="s">
        <v>26</v>
      </c>
      <c r="I3190" s="24" t="s">
        <v>33</v>
      </c>
      <c r="J3190" s="19" t="s">
        <v>53</v>
      </c>
      <c r="K3190" s="14">
        <v>30.0</v>
      </c>
      <c r="L3190" s="14">
        <v>0.0</v>
      </c>
      <c r="M3190" s="25"/>
      <c r="N3190" s="26" t="s">
        <v>21</v>
      </c>
      <c r="O3190" s="7"/>
      <c r="P3190" s="7"/>
      <c r="Q3190" s="7"/>
      <c r="R3190" s="7"/>
      <c r="S3190" s="7"/>
      <c r="T3190" s="7"/>
      <c r="U3190" s="7"/>
      <c r="V3190" s="7"/>
      <c r="W3190" s="7"/>
      <c r="X3190" s="7"/>
      <c r="Y3190" s="7"/>
    </row>
    <row r="3191">
      <c r="A3191" s="14" t="s">
        <v>11435</v>
      </c>
      <c r="B3191" s="17" t="s">
        <v>11436</v>
      </c>
      <c r="C3191" s="17" t="s">
        <v>11437</v>
      </c>
      <c r="D3191" s="19" t="s">
        <v>11438</v>
      </c>
      <c r="E3191" s="20" t="s">
        <v>632</v>
      </c>
      <c r="F3191" s="21">
        <v>25113.0</v>
      </c>
      <c r="G3191" s="14">
        <f t="shared" si="1"/>
        <v>58</v>
      </c>
      <c r="H3191" s="23" t="s">
        <v>26</v>
      </c>
      <c r="I3191" s="24" t="s">
        <v>27</v>
      </c>
      <c r="J3191" s="19" t="s">
        <v>53</v>
      </c>
      <c r="K3191" s="14">
        <v>30.0</v>
      </c>
      <c r="L3191" s="14">
        <v>0.0</v>
      </c>
      <c r="M3191" s="25"/>
      <c r="N3191" s="26" t="s">
        <v>21</v>
      </c>
      <c r="O3191" s="7"/>
      <c r="P3191" s="7"/>
      <c r="Q3191" s="7"/>
      <c r="R3191" s="7"/>
      <c r="S3191" s="7"/>
      <c r="T3191" s="7"/>
      <c r="U3191" s="7"/>
      <c r="V3191" s="7"/>
      <c r="W3191" s="7"/>
      <c r="X3191" s="7"/>
      <c r="Y3191" s="7"/>
    </row>
    <row r="3192">
      <c r="A3192" s="14" t="s">
        <v>11439</v>
      </c>
      <c r="B3192" s="17" t="s">
        <v>11436</v>
      </c>
      <c r="C3192" s="17" t="s">
        <v>11440</v>
      </c>
      <c r="D3192" s="19" t="s">
        <v>9862</v>
      </c>
      <c r="E3192" s="20" t="s">
        <v>632</v>
      </c>
      <c r="F3192" s="27">
        <v>24056.0</v>
      </c>
      <c r="G3192" s="14">
        <f t="shared" si="1"/>
        <v>60</v>
      </c>
      <c r="H3192" s="23" t="s">
        <v>26</v>
      </c>
      <c r="I3192" s="24" t="s">
        <v>33</v>
      </c>
      <c r="J3192" s="19" t="s">
        <v>53</v>
      </c>
      <c r="K3192" s="14">
        <v>30.0</v>
      </c>
      <c r="L3192" s="14">
        <v>1.0</v>
      </c>
      <c r="M3192" s="25"/>
      <c r="N3192" s="26" t="s">
        <v>21</v>
      </c>
      <c r="O3192" s="7"/>
      <c r="P3192" s="7"/>
      <c r="Q3192" s="7"/>
      <c r="R3192" s="7"/>
      <c r="S3192" s="7"/>
      <c r="T3192" s="7"/>
      <c r="U3192" s="7"/>
      <c r="V3192" s="7"/>
      <c r="W3192" s="7"/>
      <c r="X3192" s="7"/>
      <c r="Y3192" s="7"/>
    </row>
    <row r="3193">
      <c r="A3193" s="14" t="s">
        <v>11441</v>
      </c>
      <c r="B3193" s="17" t="s">
        <v>11442</v>
      </c>
      <c r="C3193" s="17" t="s">
        <v>11443</v>
      </c>
      <c r="D3193" s="19" t="s">
        <v>11444</v>
      </c>
      <c r="E3193" s="20" t="s">
        <v>632</v>
      </c>
      <c r="F3193" s="21">
        <v>21805.0</v>
      </c>
      <c r="G3193" s="14">
        <f t="shared" si="1"/>
        <v>67</v>
      </c>
      <c r="H3193" s="23" t="s">
        <v>26</v>
      </c>
      <c r="I3193" s="24" t="s">
        <v>33</v>
      </c>
      <c r="J3193" s="19" t="s">
        <v>53</v>
      </c>
      <c r="K3193" s="14">
        <v>29.0</v>
      </c>
      <c r="L3193" s="14">
        <v>0.0</v>
      </c>
      <c r="M3193" s="25"/>
      <c r="N3193" s="26" t="s">
        <v>21</v>
      </c>
      <c r="O3193" s="7"/>
      <c r="P3193" s="7"/>
      <c r="Q3193" s="7"/>
      <c r="R3193" s="7"/>
      <c r="S3193" s="7"/>
      <c r="T3193" s="7"/>
      <c r="U3193" s="7"/>
      <c r="V3193" s="7"/>
      <c r="W3193" s="7"/>
      <c r="X3193" s="7"/>
      <c r="Y3193" s="7"/>
    </row>
    <row r="3194">
      <c r="A3194" s="14" t="s">
        <v>11445</v>
      </c>
      <c r="B3194" s="17" t="s">
        <v>11442</v>
      </c>
      <c r="C3194" s="17" t="s">
        <v>11446</v>
      </c>
      <c r="D3194" s="19" t="s">
        <v>3118</v>
      </c>
      <c r="E3194" s="20" t="s">
        <v>632</v>
      </c>
      <c r="F3194" s="21">
        <v>23227.0</v>
      </c>
      <c r="G3194" s="14">
        <f t="shared" si="1"/>
        <v>63</v>
      </c>
      <c r="H3194" s="23" t="s">
        <v>26</v>
      </c>
      <c r="I3194" s="24" t="s">
        <v>27</v>
      </c>
      <c r="J3194" s="19" t="s">
        <v>53</v>
      </c>
      <c r="K3194" s="14">
        <v>29.0</v>
      </c>
      <c r="L3194" s="14">
        <v>0.0</v>
      </c>
      <c r="M3194" s="25"/>
      <c r="N3194" s="26" t="s">
        <v>21</v>
      </c>
      <c r="O3194" s="7"/>
      <c r="P3194" s="7"/>
      <c r="Q3194" s="7"/>
      <c r="R3194" s="7"/>
      <c r="S3194" s="7"/>
      <c r="T3194" s="7"/>
      <c r="U3194" s="7"/>
      <c r="V3194" s="7"/>
      <c r="W3194" s="7"/>
      <c r="X3194" s="7"/>
      <c r="Y3194" s="7"/>
    </row>
    <row r="3195">
      <c r="A3195" s="14" t="s">
        <v>11447</v>
      </c>
      <c r="B3195" s="17" t="s">
        <v>11448</v>
      </c>
      <c r="C3195" s="17" t="s">
        <v>11449</v>
      </c>
      <c r="D3195" s="19" t="s">
        <v>11450</v>
      </c>
      <c r="E3195" s="20" t="s">
        <v>337</v>
      </c>
      <c r="F3195" s="27">
        <v>36510.0</v>
      </c>
      <c r="G3195" s="14">
        <f t="shared" si="1"/>
        <v>26</v>
      </c>
      <c r="H3195" s="23" t="s">
        <v>100</v>
      </c>
      <c r="I3195" s="24" t="s">
        <v>27</v>
      </c>
      <c r="J3195" s="19" t="s">
        <v>53</v>
      </c>
      <c r="K3195" s="14">
        <v>29.0</v>
      </c>
      <c r="L3195" s="14">
        <v>0.0</v>
      </c>
      <c r="M3195" s="25"/>
      <c r="N3195" s="26" t="s">
        <v>21</v>
      </c>
      <c r="O3195" s="7"/>
      <c r="P3195" s="7"/>
      <c r="Q3195" s="7"/>
      <c r="R3195" s="7"/>
      <c r="S3195" s="7"/>
      <c r="T3195" s="7"/>
      <c r="U3195" s="7"/>
      <c r="V3195" s="7"/>
      <c r="W3195" s="7"/>
      <c r="X3195" s="7"/>
      <c r="Y3195" s="7"/>
    </row>
    <row r="3196">
      <c r="A3196" s="14" t="s">
        <v>11451</v>
      </c>
      <c r="B3196" s="17" t="s">
        <v>11448</v>
      </c>
      <c r="C3196" s="17" t="s">
        <v>11452</v>
      </c>
      <c r="D3196" s="19" t="s">
        <v>10512</v>
      </c>
      <c r="E3196" s="20" t="s">
        <v>1816</v>
      </c>
      <c r="F3196" s="21">
        <v>23093.0</v>
      </c>
      <c r="G3196" s="14">
        <f t="shared" si="1"/>
        <v>63</v>
      </c>
      <c r="H3196" s="23" t="s">
        <v>26</v>
      </c>
      <c r="I3196" s="24" t="s">
        <v>33</v>
      </c>
      <c r="J3196" s="19" t="s">
        <v>53</v>
      </c>
      <c r="K3196" s="14">
        <v>29.0</v>
      </c>
      <c r="L3196" s="14">
        <v>0.0</v>
      </c>
      <c r="M3196" s="25"/>
      <c r="N3196" s="26" t="s">
        <v>21</v>
      </c>
      <c r="O3196" s="7"/>
      <c r="P3196" s="7"/>
      <c r="Q3196" s="7"/>
      <c r="R3196" s="7"/>
      <c r="S3196" s="7"/>
      <c r="T3196" s="7"/>
      <c r="U3196" s="7"/>
      <c r="V3196" s="7"/>
      <c r="W3196" s="7"/>
      <c r="X3196" s="7"/>
      <c r="Y3196" s="7"/>
    </row>
    <row r="3197">
      <c r="A3197" s="14" t="s">
        <v>11453</v>
      </c>
      <c r="B3197" s="17" t="s">
        <v>11448</v>
      </c>
      <c r="C3197" s="17" t="s">
        <v>11454</v>
      </c>
      <c r="D3197" s="19" t="s">
        <v>11455</v>
      </c>
      <c r="E3197" s="20" t="s">
        <v>53</v>
      </c>
      <c r="F3197" s="27">
        <v>28043.0</v>
      </c>
      <c r="G3197" s="14">
        <f t="shared" si="1"/>
        <v>50</v>
      </c>
      <c r="H3197" s="23" t="s">
        <v>26</v>
      </c>
      <c r="I3197" s="24" t="s">
        <v>27</v>
      </c>
      <c r="J3197" s="19" t="s">
        <v>53</v>
      </c>
      <c r="K3197" s="14">
        <v>29.0</v>
      </c>
      <c r="L3197" s="14">
        <v>0.0</v>
      </c>
      <c r="M3197" s="25"/>
      <c r="N3197" s="26" t="s">
        <v>21</v>
      </c>
      <c r="O3197" s="7"/>
      <c r="P3197" s="7"/>
      <c r="Q3197" s="7"/>
      <c r="R3197" s="7"/>
      <c r="S3197" s="7"/>
      <c r="T3197" s="7"/>
      <c r="U3197" s="7"/>
      <c r="V3197" s="7"/>
      <c r="W3197" s="7"/>
      <c r="X3197" s="7"/>
      <c r="Y3197" s="7"/>
    </row>
    <row r="3198">
      <c r="A3198" s="14" t="s">
        <v>11456</v>
      </c>
      <c r="B3198" s="17" t="s">
        <v>11457</v>
      </c>
      <c r="C3198" s="17" t="s">
        <v>11458</v>
      </c>
      <c r="D3198" s="19" t="s">
        <v>11459</v>
      </c>
      <c r="E3198" s="20" t="s">
        <v>104</v>
      </c>
      <c r="F3198" s="21">
        <v>36632.0</v>
      </c>
      <c r="G3198" s="14">
        <f t="shared" si="1"/>
        <v>26</v>
      </c>
      <c r="H3198" s="23" t="s">
        <v>100</v>
      </c>
      <c r="I3198" s="24" t="s">
        <v>33</v>
      </c>
      <c r="J3198" s="19" t="s">
        <v>53</v>
      </c>
      <c r="K3198" s="14">
        <v>29.0</v>
      </c>
      <c r="L3198" s="14">
        <v>0.0</v>
      </c>
      <c r="M3198" s="25"/>
      <c r="N3198" s="26" t="s">
        <v>21</v>
      </c>
      <c r="O3198" s="7"/>
      <c r="P3198" s="7"/>
      <c r="Q3198" s="7"/>
      <c r="R3198" s="7"/>
      <c r="S3198" s="7"/>
      <c r="T3198" s="7"/>
      <c r="U3198" s="7"/>
      <c r="V3198" s="7"/>
      <c r="W3198" s="7"/>
      <c r="X3198" s="7"/>
      <c r="Y3198" s="7"/>
    </row>
    <row r="3199">
      <c r="A3199" s="14" t="s">
        <v>11460</v>
      </c>
      <c r="B3199" s="17" t="s">
        <v>11457</v>
      </c>
      <c r="C3199" s="17" t="s">
        <v>11461</v>
      </c>
      <c r="D3199" s="19" t="s">
        <v>11462</v>
      </c>
      <c r="E3199" s="20" t="s">
        <v>11463</v>
      </c>
      <c r="F3199" s="21">
        <v>26472.0</v>
      </c>
      <c r="G3199" s="14">
        <f t="shared" si="1"/>
        <v>54</v>
      </c>
      <c r="H3199" s="23" t="s">
        <v>26</v>
      </c>
      <c r="I3199" s="24" t="s">
        <v>27</v>
      </c>
      <c r="J3199" s="19" t="s">
        <v>53</v>
      </c>
      <c r="K3199" s="14">
        <v>29.0</v>
      </c>
      <c r="L3199" s="14">
        <v>0.0</v>
      </c>
      <c r="M3199" s="25"/>
      <c r="N3199" s="26" t="s">
        <v>21</v>
      </c>
      <c r="O3199" s="7"/>
      <c r="P3199" s="7"/>
      <c r="Q3199" s="7"/>
      <c r="R3199" s="7"/>
      <c r="S3199" s="7"/>
      <c r="T3199" s="7"/>
      <c r="U3199" s="7"/>
      <c r="V3199" s="7"/>
      <c r="W3199" s="7"/>
      <c r="X3199" s="7"/>
      <c r="Y3199" s="7"/>
    </row>
    <row r="3200">
      <c r="A3200" s="14" t="s">
        <v>11464</v>
      </c>
      <c r="B3200" s="17" t="s">
        <v>11457</v>
      </c>
      <c r="C3200" s="17" t="s">
        <v>11465</v>
      </c>
      <c r="D3200" s="19" t="s">
        <v>11466</v>
      </c>
      <c r="E3200" s="20" t="s">
        <v>219</v>
      </c>
      <c r="F3200" s="21">
        <v>25689.0</v>
      </c>
      <c r="G3200" s="14">
        <f t="shared" si="1"/>
        <v>56</v>
      </c>
      <c r="H3200" s="23" t="s">
        <v>26</v>
      </c>
      <c r="I3200" s="24" t="s">
        <v>33</v>
      </c>
      <c r="J3200" s="19" t="s">
        <v>53</v>
      </c>
      <c r="K3200" s="14">
        <v>29.0</v>
      </c>
      <c r="L3200" s="14">
        <v>0.0</v>
      </c>
      <c r="M3200" s="25"/>
      <c r="N3200" s="26" t="s">
        <v>21</v>
      </c>
      <c r="O3200" s="7"/>
      <c r="P3200" s="7"/>
      <c r="Q3200" s="7"/>
      <c r="R3200" s="7"/>
      <c r="S3200" s="7"/>
      <c r="T3200" s="7"/>
      <c r="U3200" s="7"/>
      <c r="V3200" s="7"/>
      <c r="W3200" s="7"/>
      <c r="X3200" s="7"/>
      <c r="Y3200" s="7"/>
    </row>
    <row r="3201">
      <c r="A3201" s="14" t="s">
        <v>11467</v>
      </c>
      <c r="B3201" s="17" t="s">
        <v>11468</v>
      </c>
      <c r="C3201" s="17" t="s">
        <v>11469</v>
      </c>
      <c r="D3201" s="19" t="s">
        <v>5324</v>
      </c>
      <c r="E3201" s="20" t="s">
        <v>654</v>
      </c>
      <c r="F3201" s="21">
        <v>23686.0</v>
      </c>
      <c r="G3201" s="14">
        <f t="shared" si="1"/>
        <v>61</v>
      </c>
      <c r="H3201" s="23" t="s">
        <v>26</v>
      </c>
      <c r="I3201" s="24" t="s">
        <v>33</v>
      </c>
      <c r="J3201" s="19" t="s">
        <v>53</v>
      </c>
      <c r="K3201" s="14">
        <v>29.0</v>
      </c>
      <c r="L3201" s="14">
        <v>0.0</v>
      </c>
      <c r="M3201" s="25"/>
      <c r="N3201" s="26" t="s">
        <v>21</v>
      </c>
      <c r="O3201" s="7"/>
      <c r="P3201" s="7"/>
      <c r="Q3201" s="7"/>
      <c r="R3201" s="7"/>
      <c r="S3201" s="7"/>
      <c r="T3201" s="7"/>
      <c r="U3201" s="7"/>
      <c r="V3201" s="7"/>
      <c r="W3201" s="7"/>
      <c r="X3201" s="7"/>
      <c r="Y3201" s="7"/>
    </row>
    <row r="3202">
      <c r="A3202" s="14" t="s">
        <v>11470</v>
      </c>
      <c r="B3202" s="17" t="s">
        <v>11468</v>
      </c>
      <c r="C3202" s="17" t="s">
        <v>11471</v>
      </c>
      <c r="D3202" s="19" t="s">
        <v>11472</v>
      </c>
      <c r="E3202" s="20" t="s">
        <v>1211</v>
      </c>
      <c r="F3202" s="21">
        <v>37931.0</v>
      </c>
      <c r="G3202" s="14">
        <f t="shared" si="1"/>
        <v>22</v>
      </c>
      <c r="H3202" s="23" t="s">
        <v>100</v>
      </c>
      <c r="I3202" s="24" t="s">
        <v>27</v>
      </c>
      <c r="J3202" s="19" t="s">
        <v>53</v>
      </c>
      <c r="K3202" s="14">
        <v>29.0</v>
      </c>
      <c r="L3202" s="14">
        <v>0.0</v>
      </c>
      <c r="M3202" s="25"/>
      <c r="N3202" s="26" t="s">
        <v>21</v>
      </c>
      <c r="O3202" s="7"/>
      <c r="P3202" s="7"/>
      <c r="Q3202" s="7"/>
      <c r="R3202" s="7"/>
      <c r="S3202" s="7"/>
      <c r="T3202" s="7"/>
      <c r="U3202" s="7"/>
      <c r="V3202" s="7"/>
      <c r="W3202" s="7"/>
      <c r="X3202" s="7"/>
      <c r="Y3202" s="7"/>
    </row>
    <row r="3203">
      <c r="A3203" s="14" t="s">
        <v>11473</v>
      </c>
      <c r="B3203" s="17" t="s">
        <v>11468</v>
      </c>
      <c r="C3203" s="17" t="s">
        <v>11474</v>
      </c>
      <c r="D3203" s="19" t="s">
        <v>11475</v>
      </c>
      <c r="E3203" s="20" t="s">
        <v>11463</v>
      </c>
      <c r="F3203" s="21">
        <v>27456.0</v>
      </c>
      <c r="G3203" s="14">
        <f t="shared" si="1"/>
        <v>51</v>
      </c>
      <c r="H3203" s="23" t="s">
        <v>26</v>
      </c>
      <c r="I3203" s="24" t="s">
        <v>27</v>
      </c>
      <c r="J3203" s="19" t="s">
        <v>53</v>
      </c>
      <c r="K3203" s="14">
        <v>29.0</v>
      </c>
      <c r="L3203" s="14">
        <v>0.0</v>
      </c>
      <c r="M3203" s="25"/>
      <c r="N3203" s="26" t="s">
        <v>21</v>
      </c>
      <c r="O3203" s="7"/>
      <c r="P3203" s="7"/>
      <c r="Q3203" s="7"/>
      <c r="R3203" s="7"/>
      <c r="S3203" s="7"/>
      <c r="T3203" s="7"/>
      <c r="U3203" s="7"/>
      <c r="V3203" s="7"/>
      <c r="W3203" s="7"/>
      <c r="X3203" s="7"/>
      <c r="Y3203" s="7"/>
    </row>
    <row r="3204">
      <c r="A3204" s="14" t="s">
        <v>11476</v>
      </c>
      <c r="B3204" s="17" t="s">
        <v>11477</v>
      </c>
      <c r="C3204" s="17" t="s">
        <v>11478</v>
      </c>
      <c r="D3204" s="19" t="s">
        <v>11479</v>
      </c>
      <c r="E3204" s="20" t="s">
        <v>176</v>
      </c>
      <c r="F3204" s="21">
        <v>36596.0</v>
      </c>
      <c r="G3204" s="14">
        <f t="shared" si="1"/>
        <v>26</v>
      </c>
      <c r="H3204" s="23" t="s">
        <v>100</v>
      </c>
      <c r="I3204" s="24" t="s">
        <v>33</v>
      </c>
      <c r="J3204" s="19" t="s">
        <v>328</v>
      </c>
      <c r="K3204" s="14">
        <v>19.0</v>
      </c>
      <c r="L3204" s="14">
        <v>0.0</v>
      </c>
      <c r="M3204" s="25"/>
      <c r="N3204" s="26" t="s">
        <v>21</v>
      </c>
      <c r="O3204" s="7"/>
      <c r="P3204" s="7"/>
      <c r="Q3204" s="7"/>
      <c r="R3204" s="7"/>
      <c r="S3204" s="7"/>
      <c r="T3204" s="7"/>
      <c r="U3204" s="7"/>
      <c r="V3204" s="7"/>
      <c r="W3204" s="7"/>
      <c r="X3204" s="7"/>
      <c r="Y3204" s="7"/>
    </row>
    <row r="3205">
      <c r="A3205" s="14" t="s">
        <v>11480</v>
      </c>
      <c r="B3205" s="17" t="s">
        <v>11477</v>
      </c>
      <c r="C3205" s="17" t="s">
        <v>11481</v>
      </c>
      <c r="D3205" s="19" t="s">
        <v>11482</v>
      </c>
      <c r="E3205" s="20" t="s">
        <v>11483</v>
      </c>
      <c r="F3205" s="21">
        <v>27629.0</v>
      </c>
      <c r="G3205" s="14">
        <f t="shared" si="1"/>
        <v>51</v>
      </c>
      <c r="H3205" s="23" t="s">
        <v>26</v>
      </c>
      <c r="I3205" s="24" t="s">
        <v>27</v>
      </c>
      <c r="J3205" s="19" t="s">
        <v>328</v>
      </c>
      <c r="K3205" s="14">
        <v>19.0</v>
      </c>
      <c r="L3205" s="14">
        <v>0.0</v>
      </c>
      <c r="M3205" s="25"/>
      <c r="N3205" s="26" t="s">
        <v>21</v>
      </c>
      <c r="O3205" s="7"/>
      <c r="P3205" s="7"/>
      <c r="Q3205" s="7"/>
      <c r="R3205" s="7"/>
      <c r="S3205" s="7"/>
      <c r="T3205" s="7"/>
      <c r="U3205" s="7"/>
      <c r="V3205" s="7"/>
      <c r="W3205" s="7"/>
      <c r="X3205" s="7"/>
      <c r="Y3205" s="7"/>
    </row>
    <row r="3206">
      <c r="A3206" s="14" t="s">
        <v>11484</v>
      </c>
      <c r="B3206" s="17" t="s">
        <v>11477</v>
      </c>
      <c r="C3206" s="17" t="s">
        <v>11485</v>
      </c>
      <c r="D3206" s="19" t="s">
        <v>11486</v>
      </c>
      <c r="E3206" s="20" t="s">
        <v>176</v>
      </c>
      <c r="F3206" s="21">
        <v>25328.0</v>
      </c>
      <c r="G3206" s="14">
        <f t="shared" si="1"/>
        <v>57</v>
      </c>
      <c r="H3206" s="23" t="s">
        <v>26</v>
      </c>
      <c r="I3206" s="24" t="s">
        <v>33</v>
      </c>
      <c r="J3206" s="19" t="s">
        <v>328</v>
      </c>
      <c r="K3206" s="14">
        <v>19.0</v>
      </c>
      <c r="L3206" s="14">
        <v>0.0</v>
      </c>
      <c r="M3206" s="25"/>
      <c r="N3206" s="26" t="s">
        <v>21</v>
      </c>
      <c r="O3206" s="7"/>
      <c r="P3206" s="7"/>
      <c r="Q3206" s="7"/>
      <c r="R3206" s="7"/>
      <c r="S3206" s="7"/>
      <c r="T3206" s="7"/>
      <c r="U3206" s="7"/>
      <c r="V3206" s="7"/>
      <c r="W3206" s="7"/>
      <c r="X3206" s="7"/>
      <c r="Y3206" s="7"/>
    </row>
    <row r="3207">
      <c r="A3207" s="14" t="s">
        <v>11488</v>
      </c>
      <c r="B3207" s="17" t="s">
        <v>11489</v>
      </c>
      <c r="C3207" s="17" t="s">
        <v>11490</v>
      </c>
      <c r="D3207" s="19" t="s">
        <v>11491</v>
      </c>
      <c r="E3207" s="20" t="s">
        <v>11492</v>
      </c>
      <c r="F3207" s="21">
        <v>22392.0</v>
      </c>
      <c r="G3207" s="14">
        <f t="shared" si="1"/>
        <v>65</v>
      </c>
      <c r="H3207" s="23" t="s">
        <v>27</v>
      </c>
      <c r="I3207" s="24" t="s">
        <v>27</v>
      </c>
      <c r="J3207" s="19" t="s">
        <v>95</v>
      </c>
      <c r="K3207" s="14">
        <v>13.0</v>
      </c>
      <c r="L3207" s="14">
        <v>0.0</v>
      </c>
      <c r="M3207" s="25"/>
      <c r="N3207" s="26" t="s">
        <v>21</v>
      </c>
      <c r="O3207" s="7"/>
      <c r="P3207" s="7"/>
      <c r="Q3207" s="7"/>
      <c r="R3207" s="7"/>
      <c r="S3207" s="7"/>
      <c r="T3207" s="7"/>
      <c r="U3207" s="7"/>
      <c r="V3207" s="7"/>
      <c r="W3207" s="7"/>
      <c r="X3207" s="7"/>
      <c r="Y3207" s="7"/>
    </row>
    <row r="3208">
      <c r="A3208" s="14" t="s">
        <v>11493</v>
      </c>
      <c r="B3208" s="17" t="s">
        <v>11489</v>
      </c>
      <c r="C3208" s="17" t="s">
        <v>11494</v>
      </c>
      <c r="D3208" s="19" t="s">
        <v>11495</v>
      </c>
      <c r="E3208" s="20" t="s">
        <v>337</v>
      </c>
      <c r="F3208" s="21">
        <v>38171.0</v>
      </c>
      <c r="G3208" s="14">
        <f t="shared" si="1"/>
        <v>22</v>
      </c>
      <c r="H3208" s="23" t="s">
        <v>100</v>
      </c>
      <c r="I3208" s="24" t="s">
        <v>33</v>
      </c>
      <c r="J3208" s="19" t="s">
        <v>95</v>
      </c>
      <c r="K3208" s="14">
        <v>13.0</v>
      </c>
      <c r="L3208" s="14">
        <v>0.0</v>
      </c>
      <c r="M3208" s="25"/>
      <c r="N3208" s="26" t="s">
        <v>21</v>
      </c>
      <c r="O3208" s="7"/>
      <c r="P3208" s="7"/>
      <c r="Q3208" s="7"/>
      <c r="R3208" s="7"/>
      <c r="S3208" s="7"/>
      <c r="T3208" s="7"/>
      <c r="U3208" s="7"/>
      <c r="V3208" s="7"/>
      <c r="W3208" s="7"/>
      <c r="X3208" s="7"/>
      <c r="Y3208" s="7"/>
    </row>
    <row r="3209">
      <c r="A3209" s="14" t="s">
        <v>11497</v>
      </c>
      <c r="B3209" s="17" t="s">
        <v>11498</v>
      </c>
      <c r="C3209" s="17" t="s">
        <v>11499</v>
      </c>
      <c r="D3209" s="19" t="s">
        <v>11500</v>
      </c>
      <c r="E3209" s="20" t="s">
        <v>11501</v>
      </c>
      <c r="F3209" s="21">
        <v>14891.0</v>
      </c>
      <c r="G3209" s="14">
        <f t="shared" si="1"/>
        <v>86</v>
      </c>
      <c r="H3209" s="23" t="s">
        <v>27</v>
      </c>
      <c r="I3209" s="24" t="s">
        <v>27</v>
      </c>
      <c r="J3209" s="19" t="s">
        <v>53</v>
      </c>
      <c r="K3209" s="14">
        <v>13.0</v>
      </c>
      <c r="L3209" s="14">
        <v>0.0</v>
      </c>
      <c r="M3209" s="25"/>
      <c r="N3209" s="26" t="s">
        <v>21</v>
      </c>
      <c r="O3209" s="7"/>
      <c r="P3209" s="7"/>
      <c r="Q3209" s="7"/>
      <c r="R3209" s="7"/>
      <c r="S3209" s="7"/>
      <c r="T3209" s="7"/>
      <c r="U3209" s="7"/>
      <c r="V3209" s="7"/>
      <c r="W3209" s="7"/>
      <c r="X3209" s="7"/>
      <c r="Y3209" s="7"/>
    </row>
    <row r="3210">
      <c r="A3210" s="14" t="s">
        <v>11502</v>
      </c>
      <c r="B3210" s="17" t="s">
        <v>11503</v>
      </c>
      <c r="C3210" s="17" t="s">
        <v>11504</v>
      </c>
      <c r="D3210" s="19" t="s">
        <v>11505</v>
      </c>
      <c r="E3210" s="20" t="s">
        <v>138</v>
      </c>
      <c r="F3210" s="21">
        <v>37324.0</v>
      </c>
      <c r="G3210" s="14">
        <f t="shared" si="1"/>
        <v>24</v>
      </c>
      <c r="H3210" s="23" t="s">
        <v>26</v>
      </c>
      <c r="I3210" s="24" t="s">
        <v>27</v>
      </c>
      <c r="J3210" s="19" t="s">
        <v>53</v>
      </c>
      <c r="K3210" s="14">
        <v>13.0</v>
      </c>
      <c r="L3210" s="14">
        <v>0.0</v>
      </c>
      <c r="M3210" s="25"/>
      <c r="N3210" s="26" t="s">
        <v>21</v>
      </c>
      <c r="O3210" s="7"/>
      <c r="P3210" s="7"/>
      <c r="Q3210" s="7"/>
      <c r="R3210" s="7"/>
      <c r="S3210" s="7"/>
      <c r="T3210" s="7"/>
      <c r="U3210" s="7"/>
      <c r="V3210" s="7"/>
      <c r="W3210" s="7"/>
      <c r="X3210" s="7"/>
      <c r="Y3210" s="7"/>
    </row>
    <row r="3211">
      <c r="A3211" s="14" t="s">
        <v>11506</v>
      </c>
      <c r="B3211" s="17" t="s">
        <v>11503</v>
      </c>
      <c r="C3211" s="17" t="s">
        <v>11507</v>
      </c>
      <c r="D3211" s="19" t="s">
        <v>11508</v>
      </c>
      <c r="E3211" s="20" t="s">
        <v>53</v>
      </c>
      <c r="F3211" s="27">
        <v>39072.0</v>
      </c>
      <c r="G3211" s="14">
        <f t="shared" si="1"/>
        <v>19</v>
      </c>
      <c r="H3211" s="23" t="s">
        <v>100</v>
      </c>
      <c r="I3211" s="24" t="s">
        <v>33</v>
      </c>
      <c r="J3211" s="19" t="s">
        <v>53</v>
      </c>
      <c r="K3211" s="14">
        <v>13.0</v>
      </c>
      <c r="L3211" s="14">
        <v>0.0</v>
      </c>
      <c r="M3211" s="25"/>
      <c r="N3211" s="26" t="s">
        <v>21</v>
      </c>
      <c r="O3211" s="7"/>
      <c r="P3211" s="7"/>
      <c r="Q3211" s="7"/>
      <c r="R3211" s="7"/>
      <c r="S3211" s="7"/>
      <c r="T3211" s="7"/>
      <c r="U3211" s="7"/>
      <c r="V3211" s="7"/>
      <c r="W3211" s="7"/>
      <c r="X3211" s="7"/>
      <c r="Y3211" s="7"/>
    </row>
    <row r="3212">
      <c r="A3212" s="14" t="s">
        <v>11509</v>
      </c>
      <c r="B3212" s="17" t="s">
        <v>11503</v>
      </c>
      <c r="C3212" s="17" t="s">
        <v>11510</v>
      </c>
      <c r="D3212" s="19" t="s">
        <v>11511</v>
      </c>
      <c r="E3212" s="20" t="s">
        <v>11512</v>
      </c>
      <c r="F3212" s="21">
        <v>28689.0</v>
      </c>
      <c r="G3212" s="14">
        <f t="shared" si="1"/>
        <v>48</v>
      </c>
      <c r="H3212" s="23" t="s">
        <v>26</v>
      </c>
      <c r="I3212" s="24" t="s">
        <v>27</v>
      </c>
      <c r="J3212" s="19" t="s">
        <v>53</v>
      </c>
      <c r="K3212" s="14">
        <v>13.0</v>
      </c>
      <c r="L3212" s="14">
        <v>0.0</v>
      </c>
      <c r="M3212" s="25"/>
      <c r="N3212" s="26" t="s">
        <v>21</v>
      </c>
      <c r="O3212" s="7"/>
      <c r="P3212" s="7"/>
      <c r="Q3212" s="7"/>
      <c r="R3212" s="7"/>
      <c r="S3212" s="7"/>
      <c r="T3212" s="7"/>
      <c r="U3212" s="7"/>
      <c r="V3212" s="7"/>
      <c r="W3212" s="7"/>
      <c r="X3212" s="7"/>
      <c r="Y3212" s="7"/>
    </row>
    <row r="3213">
      <c r="A3213" s="14" t="s">
        <v>11513</v>
      </c>
      <c r="B3213" s="17" t="s">
        <v>11503</v>
      </c>
      <c r="C3213" s="17" t="s">
        <v>11514</v>
      </c>
      <c r="D3213" s="19" t="s">
        <v>11515</v>
      </c>
      <c r="E3213" s="20" t="s">
        <v>429</v>
      </c>
      <c r="F3213" s="21">
        <v>27415.0</v>
      </c>
      <c r="G3213" s="14">
        <f t="shared" si="1"/>
        <v>51</v>
      </c>
      <c r="H3213" s="23" t="s">
        <v>26</v>
      </c>
      <c r="I3213" s="24" t="s">
        <v>33</v>
      </c>
      <c r="J3213" s="19" t="s">
        <v>53</v>
      </c>
      <c r="K3213" s="14">
        <v>13.0</v>
      </c>
      <c r="L3213" s="14">
        <v>0.0</v>
      </c>
      <c r="M3213" s="25"/>
      <c r="N3213" s="26" t="s">
        <v>21</v>
      </c>
      <c r="O3213" s="7"/>
      <c r="P3213" s="7"/>
      <c r="Q3213" s="7"/>
      <c r="R3213" s="7"/>
      <c r="S3213" s="7"/>
      <c r="T3213" s="7"/>
      <c r="U3213" s="7"/>
      <c r="V3213" s="7"/>
      <c r="W3213" s="7"/>
      <c r="X3213" s="7"/>
      <c r="Y3213" s="7"/>
    </row>
    <row r="3214">
      <c r="A3214" s="14" t="s">
        <v>11517</v>
      </c>
      <c r="B3214" s="17" t="s">
        <v>11518</v>
      </c>
      <c r="C3214" s="17" t="s">
        <v>11519</v>
      </c>
      <c r="D3214" s="19" t="s">
        <v>11520</v>
      </c>
      <c r="E3214" s="20" t="s">
        <v>104</v>
      </c>
      <c r="F3214" s="21">
        <v>29493.0</v>
      </c>
      <c r="G3214" s="14">
        <f t="shared" si="1"/>
        <v>46</v>
      </c>
      <c r="H3214" s="23" t="s">
        <v>26</v>
      </c>
      <c r="I3214" s="24" t="s">
        <v>27</v>
      </c>
      <c r="J3214" s="19" t="s">
        <v>53</v>
      </c>
      <c r="K3214" s="14">
        <v>14.0</v>
      </c>
      <c r="L3214" s="14">
        <v>0.0</v>
      </c>
      <c r="M3214" s="25"/>
      <c r="N3214" s="26" t="s">
        <v>21</v>
      </c>
      <c r="O3214" s="7"/>
      <c r="P3214" s="7"/>
      <c r="Q3214" s="7"/>
      <c r="R3214" s="7"/>
      <c r="S3214" s="7"/>
      <c r="T3214" s="7"/>
      <c r="U3214" s="7"/>
      <c r="V3214" s="7"/>
      <c r="W3214" s="7"/>
      <c r="X3214" s="7"/>
      <c r="Y3214" s="7"/>
    </row>
    <row r="3215">
      <c r="A3215" s="14" t="s">
        <v>11521</v>
      </c>
      <c r="B3215" s="17" t="s">
        <v>11518</v>
      </c>
      <c r="C3215" s="17" t="s">
        <v>11522</v>
      </c>
      <c r="D3215" s="19" t="s">
        <v>11523</v>
      </c>
      <c r="E3215" s="20" t="s">
        <v>1370</v>
      </c>
      <c r="F3215" s="21">
        <v>29092.0</v>
      </c>
      <c r="G3215" s="14">
        <f t="shared" si="1"/>
        <v>47</v>
      </c>
      <c r="H3215" s="23" t="s">
        <v>26</v>
      </c>
      <c r="I3215" s="24" t="s">
        <v>33</v>
      </c>
      <c r="J3215" s="19" t="s">
        <v>53</v>
      </c>
      <c r="K3215" s="14">
        <v>14.0</v>
      </c>
      <c r="L3215" s="14">
        <v>0.0</v>
      </c>
      <c r="M3215" s="25"/>
      <c r="N3215" s="26" t="s">
        <v>21</v>
      </c>
      <c r="O3215" s="7"/>
      <c r="P3215" s="7"/>
      <c r="Q3215" s="7"/>
      <c r="R3215" s="7"/>
      <c r="S3215" s="7"/>
      <c r="T3215" s="7"/>
      <c r="U3215" s="7"/>
      <c r="V3215" s="7"/>
      <c r="W3215" s="7"/>
      <c r="X3215" s="7"/>
      <c r="Y3215" s="7"/>
    </row>
    <row r="3216">
      <c r="A3216" s="14" t="s">
        <v>11524</v>
      </c>
      <c r="B3216" s="17" t="s">
        <v>11518</v>
      </c>
      <c r="C3216" s="17" t="s">
        <v>11525</v>
      </c>
      <c r="D3216" s="19" t="s">
        <v>11526</v>
      </c>
      <c r="E3216" s="20" t="s">
        <v>104</v>
      </c>
      <c r="F3216" s="27">
        <v>38281.0</v>
      </c>
      <c r="G3216" s="14">
        <f t="shared" si="1"/>
        <v>22</v>
      </c>
      <c r="H3216" s="23" t="s">
        <v>100</v>
      </c>
      <c r="I3216" s="24" t="s">
        <v>33</v>
      </c>
      <c r="J3216" s="19" t="s">
        <v>53</v>
      </c>
      <c r="K3216" s="14">
        <v>14.0</v>
      </c>
      <c r="L3216" s="14">
        <v>0.0</v>
      </c>
      <c r="M3216" s="25"/>
      <c r="N3216" s="26" t="s">
        <v>21</v>
      </c>
      <c r="O3216" s="7"/>
      <c r="P3216" s="7"/>
      <c r="Q3216" s="7"/>
      <c r="R3216" s="7"/>
      <c r="S3216" s="7"/>
      <c r="T3216" s="7"/>
      <c r="U3216" s="7"/>
      <c r="V3216" s="7"/>
      <c r="W3216" s="7"/>
      <c r="X3216" s="7"/>
      <c r="Y3216" s="7"/>
    </row>
    <row r="3217">
      <c r="A3217" s="14" t="s">
        <v>11527</v>
      </c>
      <c r="B3217" s="17" t="s">
        <v>11528</v>
      </c>
      <c r="C3217" s="17" t="s">
        <v>11529</v>
      </c>
      <c r="D3217" s="19" t="s">
        <v>11530</v>
      </c>
      <c r="E3217" s="20" t="s">
        <v>6102</v>
      </c>
      <c r="F3217" s="21">
        <v>22456.0</v>
      </c>
      <c r="G3217" s="14">
        <f t="shared" si="1"/>
        <v>65</v>
      </c>
      <c r="H3217" s="23" t="s">
        <v>26</v>
      </c>
      <c r="I3217" s="24" t="s">
        <v>33</v>
      </c>
      <c r="J3217" s="19" t="s">
        <v>726</v>
      </c>
      <c r="K3217" s="14">
        <v>17.0</v>
      </c>
      <c r="L3217" s="14">
        <v>0.0</v>
      </c>
      <c r="M3217" s="25"/>
      <c r="N3217" s="26" t="s">
        <v>21</v>
      </c>
      <c r="O3217" s="7"/>
      <c r="P3217" s="7"/>
      <c r="Q3217" s="7"/>
      <c r="R3217" s="7"/>
      <c r="S3217" s="7"/>
      <c r="T3217" s="7"/>
      <c r="U3217" s="7"/>
      <c r="V3217" s="7"/>
      <c r="W3217" s="7"/>
      <c r="X3217" s="7"/>
      <c r="Y3217" s="7"/>
    </row>
    <row r="3218">
      <c r="A3218" s="14" t="s">
        <v>11531</v>
      </c>
      <c r="B3218" s="17" t="s">
        <v>11528</v>
      </c>
      <c r="C3218" s="17" t="s">
        <v>11532</v>
      </c>
      <c r="D3218" s="19" t="s">
        <v>11533</v>
      </c>
      <c r="E3218" s="20" t="s">
        <v>1816</v>
      </c>
      <c r="F3218" s="27">
        <v>26293.0</v>
      </c>
      <c r="G3218" s="14">
        <f t="shared" si="1"/>
        <v>54</v>
      </c>
      <c r="H3218" s="23" t="s">
        <v>26</v>
      </c>
      <c r="I3218" s="24" t="s">
        <v>27</v>
      </c>
      <c r="J3218" s="19" t="s">
        <v>726</v>
      </c>
      <c r="K3218" s="14">
        <v>17.0</v>
      </c>
      <c r="L3218" s="14">
        <v>0.0</v>
      </c>
      <c r="M3218" s="25"/>
      <c r="N3218" s="26" t="s">
        <v>21</v>
      </c>
      <c r="O3218" s="7"/>
      <c r="P3218" s="7"/>
      <c r="Q3218" s="7"/>
      <c r="R3218" s="7"/>
      <c r="S3218" s="7"/>
      <c r="T3218" s="7"/>
      <c r="U3218" s="7"/>
      <c r="V3218" s="7"/>
      <c r="W3218" s="7"/>
      <c r="X3218" s="7"/>
      <c r="Y3218" s="7"/>
    </row>
    <row r="3219">
      <c r="A3219" s="14" t="s">
        <v>11534</v>
      </c>
      <c r="B3219" s="17" t="s">
        <v>11528</v>
      </c>
      <c r="C3219" s="17" t="s">
        <v>11535</v>
      </c>
      <c r="D3219" s="19" t="s">
        <v>2199</v>
      </c>
      <c r="E3219" s="20" t="s">
        <v>1816</v>
      </c>
      <c r="F3219" s="21">
        <v>28013.0</v>
      </c>
      <c r="G3219" s="14">
        <f t="shared" si="1"/>
        <v>50</v>
      </c>
      <c r="H3219" s="23" t="s">
        <v>26</v>
      </c>
      <c r="I3219" s="24" t="s">
        <v>33</v>
      </c>
      <c r="J3219" s="19" t="s">
        <v>282</v>
      </c>
      <c r="K3219" s="14">
        <v>17.0</v>
      </c>
      <c r="L3219" s="14">
        <v>0.0</v>
      </c>
      <c r="M3219" s="25"/>
      <c r="N3219" s="26" t="s">
        <v>21</v>
      </c>
      <c r="O3219" s="7"/>
      <c r="P3219" s="7"/>
      <c r="Q3219" s="7"/>
      <c r="R3219" s="7"/>
      <c r="S3219" s="7"/>
      <c r="T3219" s="7"/>
      <c r="U3219" s="7"/>
      <c r="V3219" s="7"/>
      <c r="W3219" s="7"/>
      <c r="X3219" s="7"/>
      <c r="Y3219" s="7"/>
    </row>
    <row r="3220">
      <c r="A3220" s="14" t="s">
        <v>11536</v>
      </c>
      <c r="B3220" s="17" t="s">
        <v>11528</v>
      </c>
      <c r="C3220" s="17" t="s">
        <v>11537</v>
      </c>
      <c r="D3220" s="19" t="s">
        <v>11538</v>
      </c>
      <c r="E3220" s="20" t="s">
        <v>104</v>
      </c>
      <c r="F3220" s="21">
        <v>37802.0</v>
      </c>
      <c r="G3220" s="14">
        <f t="shared" si="1"/>
        <v>23</v>
      </c>
      <c r="H3220" s="23" t="s">
        <v>100</v>
      </c>
      <c r="I3220" s="24" t="s">
        <v>33</v>
      </c>
      <c r="J3220" s="19" t="s">
        <v>726</v>
      </c>
      <c r="K3220" s="14">
        <v>17.0</v>
      </c>
      <c r="L3220" s="14">
        <v>0.0</v>
      </c>
      <c r="M3220" s="25"/>
      <c r="N3220" s="26" t="s">
        <v>21</v>
      </c>
      <c r="O3220" s="7"/>
      <c r="P3220" s="7"/>
      <c r="Q3220" s="7"/>
      <c r="R3220" s="7"/>
      <c r="S3220" s="7"/>
      <c r="T3220" s="7"/>
      <c r="U3220" s="7"/>
      <c r="V3220" s="7"/>
      <c r="W3220" s="7"/>
      <c r="X3220" s="7"/>
      <c r="Y3220" s="7"/>
    </row>
    <row r="3221">
      <c r="A3221" s="14" t="s">
        <v>11539</v>
      </c>
      <c r="B3221" s="17" t="s">
        <v>11540</v>
      </c>
      <c r="C3221" s="17" t="s">
        <v>11541</v>
      </c>
      <c r="D3221" s="19" t="s">
        <v>11542</v>
      </c>
      <c r="E3221" s="20" t="s">
        <v>1049</v>
      </c>
      <c r="F3221" s="21">
        <v>14355.0</v>
      </c>
      <c r="G3221" s="14">
        <f t="shared" si="1"/>
        <v>87</v>
      </c>
      <c r="H3221" s="23" t="s">
        <v>27</v>
      </c>
      <c r="I3221" s="24" t="s">
        <v>27</v>
      </c>
      <c r="J3221" s="19" t="s">
        <v>726</v>
      </c>
      <c r="K3221" s="14">
        <v>17.0</v>
      </c>
      <c r="L3221" s="14">
        <v>1.0</v>
      </c>
      <c r="M3221" s="25"/>
      <c r="N3221" s="26" t="s">
        <v>21</v>
      </c>
      <c r="O3221" s="7"/>
      <c r="P3221" s="7"/>
      <c r="Q3221" s="7"/>
      <c r="R3221" s="7"/>
      <c r="S3221" s="7"/>
      <c r="T3221" s="7"/>
      <c r="U3221" s="7"/>
      <c r="V3221" s="7"/>
      <c r="W3221" s="7"/>
      <c r="X3221" s="7"/>
      <c r="Y3221" s="7"/>
    </row>
    <row r="3222">
      <c r="A3222" s="14" t="s">
        <v>11543</v>
      </c>
      <c r="B3222" s="17" t="s">
        <v>11540</v>
      </c>
      <c r="C3222" s="17" t="s">
        <v>11544</v>
      </c>
      <c r="D3222" s="19" t="s">
        <v>6121</v>
      </c>
      <c r="E3222" s="20" t="s">
        <v>1816</v>
      </c>
      <c r="F3222" s="21">
        <v>24356.0</v>
      </c>
      <c r="G3222" s="14">
        <f t="shared" si="1"/>
        <v>60</v>
      </c>
      <c r="H3222" s="23" t="s">
        <v>26</v>
      </c>
      <c r="I3222" s="24" t="s">
        <v>33</v>
      </c>
      <c r="J3222" s="19" t="s">
        <v>726</v>
      </c>
      <c r="K3222" s="14">
        <v>17.0</v>
      </c>
      <c r="L3222" s="14">
        <v>0.0</v>
      </c>
      <c r="M3222" s="25"/>
      <c r="N3222" s="26" t="s">
        <v>21</v>
      </c>
      <c r="O3222" s="7"/>
      <c r="P3222" s="7"/>
      <c r="Q3222" s="7"/>
      <c r="R3222" s="7"/>
      <c r="S3222" s="7"/>
      <c r="T3222" s="7"/>
      <c r="U3222" s="7"/>
      <c r="V3222" s="7"/>
      <c r="W3222" s="7"/>
      <c r="X3222" s="7"/>
      <c r="Y3222" s="7"/>
    </row>
    <row r="3223">
      <c r="A3223" s="14" t="s">
        <v>11545</v>
      </c>
      <c r="B3223" s="17" t="s">
        <v>11540</v>
      </c>
      <c r="C3223" s="17" t="s">
        <v>11546</v>
      </c>
      <c r="D3223" s="19" t="s">
        <v>11547</v>
      </c>
      <c r="E3223" s="20" t="s">
        <v>1816</v>
      </c>
      <c r="F3223" s="21">
        <v>25823.0</v>
      </c>
      <c r="G3223" s="14">
        <f t="shared" si="1"/>
        <v>56</v>
      </c>
      <c r="H3223" s="23" t="s">
        <v>26</v>
      </c>
      <c r="I3223" s="24" t="s">
        <v>27</v>
      </c>
      <c r="J3223" s="19" t="s">
        <v>53</v>
      </c>
      <c r="K3223" s="14">
        <v>17.0</v>
      </c>
      <c r="L3223" s="14">
        <v>0.0</v>
      </c>
      <c r="M3223" s="25"/>
      <c r="N3223" s="26" t="s">
        <v>21</v>
      </c>
      <c r="O3223" s="7"/>
      <c r="P3223" s="7"/>
      <c r="Q3223" s="7"/>
      <c r="R3223" s="7"/>
      <c r="S3223" s="7"/>
      <c r="T3223" s="7"/>
      <c r="U3223" s="7"/>
      <c r="V3223" s="7"/>
      <c r="W3223" s="7"/>
      <c r="X3223" s="7"/>
      <c r="Y3223" s="7"/>
    </row>
    <row r="3224">
      <c r="A3224" s="14" t="s">
        <v>11548</v>
      </c>
      <c r="B3224" s="17" t="s">
        <v>11540</v>
      </c>
      <c r="C3224" s="17" t="s">
        <v>11549</v>
      </c>
      <c r="D3224" s="19" t="s">
        <v>11550</v>
      </c>
      <c r="E3224" s="20" t="s">
        <v>104</v>
      </c>
      <c r="F3224" s="21">
        <v>34701.0</v>
      </c>
      <c r="G3224" s="14">
        <f t="shared" si="1"/>
        <v>31</v>
      </c>
      <c r="H3224" s="23" t="s">
        <v>26</v>
      </c>
      <c r="I3224" s="24" t="s">
        <v>33</v>
      </c>
      <c r="J3224" s="19" t="s">
        <v>726</v>
      </c>
      <c r="K3224" s="14">
        <v>17.0</v>
      </c>
      <c r="L3224" s="14">
        <v>0.0</v>
      </c>
      <c r="M3224" s="25"/>
      <c r="N3224" s="26" t="s">
        <v>21</v>
      </c>
      <c r="O3224" s="7"/>
      <c r="P3224" s="7"/>
      <c r="Q3224" s="7"/>
      <c r="R3224" s="7"/>
      <c r="S3224" s="7"/>
      <c r="T3224" s="7"/>
      <c r="U3224" s="7"/>
      <c r="V3224" s="7"/>
      <c r="W3224" s="7"/>
      <c r="X3224" s="7"/>
      <c r="Y3224" s="7"/>
    </row>
    <row r="3225">
      <c r="A3225" s="14" t="s">
        <v>11551</v>
      </c>
      <c r="B3225" s="17" t="s">
        <v>11552</v>
      </c>
      <c r="C3225" s="17" t="s">
        <v>11553</v>
      </c>
      <c r="D3225" s="19" t="s">
        <v>1656</v>
      </c>
      <c r="E3225" s="20" t="s">
        <v>1816</v>
      </c>
      <c r="F3225" s="21">
        <v>21630.0</v>
      </c>
      <c r="G3225" s="14">
        <f t="shared" si="1"/>
        <v>67</v>
      </c>
      <c r="H3225" s="23" t="s">
        <v>26</v>
      </c>
      <c r="I3225" s="24" t="s">
        <v>33</v>
      </c>
      <c r="J3225" s="19" t="s">
        <v>53</v>
      </c>
      <c r="K3225" s="14">
        <v>17.0</v>
      </c>
      <c r="L3225" s="14">
        <v>0.0</v>
      </c>
      <c r="M3225" s="25"/>
      <c r="N3225" s="26" t="s">
        <v>21</v>
      </c>
      <c r="O3225" s="7"/>
      <c r="P3225" s="7"/>
      <c r="Q3225" s="7"/>
      <c r="R3225" s="7"/>
      <c r="S3225" s="7"/>
      <c r="T3225" s="7"/>
      <c r="U3225" s="7"/>
      <c r="V3225" s="7"/>
      <c r="W3225" s="7"/>
      <c r="X3225" s="7"/>
      <c r="Y3225" s="7"/>
    </row>
    <row r="3226">
      <c r="A3226" s="14" t="s">
        <v>11554</v>
      </c>
      <c r="B3226" s="17" t="s">
        <v>11552</v>
      </c>
      <c r="C3226" s="17" t="s">
        <v>11555</v>
      </c>
      <c r="D3226" s="19" t="s">
        <v>11556</v>
      </c>
      <c r="E3226" s="20" t="s">
        <v>1058</v>
      </c>
      <c r="F3226" s="21">
        <v>23846.0</v>
      </c>
      <c r="G3226" s="14">
        <f t="shared" si="1"/>
        <v>61</v>
      </c>
      <c r="H3226" s="23" t="s">
        <v>26</v>
      </c>
      <c r="I3226" s="24" t="s">
        <v>27</v>
      </c>
      <c r="J3226" s="19" t="s">
        <v>53</v>
      </c>
      <c r="K3226" s="14">
        <v>17.0</v>
      </c>
      <c r="L3226" s="14">
        <v>0.0</v>
      </c>
      <c r="M3226" s="25"/>
      <c r="N3226" s="26" t="s">
        <v>21</v>
      </c>
      <c r="O3226" s="7"/>
      <c r="P3226" s="7"/>
      <c r="Q3226" s="7"/>
      <c r="R3226" s="7"/>
      <c r="S3226" s="7"/>
      <c r="T3226" s="7"/>
      <c r="U3226" s="7"/>
      <c r="V3226" s="7"/>
      <c r="W3226" s="7"/>
      <c r="X3226" s="7"/>
      <c r="Y3226" s="7"/>
    </row>
    <row r="3227">
      <c r="A3227" s="14" t="s">
        <v>11557</v>
      </c>
      <c r="B3227" s="17" t="s">
        <v>11558</v>
      </c>
      <c r="C3227" s="17" t="s">
        <v>11559</v>
      </c>
      <c r="D3227" s="19" t="s">
        <v>11560</v>
      </c>
      <c r="E3227" s="20" t="s">
        <v>138</v>
      </c>
      <c r="F3227" s="21">
        <v>39136.0</v>
      </c>
      <c r="G3227" s="14">
        <f t="shared" si="1"/>
        <v>19</v>
      </c>
      <c r="H3227" s="23" t="s">
        <v>100</v>
      </c>
      <c r="I3227" s="24" t="s">
        <v>33</v>
      </c>
      <c r="J3227" s="19" t="s">
        <v>53</v>
      </c>
      <c r="K3227" s="14">
        <v>17.0</v>
      </c>
      <c r="L3227" s="14">
        <v>0.0</v>
      </c>
      <c r="M3227" s="25"/>
      <c r="N3227" s="26" t="s">
        <v>21</v>
      </c>
      <c r="O3227" s="7"/>
      <c r="P3227" s="7"/>
      <c r="Q3227" s="7"/>
      <c r="R3227" s="7"/>
      <c r="S3227" s="7"/>
      <c r="T3227" s="7"/>
      <c r="U3227" s="7"/>
      <c r="V3227" s="7"/>
      <c r="W3227" s="7"/>
      <c r="X3227" s="7"/>
      <c r="Y3227" s="7"/>
    </row>
    <row r="3228">
      <c r="A3228" s="14" t="s">
        <v>11561</v>
      </c>
      <c r="B3228" s="17" t="s">
        <v>11558</v>
      </c>
      <c r="C3228" s="17" t="s">
        <v>11562</v>
      </c>
      <c r="D3228" s="19" t="s">
        <v>11563</v>
      </c>
      <c r="E3228" s="20" t="s">
        <v>391</v>
      </c>
      <c r="F3228" s="27">
        <v>39406.0</v>
      </c>
      <c r="G3228" s="14">
        <f t="shared" si="1"/>
        <v>18</v>
      </c>
      <c r="H3228" s="23" t="s">
        <v>100</v>
      </c>
      <c r="I3228" s="24" t="s">
        <v>27</v>
      </c>
      <c r="J3228" s="19" t="s">
        <v>53</v>
      </c>
      <c r="K3228" s="14">
        <v>17.0</v>
      </c>
      <c r="L3228" s="14">
        <v>0.0</v>
      </c>
      <c r="M3228" s="25"/>
      <c r="N3228" s="26" t="s">
        <v>21</v>
      </c>
      <c r="O3228" s="7"/>
      <c r="P3228" s="7"/>
      <c r="Q3228" s="7"/>
      <c r="R3228" s="7"/>
      <c r="S3228" s="7"/>
      <c r="T3228" s="7"/>
      <c r="U3228" s="7"/>
      <c r="V3228" s="7"/>
      <c r="W3228" s="7"/>
      <c r="X3228" s="7"/>
      <c r="Y3228" s="7"/>
    </row>
    <row r="3229">
      <c r="A3229" s="14" t="s">
        <v>11564</v>
      </c>
      <c r="B3229" s="17" t="s">
        <v>11558</v>
      </c>
      <c r="C3229" s="17" t="s">
        <v>11565</v>
      </c>
      <c r="D3229" s="19" t="s">
        <v>11566</v>
      </c>
      <c r="E3229" s="20" t="s">
        <v>650</v>
      </c>
      <c r="F3229" s="21">
        <v>26800.0</v>
      </c>
      <c r="G3229" s="14">
        <f t="shared" si="1"/>
        <v>53</v>
      </c>
      <c r="H3229" s="23" t="s">
        <v>26</v>
      </c>
      <c r="I3229" s="24" t="s">
        <v>33</v>
      </c>
      <c r="J3229" s="19" t="s">
        <v>53</v>
      </c>
      <c r="K3229" s="14">
        <v>17.0</v>
      </c>
      <c r="L3229" s="14">
        <v>0.0</v>
      </c>
      <c r="M3229" s="25"/>
      <c r="N3229" s="26" t="s">
        <v>21</v>
      </c>
      <c r="O3229" s="7"/>
      <c r="P3229" s="7"/>
      <c r="Q3229" s="7"/>
      <c r="R3229" s="7"/>
      <c r="S3229" s="7"/>
      <c r="T3229" s="7"/>
      <c r="U3229" s="7"/>
      <c r="V3229" s="7"/>
      <c r="W3229" s="7"/>
      <c r="X3229" s="7"/>
      <c r="Y3229" s="7"/>
    </row>
    <row r="3230">
      <c r="A3230" s="14" t="s">
        <v>11567</v>
      </c>
      <c r="B3230" s="17" t="s">
        <v>11558</v>
      </c>
      <c r="C3230" s="17" t="s">
        <v>11568</v>
      </c>
      <c r="D3230" s="19" t="s">
        <v>11569</v>
      </c>
      <c r="E3230" s="20" t="s">
        <v>1049</v>
      </c>
      <c r="F3230" s="21">
        <v>27537.0</v>
      </c>
      <c r="G3230" s="14">
        <f t="shared" si="1"/>
        <v>51</v>
      </c>
      <c r="H3230" s="23" t="s">
        <v>26</v>
      </c>
      <c r="I3230" s="24" t="s">
        <v>27</v>
      </c>
      <c r="J3230" s="19" t="s">
        <v>53</v>
      </c>
      <c r="K3230" s="14">
        <v>17.0</v>
      </c>
      <c r="L3230" s="14">
        <v>0.0</v>
      </c>
      <c r="M3230" s="25"/>
      <c r="N3230" s="26" t="s">
        <v>21</v>
      </c>
      <c r="O3230" s="7"/>
      <c r="P3230" s="7"/>
      <c r="Q3230" s="7"/>
      <c r="R3230" s="7"/>
      <c r="S3230" s="7"/>
      <c r="T3230" s="7"/>
      <c r="U3230" s="7"/>
      <c r="V3230" s="7"/>
      <c r="W3230" s="7"/>
      <c r="X3230" s="7"/>
      <c r="Y3230" s="7"/>
    </row>
    <row r="3231">
      <c r="A3231" s="14" t="s">
        <v>11570</v>
      </c>
      <c r="B3231" s="17" t="s">
        <v>11571</v>
      </c>
      <c r="C3231" s="17" t="s">
        <v>11572</v>
      </c>
      <c r="D3231" s="19" t="s">
        <v>10739</v>
      </c>
      <c r="E3231" s="20" t="s">
        <v>1049</v>
      </c>
      <c r="F3231" s="21">
        <v>22519.0</v>
      </c>
      <c r="G3231" s="14">
        <f t="shared" si="1"/>
        <v>65</v>
      </c>
      <c r="H3231" s="23" t="s">
        <v>26</v>
      </c>
      <c r="I3231" s="24" t="s">
        <v>33</v>
      </c>
      <c r="J3231" s="19" t="s">
        <v>53</v>
      </c>
      <c r="K3231" s="14">
        <v>17.0</v>
      </c>
      <c r="L3231" s="14">
        <v>0.0</v>
      </c>
      <c r="M3231" s="25"/>
      <c r="N3231" s="26" t="s">
        <v>21</v>
      </c>
      <c r="O3231" s="7"/>
      <c r="P3231" s="7"/>
      <c r="Q3231" s="7"/>
      <c r="R3231" s="7"/>
      <c r="S3231" s="7"/>
      <c r="T3231" s="7"/>
      <c r="U3231" s="7"/>
      <c r="V3231" s="7"/>
      <c r="W3231" s="7"/>
      <c r="X3231" s="7"/>
      <c r="Y3231" s="7"/>
    </row>
    <row r="3232">
      <c r="A3232" s="14" t="s">
        <v>11573</v>
      </c>
      <c r="B3232" s="17" t="s">
        <v>11571</v>
      </c>
      <c r="C3232" s="17" t="s">
        <v>11574</v>
      </c>
      <c r="D3232" s="19" t="s">
        <v>11575</v>
      </c>
      <c r="E3232" s="20" t="s">
        <v>1049</v>
      </c>
      <c r="F3232" s="21">
        <v>26130.0</v>
      </c>
      <c r="G3232" s="14">
        <f t="shared" si="1"/>
        <v>55</v>
      </c>
      <c r="H3232" s="23" t="s">
        <v>26</v>
      </c>
      <c r="I3232" s="24" t="s">
        <v>27</v>
      </c>
      <c r="J3232" s="19" t="s">
        <v>53</v>
      </c>
      <c r="K3232" s="14">
        <v>17.0</v>
      </c>
      <c r="L3232" s="14">
        <v>0.0</v>
      </c>
      <c r="M3232" s="25"/>
      <c r="N3232" s="26" t="s">
        <v>21</v>
      </c>
      <c r="O3232" s="7"/>
      <c r="P3232" s="7"/>
      <c r="Q3232" s="7"/>
      <c r="R3232" s="7"/>
      <c r="S3232" s="7"/>
      <c r="T3232" s="7"/>
      <c r="U3232" s="7"/>
      <c r="V3232" s="7"/>
      <c r="W3232" s="7"/>
      <c r="X3232" s="7"/>
      <c r="Y3232" s="7"/>
    </row>
    <row r="3233">
      <c r="A3233" s="14" t="s">
        <v>11576</v>
      </c>
      <c r="B3233" s="17" t="s">
        <v>11577</v>
      </c>
      <c r="C3233" s="17" t="s">
        <v>11578</v>
      </c>
      <c r="D3233" s="19" t="s">
        <v>11579</v>
      </c>
      <c r="E3233" s="20" t="s">
        <v>337</v>
      </c>
      <c r="F3233" s="21">
        <v>35998.0</v>
      </c>
      <c r="G3233" s="14">
        <f t="shared" si="1"/>
        <v>28</v>
      </c>
      <c r="H3233" s="23" t="s">
        <v>100</v>
      </c>
      <c r="I3233" s="24" t="s">
        <v>33</v>
      </c>
      <c r="J3233" s="19" t="s">
        <v>989</v>
      </c>
      <c r="K3233" s="14">
        <v>10.0</v>
      </c>
      <c r="L3233" s="14">
        <v>0.0</v>
      </c>
      <c r="M3233" s="25"/>
      <c r="N3233" s="26" t="s">
        <v>21</v>
      </c>
      <c r="O3233" s="7"/>
      <c r="P3233" s="7"/>
      <c r="Q3233" s="7"/>
      <c r="R3233" s="7"/>
      <c r="S3233" s="7"/>
      <c r="T3233" s="7"/>
      <c r="U3233" s="7"/>
      <c r="V3233" s="7"/>
      <c r="W3233" s="7"/>
      <c r="X3233" s="7"/>
      <c r="Y3233" s="7"/>
    </row>
    <row r="3234">
      <c r="A3234" s="14" t="s">
        <v>11580</v>
      </c>
      <c r="B3234" s="17" t="s">
        <v>11577</v>
      </c>
      <c r="C3234" s="17" t="s">
        <v>11581</v>
      </c>
      <c r="D3234" s="19" t="s">
        <v>11582</v>
      </c>
      <c r="E3234" s="20" t="s">
        <v>650</v>
      </c>
      <c r="F3234" s="21">
        <v>21770.0</v>
      </c>
      <c r="G3234" s="14">
        <f t="shared" si="1"/>
        <v>67</v>
      </c>
      <c r="H3234" s="23" t="s">
        <v>26</v>
      </c>
      <c r="I3234" s="24" t="s">
        <v>33</v>
      </c>
      <c r="J3234" s="19" t="s">
        <v>989</v>
      </c>
      <c r="K3234" s="14">
        <v>10.0</v>
      </c>
      <c r="L3234" s="14">
        <v>0.0</v>
      </c>
      <c r="M3234" s="25"/>
      <c r="N3234" s="26" t="s">
        <v>21</v>
      </c>
      <c r="O3234" s="7"/>
      <c r="P3234" s="7"/>
      <c r="Q3234" s="7"/>
      <c r="R3234" s="7"/>
      <c r="S3234" s="7"/>
      <c r="T3234" s="7"/>
      <c r="U3234" s="7"/>
      <c r="V3234" s="7"/>
      <c r="W3234" s="7"/>
      <c r="X3234" s="7"/>
      <c r="Y3234" s="7"/>
    </row>
    <row r="3235">
      <c r="A3235" s="14" t="s">
        <v>11583</v>
      </c>
      <c r="B3235" s="17" t="s">
        <v>11577</v>
      </c>
      <c r="C3235" s="17" t="s">
        <v>11584</v>
      </c>
      <c r="D3235" s="19" t="s">
        <v>11585</v>
      </c>
      <c r="E3235" s="20" t="s">
        <v>654</v>
      </c>
      <c r="F3235" s="21">
        <v>25305.0</v>
      </c>
      <c r="G3235" s="14">
        <f t="shared" si="1"/>
        <v>57</v>
      </c>
      <c r="H3235" s="23" t="s">
        <v>26</v>
      </c>
      <c r="I3235" s="24" t="s">
        <v>27</v>
      </c>
      <c r="J3235" s="19" t="s">
        <v>989</v>
      </c>
      <c r="K3235" s="14">
        <v>10.0</v>
      </c>
      <c r="L3235" s="14">
        <v>0.0</v>
      </c>
      <c r="M3235" s="25"/>
      <c r="N3235" s="26" t="s">
        <v>21</v>
      </c>
      <c r="O3235" s="7"/>
      <c r="P3235" s="7"/>
      <c r="Q3235" s="7"/>
      <c r="R3235" s="7"/>
      <c r="S3235" s="7"/>
      <c r="T3235" s="7"/>
      <c r="U3235" s="7"/>
      <c r="V3235" s="7"/>
      <c r="W3235" s="7"/>
      <c r="X3235" s="7"/>
      <c r="Y3235" s="7"/>
    </row>
    <row r="3236">
      <c r="A3236" s="14" t="s">
        <v>11587</v>
      </c>
      <c r="B3236" s="17" t="s">
        <v>11588</v>
      </c>
      <c r="C3236" s="17" t="s">
        <v>11589</v>
      </c>
      <c r="D3236" s="19" t="s">
        <v>11590</v>
      </c>
      <c r="E3236" s="20" t="s">
        <v>274</v>
      </c>
      <c r="F3236" s="21">
        <v>29898.0</v>
      </c>
      <c r="G3236" s="14">
        <f t="shared" si="1"/>
        <v>44</v>
      </c>
      <c r="H3236" s="23" t="s">
        <v>26</v>
      </c>
      <c r="I3236" s="24" t="s">
        <v>33</v>
      </c>
      <c r="J3236" s="19" t="s">
        <v>1437</v>
      </c>
      <c r="K3236" s="14">
        <v>28.0</v>
      </c>
      <c r="L3236" s="14">
        <v>0.0</v>
      </c>
      <c r="M3236" s="25"/>
      <c r="N3236" s="26" t="s">
        <v>21</v>
      </c>
      <c r="O3236" s="7"/>
      <c r="P3236" s="7"/>
      <c r="Q3236" s="7"/>
      <c r="R3236" s="7"/>
      <c r="S3236" s="7"/>
      <c r="T3236" s="7"/>
      <c r="U3236" s="7"/>
      <c r="V3236" s="7"/>
      <c r="W3236" s="7"/>
      <c r="X3236" s="7"/>
      <c r="Y3236" s="7"/>
    </row>
    <row r="3237">
      <c r="A3237" s="14" t="s">
        <v>11591</v>
      </c>
      <c r="B3237" s="17" t="s">
        <v>11588</v>
      </c>
      <c r="C3237" s="17" t="s">
        <v>11592</v>
      </c>
      <c r="D3237" s="19" t="s">
        <v>235</v>
      </c>
      <c r="E3237" s="20" t="s">
        <v>104</v>
      </c>
      <c r="F3237" s="21">
        <v>29730.0</v>
      </c>
      <c r="G3237" s="14">
        <f t="shared" si="1"/>
        <v>45</v>
      </c>
      <c r="H3237" s="23" t="s">
        <v>26</v>
      </c>
      <c r="I3237" s="24" t="s">
        <v>27</v>
      </c>
      <c r="J3237" s="19" t="s">
        <v>1437</v>
      </c>
      <c r="K3237" s="14">
        <v>28.0</v>
      </c>
      <c r="L3237" s="14">
        <v>0.0</v>
      </c>
      <c r="M3237" s="25"/>
      <c r="N3237" s="26" t="s">
        <v>21</v>
      </c>
      <c r="O3237" s="7"/>
      <c r="P3237" s="7"/>
      <c r="Q3237" s="7"/>
      <c r="R3237" s="7"/>
      <c r="S3237" s="7"/>
      <c r="T3237" s="7"/>
      <c r="U3237" s="7"/>
      <c r="V3237" s="7"/>
      <c r="W3237" s="7"/>
      <c r="X3237" s="7"/>
      <c r="Y3237" s="7"/>
    </row>
    <row r="3238">
      <c r="A3238" s="14" t="s">
        <v>11593</v>
      </c>
      <c r="B3238" s="17" t="s">
        <v>11594</v>
      </c>
      <c r="C3238" s="17" t="s">
        <v>11595</v>
      </c>
      <c r="D3238" s="19" t="s">
        <v>11596</v>
      </c>
      <c r="E3238" s="20" t="s">
        <v>4297</v>
      </c>
      <c r="F3238" s="21">
        <v>31413.0</v>
      </c>
      <c r="G3238" s="14">
        <f t="shared" si="1"/>
        <v>40</v>
      </c>
      <c r="H3238" s="23" t="s">
        <v>26</v>
      </c>
      <c r="I3238" s="24" t="s">
        <v>33</v>
      </c>
      <c r="J3238" s="19" t="s">
        <v>58</v>
      </c>
      <c r="K3238" s="14">
        <v>9.0</v>
      </c>
      <c r="L3238" s="14">
        <v>0.0</v>
      </c>
      <c r="M3238" s="25"/>
      <c r="N3238" s="26" t="s">
        <v>21</v>
      </c>
      <c r="O3238" s="7"/>
      <c r="P3238" s="7"/>
      <c r="Q3238" s="7"/>
      <c r="R3238" s="7"/>
      <c r="S3238" s="7"/>
      <c r="T3238" s="7"/>
      <c r="U3238" s="7"/>
      <c r="V3238" s="7"/>
      <c r="W3238" s="7"/>
      <c r="X3238" s="7"/>
      <c r="Y3238" s="7"/>
    </row>
    <row r="3239">
      <c r="A3239" s="14" t="s">
        <v>11597</v>
      </c>
      <c r="B3239" s="17" t="s">
        <v>11594</v>
      </c>
      <c r="C3239" s="17" t="s">
        <v>11598</v>
      </c>
      <c r="D3239" s="19" t="s">
        <v>11599</v>
      </c>
      <c r="E3239" s="20" t="s">
        <v>274</v>
      </c>
      <c r="F3239" s="21">
        <v>32408.0</v>
      </c>
      <c r="G3239" s="14">
        <f t="shared" si="1"/>
        <v>38</v>
      </c>
      <c r="H3239" s="23" t="s">
        <v>26</v>
      </c>
      <c r="I3239" s="24" t="s">
        <v>27</v>
      </c>
      <c r="J3239" s="19" t="s">
        <v>58</v>
      </c>
      <c r="K3239" s="14">
        <v>9.0</v>
      </c>
      <c r="L3239" s="14">
        <v>0.0</v>
      </c>
      <c r="M3239" s="25"/>
      <c r="N3239" s="26" t="s">
        <v>21</v>
      </c>
      <c r="O3239" s="7"/>
      <c r="P3239" s="7"/>
      <c r="Q3239" s="7"/>
      <c r="R3239" s="7"/>
      <c r="S3239" s="7"/>
      <c r="T3239" s="7"/>
      <c r="U3239" s="7"/>
      <c r="V3239" s="7"/>
      <c r="W3239" s="7"/>
      <c r="X3239" s="7"/>
      <c r="Y3239" s="7"/>
    </row>
    <row r="3240">
      <c r="A3240" s="14" t="s">
        <v>11600</v>
      </c>
      <c r="B3240" s="17" t="s">
        <v>11601</v>
      </c>
      <c r="C3240" s="17" t="s">
        <v>11602</v>
      </c>
      <c r="D3240" s="19" t="s">
        <v>11603</v>
      </c>
      <c r="E3240" s="20" t="s">
        <v>210</v>
      </c>
      <c r="F3240" s="21">
        <v>32846.0</v>
      </c>
      <c r="G3240" s="14">
        <f t="shared" si="1"/>
        <v>36</v>
      </c>
      <c r="H3240" s="23" t="s">
        <v>26</v>
      </c>
      <c r="I3240" s="24" t="s">
        <v>27</v>
      </c>
      <c r="J3240" s="19" t="s">
        <v>517</v>
      </c>
      <c r="K3240" s="14">
        <v>36.0</v>
      </c>
      <c r="L3240" s="14">
        <v>0.0</v>
      </c>
      <c r="M3240" s="25"/>
      <c r="N3240" s="26" t="s">
        <v>21</v>
      </c>
      <c r="O3240" s="7"/>
      <c r="P3240" s="7"/>
      <c r="Q3240" s="7"/>
      <c r="R3240" s="7"/>
      <c r="S3240" s="7"/>
      <c r="T3240" s="7"/>
      <c r="U3240" s="7"/>
      <c r="V3240" s="7"/>
      <c r="W3240" s="7"/>
      <c r="X3240" s="7"/>
      <c r="Y3240" s="7"/>
    </row>
    <row r="3241">
      <c r="A3241" s="14" t="s">
        <v>11604</v>
      </c>
      <c r="B3241" s="17" t="s">
        <v>11601</v>
      </c>
      <c r="C3241" s="17" t="s">
        <v>11605</v>
      </c>
      <c r="D3241" s="19" t="s">
        <v>11606</v>
      </c>
      <c r="E3241" s="20" t="s">
        <v>104</v>
      </c>
      <c r="F3241" s="21">
        <v>30752.0</v>
      </c>
      <c r="G3241" s="14">
        <f t="shared" si="1"/>
        <v>42</v>
      </c>
      <c r="H3241" s="23" t="s">
        <v>26</v>
      </c>
      <c r="I3241" s="24" t="s">
        <v>33</v>
      </c>
      <c r="J3241" s="19" t="s">
        <v>517</v>
      </c>
      <c r="K3241" s="14">
        <v>36.0</v>
      </c>
      <c r="L3241" s="14">
        <v>0.0</v>
      </c>
      <c r="M3241" s="25"/>
      <c r="N3241" s="26" t="s">
        <v>21</v>
      </c>
      <c r="O3241" s="7"/>
      <c r="P3241" s="7"/>
      <c r="Q3241" s="7"/>
      <c r="R3241" s="7"/>
      <c r="S3241" s="7"/>
      <c r="T3241" s="7"/>
      <c r="U3241" s="7"/>
      <c r="V3241" s="7"/>
      <c r="W3241" s="7"/>
      <c r="X3241" s="7"/>
      <c r="Y3241" s="7"/>
    </row>
    <row r="3242">
      <c r="A3242" s="14" t="s">
        <v>11607</v>
      </c>
      <c r="B3242" s="17" t="s">
        <v>11608</v>
      </c>
      <c r="C3242" s="17" t="s">
        <v>11609</v>
      </c>
      <c r="D3242" s="19" t="s">
        <v>11610</v>
      </c>
      <c r="E3242" s="20" t="s">
        <v>1058</v>
      </c>
      <c r="F3242" s="27">
        <v>39034.0</v>
      </c>
      <c r="G3242" s="14">
        <f t="shared" si="1"/>
        <v>19</v>
      </c>
      <c r="H3242" s="23" t="s">
        <v>100</v>
      </c>
      <c r="I3242" s="24" t="s">
        <v>27</v>
      </c>
      <c r="J3242" s="19" t="s">
        <v>282</v>
      </c>
      <c r="K3242" s="14">
        <v>14.0</v>
      </c>
      <c r="L3242" s="14">
        <v>0.0</v>
      </c>
      <c r="M3242" s="25"/>
      <c r="N3242" s="26" t="s">
        <v>21</v>
      </c>
      <c r="O3242" s="7"/>
      <c r="P3242" s="7"/>
      <c r="Q3242" s="7"/>
      <c r="R3242" s="7"/>
      <c r="S3242" s="7"/>
      <c r="T3242" s="7"/>
      <c r="U3242" s="7"/>
      <c r="V3242" s="7"/>
      <c r="W3242" s="7"/>
      <c r="X3242" s="7"/>
      <c r="Y3242" s="7"/>
    </row>
    <row r="3243">
      <c r="A3243" s="14" t="s">
        <v>11611</v>
      </c>
      <c r="B3243" s="17" t="s">
        <v>11608</v>
      </c>
      <c r="C3243" s="17" t="s">
        <v>11612</v>
      </c>
      <c r="D3243" s="19" t="s">
        <v>7654</v>
      </c>
      <c r="E3243" s="20" t="s">
        <v>624</v>
      </c>
      <c r="F3243" s="21">
        <v>23548.0</v>
      </c>
      <c r="G3243" s="14">
        <f t="shared" si="1"/>
        <v>62</v>
      </c>
      <c r="H3243" s="23" t="s">
        <v>26</v>
      </c>
      <c r="I3243" s="24" t="s">
        <v>27</v>
      </c>
      <c r="J3243" s="19" t="s">
        <v>282</v>
      </c>
      <c r="K3243" s="14">
        <v>14.0</v>
      </c>
      <c r="L3243" s="14">
        <v>0.0</v>
      </c>
      <c r="M3243" s="25"/>
      <c r="N3243" s="26" t="s">
        <v>21</v>
      </c>
      <c r="O3243" s="7"/>
      <c r="P3243" s="7"/>
      <c r="Q3243" s="7"/>
      <c r="R3243" s="7"/>
      <c r="S3243" s="7"/>
      <c r="T3243" s="7"/>
      <c r="U3243" s="7"/>
      <c r="V3243" s="7"/>
      <c r="W3243" s="7"/>
      <c r="X3243" s="7"/>
      <c r="Y3243" s="7"/>
    </row>
    <row r="3244">
      <c r="A3244" s="14" t="s">
        <v>11613</v>
      </c>
      <c r="B3244" s="17" t="s">
        <v>11608</v>
      </c>
      <c r="C3244" s="17" t="s">
        <v>11614</v>
      </c>
      <c r="D3244" s="19" t="s">
        <v>11615</v>
      </c>
      <c r="E3244" s="20" t="s">
        <v>624</v>
      </c>
      <c r="F3244" s="21">
        <v>22420.0</v>
      </c>
      <c r="G3244" s="14">
        <f t="shared" si="1"/>
        <v>65</v>
      </c>
      <c r="H3244" s="23" t="s">
        <v>26</v>
      </c>
      <c r="I3244" s="24" t="s">
        <v>33</v>
      </c>
      <c r="J3244" s="19" t="s">
        <v>282</v>
      </c>
      <c r="K3244" s="14">
        <v>14.0</v>
      </c>
      <c r="L3244" s="14">
        <v>1.0</v>
      </c>
      <c r="M3244" s="25"/>
      <c r="N3244" s="26" t="s">
        <v>21</v>
      </c>
      <c r="O3244" s="7"/>
      <c r="P3244" s="7"/>
      <c r="Q3244" s="7"/>
      <c r="R3244" s="7"/>
      <c r="S3244" s="7"/>
      <c r="T3244" s="7"/>
      <c r="U3244" s="7"/>
      <c r="V3244" s="7"/>
      <c r="W3244" s="7"/>
      <c r="X3244" s="7"/>
      <c r="Y3244" s="7"/>
    </row>
    <row r="3245">
      <c r="A3245" s="14" t="s">
        <v>11616</v>
      </c>
      <c r="B3245" s="17" t="s">
        <v>11617</v>
      </c>
      <c r="C3245" s="17" t="s">
        <v>11618</v>
      </c>
      <c r="D3245" s="19" t="s">
        <v>11619</v>
      </c>
      <c r="E3245" s="20" t="s">
        <v>3843</v>
      </c>
      <c r="F3245" s="21">
        <v>22683.0</v>
      </c>
      <c r="G3245" s="14">
        <f t="shared" si="1"/>
        <v>64</v>
      </c>
      <c r="H3245" s="23" t="s">
        <v>26</v>
      </c>
      <c r="I3245" s="24" t="s">
        <v>33</v>
      </c>
      <c r="J3245" s="19" t="s">
        <v>362</v>
      </c>
      <c r="K3245" s="14">
        <v>17.0</v>
      </c>
      <c r="L3245" s="14">
        <v>0.0</v>
      </c>
      <c r="M3245" s="25"/>
      <c r="N3245" s="26" t="s">
        <v>21</v>
      </c>
      <c r="O3245" s="7"/>
      <c r="P3245" s="7"/>
      <c r="Q3245" s="7"/>
      <c r="R3245" s="7"/>
      <c r="S3245" s="7"/>
      <c r="T3245" s="7"/>
      <c r="U3245" s="7"/>
      <c r="V3245" s="7"/>
      <c r="W3245" s="7"/>
      <c r="X3245" s="7"/>
      <c r="Y3245" s="7"/>
    </row>
    <row r="3246">
      <c r="A3246" s="14" t="s">
        <v>11620</v>
      </c>
      <c r="B3246" s="17" t="s">
        <v>11621</v>
      </c>
      <c r="C3246" s="17" t="s">
        <v>11622</v>
      </c>
      <c r="D3246" s="19" t="s">
        <v>11623</v>
      </c>
      <c r="E3246" s="20" t="s">
        <v>2029</v>
      </c>
      <c r="F3246" s="21">
        <v>28018.0</v>
      </c>
      <c r="G3246" s="14">
        <f t="shared" si="1"/>
        <v>50</v>
      </c>
      <c r="H3246" s="23" t="s">
        <v>26</v>
      </c>
      <c r="I3246" s="24" t="s">
        <v>33</v>
      </c>
      <c r="J3246" s="19" t="s">
        <v>146</v>
      </c>
      <c r="K3246" s="14">
        <v>2.0</v>
      </c>
      <c r="L3246" s="14">
        <v>0.0</v>
      </c>
      <c r="M3246" s="25"/>
      <c r="N3246" s="26" t="s">
        <v>21</v>
      </c>
      <c r="O3246" s="7"/>
      <c r="P3246" s="7"/>
      <c r="Q3246" s="7"/>
      <c r="R3246" s="7"/>
      <c r="S3246" s="7"/>
      <c r="T3246" s="7"/>
      <c r="U3246" s="7"/>
      <c r="V3246" s="7"/>
      <c r="W3246" s="7"/>
      <c r="X3246" s="7"/>
      <c r="Y3246" s="7"/>
    </row>
    <row r="3247">
      <c r="A3247" s="14" t="s">
        <v>11624</v>
      </c>
      <c r="B3247" s="17" t="s">
        <v>11621</v>
      </c>
      <c r="C3247" s="17" t="s">
        <v>11625</v>
      </c>
      <c r="D3247" s="19" t="s">
        <v>11626</v>
      </c>
      <c r="E3247" s="20" t="s">
        <v>11627</v>
      </c>
      <c r="F3247" s="21">
        <v>30030.0</v>
      </c>
      <c r="G3247" s="14">
        <f t="shared" si="1"/>
        <v>44</v>
      </c>
      <c r="H3247" s="23" t="s">
        <v>26</v>
      </c>
      <c r="I3247" s="24" t="s">
        <v>27</v>
      </c>
      <c r="J3247" s="19" t="s">
        <v>146</v>
      </c>
      <c r="K3247" s="14">
        <v>2.0</v>
      </c>
      <c r="L3247" s="14">
        <v>0.0</v>
      </c>
      <c r="M3247" s="25"/>
      <c r="N3247" s="26" t="s">
        <v>21</v>
      </c>
      <c r="O3247" s="7"/>
      <c r="P3247" s="7"/>
      <c r="Q3247" s="7"/>
      <c r="R3247" s="7"/>
      <c r="S3247" s="7"/>
      <c r="T3247" s="7"/>
      <c r="U3247" s="7"/>
      <c r="V3247" s="7"/>
      <c r="W3247" s="7"/>
      <c r="X3247" s="7"/>
      <c r="Y3247" s="7"/>
    </row>
    <row r="3248">
      <c r="A3248" s="14" t="s">
        <v>11628</v>
      </c>
      <c r="B3248" s="17" t="s">
        <v>11629</v>
      </c>
      <c r="C3248" s="17" t="s">
        <v>11630</v>
      </c>
      <c r="D3248" s="19" t="s">
        <v>5341</v>
      </c>
      <c r="E3248" s="20" t="s">
        <v>544</v>
      </c>
      <c r="F3248" s="21">
        <v>30198.0</v>
      </c>
      <c r="G3248" s="14">
        <f t="shared" si="1"/>
        <v>44</v>
      </c>
      <c r="H3248" s="23" t="s">
        <v>26</v>
      </c>
      <c r="I3248" s="24" t="s">
        <v>33</v>
      </c>
      <c r="J3248" s="19" t="s">
        <v>517</v>
      </c>
      <c r="K3248" s="14">
        <v>5.0</v>
      </c>
      <c r="L3248" s="14">
        <v>0.0</v>
      </c>
      <c r="M3248" s="25"/>
      <c r="N3248" s="26" t="s">
        <v>21</v>
      </c>
      <c r="O3248" s="7"/>
      <c r="P3248" s="7"/>
      <c r="Q3248" s="7"/>
      <c r="R3248" s="7"/>
      <c r="S3248" s="7"/>
      <c r="T3248" s="7"/>
      <c r="U3248" s="7"/>
      <c r="V3248" s="7"/>
      <c r="W3248" s="7"/>
      <c r="X3248" s="7"/>
      <c r="Y3248" s="7"/>
    </row>
    <row r="3249">
      <c r="A3249" s="14" t="s">
        <v>11631</v>
      </c>
      <c r="B3249" s="17" t="s">
        <v>11632</v>
      </c>
      <c r="C3249" s="17" t="s">
        <v>11633</v>
      </c>
      <c r="D3249" s="19" t="s">
        <v>11634</v>
      </c>
      <c r="E3249" s="20" t="s">
        <v>8493</v>
      </c>
      <c r="F3249" s="21">
        <v>34867.0</v>
      </c>
      <c r="G3249" s="14">
        <f t="shared" si="1"/>
        <v>31</v>
      </c>
      <c r="H3249" s="23" t="s">
        <v>100</v>
      </c>
      <c r="I3249" s="24" t="s">
        <v>33</v>
      </c>
      <c r="J3249" s="19" t="s">
        <v>68</v>
      </c>
      <c r="K3249" s="14">
        <v>33.0</v>
      </c>
      <c r="L3249" s="14">
        <v>0.0</v>
      </c>
      <c r="M3249" s="25"/>
      <c r="N3249" s="26" t="s">
        <v>21</v>
      </c>
      <c r="O3249" s="7"/>
      <c r="P3249" s="7"/>
      <c r="Q3249" s="7"/>
      <c r="R3249" s="7"/>
      <c r="S3249" s="7"/>
      <c r="T3249" s="7"/>
      <c r="U3249" s="7"/>
      <c r="V3249" s="7"/>
      <c r="W3249" s="7"/>
      <c r="X3249" s="7"/>
      <c r="Y3249" s="7"/>
    </row>
    <row r="3250">
      <c r="A3250" s="14" t="s">
        <v>11635</v>
      </c>
      <c r="B3250" s="17" t="s">
        <v>11636</v>
      </c>
      <c r="C3250" s="17" t="s">
        <v>11637</v>
      </c>
      <c r="D3250" s="19" t="s">
        <v>11638</v>
      </c>
      <c r="E3250" s="20" t="s">
        <v>53</v>
      </c>
      <c r="F3250" s="21">
        <v>28142.0</v>
      </c>
      <c r="G3250" s="14">
        <f t="shared" si="1"/>
        <v>49</v>
      </c>
      <c r="H3250" s="23" t="s">
        <v>26</v>
      </c>
      <c r="I3250" s="24" t="s">
        <v>27</v>
      </c>
      <c r="J3250" s="19" t="s">
        <v>68</v>
      </c>
      <c r="K3250" s="14">
        <v>32.0</v>
      </c>
      <c r="L3250" s="14">
        <v>0.0</v>
      </c>
      <c r="M3250" s="25"/>
      <c r="N3250" s="26" t="s">
        <v>21</v>
      </c>
      <c r="O3250" s="7"/>
      <c r="P3250" s="7"/>
      <c r="Q3250" s="7"/>
      <c r="R3250" s="7"/>
      <c r="S3250" s="7"/>
      <c r="T3250" s="7"/>
      <c r="U3250" s="7"/>
      <c r="V3250" s="7"/>
      <c r="W3250" s="7"/>
      <c r="X3250" s="7"/>
      <c r="Y3250" s="7"/>
    </row>
    <row r="3251">
      <c r="A3251" s="14" t="s">
        <v>11639</v>
      </c>
      <c r="B3251" s="17" t="s">
        <v>11636</v>
      </c>
      <c r="C3251" s="17" t="s">
        <v>11640</v>
      </c>
      <c r="D3251" s="19" t="s">
        <v>11641</v>
      </c>
      <c r="E3251" s="20" t="s">
        <v>798</v>
      </c>
      <c r="F3251" s="21">
        <v>26705.0</v>
      </c>
      <c r="G3251" s="14">
        <f t="shared" si="1"/>
        <v>53</v>
      </c>
      <c r="H3251" s="23" t="s">
        <v>26</v>
      </c>
      <c r="I3251" s="24" t="s">
        <v>33</v>
      </c>
      <c r="J3251" s="19" t="s">
        <v>68</v>
      </c>
      <c r="K3251" s="14">
        <v>32.0</v>
      </c>
      <c r="L3251" s="14">
        <v>0.0</v>
      </c>
      <c r="M3251" s="25"/>
      <c r="N3251" s="26" t="s">
        <v>21</v>
      </c>
      <c r="O3251" s="7"/>
      <c r="P3251" s="7"/>
      <c r="Q3251" s="7"/>
      <c r="R3251" s="7"/>
      <c r="S3251" s="7"/>
      <c r="T3251" s="7"/>
      <c r="U3251" s="7"/>
      <c r="V3251" s="7"/>
      <c r="W3251" s="7"/>
      <c r="X3251" s="7"/>
      <c r="Y3251" s="7"/>
    </row>
    <row r="3252">
      <c r="A3252" s="14" t="s">
        <v>11642</v>
      </c>
      <c r="B3252" s="17" t="s">
        <v>11643</v>
      </c>
      <c r="C3252" s="17" t="s">
        <v>11644</v>
      </c>
      <c r="D3252" s="19" t="s">
        <v>11645</v>
      </c>
      <c r="E3252" s="20" t="s">
        <v>138</v>
      </c>
      <c r="F3252" s="21">
        <v>29990.0</v>
      </c>
      <c r="G3252" s="14">
        <f t="shared" si="1"/>
        <v>44</v>
      </c>
      <c r="H3252" s="23" t="s">
        <v>26</v>
      </c>
      <c r="I3252" s="24" t="s">
        <v>33</v>
      </c>
      <c r="J3252" s="19" t="s">
        <v>257</v>
      </c>
      <c r="K3252" s="14">
        <v>17.0</v>
      </c>
      <c r="L3252" s="14">
        <v>0.0</v>
      </c>
      <c r="M3252" s="25"/>
      <c r="N3252" s="26" t="s">
        <v>21</v>
      </c>
      <c r="O3252" s="7"/>
      <c r="P3252" s="7"/>
      <c r="Q3252" s="7"/>
      <c r="R3252" s="7"/>
      <c r="S3252" s="7"/>
      <c r="T3252" s="7"/>
      <c r="U3252" s="7"/>
      <c r="V3252" s="7"/>
      <c r="W3252" s="7"/>
      <c r="X3252" s="7"/>
      <c r="Y3252" s="7"/>
    </row>
    <row r="3253">
      <c r="A3253" s="14" t="s">
        <v>11646</v>
      </c>
      <c r="B3253" s="17" t="s">
        <v>11643</v>
      </c>
      <c r="C3253" s="17" t="s">
        <v>11647</v>
      </c>
      <c r="D3253" s="19" t="s">
        <v>11648</v>
      </c>
      <c r="E3253" s="20" t="s">
        <v>104</v>
      </c>
      <c r="F3253" s="21">
        <v>29852.0</v>
      </c>
      <c r="G3253" s="14">
        <f t="shared" si="1"/>
        <v>45</v>
      </c>
      <c r="H3253" s="23" t="s">
        <v>26</v>
      </c>
      <c r="I3253" s="24" t="s">
        <v>27</v>
      </c>
      <c r="J3253" s="19" t="s">
        <v>257</v>
      </c>
      <c r="K3253" s="14">
        <v>17.0</v>
      </c>
      <c r="L3253" s="14">
        <v>0.0</v>
      </c>
      <c r="M3253" s="25"/>
      <c r="N3253" s="26" t="s">
        <v>21</v>
      </c>
      <c r="O3253" s="7"/>
      <c r="P3253" s="7"/>
      <c r="Q3253" s="7"/>
      <c r="R3253" s="7"/>
      <c r="S3253" s="7"/>
      <c r="T3253" s="7"/>
      <c r="U3253" s="7"/>
      <c r="V3253" s="7"/>
      <c r="W3253" s="7"/>
      <c r="X3253" s="7"/>
      <c r="Y3253" s="7"/>
    </row>
    <row r="3254">
      <c r="A3254" s="14" t="s">
        <v>11649</v>
      </c>
      <c r="B3254" s="17" t="s">
        <v>11643</v>
      </c>
      <c r="C3254" s="17" t="s">
        <v>11650</v>
      </c>
      <c r="D3254" s="19" t="s">
        <v>11651</v>
      </c>
      <c r="E3254" s="20" t="s">
        <v>1095</v>
      </c>
      <c r="F3254" s="27">
        <v>38339.0</v>
      </c>
      <c r="G3254" s="14">
        <f t="shared" si="1"/>
        <v>21</v>
      </c>
      <c r="H3254" s="23" t="s">
        <v>100</v>
      </c>
      <c r="I3254" s="24" t="s">
        <v>33</v>
      </c>
      <c r="J3254" s="19" t="s">
        <v>257</v>
      </c>
      <c r="K3254" s="14">
        <v>17.0</v>
      </c>
      <c r="L3254" s="14">
        <v>0.0</v>
      </c>
      <c r="M3254" s="25"/>
      <c r="N3254" s="26" t="s">
        <v>21</v>
      </c>
      <c r="O3254" s="7"/>
      <c r="P3254" s="7"/>
      <c r="Q3254" s="7"/>
      <c r="R3254" s="7"/>
      <c r="S3254" s="7"/>
      <c r="T3254" s="7"/>
      <c r="U3254" s="7"/>
      <c r="V3254" s="7"/>
      <c r="W3254" s="7"/>
      <c r="X3254" s="7"/>
      <c r="Y3254" s="7"/>
    </row>
    <row r="3255">
      <c r="A3255" s="14" t="s">
        <v>11652</v>
      </c>
      <c r="B3255" s="17" t="s">
        <v>11653</v>
      </c>
      <c r="C3255" s="17" t="s">
        <v>11654</v>
      </c>
      <c r="D3255" s="19" t="s">
        <v>11655</v>
      </c>
      <c r="E3255" s="20" t="s">
        <v>53</v>
      </c>
      <c r="F3255" s="21">
        <v>30156.0</v>
      </c>
      <c r="G3255" s="14">
        <f t="shared" si="1"/>
        <v>44</v>
      </c>
      <c r="H3255" s="23" t="s">
        <v>26</v>
      </c>
      <c r="I3255" s="24" t="s">
        <v>27</v>
      </c>
      <c r="J3255" s="19" t="s">
        <v>726</v>
      </c>
      <c r="K3255" s="14">
        <v>12.0</v>
      </c>
      <c r="L3255" s="14">
        <v>0.0</v>
      </c>
      <c r="M3255" s="25"/>
      <c r="N3255" s="26" t="s">
        <v>21</v>
      </c>
      <c r="O3255" s="7"/>
      <c r="P3255" s="7"/>
      <c r="Q3255" s="7"/>
      <c r="R3255" s="7"/>
      <c r="S3255" s="7"/>
      <c r="T3255" s="7"/>
      <c r="U3255" s="7"/>
      <c r="V3255" s="7"/>
      <c r="W3255" s="7"/>
      <c r="X3255" s="7"/>
      <c r="Y3255" s="7"/>
    </row>
    <row r="3256">
      <c r="A3256" s="14" t="s">
        <v>11656</v>
      </c>
      <c r="B3256" s="17" t="s">
        <v>11657</v>
      </c>
      <c r="C3256" s="17" t="s">
        <v>11658</v>
      </c>
      <c r="D3256" s="19" t="s">
        <v>11659</v>
      </c>
      <c r="E3256" s="20" t="s">
        <v>5208</v>
      </c>
      <c r="F3256" s="21">
        <v>32541.0</v>
      </c>
      <c r="G3256" s="14">
        <f t="shared" si="1"/>
        <v>37</v>
      </c>
      <c r="H3256" s="23" t="s">
        <v>26</v>
      </c>
      <c r="I3256" s="24" t="s">
        <v>33</v>
      </c>
      <c r="J3256" s="19" t="s">
        <v>206</v>
      </c>
      <c r="K3256" s="14">
        <v>10.0</v>
      </c>
      <c r="L3256" s="14">
        <v>0.0</v>
      </c>
      <c r="M3256" s="25"/>
      <c r="N3256" s="26" t="s">
        <v>21</v>
      </c>
      <c r="O3256" s="7"/>
      <c r="P3256" s="7"/>
      <c r="Q3256" s="7"/>
      <c r="R3256" s="7"/>
      <c r="S3256" s="7"/>
      <c r="T3256" s="7"/>
      <c r="U3256" s="7"/>
      <c r="V3256" s="7"/>
      <c r="W3256" s="7"/>
      <c r="X3256" s="7"/>
      <c r="Y3256" s="7"/>
    </row>
    <row r="3257">
      <c r="A3257" s="14" t="s">
        <v>11660</v>
      </c>
      <c r="B3257" s="17" t="s">
        <v>11657</v>
      </c>
      <c r="C3257" s="17" t="s">
        <v>11661</v>
      </c>
      <c r="D3257" s="19" t="s">
        <v>11662</v>
      </c>
      <c r="E3257" s="20" t="s">
        <v>11663</v>
      </c>
      <c r="F3257" s="21">
        <v>33916.0</v>
      </c>
      <c r="G3257" s="14">
        <f t="shared" si="1"/>
        <v>33</v>
      </c>
      <c r="H3257" s="23" t="s">
        <v>26</v>
      </c>
      <c r="I3257" s="24" t="s">
        <v>27</v>
      </c>
      <c r="J3257" s="19" t="s">
        <v>206</v>
      </c>
      <c r="K3257" s="14">
        <v>10.0</v>
      </c>
      <c r="L3257" s="14">
        <v>0.0</v>
      </c>
      <c r="M3257" s="25"/>
      <c r="N3257" s="26" t="s">
        <v>21</v>
      </c>
      <c r="O3257" s="7"/>
      <c r="P3257" s="7"/>
      <c r="Q3257" s="7"/>
      <c r="R3257" s="7"/>
      <c r="S3257" s="7"/>
      <c r="T3257" s="7"/>
      <c r="U3257" s="7"/>
      <c r="V3257" s="7"/>
      <c r="W3257" s="7"/>
      <c r="X3257" s="7"/>
      <c r="Y3257" s="7"/>
    </row>
    <row r="3258">
      <c r="A3258" s="14" t="s">
        <v>11664</v>
      </c>
      <c r="B3258" s="17" t="s">
        <v>11665</v>
      </c>
      <c r="C3258" s="17" t="s">
        <v>11666</v>
      </c>
      <c r="D3258" s="19" t="s">
        <v>11667</v>
      </c>
      <c r="E3258" s="20" t="s">
        <v>434</v>
      </c>
      <c r="F3258" s="21">
        <v>16945.0</v>
      </c>
      <c r="G3258" s="14">
        <f t="shared" si="1"/>
        <v>80</v>
      </c>
      <c r="H3258" s="23" t="s">
        <v>27</v>
      </c>
      <c r="I3258" s="24" t="s">
        <v>33</v>
      </c>
      <c r="J3258" s="19" t="s">
        <v>146</v>
      </c>
      <c r="K3258" s="14">
        <v>1.0</v>
      </c>
      <c r="L3258" s="14">
        <v>0.0</v>
      </c>
      <c r="M3258" s="25"/>
      <c r="N3258" s="26" t="s">
        <v>21</v>
      </c>
      <c r="O3258" s="7"/>
      <c r="P3258" s="7"/>
      <c r="Q3258" s="7"/>
      <c r="R3258" s="7"/>
      <c r="S3258" s="7"/>
      <c r="T3258" s="7"/>
      <c r="U3258" s="7"/>
      <c r="V3258" s="7"/>
      <c r="W3258" s="7"/>
      <c r="X3258" s="7"/>
      <c r="Y3258" s="7"/>
    </row>
    <row r="3259">
      <c r="A3259" s="14" t="s">
        <v>11668</v>
      </c>
      <c r="B3259" s="17" t="s">
        <v>11669</v>
      </c>
      <c r="C3259" s="17" t="s">
        <v>11670</v>
      </c>
      <c r="D3259" s="19" t="s">
        <v>11409</v>
      </c>
      <c r="E3259" s="20" t="s">
        <v>1291</v>
      </c>
      <c r="F3259" s="21">
        <v>15562.0</v>
      </c>
      <c r="G3259" s="14">
        <f t="shared" si="1"/>
        <v>84</v>
      </c>
      <c r="H3259" s="23" t="s">
        <v>26</v>
      </c>
      <c r="I3259" s="24" t="s">
        <v>33</v>
      </c>
      <c r="J3259" s="19" t="s">
        <v>53</v>
      </c>
      <c r="K3259" s="14">
        <v>14.0</v>
      </c>
      <c r="L3259" s="14">
        <v>0.0</v>
      </c>
      <c r="M3259" s="25"/>
      <c r="N3259" s="26" t="s">
        <v>21</v>
      </c>
      <c r="O3259" s="7"/>
      <c r="P3259" s="7"/>
      <c r="Q3259" s="7"/>
      <c r="R3259" s="7"/>
      <c r="S3259" s="7"/>
      <c r="T3259" s="7"/>
      <c r="U3259" s="7"/>
      <c r="V3259" s="7"/>
      <c r="W3259" s="7"/>
      <c r="X3259" s="7"/>
      <c r="Y3259" s="7"/>
    </row>
    <row r="3260">
      <c r="A3260" s="14" t="s">
        <v>11671</v>
      </c>
      <c r="B3260" s="17" t="s">
        <v>11669</v>
      </c>
      <c r="C3260" s="17" t="s">
        <v>11672</v>
      </c>
      <c r="D3260" s="19" t="s">
        <v>11673</v>
      </c>
      <c r="E3260" s="20" t="s">
        <v>1291</v>
      </c>
      <c r="F3260" s="21">
        <v>19971.0</v>
      </c>
      <c r="G3260" s="14">
        <f t="shared" si="1"/>
        <v>72</v>
      </c>
      <c r="H3260" s="23" t="s">
        <v>26</v>
      </c>
      <c r="I3260" s="24" t="s">
        <v>27</v>
      </c>
      <c r="J3260" s="19" t="s">
        <v>53</v>
      </c>
      <c r="K3260" s="14">
        <v>14.0</v>
      </c>
      <c r="L3260" s="14">
        <v>0.0</v>
      </c>
      <c r="M3260" s="25"/>
      <c r="N3260" s="26" t="s">
        <v>21</v>
      </c>
      <c r="O3260" s="7"/>
      <c r="P3260" s="7"/>
      <c r="Q3260" s="7"/>
      <c r="R3260" s="7"/>
      <c r="S3260" s="7"/>
      <c r="T3260" s="7"/>
      <c r="U3260" s="7"/>
      <c r="V3260" s="7"/>
      <c r="W3260" s="7"/>
      <c r="X3260" s="7"/>
      <c r="Y3260" s="7"/>
    </row>
    <row r="3261">
      <c r="A3261" s="14" t="s">
        <v>11674</v>
      </c>
      <c r="B3261" s="17" t="s">
        <v>11675</v>
      </c>
      <c r="C3261" s="17" t="s">
        <v>11676</v>
      </c>
      <c r="D3261" s="19" t="s">
        <v>11677</v>
      </c>
      <c r="E3261" s="20" t="s">
        <v>104</v>
      </c>
      <c r="F3261" s="21">
        <v>38575.0</v>
      </c>
      <c r="G3261" s="14">
        <f t="shared" si="1"/>
        <v>21</v>
      </c>
      <c r="H3261" s="23" t="s">
        <v>100</v>
      </c>
      <c r="I3261" s="24" t="s">
        <v>33</v>
      </c>
      <c r="J3261" s="19" t="s">
        <v>328</v>
      </c>
      <c r="K3261" s="14">
        <v>19.0</v>
      </c>
      <c r="L3261" s="14">
        <v>0.0</v>
      </c>
      <c r="M3261" s="25"/>
      <c r="N3261" s="26" t="s">
        <v>21</v>
      </c>
      <c r="O3261" s="7"/>
      <c r="P3261" s="7"/>
      <c r="Q3261" s="7"/>
      <c r="R3261" s="7"/>
      <c r="S3261" s="7"/>
      <c r="T3261" s="7"/>
      <c r="U3261" s="7"/>
      <c r="V3261" s="7"/>
      <c r="W3261" s="7"/>
      <c r="X3261" s="7"/>
      <c r="Y3261" s="7"/>
    </row>
    <row r="3262">
      <c r="A3262" s="14" t="s">
        <v>11678</v>
      </c>
      <c r="B3262" s="17" t="s">
        <v>13750</v>
      </c>
      <c r="C3262" s="17" t="s">
        <v>11679</v>
      </c>
      <c r="D3262" s="19" t="s">
        <v>11680</v>
      </c>
      <c r="E3262" s="20" t="s">
        <v>749</v>
      </c>
      <c r="F3262" s="21">
        <v>36743.0</v>
      </c>
      <c r="G3262" s="14">
        <f t="shared" si="1"/>
        <v>26</v>
      </c>
      <c r="H3262" s="23" t="s">
        <v>100</v>
      </c>
      <c r="I3262" s="24" t="s">
        <v>33</v>
      </c>
      <c r="J3262" s="19" t="s">
        <v>328</v>
      </c>
      <c r="K3262" s="14">
        <v>9.0</v>
      </c>
      <c r="L3262" s="14">
        <v>0.0</v>
      </c>
      <c r="M3262" s="25"/>
      <c r="N3262" s="26" t="s">
        <v>21</v>
      </c>
      <c r="O3262" s="7"/>
      <c r="P3262" s="7"/>
      <c r="Q3262" s="7"/>
      <c r="R3262" s="7"/>
      <c r="S3262" s="7"/>
      <c r="T3262" s="7"/>
      <c r="U3262" s="7"/>
      <c r="V3262" s="7"/>
      <c r="W3262" s="7"/>
      <c r="X3262" s="7"/>
      <c r="Y3262" s="7"/>
    </row>
    <row r="3263">
      <c r="A3263" s="14" t="s">
        <v>11681</v>
      </c>
      <c r="B3263" s="17" t="s">
        <v>11675</v>
      </c>
      <c r="C3263" s="17" t="s">
        <v>11682</v>
      </c>
      <c r="D3263" s="19" t="s">
        <v>11683</v>
      </c>
      <c r="E3263" s="20" t="s">
        <v>1413</v>
      </c>
      <c r="F3263" s="21">
        <v>28680.0</v>
      </c>
      <c r="G3263" s="14">
        <f t="shared" si="1"/>
        <v>48</v>
      </c>
      <c r="H3263" s="23" t="s">
        <v>26</v>
      </c>
      <c r="I3263" s="24" t="s">
        <v>27</v>
      </c>
      <c r="J3263" s="19" t="s">
        <v>328</v>
      </c>
      <c r="K3263" s="14">
        <v>19.0</v>
      </c>
      <c r="L3263" s="14">
        <v>0.0</v>
      </c>
      <c r="M3263" s="25"/>
      <c r="N3263" s="26" t="s">
        <v>21</v>
      </c>
      <c r="O3263" s="7"/>
      <c r="P3263" s="7"/>
      <c r="Q3263" s="7"/>
      <c r="R3263" s="7"/>
      <c r="S3263" s="7"/>
      <c r="T3263" s="7"/>
      <c r="U3263" s="7"/>
      <c r="V3263" s="7"/>
      <c r="W3263" s="7"/>
      <c r="X3263" s="7"/>
      <c r="Y3263" s="7"/>
    </row>
    <row r="3264">
      <c r="A3264" s="14" t="s">
        <v>11684</v>
      </c>
      <c r="B3264" s="17" t="s">
        <v>11675</v>
      </c>
      <c r="C3264" s="17" t="s">
        <v>11685</v>
      </c>
      <c r="D3264" s="19" t="s">
        <v>1986</v>
      </c>
      <c r="E3264" s="20" t="s">
        <v>1413</v>
      </c>
      <c r="F3264" s="21">
        <v>25746.0</v>
      </c>
      <c r="G3264" s="14">
        <f t="shared" si="1"/>
        <v>56</v>
      </c>
      <c r="H3264" s="23" t="s">
        <v>26</v>
      </c>
      <c r="I3264" s="24" t="s">
        <v>33</v>
      </c>
      <c r="J3264" s="19" t="s">
        <v>328</v>
      </c>
      <c r="K3264" s="14">
        <v>19.0</v>
      </c>
      <c r="L3264" s="14">
        <v>0.0</v>
      </c>
      <c r="M3264" s="25"/>
      <c r="N3264" s="26" t="s">
        <v>21</v>
      </c>
      <c r="O3264" s="7"/>
      <c r="P3264" s="7"/>
      <c r="Q3264" s="7"/>
      <c r="R3264" s="7"/>
      <c r="S3264" s="7"/>
      <c r="T3264" s="7"/>
      <c r="U3264" s="7"/>
      <c r="V3264" s="7"/>
      <c r="W3264" s="7"/>
      <c r="X3264" s="7"/>
      <c r="Y3264" s="7"/>
    </row>
    <row r="3265">
      <c r="A3265" s="14" t="s">
        <v>11686</v>
      </c>
      <c r="B3265" s="17" t="s">
        <v>11687</v>
      </c>
      <c r="C3265" s="17" t="s">
        <v>11688</v>
      </c>
      <c r="D3265" s="19" t="s">
        <v>11689</v>
      </c>
      <c r="E3265" s="20" t="s">
        <v>104</v>
      </c>
      <c r="F3265" s="21">
        <v>38895.0</v>
      </c>
      <c r="G3265" s="14">
        <f t="shared" si="1"/>
        <v>20</v>
      </c>
      <c r="H3265" s="23" t="s">
        <v>100</v>
      </c>
      <c r="I3265" s="24" t="s">
        <v>33</v>
      </c>
      <c r="J3265" s="19" t="s">
        <v>146</v>
      </c>
      <c r="K3265" s="14">
        <v>5.0</v>
      </c>
      <c r="L3265" s="14">
        <v>0.0</v>
      </c>
      <c r="M3265" s="25"/>
      <c r="N3265" s="26" t="s">
        <v>21</v>
      </c>
      <c r="O3265" s="7"/>
      <c r="P3265" s="7"/>
      <c r="Q3265" s="7"/>
      <c r="R3265" s="7"/>
      <c r="S3265" s="7"/>
      <c r="T3265" s="7"/>
      <c r="U3265" s="7"/>
      <c r="V3265" s="7"/>
      <c r="W3265" s="7"/>
      <c r="X3265" s="7"/>
      <c r="Y3265" s="7"/>
    </row>
    <row r="3266">
      <c r="A3266" s="14" t="s">
        <v>11690</v>
      </c>
      <c r="B3266" s="17" t="s">
        <v>11687</v>
      </c>
      <c r="C3266" s="17" t="s">
        <v>11691</v>
      </c>
      <c r="D3266" s="19" t="s">
        <v>11692</v>
      </c>
      <c r="E3266" s="20" t="s">
        <v>3029</v>
      </c>
      <c r="F3266" s="21">
        <v>25020.0</v>
      </c>
      <c r="G3266" s="14">
        <f t="shared" si="1"/>
        <v>58</v>
      </c>
      <c r="H3266" s="23" t="s">
        <v>26</v>
      </c>
      <c r="I3266" s="24" t="s">
        <v>33</v>
      </c>
      <c r="J3266" s="19" t="s">
        <v>146</v>
      </c>
      <c r="K3266" s="14">
        <v>5.0</v>
      </c>
      <c r="L3266" s="14">
        <v>0.0</v>
      </c>
      <c r="M3266" s="25"/>
      <c r="N3266" s="26" t="s">
        <v>21</v>
      </c>
      <c r="O3266" s="7"/>
      <c r="P3266" s="7"/>
      <c r="Q3266" s="7"/>
      <c r="R3266" s="7"/>
      <c r="S3266" s="7"/>
      <c r="T3266" s="7"/>
      <c r="U3266" s="7"/>
      <c r="V3266" s="7"/>
      <c r="W3266" s="7"/>
      <c r="X3266" s="7"/>
      <c r="Y3266" s="7"/>
    </row>
    <row r="3267">
      <c r="A3267" s="14" t="s">
        <v>11693</v>
      </c>
      <c r="B3267" s="17" t="s">
        <v>11687</v>
      </c>
      <c r="C3267" s="17" t="s">
        <v>11694</v>
      </c>
      <c r="D3267" s="19" t="s">
        <v>7402</v>
      </c>
      <c r="E3267" s="20" t="s">
        <v>880</v>
      </c>
      <c r="F3267" s="21">
        <v>27474.0</v>
      </c>
      <c r="G3267" s="14">
        <f t="shared" si="1"/>
        <v>51</v>
      </c>
      <c r="H3267" s="23" t="s">
        <v>26</v>
      </c>
      <c r="I3267" s="24" t="s">
        <v>27</v>
      </c>
      <c r="J3267" s="19" t="s">
        <v>146</v>
      </c>
      <c r="K3267" s="14">
        <v>5.0</v>
      </c>
      <c r="L3267" s="14">
        <v>0.0</v>
      </c>
      <c r="M3267" s="25"/>
      <c r="N3267" s="26" t="s">
        <v>21</v>
      </c>
      <c r="O3267" s="7"/>
      <c r="P3267" s="7"/>
      <c r="Q3267" s="7"/>
      <c r="R3267" s="7"/>
      <c r="S3267" s="7"/>
      <c r="T3267" s="7"/>
      <c r="U3267" s="7"/>
      <c r="V3267" s="7"/>
      <c r="W3267" s="7"/>
      <c r="X3267" s="7"/>
      <c r="Y3267" s="7"/>
    </row>
    <row r="3268">
      <c r="A3268" s="14" t="s">
        <v>11695</v>
      </c>
      <c r="B3268" s="17" t="s">
        <v>11696</v>
      </c>
      <c r="C3268" s="17" t="s">
        <v>11697</v>
      </c>
      <c r="D3268" s="19" t="s">
        <v>11698</v>
      </c>
      <c r="E3268" s="20" t="s">
        <v>880</v>
      </c>
      <c r="F3268" s="21">
        <v>24010.0</v>
      </c>
      <c r="G3268" s="14">
        <f t="shared" si="1"/>
        <v>61</v>
      </c>
      <c r="H3268" s="23" t="s">
        <v>26</v>
      </c>
      <c r="I3268" s="24" t="s">
        <v>27</v>
      </c>
      <c r="J3268" s="19" t="s">
        <v>146</v>
      </c>
      <c r="K3268" s="14">
        <v>5.0</v>
      </c>
      <c r="L3268" s="14">
        <v>1.0</v>
      </c>
      <c r="M3268" s="25"/>
      <c r="N3268" s="26" t="s">
        <v>21</v>
      </c>
      <c r="O3268" s="7"/>
      <c r="P3268" s="7"/>
      <c r="Q3268" s="7"/>
      <c r="R3268" s="7"/>
      <c r="S3268" s="7"/>
      <c r="T3268" s="7"/>
      <c r="U3268" s="7"/>
      <c r="V3268" s="7"/>
      <c r="W3268" s="7"/>
      <c r="X3268" s="7"/>
      <c r="Y3268" s="7"/>
    </row>
    <row r="3269">
      <c r="A3269" s="14" t="s">
        <v>11699</v>
      </c>
      <c r="B3269" s="17" t="s">
        <v>11696</v>
      </c>
      <c r="C3269" s="17" t="s">
        <v>11700</v>
      </c>
      <c r="D3269" s="19" t="s">
        <v>8182</v>
      </c>
      <c r="E3269" s="20" t="s">
        <v>104</v>
      </c>
      <c r="F3269" s="21">
        <v>35596.0</v>
      </c>
      <c r="G3269" s="14">
        <f t="shared" si="1"/>
        <v>29</v>
      </c>
      <c r="H3269" s="23" t="s">
        <v>100</v>
      </c>
      <c r="I3269" s="24" t="s">
        <v>33</v>
      </c>
      <c r="J3269" s="19" t="s">
        <v>146</v>
      </c>
      <c r="K3269" s="14">
        <v>5.0</v>
      </c>
      <c r="L3269" s="14">
        <v>0.0</v>
      </c>
      <c r="M3269" s="25"/>
      <c r="N3269" s="26" t="s">
        <v>21</v>
      </c>
      <c r="O3269" s="7"/>
      <c r="P3269" s="7"/>
      <c r="Q3269" s="7"/>
      <c r="R3269" s="7"/>
      <c r="S3269" s="7"/>
      <c r="T3269" s="7"/>
      <c r="U3269" s="7"/>
      <c r="V3269" s="7"/>
      <c r="W3269" s="7"/>
      <c r="X3269" s="7"/>
      <c r="Y3269" s="7"/>
    </row>
    <row r="3270">
      <c r="A3270" s="14" t="s">
        <v>11701</v>
      </c>
      <c r="B3270" s="17" t="s">
        <v>11702</v>
      </c>
      <c r="C3270" s="17" t="s">
        <v>11703</v>
      </c>
      <c r="D3270" s="19" t="s">
        <v>11704</v>
      </c>
      <c r="E3270" s="20" t="s">
        <v>605</v>
      </c>
      <c r="F3270" s="21">
        <v>22844.0</v>
      </c>
      <c r="G3270" s="14">
        <f t="shared" si="1"/>
        <v>64</v>
      </c>
      <c r="H3270" s="23" t="s">
        <v>26</v>
      </c>
      <c r="I3270" s="24" t="s">
        <v>27</v>
      </c>
      <c r="J3270" s="19" t="s">
        <v>53</v>
      </c>
      <c r="K3270" s="14">
        <v>12.0</v>
      </c>
      <c r="L3270" s="14">
        <v>0.0</v>
      </c>
      <c r="M3270" s="25"/>
      <c r="N3270" s="26" t="s">
        <v>21</v>
      </c>
      <c r="O3270" s="7"/>
      <c r="P3270" s="7"/>
      <c r="Q3270" s="7"/>
      <c r="R3270" s="7"/>
      <c r="S3270" s="7"/>
      <c r="T3270" s="7"/>
      <c r="U3270" s="7"/>
      <c r="V3270" s="7"/>
      <c r="W3270" s="7"/>
      <c r="X3270" s="7"/>
      <c r="Y3270" s="7"/>
    </row>
    <row r="3271">
      <c r="A3271" s="14" t="s">
        <v>11705</v>
      </c>
      <c r="B3271" s="17" t="s">
        <v>11702</v>
      </c>
      <c r="C3271" s="17" t="s">
        <v>11706</v>
      </c>
      <c r="D3271" s="19" t="s">
        <v>10324</v>
      </c>
      <c r="E3271" s="20" t="s">
        <v>429</v>
      </c>
      <c r="F3271" s="21">
        <v>24528.0</v>
      </c>
      <c r="G3271" s="14">
        <f t="shared" si="1"/>
        <v>59</v>
      </c>
      <c r="H3271" s="23" t="s">
        <v>26</v>
      </c>
      <c r="I3271" s="24" t="s">
        <v>33</v>
      </c>
      <c r="J3271" s="19" t="s">
        <v>53</v>
      </c>
      <c r="K3271" s="14">
        <v>12.0</v>
      </c>
      <c r="L3271" s="14">
        <v>0.0</v>
      </c>
      <c r="M3271" s="25"/>
      <c r="N3271" s="26" t="s">
        <v>21</v>
      </c>
      <c r="O3271" s="7"/>
      <c r="P3271" s="7"/>
      <c r="Q3271" s="7"/>
      <c r="R3271" s="7"/>
      <c r="S3271" s="7"/>
      <c r="T3271" s="7"/>
      <c r="U3271" s="7"/>
      <c r="V3271" s="7"/>
      <c r="W3271" s="7"/>
      <c r="X3271" s="7"/>
      <c r="Y3271" s="7"/>
    </row>
    <row r="3272">
      <c r="A3272" s="14" t="s">
        <v>11707</v>
      </c>
      <c r="B3272" s="17" t="s">
        <v>11708</v>
      </c>
      <c r="C3272" s="17" t="s">
        <v>11709</v>
      </c>
      <c r="D3272" s="19" t="s">
        <v>3352</v>
      </c>
      <c r="E3272" s="20" t="s">
        <v>195</v>
      </c>
      <c r="F3272" s="21">
        <v>29478.0</v>
      </c>
      <c r="G3272" s="14">
        <f t="shared" si="1"/>
        <v>46</v>
      </c>
      <c r="H3272" s="23" t="s">
        <v>26</v>
      </c>
      <c r="I3272" s="24" t="s">
        <v>27</v>
      </c>
      <c r="J3272" s="19" t="s">
        <v>6260</v>
      </c>
      <c r="K3272" s="14">
        <v>13.0</v>
      </c>
      <c r="L3272" s="14">
        <v>0.0</v>
      </c>
      <c r="M3272" s="25"/>
      <c r="N3272" s="26" t="s">
        <v>21</v>
      </c>
      <c r="O3272" s="7"/>
      <c r="P3272" s="7"/>
      <c r="Q3272" s="7"/>
      <c r="R3272" s="7"/>
      <c r="S3272" s="7"/>
      <c r="T3272" s="7"/>
      <c r="U3272" s="7"/>
      <c r="V3272" s="7"/>
      <c r="W3272" s="7"/>
      <c r="X3272" s="7"/>
      <c r="Y3272" s="7"/>
    </row>
    <row r="3273">
      <c r="A3273" s="14" t="s">
        <v>11710</v>
      </c>
      <c r="B3273" s="17" t="s">
        <v>11708</v>
      </c>
      <c r="C3273" s="17" t="s">
        <v>11711</v>
      </c>
      <c r="D3273" s="19" t="s">
        <v>11712</v>
      </c>
      <c r="E3273" s="20" t="s">
        <v>104</v>
      </c>
      <c r="F3273" s="21">
        <v>39137.0</v>
      </c>
      <c r="G3273" s="14">
        <f t="shared" si="1"/>
        <v>19</v>
      </c>
      <c r="H3273" s="23" t="s">
        <v>100</v>
      </c>
      <c r="I3273" s="24" t="s">
        <v>33</v>
      </c>
      <c r="J3273" s="19" t="s">
        <v>6260</v>
      </c>
      <c r="K3273" s="14">
        <v>13.0</v>
      </c>
      <c r="L3273" s="14">
        <v>0.0</v>
      </c>
      <c r="M3273" s="25"/>
      <c r="N3273" s="26" t="s">
        <v>21</v>
      </c>
      <c r="O3273" s="7"/>
      <c r="P3273" s="7"/>
      <c r="Q3273" s="7"/>
      <c r="R3273" s="7"/>
      <c r="S3273" s="7"/>
      <c r="T3273" s="7"/>
      <c r="U3273" s="7"/>
      <c r="V3273" s="7"/>
      <c r="W3273" s="7"/>
      <c r="X3273" s="7"/>
      <c r="Y3273" s="7"/>
    </row>
    <row r="3274">
      <c r="A3274" s="14" t="s">
        <v>11713</v>
      </c>
      <c r="B3274" s="17" t="s">
        <v>11708</v>
      </c>
      <c r="C3274" s="17" t="s">
        <v>11714</v>
      </c>
      <c r="D3274" s="19" t="s">
        <v>11715</v>
      </c>
      <c r="E3274" s="20" t="s">
        <v>104</v>
      </c>
      <c r="F3274" s="21">
        <v>28856.0</v>
      </c>
      <c r="G3274" s="14">
        <f t="shared" si="1"/>
        <v>47</v>
      </c>
      <c r="H3274" s="23" t="s">
        <v>26</v>
      </c>
      <c r="I3274" s="24" t="s">
        <v>33</v>
      </c>
      <c r="J3274" s="19" t="s">
        <v>6260</v>
      </c>
      <c r="K3274" s="14">
        <v>13.0</v>
      </c>
      <c r="L3274" s="14">
        <v>0.0</v>
      </c>
      <c r="M3274" s="25"/>
      <c r="N3274" s="26" t="s">
        <v>21</v>
      </c>
      <c r="O3274" s="7"/>
      <c r="P3274" s="7"/>
      <c r="Q3274" s="7"/>
      <c r="R3274" s="7"/>
      <c r="S3274" s="7"/>
      <c r="T3274" s="7"/>
      <c r="U3274" s="7"/>
      <c r="V3274" s="7"/>
      <c r="W3274" s="7"/>
      <c r="X3274" s="7"/>
      <c r="Y3274" s="7"/>
    </row>
    <row r="3275">
      <c r="A3275" s="14" t="s">
        <v>11716</v>
      </c>
      <c r="B3275" s="17" t="s">
        <v>11717</v>
      </c>
      <c r="C3275" s="17" t="s">
        <v>11718</v>
      </c>
      <c r="D3275" s="19" t="s">
        <v>11719</v>
      </c>
      <c r="E3275" s="20" t="s">
        <v>104</v>
      </c>
      <c r="F3275" s="21">
        <v>39179.0</v>
      </c>
      <c r="G3275" s="14">
        <f t="shared" si="1"/>
        <v>19</v>
      </c>
      <c r="H3275" s="23" t="s">
        <v>100</v>
      </c>
      <c r="I3275" s="24" t="s">
        <v>27</v>
      </c>
      <c r="J3275" s="19" t="s">
        <v>257</v>
      </c>
      <c r="K3275" s="14">
        <v>13.0</v>
      </c>
      <c r="L3275" s="14">
        <v>0.0</v>
      </c>
      <c r="M3275" s="25"/>
      <c r="N3275" s="26" t="s">
        <v>21</v>
      </c>
      <c r="O3275" s="7"/>
      <c r="P3275" s="7"/>
      <c r="Q3275" s="7"/>
      <c r="R3275" s="7"/>
      <c r="S3275" s="7"/>
      <c r="T3275" s="7"/>
      <c r="U3275" s="7"/>
      <c r="V3275" s="7"/>
      <c r="W3275" s="7"/>
      <c r="X3275" s="7"/>
      <c r="Y3275" s="7"/>
    </row>
    <row r="3276">
      <c r="A3276" s="14" t="s">
        <v>11720</v>
      </c>
      <c r="B3276" s="17" t="s">
        <v>11717</v>
      </c>
      <c r="C3276" s="17" t="s">
        <v>11721</v>
      </c>
      <c r="D3276" s="19" t="s">
        <v>11722</v>
      </c>
      <c r="E3276" s="20" t="s">
        <v>337</v>
      </c>
      <c r="F3276" s="21">
        <v>36546.0</v>
      </c>
      <c r="G3276" s="14">
        <f t="shared" si="1"/>
        <v>26</v>
      </c>
      <c r="H3276" s="23" t="s">
        <v>100</v>
      </c>
      <c r="I3276" s="24" t="s">
        <v>33</v>
      </c>
      <c r="J3276" s="19" t="s">
        <v>257</v>
      </c>
      <c r="K3276" s="14">
        <v>13.0</v>
      </c>
      <c r="L3276" s="14">
        <v>0.0</v>
      </c>
      <c r="M3276" s="25"/>
      <c r="N3276" s="26" t="s">
        <v>21</v>
      </c>
      <c r="O3276" s="7"/>
      <c r="P3276" s="7"/>
      <c r="Q3276" s="7"/>
      <c r="R3276" s="7"/>
      <c r="S3276" s="7"/>
      <c r="T3276" s="7"/>
      <c r="U3276" s="7"/>
      <c r="V3276" s="7"/>
      <c r="W3276" s="7"/>
      <c r="X3276" s="7"/>
      <c r="Y3276" s="7"/>
    </row>
    <row r="3277">
      <c r="A3277" s="14" t="s">
        <v>11723</v>
      </c>
      <c r="B3277" s="17" t="s">
        <v>11717</v>
      </c>
      <c r="C3277" s="17" t="s">
        <v>11724</v>
      </c>
      <c r="D3277" s="19" t="s">
        <v>11725</v>
      </c>
      <c r="E3277" s="20" t="s">
        <v>654</v>
      </c>
      <c r="F3277" s="21">
        <v>28654.0</v>
      </c>
      <c r="G3277" s="14">
        <f t="shared" si="1"/>
        <v>48</v>
      </c>
      <c r="H3277" s="23" t="s">
        <v>26</v>
      </c>
      <c r="I3277" s="24" t="s">
        <v>33</v>
      </c>
      <c r="J3277" s="19" t="s">
        <v>257</v>
      </c>
      <c r="K3277" s="14">
        <v>13.0</v>
      </c>
      <c r="L3277" s="14">
        <v>0.0</v>
      </c>
      <c r="M3277" s="25"/>
      <c r="N3277" s="26" t="s">
        <v>21</v>
      </c>
      <c r="O3277" s="7"/>
      <c r="P3277" s="7"/>
      <c r="Q3277" s="7"/>
      <c r="R3277" s="7"/>
      <c r="S3277" s="7"/>
      <c r="T3277" s="7"/>
      <c r="U3277" s="7"/>
      <c r="V3277" s="7"/>
      <c r="W3277" s="7"/>
      <c r="X3277" s="7"/>
      <c r="Y3277" s="7"/>
    </row>
    <row r="3278">
      <c r="A3278" s="14" t="s">
        <v>11726</v>
      </c>
      <c r="B3278" s="17" t="s">
        <v>11717</v>
      </c>
      <c r="C3278" s="17" t="s">
        <v>11727</v>
      </c>
      <c r="D3278" s="19" t="s">
        <v>950</v>
      </c>
      <c r="E3278" s="20" t="s">
        <v>195</v>
      </c>
      <c r="F3278" s="21">
        <v>28858.0</v>
      </c>
      <c r="G3278" s="14">
        <f t="shared" si="1"/>
        <v>47</v>
      </c>
      <c r="H3278" s="23" t="s">
        <v>26</v>
      </c>
      <c r="I3278" s="24" t="s">
        <v>27</v>
      </c>
      <c r="J3278" s="19" t="s">
        <v>257</v>
      </c>
      <c r="K3278" s="14">
        <v>13.0</v>
      </c>
      <c r="L3278" s="14">
        <v>0.0</v>
      </c>
      <c r="M3278" s="25"/>
      <c r="N3278" s="26" t="s">
        <v>21</v>
      </c>
      <c r="O3278" s="7"/>
      <c r="P3278" s="7"/>
      <c r="Q3278" s="7"/>
      <c r="R3278" s="7"/>
      <c r="S3278" s="7"/>
      <c r="T3278" s="7"/>
      <c r="U3278" s="7"/>
      <c r="V3278" s="7"/>
      <c r="W3278" s="7"/>
      <c r="X3278" s="7"/>
      <c r="Y3278" s="7"/>
    </row>
    <row r="3279">
      <c r="A3279" s="14" t="s">
        <v>11728</v>
      </c>
      <c r="B3279" s="17" t="s">
        <v>11729</v>
      </c>
      <c r="C3279" s="17" t="s">
        <v>11730</v>
      </c>
      <c r="D3279" s="19" t="s">
        <v>636</v>
      </c>
      <c r="E3279" s="20" t="s">
        <v>624</v>
      </c>
      <c r="F3279" s="21">
        <v>24015.0</v>
      </c>
      <c r="G3279" s="14">
        <f t="shared" si="1"/>
        <v>61</v>
      </c>
      <c r="H3279" s="23" t="s">
        <v>26</v>
      </c>
      <c r="I3279" s="24" t="s">
        <v>33</v>
      </c>
      <c r="J3279" s="19" t="s">
        <v>53</v>
      </c>
      <c r="K3279" s="14">
        <v>13.0</v>
      </c>
      <c r="L3279" s="14">
        <v>0.0</v>
      </c>
      <c r="M3279" s="25"/>
      <c r="N3279" s="26" t="s">
        <v>21</v>
      </c>
      <c r="O3279" s="7"/>
      <c r="P3279" s="7"/>
      <c r="Q3279" s="7"/>
      <c r="R3279" s="7"/>
      <c r="S3279" s="7"/>
      <c r="T3279" s="7"/>
      <c r="U3279" s="7"/>
      <c r="V3279" s="7"/>
      <c r="W3279" s="7"/>
      <c r="X3279" s="7"/>
      <c r="Y3279" s="7"/>
    </row>
    <row r="3280">
      <c r="A3280" s="14" t="s">
        <v>11731</v>
      </c>
      <c r="B3280" s="17" t="s">
        <v>11729</v>
      </c>
      <c r="C3280" s="17" t="s">
        <v>11732</v>
      </c>
      <c r="D3280" s="19" t="s">
        <v>10386</v>
      </c>
      <c r="E3280" s="20" t="s">
        <v>624</v>
      </c>
      <c r="F3280" s="21">
        <v>24685.0</v>
      </c>
      <c r="G3280" s="14">
        <f t="shared" si="1"/>
        <v>59</v>
      </c>
      <c r="H3280" s="23" t="s">
        <v>26</v>
      </c>
      <c r="I3280" s="24" t="s">
        <v>27</v>
      </c>
      <c r="J3280" s="19" t="s">
        <v>53</v>
      </c>
      <c r="K3280" s="14">
        <v>13.0</v>
      </c>
      <c r="L3280" s="14">
        <v>0.0</v>
      </c>
      <c r="M3280" s="25"/>
      <c r="N3280" s="26" t="s">
        <v>21</v>
      </c>
      <c r="O3280" s="7"/>
      <c r="P3280" s="7"/>
      <c r="Q3280" s="7"/>
      <c r="R3280" s="7"/>
      <c r="S3280" s="7"/>
      <c r="T3280" s="7"/>
      <c r="U3280" s="7"/>
      <c r="V3280" s="7"/>
      <c r="W3280" s="7"/>
      <c r="X3280" s="7"/>
      <c r="Y3280" s="7"/>
    </row>
    <row r="3281">
      <c r="A3281" s="14" t="s">
        <v>11733</v>
      </c>
      <c r="B3281" s="17" t="s">
        <v>11734</v>
      </c>
      <c r="C3281" s="17" t="s">
        <v>11735</v>
      </c>
      <c r="D3281" s="19" t="s">
        <v>11736</v>
      </c>
      <c r="E3281" s="20" t="s">
        <v>104</v>
      </c>
      <c r="F3281" s="21">
        <v>38492.0</v>
      </c>
      <c r="G3281" s="14">
        <f t="shared" si="1"/>
        <v>21</v>
      </c>
      <c r="H3281" s="23" t="s">
        <v>100</v>
      </c>
      <c r="I3281" s="24" t="s">
        <v>33</v>
      </c>
      <c r="J3281" s="19" t="s">
        <v>53</v>
      </c>
      <c r="K3281" s="14">
        <v>21.0</v>
      </c>
      <c r="L3281" s="14">
        <v>0.0</v>
      </c>
      <c r="M3281" s="25"/>
      <c r="N3281" s="26" t="s">
        <v>21</v>
      </c>
      <c r="O3281" s="7"/>
      <c r="P3281" s="7"/>
      <c r="Q3281" s="7"/>
      <c r="R3281" s="7"/>
      <c r="S3281" s="7"/>
      <c r="T3281" s="7"/>
      <c r="U3281" s="7"/>
      <c r="V3281" s="7"/>
      <c r="W3281" s="7"/>
      <c r="X3281" s="7"/>
      <c r="Y3281" s="7"/>
    </row>
    <row r="3282">
      <c r="A3282" s="14" t="s">
        <v>11737</v>
      </c>
      <c r="B3282" s="17" t="s">
        <v>11734</v>
      </c>
      <c r="C3282" s="17" t="s">
        <v>11738</v>
      </c>
      <c r="D3282" s="19" t="s">
        <v>11739</v>
      </c>
      <c r="E3282" s="20" t="s">
        <v>434</v>
      </c>
      <c r="F3282" s="21">
        <v>26793.0</v>
      </c>
      <c r="G3282" s="14">
        <f t="shared" si="1"/>
        <v>53</v>
      </c>
      <c r="H3282" s="23" t="s">
        <v>26</v>
      </c>
      <c r="I3282" s="24" t="s">
        <v>33</v>
      </c>
      <c r="J3282" s="19" t="s">
        <v>53</v>
      </c>
      <c r="K3282" s="14">
        <v>21.0</v>
      </c>
      <c r="L3282" s="14">
        <v>0.0</v>
      </c>
      <c r="M3282" s="25"/>
      <c r="N3282" s="26" t="s">
        <v>21</v>
      </c>
      <c r="O3282" s="7"/>
      <c r="P3282" s="7"/>
      <c r="Q3282" s="7"/>
      <c r="R3282" s="7"/>
      <c r="S3282" s="7"/>
      <c r="T3282" s="7"/>
      <c r="U3282" s="7"/>
      <c r="V3282" s="7"/>
      <c r="W3282" s="7"/>
      <c r="X3282" s="7"/>
      <c r="Y3282" s="7"/>
    </row>
    <row r="3283">
      <c r="A3283" s="14" t="s">
        <v>11740</v>
      </c>
      <c r="B3283" s="17" t="s">
        <v>11741</v>
      </c>
      <c r="C3283" s="17" t="s">
        <v>11742</v>
      </c>
      <c r="D3283" s="19" t="s">
        <v>11743</v>
      </c>
      <c r="E3283" s="20" t="s">
        <v>104</v>
      </c>
      <c r="F3283" s="21">
        <v>29315.0</v>
      </c>
      <c r="G3283" s="14">
        <f t="shared" si="1"/>
        <v>46</v>
      </c>
      <c r="H3283" s="23" t="s">
        <v>27</v>
      </c>
      <c r="I3283" s="24" t="s">
        <v>27</v>
      </c>
      <c r="J3283" s="19" t="s">
        <v>146</v>
      </c>
      <c r="K3283" s="14">
        <v>5.0</v>
      </c>
      <c r="L3283" s="14">
        <v>0.0</v>
      </c>
      <c r="M3283" s="25"/>
      <c r="N3283" s="26" t="s">
        <v>21</v>
      </c>
      <c r="O3283" s="7"/>
      <c r="P3283" s="7"/>
      <c r="Q3283" s="7"/>
      <c r="R3283" s="7"/>
      <c r="S3283" s="7"/>
      <c r="T3283" s="7"/>
      <c r="U3283" s="7"/>
      <c r="V3283" s="7"/>
      <c r="W3283" s="7"/>
      <c r="X3283" s="7"/>
      <c r="Y3283" s="7"/>
    </row>
    <row r="3284">
      <c r="A3284" s="14" t="s">
        <v>11744</v>
      </c>
      <c r="B3284" s="17" t="s">
        <v>11745</v>
      </c>
      <c r="C3284" s="17" t="s">
        <v>11746</v>
      </c>
      <c r="D3284" s="19" t="s">
        <v>11747</v>
      </c>
      <c r="E3284" s="20" t="s">
        <v>138</v>
      </c>
      <c r="F3284" s="21">
        <v>35292.0</v>
      </c>
      <c r="G3284" s="14">
        <f t="shared" si="1"/>
        <v>30</v>
      </c>
      <c r="H3284" s="23" t="s">
        <v>100</v>
      </c>
      <c r="I3284" s="24" t="s">
        <v>33</v>
      </c>
      <c r="J3284" s="19" t="s">
        <v>68</v>
      </c>
      <c r="K3284" s="14">
        <v>28.0</v>
      </c>
      <c r="L3284" s="14">
        <v>0.0</v>
      </c>
      <c r="M3284" s="25"/>
      <c r="N3284" s="26" t="s">
        <v>21</v>
      </c>
      <c r="O3284" s="7"/>
      <c r="P3284" s="7"/>
      <c r="Q3284" s="7"/>
      <c r="R3284" s="7"/>
      <c r="S3284" s="7"/>
      <c r="T3284" s="7"/>
      <c r="U3284" s="7"/>
      <c r="V3284" s="7"/>
      <c r="W3284" s="7"/>
      <c r="X3284" s="7"/>
      <c r="Y3284" s="7"/>
    </row>
    <row r="3285">
      <c r="A3285" s="14" t="s">
        <v>11748</v>
      </c>
      <c r="B3285" s="17" t="s">
        <v>11745</v>
      </c>
      <c r="C3285" s="17" t="s">
        <v>11749</v>
      </c>
      <c r="D3285" s="19" t="s">
        <v>11750</v>
      </c>
      <c r="E3285" s="20" t="s">
        <v>11751</v>
      </c>
      <c r="F3285" s="21">
        <v>22148.0</v>
      </c>
      <c r="G3285" s="14">
        <f t="shared" si="1"/>
        <v>66</v>
      </c>
      <c r="H3285" s="23" t="s">
        <v>26</v>
      </c>
      <c r="I3285" s="24" t="s">
        <v>33</v>
      </c>
      <c r="J3285" s="19" t="s">
        <v>68</v>
      </c>
      <c r="K3285" s="14">
        <v>28.0</v>
      </c>
      <c r="L3285" s="14">
        <v>0.0</v>
      </c>
      <c r="M3285" s="25"/>
      <c r="N3285" s="26" t="s">
        <v>21</v>
      </c>
      <c r="O3285" s="7"/>
      <c r="P3285" s="7"/>
      <c r="Q3285" s="7"/>
      <c r="R3285" s="7"/>
      <c r="S3285" s="7"/>
      <c r="T3285" s="7"/>
      <c r="U3285" s="7"/>
      <c r="V3285" s="7"/>
      <c r="W3285" s="7"/>
      <c r="X3285" s="7"/>
      <c r="Y3285" s="7"/>
    </row>
    <row r="3286">
      <c r="A3286" s="14" t="s">
        <v>11752</v>
      </c>
      <c r="B3286" s="17" t="s">
        <v>11745</v>
      </c>
      <c r="C3286" s="17" t="s">
        <v>11753</v>
      </c>
      <c r="D3286" s="19" t="s">
        <v>11754</v>
      </c>
      <c r="E3286" s="20" t="s">
        <v>104</v>
      </c>
      <c r="F3286" s="21">
        <v>34229.0</v>
      </c>
      <c r="G3286" s="14">
        <f t="shared" si="1"/>
        <v>33</v>
      </c>
      <c r="H3286" s="23" t="s">
        <v>100</v>
      </c>
      <c r="I3286" s="24" t="s">
        <v>33</v>
      </c>
      <c r="J3286" s="19" t="s">
        <v>68</v>
      </c>
      <c r="K3286" s="14">
        <v>28.0</v>
      </c>
      <c r="L3286" s="14">
        <v>5.0</v>
      </c>
      <c r="M3286" s="25"/>
      <c r="N3286" s="26" t="s">
        <v>21</v>
      </c>
      <c r="O3286" s="7"/>
      <c r="P3286" s="7"/>
      <c r="Q3286" s="7"/>
      <c r="R3286" s="7"/>
      <c r="S3286" s="7"/>
      <c r="T3286" s="7"/>
      <c r="U3286" s="7"/>
      <c r="V3286" s="7"/>
      <c r="W3286" s="7"/>
      <c r="X3286" s="7"/>
      <c r="Y3286" s="7"/>
    </row>
    <row r="3287">
      <c r="A3287" s="14" t="s">
        <v>11755</v>
      </c>
      <c r="B3287" s="17" t="s">
        <v>11745</v>
      </c>
      <c r="C3287" s="17" t="s">
        <v>11756</v>
      </c>
      <c r="D3287" s="19" t="s">
        <v>11757</v>
      </c>
      <c r="E3287" s="20" t="s">
        <v>11758</v>
      </c>
      <c r="F3287" s="21">
        <v>23172.0</v>
      </c>
      <c r="G3287" s="14">
        <f t="shared" si="1"/>
        <v>63</v>
      </c>
      <c r="H3287" s="23" t="s">
        <v>26</v>
      </c>
      <c r="I3287" s="24" t="s">
        <v>27</v>
      </c>
      <c r="J3287" s="19" t="s">
        <v>68</v>
      </c>
      <c r="K3287" s="14">
        <v>28.0</v>
      </c>
      <c r="L3287" s="14">
        <v>0.0</v>
      </c>
      <c r="M3287" s="25"/>
      <c r="N3287" s="26" t="s">
        <v>21</v>
      </c>
      <c r="O3287" s="7"/>
      <c r="P3287" s="7"/>
      <c r="Q3287" s="7"/>
      <c r="R3287" s="7"/>
      <c r="S3287" s="7"/>
      <c r="T3287" s="7"/>
      <c r="U3287" s="7"/>
      <c r="V3287" s="7"/>
      <c r="W3287" s="7"/>
      <c r="X3287" s="7"/>
      <c r="Y3287" s="7"/>
    </row>
    <row r="3288">
      <c r="A3288" s="14" t="s">
        <v>11759</v>
      </c>
      <c r="B3288" s="17" t="s">
        <v>11760</v>
      </c>
      <c r="C3288" s="17" t="s">
        <v>11761</v>
      </c>
      <c r="D3288" s="19" t="s">
        <v>11762</v>
      </c>
      <c r="E3288" s="20" t="s">
        <v>104</v>
      </c>
      <c r="F3288" s="21">
        <v>29448.0</v>
      </c>
      <c r="G3288" s="14">
        <f t="shared" si="1"/>
        <v>46</v>
      </c>
      <c r="H3288" s="23" t="s">
        <v>26</v>
      </c>
      <c r="I3288" s="24" t="s">
        <v>33</v>
      </c>
      <c r="J3288" s="19" t="s">
        <v>282</v>
      </c>
      <c r="K3288" s="14">
        <v>14.0</v>
      </c>
      <c r="L3288" s="14">
        <v>0.0</v>
      </c>
      <c r="M3288" s="25"/>
      <c r="N3288" s="26" t="s">
        <v>21</v>
      </c>
      <c r="O3288" s="7"/>
      <c r="P3288" s="7"/>
      <c r="Q3288" s="7"/>
      <c r="R3288" s="7"/>
      <c r="S3288" s="7"/>
      <c r="T3288" s="7"/>
      <c r="U3288" s="7"/>
      <c r="V3288" s="7"/>
      <c r="W3288" s="7"/>
      <c r="X3288" s="7"/>
      <c r="Y3288" s="7"/>
    </row>
    <row r="3289">
      <c r="A3289" s="14" t="s">
        <v>11763</v>
      </c>
      <c r="B3289" s="17" t="s">
        <v>11760</v>
      </c>
      <c r="C3289" s="17" t="s">
        <v>11764</v>
      </c>
      <c r="D3289" s="19" t="s">
        <v>11765</v>
      </c>
      <c r="E3289" s="20" t="s">
        <v>1133</v>
      </c>
      <c r="F3289" s="21">
        <v>38357.0</v>
      </c>
      <c r="G3289" s="14">
        <f t="shared" si="1"/>
        <v>21</v>
      </c>
      <c r="H3289" s="23" t="s">
        <v>100</v>
      </c>
      <c r="I3289" s="24" t="s">
        <v>33</v>
      </c>
      <c r="J3289" s="19" t="s">
        <v>7905</v>
      </c>
      <c r="K3289" s="14">
        <v>14.0</v>
      </c>
      <c r="L3289" s="14">
        <v>0.0</v>
      </c>
      <c r="M3289" s="25"/>
      <c r="N3289" s="26" t="s">
        <v>21</v>
      </c>
      <c r="O3289" s="7"/>
      <c r="P3289" s="7"/>
      <c r="Q3289" s="7"/>
      <c r="R3289" s="7"/>
      <c r="S3289" s="7"/>
      <c r="T3289" s="7"/>
      <c r="U3289" s="7"/>
      <c r="V3289" s="7"/>
      <c r="W3289" s="7"/>
      <c r="X3289" s="7"/>
      <c r="Y3289" s="7"/>
    </row>
    <row r="3290">
      <c r="A3290" s="14" t="s">
        <v>11766</v>
      </c>
      <c r="B3290" s="17" t="s">
        <v>11760</v>
      </c>
      <c r="C3290" s="17" t="s">
        <v>11767</v>
      </c>
      <c r="D3290" s="19" t="s">
        <v>11768</v>
      </c>
      <c r="E3290" s="20" t="s">
        <v>1038</v>
      </c>
      <c r="F3290" s="21">
        <v>30837.0</v>
      </c>
      <c r="G3290" s="14">
        <f t="shared" si="1"/>
        <v>42</v>
      </c>
      <c r="H3290" s="23" t="s">
        <v>26</v>
      </c>
      <c r="I3290" s="24" t="s">
        <v>27</v>
      </c>
      <c r="J3290" s="19" t="s">
        <v>282</v>
      </c>
      <c r="K3290" s="14">
        <v>14.0</v>
      </c>
      <c r="L3290" s="14">
        <v>0.0</v>
      </c>
      <c r="M3290" s="25"/>
      <c r="N3290" s="26" t="s">
        <v>21</v>
      </c>
      <c r="O3290" s="7"/>
      <c r="P3290" s="7"/>
      <c r="Q3290" s="7"/>
      <c r="R3290" s="7"/>
      <c r="S3290" s="7"/>
      <c r="T3290" s="7"/>
      <c r="U3290" s="7"/>
      <c r="V3290" s="7"/>
      <c r="W3290" s="7"/>
      <c r="X3290" s="7"/>
      <c r="Y3290" s="7"/>
    </row>
    <row r="3291">
      <c r="A3291" s="14" t="s">
        <v>11769</v>
      </c>
      <c r="B3291" s="17" t="s">
        <v>11770</v>
      </c>
      <c r="C3291" s="17" t="s">
        <v>11771</v>
      </c>
      <c r="D3291" s="19" t="s">
        <v>11772</v>
      </c>
      <c r="E3291" s="20" t="s">
        <v>112</v>
      </c>
      <c r="F3291" s="27">
        <v>39404.0</v>
      </c>
      <c r="G3291" s="14">
        <f t="shared" si="1"/>
        <v>18</v>
      </c>
      <c r="H3291" s="23" t="s">
        <v>100</v>
      </c>
      <c r="I3291" s="24" t="s">
        <v>33</v>
      </c>
      <c r="J3291" s="19" t="s">
        <v>7905</v>
      </c>
      <c r="K3291" s="14">
        <v>19.0</v>
      </c>
      <c r="L3291" s="14">
        <v>0.0</v>
      </c>
      <c r="M3291" s="25"/>
      <c r="N3291" s="26" t="s">
        <v>21</v>
      </c>
      <c r="O3291" s="7"/>
      <c r="P3291" s="7"/>
      <c r="Q3291" s="7"/>
      <c r="R3291" s="7"/>
      <c r="S3291" s="7"/>
      <c r="T3291" s="7"/>
      <c r="U3291" s="7"/>
      <c r="V3291" s="7"/>
      <c r="W3291" s="7"/>
      <c r="X3291" s="7"/>
      <c r="Y3291" s="7"/>
    </row>
    <row r="3292">
      <c r="A3292" s="14" t="s">
        <v>11773</v>
      </c>
      <c r="B3292" s="17" t="s">
        <v>11770</v>
      </c>
      <c r="C3292" s="17" t="s">
        <v>11774</v>
      </c>
      <c r="D3292" s="19" t="s">
        <v>11775</v>
      </c>
      <c r="E3292" s="20" t="s">
        <v>112</v>
      </c>
      <c r="F3292" s="21">
        <v>30550.0</v>
      </c>
      <c r="G3292" s="14">
        <f t="shared" si="1"/>
        <v>43</v>
      </c>
      <c r="H3292" s="23" t="s">
        <v>26</v>
      </c>
      <c r="I3292" s="24" t="s">
        <v>27</v>
      </c>
      <c r="J3292" s="19" t="s">
        <v>7905</v>
      </c>
      <c r="K3292" s="14">
        <v>19.0</v>
      </c>
      <c r="L3292" s="14">
        <v>0.0</v>
      </c>
      <c r="M3292" s="25"/>
      <c r="N3292" s="26" t="s">
        <v>21</v>
      </c>
      <c r="O3292" s="7"/>
      <c r="P3292" s="7"/>
      <c r="Q3292" s="7"/>
      <c r="R3292" s="7"/>
      <c r="S3292" s="7"/>
      <c r="T3292" s="7"/>
      <c r="U3292" s="7"/>
      <c r="V3292" s="7"/>
      <c r="W3292" s="7"/>
      <c r="X3292" s="7"/>
      <c r="Y3292" s="7"/>
    </row>
    <row r="3293">
      <c r="A3293" s="14" t="s">
        <v>11776</v>
      </c>
      <c r="B3293" s="17" t="s">
        <v>11770</v>
      </c>
      <c r="C3293" s="17" t="s">
        <v>11777</v>
      </c>
      <c r="D3293" s="19" t="s">
        <v>11778</v>
      </c>
      <c r="E3293" s="20" t="s">
        <v>112</v>
      </c>
      <c r="F3293" s="27">
        <v>28450.0</v>
      </c>
      <c r="G3293" s="14">
        <f t="shared" si="1"/>
        <v>48</v>
      </c>
      <c r="H3293" s="23" t="s">
        <v>26</v>
      </c>
      <c r="I3293" s="24" t="s">
        <v>33</v>
      </c>
      <c r="J3293" s="19" t="s">
        <v>7905</v>
      </c>
      <c r="K3293" s="14">
        <v>19.0</v>
      </c>
      <c r="L3293" s="14">
        <v>0.0</v>
      </c>
      <c r="M3293" s="25"/>
      <c r="N3293" s="26" t="s">
        <v>21</v>
      </c>
      <c r="O3293" s="7"/>
      <c r="P3293" s="7"/>
      <c r="Q3293" s="7"/>
      <c r="R3293" s="7"/>
      <c r="S3293" s="7"/>
      <c r="T3293" s="7"/>
      <c r="U3293" s="7"/>
      <c r="V3293" s="7"/>
      <c r="W3293" s="7"/>
      <c r="X3293" s="7"/>
      <c r="Y3293" s="7"/>
    </row>
    <row r="3294">
      <c r="A3294" s="14" t="s">
        <v>11779</v>
      </c>
      <c r="B3294" s="17" t="s">
        <v>11780</v>
      </c>
      <c r="C3294" s="17" t="s">
        <v>11781</v>
      </c>
      <c r="D3294" s="19" t="s">
        <v>11782</v>
      </c>
      <c r="E3294" s="20" t="s">
        <v>104</v>
      </c>
      <c r="F3294" s="21">
        <v>39320.0</v>
      </c>
      <c r="G3294" s="14">
        <f t="shared" si="1"/>
        <v>19</v>
      </c>
      <c r="H3294" s="23" t="s">
        <v>100</v>
      </c>
      <c r="I3294" s="24" t="s">
        <v>27</v>
      </c>
      <c r="J3294" s="19" t="s">
        <v>58</v>
      </c>
      <c r="K3294" s="14">
        <v>5.0</v>
      </c>
      <c r="L3294" s="14">
        <v>0.0</v>
      </c>
      <c r="M3294" s="25"/>
      <c r="N3294" s="26" t="s">
        <v>21</v>
      </c>
      <c r="O3294" s="7"/>
      <c r="P3294" s="7"/>
      <c r="Q3294" s="7"/>
      <c r="R3294" s="7"/>
      <c r="S3294" s="7"/>
      <c r="T3294" s="7"/>
      <c r="U3294" s="7"/>
      <c r="V3294" s="7"/>
      <c r="W3294" s="7"/>
      <c r="X3294" s="7"/>
      <c r="Y3294" s="7"/>
    </row>
    <row r="3295">
      <c r="A3295" s="14" t="s">
        <v>11783</v>
      </c>
      <c r="B3295" s="17" t="s">
        <v>11780</v>
      </c>
      <c r="C3295" s="17" t="s">
        <v>11784</v>
      </c>
      <c r="D3295" s="19" t="s">
        <v>11785</v>
      </c>
      <c r="E3295" s="20" t="s">
        <v>138</v>
      </c>
      <c r="F3295" s="27">
        <v>36453.0</v>
      </c>
      <c r="G3295" s="14">
        <f t="shared" si="1"/>
        <v>27</v>
      </c>
      <c r="H3295" s="23" t="s">
        <v>100</v>
      </c>
      <c r="I3295" s="24" t="s">
        <v>27</v>
      </c>
      <c r="J3295" s="19" t="s">
        <v>58</v>
      </c>
      <c r="K3295" s="14">
        <v>5.0</v>
      </c>
      <c r="L3295" s="14">
        <v>0.0</v>
      </c>
      <c r="M3295" s="25"/>
      <c r="N3295" s="26" t="s">
        <v>21</v>
      </c>
      <c r="O3295" s="7"/>
      <c r="P3295" s="7"/>
      <c r="Q3295" s="7"/>
      <c r="R3295" s="7"/>
      <c r="S3295" s="7"/>
      <c r="T3295" s="7"/>
      <c r="U3295" s="7"/>
      <c r="V3295" s="7"/>
      <c r="W3295" s="7"/>
      <c r="X3295" s="7"/>
      <c r="Y3295" s="7"/>
    </row>
    <row r="3296">
      <c r="A3296" s="14" t="s">
        <v>11786</v>
      </c>
      <c r="B3296" s="17" t="s">
        <v>11780</v>
      </c>
      <c r="C3296" s="17" t="s">
        <v>11787</v>
      </c>
      <c r="D3296" s="19" t="s">
        <v>11788</v>
      </c>
      <c r="E3296" s="20" t="s">
        <v>544</v>
      </c>
      <c r="F3296" s="21">
        <v>27222.0</v>
      </c>
      <c r="G3296" s="14">
        <f t="shared" si="1"/>
        <v>52</v>
      </c>
      <c r="H3296" s="23" t="s">
        <v>26</v>
      </c>
      <c r="I3296" s="24" t="s">
        <v>33</v>
      </c>
      <c r="J3296" s="19" t="s">
        <v>58</v>
      </c>
      <c r="K3296" s="14">
        <v>5.0</v>
      </c>
      <c r="L3296" s="14">
        <v>0.0</v>
      </c>
      <c r="M3296" s="25"/>
      <c r="N3296" s="26" t="s">
        <v>21</v>
      </c>
      <c r="O3296" s="7"/>
      <c r="P3296" s="7"/>
      <c r="Q3296" s="7"/>
      <c r="R3296" s="7"/>
      <c r="S3296" s="7"/>
      <c r="T3296" s="7"/>
      <c r="U3296" s="7"/>
      <c r="V3296" s="7"/>
      <c r="W3296" s="7"/>
      <c r="X3296" s="7"/>
      <c r="Y3296" s="7"/>
    </row>
    <row r="3297">
      <c r="A3297" s="14" t="s">
        <v>11789</v>
      </c>
      <c r="B3297" s="17" t="s">
        <v>11780</v>
      </c>
      <c r="C3297" s="17" t="s">
        <v>11790</v>
      </c>
      <c r="D3297" s="19" t="s">
        <v>11791</v>
      </c>
      <c r="E3297" s="20" t="s">
        <v>274</v>
      </c>
      <c r="F3297" s="21">
        <v>31967.0</v>
      </c>
      <c r="G3297" s="14">
        <f t="shared" si="1"/>
        <v>39</v>
      </c>
      <c r="H3297" s="23" t="s">
        <v>26</v>
      </c>
      <c r="I3297" s="24" t="s">
        <v>27</v>
      </c>
      <c r="J3297" s="19" t="s">
        <v>58</v>
      </c>
      <c r="K3297" s="14">
        <v>5.0</v>
      </c>
      <c r="L3297" s="14">
        <v>0.0</v>
      </c>
      <c r="M3297" s="25"/>
      <c r="N3297" s="26" t="s">
        <v>21</v>
      </c>
      <c r="O3297" s="7"/>
      <c r="P3297" s="7"/>
      <c r="Q3297" s="7"/>
      <c r="R3297" s="7"/>
      <c r="S3297" s="7"/>
      <c r="T3297" s="7"/>
      <c r="U3297" s="7"/>
      <c r="V3297" s="7"/>
      <c r="W3297" s="7"/>
      <c r="X3297" s="7"/>
      <c r="Y3297" s="7"/>
    </row>
    <row r="3298">
      <c r="A3298" s="14" t="s">
        <v>11792</v>
      </c>
      <c r="B3298" s="17" t="s">
        <v>11793</v>
      </c>
      <c r="C3298" s="17" t="s">
        <v>11794</v>
      </c>
      <c r="D3298" s="19" t="s">
        <v>11190</v>
      </c>
      <c r="E3298" s="20" t="s">
        <v>104</v>
      </c>
      <c r="F3298" s="21">
        <v>27837.0</v>
      </c>
      <c r="G3298" s="14">
        <f t="shared" si="1"/>
        <v>50</v>
      </c>
      <c r="H3298" s="23" t="s">
        <v>26</v>
      </c>
      <c r="I3298" s="24" t="s">
        <v>27</v>
      </c>
      <c r="J3298" s="19" t="s">
        <v>146</v>
      </c>
      <c r="K3298" s="14">
        <v>8.0</v>
      </c>
      <c r="L3298" s="14">
        <v>0.0</v>
      </c>
      <c r="M3298" s="25"/>
      <c r="N3298" s="26" t="s">
        <v>21</v>
      </c>
      <c r="O3298" s="7"/>
      <c r="P3298" s="7"/>
      <c r="Q3298" s="7"/>
      <c r="R3298" s="7"/>
      <c r="S3298" s="7"/>
      <c r="T3298" s="7"/>
      <c r="U3298" s="7"/>
      <c r="V3298" s="7"/>
      <c r="W3298" s="7"/>
      <c r="X3298" s="7"/>
      <c r="Y3298" s="7"/>
    </row>
    <row r="3299">
      <c r="A3299" s="14" t="s">
        <v>11795</v>
      </c>
      <c r="B3299" s="17" t="s">
        <v>11793</v>
      </c>
      <c r="C3299" s="17" t="s">
        <v>11796</v>
      </c>
      <c r="D3299" s="19" t="s">
        <v>11797</v>
      </c>
      <c r="E3299" s="20" t="s">
        <v>104</v>
      </c>
      <c r="F3299" s="27">
        <v>35411.0</v>
      </c>
      <c r="G3299" s="14">
        <f t="shared" si="1"/>
        <v>29</v>
      </c>
      <c r="H3299" s="23" t="s">
        <v>100</v>
      </c>
      <c r="I3299" s="24" t="s">
        <v>33</v>
      </c>
      <c r="J3299" s="19" t="s">
        <v>146</v>
      </c>
      <c r="K3299" s="14">
        <v>8.0</v>
      </c>
      <c r="L3299" s="14">
        <v>5.0</v>
      </c>
      <c r="M3299" s="25"/>
      <c r="N3299" s="26" t="s">
        <v>21</v>
      </c>
      <c r="O3299" s="7"/>
      <c r="P3299" s="7"/>
      <c r="Q3299" s="7"/>
      <c r="R3299" s="7"/>
      <c r="S3299" s="7"/>
      <c r="T3299" s="7"/>
      <c r="U3299" s="7"/>
      <c r="V3299" s="7"/>
      <c r="W3299" s="7"/>
      <c r="X3299" s="7"/>
      <c r="Y3299" s="7"/>
    </row>
    <row r="3300">
      <c r="A3300" s="14" t="s">
        <v>11798</v>
      </c>
      <c r="B3300" s="17" t="s">
        <v>11793</v>
      </c>
      <c r="C3300" s="17" t="s">
        <v>11799</v>
      </c>
      <c r="D3300" s="19" t="s">
        <v>11800</v>
      </c>
      <c r="E3300" s="20" t="s">
        <v>624</v>
      </c>
      <c r="F3300" s="21">
        <v>25406.0</v>
      </c>
      <c r="G3300" s="14">
        <f t="shared" si="1"/>
        <v>57</v>
      </c>
      <c r="H3300" s="23" t="s">
        <v>26</v>
      </c>
      <c r="I3300" s="24" t="s">
        <v>33</v>
      </c>
      <c r="J3300" s="19" t="s">
        <v>146</v>
      </c>
      <c r="K3300" s="14">
        <v>8.0</v>
      </c>
      <c r="L3300" s="14">
        <v>0.0</v>
      </c>
      <c r="M3300" s="25"/>
      <c r="N3300" s="26" t="s">
        <v>21</v>
      </c>
      <c r="O3300" s="7"/>
      <c r="P3300" s="7"/>
      <c r="Q3300" s="7"/>
      <c r="R3300" s="7"/>
      <c r="S3300" s="7"/>
      <c r="T3300" s="7"/>
      <c r="U3300" s="7"/>
      <c r="V3300" s="7"/>
      <c r="W3300" s="7"/>
      <c r="X3300" s="7"/>
      <c r="Y3300" s="7"/>
    </row>
    <row r="3301">
      <c r="A3301" s="14" t="s">
        <v>11801</v>
      </c>
      <c r="B3301" s="17" t="s">
        <v>11802</v>
      </c>
      <c r="C3301" s="17" t="s">
        <v>11803</v>
      </c>
      <c r="D3301" s="19" t="s">
        <v>11804</v>
      </c>
      <c r="E3301" s="20" t="s">
        <v>11805</v>
      </c>
      <c r="F3301" s="27">
        <v>36084.0</v>
      </c>
      <c r="G3301" s="14">
        <f t="shared" si="1"/>
        <v>28</v>
      </c>
      <c r="H3301" s="23" t="s">
        <v>100</v>
      </c>
      <c r="I3301" s="24" t="s">
        <v>33</v>
      </c>
      <c r="J3301" s="19" t="s">
        <v>58</v>
      </c>
      <c r="K3301" s="14">
        <v>8.0</v>
      </c>
      <c r="L3301" s="14">
        <v>5.0</v>
      </c>
      <c r="M3301" s="25"/>
      <c r="N3301" s="26" t="s">
        <v>21</v>
      </c>
      <c r="O3301" s="7"/>
      <c r="P3301" s="7"/>
      <c r="Q3301" s="7"/>
      <c r="R3301" s="7"/>
      <c r="S3301" s="7"/>
      <c r="T3301" s="7"/>
      <c r="U3301" s="7"/>
      <c r="V3301" s="7"/>
      <c r="W3301" s="7"/>
      <c r="X3301" s="7"/>
      <c r="Y3301" s="7"/>
    </row>
    <row r="3302">
      <c r="A3302" s="14" t="s">
        <v>11806</v>
      </c>
      <c r="B3302" s="17" t="s">
        <v>11802</v>
      </c>
      <c r="C3302" s="17" t="s">
        <v>11807</v>
      </c>
      <c r="D3302" s="19" t="s">
        <v>11808</v>
      </c>
      <c r="E3302" s="20" t="s">
        <v>1038</v>
      </c>
      <c r="F3302" s="21">
        <v>27527.0</v>
      </c>
      <c r="G3302" s="14">
        <f t="shared" si="1"/>
        <v>51</v>
      </c>
      <c r="H3302" s="23" t="s">
        <v>26</v>
      </c>
      <c r="I3302" s="24" t="s">
        <v>33</v>
      </c>
      <c r="J3302" s="19" t="s">
        <v>58</v>
      </c>
      <c r="K3302" s="14">
        <v>8.0</v>
      </c>
      <c r="L3302" s="14">
        <v>0.0</v>
      </c>
      <c r="M3302" s="25"/>
      <c r="N3302" s="26" t="s">
        <v>21</v>
      </c>
      <c r="O3302" s="7"/>
      <c r="P3302" s="7"/>
      <c r="Q3302" s="7"/>
      <c r="R3302" s="7"/>
      <c r="S3302" s="7"/>
      <c r="T3302" s="7"/>
      <c r="U3302" s="7"/>
      <c r="V3302" s="7"/>
      <c r="W3302" s="7"/>
      <c r="X3302" s="7"/>
      <c r="Y3302" s="7"/>
    </row>
    <row r="3303">
      <c r="A3303" s="14" t="s">
        <v>11809</v>
      </c>
      <c r="B3303" s="17" t="s">
        <v>11810</v>
      </c>
      <c r="C3303" s="17" t="s">
        <v>11811</v>
      </c>
      <c r="D3303" s="19" t="s">
        <v>11812</v>
      </c>
      <c r="E3303" s="20" t="s">
        <v>1038</v>
      </c>
      <c r="F3303" s="21">
        <v>24120.0</v>
      </c>
      <c r="G3303" s="14">
        <f t="shared" si="1"/>
        <v>60</v>
      </c>
      <c r="H3303" s="23" t="s">
        <v>26</v>
      </c>
      <c r="I3303" s="24" t="s">
        <v>33</v>
      </c>
      <c r="J3303" s="19" t="s">
        <v>58</v>
      </c>
      <c r="K3303" s="14">
        <v>8.0</v>
      </c>
      <c r="L3303" s="14">
        <v>0.0</v>
      </c>
      <c r="M3303" s="25"/>
      <c r="N3303" s="26" t="s">
        <v>21</v>
      </c>
      <c r="O3303" s="7"/>
      <c r="P3303" s="7"/>
      <c r="Q3303" s="7"/>
      <c r="R3303" s="7"/>
      <c r="S3303" s="7"/>
      <c r="T3303" s="7"/>
      <c r="U3303" s="7"/>
      <c r="V3303" s="7"/>
      <c r="W3303" s="7"/>
      <c r="X3303" s="7"/>
      <c r="Y3303" s="7"/>
    </row>
    <row r="3304">
      <c r="A3304" s="14" t="s">
        <v>11813</v>
      </c>
      <c r="B3304" s="17" t="s">
        <v>11810</v>
      </c>
      <c r="C3304" s="17" t="s">
        <v>11814</v>
      </c>
      <c r="D3304" s="19" t="s">
        <v>10812</v>
      </c>
      <c r="E3304" s="20" t="s">
        <v>1038</v>
      </c>
      <c r="F3304" s="21">
        <v>27989.0</v>
      </c>
      <c r="G3304" s="14">
        <f t="shared" si="1"/>
        <v>50</v>
      </c>
      <c r="H3304" s="23" t="s">
        <v>26</v>
      </c>
      <c r="I3304" s="24" t="s">
        <v>27</v>
      </c>
      <c r="J3304" s="19" t="s">
        <v>58</v>
      </c>
      <c r="K3304" s="14">
        <v>8.0</v>
      </c>
      <c r="L3304" s="14">
        <v>0.0</v>
      </c>
      <c r="M3304" s="25"/>
      <c r="N3304" s="26" t="s">
        <v>21</v>
      </c>
      <c r="O3304" s="7"/>
      <c r="P3304" s="7"/>
      <c r="Q3304" s="7"/>
      <c r="R3304" s="7"/>
      <c r="S3304" s="7"/>
      <c r="T3304" s="7"/>
      <c r="U3304" s="7"/>
      <c r="V3304" s="7"/>
      <c r="W3304" s="7"/>
      <c r="X3304" s="7"/>
      <c r="Y3304" s="7"/>
    </row>
    <row r="3305">
      <c r="A3305" s="14" t="s">
        <v>11815</v>
      </c>
      <c r="B3305" s="17" t="s">
        <v>11816</v>
      </c>
      <c r="C3305" s="17" t="s">
        <v>11817</v>
      </c>
      <c r="D3305" s="19" t="s">
        <v>11818</v>
      </c>
      <c r="E3305" s="20" t="s">
        <v>1038</v>
      </c>
      <c r="F3305" s="21">
        <v>24723.0</v>
      </c>
      <c r="G3305" s="14">
        <f t="shared" si="1"/>
        <v>59</v>
      </c>
      <c r="H3305" s="23" t="s">
        <v>26</v>
      </c>
      <c r="I3305" s="24" t="s">
        <v>33</v>
      </c>
      <c r="J3305" s="19" t="s">
        <v>146</v>
      </c>
      <c r="K3305" s="14">
        <v>1.0</v>
      </c>
      <c r="L3305" s="14">
        <v>0.0</v>
      </c>
      <c r="M3305" s="25"/>
      <c r="N3305" s="26" t="s">
        <v>21</v>
      </c>
      <c r="O3305" s="7"/>
      <c r="P3305" s="7"/>
      <c r="Q3305" s="7"/>
      <c r="R3305" s="7"/>
      <c r="S3305" s="7"/>
      <c r="T3305" s="7"/>
      <c r="U3305" s="7"/>
      <c r="V3305" s="7"/>
      <c r="W3305" s="7"/>
      <c r="X3305" s="7"/>
      <c r="Y3305" s="7"/>
    </row>
    <row r="3306">
      <c r="A3306" s="14" t="s">
        <v>11819</v>
      </c>
      <c r="B3306" s="17" t="s">
        <v>11816</v>
      </c>
      <c r="C3306" s="17" t="s">
        <v>11820</v>
      </c>
      <c r="D3306" s="19" t="s">
        <v>11821</v>
      </c>
      <c r="E3306" s="20" t="s">
        <v>104</v>
      </c>
      <c r="F3306" s="21">
        <v>38629.0</v>
      </c>
      <c r="G3306" s="14">
        <f t="shared" si="1"/>
        <v>21</v>
      </c>
      <c r="H3306" s="23" t="s">
        <v>100</v>
      </c>
      <c r="I3306" s="24" t="s">
        <v>33</v>
      </c>
      <c r="J3306" s="19" t="s">
        <v>146</v>
      </c>
      <c r="K3306" s="14">
        <v>1.0</v>
      </c>
      <c r="L3306" s="14">
        <v>0.0</v>
      </c>
      <c r="M3306" s="25"/>
      <c r="N3306" s="26" t="s">
        <v>21</v>
      </c>
      <c r="O3306" s="7"/>
      <c r="P3306" s="7"/>
      <c r="Q3306" s="7"/>
      <c r="R3306" s="7"/>
      <c r="S3306" s="7"/>
      <c r="T3306" s="7"/>
      <c r="U3306" s="7"/>
      <c r="V3306" s="7"/>
      <c r="W3306" s="7"/>
      <c r="X3306" s="7"/>
      <c r="Y3306" s="7"/>
    </row>
    <row r="3307">
      <c r="A3307" s="14" t="s">
        <v>11822</v>
      </c>
      <c r="B3307" s="17" t="s">
        <v>11816</v>
      </c>
      <c r="C3307" s="17" t="s">
        <v>11823</v>
      </c>
      <c r="D3307" s="19" t="s">
        <v>11824</v>
      </c>
      <c r="E3307" s="20" t="s">
        <v>624</v>
      </c>
      <c r="F3307" s="27">
        <v>28470.0</v>
      </c>
      <c r="G3307" s="14">
        <f t="shared" si="1"/>
        <v>48</v>
      </c>
      <c r="H3307" s="23" t="s">
        <v>26</v>
      </c>
      <c r="I3307" s="24" t="s">
        <v>27</v>
      </c>
      <c r="J3307" s="19" t="s">
        <v>146</v>
      </c>
      <c r="K3307" s="14">
        <v>1.0</v>
      </c>
      <c r="L3307" s="14">
        <v>0.0</v>
      </c>
      <c r="M3307" s="25"/>
      <c r="N3307" s="26" t="s">
        <v>21</v>
      </c>
      <c r="O3307" s="7"/>
      <c r="P3307" s="7"/>
      <c r="Q3307" s="7"/>
      <c r="R3307" s="7"/>
      <c r="S3307" s="7"/>
      <c r="T3307" s="7"/>
      <c r="U3307" s="7"/>
      <c r="V3307" s="7"/>
      <c r="W3307" s="7"/>
      <c r="X3307" s="7"/>
      <c r="Y3307" s="7"/>
    </row>
    <row r="3308">
      <c r="A3308" s="14" t="s">
        <v>11825</v>
      </c>
      <c r="B3308" s="17" t="s">
        <v>11826</v>
      </c>
      <c r="C3308" s="17" t="s">
        <v>11827</v>
      </c>
      <c r="D3308" s="19" t="s">
        <v>11828</v>
      </c>
      <c r="E3308" s="20" t="s">
        <v>53</v>
      </c>
      <c r="F3308" s="27">
        <v>37238.0</v>
      </c>
      <c r="G3308" s="14">
        <f t="shared" si="1"/>
        <v>24</v>
      </c>
      <c r="H3308" s="23" t="s">
        <v>100</v>
      </c>
      <c r="I3308" s="24" t="s">
        <v>27</v>
      </c>
      <c r="J3308" s="19" t="s">
        <v>328</v>
      </c>
      <c r="K3308" s="14">
        <v>23.0</v>
      </c>
      <c r="L3308" s="14">
        <v>0.0</v>
      </c>
      <c r="M3308" s="25"/>
      <c r="N3308" s="26" t="s">
        <v>21</v>
      </c>
      <c r="O3308" s="7"/>
      <c r="P3308" s="7"/>
      <c r="Q3308" s="7"/>
      <c r="R3308" s="7"/>
      <c r="S3308" s="7"/>
      <c r="T3308" s="7"/>
      <c r="U3308" s="7"/>
      <c r="V3308" s="7"/>
      <c r="W3308" s="7"/>
      <c r="X3308" s="7"/>
      <c r="Y3308" s="7"/>
    </row>
    <row r="3309">
      <c r="A3309" s="14" t="s">
        <v>11829</v>
      </c>
      <c r="B3309" s="17" t="s">
        <v>11826</v>
      </c>
      <c r="C3309" s="17" t="s">
        <v>11830</v>
      </c>
      <c r="D3309" s="19" t="s">
        <v>11831</v>
      </c>
      <c r="E3309" s="20" t="s">
        <v>1038</v>
      </c>
      <c r="F3309" s="21">
        <v>24001.0</v>
      </c>
      <c r="G3309" s="14">
        <f t="shared" si="1"/>
        <v>61</v>
      </c>
      <c r="H3309" s="23" t="s">
        <v>26</v>
      </c>
      <c r="I3309" s="24" t="s">
        <v>33</v>
      </c>
      <c r="J3309" s="19" t="s">
        <v>328</v>
      </c>
      <c r="K3309" s="14">
        <v>23.0</v>
      </c>
      <c r="L3309" s="14">
        <v>0.0</v>
      </c>
      <c r="M3309" s="25"/>
      <c r="N3309" s="26" t="s">
        <v>21</v>
      </c>
      <c r="O3309" s="7"/>
      <c r="P3309" s="7"/>
      <c r="Q3309" s="7"/>
      <c r="R3309" s="7"/>
      <c r="S3309" s="7"/>
      <c r="T3309" s="7"/>
      <c r="U3309" s="7"/>
      <c r="V3309" s="7"/>
      <c r="W3309" s="7"/>
      <c r="X3309" s="7"/>
      <c r="Y3309" s="7"/>
    </row>
    <row r="3310">
      <c r="A3310" s="14" t="s">
        <v>11832</v>
      </c>
      <c r="B3310" s="17" t="s">
        <v>11826</v>
      </c>
      <c r="C3310" s="17" t="s">
        <v>11833</v>
      </c>
      <c r="D3310" s="19" t="s">
        <v>1944</v>
      </c>
      <c r="E3310" s="20" t="s">
        <v>1038</v>
      </c>
      <c r="F3310" s="21">
        <v>26839.0</v>
      </c>
      <c r="G3310" s="14">
        <f t="shared" si="1"/>
        <v>53</v>
      </c>
      <c r="H3310" s="23" t="s">
        <v>26</v>
      </c>
      <c r="I3310" s="24" t="s">
        <v>27</v>
      </c>
      <c r="J3310" s="19" t="s">
        <v>328</v>
      </c>
      <c r="K3310" s="14">
        <v>23.0</v>
      </c>
      <c r="L3310" s="14">
        <v>0.0</v>
      </c>
      <c r="M3310" s="25"/>
      <c r="N3310" s="26" t="s">
        <v>21</v>
      </c>
      <c r="O3310" s="7"/>
      <c r="P3310" s="7"/>
      <c r="Q3310" s="7"/>
      <c r="R3310" s="7"/>
      <c r="S3310" s="7"/>
      <c r="T3310" s="7"/>
      <c r="U3310" s="7"/>
      <c r="V3310" s="7"/>
      <c r="W3310" s="7"/>
      <c r="X3310" s="7"/>
      <c r="Y3310" s="7"/>
    </row>
    <row r="3311">
      <c r="A3311" s="14" t="s">
        <v>11834</v>
      </c>
      <c r="B3311" s="17" t="s">
        <v>11835</v>
      </c>
      <c r="C3311" s="17" t="s">
        <v>11836</v>
      </c>
      <c r="D3311" s="19" t="s">
        <v>11837</v>
      </c>
      <c r="E3311" s="20" t="s">
        <v>632</v>
      </c>
      <c r="F3311" s="21">
        <v>28966.0</v>
      </c>
      <c r="G3311" s="14">
        <f t="shared" si="1"/>
        <v>47</v>
      </c>
      <c r="H3311" s="23" t="s">
        <v>26</v>
      </c>
      <c r="I3311" s="24" t="s">
        <v>33</v>
      </c>
      <c r="J3311" s="19" t="s">
        <v>328</v>
      </c>
      <c r="K3311" s="14">
        <v>19.0</v>
      </c>
      <c r="L3311" s="14">
        <v>0.0</v>
      </c>
      <c r="M3311" s="25"/>
      <c r="N3311" s="26" t="s">
        <v>21</v>
      </c>
      <c r="O3311" s="7"/>
      <c r="P3311" s="7"/>
      <c r="Q3311" s="7"/>
      <c r="R3311" s="7"/>
      <c r="S3311" s="7"/>
      <c r="T3311" s="7"/>
      <c r="U3311" s="7"/>
      <c r="V3311" s="7"/>
      <c r="W3311" s="7"/>
      <c r="X3311" s="7"/>
      <c r="Y3311" s="7"/>
    </row>
    <row r="3312">
      <c r="A3312" s="14" t="s">
        <v>11838</v>
      </c>
      <c r="B3312" s="17" t="s">
        <v>11835</v>
      </c>
      <c r="C3312" s="17" t="s">
        <v>11839</v>
      </c>
      <c r="D3312" s="19" t="s">
        <v>11841</v>
      </c>
      <c r="E3312" s="20" t="s">
        <v>1095</v>
      </c>
      <c r="F3312" s="21">
        <v>38016.0</v>
      </c>
      <c r="G3312" s="14">
        <f t="shared" si="1"/>
        <v>22</v>
      </c>
      <c r="H3312" s="23" t="s">
        <v>100</v>
      </c>
      <c r="I3312" s="24" t="s">
        <v>33</v>
      </c>
      <c r="J3312" s="19" t="s">
        <v>328</v>
      </c>
      <c r="K3312" s="14">
        <v>19.0</v>
      </c>
      <c r="L3312" s="14">
        <v>0.0</v>
      </c>
      <c r="M3312" s="25"/>
      <c r="N3312" s="26" t="s">
        <v>21</v>
      </c>
      <c r="O3312" s="7"/>
      <c r="P3312" s="7"/>
      <c r="Q3312" s="7"/>
      <c r="R3312" s="7"/>
      <c r="S3312" s="7"/>
      <c r="T3312" s="7"/>
      <c r="U3312" s="7"/>
      <c r="V3312" s="7"/>
      <c r="W3312" s="7"/>
      <c r="X3312" s="7"/>
      <c r="Y3312" s="7"/>
    </row>
    <row r="3313">
      <c r="A3313" s="14" t="s">
        <v>11842</v>
      </c>
      <c r="B3313" s="17" t="s">
        <v>11835</v>
      </c>
      <c r="C3313" s="17" t="s">
        <v>11843</v>
      </c>
      <c r="D3313" s="19" t="s">
        <v>11844</v>
      </c>
      <c r="E3313" s="20" t="s">
        <v>67</v>
      </c>
      <c r="F3313" s="21">
        <v>30093.0</v>
      </c>
      <c r="G3313" s="14">
        <f t="shared" si="1"/>
        <v>44</v>
      </c>
      <c r="H3313" s="23" t="s">
        <v>26</v>
      </c>
      <c r="I3313" s="24" t="s">
        <v>27</v>
      </c>
      <c r="J3313" s="19" t="s">
        <v>328</v>
      </c>
      <c r="K3313" s="14">
        <v>19.0</v>
      </c>
      <c r="L3313" s="14">
        <v>0.0</v>
      </c>
      <c r="M3313" s="25"/>
      <c r="N3313" s="26" t="s">
        <v>21</v>
      </c>
      <c r="O3313" s="7"/>
      <c r="P3313" s="7"/>
      <c r="Q3313" s="7"/>
      <c r="R3313" s="7"/>
      <c r="S3313" s="7"/>
      <c r="T3313" s="7"/>
      <c r="U3313" s="7"/>
      <c r="V3313" s="7"/>
      <c r="W3313" s="7"/>
      <c r="X3313" s="7"/>
      <c r="Y3313" s="7"/>
    </row>
    <row r="3314">
      <c r="A3314" s="14" t="s">
        <v>11845</v>
      </c>
      <c r="B3314" s="17" t="s">
        <v>11846</v>
      </c>
      <c r="C3314" s="17" t="s">
        <v>11847</v>
      </c>
      <c r="D3314" s="19" t="s">
        <v>11848</v>
      </c>
      <c r="E3314" s="20" t="s">
        <v>1370</v>
      </c>
      <c r="F3314" s="21">
        <v>26688.0</v>
      </c>
      <c r="G3314" s="14">
        <f t="shared" si="1"/>
        <v>53</v>
      </c>
      <c r="H3314" s="23" t="s">
        <v>26</v>
      </c>
      <c r="I3314" s="24" t="s">
        <v>33</v>
      </c>
      <c r="J3314" s="19" t="s">
        <v>58</v>
      </c>
      <c r="K3314" s="14">
        <v>9.0</v>
      </c>
      <c r="L3314" s="14">
        <v>0.0</v>
      </c>
      <c r="M3314" s="25"/>
      <c r="N3314" s="26" t="s">
        <v>21</v>
      </c>
      <c r="O3314" s="7"/>
      <c r="P3314" s="7"/>
      <c r="Q3314" s="7"/>
      <c r="R3314" s="7"/>
      <c r="S3314" s="7"/>
      <c r="T3314" s="7"/>
      <c r="U3314" s="7"/>
      <c r="V3314" s="7"/>
      <c r="W3314" s="7"/>
      <c r="X3314" s="7"/>
      <c r="Y3314" s="7"/>
    </row>
    <row r="3315">
      <c r="A3315" s="14" t="s">
        <v>11849</v>
      </c>
      <c r="B3315" s="17" t="s">
        <v>11846</v>
      </c>
      <c r="C3315" s="17" t="s">
        <v>11850</v>
      </c>
      <c r="D3315" s="19" t="s">
        <v>11851</v>
      </c>
      <c r="E3315" s="20" t="s">
        <v>1370</v>
      </c>
      <c r="F3315" s="21">
        <v>28377.0</v>
      </c>
      <c r="G3315" s="14">
        <f t="shared" si="1"/>
        <v>49</v>
      </c>
      <c r="H3315" s="23" t="s">
        <v>26</v>
      </c>
      <c r="I3315" s="24" t="s">
        <v>27</v>
      </c>
      <c r="J3315" s="19" t="s">
        <v>58</v>
      </c>
      <c r="K3315" s="14">
        <v>9.0</v>
      </c>
      <c r="L3315" s="14">
        <v>0.0</v>
      </c>
      <c r="M3315" s="25"/>
      <c r="N3315" s="26" t="s">
        <v>21</v>
      </c>
      <c r="O3315" s="7"/>
      <c r="P3315" s="7"/>
      <c r="Q3315" s="7"/>
      <c r="R3315" s="7"/>
      <c r="S3315" s="7"/>
      <c r="T3315" s="7"/>
      <c r="U3315" s="7"/>
      <c r="V3315" s="7"/>
      <c r="W3315" s="7"/>
      <c r="X3315" s="7"/>
      <c r="Y3315" s="7"/>
    </row>
    <row r="3316">
      <c r="A3316" s="14" t="s">
        <v>11852</v>
      </c>
      <c r="B3316" s="17" t="s">
        <v>11853</v>
      </c>
      <c r="C3316" s="17" t="s">
        <v>11854</v>
      </c>
      <c r="D3316" s="19" t="s">
        <v>11855</v>
      </c>
      <c r="E3316" s="20" t="s">
        <v>11856</v>
      </c>
      <c r="F3316" s="21">
        <v>27580.0</v>
      </c>
      <c r="G3316" s="14">
        <f t="shared" si="1"/>
        <v>51</v>
      </c>
      <c r="H3316" s="23" t="s">
        <v>26</v>
      </c>
      <c r="I3316" s="24" t="s">
        <v>33</v>
      </c>
      <c r="J3316" s="19" t="s">
        <v>53</v>
      </c>
      <c r="K3316" s="14">
        <v>10.0</v>
      </c>
      <c r="L3316" s="14">
        <v>0.0</v>
      </c>
      <c r="M3316" s="25"/>
      <c r="N3316" s="26" t="s">
        <v>21</v>
      </c>
      <c r="O3316" s="7"/>
      <c r="P3316" s="7"/>
      <c r="Q3316" s="7"/>
      <c r="R3316" s="7"/>
      <c r="S3316" s="7"/>
      <c r="T3316" s="7"/>
      <c r="U3316" s="7"/>
      <c r="V3316" s="7"/>
      <c r="W3316" s="7"/>
      <c r="X3316" s="7"/>
      <c r="Y3316" s="7"/>
    </row>
    <row r="3317">
      <c r="A3317" s="14" t="s">
        <v>11857</v>
      </c>
      <c r="B3317" s="17" t="s">
        <v>11853</v>
      </c>
      <c r="C3317" s="17" t="s">
        <v>11858</v>
      </c>
      <c r="D3317" s="19" t="s">
        <v>11859</v>
      </c>
      <c r="E3317" s="20" t="s">
        <v>53</v>
      </c>
      <c r="F3317" s="21">
        <v>29326.0</v>
      </c>
      <c r="G3317" s="14">
        <f t="shared" si="1"/>
        <v>46</v>
      </c>
      <c r="H3317" s="23" t="s">
        <v>26</v>
      </c>
      <c r="I3317" s="24" t="s">
        <v>27</v>
      </c>
      <c r="J3317" s="19" t="s">
        <v>53</v>
      </c>
      <c r="K3317" s="14">
        <v>10.0</v>
      </c>
      <c r="L3317" s="14">
        <v>0.0</v>
      </c>
      <c r="M3317" s="25"/>
      <c r="N3317" s="26" t="s">
        <v>21</v>
      </c>
      <c r="O3317" s="7"/>
      <c r="P3317" s="7"/>
      <c r="Q3317" s="7"/>
      <c r="R3317" s="7"/>
      <c r="S3317" s="7"/>
      <c r="T3317" s="7"/>
      <c r="U3317" s="7"/>
      <c r="V3317" s="7"/>
      <c r="W3317" s="7"/>
      <c r="X3317" s="7"/>
      <c r="Y3317" s="7"/>
    </row>
    <row r="3318">
      <c r="A3318" s="14" t="s">
        <v>11860</v>
      </c>
      <c r="B3318" s="17" t="s">
        <v>11861</v>
      </c>
      <c r="C3318" s="17" t="s">
        <v>11862</v>
      </c>
      <c r="D3318" s="19" t="s">
        <v>11863</v>
      </c>
      <c r="E3318" s="20" t="s">
        <v>53</v>
      </c>
      <c r="F3318" s="21">
        <v>36428.0</v>
      </c>
      <c r="G3318" s="14">
        <f t="shared" si="1"/>
        <v>27</v>
      </c>
      <c r="H3318" s="23" t="s">
        <v>100</v>
      </c>
      <c r="I3318" s="24" t="s">
        <v>27</v>
      </c>
      <c r="J3318" s="19" t="s">
        <v>328</v>
      </c>
      <c r="K3318" s="14">
        <v>22.0</v>
      </c>
      <c r="L3318" s="14">
        <v>0.0</v>
      </c>
      <c r="M3318" s="25"/>
      <c r="N3318" s="26" t="s">
        <v>21</v>
      </c>
      <c r="O3318" s="7"/>
      <c r="P3318" s="7"/>
      <c r="Q3318" s="7"/>
      <c r="R3318" s="7"/>
      <c r="S3318" s="7"/>
      <c r="T3318" s="7"/>
      <c r="U3318" s="7"/>
      <c r="V3318" s="7"/>
      <c r="W3318" s="7"/>
      <c r="X3318" s="7"/>
      <c r="Y3318" s="7"/>
    </row>
    <row r="3319">
      <c r="A3319" s="14" t="s">
        <v>11864</v>
      </c>
      <c r="B3319" s="17" t="s">
        <v>11861</v>
      </c>
      <c r="C3319" s="17" t="s">
        <v>11865</v>
      </c>
      <c r="D3319" s="19" t="s">
        <v>11866</v>
      </c>
      <c r="E3319" s="20" t="s">
        <v>11867</v>
      </c>
      <c r="F3319" s="21">
        <v>26801.0</v>
      </c>
      <c r="G3319" s="14">
        <f t="shared" si="1"/>
        <v>53</v>
      </c>
      <c r="H3319" s="23" t="s">
        <v>27</v>
      </c>
      <c r="I3319" s="24" t="s">
        <v>27</v>
      </c>
      <c r="J3319" s="19" t="s">
        <v>328</v>
      </c>
      <c r="K3319" s="14">
        <v>22.0</v>
      </c>
      <c r="L3319" s="14">
        <v>0.0</v>
      </c>
      <c r="M3319" s="25"/>
      <c r="N3319" s="26" t="s">
        <v>21</v>
      </c>
      <c r="O3319" s="7"/>
      <c r="P3319" s="7"/>
      <c r="Q3319" s="7"/>
      <c r="R3319" s="7"/>
      <c r="S3319" s="7"/>
      <c r="T3319" s="7"/>
      <c r="U3319" s="7"/>
      <c r="V3319" s="7"/>
      <c r="W3319" s="7"/>
      <c r="X3319" s="7"/>
      <c r="Y3319" s="7"/>
    </row>
    <row r="3320">
      <c r="A3320" s="14" t="s">
        <v>11868</v>
      </c>
      <c r="B3320" s="17" t="s">
        <v>11869</v>
      </c>
      <c r="C3320" s="17" t="s">
        <v>11870</v>
      </c>
      <c r="D3320" s="19" t="s">
        <v>11871</v>
      </c>
      <c r="E3320" s="20" t="s">
        <v>104</v>
      </c>
      <c r="F3320" s="21">
        <v>34441.0</v>
      </c>
      <c r="G3320" s="14">
        <f t="shared" si="1"/>
        <v>32</v>
      </c>
      <c r="H3320" s="23" t="s">
        <v>26</v>
      </c>
      <c r="I3320" s="24" t="s">
        <v>33</v>
      </c>
      <c r="J3320" s="19" t="s">
        <v>53</v>
      </c>
      <c r="K3320" s="14">
        <v>3.0</v>
      </c>
      <c r="L3320" s="14">
        <v>0.0</v>
      </c>
      <c r="M3320" s="25"/>
      <c r="N3320" s="26" t="s">
        <v>21</v>
      </c>
      <c r="O3320" s="7"/>
      <c r="P3320" s="7"/>
      <c r="Q3320" s="7"/>
      <c r="R3320" s="7"/>
      <c r="S3320" s="7"/>
      <c r="T3320" s="7"/>
      <c r="U3320" s="7"/>
      <c r="V3320" s="7"/>
      <c r="W3320" s="7"/>
      <c r="X3320" s="7"/>
      <c r="Y3320" s="7"/>
    </row>
    <row r="3321">
      <c r="A3321" s="14" t="s">
        <v>11872</v>
      </c>
      <c r="B3321" s="17" t="s">
        <v>11869</v>
      </c>
      <c r="C3321" s="17" t="s">
        <v>11873</v>
      </c>
      <c r="D3321" s="19" t="s">
        <v>11874</v>
      </c>
      <c r="E3321" s="20" t="s">
        <v>274</v>
      </c>
      <c r="F3321" s="21">
        <v>35226.0</v>
      </c>
      <c r="G3321" s="14">
        <f t="shared" si="1"/>
        <v>30</v>
      </c>
      <c r="H3321" s="23" t="s">
        <v>26</v>
      </c>
      <c r="I3321" s="24" t="s">
        <v>27</v>
      </c>
      <c r="J3321" s="19" t="s">
        <v>53</v>
      </c>
      <c r="K3321" s="14">
        <v>3.0</v>
      </c>
      <c r="L3321" s="14">
        <v>0.0</v>
      </c>
      <c r="M3321" s="25"/>
      <c r="N3321" s="26" t="s">
        <v>21</v>
      </c>
      <c r="O3321" s="7"/>
      <c r="P3321" s="7"/>
      <c r="Q3321" s="7"/>
      <c r="R3321" s="7"/>
      <c r="S3321" s="7"/>
      <c r="T3321" s="7"/>
      <c r="U3321" s="7"/>
      <c r="V3321" s="7"/>
      <c r="W3321" s="7"/>
      <c r="X3321" s="7"/>
      <c r="Y3321" s="7"/>
    </row>
    <row r="3322">
      <c r="A3322" s="14" t="s">
        <v>11875</v>
      </c>
      <c r="B3322" s="17" t="s">
        <v>11876</v>
      </c>
      <c r="C3322" s="17" t="s">
        <v>11877</v>
      </c>
      <c r="D3322" s="19" t="s">
        <v>11878</v>
      </c>
      <c r="E3322" s="20" t="s">
        <v>104</v>
      </c>
      <c r="F3322" s="21">
        <v>33748.0</v>
      </c>
      <c r="G3322" s="14">
        <f t="shared" si="1"/>
        <v>34</v>
      </c>
      <c r="H3322" s="23" t="s">
        <v>26</v>
      </c>
      <c r="I3322" s="24" t="s">
        <v>27</v>
      </c>
      <c r="J3322" s="19" t="s">
        <v>206</v>
      </c>
      <c r="K3322" s="14">
        <v>2.0</v>
      </c>
      <c r="L3322" s="14">
        <v>0.0</v>
      </c>
      <c r="M3322" s="25"/>
      <c r="N3322" s="26" t="s">
        <v>21</v>
      </c>
      <c r="O3322" s="7"/>
      <c r="P3322" s="7"/>
      <c r="Q3322" s="7"/>
      <c r="R3322" s="7"/>
      <c r="S3322" s="7"/>
      <c r="T3322" s="7"/>
      <c r="U3322" s="7"/>
      <c r="V3322" s="7"/>
      <c r="W3322" s="7"/>
      <c r="X3322" s="7"/>
      <c r="Y3322" s="7"/>
    </row>
    <row r="3323">
      <c r="A3323" s="14" t="s">
        <v>11879</v>
      </c>
      <c r="B3323" s="17" t="s">
        <v>11876</v>
      </c>
      <c r="C3323" s="17" t="s">
        <v>11880</v>
      </c>
      <c r="D3323" s="19" t="s">
        <v>11881</v>
      </c>
      <c r="E3323" s="20" t="s">
        <v>536</v>
      </c>
      <c r="F3323" s="21">
        <v>32660.0</v>
      </c>
      <c r="G3323" s="14">
        <f t="shared" si="1"/>
        <v>37</v>
      </c>
      <c r="H3323" s="23" t="s">
        <v>26</v>
      </c>
      <c r="I3323" s="24" t="s">
        <v>33</v>
      </c>
      <c r="J3323" s="19" t="s">
        <v>206</v>
      </c>
      <c r="K3323" s="14">
        <v>2.0</v>
      </c>
      <c r="L3323" s="14">
        <v>0.0</v>
      </c>
      <c r="M3323" s="25"/>
      <c r="N3323" s="26" t="s">
        <v>21</v>
      </c>
      <c r="O3323" s="7"/>
      <c r="P3323" s="7"/>
      <c r="Q3323" s="7"/>
      <c r="R3323" s="7"/>
      <c r="S3323" s="7"/>
      <c r="T3323" s="7"/>
      <c r="U3323" s="7"/>
      <c r="V3323" s="7"/>
      <c r="W3323" s="7"/>
      <c r="X3323" s="7"/>
      <c r="Y3323" s="7"/>
    </row>
    <row r="3324">
      <c r="A3324" s="14" t="s">
        <v>11882</v>
      </c>
      <c r="B3324" s="17" t="s">
        <v>11883</v>
      </c>
      <c r="C3324" s="17" t="s">
        <v>11884</v>
      </c>
      <c r="D3324" s="19" t="s">
        <v>11885</v>
      </c>
      <c r="E3324" s="20" t="s">
        <v>138</v>
      </c>
      <c r="F3324" s="21">
        <v>36634.0</v>
      </c>
      <c r="G3324" s="14">
        <f t="shared" si="1"/>
        <v>26</v>
      </c>
      <c r="H3324" s="23" t="s">
        <v>100</v>
      </c>
      <c r="I3324" s="24" t="s">
        <v>33</v>
      </c>
      <c r="J3324" s="19" t="s">
        <v>517</v>
      </c>
      <c r="K3324" s="14">
        <v>36.0</v>
      </c>
      <c r="L3324" s="14">
        <v>0.0</v>
      </c>
      <c r="M3324" s="25"/>
      <c r="N3324" s="26" t="s">
        <v>21</v>
      </c>
      <c r="O3324" s="7"/>
      <c r="P3324" s="7"/>
      <c r="Q3324" s="7"/>
      <c r="R3324" s="7"/>
      <c r="S3324" s="7"/>
      <c r="T3324" s="7"/>
      <c r="U3324" s="7"/>
      <c r="V3324" s="7"/>
      <c r="W3324" s="7"/>
      <c r="X3324" s="7"/>
      <c r="Y3324" s="7"/>
    </row>
    <row r="3325">
      <c r="A3325" s="14" t="s">
        <v>11886</v>
      </c>
      <c r="B3325" s="17" t="s">
        <v>11883</v>
      </c>
      <c r="C3325" s="17" t="s">
        <v>11887</v>
      </c>
      <c r="D3325" s="19" t="s">
        <v>11888</v>
      </c>
      <c r="E3325" s="20" t="s">
        <v>104</v>
      </c>
      <c r="F3325" s="21">
        <v>30173.0</v>
      </c>
      <c r="G3325" s="14">
        <f t="shared" si="1"/>
        <v>44</v>
      </c>
      <c r="H3325" s="23" t="s">
        <v>26</v>
      </c>
      <c r="I3325" s="24" t="s">
        <v>27</v>
      </c>
      <c r="J3325" s="19" t="s">
        <v>517</v>
      </c>
      <c r="K3325" s="14">
        <v>36.0</v>
      </c>
      <c r="L3325" s="14">
        <v>0.0</v>
      </c>
      <c r="M3325" s="25"/>
      <c r="N3325" s="26" t="s">
        <v>21</v>
      </c>
      <c r="O3325" s="7"/>
      <c r="P3325" s="7"/>
      <c r="Q3325" s="7"/>
      <c r="R3325" s="7"/>
      <c r="S3325" s="7"/>
      <c r="T3325" s="7"/>
      <c r="U3325" s="7"/>
      <c r="V3325" s="7"/>
      <c r="W3325" s="7"/>
      <c r="X3325" s="7"/>
      <c r="Y3325" s="7"/>
    </row>
    <row r="3326">
      <c r="A3326" s="14" t="s">
        <v>11889</v>
      </c>
      <c r="B3326" s="17" t="s">
        <v>11883</v>
      </c>
      <c r="C3326" s="17" t="s">
        <v>11890</v>
      </c>
      <c r="D3326" s="19" t="s">
        <v>11891</v>
      </c>
      <c r="E3326" s="20" t="s">
        <v>104</v>
      </c>
      <c r="F3326" s="21">
        <v>28431.0</v>
      </c>
      <c r="G3326" s="14">
        <f t="shared" si="1"/>
        <v>48</v>
      </c>
      <c r="H3326" s="23" t="s">
        <v>26</v>
      </c>
      <c r="I3326" s="24" t="s">
        <v>33</v>
      </c>
      <c r="J3326" s="19" t="s">
        <v>517</v>
      </c>
      <c r="K3326" s="14">
        <v>36.0</v>
      </c>
      <c r="L3326" s="14">
        <v>0.0</v>
      </c>
      <c r="M3326" s="25"/>
      <c r="N3326" s="26" t="s">
        <v>21</v>
      </c>
      <c r="O3326" s="7"/>
      <c r="P3326" s="7"/>
      <c r="Q3326" s="7"/>
      <c r="R3326" s="7"/>
      <c r="S3326" s="7"/>
      <c r="T3326" s="7"/>
      <c r="U3326" s="7"/>
      <c r="V3326" s="7"/>
      <c r="W3326" s="7"/>
      <c r="X3326" s="7"/>
      <c r="Y3326" s="7"/>
    </row>
    <row r="3327">
      <c r="A3327" s="14" t="s">
        <v>11892</v>
      </c>
      <c r="B3327" s="17" t="s">
        <v>11893</v>
      </c>
      <c r="C3327" s="17" t="s">
        <v>11894</v>
      </c>
      <c r="D3327" s="19" t="s">
        <v>11895</v>
      </c>
      <c r="E3327" s="20" t="s">
        <v>274</v>
      </c>
      <c r="F3327" s="21">
        <v>34726.0</v>
      </c>
      <c r="G3327" s="14">
        <f t="shared" si="1"/>
        <v>31</v>
      </c>
      <c r="H3327" s="23" t="s">
        <v>26</v>
      </c>
      <c r="I3327" s="24" t="s">
        <v>33</v>
      </c>
      <c r="J3327" s="19" t="s">
        <v>68</v>
      </c>
      <c r="K3327" s="14">
        <v>33.0</v>
      </c>
      <c r="L3327" s="14">
        <v>0.0</v>
      </c>
      <c r="M3327" s="25"/>
      <c r="N3327" s="26" t="s">
        <v>21</v>
      </c>
      <c r="O3327" s="7"/>
      <c r="P3327" s="7"/>
      <c r="Q3327" s="7"/>
      <c r="R3327" s="7"/>
      <c r="S3327" s="7"/>
      <c r="T3327" s="7"/>
      <c r="U3327" s="7"/>
      <c r="V3327" s="7"/>
      <c r="W3327" s="7"/>
      <c r="X3327" s="7"/>
      <c r="Y3327" s="7"/>
    </row>
    <row r="3328">
      <c r="A3328" s="14" t="s">
        <v>11896</v>
      </c>
      <c r="B3328" s="17" t="s">
        <v>11893</v>
      </c>
      <c r="C3328" s="17" t="s">
        <v>11897</v>
      </c>
      <c r="D3328" s="19" t="s">
        <v>11898</v>
      </c>
      <c r="E3328" s="20" t="s">
        <v>337</v>
      </c>
      <c r="F3328" s="27">
        <v>35726.0</v>
      </c>
      <c r="G3328" s="14">
        <f t="shared" si="1"/>
        <v>29</v>
      </c>
      <c r="H3328" s="23" t="s">
        <v>26</v>
      </c>
      <c r="I3328" s="24" t="s">
        <v>27</v>
      </c>
      <c r="J3328" s="19" t="s">
        <v>68</v>
      </c>
      <c r="K3328" s="14">
        <v>33.0</v>
      </c>
      <c r="L3328" s="14">
        <v>0.0</v>
      </c>
      <c r="M3328" s="25"/>
      <c r="N3328" s="26" t="s">
        <v>21</v>
      </c>
      <c r="O3328" s="7"/>
      <c r="P3328" s="7"/>
      <c r="Q3328" s="7"/>
      <c r="R3328" s="7"/>
      <c r="S3328" s="7"/>
      <c r="T3328" s="7"/>
      <c r="U3328" s="7"/>
      <c r="V3328" s="7"/>
      <c r="W3328" s="7"/>
      <c r="X3328" s="7"/>
      <c r="Y3328" s="7"/>
    </row>
    <row r="3329">
      <c r="A3329" s="14" t="s">
        <v>11899</v>
      </c>
      <c r="B3329" s="17" t="s">
        <v>11900</v>
      </c>
      <c r="C3329" s="17" t="s">
        <v>11901</v>
      </c>
      <c r="D3329" s="19" t="s">
        <v>11902</v>
      </c>
      <c r="E3329" s="20" t="s">
        <v>11903</v>
      </c>
      <c r="F3329" s="21">
        <v>24537.0</v>
      </c>
      <c r="G3329" s="14">
        <f t="shared" si="1"/>
        <v>59</v>
      </c>
      <c r="H3329" s="23" t="s">
        <v>27</v>
      </c>
      <c r="I3329" s="24" t="s">
        <v>27</v>
      </c>
      <c r="J3329" s="19" t="s">
        <v>53</v>
      </c>
      <c r="K3329" s="14">
        <v>11.0</v>
      </c>
      <c r="L3329" s="14">
        <v>0.0</v>
      </c>
      <c r="M3329" s="25"/>
      <c r="N3329" s="26" t="s">
        <v>21</v>
      </c>
      <c r="O3329" s="7"/>
      <c r="P3329" s="7"/>
      <c r="Q3329" s="7"/>
      <c r="R3329" s="7"/>
      <c r="S3329" s="7"/>
      <c r="T3329" s="7"/>
      <c r="U3329" s="7"/>
      <c r="V3329" s="7"/>
      <c r="W3329" s="7"/>
      <c r="X3329" s="7"/>
      <c r="Y3329" s="7"/>
    </row>
    <row r="3330">
      <c r="A3330" s="14" t="s">
        <v>11904</v>
      </c>
      <c r="B3330" s="17" t="s">
        <v>11905</v>
      </c>
      <c r="C3330" s="17" t="s">
        <v>11906</v>
      </c>
      <c r="D3330" s="19" t="s">
        <v>11907</v>
      </c>
      <c r="E3330" s="20" t="s">
        <v>4976</v>
      </c>
      <c r="F3330" s="21">
        <v>29722.0</v>
      </c>
      <c r="G3330" s="14">
        <f t="shared" si="1"/>
        <v>45</v>
      </c>
      <c r="H3330" s="23" t="s">
        <v>26</v>
      </c>
      <c r="I3330" s="24" t="s">
        <v>27</v>
      </c>
      <c r="J3330" s="19" t="s">
        <v>53</v>
      </c>
      <c r="K3330" s="14">
        <v>16.0</v>
      </c>
      <c r="L3330" s="14">
        <v>0.0</v>
      </c>
      <c r="M3330" s="25"/>
      <c r="N3330" s="26" t="s">
        <v>21</v>
      </c>
      <c r="O3330" s="7"/>
      <c r="P3330" s="7"/>
      <c r="Q3330" s="7"/>
      <c r="R3330" s="7"/>
      <c r="S3330" s="7"/>
      <c r="T3330" s="7"/>
      <c r="U3330" s="7"/>
      <c r="V3330" s="7"/>
      <c r="W3330" s="7"/>
      <c r="X3330" s="7"/>
      <c r="Y3330" s="7"/>
    </row>
    <row r="3331">
      <c r="A3331" s="14" t="s">
        <v>11908</v>
      </c>
      <c r="B3331" s="17" t="s">
        <v>11905</v>
      </c>
      <c r="C3331" s="17" t="s">
        <v>11909</v>
      </c>
      <c r="D3331" s="19" t="s">
        <v>11910</v>
      </c>
      <c r="E3331" s="20" t="s">
        <v>138</v>
      </c>
      <c r="F3331" s="21">
        <v>29657.0</v>
      </c>
      <c r="G3331" s="14">
        <f t="shared" si="1"/>
        <v>45</v>
      </c>
      <c r="H3331" s="23" t="s">
        <v>26</v>
      </c>
      <c r="I3331" s="24" t="s">
        <v>33</v>
      </c>
      <c r="J3331" s="19" t="s">
        <v>53</v>
      </c>
      <c r="K3331" s="14">
        <v>16.0</v>
      </c>
      <c r="L3331" s="14">
        <v>0.0</v>
      </c>
      <c r="M3331" s="25"/>
      <c r="N3331" s="26" t="s">
        <v>21</v>
      </c>
      <c r="O3331" s="7"/>
      <c r="P3331" s="7"/>
      <c r="Q3331" s="7"/>
      <c r="R3331" s="7"/>
      <c r="S3331" s="7"/>
      <c r="T3331" s="7"/>
      <c r="U3331" s="7"/>
      <c r="V3331" s="7"/>
      <c r="W3331" s="7"/>
      <c r="X3331" s="7"/>
      <c r="Y3331" s="7"/>
    </row>
    <row r="3332">
      <c r="A3332" s="14" t="s">
        <v>11911</v>
      </c>
      <c r="B3332" s="17" t="s">
        <v>11912</v>
      </c>
      <c r="C3332" s="17" t="s">
        <v>11913</v>
      </c>
      <c r="D3332" s="19" t="s">
        <v>11914</v>
      </c>
      <c r="E3332" s="20" t="s">
        <v>11915</v>
      </c>
      <c r="F3332" s="21">
        <v>38106.0</v>
      </c>
      <c r="G3332" s="14">
        <f t="shared" si="1"/>
        <v>22</v>
      </c>
      <c r="H3332" s="23" t="s">
        <v>100</v>
      </c>
      <c r="I3332" s="24" t="s">
        <v>33</v>
      </c>
      <c r="J3332" s="19" t="s">
        <v>68</v>
      </c>
      <c r="K3332" s="14">
        <v>31.0</v>
      </c>
      <c r="L3332" s="14">
        <v>5.0</v>
      </c>
      <c r="M3332" s="25"/>
      <c r="N3332" s="26" t="s">
        <v>21</v>
      </c>
      <c r="O3332" s="7"/>
      <c r="P3332" s="7"/>
      <c r="Q3332" s="7"/>
      <c r="R3332" s="7"/>
      <c r="S3332" s="7"/>
      <c r="T3332" s="7"/>
      <c r="U3332" s="7"/>
      <c r="V3332" s="7"/>
      <c r="W3332" s="7"/>
      <c r="X3332" s="7"/>
      <c r="Y3332" s="7"/>
    </row>
    <row r="3333">
      <c r="A3333" s="14" t="s">
        <v>11916</v>
      </c>
      <c r="B3333" s="17" t="s">
        <v>11912</v>
      </c>
      <c r="C3333" s="17" t="s">
        <v>11917</v>
      </c>
      <c r="D3333" s="19" t="s">
        <v>11918</v>
      </c>
      <c r="E3333" s="20" t="s">
        <v>1782</v>
      </c>
      <c r="F3333" s="21">
        <v>37357.0</v>
      </c>
      <c r="G3333" s="14">
        <f t="shared" si="1"/>
        <v>24</v>
      </c>
      <c r="H3333" s="23" t="s">
        <v>100</v>
      </c>
      <c r="I3333" s="24" t="s">
        <v>33</v>
      </c>
      <c r="J3333" s="19" t="s">
        <v>68</v>
      </c>
      <c r="K3333" s="14">
        <v>31.0</v>
      </c>
      <c r="L3333" s="14">
        <v>5.0</v>
      </c>
      <c r="M3333" s="25"/>
      <c r="N3333" s="26" t="s">
        <v>21</v>
      </c>
      <c r="O3333" s="7"/>
      <c r="P3333" s="7"/>
      <c r="Q3333" s="7"/>
      <c r="R3333" s="7"/>
      <c r="S3333" s="7"/>
      <c r="T3333" s="7"/>
      <c r="U3333" s="7"/>
      <c r="V3333" s="7"/>
      <c r="W3333" s="7"/>
      <c r="X3333" s="7"/>
      <c r="Y3333" s="7"/>
    </row>
    <row r="3334">
      <c r="A3334" s="14" t="s">
        <v>11919</v>
      </c>
      <c r="B3334" s="17" t="s">
        <v>11912</v>
      </c>
      <c r="C3334" s="17" t="s">
        <v>11920</v>
      </c>
      <c r="D3334" s="19" t="s">
        <v>11921</v>
      </c>
      <c r="E3334" s="20" t="s">
        <v>1903</v>
      </c>
      <c r="F3334" s="21">
        <v>27733.0</v>
      </c>
      <c r="G3334" s="14">
        <f t="shared" si="1"/>
        <v>50</v>
      </c>
      <c r="H3334" s="23" t="s">
        <v>26</v>
      </c>
      <c r="I3334" s="24" t="s">
        <v>27</v>
      </c>
      <c r="J3334" s="19" t="s">
        <v>68</v>
      </c>
      <c r="K3334" s="14">
        <v>31.0</v>
      </c>
      <c r="L3334" s="14">
        <v>5.0</v>
      </c>
      <c r="M3334" s="25"/>
      <c r="N3334" s="26" t="s">
        <v>21</v>
      </c>
      <c r="O3334" s="7"/>
      <c r="P3334" s="7"/>
      <c r="Q3334" s="7"/>
      <c r="R3334" s="7"/>
      <c r="S3334" s="7"/>
      <c r="T3334" s="7"/>
      <c r="U3334" s="7"/>
      <c r="V3334" s="7"/>
      <c r="W3334" s="7"/>
      <c r="X3334" s="7"/>
      <c r="Y3334" s="7"/>
    </row>
    <row r="3335">
      <c r="A3335" s="14" t="s">
        <v>11922</v>
      </c>
      <c r="B3335" s="17" t="s">
        <v>11912</v>
      </c>
      <c r="C3335" s="17" t="s">
        <v>11923</v>
      </c>
      <c r="D3335" s="19" t="s">
        <v>8466</v>
      </c>
      <c r="E3335" s="20" t="s">
        <v>1782</v>
      </c>
      <c r="F3335" s="21">
        <v>28461.0</v>
      </c>
      <c r="G3335" s="14">
        <f t="shared" si="1"/>
        <v>48</v>
      </c>
      <c r="H3335" s="23" t="s">
        <v>26</v>
      </c>
      <c r="I3335" s="24" t="s">
        <v>33</v>
      </c>
      <c r="J3335" s="19" t="s">
        <v>68</v>
      </c>
      <c r="K3335" s="14">
        <v>31.0</v>
      </c>
      <c r="L3335" s="14">
        <v>5.0</v>
      </c>
      <c r="M3335" s="25"/>
      <c r="N3335" s="26" t="s">
        <v>21</v>
      </c>
      <c r="O3335" s="7"/>
      <c r="P3335" s="7"/>
      <c r="Q3335" s="7"/>
      <c r="R3335" s="7"/>
      <c r="S3335" s="7"/>
      <c r="T3335" s="7"/>
      <c r="U3335" s="7"/>
      <c r="V3335" s="7"/>
      <c r="W3335" s="7"/>
      <c r="X3335" s="7"/>
      <c r="Y3335" s="7"/>
    </row>
    <row r="3336">
      <c r="A3336" s="14" t="s">
        <v>11924</v>
      </c>
      <c r="B3336" s="17" t="s">
        <v>11925</v>
      </c>
      <c r="C3336" s="17" t="s">
        <v>11926</v>
      </c>
      <c r="D3336" s="19" t="s">
        <v>11927</v>
      </c>
      <c r="E3336" s="20" t="s">
        <v>104</v>
      </c>
      <c r="F3336" s="21">
        <v>29084.0</v>
      </c>
      <c r="G3336" s="14">
        <f t="shared" si="1"/>
        <v>47</v>
      </c>
      <c r="H3336" s="23" t="s">
        <v>26</v>
      </c>
      <c r="I3336" s="24" t="s">
        <v>27</v>
      </c>
      <c r="J3336" s="19" t="s">
        <v>53</v>
      </c>
      <c r="K3336" s="14">
        <v>15.0</v>
      </c>
      <c r="L3336" s="14">
        <v>0.0</v>
      </c>
      <c r="M3336" s="25"/>
      <c r="N3336" s="26" t="s">
        <v>21</v>
      </c>
      <c r="O3336" s="7"/>
      <c r="P3336" s="7"/>
      <c r="Q3336" s="7"/>
      <c r="R3336" s="7"/>
      <c r="S3336" s="7"/>
      <c r="T3336" s="7"/>
      <c r="U3336" s="7"/>
      <c r="V3336" s="7"/>
      <c r="W3336" s="7"/>
      <c r="X3336" s="7"/>
      <c r="Y3336" s="7"/>
    </row>
    <row r="3337">
      <c r="A3337" s="14" t="s">
        <v>11928</v>
      </c>
      <c r="B3337" s="17" t="s">
        <v>11929</v>
      </c>
      <c r="C3337" s="17" t="s">
        <v>11930</v>
      </c>
      <c r="D3337" s="19" t="s">
        <v>11931</v>
      </c>
      <c r="E3337" s="20" t="s">
        <v>11932</v>
      </c>
      <c r="F3337" s="21">
        <v>33374.0</v>
      </c>
      <c r="G3337" s="14">
        <f t="shared" si="1"/>
        <v>35</v>
      </c>
      <c r="H3337" s="23" t="s">
        <v>26</v>
      </c>
      <c r="I3337" s="24" t="s">
        <v>27</v>
      </c>
      <c r="J3337" s="19" t="s">
        <v>68</v>
      </c>
      <c r="K3337" s="14">
        <v>28.0</v>
      </c>
      <c r="L3337" s="14">
        <v>0.0</v>
      </c>
      <c r="M3337" s="25"/>
      <c r="N3337" s="26" t="s">
        <v>21</v>
      </c>
      <c r="O3337" s="7"/>
      <c r="P3337" s="7"/>
      <c r="Q3337" s="7"/>
      <c r="R3337" s="7"/>
      <c r="S3337" s="7"/>
      <c r="T3337" s="7"/>
      <c r="U3337" s="7"/>
      <c r="V3337" s="7"/>
      <c r="W3337" s="7"/>
      <c r="X3337" s="7"/>
      <c r="Y3337" s="7"/>
    </row>
    <row r="3338">
      <c r="A3338" s="14" t="s">
        <v>11933</v>
      </c>
      <c r="B3338" s="17" t="s">
        <v>11929</v>
      </c>
      <c r="C3338" s="17" t="s">
        <v>11934</v>
      </c>
      <c r="D3338" s="19" t="s">
        <v>11935</v>
      </c>
      <c r="E3338" s="20" t="s">
        <v>53</v>
      </c>
      <c r="F3338" s="21">
        <v>33306.0</v>
      </c>
      <c r="G3338" s="14">
        <f t="shared" si="1"/>
        <v>35</v>
      </c>
      <c r="H3338" s="23" t="s">
        <v>26</v>
      </c>
      <c r="I3338" s="24" t="s">
        <v>33</v>
      </c>
      <c r="J3338" s="19" t="s">
        <v>68</v>
      </c>
      <c r="K3338" s="14">
        <v>28.0</v>
      </c>
      <c r="L3338" s="14">
        <v>0.0</v>
      </c>
      <c r="M3338" s="25"/>
      <c r="N3338" s="26" t="s">
        <v>21</v>
      </c>
      <c r="O3338" s="7"/>
      <c r="P3338" s="7"/>
      <c r="Q3338" s="7"/>
      <c r="R3338" s="7"/>
      <c r="S3338" s="7"/>
      <c r="T3338" s="7"/>
      <c r="U3338" s="7"/>
      <c r="V3338" s="7"/>
      <c r="W3338" s="7"/>
      <c r="X3338" s="7"/>
      <c r="Y3338" s="7"/>
    </row>
    <row r="3339">
      <c r="A3339" s="14" t="s">
        <v>11936</v>
      </c>
      <c r="B3339" s="17" t="s">
        <v>11937</v>
      </c>
      <c r="C3339" s="17" t="s">
        <v>11938</v>
      </c>
      <c r="D3339" s="19" t="s">
        <v>11939</v>
      </c>
      <c r="E3339" s="20" t="s">
        <v>1058</v>
      </c>
      <c r="F3339" s="21">
        <v>25289.0</v>
      </c>
      <c r="G3339" s="14">
        <f t="shared" si="1"/>
        <v>57</v>
      </c>
      <c r="H3339" s="23" t="s">
        <v>26</v>
      </c>
      <c r="I3339" s="24" t="s">
        <v>33</v>
      </c>
      <c r="J3339" s="19" t="s">
        <v>53</v>
      </c>
      <c r="K3339" s="14">
        <v>17.0</v>
      </c>
      <c r="L3339" s="14">
        <v>0.0</v>
      </c>
      <c r="M3339" s="25"/>
      <c r="N3339" s="26" t="s">
        <v>21</v>
      </c>
      <c r="O3339" s="7"/>
      <c r="P3339" s="7"/>
      <c r="Q3339" s="7"/>
      <c r="R3339" s="7"/>
      <c r="S3339" s="7"/>
      <c r="T3339" s="7"/>
      <c r="U3339" s="7"/>
      <c r="V3339" s="7"/>
      <c r="W3339" s="7"/>
      <c r="X3339" s="7"/>
      <c r="Y3339" s="7"/>
    </row>
    <row r="3340">
      <c r="A3340" s="14" t="s">
        <v>11940</v>
      </c>
      <c r="B3340" s="17" t="s">
        <v>11937</v>
      </c>
      <c r="C3340" s="17" t="s">
        <v>11941</v>
      </c>
      <c r="D3340" s="19" t="s">
        <v>8423</v>
      </c>
      <c r="E3340" s="20" t="s">
        <v>1816</v>
      </c>
      <c r="F3340" s="21">
        <v>26060.0</v>
      </c>
      <c r="G3340" s="14">
        <f t="shared" si="1"/>
        <v>55</v>
      </c>
      <c r="H3340" s="23" t="s">
        <v>26</v>
      </c>
      <c r="I3340" s="24" t="s">
        <v>27</v>
      </c>
      <c r="J3340" s="19" t="s">
        <v>53</v>
      </c>
      <c r="K3340" s="14">
        <v>17.0</v>
      </c>
      <c r="L3340" s="14">
        <v>0.0</v>
      </c>
      <c r="M3340" s="25"/>
      <c r="N3340" s="26" t="s">
        <v>21</v>
      </c>
      <c r="O3340" s="7"/>
      <c r="P3340" s="7"/>
      <c r="Q3340" s="7"/>
      <c r="R3340" s="7"/>
      <c r="S3340" s="7"/>
      <c r="T3340" s="7"/>
      <c r="U3340" s="7"/>
      <c r="V3340" s="7"/>
      <c r="W3340" s="7"/>
      <c r="X3340" s="7"/>
      <c r="Y3340" s="7"/>
    </row>
    <row r="3341">
      <c r="A3341" s="14" t="s">
        <v>11942</v>
      </c>
      <c r="B3341" s="17" t="s">
        <v>11943</v>
      </c>
      <c r="C3341" s="17" t="s">
        <v>11944</v>
      </c>
      <c r="D3341" s="19" t="s">
        <v>11945</v>
      </c>
      <c r="E3341" s="20" t="s">
        <v>1816</v>
      </c>
      <c r="F3341" s="21">
        <v>20259.0</v>
      </c>
      <c r="G3341" s="14">
        <f t="shared" si="1"/>
        <v>71</v>
      </c>
      <c r="H3341" s="23" t="s">
        <v>27</v>
      </c>
      <c r="I3341" s="24" t="s">
        <v>33</v>
      </c>
      <c r="J3341" s="19" t="s">
        <v>282</v>
      </c>
      <c r="K3341" s="14">
        <v>17.0</v>
      </c>
      <c r="L3341" s="14">
        <v>0.0</v>
      </c>
      <c r="M3341" s="25"/>
      <c r="N3341" s="26" t="s">
        <v>21</v>
      </c>
      <c r="O3341" s="7"/>
      <c r="P3341" s="7"/>
      <c r="Q3341" s="7"/>
      <c r="R3341" s="7"/>
      <c r="S3341" s="7"/>
      <c r="T3341" s="7"/>
      <c r="U3341" s="7"/>
      <c r="V3341" s="7"/>
      <c r="W3341" s="7"/>
      <c r="X3341" s="7"/>
      <c r="Y3341" s="7"/>
    </row>
    <row r="3342">
      <c r="A3342" s="14" t="s">
        <v>11946</v>
      </c>
      <c r="B3342" s="17" t="s">
        <v>11947</v>
      </c>
      <c r="C3342" s="17" t="s">
        <v>11948</v>
      </c>
      <c r="D3342" s="19" t="s">
        <v>11949</v>
      </c>
      <c r="E3342" s="20" t="s">
        <v>104</v>
      </c>
      <c r="F3342" s="21">
        <v>38120.0</v>
      </c>
      <c r="G3342" s="14">
        <f t="shared" si="1"/>
        <v>22</v>
      </c>
      <c r="H3342" s="23" t="s">
        <v>100</v>
      </c>
      <c r="I3342" s="24" t="s">
        <v>33</v>
      </c>
      <c r="J3342" s="19" t="s">
        <v>53</v>
      </c>
      <c r="K3342" s="14">
        <v>17.0</v>
      </c>
      <c r="L3342" s="14">
        <v>0.0</v>
      </c>
      <c r="M3342" s="25"/>
      <c r="N3342" s="26" t="s">
        <v>21</v>
      </c>
      <c r="O3342" s="7"/>
      <c r="P3342" s="7"/>
      <c r="Q3342" s="7"/>
      <c r="R3342" s="7"/>
      <c r="S3342" s="7"/>
      <c r="T3342" s="7"/>
      <c r="U3342" s="7"/>
      <c r="V3342" s="7"/>
      <c r="W3342" s="7"/>
      <c r="X3342" s="7"/>
      <c r="Y3342" s="7"/>
    </row>
    <row r="3343">
      <c r="A3343" s="14" t="s">
        <v>11950</v>
      </c>
      <c r="B3343" s="17" t="s">
        <v>11947</v>
      </c>
      <c r="C3343" s="17" t="s">
        <v>11951</v>
      </c>
      <c r="D3343" s="19" t="s">
        <v>11952</v>
      </c>
      <c r="E3343" s="20" t="s">
        <v>1816</v>
      </c>
      <c r="F3343" s="21">
        <v>23351.0</v>
      </c>
      <c r="G3343" s="14">
        <f t="shared" si="1"/>
        <v>62</v>
      </c>
      <c r="H3343" s="23" t="s">
        <v>26</v>
      </c>
      <c r="I3343" s="24" t="s">
        <v>33</v>
      </c>
      <c r="J3343" s="19" t="s">
        <v>53</v>
      </c>
      <c r="K3343" s="14">
        <v>17.0</v>
      </c>
      <c r="L3343" s="14">
        <v>0.0</v>
      </c>
      <c r="M3343" s="25"/>
      <c r="N3343" s="26" t="s">
        <v>21</v>
      </c>
      <c r="O3343" s="7"/>
      <c r="P3343" s="7"/>
      <c r="Q3343" s="7"/>
      <c r="R3343" s="7"/>
      <c r="S3343" s="7"/>
      <c r="T3343" s="7"/>
      <c r="U3343" s="7"/>
      <c r="V3343" s="7"/>
      <c r="W3343" s="7"/>
      <c r="X3343" s="7"/>
      <c r="Y3343" s="7"/>
    </row>
    <row r="3344">
      <c r="A3344" s="14" t="s">
        <v>11953</v>
      </c>
      <c r="B3344" s="17" t="s">
        <v>11947</v>
      </c>
      <c r="C3344" s="17" t="s">
        <v>11954</v>
      </c>
      <c r="D3344" s="19" t="s">
        <v>11955</v>
      </c>
      <c r="E3344" s="20" t="s">
        <v>1816</v>
      </c>
      <c r="F3344" s="21">
        <v>23607.0</v>
      </c>
      <c r="G3344" s="14">
        <f t="shared" si="1"/>
        <v>62</v>
      </c>
      <c r="H3344" s="23" t="s">
        <v>26</v>
      </c>
      <c r="I3344" s="24" t="s">
        <v>27</v>
      </c>
      <c r="J3344" s="19" t="s">
        <v>53</v>
      </c>
      <c r="K3344" s="14">
        <v>17.0</v>
      </c>
      <c r="L3344" s="14">
        <v>0.0</v>
      </c>
      <c r="M3344" s="25"/>
      <c r="N3344" s="26" t="s">
        <v>21</v>
      </c>
      <c r="O3344" s="7"/>
      <c r="P3344" s="7"/>
      <c r="Q3344" s="7"/>
      <c r="R3344" s="7"/>
      <c r="S3344" s="7"/>
      <c r="T3344" s="7"/>
      <c r="U3344" s="7"/>
      <c r="V3344" s="7"/>
      <c r="W3344" s="7"/>
      <c r="X3344" s="7"/>
      <c r="Y3344" s="7"/>
    </row>
    <row r="3345">
      <c r="A3345" s="14" t="s">
        <v>11956</v>
      </c>
      <c r="B3345" s="17" t="s">
        <v>11957</v>
      </c>
      <c r="C3345" s="17" t="s">
        <v>11958</v>
      </c>
      <c r="D3345" s="19" t="s">
        <v>11959</v>
      </c>
      <c r="E3345" s="20" t="s">
        <v>4388</v>
      </c>
      <c r="F3345" s="21">
        <v>24301.0</v>
      </c>
      <c r="G3345" s="14">
        <f t="shared" si="1"/>
        <v>60</v>
      </c>
      <c r="H3345" s="23" t="s">
        <v>26</v>
      </c>
      <c r="I3345" s="24" t="s">
        <v>27</v>
      </c>
      <c r="J3345" s="19" t="s">
        <v>156</v>
      </c>
      <c r="K3345" s="14">
        <v>29.0</v>
      </c>
      <c r="L3345" s="14">
        <v>0.0</v>
      </c>
      <c r="M3345" s="25"/>
      <c r="N3345" s="26" t="s">
        <v>21</v>
      </c>
      <c r="O3345" s="7"/>
      <c r="P3345" s="7"/>
      <c r="Q3345" s="7"/>
      <c r="R3345" s="7"/>
      <c r="S3345" s="7"/>
      <c r="T3345" s="7"/>
      <c r="U3345" s="7"/>
      <c r="V3345" s="7"/>
      <c r="W3345" s="7"/>
      <c r="X3345" s="7"/>
      <c r="Y3345" s="7"/>
    </row>
    <row r="3346">
      <c r="A3346" s="14" t="s">
        <v>11960</v>
      </c>
      <c r="B3346" s="17" t="s">
        <v>11957</v>
      </c>
      <c r="C3346" s="17" t="s">
        <v>11961</v>
      </c>
      <c r="D3346" s="19" t="s">
        <v>3321</v>
      </c>
      <c r="E3346" s="20" t="s">
        <v>1049</v>
      </c>
      <c r="F3346" s="21">
        <v>23115.0</v>
      </c>
      <c r="G3346" s="14">
        <f t="shared" si="1"/>
        <v>63</v>
      </c>
      <c r="H3346" s="23" t="s">
        <v>26</v>
      </c>
      <c r="I3346" s="24" t="s">
        <v>33</v>
      </c>
      <c r="J3346" s="19" t="s">
        <v>156</v>
      </c>
      <c r="K3346" s="14">
        <v>29.0</v>
      </c>
      <c r="L3346" s="14">
        <v>0.0</v>
      </c>
      <c r="M3346" s="25"/>
      <c r="N3346" s="26" t="s">
        <v>21</v>
      </c>
      <c r="O3346" s="7"/>
      <c r="P3346" s="7"/>
      <c r="Q3346" s="7"/>
      <c r="R3346" s="7"/>
      <c r="S3346" s="7"/>
      <c r="T3346" s="7"/>
      <c r="U3346" s="7"/>
      <c r="V3346" s="7"/>
      <c r="W3346" s="7"/>
      <c r="X3346" s="7"/>
      <c r="Y3346" s="7"/>
    </row>
    <row r="3347">
      <c r="A3347" s="14" t="s">
        <v>11962</v>
      </c>
      <c r="B3347" s="17" t="s">
        <v>11963</v>
      </c>
      <c r="C3347" s="17" t="s">
        <v>11964</v>
      </c>
      <c r="D3347" s="19" t="s">
        <v>11965</v>
      </c>
      <c r="E3347" s="20" t="s">
        <v>104</v>
      </c>
      <c r="F3347" s="27">
        <v>38705.0</v>
      </c>
      <c r="G3347" s="14">
        <f t="shared" si="1"/>
        <v>20</v>
      </c>
      <c r="H3347" s="23" t="s">
        <v>100</v>
      </c>
      <c r="I3347" s="24" t="s">
        <v>33</v>
      </c>
      <c r="J3347" s="19" t="s">
        <v>53</v>
      </c>
      <c r="K3347" s="14">
        <v>17.0</v>
      </c>
      <c r="L3347" s="14">
        <v>0.0</v>
      </c>
      <c r="M3347" s="25"/>
      <c r="N3347" s="26" t="s">
        <v>21</v>
      </c>
      <c r="O3347" s="7"/>
      <c r="P3347" s="7"/>
      <c r="Q3347" s="7"/>
      <c r="R3347" s="7"/>
      <c r="S3347" s="7"/>
      <c r="T3347" s="7"/>
      <c r="U3347" s="7"/>
      <c r="V3347" s="7"/>
      <c r="W3347" s="7"/>
      <c r="X3347" s="7"/>
      <c r="Y3347" s="7"/>
    </row>
    <row r="3348">
      <c r="A3348" s="14" t="s">
        <v>11966</v>
      </c>
      <c r="B3348" s="17" t="s">
        <v>11963</v>
      </c>
      <c r="C3348" s="17" t="s">
        <v>11967</v>
      </c>
      <c r="D3348" s="19" t="s">
        <v>11968</v>
      </c>
      <c r="E3348" s="20" t="s">
        <v>104</v>
      </c>
      <c r="F3348" s="21">
        <v>37401.0</v>
      </c>
      <c r="G3348" s="14">
        <f t="shared" si="1"/>
        <v>24</v>
      </c>
      <c r="H3348" s="23" t="s">
        <v>100</v>
      </c>
      <c r="I3348" s="24" t="s">
        <v>27</v>
      </c>
      <c r="J3348" s="19" t="s">
        <v>53</v>
      </c>
      <c r="K3348" s="14">
        <v>17.0</v>
      </c>
      <c r="L3348" s="14">
        <v>0.0</v>
      </c>
      <c r="M3348" s="25"/>
      <c r="N3348" s="26" t="s">
        <v>21</v>
      </c>
      <c r="O3348" s="7"/>
      <c r="P3348" s="7"/>
      <c r="Q3348" s="7"/>
      <c r="R3348" s="7"/>
      <c r="S3348" s="7"/>
      <c r="T3348" s="7"/>
      <c r="U3348" s="7"/>
      <c r="V3348" s="7"/>
      <c r="W3348" s="7"/>
      <c r="X3348" s="7"/>
      <c r="Y3348" s="7"/>
    </row>
    <row r="3349">
      <c r="A3349" s="14" t="s">
        <v>11969</v>
      </c>
      <c r="B3349" s="17" t="s">
        <v>11963</v>
      </c>
      <c r="C3349" s="17" t="s">
        <v>11970</v>
      </c>
      <c r="D3349" s="19" t="s">
        <v>11971</v>
      </c>
      <c r="E3349" s="20" t="s">
        <v>1049</v>
      </c>
      <c r="F3349" s="21">
        <v>14631.0</v>
      </c>
      <c r="G3349" s="14">
        <f t="shared" si="1"/>
        <v>86</v>
      </c>
      <c r="H3349" s="23" t="s">
        <v>27</v>
      </c>
      <c r="I3349" s="24" t="s">
        <v>27</v>
      </c>
      <c r="J3349" s="19" t="s">
        <v>53</v>
      </c>
      <c r="K3349" s="14">
        <v>17.0</v>
      </c>
      <c r="L3349" s="14">
        <v>0.0</v>
      </c>
      <c r="M3349" s="25"/>
      <c r="N3349" s="26" t="s">
        <v>21</v>
      </c>
      <c r="O3349" s="7"/>
      <c r="P3349" s="7"/>
      <c r="Q3349" s="7"/>
      <c r="R3349" s="7"/>
      <c r="S3349" s="7"/>
      <c r="T3349" s="7"/>
      <c r="U3349" s="7"/>
      <c r="V3349" s="7"/>
      <c r="W3349" s="7"/>
      <c r="X3349" s="7"/>
      <c r="Y3349" s="7"/>
    </row>
    <row r="3350">
      <c r="A3350" s="14" t="s">
        <v>11972</v>
      </c>
      <c r="B3350" s="17" t="s">
        <v>11963</v>
      </c>
      <c r="C3350" s="17" t="s">
        <v>11973</v>
      </c>
      <c r="D3350" s="19" t="s">
        <v>11974</v>
      </c>
      <c r="E3350" s="20" t="s">
        <v>650</v>
      </c>
      <c r="F3350" s="21">
        <v>26342.0</v>
      </c>
      <c r="G3350" s="14">
        <f t="shared" si="1"/>
        <v>54</v>
      </c>
      <c r="H3350" s="23" t="s">
        <v>26</v>
      </c>
      <c r="I3350" s="24" t="s">
        <v>33</v>
      </c>
      <c r="J3350" s="19" t="s">
        <v>53</v>
      </c>
      <c r="K3350" s="14">
        <v>17.0</v>
      </c>
      <c r="L3350" s="14">
        <v>0.0</v>
      </c>
      <c r="M3350" s="25"/>
      <c r="N3350" s="26" t="s">
        <v>21</v>
      </c>
      <c r="O3350" s="7"/>
      <c r="P3350" s="7"/>
      <c r="Q3350" s="7"/>
      <c r="R3350" s="7"/>
      <c r="S3350" s="7"/>
      <c r="T3350" s="7"/>
      <c r="U3350" s="7"/>
      <c r="V3350" s="7"/>
      <c r="W3350" s="7"/>
      <c r="X3350" s="7"/>
      <c r="Y3350" s="7"/>
    </row>
    <row r="3351">
      <c r="A3351" s="14" t="s">
        <v>11975</v>
      </c>
      <c r="B3351" s="17" t="s">
        <v>11963</v>
      </c>
      <c r="C3351" s="17" t="s">
        <v>11976</v>
      </c>
      <c r="D3351" s="19" t="s">
        <v>11977</v>
      </c>
      <c r="E3351" s="20" t="s">
        <v>1816</v>
      </c>
      <c r="F3351" s="21">
        <v>27146.0</v>
      </c>
      <c r="G3351" s="14">
        <f t="shared" si="1"/>
        <v>52</v>
      </c>
      <c r="H3351" s="23" t="s">
        <v>26</v>
      </c>
      <c r="I3351" s="24" t="s">
        <v>27</v>
      </c>
      <c r="J3351" s="19" t="s">
        <v>53</v>
      </c>
      <c r="K3351" s="14">
        <v>17.0</v>
      </c>
      <c r="L3351" s="14">
        <v>0.0</v>
      </c>
      <c r="M3351" s="25"/>
      <c r="N3351" s="26" t="s">
        <v>21</v>
      </c>
      <c r="O3351" s="7"/>
      <c r="P3351" s="7"/>
      <c r="Q3351" s="7"/>
      <c r="R3351" s="7"/>
      <c r="S3351" s="7"/>
      <c r="T3351" s="7"/>
      <c r="U3351" s="7"/>
      <c r="V3351" s="7"/>
      <c r="W3351" s="7"/>
      <c r="X3351" s="7"/>
      <c r="Y3351" s="7"/>
    </row>
    <row r="3352">
      <c r="A3352" s="14" t="s">
        <v>11978</v>
      </c>
      <c r="B3352" s="17" t="s">
        <v>11979</v>
      </c>
      <c r="C3352" s="17" t="s">
        <v>11980</v>
      </c>
      <c r="D3352" s="19" t="s">
        <v>11981</v>
      </c>
      <c r="E3352" s="20" t="s">
        <v>1058</v>
      </c>
      <c r="F3352" s="21">
        <v>23497.0</v>
      </c>
      <c r="G3352" s="14">
        <f t="shared" si="1"/>
        <v>62</v>
      </c>
      <c r="H3352" s="23" t="s">
        <v>27</v>
      </c>
      <c r="I3352" s="24" t="s">
        <v>27</v>
      </c>
      <c r="J3352" s="19" t="s">
        <v>282</v>
      </c>
      <c r="K3352" s="14">
        <v>17.0</v>
      </c>
      <c r="L3352" s="14">
        <v>0.0</v>
      </c>
      <c r="M3352" s="25"/>
      <c r="N3352" s="26" t="s">
        <v>21</v>
      </c>
      <c r="O3352" s="7"/>
      <c r="P3352" s="7"/>
      <c r="Q3352" s="7"/>
      <c r="R3352" s="7"/>
      <c r="S3352" s="7"/>
      <c r="T3352" s="7"/>
      <c r="U3352" s="7"/>
      <c r="V3352" s="7"/>
      <c r="W3352" s="7"/>
      <c r="X3352" s="7"/>
      <c r="Y3352" s="7"/>
    </row>
    <row r="3353">
      <c r="A3353" s="14" t="s">
        <v>11982</v>
      </c>
      <c r="B3353" s="17" t="s">
        <v>11983</v>
      </c>
      <c r="C3353" s="17" t="s">
        <v>11984</v>
      </c>
      <c r="D3353" s="19" t="s">
        <v>11985</v>
      </c>
      <c r="E3353" s="20" t="s">
        <v>1049</v>
      </c>
      <c r="F3353" s="21">
        <v>23792.0</v>
      </c>
      <c r="G3353" s="14">
        <f t="shared" si="1"/>
        <v>61</v>
      </c>
      <c r="H3353" s="23" t="s">
        <v>27</v>
      </c>
      <c r="I3353" s="24" t="s">
        <v>27</v>
      </c>
      <c r="J3353" s="19" t="s">
        <v>53</v>
      </c>
      <c r="K3353" s="14">
        <v>16.0</v>
      </c>
      <c r="L3353" s="14">
        <v>0.0</v>
      </c>
      <c r="M3353" s="25"/>
      <c r="N3353" s="26" t="s">
        <v>21</v>
      </c>
      <c r="O3353" s="7"/>
      <c r="P3353" s="7"/>
      <c r="Q3353" s="7"/>
      <c r="R3353" s="7"/>
      <c r="S3353" s="7"/>
      <c r="T3353" s="7"/>
      <c r="U3353" s="7"/>
      <c r="V3353" s="7"/>
      <c r="W3353" s="7"/>
      <c r="X3353" s="7"/>
      <c r="Y3353" s="7"/>
    </row>
    <row r="3354">
      <c r="A3354" s="14" t="s">
        <v>11986</v>
      </c>
      <c r="B3354" s="17" t="s">
        <v>11987</v>
      </c>
      <c r="C3354" s="17" t="s">
        <v>11988</v>
      </c>
      <c r="D3354" s="19" t="s">
        <v>11989</v>
      </c>
      <c r="E3354" s="20" t="s">
        <v>11990</v>
      </c>
      <c r="F3354" s="21">
        <v>38803.0</v>
      </c>
      <c r="G3354" s="14">
        <f t="shared" si="1"/>
        <v>20</v>
      </c>
      <c r="H3354" s="23" t="s">
        <v>100</v>
      </c>
      <c r="I3354" s="24" t="s">
        <v>27</v>
      </c>
      <c r="J3354" s="19" t="s">
        <v>53</v>
      </c>
      <c r="K3354" s="14">
        <v>17.0</v>
      </c>
      <c r="L3354" s="14">
        <v>0.0</v>
      </c>
      <c r="M3354" s="25"/>
      <c r="N3354" s="26" t="s">
        <v>21</v>
      </c>
      <c r="O3354" s="7"/>
      <c r="P3354" s="7"/>
      <c r="Q3354" s="7"/>
      <c r="R3354" s="7"/>
      <c r="S3354" s="7"/>
      <c r="T3354" s="7"/>
      <c r="U3354" s="7"/>
      <c r="V3354" s="7"/>
      <c r="W3354" s="7"/>
      <c r="X3354" s="7"/>
      <c r="Y3354" s="7"/>
    </row>
    <row r="3355">
      <c r="A3355" s="14" t="s">
        <v>11991</v>
      </c>
      <c r="B3355" s="17" t="s">
        <v>11987</v>
      </c>
      <c r="C3355" s="17" t="s">
        <v>11992</v>
      </c>
      <c r="D3355" s="19" t="s">
        <v>11993</v>
      </c>
      <c r="E3355" s="20" t="s">
        <v>1049</v>
      </c>
      <c r="F3355" s="21">
        <v>25038.0</v>
      </c>
      <c r="G3355" s="14">
        <f t="shared" si="1"/>
        <v>58</v>
      </c>
      <c r="H3355" s="23" t="s">
        <v>26</v>
      </c>
      <c r="I3355" s="24" t="s">
        <v>27</v>
      </c>
      <c r="J3355" s="19" t="s">
        <v>53</v>
      </c>
      <c r="K3355" s="14">
        <v>17.0</v>
      </c>
      <c r="L3355" s="14">
        <v>0.0</v>
      </c>
      <c r="M3355" s="25"/>
      <c r="N3355" s="26" t="s">
        <v>21</v>
      </c>
      <c r="O3355" s="7"/>
      <c r="P3355" s="7"/>
      <c r="Q3355" s="7"/>
      <c r="R3355" s="7"/>
      <c r="S3355" s="7"/>
      <c r="T3355" s="7"/>
      <c r="U3355" s="7"/>
      <c r="V3355" s="7"/>
      <c r="W3355" s="7"/>
      <c r="X3355" s="7"/>
      <c r="Y3355" s="7"/>
    </row>
    <row r="3356">
      <c r="A3356" s="14" t="s">
        <v>11994</v>
      </c>
      <c r="B3356" s="17" t="s">
        <v>11987</v>
      </c>
      <c r="C3356" s="17" t="s">
        <v>11995</v>
      </c>
      <c r="D3356" s="19" t="s">
        <v>11996</v>
      </c>
      <c r="E3356" s="20" t="s">
        <v>605</v>
      </c>
      <c r="F3356" s="27">
        <v>22615.0</v>
      </c>
      <c r="G3356" s="14">
        <f t="shared" si="1"/>
        <v>64</v>
      </c>
      <c r="H3356" s="23" t="s">
        <v>26</v>
      </c>
      <c r="I3356" s="24" t="s">
        <v>33</v>
      </c>
      <c r="J3356" s="19" t="s">
        <v>53</v>
      </c>
      <c r="K3356" s="14">
        <v>17.0</v>
      </c>
      <c r="L3356" s="14">
        <v>0.0</v>
      </c>
      <c r="M3356" s="25"/>
      <c r="N3356" s="26" t="s">
        <v>21</v>
      </c>
      <c r="O3356" s="7"/>
      <c r="P3356" s="7"/>
      <c r="Q3356" s="7"/>
      <c r="R3356" s="7"/>
      <c r="S3356" s="7"/>
      <c r="T3356" s="7"/>
      <c r="U3356" s="7"/>
      <c r="V3356" s="7"/>
      <c r="W3356" s="7"/>
      <c r="X3356" s="7"/>
      <c r="Y3356" s="7"/>
    </row>
    <row r="3357">
      <c r="A3357" s="14" t="s">
        <v>11997</v>
      </c>
      <c r="B3357" s="17" t="s">
        <v>11998</v>
      </c>
      <c r="C3357" s="17" t="s">
        <v>11999</v>
      </c>
      <c r="D3357" s="19" t="s">
        <v>5352</v>
      </c>
      <c r="E3357" s="20" t="s">
        <v>104</v>
      </c>
      <c r="F3357" s="21">
        <v>30262.0</v>
      </c>
      <c r="G3357" s="14">
        <f t="shared" si="1"/>
        <v>43</v>
      </c>
      <c r="H3357" s="23" t="s">
        <v>26</v>
      </c>
      <c r="I3357" s="24" t="s">
        <v>33</v>
      </c>
      <c r="J3357" s="19" t="s">
        <v>68</v>
      </c>
      <c r="K3357" s="14">
        <v>34.0</v>
      </c>
      <c r="L3357" s="14">
        <v>0.0</v>
      </c>
      <c r="M3357" s="25"/>
      <c r="N3357" s="26" t="s">
        <v>21</v>
      </c>
      <c r="O3357" s="7"/>
      <c r="P3357" s="7"/>
      <c r="Q3357" s="7"/>
      <c r="R3357" s="7"/>
      <c r="S3357" s="7"/>
      <c r="T3357" s="7"/>
      <c r="U3357" s="7"/>
      <c r="V3357" s="7"/>
      <c r="W3357" s="7"/>
      <c r="X3357" s="7"/>
      <c r="Y3357" s="7"/>
    </row>
    <row r="3358">
      <c r="A3358" s="14" t="s">
        <v>12000</v>
      </c>
      <c r="B3358" s="17" t="s">
        <v>11998</v>
      </c>
      <c r="C3358" s="17" t="s">
        <v>12001</v>
      </c>
      <c r="D3358" s="19" t="s">
        <v>12002</v>
      </c>
      <c r="E3358" s="20" t="s">
        <v>53</v>
      </c>
      <c r="F3358" s="21">
        <v>38501.0</v>
      </c>
      <c r="G3358" s="14">
        <f t="shared" si="1"/>
        <v>21</v>
      </c>
      <c r="H3358" s="23" t="s">
        <v>100</v>
      </c>
      <c r="I3358" s="24" t="s">
        <v>27</v>
      </c>
      <c r="J3358" s="19" t="s">
        <v>68</v>
      </c>
      <c r="K3358" s="14">
        <v>34.0</v>
      </c>
      <c r="L3358" s="14">
        <v>7.0</v>
      </c>
      <c r="M3358" s="28" t="s">
        <v>14151</v>
      </c>
      <c r="N3358" s="26" t="s">
        <v>21</v>
      </c>
      <c r="O3358" s="7"/>
      <c r="P3358" s="7"/>
      <c r="Q3358" s="7"/>
      <c r="R3358" s="7"/>
      <c r="S3358" s="7"/>
      <c r="T3358" s="7"/>
      <c r="U3358" s="7"/>
      <c r="V3358" s="7"/>
      <c r="W3358" s="7"/>
      <c r="X3358" s="7"/>
      <c r="Y3358" s="7"/>
    </row>
    <row r="3359">
      <c r="A3359" s="14" t="s">
        <v>12003</v>
      </c>
      <c r="B3359" s="17" t="s">
        <v>11998</v>
      </c>
      <c r="C3359" s="17" t="s">
        <v>12004</v>
      </c>
      <c r="D3359" s="19" t="s">
        <v>12005</v>
      </c>
      <c r="E3359" s="20" t="s">
        <v>104</v>
      </c>
      <c r="F3359" s="21">
        <v>32057.0</v>
      </c>
      <c r="G3359" s="14">
        <f t="shared" si="1"/>
        <v>39</v>
      </c>
      <c r="H3359" s="23" t="s">
        <v>26</v>
      </c>
      <c r="I3359" s="24" t="s">
        <v>27</v>
      </c>
      <c r="J3359" s="19" t="s">
        <v>68</v>
      </c>
      <c r="K3359" s="14">
        <v>34.0</v>
      </c>
      <c r="L3359" s="14">
        <v>1.0</v>
      </c>
      <c r="M3359" s="25"/>
      <c r="N3359" s="26" t="s">
        <v>21</v>
      </c>
      <c r="O3359" s="7"/>
      <c r="P3359" s="7"/>
      <c r="Q3359" s="7"/>
      <c r="R3359" s="7"/>
      <c r="S3359" s="7"/>
      <c r="T3359" s="7"/>
      <c r="U3359" s="7"/>
      <c r="V3359" s="7"/>
      <c r="W3359" s="7"/>
      <c r="X3359" s="7"/>
      <c r="Y3359" s="7"/>
    </row>
    <row r="3360">
      <c r="A3360" s="14" t="s">
        <v>12006</v>
      </c>
      <c r="B3360" s="17" t="s">
        <v>12007</v>
      </c>
      <c r="C3360" s="17" t="s">
        <v>12008</v>
      </c>
      <c r="D3360" s="19" t="s">
        <v>3091</v>
      </c>
      <c r="E3360" s="20" t="s">
        <v>650</v>
      </c>
      <c r="F3360" s="21">
        <v>19541.0</v>
      </c>
      <c r="G3360" s="14">
        <f t="shared" si="1"/>
        <v>73</v>
      </c>
      <c r="H3360" s="23" t="s">
        <v>26</v>
      </c>
      <c r="I3360" s="24" t="s">
        <v>27</v>
      </c>
      <c r="J3360" s="19" t="s">
        <v>517</v>
      </c>
      <c r="K3360" s="14">
        <v>6.0</v>
      </c>
      <c r="L3360" s="14">
        <v>0.0</v>
      </c>
      <c r="M3360" s="25"/>
      <c r="N3360" s="26" t="s">
        <v>21</v>
      </c>
      <c r="O3360" s="7"/>
      <c r="P3360" s="7"/>
      <c r="Q3360" s="7"/>
      <c r="R3360" s="7"/>
      <c r="S3360" s="7"/>
      <c r="T3360" s="7"/>
      <c r="U3360" s="7"/>
      <c r="V3360" s="7"/>
      <c r="W3360" s="7"/>
      <c r="X3360" s="7"/>
      <c r="Y3360" s="7"/>
    </row>
    <row r="3361">
      <c r="A3361" s="14" t="s">
        <v>12009</v>
      </c>
      <c r="B3361" s="17" t="s">
        <v>12010</v>
      </c>
      <c r="C3361" s="17" t="s">
        <v>12011</v>
      </c>
      <c r="D3361" s="19" t="s">
        <v>12012</v>
      </c>
      <c r="E3361" s="20" t="s">
        <v>2038</v>
      </c>
      <c r="F3361" s="21">
        <v>38108.0</v>
      </c>
      <c r="G3361" s="14">
        <f t="shared" si="1"/>
        <v>22</v>
      </c>
      <c r="H3361" s="23" t="s">
        <v>100</v>
      </c>
      <c r="I3361" s="24" t="s">
        <v>27</v>
      </c>
      <c r="J3361" s="19" t="s">
        <v>517</v>
      </c>
      <c r="K3361" s="14">
        <v>6.0</v>
      </c>
      <c r="L3361" s="14">
        <v>0.0</v>
      </c>
      <c r="M3361" s="25"/>
      <c r="N3361" s="26" t="s">
        <v>21</v>
      </c>
      <c r="O3361" s="7"/>
      <c r="P3361" s="7"/>
      <c r="Q3361" s="7"/>
      <c r="R3361" s="7"/>
      <c r="S3361" s="7"/>
      <c r="T3361" s="7"/>
      <c r="U3361" s="7"/>
      <c r="V3361" s="7"/>
      <c r="W3361" s="7"/>
      <c r="X3361" s="7"/>
      <c r="Y3361" s="7"/>
    </row>
    <row r="3362">
      <c r="A3362" s="14" t="s">
        <v>12013</v>
      </c>
      <c r="B3362" s="17" t="s">
        <v>12010</v>
      </c>
      <c r="C3362" s="17" t="s">
        <v>12014</v>
      </c>
      <c r="D3362" s="19" t="s">
        <v>12015</v>
      </c>
      <c r="E3362" s="20" t="s">
        <v>650</v>
      </c>
      <c r="F3362" s="27">
        <v>27026.0</v>
      </c>
      <c r="G3362" s="14">
        <f t="shared" si="1"/>
        <v>52</v>
      </c>
      <c r="H3362" s="23" t="s">
        <v>26</v>
      </c>
      <c r="I3362" s="24" t="s">
        <v>33</v>
      </c>
      <c r="J3362" s="19" t="s">
        <v>517</v>
      </c>
      <c r="K3362" s="14">
        <v>6.0</v>
      </c>
      <c r="L3362" s="14">
        <v>0.0</v>
      </c>
      <c r="M3362" s="25"/>
      <c r="N3362" s="26" t="s">
        <v>21</v>
      </c>
      <c r="O3362" s="7"/>
      <c r="P3362" s="7"/>
      <c r="Q3362" s="7"/>
      <c r="R3362" s="7"/>
      <c r="S3362" s="7"/>
      <c r="T3362" s="7"/>
      <c r="U3362" s="7"/>
      <c r="V3362" s="7"/>
      <c r="W3362" s="7"/>
      <c r="X3362" s="7"/>
      <c r="Y3362" s="7"/>
    </row>
    <row r="3363">
      <c r="A3363" s="14" t="s">
        <v>12016</v>
      </c>
      <c r="B3363" s="17" t="s">
        <v>12010</v>
      </c>
      <c r="C3363" s="17" t="s">
        <v>12017</v>
      </c>
      <c r="D3363" s="19" t="s">
        <v>1053</v>
      </c>
      <c r="E3363" s="20" t="s">
        <v>12018</v>
      </c>
      <c r="F3363" s="27">
        <v>31738.0</v>
      </c>
      <c r="G3363" s="14">
        <f t="shared" si="1"/>
        <v>39</v>
      </c>
      <c r="H3363" s="23" t="s">
        <v>26</v>
      </c>
      <c r="I3363" s="24" t="s">
        <v>27</v>
      </c>
      <c r="J3363" s="19" t="s">
        <v>517</v>
      </c>
      <c r="K3363" s="14">
        <v>6.0</v>
      </c>
      <c r="L3363" s="14">
        <v>0.0</v>
      </c>
      <c r="M3363" s="25"/>
      <c r="N3363" s="26" t="s">
        <v>21</v>
      </c>
      <c r="O3363" s="7"/>
      <c r="P3363" s="7"/>
      <c r="Q3363" s="7"/>
      <c r="R3363" s="7"/>
      <c r="S3363" s="7"/>
      <c r="T3363" s="7"/>
      <c r="U3363" s="7"/>
      <c r="V3363" s="7"/>
      <c r="W3363" s="7"/>
      <c r="X3363" s="7"/>
      <c r="Y3363" s="7"/>
    </row>
    <row r="3364">
      <c r="A3364" s="14" t="s">
        <v>12019</v>
      </c>
      <c r="B3364" s="17" t="s">
        <v>12020</v>
      </c>
      <c r="C3364" s="17" t="s">
        <v>12021</v>
      </c>
      <c r="D3364" s="19" t="s">
        <v>7851</v>
      </c>
      <c r="E3364" s="20" t="s">
        <v>632</v>
      </c>
      <c r="F3364" s="27">
        <v>25562.0</v>
      </c>
      <c r="G3364" s="14">
        <f t="shared" si="1"/>
        <v>56</v>
      </c>
      <c r="H3364" s="23" t="s">
        <v>26</v>
      </c>
      <c r="I3364" s="24" t="s">
        <v>33</v>
      </c>
      <c r="J3364" s="19" t="s">
        <v>517</v>
      </c>
      <c r="K3364" s="14">
        <v>6.0</v>
      </c>
      <c r="L3364" s="14">
        <v>0.0</v>
      </c>
      <c r="M3364" s="25"/>
      <c r="N3364" s="26" t="s">
        <v>21</v>
      </c>
      <c r="O3364" s="7"/>
      <c r="P3364" s="7"/>
      <c r="Q3364" s="7"/>
      <c r="R3364" s="7"/>
      <c r="S3364" s="7"/>
      <c r="T3364" s="7"/>
      <c r="U3364" s="7"/>
      <c r="V3364" s="7"/>
      <c r="W3364" s="7"/>
      <c r="X3364" s="7"/>
      <c r="Y3364" s="7"/>
    </row>
    <row r="3365">
      <c r="A3365" s="14" t="s">
        <v>12022</v>
      </c>
      <c r="B3365" s="17" t="s">
        <v>12020</v>
      </c>
      <c r="C3365" s="17" t="s">
        <v>12023</v>
      </c>
      <c r="D3365" s="19" t="s">
        <v>12024</v>
      </c>
      <c r="E3365" s="20" t="s">
        <v>1870</v>
      </c>
      <c r="F3365" s="21">
        <v>38521.0</v>
      </c>
      <c r="G3365" s="14">
        <f t="shared" si="1"/>
        <v>21</v>
      </c>
      <c r="H3365" s="23" t="s">
        <v>100</v>
      </c>
      <c r="I3365" s="24" t="s">
        <v>27</v>
      </c>
      <c r="J3365" s="19" t="s">
        <v>517</v>
      </c>
      <c r="K3365" s="14">
        <v>6.0</v>
      </c>
      <c r="L3365" s="14">
        <v>0.0</v>
      </c>
      <c r="M3365" s="25"/>
      <c r="N3365" s="26" t="s">
        <v>21</v>
      </c>
      <c r="O3365" s="7"/>
      <c r="P3365" s="7"/>
      <c r="Q3365" s="7"/>
      <c r="R3365" s="7"/>
      <c r="S3365" s="7"/>
      <c r="T3365" s="7"/>
      <c r="U3365" s="7"/>
      <c r="V3365" s="7"/>
      <c r="W3365" s="7"/>
      <c r="X3365" s="7"/>
      <c r="Y3365" s="7"/>
    </row>
    <row r="3366">
      <c r="A3366" s="14" t="s">
        <v>12025</v>
      </c>
      <c r="B3366" s="17" t="s">
        <v>12020</v>
      </c>
      <c r="C3366" s="17" t="s">
        <v>12026</v>
      </c>
      <c r="D3366" s="19" t="s">
        <v>1048</v>
      </c>
      <c r="E3366" s="20" t="s">
        <v>104</v>
      </c>
      <c r="F3366" s="21">
        <v>28312.0</v>
      </c>
      <c r="G3366" s="14">
        <f t="shared" si="1"/>
        <v>49</v>
      </c>
      <c r="H3366" s="23" t="s">
        <v>26</v>
      </c>
      <c r="I3366" s="24" t="s">
        <v>27</v>
      </c>
      <c r="J3366" s="19" t="s">
        <v>517</v>
      </c>
      <c r="K3366" s="14">
        <v>6.0</v>
      </c>
      <c r="L3366" s="14">
        <v>0.0</v>
      </c>
      <c r="M3366" s="25"/>
      <c r="N3366" s="26" t="s">
        <v>21</v>
      </c>
      <c r="O3366" s="7"/>
      <c r="P3366" s="7"/>
      <c r="Q3366" s="7"/>
      <c r="R3366" s="7"/>
      <c r="S3366" s="7"/>
      <c r="T3366" s="7"/>
      <c r="U3366" s="7"/>
      <c r="V3366" s="7"/>
      <c r="W3366" s="7"/>
      <c r="X3366" s="7"/>
      <c r="Y3366" s="7"/>
    </row>
    <row r="3367">
      <c r="A3367" s="14" t="s">
        <v>12027</v>
      </c>
      <c r="B3367" s="17" t="s">
        <v>12028</v>
      </c>
      <c r="C3367" s="17" t="s">
        <v>12029</v>
      </c>
      <c r="D3367" s="19" t="s">
        <v>12030</v>
      </c>
      <c r="E3367" s="20" t="s">
        <v>53</v>
      </c>
      <c r="F3367" s="27">
        <v>39368.0</v>
      </c>
      <c r="G3367" s="14">
        <f t="shared" si="1"/>
        <v>19</v>
      </c>
      <c r="H3367" s="23" t="s">
        <v>100</v>
      </c>
      <c r="I3367" s="24" t="s">
        <v>33</v>
      </c>
      <c r="J3367" s="19" t="s">
        <v>53</v>
      </c>
      <c r="K3367" s="14">
        <v>6.0</v>
      </c>
      <c r="L3367" s="14">
        <v>0.0</v>
      </c>
      <c r="M3367" s="25"/>
      <c r="N3367" s="26" t="s">
        <v>21</v>
      </c>
      <c r="O3367" s="7"/>
      <c r="P3367" s="7"/>
      <c r="Q3367" s="7"/>
      <c r="R3367" s="7"/>
      <c r="S3367" s="7"/>
      <c r="T3367" s="7"/>
      <c r="U3367" s="7"/>
      <c r="V3367" s="7"/>
      <c r="W3367" s="7"/>
      <c r="X3367" s="7"/>
      <c r="Y3367" s="7"/>
    </row>
    <row r="3368">
      <c r="A3368" s="14" t="s">
        <v>12031</v>
      </c>
      <c r="B3368" s="17" t="s">
        <v>12028</v>
      </c>
      <c r="C3368" s="17" t="s">
        <v>12032</v>
      </c>
      <c r="D3368" s="19" t="s">
        <v>12033</v>
      </c>
      <c r="E3368" s="20" t="s">
        <v>53</v>
      </c>
      <c r="F3368" s="21">
        <v>38158.0</v>
      </c>
      <c r="G3368" s="14">
        <f t="shared" si="1"/>
        <v>22</v>
      </c>
      <c r="H3368" s="23" t="s">
        <v>100</v>
      </c>
      <c r="I3368" s="24" t="s">
        <v>33</v>
      </c>
      <c r="J3368" s="19" t="s">
        <v>53</v>
      </c>
      <c r="K3368" s="14">
        <v>6.0</v>
      </c>
      <c r="L3368" s="14">
        <v>0.0</v>
      </c>
      <c r="M3368" s="25"/>
      <c r="N3368" s="26" t="s">
        <v>21</v>
      </c>
      <c r="O3368" s="7"/>
      <c r="P3368" s="7"/>
      <c r="Q3368" s="7"/>
      <c r="R3368" s="7"/>
      <c r="S3368" s="7"/>
      <c r="T3368" s="7"/>
      <c r="U3368" s="7"/>
      <c r="V3368" s="7"/>
      <c r="W3368" s="7"/>
      <c r="X3368" s="7"/>
      <c r="Y3368" s="7"/>
    </row>
    <row r="3369">
      <c r="A3369" s="14" t="s">
        <v>12034</v>
      </c>
      <c r="B3369" s="17" t="s">
        <v>12028</v>
      </c>
      <c r="C3369" s="17" t="s">
        <v>12035</v>
      </c>
      <c r="D3369" s="19" t="s">
        <v>12036</v>
      </c>
      <c r="E3369" s="20" t="s">
        <v>53</v>
      </c>
      <c r="F3369" s="27">
        <v>28834.0</v>
      </c>
      <c r="G3369" s="14">
        <f t="shared" si="1"/>
        <v>47</v>
      </c>
      <c r="H3369" s="23" t="s">
        <v>26</v>
      </c>
      <c r="I3369" s="24" t="s">
        <v>33</v>
      </c>
      <c r="J3369" s="19" t="s">
        <v>53</v>
      </c>
      <c r="K3369" s="14">
        <v>6.0</v>
      </c>
      <c r="L3369" s="14">
        <v>0.0</v>
      </c>
      <c r="M3369" s="25"/>
      <c r="N3369" s="26" t="s">
        <v>21</v>
      </c>
      <c r="O3369" s="7"/>
      <c r="P3369" s="7"/>
      <c r="Q3369" s="7"/>
      <c r="R3369" s="7"/>
      <c r="S3369" s="7"/>
      <c r="T3369" s="7"/>
      <c r="U3369" s="7"/>
      <c r="V3369" s="7"/>
      <c r="W3369" s="7"/>
      <c r="X3369" s="7"/>
      <c r="Y3369" s="7"/>
    </row>
    <row r="3370">
      <c r="A3370" s="14" t="s">
        <v>12037</v>
      </c>
      <c r="B3370" s="17" t="s">
        <v>12028</v>
      </c>
      <c r="C3370" s="17" t="s">
        <v>12038</v>
      </c>
      <c r="D3370" s="19" t="s">
        <v>12039</v>
      </c>
      <c r="E3370" s="20" t="s">
        <v>53</v>
      </c>
      <c r="F3370" s="21">
        <v>31690.0</v>
      </c>
      <c r="G3370" s="14">
        <f t="shared" si="1"/>
        <v>40</v>
      </c>
      <c r="H3370" s="23" t="s">
        <v>26</v>
      </c>
      <c r="I3370" s="24" t="s">
        <v>27</v>
      </c>
      <c r="J3370" s="19" t="s">
        <v>53</v>
      </c>
      <c r="K3370" s="14">
        <v>6.0</v>
      </c>
      <c r="L3370" s="14">
        <v>0.0</v>
      </c>
      <c r="M3370" s="25"/>
      <c r="N3370" s="26" t="s">
        <v>21</v>
      </c>
      <c r="O3370" s="7"/>
      <c r="P3370" s="7"/>
      <c r="Q3370" s="7"/>
      <c r="R3370" s="7"/>
      <c r="S3370" s="7"/>
      <c r="T3370" s="7"/>
      <c r="U3370" s="7"/>
      <c r="V3370" s="7"/>
      <c r="W3370" s="7"/>
      <c r="X3370" s="7"/>
      <c r="Y3370" s="7"/>
    </row>
    <row r="3371">
      <c r="A3371" s="14" t="s">
        <v>12040</v>
      </c>
      <c r="B3371" s="17" t="s">
        <v>12041</v>
      </c>
      <c r="C3371" s="17" t="s">
        <v>12042</v>
      </c>
      <c r="D3371" s="19" t="s">
        <v>12043</v>
      </c>
      <c r="E3371" s="20" t="s">
        <v>3718</v>
      </c>
      <c r="F3371" s="27">
        <v>29547.0</v>
      </c>
      <c r="G3371" s="14">
        <f t="shared" si="1"/>
        <v>45</v>
      </c>
      <c r="H3371" s="23" t="s">
        <v>26</v>
      </c>
      <c r="I3371" s="24" t="s">
        <v>33</v>
      </c>
      <c r="J3371" s="19" t="s">
        <v>1437</v>
      </c>
      <c r="K3371" s="14">
        <v>28.0</v>
      </c>
      <c r="L3371" s="14">
        <v>0.0</v>
      </c>
      <c r="M3371" s="25"/>
      <c r="N3371" s="26" t="s">
        <v>21</v>
      </c>
      <c r="O3371" s="7"/>
      <c r="P3371" s="7"/>
      <c r="Q3371" s="7"/>
      <c r="R3371" s="7"/>
      <c r="S3371" s="7"/>
      <c r="T3371" s="7"/>
      <c r="U3371" s="7"/>
      <c r="V3371" s="7"/>
      <c r="W3371" s="7"/>
      <c r="X3371" s="7"/>
      <c r="Y3371" s="7"/>
    </row>
    <row r="3372">
      <c r="A3372" s="14" t="s">
        <v>12044</v>
      </c>
      <c r="B3372" s="17" t="s">
        <v>12041</v>
      </c>
      <c r="C3372" s="17" t="s">
        <v>12045</v>
      </c>
      <c r="D3372" s="19" t="s">
        <v>12046</v>
      </c>
      <c r="E3372" s="20" t="s">
        <v>1622</v>
      </c>
      <c r="F3372" s="21">
        <v>29822.0</v>
      </c>
      <c r="G3372" s="14">
        <f t="shared" si="1"/>
        <v>45</v>
      </c>
      <c r="H3372" s="23" t="s">
        <v>26</v>
      </c>
      <c r="I3372" s="24" t="s">
        <v>27</v>
      </c>
      <c r="J3372" s="19" t="s">
        <v>1437</v>
      </c>
      <c r="K3372" s="14">
        <v>28.0</v>
      </c>
      <c r="L3372" s="14">
        <v>0.0</v>
      </c>
      <c r="M3372" s="25"/>
      <c r="N3372" s="26" t="s">
        <v>21</v>
      </c>
      <c r="O3372" s="7"/>
      <c r="P3372" s="7"/>
      <c r="Q3372" s="7"/>
      <c r="R3372" s="7"/>
      <c r="S3372" s="7"/>
      <c r="T3372" s="7"/>
      <c r="U3372" s="7"/>
      <c r="V3372" s="7"/>
      <c r="W3372" s="7"/>
      <c r="X3372" s="7"/>
      <c r="Y3372" s="7"/>
    </row>
    <row r="3373">
      <c r="A3373" s="14" t="s">
        <v>12047</v>
      </c>
      <c r="B3373" s="17" t="s">
        <v>12048</v>
      </c>
      <c r="C3373" s="17" t="s">
        <v>12049</v>
      </c>
      <c r="D3373" s="19" t="s">
        <v>12050</v>
      </c>
      <c r="E3373" s="20" t="s">
        <v>210</v>
      </c>
      <c r="F3373" s="21">
        <v>34104.0</v>
      </c>
      <c r="G3373" s="14">
        <f t="shared" si="1"/>
        <v>33</v>
      </c>
      <c r="H3373" s="23" t="s">
        <v>26</v>
      </c>
      <c r="I3373" s="24" t="s">
        <v>27</v>
      </c>
      <c r="J3373" s="19" t="s">
        <v>7905</v>
      </c>
      <c r="K3373" s="14">
        <v>23.0</v>
      </c>
      <c r="L3373" s="14">
        <v>0.0</v>
      </c>
      <c r="M3373" s="25"/>
      <c r="N3373" s="26" t="s">
        <v>21</v>
      </c>
      <c r="O3373" s="7"/>
      <c r="P3373" s="7"/>
      <c r="Q3373" s="7"/>
      <c r="R3373" s="7"/>
      <c r="S3373" s="7"/>
      <c r="T3373" s="7"/>
      <c r="U3373" s="7"/>
      <c r="V3373" s="7"/>
      <c r="W3373" s="7"/>
      <c r="X3373" s="7"/>
      <c r="Y3373" s="7"/>
    </row>
    <row r="3374">
      <c r="A3374" s="14" t="s">
        <v>12051</v>
      </c>
      <c r="B3374" s="17" t="s">
        <v>12048</v>
      </c>
      <c r="C3374" s="17" t="s">
        <v>12052</v>
      </c>
      <c r="D3374" s="19" t="s">
        <v>12053</v>
      </c>
      <c r="E3374" s="20" t="s">
        <v>12054</v>
      </c>
      <c r="F3374" s="21">
        <v>33883.0</v>
      </c>
      <c r="G3374" s="14">
        <f t="shared" si="1"/>
        <v>34</v>
      </c>
      <c r="H3374" s="23" t="s">
        <v>26</v>
      </c>
      <c r="I3374" s="24" t="s">
        <v>33</v>
      </c>
      <c r="J3374" s="19" t="s">
        <v>7905</v>
      </c>
      <c r="K3374" s="14">
        <v>23.0</v>
      </c>
      <c r="L3374" s="14">
        <v>0.0</v>
      </c>
      <c r="M3374" s="25"/>
      <c r="N3374" s="26" t="s">
        <v>21</v>
      </c>
      <c r="O3374" s="7"/>
      <c r="P3374" s="7"/>
      <c r="Q3374" s="7"/>
      <c r="R3374" s="7"/>
      <c r="S3374" s="7"/>
      <c r="T3374" s="7"/>
      <c r="U3374" s="7"/>
      <c r="V3374" s="7"/>
      <c r="W3374" s="7"/>
      <c r="X3374" s="7"/>
      <c r="Y3374" s="7"/>
    </row>
    <row r="3375">
      <c r="A3375" s="14" t="s">
        <v>12055</v>
      </c>
      <c r="B3375" s="17" t="s">
        <v>12056</v>
      </c>
      <c r="C3375" s="17" t="s">
        <v>12057</v>
      </c>
      <c r="D3375" s="19" t="s">
        <v>12058</v>
      </c>
      <c r="E3375" s="20" t="s">
        <v>12059</v>
      </c>
      <c r="F3375" s="21">
        <v>33429.0</v>
      </c>
      <c r="G3375" s="14">
        <f t="shared" si="1"/>
        <v>35</v>
      </c>
      <c r="H3375" s="23" t="s">
        <v>26</v>
      </c>
      <c r="I3375" s="24" t="s">
        <v>33</v>
      </c>
      <c r="J3375" s="19" t="s">
        <v>257</v>
      </c>
      <c r="K3375" s="14">
        <v>11.0</v>
      </c>
      <c r="L3375" s="14">
        <v>5.0</v>
      </c>
      <c r="M3375" s="25"/>
      <c r="N3375" s="26" t="s">
        <v>21</v>
      </c>
      <c r="O3375" s="7"/>
      <c r="P3375" s="7"/>
      <c r="Q3375" s="7"/>
      <c r="R3375" s="7"/>
      <c r="S3375" s="7"/>
      <c r="T3375" s="7"/>
      <c r="U3375" s="7"/>
      <c r="V3375" s="7"/>
      <c r="W3375" s="7"/>
      <c r="X3375" s="7"/>
      <c r="Y3375" s="7"/>
    </row>
    <row r="3376">
      <c r="A3376" s="14" t="s">
        <v>12060</v>
      </c>
      <c r="B3376" s="17" t="s">
        <v>12056</v>
      </c>
      <c r="C3376" s="17" t="s">
        <v>12061</v>
      </c>
      <c r="D3376" s="19" t="s">
        <v>103</v>
      </c>
      <c r="E3376" s="20" t="s">
        <v>104</v>
      </c>
      <c r="F3376" s="21">
        <v>35315.0</v>
      </c>
      <c r="G3376" s="14">
        <f t="shared" si="1"/>
        <v>30</v>
      </c>
      <c r="H3376" s="23" t="s">
        <v>26</v>
      </c>
      <c r="I3376" s="24" t="s">
        <v>27</v>
      </c>
      <c r="J3376" s="19" t="s">
        <v>257</v>
      </c>
      <c r="K3376" s="14">
        <v>11.0</v>
      </c>
      <c r="L3376" s="14">
        <v>5.0</v>
      </c>
      <c r="M3376" s="25"/>
      <c r="N3376" s="26" t="s">
        <v>21</v>
      </c>
      <c r="O3376" s="7"/>
      <c r="P3376" s="7"/>
      <c r="Q3376" s="7"/>
      <c r="R3376" s="7"/>
      <c r="S3376" s="7"/>
      <c r="T3376" s="7"/>
      <c r="U3376" s="7"/>
      <c r="V3376" s="7"/>
      <c r="W3376" s="7"/>
      <c r="X3376" s="7"/>
      <c r="Y3376" s="7"/>
    </row>
    <row r="3377">
      <c r="A3377" s="14" t="s">
        <v>12062</v>
      </c>
      <c r="B3377" s="17" t="s">
        <v>12063</v>
      </c>
      <c r="C3377" s="17" t="s">
        <v>12064</v>
      </c>
      <c r="D3377" s="19" t="s">
        <v>12065</v>
      </c>
      <c r="E3377" s="20" t="s">
        <v>650</v>
      </c>
      <c r="F3377" s="21">
        <v>23924.0</v>
      </c>
      <c r="G3377" s="14">
        <f t="shared" si="1"/>
        <v>61</v>
      </c>
      <c r="H3377" s="23" t="s">
        <v>26</v>
      </c>
      <c r="I3377" s="24" t="s">
        <v>27</v>
      </c>
      <c r="J3377" s="19" t="s">
        <v>328</v>
      </c>
      <c r="K3377" s="14">
        <v>20.0</v>
      </c>
      <c r="L3377" s="14">
        <v>0.0</v>
      </c>
      <c r="M3377" s="25"/>
      <c r="N3377" s="26" t="s">
        <v>21</v>
      </c>
      <c r="O3377" s="7"/>
      <c r="P3377" s="7"/>
      <c r="Q3377" s="7"/>
      <c r="R3377" s="7"/>
      <c r="S3377" s="7"/>
      <c r="T3377" s="7"/>
      <c r="U3377" s="7"/>
      <c r="V3377" s="7"/>
      <c r="W3377" s="7"/>
      <c r="X3377" s="7"/>
      <c r="Y3377" s="7"/>
    </row>
    <row r="3378">
      <c r="A3378" s="14" t="s">
        <v>12066</v>
      </c>
      <c r="B3378" s="17" t="s">
        <v>12063</v>
      </c>
      <c r="C3378" s="17" t="s">
        <v>12067</v>
      </c>
      <c r="D3378" s="19" t="s">
        <v>6943</v>
      </c>
      <c r="E3378" s="20" t="s">
        <v>650</v>
      </c>
      <c r="F3378" s="21">
        <v>22098.0</v>
      </c>
      <c r="G3378" s="14">
        <f t="shared" si="1"/>
        <v>66</v>
      </c>
      <c r="H3378" s="23" t="s">
        <v>26</v>
      </c>
      <c r="I3378" s="24" t="s">
        <v>33</v>
      </c>
      <c r="J3378" s="19" t="s">
        <v>328</v>
      </c>
      <c r="K3378" s="14">
        <v>20.0</v>
      </c>
      <c r="L3378" s="14">
        <v>0.0</v>
      </c>
      <c r="M3378" s="25"/>
      <c r="N3378" s="26" t="s">
        <v>21</v>
      </c>
      <c r="O3378" s="7"/>
      <c r="P3378" s="7"/>
      <c r="Q3378" s="7"/>
      <c r="R3378" s="7"/>
      <c r="S3378" s="7"/>
      <c r="T3378" s="7"/>
      <c r="U3378" s="7"/>
      <c r="V3378" s="7"/>
      <c r="W3378" s="7"/>
      <c r="X3378" s="7"/>
      <c r="Y3378" s="7"/>
    </row>
    <row r="3379">
      <c r="A3379" s="14" t="s">
        <v>12068</v>
      </c>
      <c r="B3379" s="17" t="s">
        <v>12069</v>
      </c>
      <c r="C3379" s="17" t="s">
        <v>12070</v>
      </c>
      <c r="D3379" s="19" t="s">
        <v>12071</v>
      </c>
      <c r="E3379" s="20" t="s">
        <v>12072</v>
      </c>
      <c r="F3379" s="27">
        <v>17090.0</v>
      </c>
      <c r="G3379" s="14">
        <f t="shared" si="1"/>
        <v>80</v>
      </c>
      <c r="H3379" s="23" t="s">
        <v>26</v>
      </c>
      <c r="I3379" s="24" t="s">
        <v>33</v>
      </c>
      <c r="J3379" s="19" t="s">
        <v>282</v>
      </c>
      <c r="K3379" s="14">
        <v>18.0</v>
      </c>
      <c r="L3379" s="14">
        <v>0.0</v>
      </c>
      <c r="M3379" s="25"/>
      <c r="N3379" s="26" t="s">
        <v>21</v>
      </c>
      <c r="O3379" s="7"/>
      <c r="P3379" s="7"/>
      <c r="Q3379" s="7"/>
      <c r="R3379" s="7"/>
      <c r="S3379" s="7"/>
      <c r="T3379" s="7"/>
      <c r="U3379" s="7"/>
      <c r="V3379" s="7"/>
      <c r="W3379" s="7"/>
      <c r="X3379" s="7"/>
      <c r="Y3379" s="7"/>
    </row>
    <row r="3380">
      <c r="A3380" s="14" t="s">
        <v>12073</v>
      </c>
      <c r="B3380" s="17" t="s">
        <v>12069</v>
      </c>
      <c r="C3380" s="17" t="s">
        <v>12074</v>
      </c>
      <c r="D3380" s="19" t="s">
        <v>12075</v>
      </c>
      <c r="E3380" s="20" t="s">
        <v>8861</v>
      </c>
      <c r="F3380" s="21">
        <v>26462.0</v>
      </c>
      <c r="G3380" s="14">
        <f t="shared" si="1"/>
        <v>54</v>
      </c>
      <c r="H3380" s="23" t="s">
        <v>100</v>
      </c>
      <c r="I3380" s="24" t="s">
        <v>33</v>
      </c>
      <c r="J3380" s="19" t="s">
        <v>282</v>
      </c>
      <c r="K3380" s="14">
        <v>18.0</v>
      </c>
      <c r="L3380" s="14">
        <v>0.0</v>
      </c>
      <c r="M3380" s="25"/>
      <c r="N3380" s="26" t="s">
        <v>21</v>
      </c>
      <c r="O3380" s="7"/>
      <c r="P3380" s="7"/>
      <c r="Q3380" s="7"/>
      <c r="R3380" s="7"/>
      <c r="S3380" s="7"/>
      <c r="T3380" s="7"/>
      <c r="U3380" s="7"/>
      <c r="V3380" s="7"/>
      <c r="W3380" s="7"/>
      <c r="X3380" s="7"/>
      <c r="Y3380" s="7"/>
    </row>
    <row r="3381">
      <c r="A3381" s="14" t="s">
        <v>12076</v>
      </c>
      <c r="B3381" s="17" t="s">
        <v>12069</v>
      </c>
      <c r="C3381" s="17" t="s">
        <v>12077</v>
      </c>
      <c r="D3381" s="19" t="s">
        <v>12078</v>
      </c>
      <c r="E3381" s="20" t="s">
        <v>2689</v>
      </c>
      <c r="F3381" s="27">
        <v>20382.0</v>
      </c>
      <c r="G3381" s="14">
        <f t="shared" si="1"/>
        <v>71</v>
      </c>
      <c r="H3381" s="23" t="s">
        <v>26</v>
      </c>
      <c r="I3381" s="24" t="s">
        <v>27</v>
      </c>
      <c r="J3381" s="19" t="s">
        <v>282</v>
      </c>
      <c r="K3381" s="14">
        <v>18.0</v>
      </c>
      <c r="L3381" s="14">
        <v>0.0</v>
      </c>
      <c r="M3381" s="25"/>
      <c r="N3381" s="26" t="s">
        <v>21</v>
      </c>
      <c r="O3381" s="7"/>
      <c r="P3381" s="7"/>
      <c r="Q3381" s="7"/>
      <c r="R3381" s="7"/>
      <c r="S3381" s="7"/>
      <c r="T3381" s="7"/>
      <c r="U3381" s="7"/>
      <c r="V3381" s="7"/>
      <c r="W3381" s="7"/>
      <c r="X3381" s="7"/>
      <c r="Y3381" s="7"/>
    </row>
    <row r="3382">
      <c r="A3382" s="14" t="s">
        <v>12079</v>
      </c>
      <c r="B3382" s="17" t="s">
        <v>12080</v>
      </c>
      <c r="C3382" s="17" t="s">
        <v>12081</v>
      </c>
      <c r="D3382" s="19" t="s">
        <v>12082</v>
      </c>
      <c r="E3382" s="20" t="s">
        <v>53</v>
      </c>
      <c r="F3382" s="21">
        <v>35533.0</v>
      </c>
      <c r="G3382" s="14">
        <f t="shared" si="1"/>
        <v>29</v>
      </c>
      <c r="H3382" s="23" t="s">
        <v>26</v>
      </c>
      <c r="I3382" s="24" t="s">
        <v>27</v>
      </c>
      <c r="J3382" s="19" t="s">
        <v>146</v>
      </c>
      <c r="K3382" s="14">
        <v>2.0</v>
      </c>
      <c r="L3382" s="14">
        <v>0.0</v>
      </c>
      <c r="M3382" s="25"/>
      <c r="N3382" s="26" t="s">
        <v>21</v>
      </c>
      <c r="O3382" s="7"/>
      <c r="P3382" s="7"/>
      <c r="Q3382" s="7"/>
      <c r="R3382" s="7"/>
      <c r="S3382" s="7"/>
      <c r="T3382" s="7"/>
      <c r="U3382" s="7"/>
      <c r="V3382" s="7"/>
      <c r="W3382" s="7"/>
      <c r="X3382" s="7"/>
      <c r="Y3382" s="7"/>
    </row>
    <row r="3383">
      <c r="A3383" s="14" t="s">
        <v>12083</v>
      </c>
      <c r="B3383" s="17" t="s">
        <v>12080</v>
      </c>
      <c r="C3383" s="17" t="s">
        <v>12084</v>
      </c>
      <c r="D3383" s="19" t="s">
        <v>7016</v>
      </c>
      <c r="E3383" s="20" t="s">
        <v>480</v>
      </c>
      <c r="F3383" s="21">
        <v>35252.0</v>
      </c>
      <c r="G3383" s="14">
        <f t="shared" si="1"/>
        <v>30</v>
      </c>
      <c r="H3383" s="23" t="s">
        <v>26</v>
      </c>
      <c r="I3383" s="24" t="s">
        <v>33</v>
      </c>
      <c r="J3383" s="19" t="s">
        <v>146</v>
      </c>
      <c r="K3383" s="14">
        <v>2.0</v>
      </c>
      <c r="L3383" s="14">
        <v>0.0</v>
      </c>
      <c r="M3383" s="25"/>
      <c r="N3383" s="26" t="s">
        <v>21</v>
      </c>
      <c r="O3383" s="7"/>
      <c r="P3383" s="7"/>
      <c r="Q3383" s="7"/>
      <c r="R3383" s="7"/>
      <c r="S3383" s="7"/>
      <c r="T3383" s="7"/>
      <c r="U3383" s="7"/>
      <c r="V3383" s="7"/>
      <c r="W3383" s="7"/>
      <c r="X3383" s="7"/>
      <c r="Y3383" s="7"/>
    </row>
    <row r="3384">
      <c r="A3384" s="14" t="s">
        <v>12085</v>
      </c>
      <c r="B3384" s="17" t="s">
        <v>12086</v>
      </c>
      <c r="C3384" s="17" t="s">
        <v>12087</v>
      </c>
      <c r="D3384" s="19" t="s">
        <v>1053</v>
      </c>
      <c r="E3384" s="20" t="s">
        <v>434</v>
      </c>
      <c r="F3384" s="21">
        <v>25103.0</v>
      </c>
      <c r="G3384" s="14">
        <f t="shared" si="1"/>
        <v>58</v>
      </c>
      <c r="H3384" s="23" t="s">
        <v>27</v>
      </c>
      <c r="I3384" s="24" t="s">
        <v>27</v>
      </c>
      <c r="J3384" s="19" t="s">
        <v>146</v>
      </c>
      <c r="K3384" s="14">
        <v>3.0</v>
      </c>
      <c r="L3384" s="14">
        <v>0.0</v>
      </c>
      <c r="M3384" s="25"/>
      <c r="N3384" s="26" t="s">
        <v>21</v>
      </c>
      <c r="O3384" s="7"/>
      <c r="P3384" s="7"/>
      <c r="Q3384" s="7"/>
      <c r="R3384" s="7"/>
      <c r="S3384" s="7"/>
      <c r="T3384" s="7"/>
      <c r="U3384" s="7"/>
      <c r="V3384" s="7"/>
      <c r="W3384" s="7"/>
      <c r="X3384" s="7"/>
      <c r="Y3384" s="7"/>
    </row>
    <row r="3385">
      <c r="A3385" s="14" t="s">
        <v>12088</v>
      </c>
      <c r="B3385" s="17" t="s">
        <v>12089</v>
      </c>
      <c r="C3385" s="17" t="s">
        <v>12090</v>
      </c>
      <c r="D3385" s="19" t="s">
        <v>5916</v>
      </c>
      <c r="E3385" s="20" t="s">
        <v>434</v>
      </c>
      <c r="F3385" s="21">
        <v>18037.0</v>
      </c>
      <c r="G3385" s="14">
        <f t="shared" si="1"/>
        <v>77</v>
      </c>
      <c r="H3385" s="23" t="s">
        <v>26</v>
      </c>
      <c r="I3385" s="24" t="s">
        <v>27</v>
      </c>
      <c r="J3385" s="19" t="s">
        <v>146</v>
      </c>
      <c r="K3385" s="14">
        <v>2.0</v>
      </c>
      <c r="L3385" s="14">
        <v>5.0</v>
      </c>
      <c r="M3385" s="25"/>
      <c r="N3385" s="26" t="s">
        <v>21</v>
      </c>
      <c r="O3385" s="7"/>
      <c r="P3385" s="7"/>
      <c r="Q3385" s="7"/>
      <c r="R3385" s="7"/>
      <c r="S3385" s="7"/>
      <c r="T3385" s="7"/>
      <c r="U3385" s="7"/>
      <c r="V3385" s="7"/>
      <c r="W3385" s="7"/>
      <c r="X3385" s="7"/>
      <c r="Y3385" s="7"/>
    </row>
    <row r="3386">
      <c r="A3386" s="14" t="s">
        <v>12091</v>
      </c>
      <c r="B3386" s="17" t="s">
        <v>12092</v>
      </c>
      <c r="C3386" s="17" t="s">
        <v>12093</v>
      </c>
      <c r="D3386" s="19" t="s">
        <v>12094</v>
      </c>
      <c r="E3386" s="20" t="s">
        <v>104</v>
      </c>
      <c r="F3386" s="21">
        <v>36591.0</v>
      </c>
      <c r="G3386" s="14">
        <f t="shared" si="1"/>
        <v>26</v>
      </c>
      <c r="H3386" s="23" t="s">
        <v>100</v>
      </c>
      <c r="I3386" s="24" t="s">
        <v>33</v>
      </c>
      <c r="J3386" s="19" t="s">
        <v>783</v>
      </c>
      <c r="K3386" s="14">
        <v>26.0</v>
      </c>
      <c r="L3386" s="14">
        <v>0.0</v>
      </c>
      <c r="M3386" s="25"/>
      <c r="N3386" s="26" t="s">
        <v>21</v>
      </c>
      <c r="O3386" s="7"/>
      <c r="P3386" s="7"/>
      <c r="Q3386" s="7"/>
      <c r="R3386" s="7"/>
      <c r="S3386" s="7"/>
      <c r="T3386" s="7"/>
      <c r="U3386" s="7"/>
      <c r="V3386" s="7"/>
      <c r="W3386" s="7"/>
      <c r="X3386" s="7"/>
      <c r="Y3386" s="7"/>
    </row>
    <row r="3387">
      <c r="A3387" s="14" t="s">
        <v>12095</v>
      </c>
      <c r="B3387" s="17" t="s">
        <v>12092</v>
      </c>
      <c r="C3387" s="17" t="s">
        <v>12096</v>
      </c>
      <c r="D3387" s="19" t="s">
        <v>4730</v>
      </c>
      <c r="E3387" s="20" t="s">
        <v>880</v>
      </c>
      <c r="F3387" s="21">
        <v>25025.0</v>
      </c>
      <c r="G3387" s="14">
        <f t="shared" si="1"/>
        <v>58</v>
      </c>
      <c r="H3387" s="23" t="s">
        <v>26</v>
      </c>
      <c r="I3387" s="24" t="s">
        <v>27</v>
      </c>
      <c r="J3387" s="19" t="s">
        <v>783</v>
      </c>
      <c r="K3387" s="14">
        <v>26.0</v>
      </c>
      <c r="L3387" s="14">
        <v>0.0</v>
      </c>
      <c r="M3387" s="25"/>
      <c r="N3387" s="26" t="s">
        <v>21</v>
      </c>
      <c r="O3387" s="7"/>
      <c r="P3387" s="7"/>
      <c r="Q3387" s="7"/>
      <c r="R3387" s="7"/>
      <c r="S3387" s="7"/>
      <c r="T3387" s="7"/>
      <c r="U3387" s="7"/>
      <c r="V3387" s="7"/>
      <c r="W3387" s="7"/>
      <c r="X3387" s="7"/>
      <c r="Y3387" s="7"/>
    </row>
    <row r="3388">
      <c r="A3388" s="14" t="s">
        <v>12097</v>
      </c>
      <c r="B3388" s="17" t="s">
        <v>12098</v>
      </c>
      <c r="C3388" s="17" t="s">
        <v>12099</v>
      </c>
      <c r="D3388" s="19" t="s">
        <v>12100</v>
      </c>
      <c r="E3388" s="20" t="s">
        <v>650</v>
      </c>
      <c r="F3388" s="21">
        <v>19504.0</v>
      </c>
      <c r="G3388" s="14">
        <f t="shared" si="1"/>
        <v>73</v>
      </c>
      <c r="H3388" s="23" t="s">
        <v>27</v>
      </c>
      <c r="I3388" s="24" t="s">
        <v>27</v>
      </c>
      <c r="J3388" s="19" t="s">
        <v>328</v>
      </c>
      <c r="K3388" s="14">
        <v>26.0</v>
      </c>
      <c r="L3388" s="14">
        <v>0.0</v>
      </c>
      <c r="M3388" s="25"/>
      <c r="N3388" s="26" t="s">
        <v>21</v>
      </c>
      <c r="O3388" s="7"/>
      <c r="P3388" s="7"/>
      <c r="Q3388" s="7"/>
      <c r="R3388" s="7"/>
      <c r="S3388" s="7"/>
      <c r="T3388" s="7"/>
      <c r="U3388" s="7"/>
      <c r="V3388" s="7"/>
      <c r="W3388" s="7"/>
      <c r="X3388" s="7"/>
      <c r="Y3388" s="7"/>
    </row>
    <row r="3389">
      <c r="A3389" s="14" t="s">
        <v>12101</v>
      </c>
      <c r="B3389" s="17" t="s">
        <v>12098</v>
      </c>
      <c r="C3389" s="17" t="s">
        <v>12102</v>
      </c>
      <c r="D3389" s="19" t="s">
        <v>12103</v>
      </c>
      <c r="E3389" s="20" t="s">
        <v>650</v>
      </c>
      <c r="F3389" s="21">
        <v>20101.0</v>
      </c>
      <c r="G3389" s="14">
        <f t="shared" si="1"/>
        <v>71</v>
      </c>
      <c r="H3389" s="23" t="s">
        <v>26</v>
      </c>
      <c r="I3389" s="24" t="s">
        <v>33</v>
      </c>
      <c r="J3389" s="19" t="s">
        <v>328</v>
      </c>
      <c r="K3389" s="14">
        <v>26.0</v>
      </c>
      <c r="L3389" s="14">
        <v>0.0</v>
      </c>
      <c r="M3389" s="25"/>
      <c r="N3389" s="26" t="s">
        <v>21</v>
      </c>
      <c r="O3389" s="7"/>
      <c r="P3389" s="7"/>
      <c r="Q3389" s="7"/>
      <c r="R3389" s="7"/>
      <c r="S3389" s="7"/>
      <c r="T3389" s="7"/>
      <c r="U3389" s="7"/>
      <c r="V3389" s="7"/>
      <c r="W3389" s="7"/>
      <c r="X3389" s="7"/>
      <c r="Y3389" s="7"/>
    </row>
    <row r="3390">
      <c r="A3390" s="14" t="s">
        <v>12104</v>
      </c>
      <c r="B3390" s="17" t="s">
        <v>12098</v>
      </c>
      <c r="C3390" s="17" t="s">
        <v>12105</v>
      </c>
      <c r="D3390" s="19" t="s">
        <v>12106</v>
      </c>
      <c r="E3390" s="20" t="s">
        <v>650</v>
      </c>
      <c r="F3390" s="21">
        <v>22586.0</v>
      </c>
      <c r="G3390" s="14">
        <f t="shared" si="1"/>
        <v>64</v>
      </c>
      <c r="H3390" s="23" t="s">
        <v>26</v>
      </c>
      <c r="I3390" s="24" t="s">
        <v>27</v>
      </c>
      <c r="J3390" s="19" t="s">
        <v>328</v>
      </c>
      <c r="K3390" s="14">
        <v>26.0</v>
      </c>
      <c r="L3390" s="14">
        <v>0.0</v>
      </c>
      <c r="M3390" s="25"/>
      <c r="N3390" s="26" t="s">
        <v>21</v>
      </c>
      <c r="O3390" s="7"/>
      <c r="P3390" s="7"/>
      <c r="Q3390" s="7"/>
      <c r="R3390" s="7"/>
      <c r="S3390" s="7"/>
      <c r="T3390" s="7"/>
      <c r="U3390" s="7"/>
      <c r="V3390" s="7"/>
      <c r="W3390" s="7"/>
      <c r="X3390" s="7"/>
      <c r="Y3390" s="7"/>
    </row>
    <row r="3391">
      <c r="A3391" s="14" t="s">
        <v>12107</v>
      </c>
      <c r="B3391" s="17" t="s">
        <v>12108</v>
      </c>
      <c r="C3391" s="17" t="s">
        <v>12109</v>
      </c>
      <c r="D3391" s="19" t="s">
        <v>636</v>
      </c>
      <c r="E3391" s="20" t="s">
        <v>104</v>
      </c>
      <c r="F3391" s="27">
        <v>31393.0</v>
      </c>
      <c r="G3391" s="14">
        <f t="shared" si="1"/>
        <v>40</v>
      </c>
      <c r="H3391" s="23" t="s">
        <v>26</v>
      </c>
      <c r="I3391" s="24" t="s">
        <v>33</v>
      </c>
      <c r="J3391" s="19" t="s">
        <v>989</v>
      </c>
      <c r="K3391" s="14">
        <v>26.0</v>
      </c>
      <c r="L3391" s="14">
        <v>0.0</v>
      </c>
      <c r="M3391" s="25"/>
      <c r="N3391" s="26" t="s">
        <v>21</v>
      </c>
      <c r="O3391" s="7"/>
      <c r="P3391" s="7"/>
      <c r="Q3391" s="7"/>
      <c r="R3391" s="7"/>
      <c r="S3391" s="7"/>
      <c r="T3391" s="7"/>
      <c r="U3391" s="7"/>
      <c r="V3391" s="7"/>
      <c r="W3391" s="7"/>
      <c r="X3391" s="7"/>
      <c r="Y3391" s="7"/>
    </row>
    <row r="3392">
      <c r="A3392" s="14" t="s">
        <v>12110</v>
      </c>
      <c r="B3392" s="17" t="s">
        <v>12108</v>
      </c>
      <c r="C3392" s="17" t="s">
        <v>12111</v>
      </c>
      <c r="D3392" s="19" t="s">
        <v>12112</v>
      </c>
      <c r="E3392" s="20" t="s">
        <v>104</v>
      </c>
      <c r="F3392" s="21">
        <v>32706.0</v>
      </c>
      <c r="G3392" s="14">
        <f t="shared" si="1"/>
        <v>37</v>
      </c>
      <c r="H3392" s="23" t="s">
        <v>26</v>
      </c>
      <c r="I3392" s="24" t="s">
        <v>27</v>
      </c>
      <c r="J3392" s="19" t="s">
        <v>989</v>
      </c>
      <c r="K3392" s="14">
        <v>26.0</v>
      </c>
      <c r="L3392" s="14">
        <v>0.0</v>
      </c>
      <c r="M3392" s="25"/>
      <c r="N3392" s="26" t="s">
        <v>21</v>
      </c>
      <c r="O3392" s="7"/>
      <c r="P3392" s="7"/>
      <c r="Q3392" s="7"/>
      <c r="R3392" s="7"/>
      <c r="S3392" s="7"/>
      <c r="T3392" s="7"/>
      <c r="U3392" s="7"/>
      <c r="V3392" s="7"/>
      <c r="W3392" s="7"/>
      <c r="X3392" s="7"/>
      <c r="Y3392" s="7"/>
    </row>
    <row r="3393">
      <c r="A3393" s="14" t="s">
        <v>12113</v>
      </c>
      <c r="B3393" s="17" t="s">
        <v>12114</v>
      </c>
      <c r="C3393" s="17" t="s">
        <v>12115</v>
      </c>
      <c r="D3393" s="19" t="s">
        <v>12116</v>
      </c>
      <c r="E3393" s="20" t="s">
        <v>3263</v>
      </c>
      <c r="F3393" s="21">
        <v>18367.0</v>
      </c>
      <c r="G3393" s="14">
        <f t="shared" si="1"/>
        <v>76</v>
      </c>
      <c r="H3393" s="23" t="s">
        <v>26</v>
      </c>
      <c r="I3393" s="24" t="s">
        <v>33</v>
      </c>
      <c r="J3393" s="19" t="s">
        <v>328</v>
      </c>
      <c r="K3393" s="14">
        <v>26.0</v>
      </c>
      <c r="L3393" s="14">
        <v>0.0</v>
      </c>
      <c r="M3393" s="25"/>
      <c r="N3393" s="26" t="s">
        <v>21</v>
      </c>
      <c r="O3393" s="7"/>
      <c r="P3393" s="7"/>
      <c r="Q3393" s="7"/>
      <c r="R3393" s="7"/>
      <c r="S3393" s="7"/>
      <c r="T3393" s="7"/>
      <c r="U3393" s="7"/>
      <c r="V3393" s="7"/>
      <c r="W3393" s="7"/>
      <c r="X3393" s="7"/>
      <c r="Y3393" s="7"/>
    </row>
    <row r="3394">
      <c r="A3394" s="14" t="s">
        <v>12117</v>
      </c>
      <c r="B3394" s="17" t="s">
        <v>12114</v>
      </c>
      <c r="C3394" s="17" t="s">
        <v>12118</v>
      </c>
      <c r="D3394" s="19" t="s">
        <v>12119</v>
      </c>
      <c r="E3394" s="20" t="s">
        <v>3263</v>
      </c>
      <c r="F3394" s="27">
        <v>20075.0</v>
      </c>
      <c r="G3394" s="14">
        <f t="shared" si="1"/>
        <v>71</v>
      </c>
      <c r="H3394" s="23" t="s">
        <v>26</v>
      </c>
      <c r="I3394" s="24" t="s">
        <v>27</v>
      </c>
      <c r="J3394" s="19" t="s">
        <v>328</v>
      </c>
      <c r="K3394" s="14">
        <v>26.0</v>
      </c>
      <c r="L3394" s="14">
        <v>0.0</v>
      </c>
      <c r="M3394" s="25"/>
      <c r="N3394" s="26" t="s">
        <v>21</v>
      </c>
      <c r="O3394" s="7"/>
      <c r="P3394" s="7"/>
      <c r="Q3394" s="7"/>
      <c r="R3394" s="7"/>
      <c r="S3394" s="7"/>
      <c r="T3394" s="7"/>
      <c r="U3394" s="7"/>
      <c r="V3394" s="7"/>
      <c r="W3394" s="7"/>
      <c r="X3394" s="7"/>
      <c r="Y3394" s="7"/>
    </row>
    <row r="3395">
      <c r="A3395" s="14" t="s">
        <v>12120</v>
      </c>
      <c r="B3395" s="17" t="s">
        <v>12121</v>
      </c>
      <c r="C3395" s="17" t="s">
        <v>12122</v>
      </c>
      <c r="D3395" s="19" t="s">
        <v>12123</v>
      </c>
      <c r="E3395" s="20" t="s">
        <v>53</v>
      </c>
      <c r="F3395" s="21">
        <v>39219.0</v>
      </c>
      <c r="G3395" s="14">
        <f t="shared" si="1"/>
        <v>19</v>
      </c>
      <c r="H3395" s="23" t="s">
        <v>100</v>
      </c>
      <c r="I3395" s="24" t="s">
        <v>33</v>
      </c>
      <c r="J3395" s="19" t="s">
        <v>362</v>
      </c>
      <c r="K3395" s="14">
        <v>26.0</v>
      </c>
      <c r="L3395" s="14">
        <v>0.0</v>
      </c>
      <c r="M3395" s="25"/>
      <c r="N3395" s="26" t="s">
        <v>21</v>
      </c>
      <c r="O3395" s="7"/>
      <c r="P3395" s="7"/>
      <c r="Q3395" s="7"/>
      <c r="R3395" s="7"/>
      <c r="S3395" s="7"/>
      <c r="T3395" s="7"/>
      <c r="U3395" s="7"/>
      <c r="V3395" s="7"/>
      <c r="W3395" s="7"/>
      <c r="X3395" s="7"/>
      <c r="Y3395" s="7"/>
    </row>
    <row r="3396">
      <c r="A3396" s="14" t="s">
        <v>12124</v>
      </c>
      <c r="B3396" s="17" t="s">
        <v>12121</v>
      </c>
      <c r="C3396" s="17" t="s">
        <v>12125</v>
      </c>
      <c r="D3396" s="19" t="s">
        <v>12126</v>
      </c>
      <c r="E3396" s="20" t="s">
        <v>1128</v>
      </c>
      <c r="F3396" s="21">
        <v>29441.0</v>
      </c>
      <c r="G3396" s="14">
        <f t="shared" si="1"/>
        <v>46</v>
      </c>
      <c r="H3396" s="23" t="s">
        <v>26</v>
      </c>
      <c r="I3396" s="24" t="s">
        <v>27</v>
      </c>
      <c r="J3396" s="19" t="s">
        <v>362</v>
      </c>
      <c r="K3396" s="14">
        <v>26.0</v>
      </c>
      <c r="L3396" s="14">
        <v>0.0</v>
      </c>
      <c r="M3396" s="25"/>
      <c r="N3396" s="26" t="s">
        <v>21</v>
      </c>
      <c r="O3396" s="7"/>
      <c r="P3396" s="7"/>
      <c r="Q3396" s="7"/>
      <c r="R3396" s="7"/>
      <c r="S3396" s="7"/>
      <c r="T3396" s="7"/>
      <c r="U3396" s="7"/>
      <c r="V3396" s="7"/>
      <c r="W3396" s="7"/>
      <c r="X3396" s="7"/>
      <c r="Y3396" s="7"/>
    </row>
    <row r="3397">
      <c r="A3397" s="14" t="s">
        <v>12127</v>
      </c>
      <c r="B3397" s="17" t="s">
        <v>12121</v>
      </c>
      <c r="C3397" s="17" t="s">
        <v>12128</v>
      </c>
      <c r="D3397" s="19" t="s">
        <v>12129</v>
      </c>
      <c r="E3397" s="20" t="s">
        <v>53</v>
      </c>
      <c r="F3397" s="21">
        <v>28531.0</v>
      </c>
      <c r="G3397" s="14">
        <f t="shared" si="1"/>
        <v>48</v>
      </c>
      <c r="H3397" s="23" t="s">
        <v>26</v>
      </c>
      <c r="I3397" s="24" t="s">
        <v>33</v>
      </c>
      <c r="J3397" s="19" t="s">
        <v>362</v>
      </c>
      <c r="K3397" s="14">
        <v>26.0</v>
      </c>
      <c r="L3397" s="14">
        <v>0.0</v>
      </c>
      <c r="M3397" s="25"/>
      <c r="N3397" s="26" t="s">
        <v>21</v>
      </c>
      <c r="O3397" s="7"/>
      <c r="P3397" s="7"/>
      <c r="Q3397" s="7"/>
      <c r="R3397" s="7"/>
      <c r="S3397" s="7"/>
      <c r="T3397" s="7"/>
      <c r="U3397" s="7"/>
      <c r="V3397" s="7"/>
      <c r="W3397" s="7"/>
      <c r="X3397" s="7"/>
      <c r="Y3397" s="7"/>
    </row>
    <row r="3398">
      <c r="A3398" s="14" t="s">
        <v>12130</v>
      </c>
      <c r="B3398" s="17" t="s">
        <v>12131</v>
      </c>
      <c r="C3398" s="17" t="s">
        <v>12132</v>
      </c>
      <c r="D3398" s="19" t="s">
        <v>4129</v>
      </c>
      <c r="E3398" s="20" t="s">
        <v>104</v>
      </c>
      <c r="F3398" s="21">
        <v>37928.0</v>
      </c>
      <c r="G3398" s="14">
        <f t="shared" si="1"/>
        <v>22</v>
      </c>
      <c r="H3398" s="23" t="s">
        <v>26</v>
      </c>
      <c r="I3398" s="24" t="s">
        <v>27</v>
      </c>
      <c r="J3398" s="19" t="s">
        <v>39</v>
      </c>
      <c r="K3398" s="14">
        <v>11.0</v>
      </c>
      <c r="L3398" s="14">
        <v>0.0</v>
      </c>
      <c r="M3398" s="25"/>
      <c r="N3398" s="26" t="s">
        <v>21</v>
      </c>
      <c r="O3398" s="7"/>
      <c r="P3398" s="7"/>
      <c r="Q3398" s="7"/>
      <c r="R3398" s="7"/>
      <c r="S3398" s="7"/>
      <c r="T3398" s="7"/>
      <c r="U3398" s="7"/>
      <c r="V3398" s="7"/>
      <c r="W3398" s="7"/>
      <c r="X3398" s="7"/>
      <c r="Y3398" s="7"/>
    </row>
    <row r="3399">
      <c r="A3399" s="14" t="s">
        <v>12133</v>
      </c>
      <c r="B3399" s="17" t="s">
        <v>12131</v>
      </c>
      <c r="C3399" s="17" t="s">
        <v>12134</v>
      </c>
      <c r="D3399" s="19" t="s">
        <v>12135</v>
      </c>
      <c r="E3399" s="20" t="s">
        <v>624</v>
      </c>
      <c r="F3399" s="21">
        <v>24412.0</v>
      </c>
      <c r="G3399" s="14">
        <f t="shared" si="1"/>
        <v>59</v>
      </c>
      <c r="H3399" s="23" t="s">
        <v>26</v>
      </c>
      <c r="I3399" s="24" t="s">
        <v>33</v>
      </c>
      <c r="J3399" s="19" t="s">
        <v>39</v>
      </c>
      <c r="K3399" s="14">
        <v>11.0</v>
      </c>
      <c r="L3399" s="14">
        <v>1.0</v>
      </c>
      <c r="M3399" s="25"/>
      <c r="N3399" s="26" t="s">
        <v>21</v>
      </c>
      <c r="O3399" s="7"/>
      <c r="P3399" s="7"/>
      <c r="Q3399" s="7"/>
      <c r="R3399" s="7"/>
      <c r="S3399" s="7"/>
      <c r="T3399" s="7"/>
      <c r="U3399" s="7"/>
      <c r="V3399" s="7"/>
      <c r="W3399" s="7"/>
      <c r="X3399" s="7"/>
      <c r="Y3399" s="7"/>
    </row>
    <row r="3400">
      <c r="A3400" s="14" t="s">
        <v>12136</v>
      </c>
      <c r="B3400" s="17" t="s">
        <v>12131</v>
      </c>
      <c r="C3400" s="17" t="s">
        <v>12137</v>
      </c>
      <c r="D3400" s="19" t="s">
        <v>12138</v>
      </c>
      <c r="E3400" s="20" t="s">
        <v>104</v>
      </c>
      <c r="F3400" s="21">
        <v>37380.0</v>
      </c>
      <c r="G3400" s="14">
        <f t="shared" si="1"/>
        <v>24</v>
      </c>
      <c r="H3400" s="23" t="s">
        <v>100</v>
      </c>
      <c r="I3400" s="24" t="s">
        <v>33</v>
      </c>
      <c r="J3400" s="19" t="s">
        <v>39</v>
      </c>
      <c r="K3400" s="14">
        <v>11.0</v>
      </c>
      <c r="L3400" s="14">
        <v>0.0</v>
      </c>
      <c r="M3400" s="25"/>
      <c r="N3400" s="26" t="s">
        <v>21</v>
      </c>
      <c r="O3400" s="7"/>
      <c r="P3400" s="7"/>
      <c r="Q3400" s="7"/>
      <c r="R3400" s="7"/>
      <c r="S3400" s="7"/>
      <c r="T3400" s="7"/>
      <c r="U3400" s="7"/>
      <c r="V3400" s="7"/>
      <c r="W3400" s="7"/>
      <c r="X3400" s="7"/>
      <c r="Y3400" s="7"/>
    </row>
    <row r="3401">
      <c r="A3401" s="14" t="s">
        <v>12139</v>
      </c>
      <c r="B3401" s="17" t="s">
        <v>12131</v>
      </c>
      <c r="C3401" s="17" t="s">
        <v>12140</v>
      </c>
      <c r="D3401" s="19" t="s">
        <v>12141</v>
      </c>
      <c r="E3401" s="20" t="s">
        <v>624</v>
      </c>
      <c r="F3401" s="27">
        <v>25929.0</v>
      </c>
      <c r="G3401" s="14">
        <f t="shared" si="1"/>
        <v>55</v>
      </c>
      <c r="H3401" s="23" t="s">
        <v>26</v>
      </c>
      <c r="I3401" s="24" t="s">
        <v>27</v>
      </c>
      <c r="J3401" s="19" t="s">
        <v>39</v>
      </c>
      <c r="K3401" s="14">
        <v>11.0</v>
      </c>
      <c r="L3401" s="14">
        <v>0.0</v>
      </c>
      <c r="M3401" s="25"/>
      <c r="N3401" s="26" t="s">
        <v>21</v>
      </c>
      <c r="O3401" s="7"/>
      <c r="P3401" s="7"/>
      <c r="Q3401" s="7"/>
      <c r="R3401" s="7"/>
      <c r="S3401" s="7"/>
      <c r="T3401" s="7"/>
      <c r="U3401" s="7"/>
      <c r="V3401" s="7"/>
      <c r="W3401" s="7"/>
      <c r="X3401" s="7"/>
      <c r="Y3401" s="7"/>
    </row>
    <row r="3402">
      <c r="A3402" s="14" t="s">
        <v>12142</v>
      </c>
      <c r="B3402" s="17" t="s">
        <v>12143</v>
      </c>
      <c r="C3402" s="17" t="s">
        <v>12144</v>
      </c>
      <c r="D3402" s="19" t="s">
        <v>12145</v>
      </c>
      <c r="E3402" s="20" t="s">
        <v>104</v>
      </c>
      <c r="F3402" s="21">
        <v>37750.0</v>
      </c>
      <c r="G3402" s="14">
        <f t="shared" si="1"/>
        <v>23</v>
      </c>
      <c r="H3402" s="23" t="s">
        <v>100</v>
      </c>
      <c r="I3402" s="24" t="s">
        <v>33</v>
      </c>
      <c r="J3402" s="19" t="s">
        <v>726</v>
      </c>
      <c r="K3402" s="14">
        <v>11.0</v>
      </c>
      <c r="L3402" s="14">
        <v>0.0</v>
      </c>
      <c r="M3402" s="25"/>
      <c r="N3402" s="26" t="s">
        <v>21</v>
      </c>
      <c r="O3402" s="7"/>
      <c r="P3402" s="7"/>
      <c r="Q3402" s="7"/>
      <c r="R3402" s="7"/>
      <c r="S3402" s="7"/>
      <c r="T3402" s="7"/>
      <c r="U3402" s="7"/>
      <c r="V3402" s="7"/>
      <c r="W3402" s="7"/>
      <c r="X3402" s="7"/>
      <c r="Y3402" s="7"/>
    </row>
    <row r="3403">
      <c r="A3403" s="14" t="s">
        <v>12146</v>
      </c>
      <c r="B3403" s="17" t="s">
        <v>12143</v>
      </c>
      <c r="C3403" s="17" t="s">
        <v>12147</v>
      </c>
      <c r="D3403" s="19" t="s">
        <v>12148</v>
      </c>
      <c r="E3403" s="20" t="s">
        <v>5389</v>
      </c>
      <c r="F3403" s="27">
        <v>27385.0</v>
      </c>
      <c r="G3403" s="14">
        <f t="shared" si="1"/>
        <v>51</v>
      </c>
      <c r="H3403" s="23" t="s">
        <v>26</v>
      </c>
      <c r="I3403" s="24" t="s">
        <v>27</v>
      </c>
      <c r="J3403" s="19" t="s">
        <v>726</v>
      </c>
      <c r="K3403" s="14">
        <v>11.0</v>
      </c>
      <c r="L3403" s="14">
        <v>0.0</v>
      </c>
      <c r="M3403" s="25"/>
      <c r="N3403" s="26" t="s">
        <v>21</v>
      </c>
      <c r="O3403" s="7"/>
      <c r="P3403" s="7"/>
      <c r="Q3403" s="7"/>
      <c r="R3403" s="7"/>
      <c r="S3403" s="7"/>
      <c r="T3403" s="7"/>
      <c r="U3403" s="7"/>
      <c r="V3403" s="7"/>
      <c r="W3403" s="7"/>
      <c r="X3403" s="7"/>
      <c r="Y3403" s="7"/>
    </row>
    <row r="3404">
      <c r="A3404" s="14" t="s">
        <v>12149</v>
      </c>
      <c r="B3404" s="17" t="s">
        <v>12143</v>
      </c>
      <c r="C3404" s="17" t="s">
        <v>12150</v>
      </c>
      <c r="D3404" s="19" t="s">
        <v>2931</v>
      </c>
      <c r="E3404" s="20" t="s">
        <v>544</v>
      </c>
      <c r="F3404" s="21">
        <v>26188.0</v>
      </c>
      <c r="G3404" s="14">
        <f t="shared" si="1"/>
        <v>55</v>
      </c>
      <c r="H3404" s="23" t="s">
        <v>26</v>
      </c>
      <c r="I3404" s="24" t="s">
        <v>33</v>
      </c>
      <c r="J3404" s="19" t="s">
        <v>726</v>
      </c>
      <c r="K3404" s="14">
        <v>11.0</v>
      </c>
      <c r="L3404" s="14">
        <v>0.0</v>
      </c>
      <c r="M3404" s="25"/>
      <c r="N3404" s="26" t="s">
        <v>21</v>
      </c>
      <c r="O3404" s="7"/>
      <c r="P3404" s="7"/>
      <c r="Q3404" s="7"/>
      <c r="R3404" s="7"/>
      <c r="S3404" s="7"/>
      <c r="T3404" s="7"/>
      <c r="U3404" s="7"/>
      <c r="V3404" s="7"/>
      <c r="W3404" s="7"/>
      <c r="X3404" s="7"/>
      <c r="Y3404" s="7"/>
    </row>
    <row r="3405">
      <c r="A3405" s="14" t="s">
        <v>12151</v>
      </c>
      <c r="B3405" s="17" t="s">
        <v>12152</v>
      </c>
      <c r="C3405" s="17" t="s">
        <v>12153</v>
      </c>
      <c r="D3405" s="19" t="s">
        <v>12154</v>
      </c>
      <c r="E3405" s="20" t="s">
        <v>104</v>
      </c>
      <c r="F3405" s="27">
        <v>33588.0</v>
      </c>
      <c r="G3405" s="14">
        <f t="shared" si="1"/>
        <v>34</v>
      </c>
      <c r="H3405" s="23" t="s">
        <v>26</v>
      </c>
      <c r="I3405" s="24" t="s">
        <v>33</v>
      </c>
      <c r="J3405" s="19" t="s">
        <v>2196</v>
      </c>
      <c r="K3405" s="14">
        <v>17.0</v>
      </c>
      <c r="L3405" s="14">
        <v>0.0</v>
      </c>
      <c r="M3405" s="25"/>
      <c r="N3405" s="26" t="s">
        <v>21</v>
      </c>
      <c r="O3405" s="7"/>
      <c r="P3405" s="7"/>
      <c r="Q3405" s="7"/>
      <c r="R3405" s="7"/>
      <c r="S3405" s="7"/>
      <c r="T3405" s="7"/>
      <c r="U3405" s="7"/>
      <c r="V3405" s="7"/>
      <c r="W3405" s="7"/>
      <c r="X3405" s="7"/>
      <c r="Y3405" s="7"/>
    </row>
    <row r="3406">
      <c r="A3406" s="14" t="s">
        <v>12155</v>
      </c>
      <c r="B3406" s="17" t="s">
        <v>12156</v>
      </c>
      <c r="C3406" s="17" t="s">
        <v>12157</v>
      </c>
      <c r="D3406" s="19" t="s">
        <v>12158</v>
      </c>
      <c r="E3406" s="20" t="s">
        <v>12159</v>
      </c>
      <c r="F3406" s="27">
        <v>35720.0</v>
      </c>
      <c r="G3406" s="14">
        <f t="shared" si="1"/>
        <v>29</v>
      </c>
      <c r="H3406" s="23" t="s">
        <v>26</v>
      </c>
      <c r="I3406" s="24" t="s">
        <v>27</v>
      </c>
      <c r="J3406" s="19" t="s">
        <v>328</v>
      </c>
      <c r="K3406" s="14">
        <v>23.0</v>
      </c>
      <c r="L3406" s="14">
        <v>0.0</v>
      </c>
      <c r="M3406" s="25"/>
      <c r="N3406" s="26" t="s">
        <v>21</v>
      </c>
      <c r="O3406" s="7"/>
      <c r="P3406" s="7"/>
      <c r="Q3406" s="7"/>
      <c r="R3406" s="7"/>
      <c r="S3406" s="7"/>
      <c r="T3406" s="7"/>
      <c r="U3406" s="7"/>
      <c r="V3406" s="7"/>
      <c r="W3406" s="7"/>
      <c r="X3406" s="7"/>
      <c r="Y3406" s="7"/>
    </row>
    <row r="3407">
      <c r="A3407" s="14" t="s">
        <v>12160</v>
      </c>
      <c r="B3407" s="17" t="s">
        <v>12156</v>
      </c>
      <c r="C3407" s="17" t="s">
        <v>12161</v>
      </c>
      <c r="D3407" s="19" t="s">
        <v>12162</v>
      </c>
      <c r="E3407" s="20" t="s">
        <v>274</v>
      </c>
      <c r="F3407" s="21">
        <v>33427.0</v>
      </c>
      <c r="G3407" s="14">
        <f t="shared" si="1"/>
        <v>35</v>
      </c>
      <c r="H3407" s="23" t="s">
        <v>26</v>
      </c>
      <c r="I3407" s="24" t="s">
        <v>33</v>
      </c>
      <c r="J3407" s="19" t="s">
        <v>328</v>
      </c>
      <c r="K3407" s="14">
        <v>23.0</v>
      </c>
      <c r="L3407" s="14">
        <v>0.0</v>
      </c>
      <c r="M3407" s="25"/>
      <c r="N3407" s="26" t="s">
        <v>21</v>
      </c>
      <c r="O3407" s="7"/>
      <c r="P3407" s="7"/>
      <c r="Q3407" s="7"/>
      <c r="R3407" s="7"/>
      <c r="S3407" s="7"/>
      <c r="T3407" s="7"/>
      <c r="U3407" s="7"/>
      <c r="V3407" s="7"/>
      <c r="W3407" s="7"/>
      <c r="X3407" s="7"/>
      <c r="Y3407" s="7"/>
    </row>
    <row r="3408">
      <c r="A3408" s="14" t="s">
        <v>12163</v>
      </c>
      <c r="B3408" s="17" t="s">
        <v>12164</v>
      </c>
      <c r="C3408" s="17" t="s">
        <v>12165</v>
      </c>
      <c r="D3408" s="19" t="s">
        <v>12166</v>
      </c>
      <c r="E3408" s="20" t="s">
        <v>12167</v>
      </c>
      <c r="F3408" s="21">
        <v>32670.0</v>
      </c>
      <c r="G3408" s="14">
        <f t="shared" si="1"/>
        <v>37</v>
      </c>
      <c r="H3408" s="23" t="s">
        <v>26</v>
      </c>
      <c r="I3408" s="24" t="s">
        <v>27</v>
      </c>
      <c r="J3408" s="19" t="s">
        <v>328</v>
      </c>
      <c r="K3408" s="14">
        <v>19.0</v>
      </c>
      <c r="L3408" s="14">
        <v>0.0</v>
      </c>
      <c r="M3408" s="25"/>
      <c r="N3408" s="26" t="s">
        <v>21</v>
      </c>
      <c r="O3408" s="7"/>
      <c r="P3408" s="7"/>
      <c r="Q3408" s="7"/>
      <c r="R3408" s="7"/>
      <c r="S3408" s="7"/>
      <c r="T3408" s="7"/>
      <c r="U3408" s="7"/>
      <c r="V3408" s="7"/>
      <c r="W3408" s="7"/>
      <c r="X3408" s="7"/>
      <c r="Y3408" s="7"/>
    </row>
    <row r="3409">
      <c r="A3409" s="14" t="s">
        <v>12168</v>
      </c>
      <c r="B3409" s="17" t="s">
        <v>12164</v>
      </c>
      <c r="C3409" s="17" t="s">
        <v>12169</v>
      </c>
      <c r="D3409" s="19" t="s">
        <v>12170</v>
      </c>
      <c r="E3409" s="20" t="s">
        <v>2762</v>
      </c>
      <c r="F3409" s="21">
        <v>35334.0</v>
      </c>
      <c r="G3409" s="14">
        <f t="shared" si="1"/>
        <v>30</v>
      </c>
      <c r="H3409" s="23" t="s">
        <v>26</v>
      </c>
      <c r="I3409" s="24" t="s">
        <v>33</v>
      </c>
      <c r="J3409" s="19" t="s">
        <v>328</v>
      </c>
      <c r="K3409" s="14">
        <v>19.0</v>
      </c>
      <c r="L3409" s="14">
        <v>0.0</v>
      </c>
      <c r="M3409" s="25"/>
      <c r="N3409" s="26" t="s">
        <v>21</v>
      </c>
      <c r="O3409" s="7"/>
      <c r="P3409" s="7"/>
      <c r="Q3409" s="7"/>
      <c r="R3409" s="7"/>
      <c r="S3409" s="7"/>
      <c r="T3409" s="7"/>
      <c r="U3409" s="7"/>
      <c r="V3409" s="7"/>
      <c r="W3409" s="7"/>
      <c r="X3409" s="7"/>
      <c r="Y3409" s="7"/>
    </row>
    <row r="3410">
      <c r="A3410" s="14" t="s">
        <v>12171</v>
      </c>
      <c r="B3410" s="17" t="s">
        <v>12172</v>
      </c>
      <c r="C3410" s="17" t="s">
        <v>12173</v>
      </c>
      <c r="D3410" s="19" t="s">
        <v>12174</v>
      </c>
      <c r="E3410" s="20" t="s">
        <v>219</v>
      </c>
      <c r="F3410" s="21">
        <v>21310.0</v>
      </c>
      <c r="G3410" s="14">
        <f t="shared" si="1"/>
        <v>68</v>
      </c>
      <c r="H3410" s="23" t="s">
        <v>26</v>
      </c>
      <c r="I3410" s="24" t="s">
        <v>33</v>
      </c>
      <c r="J3410" s="19" t="s">
        <v>68</v>
      </c>
      <c r="K3410" s="14">
        <v>28.0</v>
      </c>
      <c r="L3410" s="14">
        <v>0.0</v>
      </c>
      <c r="M3410" s="25"/>
      <c r="N3410" s="26" t="s">
        <v>21</v>
      </c>
      <c r="O3410" s="7"/>
      <c r="P3410" s="7"/>
      <c r="Q3410" s="7"/>
      <c r="R3410" s="7"/>
      <c r="S3410" s="7"/>
      <c r="T3410" s="7"/>
      <c r="U3410" s="7"/>
      <c r="V3410" s="7"/>
      <c r="W3410" s="7"/>
      <c r="X3410" s="7"/>
      <c r="Y3410" s="7"/>
    </row>
    <row r="3411">
      <c r="A3411" s="14" t="s">
        <v>12175</v>
      </c>
      <c r="B3411" s="17" t="s">
        <v>12172</v>
      </c>
      <c r="C3411" s="17" t="s">
        <v>12176</v>
      </c>
      <c r="D3411" s="19" t="s">
        <v>5704</v>
      </c>
      <c r="E3411" s="20" t="s">
        <v>138</v>
      </c>
      <c r="F3411" s="21">
        <v>22860.0</v>
      </c>
      <c r="G3411" s="14">
        <f t="shared" si="1"/>
        <v>64</v>
      </c>
      <c r="H3411" s="23" t="s">
        <v>26</v>
      </c>
      <c r="I3411" s="24" t="s">
        <v>27</v>
      </c>
      <c r="J3411" s="19" t="s">
        <v>68</v>
      </c>
      <c r="K3411" s="14">
        <v>28.0</v>
      </c>
      <c r="L3411" s="14">
        <v>0.0</v>
      </c>
      <c r="M3411" s="25"/>
      <c r="N3411" s="26" t="s">
        <v>21</v>
      </c>
      <c r="O3411" s="7"/>
      <c r="P3411" s="7"/>
      <c r="Q3411" s="7"/>
      <c r="R3411" s="7"/>
      <c r="S3411" s="7"/>
      <c r="T3411" s="7"/>
      <c r="U3411" s="7"/>
      <c r="V3411" s="7"/>
      <c r="W3411" s="7"/>
      <c r="X3411" s="7"/>
      <c r="Y3411" s="7"/>
    </row>
    <row r="3412">
      <c r="A3412" s="14" t="s">
        <v>12177</v>
      </c>
      <c r="B3412" s="17" t="s">
        <v>12178</v>
      </c>
      <c r="C3412" s="17" t="s">
        <v>12179</v>
      </c>
      <c r="D3412" s="19" t="s">
        <v>12180</v>
      </c>
      <c r="E3412" s="20" t="s">
        <v>104</v>
      </c>
      <c r="F3412" s="21">
        <v>38504.0</v>
      </c>
      <c r="G3412" s="14">
        <f t="shared" si="1"/>
        <v>21</v>
      </c>
      <c r="H3412" s="23" t="s">
        <v>100</v>
      </c>
      <c r="I3412" s="24" t="s">
        <v>33</v>
      </c>
      <c r="J3412" s="19" t="s">
        <v>1156</v>
      </c>
      <c r="K3412" s="14">
        <v>17.0</v>
      </c>
      <c r="L3412" s="14">
        <v>0.0</v>
      </c>
      <c r="M3412" s="25"/>
      <c r="N3412" s="26" t="s">
        <v>21</v>
      </c>
      <c r="O3412" s="7"/>
      <c r="P3412" s="7"/>
      <c r="Q3412" s="7"/>
      <c r="R3412" s="7"/>
      <c r="S3412" s="7"/>
      <c r="T3412" s="7"/>
      <c r="U3412" s="7"/>
      <c r="V3412" s="7"/>
      <c r="W3412" s="7"/>
      <c r="X3412" s="7"/>
      <c r="Y3412" s="7"/>
    </row>
    <row r="3413">
      <c r="A3413" s="14" t="s">
        <v>12181</v>
      </c>
      <c r="B3413" s="17" t="s">
        <v>12178</v>
      </c>
      <c r="C3413" s="17" t="s">
        <v>12182</v>
      </c>
      <c r="D3413" s="19" t="s">
        <v>12183</v>
      </c>
      <c r="E3413" s="20" t="s">
        <v>1816</v>
      </c>
      <c r="F3413" s="27">
        <v>23662.0</v>
      </c>
      <c r="G3413" s="14">
        <f t="shared" si="1"/>
        <v>62</v>
      </c>
      <c r="H3413" s="23" t="s">
        <v>26</v>
      </c>
      <c r="I3413" s="24" t="s">
        <v>33</v>
      </c>
      <c r="J3413" s="19" t="s">
        <v>1156</v>
      </c>
      <c r="K3413" s="14">
        <v>17.0</v>
      </c>
      <c r="L3413" s="14">
        <v>0.0</v>
      </c>
      <c r="M3413" s="25"/>
      <c r="N3413" s="26" t="s">
        <v>21</v>
      </c>
      <c r="O3413" s="7"/>
      <c r="P3413" s="7"/>
      <c r="Q3413" s="7"/>
      <c r="R3413" s="7"/>
      <c r="S3413" s="7"/>
      <c r="T3413" s="7"/>
      <c r="U3413" s="7"/>
      <c r="V3413" s="7"/>
      <c r="W3413" s="7"/>
      <c r="X3413" s="7"/>
      <c r="Y3413" s="7"/>
    </row>
    <row r="3414">
      <c r="A3414" s="14" t="s">
        <v>12184</v>
      </c>
      <c r="B3414" s="17" t="s">
        <v>12185</v>
      </c>
      <c r="C3414" s="17" t="s">
        <v>12186</v>
      </c>
      <c r="D3414" s="19" t="s">
        <v>12187</v>
      </c>
      <c r="E3414" s="20" t="s">
        <v>104</v>
      </c>
      <c r="F3414" s="21">
        <v>34547.0</v>
      </c>
      <c r="G3414" s="14">
        <f t="shared" si="1"/>
        <v>32</v>
      </c>
      <c r="H3414" s="23" t="s">
        <v>26</v>
      </c>
      <c r="I3414" s="24" t="s">
        <v>27</v>
      </c>
      <c r="J3414" s="19" t="s">
        <v>146</v>
      </c>
      <c r="K3414" s="14">
        <v>18.0</v>
      </c>
      <c r="L3414" s="14">
        <v>0.0</v>
      </c>
      <c r="M3414" s="25"/>
      <c r="N3414" s="26" t="s">
        <v>21</v>
      </c>
      <c r="O3414" s="7"/>
      <c r="P3414" s="7"/>
      <c r="Q3414" s="7"/>
      <c r="R3414" s="7"/>
      <c r="S3414" s="7"/>
      <c r="T3414" s="7"/>
      <c r="U3414" s="7"/>
      <c r="V3414" s="7"/>
      <c r="W3414" s="7"/>
      <c r="X3414" s="7"/>
      <c r="Y3414" s="7"/>
    </row>
    <row r="3415">
      <c r="A3415" s="14" t="s">
        <v>12188</v>
      </c>
      <c r="B3415" s="17" t="s">
        <v>12185</v>
      </c>
      <c r="C3415" s="17" t="s">
        <v>12189</v>
      </c>
      <c r="D3415" s="19" t="s">
        <v>12190</v>
      </c>
      <c r="E3415" s="20" t="s">
        <v>104</v>
      </c>
      <c r="F3415" s="21">
        <v>33837.0</v>
      </c>
      <c r="G3415" s="14">
        <f t="shared" si="1"/>
        <v>34</v>
      </c>
      <c r="H3415" s="23" t="s">
        <v>26</v>
      </c>
      <c r="I3415" s="24" t="s">
        <v>33</v>
      </c>
      <c r="J3415" s="19" t="s">
        <v>146</v>
      </c>
      <c r="K3415" s="14">
        <v>18.0</v>
      </c>
      <c r="L3415" s="14">
        <v>0.0</v>
      </c>
      <c r="M3415" s="25"/>
      <c r="N3415" s="26" t="s">
        <v>21</v>
      </c>
      <c r="O3415" s="7"/>
      <c r="P3415" s="7"/>
      <c r="Q3415" s="7"/>
      <c r="R3415" s="7"/>
      <c r="S3415" s="7"/>
      <c r="T3415" s="7"/>
      <c r="U3415" s="7"/>
      <c r="V3415" s="7"/>
      <c r="W3415" s="7"/>
      <c r="X3415" s="7"/>
      <c r="Y3415" s="7"/>
    </row>
    <row r="3416">
      <c r="A3416" s="14" t="s">
        <v>12191</v>
      </c>
      <c r="B3416" s="17" t="s">
        <v>12192</v>
      </c>
      <c r="C3416" s="17" t="s">
        <v>12193</v>
      </c>
      <c r="D3416" s="19" t="s">
        <v>12194</v>
      </c>
      <c r="E3416" s="20" t="s">
        <v>53</v>
      </c>
      <c r="F3416" s="21">
        <v>35461.0</v>
      </c>
      <c r="G3416" s="14">
        <f t="shared" si="1"/>
        <v>29</v>
      </c>
      <c r="H3416" s="23" t="s">
        <v>26</v>
      </c>
      <c r="I3416" s="24" t="s">
        <v>27</v>
      </c>
      <c r="J3416" s="19" t="s">
        <v>58</v>
      </c>
      <c r="K3416" s="14">
        <v>5.0</v>
      </c>
      <c r="L3416" s="14">
        <v>0.0</v>
      </c>
      <c r="M3416" s="25"/>
      <c r="N3416" s="26" t="s">
        <v>21</v>
      </c>
      <c r="O3416" s="7"/>
      <c r="P3416" s="7"/>
      <c r="Q3416" s="7"/>
      <c r="R3416" s="7"/>
      <c r="S3416" s="7"/>
      <c r="T3416" s="7"/>
      <c r="U3416" s="7"/>
      <c r="V3416" s="7"/>
      <c r="W3416" s="7"/>
      <c r="X3416" s="7"/>
      <c r="Y3416" s="7"/>
    </row>
    <row r="3417">
      <c r="A3417" s="14" t="s">
        <v>12195</v>
      </c>
      <c r="B3417" s="17" t="s">
        <v>12192</v>
      </c>
      <c r="C3417" s="17" t="s">
        <v>12196</v>
      </c>
      <c r="D3417" s="19" t="s">
        <v>12197</v>
      </c>
      <c r="E3417" s="20" t="s">
        <v>12198</v>
      </c>
      <c r="F3417" s="21">
        <v>33824.0</v>
      </c>
      <c r="G3417" s="14">
        <f t="shared" si="1"/>
        <v>34</v>
      </c>
      <c r="H3417" s="23" t="s">
        <v>26</v>
      </c>
      <c r="I3417" s="24" t="s">
        <v>33</v>
      </c>
      <c r="J3417" s="19" t="s">
        <v>58</v>
      </c>
      <c r="K3417" s="14">
        <v>5.0</v>
      </c>
      <c r="L3417" s="14">
        <v>0.0</v>
      </c>
      <c r="M3417" s="25"/>
      <c r="N3417" s="26" t="s">
        <v>21</v>
      </c>
      <c r="O3417" s="7"/>
      <c r="P3417" s="7"/>
      <c r="Q3417" s="7"/>
      <c r="R3417" s="7"/>
      <c r="S3417" s="7"/>
      <c r="T3417" s="7"/>
      <c r="U3417" s="7"/>
      <c r="V3417" s="7"/>
      <c r="W3417" s="7"/>
      <c r="X3417" s="7"/>
      <c r="Y3417" s="7"/>
    </row>
    <row r="3418">
      <c r="A3418" s="14" t="s">
        <v>12199</v>
      </c>
      <c r="B3418" s="17" t="s">
        <v>12200</v>
      </c>
      <c r="C3418" s="17" t="s">
        <v>12201</v>
      </c>
      <c r="D3418" s="19" t="s">
        <v>2994</v>
      </c>
      <c r="E3418" s="20" t="s">
        <v>769</v>
      </c>
      <c r="F3418" s="21">
        <v>25820.0</v>
      </c>
      <c r="G3418" s="14">
        <f t="shared" si="1"/>
        <v>56</v>
      </c>
      <c r="H3418" s="23" t="s">
        <v>27</v>
      </c>
      <c r="I3418" s="24" t="s">
        <v>33</v>
      </c>
      <c r="J3418" s="19" t="s">
        <v>146</v>
      </c>
      <c r="K3418" s="14">
        <v>2.0</v>
      </c>
      <c r="L3418" s="14">
        <v>0.0</v>
      </c>
      <c r="M3418" s="25"/>
      <c r="N3418" s="26" t="s">
        <v>21</v>
      </c>
      <c r="O3418" s="7"/>
      <c r="P3418" s="7"/>
      <c r="Q3418" s="7"/>
      <c r="R3418" s="7"/>
      <c r="S3418" s="7"/>
      <c r="T3418" s="7"/>
      <c r="U3418" s="7"/>
      <c r="V3418" s="7"/>
      <c r="W3418" s="7"/>
      <c r="X3418" s="7"/>
      <c r="Y3418" s="7"/>
    </row>
    <row r="3419">
      <c r="A3419" s="14" t="s">
        <v>12202</v>
      </c>
      <c r="B3419" s="17" t="s">
        <v>12203</v>
      </c>
      <c r="C3419" s="17" t="s">
        <v>12204</v>
      </c>
      <c r="D3419" s="19" t="s">
        <v>12205</v>
      </c>
      <c r="E3419" s="20" t="s">
        <v>605</v>
      </c>
      <c r="F3419" s="21">
        <v>25331.0</v>
      </c>
      <c r="G3419" s="14">
        <f t="shared" si="1"/>
        <v>57</v>
      </c>
      <c r="H3419" s="23" t="s">
        <v>26</v>
      </c>
      <c r="I3419" s="24" t="s">
        <v>27</v>
      </c>
      <c r="J3419" s="19" t="s">
        <v>282</v>
      </c>
      <c r="K3419" s="14">
        <v>14.0</v>
      </c>
      <c r="L3419" s="14">
        <v>0.0</v>
      </c>
      <c r="M3419" s="25"/>
      <c r="N3419" s="26" t="s">
        <v>21</v>
      </c>
      <c r="O3419" s="7"/>
      <c r="P3419" s="7"/>
      <c r="Q3419" s="7"/>
      <c r="R3419" s="7"/>
      <c r="S3419" s="7"/>
      <c r="T3419" s="7"/>
      <c r="U3419" s="7"/>
      <c r="V3419" s="7"/>
      <c r="W3419" s="7"/>
      <c r="X3419" s="7"/>
      <c r="Y3419" s="7"/>
    </row>
    <row r="3420">
      <c r="A3420" s="14" t="s">
        <v>12206</v>
      </c>
      <c r="B3420" s="17" t="s">
        <v>12203</v>
      </c>
      <c r="C3420" s="17" t="s">
        <v>12207</v>
      </c>
      <c r="D3420" s="19" t="s">
        <v>12208</v>
      </c>
      <c r="E3420" s="20" t="s">
        <v>89</v>
      </c>
      <c r="F3420" s="21">
        <v>23063.0</v>
      </c>
      <c r="G3420" s="14">
        <f t="shared" si="1"/>
        <v>63</v>
      </c>
      <c r="H3420" s="23" t="s">
        <v>26</v>
      </c>
      <c r="I3420" s="24" t="s">
        <v>33</v>
      </c>
      <c r="J3420" s="19" t="s">
        <v>282</v>
      </c>
      <c r="K3420" s="14">
        <v>14.0</v>
      </c>
      <c r="L3420" s="14">
        <v>0.0</v>
      </c>
      <c r="M3420" s="25"/>
      <c r="N3420" s="26" t="s">
        <v>21</v>
      </c>
      <c r="O3420" s="7"/>
      <c r="P3420" s="7"/>
      <c r="Q3420" s="7"/>
      <c r="R3420" s="7"/>
      <c r="S3420" s="7"/>
      <c r="T3420" s="7"/>
      <c r="U3420" s="7"/>
      <c r="V3420" s="7"/>
      <c r="W3420" s="7"/>
      <c r="X3420" s="7"/>
      <c r="Y3420" s="7"/>
    </row>
    <row r="3421">
      <c r="A3421" s="14" t="s">
        <v>12209</v>
      </c>
      <c r="B3421" s="17" t="s">
        <v>12203</v>
      </c>
      <c r="C3421" s="17" t="s">
        <v>12210</v>
      </c>
      <c r="D3421" s="19" t="s">
        <v>12211</v>
      </c>
      <c r="E3421" s="20" t="s">
        <v>138</v>
      </c>
      <c r="F3421" s="27">
        <v>36857.0</v>
      </c>
      <c r="G3421" s="14">
        <f t="shared" si="1"/>
        <v>25</v>
      </c>
      <c r="H3421" s="23" t="s">
        <v>100</v>
      </c>
      <c r="I3421" s="24" t="s">
        <v>27</v>
      </c>
      <c r="J3421" s="19" t="s">
        <v>282</v>
      </c>
      <c r="K3421" s="14">
        <v>14.0</v>
      </c>
      <c r="L3421" s="14">
        <v>0.0</v>
      </c>
      <c r="M3421" s="25"/>
      <c r="N3421" s="26" t="s">
        <v>21</v>
      </c>
      <c r="O3421" s="7"/>
      <c r="P3421" s="7"/>
      <c r="Q3421" s="7"/>
      <c r="R3421" s="7"/>
      <c r="S3421" s="7"/>
      <c r="T3421" s="7"/>
      <c r="U3421" s="7"/>
      <c r="V3421" s="7"/>
      <c r="W3421" s="7"/>
      <c r="X3421" s="7"/>
      <c r="Y3421" s="7"/>
    </row>
    <row r="3422">
      <c r="A3422" s="14" t="s">
        <v>12212</v>
      </c>
      <c r="B3422" s="17" t="s">
        <v>12213</v>
      </c>
      <c r="C3422" s="17" t="s">
        <v>12214</v>
      </c>
      <c r="D3422" s="19" t="s">
        <v>4677</v>
      </c>
      <c r="E3422" s="20" t="s">
        <v>650</v>
      </c>
      <c r="F3422" s="21">
        <v>23193.0</v>
      </c>
      <c r="G3422" s="14">
        <f t="shared" si="1"/>
        <v>63</v>
      </c>
      <c r="H3422" s="23" t="s">
        <v>26</v>
      </c>
      <c r="I3422" s="24" t="s">
        <v>33</v>
      </c>
      <c r="J3422" s="19" t="s">
        <v>53</v>
      </c>
      <c r="K3422" s="14">
        <v>6.0</v>
      </c>
      <c r="L3422" s="14">
        <v>0.0</v>
      </c>
      <c r="M3422" s="25"/>
      <c r="N3422" s="26" t="s">
        <v>21</v>
      </c>
      <c r="O3422" s="7"/>
      <c r="P3422" s="7"/>
      <c r="Q3422" s="7"/>
      <c r="R3422" s="7"/>
      <c r="S3422" s="7"/>
      <c r="T3422" s="7"/>
      <c r="U3422" s="7"/>
      <c r="V3422" s="7"/>
      <c r="W3422" s="7"/>
      <c r="X3422" s="7"/>
      <c r="Y3422" s="7"/>
    </row>
    <row r="3423">
      <c r="A3423" s="14" t="s">
        <v>12215</v>
      </c>
      <c r="B3423" s="17" t="s">
        <v>12213</v>
      </c>
      <c r="C3423" s="17" t="s">
        <v>12216</v>
      </c>
      <c r="D3423" s="19" t="s">
        <v>9971</v>
      </c>
      <c r="E3423" s="20" t="s">
        <v>650</v>
      </c>
      <c r="F3423" s="21">
        <v>25020.0</v>
      </c>
      <c r="G3423" s="14">
        <f t="shared" si="1"/>
        <v>58</v>
      </c>
      <c r="H3423" s="23" t="s">
        <v>26</v>
      </c>
      <c r="I3423" s="24" t="s">
        <v>27</v>
      </c>
      <c r="J3423" s="19" t="s">
        <v>53</v>
      </c>
      <c r="K3423" s="14">
        <v>6.0</v>
      </c>
      <c r="L3423" s="14">
        <v>0.0</v>
      </c>
      <c r="M3423" s="25"/>
      <c r="N3423" s="26" t="s">
        <v>21</v>
      </c>
      <c r="O3423" s="7"/>
      <c r="P3423" s="7"/>
      <c r="Q3423" s="7"/>
      <c r="R3423" s="7"/>
      <c r="S3423" s="7"/>
      <c r="T3423" s="7"/>
      <c r="U3423" s="7"/>
      <c r="V3423" s="7"/>
      <c r="W3423" s="7"/>
      <c r="X3423" s="7"/>
      <c r="Y3423" s="7"/>
    </row>
    <row r="3424">
      <c r="A3424" s="14" t="s">
        <v>12217</v>
      </c>
      <c r="B3424" s="17" t="s">
        <v>12218</v>
      </c>
      <c r="C3424" s="17" t="s">
        <v>12219</v>
      </c>
      <c r="D3424" s="19" t="s">
        <v>12220</v>
      </c>
      <c r="E3424" s="20" t="s">
        <v>650</v>
      </c>
      <c r="F3424" s="21">
        <v>16480.0</v>
      </c>
      <c r="G3424" s="14">
        <f t="shared" si="1"/>
        <v>81</v>
      </c>
      <c r="H3424" s="23" t="s">
        <v>27</v>
      </c>
      <c r="I3424" s="24" t="s">
        <v>27</v>
      </c>
      <c r="J3424" s="19" t="s">
        <v>58</v>
      </c>
      <c r="K3424" s="14">
        <v>7.0</v>
      </c>
      <c r="L3424" s="14">
        <v>0.0</v>
      </c>
      <c r="M3424" s="25"/>
      <c r="N3424" s="26" t="s">
        <v>21</v>
      </c>
      <c r="O3424" s="7"/>
      <c r="P3424" s="7"/>
      <c r="Q3424" s="7"/>
      <c r="R3424" s="7"/>
      <c r="S3424" s="7"/>
      <c r="T3424" s="7"/>
      <c r="U3424" s="7"/>
      <c r="V3424" s="7"/>
      <c r="W3424" s="7"/>
      <c r="X3424" s="7"/>
      <c r="Y3424" s="7"/>
    </row>
    <row r="3425">
      <c r="A3425" s="14" t="s">
        <v>12221</v>
      </c>
      <c r="B3425" s="17" t="s">
        <v>12222</v>
      </c>
      <c r="C3425" s="17" t="s">
        <v>12223</v>
      </c>
      <c r="D3425" s="19" t="s">
        <v>12224</v>
      </c>
      <c r="E3425" s="20" t="s">
        <v>624</v>
      </c>
      <c r="F3425" s="27">
        <v>30235.0</v>
      </c>
      <c r="G3425" s="14">
        <f t="shared" si="1"/>
        <v>44</v>
      </c>
      <c r="H3425" s="23" t="s">
        <v>26</v>
      </c>
      <c r="I3425" s="24" t="s">
        <v>27</v>
      </c>
      <c r="J3425" s="19" t="s">
        <v>58</v>
      </c>
      <c r="K3425" s="14">
        <v>7.0</v>
      </c>
      <c r="L3425" s="14">
        <v>0.0</v>
      </c>
      <c r="M3425" s="25"/>
      <c r="N3425" s="26" t="s">
        <v>21</v>
      </c>
      <c r="O3425" s="7"/>
      <c r="P3425" s="7"/>
      <c r="Q3425" s="7"/>
      <c r="R3425" s="7"/>
      <c r="S3425" s="7"/>
      <c r="T3425" s="7"/>
      <c r="U3425" s="7"/>
      <c r="V3425" s="7"/>
      <c r="W3425" s="7"/>
      <c r="X3425" s="7"/>
      <c r="Y3425" s="7"/>
    </row>
    <row r="3426">
      <c r="A3426" s="14" t="s">
        <v>12225</v>
      </c>
      <c r="B3426" s="17" t="s">
        <v>12222</v>
      </c>
      <c r="C3426" s="17" t="s">
        <v>12226</v>
      </c>
      <c r="D3426" s="19" t="s">
        <v>6731</v>
      </c>
      <c r="E3426" s="20" t="s">
        <v>1038</v>
      </c>
      <c r="F3426" s="21">
        <v>28767.0</v>
      </c>
      <c r="G3426" s="14">
        <f t="shared" si="1"/>
        <v>48</v>
      </c>
      <c r="H3426" s="23" t="s">
        <v>26</v>
      </c>
      <c r="I3426" s="24" t="s">
        <v>33</v>
      </c>
      <c r="J3426" s="19" t="s">
        <v>58</v>
      </c>
      <c r="K3426" s="14">
        <v>7.0</v>
      </c>
      <c r="L3426" s="14">
        <v>0.0</v>
      </c>
      <c r="M3426" s="25"/>
      <c r="N3426" s="26" t="s">
        <v>21</v>
      </c>
      <c r="O3426" s="7"/>
      <c r="P3426" s="7"/>
      <c r="Q3426" s="7"/>
      <c r="R3426" s="7"/>
      <c r="S3426" s="7"/>
      <c r="T3426" s="7"/>
      <c r="U3426" s="7"/>
      <c r="V3426" s="7"/>
      <c r="W3426" s="7"/>
      <c r="X3426" s="7"/>
      <c r="Y3426" s="7"/>
    </row>
    <row r="3427">
      <c r="A3427" s="14" t="s">
        <v>12227</v>
      </c>
      <c r="B3427" s="17" t="s">
        <v>12228</v>
      </c>
      <c r="C3427" s="17" t="s">
        <v>12229</v>
      </c>
      <c r="D3427" s="19" t="s">
        <v>12230</v>
      </c>
      <c r="E3427" s="20" t="s">
        <v>2349</v>
      </c>
      <c r="F3427" s="21">
        <v>30538.0</v>
      </c>
      <c r="G3427" s="14">
        <f t="shared" si="1"/>
        <v>43</v>
      </c>
      <c r="H3427" s="23" t="s">
        <v>26</v>
      </c>
      <c r="I3427" s="24" t="s">
        <v>27</v>
      </c>
      <c r="J3427" s="19" t="s">
        <v>58</v>
      </c>
      <c r="K3427" s="14">
        <v>7.0</v>
      </c>
      <c r="L3427" s="14">
        <v>0.0</v>
      </c>
      <c r="M3427" s="25"/>
      <c r="N3427" s="26" t="s">
        <v>21</v>
      </c>
      <c r="O3427" s="7"/>
      <c r="P3427" s="7"/>
      <c r="Q3427" s="7"/>
      <c r="R3427" s="7"/>
      <c r="S3427" s="7"/>
      <c r="T3427" s="7"/>
      <c r="U3427" s="7"/>
      <c r="V3427" s="7"/>
      <c r="W3427" s="7"/>
      <c r="X3427" s="7"/>
      <c r="Y3427" s="7"/>
    </row>
    <row r="3428">
      <c r="A3428" s="14" t="s">
        <v>12231</v>
      </c>
      <c r="B3428" s="17" t="s">
        <v>12228</v>
      </c>
      <c r="C3428" s="17" t="s">
        <v>12232</v>
      </c>
      <c r="D3428" s="19" t="s">
        <v>6215</v>
      </c>
      <c r="E3428" s="20" t="s">
        <v>104</v>
      </c>
      <c r="F3428" s="21">
        <v>27559.0</v>
      </c>
      <c r="G3428" s="14">
        <f t="shared" si="1"/>
        <v>51</v>
      </c>
      <c r="H3428" s="23" t="s">
        <v>26</v>
      </c>
      <c r="I3428" s="24" t="s">
        <v>33</v>
      </c>
      <c r="J3428" s="19" t="s">
        <v>58</v>
      </c>
      <c r="K3428" s="14">
        <v>7.0</v>
      </c>
      <c r="L3428" s="14">
        <v>0.0</v>
      </c>
      <c r="M3428" s="25"/>
      <c r="N3428" s="26" t="s">
        <v>21</v>
      </c>
      <c r="O3428" s="7"/>
      <c r="P3428" s="7"/>
      <c r="Q3428" s="7"/>
      <c r="R3428" s="7"/>
      <c r="S3428" s="7"/>
      <c r="T3428" s="7"/>
      <c r="U3428" s="7"/>
      <c r="V3428" s="7"/>
      <c r="W3428" s="7"/>
      <c r="X3428" s="7"/>
      <c r="Y3428" s="7"/>
    </row>
    <row r="3429">
      <c r="A3429" s="14" t="s">
        <v>12233</v>
      </c>
      <c r="B3429" s="17" t="s">
        <v>12234</v>
      </c>
      <c r="C3429" s="17" t="s">
        <v>12235</v>
      </c>
      <c r="D3429" s="19" t="s">
        <v>2829</v>
      </c>
      <c r="E3429" s="20" t="s">
        <v>104</v>
      </c>
      <c r="F3429" s="21">
        <v>32056.0</v>
      </c>
      <c r="G3429" s="14">
        <f t="shared" si="1"/>
        <v>39</v>
      </c>
      <c r="H3429" s="23" t="s">
        <v>26</v>
      </c>
      <c r="I3429" s="24" t="s">
        <v>33</v>
      </c>
      <c r="J3429" s="19" t="s">
        <v>517</v>
      </c>
      <c r="K3429" s="14">
        <v>7.0</v>
      </c>
      <c r="L3429" s="14">
        <v>5.0</v>
      </c>
      <c r="M3429" s="25"/>
      <c r="N3429" s="26" t="s">
        <v>21</v>
      </c>
      <c r="O3429" s="7"/>
      <c r="P3429" s="7"/>
      <c r="Q3429" s="7"/>
      <c r="R3429" s="7"/>
      <c r="S3429" s="7"/>
      <c r="T3429" s="7"/>
      <c r="U3429" s="7"/>
      <c r="V3429" s="7"/>
      <c r="W3429" s="7"/>
      <c r="X3429" s="7"/>
      <c r="Y3429" s="7"/>
    </row>
    <row r="3430">
      <c r="A3430" s="14" t="s">
        <v>12237</v>
      </c>
      <c r="B3430" s="17" t="s">
        <v>12234</v>
      </c>
      <c r="C3430" s="17" t="s">
        <v>12238</v>
      </c>
      <c r="D3430" s="19" t="s">
        <v>12239</v>
      </c>
      <c r="E3430" s="20" t="s">
        <v>12240</v>
      </c>
      <c r="F3430" s="21">
        <v>33214.0</v>
      </c>
      <c r="G3430" s="14">
        <f t="shared" si="1"/>
        <v>35</v>
      </c>
      <c r="H3430" s="23" t="s">
        <v>26</v>
      </c>
      <c r="I3430" s="24" t="s">
        <v>27</v>
      </c>
      <c r="J3430" s="19" t="s">
        <v>517</v>
      </c>
      <c r="K3430" s="14">
        <v>7.0</v>
      </c>
      <c r="L3430" s="14">
        <v>5.0</v>
      </c>
      <c r="M3430" s="25"/>
      <c r="N3430" s="26" t="s">
        <v>21</v>
      </c>
      <c r="O3430" s="7"/>
      <c r="P3430" s="7"/>
      <c r="Q3430" s="7"/>
      <c r="R3430" s="7"/>
      <c r="S3430" s="7"/>
      <c r="T3430" s="7"/>
      <c r="U3430" s="7"/>
      <c r="V3430" s="7"/>
      <c r="W3430" s="7"/>
      <c r="X3430" s="7"/>
      <c r="Y3430" s="7"/>
    </row>
    <row r="3431">
      <c r="A3431" s="14" t="s">
        <v>12241</v>
      </c>
      <c r="B3431" s="17" t="s">
        <v>12242</v>
      </c>
      <c r="C3431" s="17" t="s">
        <v>12243</v>
      </c>
      <c r="D3431" s="19" t="s">
        <v>12244</v>
      </c>
      <c r="E3431" s="20" t="s">
        <v>104</v>
      </c>
      <c r="F3431" s="21">
        <v>35796.0</v>
      </c>
      <c r="G3431" s="14">
        <f t="shared" si="1"/>
        <v>28</v>
      </c>
      <c r="H3431" s="23" t="s">
        <v>26</v>
      </c>
      <c r="I3431" s="24" t="s">
        <v>33</v>
      </c>
      <c r="J3431" s="19" t="s">
        <v>146</v>
      </c>
      <c r="K3431" s="14">
        <v>36.0</v>
      </c>
      <c r="L3431" s="14">
        <v>0.0</v>
      </c>
      <c r="M3431" s="25"/>
      <c r="N3431" s="26" t="s">
        <v>21</v>
      </c>
      <c r="O3431" s="7"/>
      <c r="P3431" s="7"/>
      <c r="Q3431" s="7"/>
      <c r="R3431" s="7"/>
      <c r="S3431" s="7"/>
      <c r="T3431" s="7"/>
      <c r="U3431" s="7"/>
      <c r="V3431" s="7"/>
      <c r="W3431" s="7"/>
      <c r="X3431" s="7"/>
      <c r="Y3431" s="7"/>
    </row>
    <row r="3432">
      <c r="A3432" s="14" t="s">
        <v>12249</v>
      </c>
      <c r="B3432" s="17" t="s">
        <v>12242</v>
      </c>
      <c r="C3432" s="17" t="s">
        <v>12250</v>
      </c>
      <c r="D3432" s="19" t="s">
        <v>12251</v>
      </c>
      <c r="E3432" s="20" t="s">
        <v>337</v>
      </c>
      <c r="F3432" s="27">
        <v>37977.0</v>
      </c>
      <c r="G3432" s="14">
        <f t="shared" si="1"/>
        <v>22</v>
      </c>
      <c r="H3432" s="23" t="s">
        <v>100</v>
      </c>
      <c r="I3432" s="24" t="s">
        <v>33</v>
      </c>
      <c r="J3432" s="19" t="s">
        <v>146</v>
      </c>
      <c r="K3432" s="14">
        <v>36.0</v>
      </c>
      <c r="L3432" s="14">
        <v>0.0</v>
      </c>
      <c r="M3432" s="25"/>
      <c r="N3432" s="26" t="s">
        <v>21</v>
      </c>
      <c r="O3432" s="7"/>
      <c r="P3432" s="7"/>
      <c r="Q3432" s="7"/>
      <c r="R3432" s="7"/>
      <c r="S3432" s="7"/>
      <c r="T3432" s="7"/>
      <c r="U3432" s="7"/>
      <c r="V3432" s="7"/>
      <c r="W3432" s="7"/>
      <c r="X3432" s="7"/>
      <c r="Y3432" s="7"/>
    </row>
    <row r="3433">
      <c r="A3433" s="14" t="s">
        <v>12245</v>
      </c>
      <c r="B3433" s="17" t="s">
        <v>12246</v>
      </c>
      <c r="C3433" s="17" t="s">
        <v>12247</v>
      </c>
      <c r="D3433" s="19" t="s">
        <v>12248</v>
      </c>
      <c r="E3433" s="20" t="s">
        <v>104</v>
      </c>
      <c r="F3433" s="21">
        <v>29532.0</v>
      </c>
      <c r="G3433" s="14">
        <f t="shared" si="1"/>
        <v>45</v>
      </c>
      <c r="H3433" s="23" t="s">
        <v>26</v>
      </c>
      <c r="I3433" s="24" t="s">
        <v>27</v>
      </c>
      <c r="J3433" s="19" t="s">
        <v>146</v>
      </c>
      <c r="K3433" s="14">
        <v>7.0</v>
      </c>
      <c r="L3433" s="14">
        <v>0.0</v>
      </c>
      <c r="M3433" s="25"/>
      <c r="N3433" s="26" t="s">
        <v>21</v>
      </c>
      <c r="O3433" s="7"/>
      <c r="P3433" s="7"/>
      <c r="Q3433" s="7"/>
      <c r="R3433" s="7"/>
      <c r="S3433" s="7"/>
      <c r="T3433" s="7"/>
      <c r="U3433" s="7"/>
      <c r="V3433" s="7"/>
      <c r="W3433" s="7"/>
      <c r="X3433" s="7"/>
      <c r="Y3433" s="7"/>
    </row>
    <row r="3434">
      <c r="A3434" s="14" t="s">
        <v>12252</v>
      </c>
      <c r="B3434" s="17" t="s">
        <v>12246</v>
      </c>
      <c r="C3434" s="17" t="s">
        <v>12253</v>
      </c>
      <c r="D3434" s="19" t="s">
        <v>12254</v>
      </c>
      <c r="E3434" s="20" t="s">
        <v>104</v>
      </c>
      <c r="F3434" s="21">
        <v>28102.0</v>
      </c>
      <c r="G3434" s="14">
        <f t="shared" si="1"/>
        <v>49</v>
      </c>
      <c r="H3434" s="23" t="s">
        <v>26</v>
      </c>
      <c r="I3434" s="24" t="s">
        <v>33</v>
      </c>
      <c r="J3434" s="19" t="s">
        <v>146</v>
      </c>
      <c r="K3434" s="14">
        <v>7.0</v>
      </c>
      <c r="L3434" s="14">
        <v>0.0</v>
      </c>
      <c r="M3434" s="25"/>
      <c r="N3434" s="26" t="s">
        <v>21</v>
      </c>
      <c r="O3434" s="7"/>
      <c r="P3434" s="7"/>
      <c r="Q3434" s="7"/>
      <c r="R3434" s="7"/>
      <c r="S3434" s="7"/>
      <c r="T3434" s="7"/>
      <c r="U3434" s="7"/>
      <c r="V3434" s="7"/>
      <c r="W3434" s="7"/>
      <c r="X3434" s="7"/>
      <c r="Y3434" s="7"/>
    </row>
    <row r="3435">
      <c r="A3435" s="14" t="s">
        <v>12255</v>
      </c>
      <c r="B3435" s="17" t="s">
        <v>12256</v>
      </c>
      <c r="C3435" s="17" t="s">
        <v>12257</v>
      </c>
      <c r="D3435" s="19" t="s">
        <v>1028</v>
      </c>
      <c r="E3435" s="20" t="s">
        <v>104</v>
      </c>
      <c r="F3435" s="27">
        <v>32867.0</v>
      </c>
      <c r="G3435" s="14">
        <f t="shared" si="1"/>
        <v>36</v>
      </c>
      <c r="H3435" s="23" t="s">
        <v>26</v>
      </c>
      <c r="I3435" s="24" t="s">
        <v>33</v>
      </c>
      <c r="J3435" s="19" t="s">
        <v>104</v>
      </c>
      <c r="K3435" s="14">
        <v>33.0</v>
      </c>
      <c r="L3435" s="14">
        <v>0.0</v>
      </c>
      <c r="M3435" s="25"/>
      <c r="N3435" s="26" t="s">
        <v>21</v>
      </c>
      <c r="O3435" s="7"/>
      <c r="P3435" s="7"/>
      <c r="Q3435" s="7"/>
      <c r="R3435" s="7"/>
      <c r="S3435" s="7"/>
      <c r="T3435" s="7"/>
      <c r="U3435" s="7"/>
      <c r="V3435" s="7"/>
      <c r="W3435" s="7"/>
      <c r="X3435" s="7"/>
      <c r="Y3435" s="7"/>
    </row>
    <row r="3436">
      <c r="A3436" s="14" t="s">
        <v>12258</v>
      </c>
      <c r="B3436" s="17" t="s">
        <v>12256</v>
      </c>
      <c r="C3436" s="17" t="s">
        <v>12259</v>
      </c>
      <c r="D3436" s="19" t="s">
        <v>12260</v>
      </c>
      <c r="E3436" s="20" t="s">
        <v>67</v>
      </c>
      <c r="F3436" s="21">
        <v>34062.0</v>
      </c>
      <c r="G3436" s="14">
        <f t="shared" si="1"/>
        <v>33</v>
      </c>
      <c r="H3436" s="23" t="s">
        <v>26</v>
      </c>
      <c r="I3436" s="24" t="s">
        <v>27</v>
      </c>
      <c r="J3436" s="19" t="s">
        <v>104</v>
      </c>
      <c r="K3436" s="14">
        <v>33.0</v>
      </c>
      <c r="L3436" s="14">
        <v>0.0</v>
      </c>
      <c r="M3436" s="25"/>
      <c r="N3436" s="26" t="s">
        <v>21</v>
      </c>
      <c r="O3436" s="7"/>
      <c r="P3436" s="7"/>
      <c r="Q3436" s="7"/>
      <c r="R3436" s="7"/>
      <c r="S3436" s="7"/>
      <c r="T3436" s="7"/>
      <c r="U3436" s="7"/>
      <c r="V3436" s="7"/>
      <c r="W3436" s="7"/>
      <c r="X3436" s="7"/>
      <c r="Y3436" s="7"/>
    </row>
    <row r="3437">
      <c r="A3437" s="14" t="s">
        <v>12261</v>
      </c>
      <c r="B3437" s="17" t="s">
        <v>12262</v>
      </c>
      <c r="C3437" s="17" t="s">
        <v>12263</v>
      </c>
      <c r="D3437" s="19" t="s">
        <v>12264</v>
      </c>
      <c r="E3437" s="20" t="s">
        <v>1816</v>
      </c>
      <c r="F3437" s="21">
        <v>23962.0</v>
      </c>
      <c r="G3437" s="14">
        <f t="shared" si="1"/>
        <v>61</v>
      </c>
      <c r="H3437" s="23" t="s">
        <v>27</v>
      </c>
      <c r="I3437" s="24" t="s">
        <v>27</v>
      </c>
      <c r="J3437" s="19" t="s">
        <v>282</v>
      </c>
      <c r="K3437" s="14">
        <v>18.0</v>
      </c>
      <c r="L3437" s="14">
        <v>0.0</v>
      </c>
      <c r="M3437" s="25"/>
      <c r="N3437" s="26" t="s">
        <v>21</v>
      </c>
      <c r="O3437" s="7"/>
      <c r="P3437" s="7"/>
      <c r="Q3437" s="7"/>
      <c r="R3437" s="7"/>
      <c r="S3437" s="7"/>
      <c r="T3437" s="7"/>
      <c r="U3437" s="7"/>
      <c r="V3437" s="7"/>
      <c r="W3437" s="7"/>
      <c r="X3437" s="7"/>
      <c r="Y3437" s="7"/>
    </row>
    <row r="3438">
      <c r="A3438" s="14" t="s">
        <v>12265</v>
      </c>
      <c r="B3438" s="17" t="s">
        <v>12266</v>
      </c>
      <c r="C3438" s="17" t="s">
        <v>12267</v>
      </c>
      <c r="D3438" s="19" t="s">
        <v>12268</v>
      </c>
      <c r="E3438" s="20" t="s">
        <v>632</v>
      </c>
      <c r="F3438" s="21">
        <v>19725.0</v>
      </c>
      <c r="G3438" s="14">
        <f t="shared" si="1"/>
        <v>72</v>
      </c>
      <c r="H3438" s="23" t="s">
        <v>27</v>
      </c>
      <c r="I3438" s="24" t="s">
        <v>33</v>
      </c>
      <c r="J3438" s="19" t="s">
        <v>53</v>
      </c>
      <c r="K3438" s="14">
        <v>27.0</v>
      </c>
      <c r="L3438" s="14">
        <v>1.0</v>
      </c>
      <c r="M3438" s="25"/>
      <c r="N3438" s="26" t="s">
        <v>21</v>
      </c>
      <c r="O3438" s="7"/>
      <c r="P3438" s="7"/>
      <c r="Q3438" s="7"/>
      <c r="R3438" s="7"/>
      <c r="S3438" s="7"/>
      <c r="T3438" s="7"/>
      <c r="U3438" s="7"/>
      <c r="V3438" s="7"/>
      <c r="W3438" s="7"/>
      <c r="X3438" s="7"/>
      <c r="Y3438" s="7"/>
    </row>
    <row r="3439">
      <c r="A3439" s="14" t="s">
        <v>12269</v>
      </c>
      <c r="B3439" s="17" t="s">
        <v>12270</v>
      </c>
      <c r="C3439" s="17" t="s">
        <v>12271</v>
      </c>
      <c r="D3439" s="19" t="s">
        <v>12272</v>
      </c>
      <c r="E3439" s="20" t="s">
        <v>989</v>
      </c>
      <c r="F3439" s="27">
        <v>37239.0</v>
      </c>
      <c r="G3439" s="14">
        <f t="shared" si="1"/>
        <v>24</v>
      </c>
      <c r="H3439" s="23" t="s">
        <v>100</v>
      </c>
      <c r="I3439" s="24" t="s">
        <v>33</v>
      </c>
      <c r="J3439" s="19" t="s">
        <v>53</v>
      </c>
      <c r="K3439" s="14">
        <v>27.0</v>
      </c>
      <c r="L3439" s="14">
        <v>0.0</v>
      </c>
      <c r="M3439" s="25"/>
      <c r="N3439" s="26" t="s">
        <v>21</v>
      </c>
      <c r="O3439" s="7"/>
      <c r="P3439" s="7"/>
      <c r="Q3439" s="7"/>
      <c r="R3439" s="7"/>
      <c r="S3439" s="7"/>
      <c r="T3439" s="7"/>
      <c r="U3439" s="7"/>
      <c r="V3439" s="7"/>
      <c r="W3439" s="7"/>
      <c r="X3439" s="7"/>
      <c r="Y3439" s="7"/>
    </row>
    <row r="3440">
      <c r="A3440" s="14" t="s">
        <v>12273</v>
      </c>
      <c r="B3440" s="17" t="s">
        <v>12270</v>
      </c>
      <c r="C3440" s="17" t="s">
        <v>12274</v>
      </c>
      <c r="D3440" s="19" t="s">
        <v>12275</v>
      </c>
      <c r="E3440" s="20" t="s">
        <v>989</v>
      </c>
      <c r="F3440" s="21">
        <v>28873.0</v>
      </c>
      <c r="G3440" s="14">
        <f t="shared" si="1"/>
        <v>47</v>
      </c>
      <c r="H3440" s="23" t="s">
        <v>26</v>
      </c>
      <c r="I3440" s="24" t="s">
        <v>27</v>
      </c>
      <c r="J3440" s="19" t="s">
        <v>53</v>
      </c>
      <c r="K3440" s="14">
        <v>27.0</v>
      </c>
      <c r="L3440" s="14">
        <v>0.0</v>
      </c>
      <c r="M3440" s="25"/>
      <c r="N3440" s="26" t="s">
        <v>21</v>
      </c>
      <c r="O3440" s="7"/>
      <c r="P3440" s="7"/>
      <c r="Q3440" s="7"/>
      <c r="R3440" s="7"/>
      <c r="S3440" s="7"/>
      <c r="T3440" s="7"/>
      <c r="U3440" s="7"/>
      <c r="V3440" s="7"/>
      <c r="W3440" s="7"/>
      <c r="X3440" s="7"/>
      <c r="Y3440" s="7"/>
    </row>
    <row r="3441">
      <c r="A3441" s="14" t="s">
        <v>12276</v>
      </c>
      <c r="B3441" s="17" t="s">
        <v>12270</v>
      </c>
      <c r="C3441" s="17" t="s">
        <v>12277</v>
      </c>
      <c r="D3441" s="19" t="s">
        <v>4380</v>
      </c>
      <c r="E3441" s="20" t="s">
        <v>632</v>
      </c>
      <c r="F3441" s="21">
        <v>26427.0</v>
      </c>
      <c r="G3441" s="14">
        <f t="shared" si="1"/>
        <v>54</v>
      </c>
      <c r="H3441" s="23" t="s">
        <v>26</v>
      </c>
      <c r="I3441" s="24" t="s">
        <v>33</v>
      </c>
      <c r="J3441" s="19" t="s">
        <v>53</v>
      </c>
      <c r="K3441" s="14">
        <v>27.0</v>
      </c>
      <c r="L3441" s="14">
        <v>0.0</v>
      </c>
      <c r="M3441" s="25"/>
      <c r="N3441" s="26" t="s">
        <v>21</v>
      </c>
      <c r="O3441" s="7"/>
      <c r="P3441" s="7"/>
      <c r="Q3441" s="7"/>
      <c r="R3441" s="7"/>
      <c r="S3441" s="7"/>
      <c r="T3441" s="7"/>
      <c r="U3441" s="7"/>
      <c r="V3441" s="7"/>
      <c r="W3441" s="7"/>
      <c r="X3441" s="7"/>
      <c r="Y3441" s="7"/>
    </row>
    <row r="3442">
      <c r="A3442" s="14" t="s">
        <v>12278</v>
      </c>
      <c r="B3442" s="17" t="s">
        <v>12279</v>
      </c>
      <c r="C3442" s="17" t="s">
        <v>12280</v>
      </c>
      <c r="D3442" s="19" t="s">
        <v>12281</v>
      </c>
      <c r="E3442" s="20" t="s">
        <v>104</v>
      </c>
      <c r="F3442" s="21">
        <v>36401.0</v>
      </c>
      <c r="G3442" s="14">
        <f t="shared" si="1"/>
        <v>27</v>
      </c>
      <c r="H3442" s="23" t="s">
        <v>100</v>
      </c>
      <c r="I3442" s="24" t="s">
        <v>33</v>
      </c>
      <c r="J3442" s="19" t="s">
        <v>53</v>
      </c>
      <c r="K3442" s="14">
        <v>6.0</v>
      </c>
      <c r="L3442" s="14">
        <v>0.0</v>
      </c>
      <c r="M3442" s="25"/>
      <c r="N3442" s="26" t="s">
        <v>21</v>
      </c>
      <c r="O3442" s="7"/>
      <c r="P3442" s="7"/>
      <c r="Q3442" s="7"/>
      <c r="R3442" s="7"/>
      <c r="S3442" s="7"/>
      <c r="T3442" s="7"/>
      <c r="U3442" s="7"/>
      <c r="V3442" s="7"/>
      <c r="W3442" s="7"/>
      <c r="X3442" s="7"/>
      <c r="Y3442" s="7"/>
    </row>
    <row r="3443">
      <c r="A3443" s="14" t="s">
        <v>12283</v>
      </c>
      <c r="B3443" s="17" t="s">
        <v>12279</v>
      </c>
      <c r="C3443" s="17" t="s">
        <v>12284</v>
      </c>
      <c r="D3443" s="19" t="s">
        <v>12285</v>
      </c>
      <c r="E3443" s="20" t="s">
        <v>210</v>
      </c>
      <c r="F3443" s="27">
        <v>27388.0</v>
      </c>
      <c r="G3443" s="14">
        <f t="shared" si="1"/>
        <v>51</v>
      </c>
      <c r="H3443" s="23" t="s">
        <v>26</v>
      </c>
      <c r="I3443" s="24" t="s">
        <v>33</v>
      </c>
      <c r="J3443" s="19" t="s">
        <v>53</v>
      </c>
      <c r="K3443" s="14">
        <v>6.0</v>
      </c>
      <c r="L3443" s="14">
        <v>0.0</v>
      </c>
      <c r="M3443" s="25"/>
      <c r="N3443" s="26" t="s">
        <v>21</v>
      </c>
      <c r="O3443" s="7"/>
      <c r="P3443" s="7"/>
      <c r="Q3443" s="7"/>
      <c r="R3443" s="7"/>
      <c r="S3443" s="7"/>
      <c r="T3443" s="7"/>
      <c r="U3443" s="7"/>
      <c r="V3443" s="7"/>
      <c r="W3443" s="7"/>
      <c r="X3443" s="7"/>
      <c r="Y3443" s="7"/>
    </row>
    <row r="3444">
      <c r="A3444" s="14" t="s">
        <v>12286</v>
      </c>
      <c r="B3444" s="17" t="s">
        <v>12279</v>
      </c>
      <c r="C3444" s="17" t="s">
        <v>12287</v>
      </c>
      <c r="D3444" s="19" t="s">
        <v>5493</v>
      </c>
      <c r="E3444" s="20" t="s">
        <v>195</v>
      </c>
      <c r="F3444" s="27">
        <v>30268.0</v>
      </c>
      <c r="G3444" s="14">
        <f t="shared" si="1"/>
        <v>43</v>
      </c>
      <c r="H3444" s="23" t="s">
        <v>26</v>
      </c>
      <c r="I3444" s="24" t="s">
        <v>27</v>
      </c>
      <c r="J3444" s="19" t="s">
        <v>53</v>
      </c>
      <c r="K3444" s="14">
        <v>6.0</v>
      </c>
      <c r="L3444" s="14">
        <v>1.0</v>
      </c>
      <c r="M3444" s="25"/>
      <c r="N3444" s="26" t="s">
        <v>21</v>
      </c>
      <c r="O3444" s="7"/>
      <c r="P3444" s="7"/>
      <c r="Q3444" s="7"/>
      <c r="R3444" s="7"/>
      <c r="S3444" s="7"/>
      <c r="T3444" s="7"/>
      <c r="U3444" s="7"/>
      <c r="V3444" s="7"/>
      <c r="W3444" s="7"/>
      <c r="X3444" s="7"/>
      <c r="Y3444" s="7"/>
    </row>
    <row r="3445">
      <c r="A3445" s="14" t="s">
        <v>12288</v>
      </c>
      <c r="B3445" s="17" t="s">
        <v>12289</v>
      </c>
      <c r="C3445" s="17" t="s">
        <v>12290</v>
      </c>
      <c r="D3445" s="19" t="s">
        <v>12291</v>
      </c>
      <c r="E3445" s="20" t="s">
        <v>2496</v>
      </c>
      <c r="F3445" s="27">
        <v>29942.0</v>
      </c>
      <c r="G3445" s="14">
        <f t="shared" si="1"/>
        <v>44</v>
      </c>
      <c r="H3445" s="23" t="s">
        <v>26</v>
      </c>
      <c r="I3445" s="24" t="s">
        <v>33</v>
      </c>
      <c r="J3445" s="19" t="s">
        <v>53</v>
      </c>
      <c r="K3445" s="14">
        <v>6.0</v>
      </c>
      <c r="L3445" s="14">
        <v>0.0</v>
      </c>
      <c r="M3445" s="25"/>
      <c r="N3445" s="26" t="s">
        <v>21</v>
      </c>
      <c r="O3445" s="7"/>
      <c r="P3445" s="7"/>
      <c r="Q3445" s="7"/>
      <c r="R3445" s="7"/>
      <c r="S3445" s="7"/>
      <c r="T3445" s="7"/>
      <c r="U3445" s="7"/>
      <c r="V3445" s="7"/>
      <c r="W3445" s="7"/>
      <c r="X3445" s="7"/>
      <c r="Y3445" s="7"/>
    </row>
    <row r="3446">
      <c r="A3446" s="14" t="s">
        <v>12292</v>
      </c>
      <c r="B3446" s="17" t="s">
        <v>12289</v>
      </c>
      <c r="C3446" s="17" t="s">
        <v>12293</v>
      </c>
      <c r="D3446" s="19" t="s">
        <v>12294</v>
      </c>
      <c r="E3446" s="20" t="s">
        <v>53</v>
      </c>
      <c r="F3446" s="21">
        <v>38184.0</v>
      </c>
      <c r="G3446" s="14">
        <f t="shared" si="1"/>
        <v>22</v>
      </c>
      <c r="H3446" s="23" t="s">
        <v>100</v>
      </c>
      <c r="I3446" s="24" t="s">
        <v>27</v>
      </c>
      <c r="J3446" s="19" t="s">
        <v>53</v>
      </c>
      <c r="K3446" s="14">
        <v>6.0</v>
      </c>
      <c r="L3446" s="14">
        <v>0.0</v>
      </c>
      <c r="M3446" s="25"/>
      <c r="N3446" s="26" t="s">
        <v>21</v>
      </c>
      <c r="O3446" s="7"/>
      <c r="P3446" s="7"/>
      <c r="Q3446" s="7"/>
      <c r="R3446" s="7"/>
      <c r="S3446" s="7"/>
      <c r="T3446" s="7"/>
      <c r="U3446" s="7"/>
      <c r="V3446" s="7"/>
      <c r="W3446" s="7"/>
      <c r="X3446" s="7"/>
      <c r="Y3446" s="7"/>
    </row>
    <row r="3447">
      <c r="A3447" s="14" t="s">
        <v>12295</v>
      </c>
      <c r="B3447" s="17" t="s">
        <v>12289</v>
      </c>
      <c r="C3447" s="17" t="s">
        <v>12296</v>
      </c>
      <c r="D3447" s="19" t="s">
        <v>2640</v>
      </c>
      <c r="E3447" s="20" t="s">
        <v>138</v>
      </c>
      <c r="F3447" s="21">
        <v>30410.0</v>
      </c>
      <c r="G3447" s="14">
        <f t="shared" si="1"/>
        <v>43</v>
      </c>
      <c r="H3447" s="23" t="s">
        <v>26</v>
      </c>
      <c r="I3447" s="24" t="s">
        <v>27</v>
      </c>
      <c r="J3447" s="19" t="s">
        <v>53</v>
      </c>
      <c r="K3447" s="14">
        <v>6.0</v>
      </c>
      <c r="L3447" s="14">
        <v>0.0</v>
      </c>
      <c r="M3447" s="25"/>
      <c r="N3447" s="26" t="s">
        <v>21</v>
      </c>
      <c r="O3447" s="7"/>
      <c r="P3447" s="7"/>
      <c r="Q3447" s="7"/>
      <c r="R3447" s="7"/>
      <c r="S3447" s="7"/>
      <c r="T3447" s="7"/>
      <c r="U3447" s="7"/>
      <c r="V3447" s="7"/>
      <c r="W3447" s="7"/>
      <c r="X3447" s="7"/>
      <c r="Y3447" s="7"/>
    </row>
    <row r="3448">
      <c r="A3448" s="14" t="s">
        <v>12297</v>
      </c>
      <c r="B3448" s="17" t="s">
        <v>12298</v>
      </c>
      <c r="C3448" s="17" t="s">
        <v>12299</v>
      </c>
      <c r="D3448" s="19" t="s">
        <v>12300</v>
      </c>
      <c r="E3448" s="20" t="s">
        <v>290</v>
      </c>
      <c r="F3448" s="27">
        <v>25562.0</v>
      </c>
      <c r="G3448" s="14">
        <f t="shared" si="1"/>
        <v>56</v>
      </c>
      <c r="H3448" s="23" t="s">
        <v>26</v>
      </c>
      <c r="I3448" s="24" t="s">
        <v>33</v>
      </c>
      <c r="J3448" s="19" t="s">
        <v>53</v>
      </c>
      <c r="K3448" s="14">
        <v>6.0</v>
      </c>
      <c r="L3448" s="14">
        <v>0.0</v>
      </c>
      <c r="M3448" s="25"/>
      <c r="N3448" s="26" t="s">
        <v>21</v>
      </c>
      <c r="O3448" s="7"/>
      <c r="P3448" s="7"/>
      <c r="Q3448" s="7"/>
      <c r="R3448" s="7"/>
      <c r="S3448" s="7"/>
      <c r="T3448" s="7"/>
      <c r="U3448" s="7"/>
      <c r="V3448" s="7"/>
      <c r="W3448" s="7"/>
      <c r="X3448" s="7"/>
      <c r="Y3448" s="7"/>
    </row>
    <row r="3449">
      <c r="A3449" s="14" t="s">
        <v>12301</v>
      </c>
      <c r="B3449" s="17" t="s">
        <v>12298</v>
      </c>
      <c r="C3449" s="17" t="s">
        <v>12302</v>
      </c>
      <c r="D3449" s="19" t="s">
        <v>12303</v>
      </c>
      <c r="E3449" s="20" t="s">
        <v>104</v>
      </c>
      <c r="F3449" s="21">
        <v>38616.0</v>
      </c>
      <c r="G3449" s="14">
        <f t="shared" si="1"/>
        <v>21</v>
      </c>
      <c r="H3449" s="23" t="s">
        <v>100</v>
      </c>
      <c r="I3449" s="24" t="s">
        <v>27</v>
      </c>
      <c r="J3449" s="19" t="s">
        <v>53</v>
      </c>
      <c r="K3449" s="14">
        <v>6.0</v>
      </c>
      <c r="L3449" s="14">
        <v>0.0</v>
      </c>
      <c r="M3449" s="25"/>
      <c r="N3449" s="26" t="s">
        <v>21</v>
      </c>
      <c r="O3449" s="7"/>
      <c r="P3449" s="7"/>
      <c r="Q3449" s="7"/>
      <c r="R3449" s="7"/>
      <c r="S3449" s="7"/>
      <c r="T3449" s="7"/>
      <c r="U3449" s="7"/>
      <c r="V3449" s="7"/>
      <c r="W3449" s="7"/>
      <c r="X3449" s="7"/>
      <c r="Y3449" s="7"/>
    </row>
    <row r="3450">
      <c r="A3450" s="14" t="s">
        <v>12304</v>
      </c>
      <c r="B3450" s="17" t="s">
        <v>12298</v>
      </c>
      <c r="C3450" s="17" t="s">
        <v>12305</v>
      </c>
      <c r="D3450" s="19" t="s">
        <v>12306</v>
      </c>
      <c r="E3450" s="20" t="s">
        <v>104</v>
      </c>
      <c r="F3450" s="27">
        <v>27386.0</v>
      </c>
      <c r="G3450" s="14">
        <f t="shared" si="1"/>
        <v>51</v>
      </c>
      <c r="H3450" s="23" t="s">
        <v>26</v>
      </c>
      <c r="I3450" s="24" t="s">
        <v>27</v>
      </c>
      <c r="J3450" s="19" t="s">
        <v>53</v>
      </c>
      <c r="K3450" s="14">
        <v>6.0</v>
      </c>
      <c r="L3450" s="14">
        <v>0.0</v>
      </c>
      <c r="M3450" s="25"/>
      <c r="N3450" s="26" t="s">
        <v>21</v>
      </c>
      <c r="O3450" s="7"/>
      <c r="P3450" s="7"/>
      <c r="Q3450" s="7"/>
      <c r="R3450" s="7"/>
      <c r="S3450" s="7"/>
      <c r="T3450" s="7"/>
      <c r="U3450" s="7"/>
      <c r="V3450" s="7"/>
      <c r="W3450" s="7"/>
      <c r="X3450" s="7"/>
      <c r="Y3450" s="7"/>
    </row>
    <row r="3451">
      <c r="A3451" s="14" t="s">
        <v>12307</v>
      </c>
      <c r="B3451" s="17" t="s">
        <v>12298</v>
      </c>
      <c r="C3451" s="17" t="s">
        <v>12308</v>
      </c>
      <c r="D3451" s="19" t="s">
        <v>2994</v>
      </c>
      <c r="E3451" s="20" t="s">
        <v>274</v>
      </c>
      <c r="F3451" s="21">
        <v>34931.0</v>
      </c>
      <c r="G3451" s="14">
        <f t="shared" si="1"/>
        <v>31</v>
      </c>
      <c r="H3451" s="23" t="s">
        <v>100</v>
      </c>
      <c r="I3451" s="24" t="s">
        <v>33</v>
      </c>
      <c r="J3451" s="19" t="s">
        <v>53</v>
      </c>
      <c r="K3451" s="14">
        <v>6.0</v>
      </c>
      <c r="L3451" s="14">
        <v>0.0</v>
      </c>
      <c r="M3451" s="25"/>
      <c r="N3451" s="26" t="s">
        <v>21</v>
      </c>
      <c r="O3451" s="7"/>
      <c r="P3451" s="7"/>
      <c r="Q3451" s="7"/>
      <c r="R3451" s="7"/>
      <c r="S3451" s="7"/>
      <c r="T3451" s="7"/>
      <c r="U3451" s="7"/>
      <c r="V3451" s="7"/>
      <c r="W3451" s="7"/>
      <c r="X3451" s="7"/>
      <c r="Y3451" s="7"/>
    </row>
    <row r="3452">
      <c r="A3452" s="14" t="s">
        <v>12309</v>
      </c>
      <c r="B3452" s="17" t="s">
        <v>12310</v>
      </c>
      <c r="C3452" s="17" t="s">
        <v>12311</v>
      </c>
      <c r="D3452" s="19" t="s">
        <v>12312</v>
      </c>
      <c r="E3452" s="20" t="s">
        <v>138</v>
      </c>
      <c r="F3452" s="21">
        <v>35585.0</v>
      </c>
      <c r="G3452" s="14">
        <f t="shared" si="1"/>
        <v>29</v>
      </c>
      <c r="H3452" s="23" t="s">
        <v>100</v>
      </c>
      <c r="I3452" s="24" t="s">
        <v>33</v>
      </c>
      <c r="J3452" s="19" t="s">
        <v>53</v>
      </c>
      <c r="K3452" s="14">
        <v>6.0</v>
      </c>
      <c r="L3452" s="14">
        <v>0.0</v>
      </c>
      <c r="M3452" s="25"/>
      <c r="N3452" s="26" t="s">
        <v>21</v>
      </c>
      <c r="O3452" s="7"/>
      <c r="P3452" s="7"/>
      <c r="Q3452" s="7"/>
      <c r="R3452" s="7"/>
      <c r="S3452" s="7"/>
      <c r="T3452" s="7"/>
      <c r="U3452" s="7"/>
      <c r="V3452" s="7"/>
      <c r="W3452" s="7"/>
      <c r="X3452" s="7"/>
      <c r="Y3452" s="7"/>
    </row>
    <row r="3453">
      <c r="A3453" s="14" t="s">
        <v>12313</v>
      </c>
      <c r="B3453" s="17" t="s">
        <v>12310</v>
      </c>
      <c r="C3453" s="17" t="s">
        <v>12314</v>
      </c>
      <c r="D3453" s="19" t="s">
        <v>12315</v>
      </c>
      <c r="E3453" s="20" t="s">
        <v>434</v>
      </c>
      <c r="F3453" s="27">
        <v>23695.0</v>
      </c>
      <c r="G3453" s="14">
        <f t="shared" si="1"/>
        <v>61</v>
      </c>
      <c r="H3453" s="23" t="s">
        <v>26</v>
      </c>
      <c r="I3453" s="24" t="s">
        <v>33</v>
      </c>
      <c r="J3453" s="19" t="s">
        <v>53</v>
      </c>
      <c r="K3453" s="14">
        <v>6.0</v>
      </c>
      <c r="L3453" s="14">
        <v>0.0</v>
      </c>
      <c r="M3453" s="25"/>
      <c r="N3453" s="26" t="s">
        <v>21</v>
      </c>
      <c r="O3453" s="7"/>
      <c r="P3453" s="7"/>
      <c r="Q3453" s="7"/>
      <c r="R3453" s="7"/>
      <c r="S3453" s="7"/>
      <c r="T3453" s="7"/>
      <c r="U3453" s="7"/>
      <c r="V3453" s="7"/>
      <c r="W3453" s="7"/>
      <c r="X3453" s="7"/>
      <c r="Y3453" s="7"/>
    </row>
    <row r="3454">
      <c r="A3454" s="14" t="s">
        <v>12316</v>
      </c>
      <c r="B3454" s="17" t="s">
        <v>12310</v>
      </c>
      <c r="C3454" s="17" t="s">
        <v>12317</v>
      </c>
      <c r="D3454" s="19" t="s">
        <v>2725</v>
      </c>
      <c r="E3454" s="20" t="s">
        <v>9953</v>
      </c>
      <c r="F3454" s="21">
        <v>27466.0</v>
      </c>
      <c r="G3454" s="14">
        <f t="shared" si="1"/>
        <v>51</v>
      </c>
      <c r="H3454" s="23" t="s">
        <v>26</v>
      </c>
      <c r="I3454" s="24" t="s">
        <v>27</v>
      </c>
      <c r="J3454" s="19" t="s">
        <v>53</v>
      </c>
      <c r="K3454" s="14">
        <v>6.0</v>
      </c>
      <c r="L3454" s="14">
        <v>0.0</v>
      </c>
      <c r="M3454" s="25"/>
      <c r="N3454" s="26" t="s">
        <v>21</v>
      </c>
      <c r="O3454" s="7"/>
      <c r="P3454" s="7"/>
      <c r="Q3454" s="7"/>
      <c r="R3454" s="7"/>
      <c r="S3454" s="7"/>
      <c r="T3454" s="7"/>
      <c r="U3454" s="7"/>
      <c r="V3454" s="7"/>
      <c r="W3454" s="7"/>
      <c r="X3454" s="7"/>
      <c r="Y3454" s="7"/>
    </row>
    <row r="3455">
      <c r="A3455" s="14" t="s">
        <v>12318</v>
      </c>
      <c r="B3455" s="17" t="s">
        <v>12319</v>
      </c>
      <c r="C3455" s="17" t="s">
        <v>12320</v>
      </c>
      <c r="D3455" s="19" t="s">
        <v>12321</v>
      </c>
      <c r="E3455" s="20" t="s">
        <v>4976</v>
      </c>
      <c r="F3455" s="21">
        <v>32249.0</v>
      </c>
      <c r="G3455" s="14">
        <f t="shared" si="1"/>
        <v>38</v>
      </c>
      <c r="H3455" s="23" t="s">
        <v>26</v>
      </c>
      <c r="I3455" s="24" t="s">
        <v>27</v>
      </c>
      <c r="J3455" s="19" t="s">
        <v>726</v>
      </c>
      <c r="K3455" s="14">
        <v>29.0</v>
      </c>
      <c r="L3455" s="14">
        <v>0.0</v>
      </c>
      <c r="M3455" s="25"/>
      <c r="N3455" s="26" t="s">
        <v>21</v>
      </c>
      <c r="O3455" s="7"/>
      <c r="P3455" s="7"/>
      <c r="Q3455" s="7"/>
      <c r="R3455" s="7"/>
      <c r="S3455" s="7"/>
      <c r="T3455" s="7"/>
      <c r="U3455" s="7"/>
      <c r="V3455" s="7"/>
      <c r="W3455" s="7"/>
      <c r="X3455" s="7"/>
      <c r="Y3455" s="7"/>
    </row>
    <row r="3456">
      <c r="A3456" s="14" t="s">
        <v>12322</v>
      </c>
      <c r="B3456" s="17" t="s">
        <v>12319</v>
      </c>
      <c r="C3456" s="17" t="s">
        <v>12323</v>
      </c>
      <c r="D3456" s="19" t="s">
        <v>12324</v>
      </c>
      <c r="E3456" s="20" t="s">
        <v>53</v>
      </c>
      <c r="F3456" s="21">
        <v>31048.0</v>
      </c>
      <c r="G3456" s="14">
        <f t="shared" si="1"/>
        <v>41</v>
      </c>
      <c r="H3456" s="23" t="s">
        <v>26</v>
      </c>
      <c r="I3456" s="24" t="s">
        <v>33</v>
      </c>
      <c r="J3456" s="19" t="s">
        <v>726</v>
      </c>
      <c r="K3456" s="14">
        <v>29.0</v>
      </c>
      <c r="L3456" s="14">
        <v>0.0</v>
      </c>
      <c r="M3456" s="25"/>
      <c r="N3456" s="26" t="s">
        <v>21</v>
      </c>
      <c r="O3456" s="7"/>
      <c r="P3456" s="7"/>
      <c r="Q3456" s="7"/>
      <c r="R3456" s="7"/>
      <c r="S3456" s="7"/>
      <c r="T3456" s="7"/>
      <c r="U3456" s="7"/>
      <c r="V3456" s="7"/>
      <c r="W3456" s="7"/>
      <c r="X3456" s="7"/>
      <c r="Y3456" s="7"/>
    </row>
    <row r="3457">
      <c r="A3457" s="14" t="s">
        <v>12325</v>
      </c>
      <c r="B3457" s="17" t="s">
        <v>12326</v>
      </c>
      <c r="C3457" s="17" t="s">
        <v>12327</v>
      </c>
      <c r="D3457" s="19" t="s">
        <v>12328</v>
      </c>
      <c r="E3457" s="20" t="s">
        <v>12329</v>
      </c>
      <c r="F3457" s="21">
        <v>35605.0</v>
      </c>
      <c r="G3457" s="14">
        <f t="shared" si="1"/>
        <v>29</v>
      </c>
      <c r="H3457" s="23" t="s">
        <v>26</v>
      </c>
      <c r="I3457" s="24" t="s">
        <v>33</v>
      </c>
      <c r="J3457" s="19" t="s">
        <v>328</v>
      </c>
      <c r="K3457" s="14">
        <v>25.0</v>
      </c>
      <c r="L3457" s="14">
        <v>0.0</v>
      </c>
      <c r="M3457" s="25"/>
      <c r="N3457" s="26" t="s">
        <v>21</v>
      </c>
      <c r="O3457" s="7"/>
      <c r="P3457" s="7"/>
      <c r="Q3457" s="7"/>
      <c r="R3457" s="7"/>
      <c r="S3457" s="7"/>
      <c r="T3457" s="7"/>
      <c r="U3457" s="7"/>
      <c r="V3457" s="7"/>
      <c r="W3457" s="7"/>
      <c r="X3457" s="7"/>
      <c r="Y3457" s="7"/>
    </row>
    <row r="3458">
      <c r="A3458" s="14" t="s">
        <v>12330</v>
      </c>
      <c r="B3458" s="17" t="s">
        <v>12326</v>
      </c>
      <c r="C3458" s="17" t="s">
        <v>12331</v>
      </c>
      <c r="D3458" s="19" t="s">
        <v>12332</v>
      </c>
      <c r="E3458" s="20" t="s">
        <v>210</v>
      </c>
      <c r="F3458" s="21">
        <v>36434.0</v>
      </c>
      <c r="G3458" s="14">
        <f t="shared" si="1"/>
        <v>27</v>
      </c>
      <c r="H3458" s="23" t="s">
        <v>26</v>
      </c>
      <c r="I3458" s="24" t="s">
        <v>27</v>
      </c>
      <c r="J3458" s="19" t="s">
        <v>328</v>
      </c>
      <c r="K3458" s="14">
        <v>25.0</v>
      </c>
      <c r="L3458" s="14">
        <v>0.0</v>
      </c>
      <c r="M3458" s="25"/>
      <c r="N3458" s="26" t="s">
        <v>21</v>
      </c>
      <c r="O3458" s="7"/>
      <c r="P3458" s="7"/>
      <c r="Q3458" s="7"/>
      <c r="R3458" s="7"/>
      <c r="S3458" s="7"/>
      <c r="T3458" s="7"/>
      <c r="U3458" s="7"/>
      <c r="V3458" s="7"/>
      <c r="W3458" s="7"/>
      <c r="X3458" s="7"/>
      <c r="Y3458" s="7"/>
    </row>
    <row r="3459">
      <c r="A3459" s="14" t="s">
        <v>12333</v>
      </c>
      <c r="B3459" s="17" t="s">
        <v>12334</v>
      </c>
      <c r="C3459" s="17" t="s">
        <v>12335</v>
      </c>
      <c r="D3459" s="19" t="s">
        <v>12336</v>
      </c>
      <c r="E3459" s="20" t="s">
        <v>104</v>
      </c>
      <c r="F3459" s="21">
        <v>29323.0</v>
      </c>
      <c r="G3459" s="14">
        <f t="shared" si="1"/>
        <v>46</v>
      </c>
      <c r="H3459" s="23" t="s">
        <v>26</v>
      </c>
      <c r="I3459" s="24" t="s">
        <v>27</v>
      </c>
      <c r="J3459" s="19" t="s">
        <v>104</v>
      </c>
      <c r="K3459" s="14">
        <v>32.0</v>
      </c>
      <c r="L3459" s="14">
        <v>0.0</v>
      </c>
      <c r="M3459" s="25"/>
      <c r="N3459" s="26" t="s">
        <v>21</v>
      </c>
      <c r="O3459" s="7"/>
      <c r="P3459" s="7"/>
      <c r="Q3459" s="7"/>
      <c r="R3459" s="7"/>
      <c r="S3459" s="7"/>
      <c r="T3459" s="7"/>
      <c r="U3459" s="7"/>
      <c r="V3459" s="7"/>
      <c r="W3459" s="7"/>
      <c r="X3459" s="7"/>
      <c r="Y3459" s="7"/>
    </row>
    <row r="3460">
      <c r="A3460" s="14" t="s">
        <v>12337</v>
      </c>
      <c r="B3460" s="17" t="s">
        <v>12334</v>
      </c>
      <c r="C3460" s="17" t="s">
        <v>12338</v>
      </c>
      <c r="D3460" s="19" t="s">
        <v>957</v>
      </c>
      <c r="E3460" s="20" t="s">
        <v>67</v>
      </c>
      <c r="F3460" s="21">
        <v>29263.0</v>
      </c>
      <c r="G3460" s="14">
        <f t="shared" si="1"/>
        <v>46</v>
      </c>
      <c r="H3460" s="23" t="s">
        <v>26</v>
      </c>
      <c r="I3460" s="24" t="s">
        <v>33</v>
      </c>
      <c r="J3460" s="19" t="s">
        <v>104</v>
      </c>
      <c r="K3460" s="14">
        <v>32.0</v>
      </c>
      <c r="L3460" s="14">
        <v>0.0</v>
      </c>
      <c r="M3460" s="25"/>
      <c r="N3460" s="26" t="s">
        <v>21</v>
      </c>
      <c r="O3460" s="7"/>
      <c r="P3460" s="7"/>
      <c r="Q3460" s="7"/>
      <c r="R3460" s="7"/>
      <c r="S3460" s="7"/>
      <c r="T3460" s="7"/>
      <c r="U3460" s="7"/>
      <c r="V3460" s="7"/>
      <c r="W3460" s="7"/>
      <c r="X3460" s="7"/>
      <c r="Y3460" s="7"/>
    </row>
    <row r="3461">
      <c r="A3461" s="14" t="s">
        <v>12339</v>
      </c>
      <c r="B3461" s="17" t="s">
        <v>12340</v>
      </c>
      <c r="C3461" s="17" t="s">
        <v>12341</v>
      </c>
      <c r="D3461" s="19" t="s">
        <v>12342</v>
      </c>
      <c r="E3461" s="20" t="s">
        <v>624</v>
      </c>
      <c r="F3461" s="21">
        <v>33695.0</v>
      </c>
      <c r="G3461" s="14">
        <f t="shared" si="1"/>
        <v>34</v>
      </c>
      <c r="H3461" s="23" t="s">
        <v>26</v>
      </c>
      <c r="I3461" s="24" t="s">
        <v>27</v>
      </c>
      <c r="J3461" s="19" t="s">
        <v>53</v>
      </c>
      <c r="K3461" s="14">
        <v>18.0</v>
      </c>
      <c r="L3461" s="14">
        <v>0.0</v>
      </c>
      <c r="M3461" s="25"/>
      <c r="N3461" s="26" t="s">
        <v>21</v>
      </c>
      <c r="O3461" s="7"/>
      <c r="P3461" s="7"/>
      <c r="Q3461" s="7"/>
      <c r="R3461" s="7"/>
      <c r="S3461" s="7"/>
      <c r="T3461" s="7"/>
      <c r="U3461" s="7"/>
      <c r="V3461" s="7"/>
      <c r="W3461" s="7"/>
      <c r="X3461" s="7"/>
      <c r="Y3461" s="7"/>
    </row>
    <row r="3462">
      <c r="A3462" s="14" t="s">
        <v>12343</v>
      </c>
      <c r="B3462" s="17" t="s">
        <v>12340</v>
      </c>
      <c r="C3462" s="17" t="s">
        <v>12344</v>
      </c>
      <c r="D3462" s="19" t="s">
        <v>12345</v>
      </c>
      <c r="E3462" s="20" t="s">
        <v>104</v>
      </c>
      <c r="F3462" s="21">
        <v>34133.0</v>
      </c>
      <c r="G3462" s="14">
        <f t="shared" si="1"/>
        <v>33</v>
      </c>
      <c r="H3462" s="23" t="s">
        <v>26</v>
      </c>
      <c r="I3462" s="24" t="s">
        <v>33</v>
      </c>
      <c r="J3462" s="19" t="s">
        <v>53</v>
      </c>
      <c r="K3462" s="14">
        <v>18.0</v>
      </c>
      <c r="L3462" s="14">
        <v>0.0</v>
      </c>
      <c r="M3462" s="25"/>
      <c r="N3462" s="26" t="s">
        <v>21</v>
      </c>
      <c r="O3462" s="7"/>
      <c r="P3462" s="7"/>
      <c r="Q3462" s="7"/>
      <c r="R3462" s="7"/>
      <c r="S3462" s="7"/>
      <c r="T3462" s="7"/>
      <c r="U3462" s="7"/>
      <c r="V3462" s="7"/>
      <c r="W3462" s="7"/>
      <c r="X3462" s="7"/>
      <c r="Y3462" s="7"/>
    </row>
    <row r="3463">
      <c r="A3463" s="14" t="s">
        <v>12346</v>
      </c>
      <c r="B3463" s="17" t="s">
        <v>12347</v>
      </c>
      <c r="C3463" s="17" t="s">
        <v>12348</v>
      </c>
      <c r="D3463" s="19" t="s">
        <v>12349</v>
      </c>
      <c r="E3463" s="20" t="s">
        <v>53</v>
      </c>
      <c r="F3463" s="27">
        <v>32136.0</v>
      </c>
      <c r="G3463" s="14">
        <f t="shared" si="1"/>
        <v>38</v>
      </c>
      <c r="H3463" s="23" t="s">
        <v>26</v>
      </c>
      <c r="I3463" s="24" t="s">
        <v>33</v>
      </c>
      <c r="J3463" s="19" t="s">
        <v>328</v>
      </c>
      <c r="K3463" s="14">
        <v>21.0</v>
      </c>
      <c r="L3463" s="14">
        <v>0.0</v>
      </c>
      <c r="M3463" s="25"/>
      <c r="N3463" s="26" t="s">
        <v>21</v>
      </c>
      <c r="O3463" s="7"/>
      <c r="P3463" s="7"/>
      <c r="Q3463" s="7"/>
      <c r="R3463" s="7"/>
      <c r="S3463" s="7"/>
      <c r="T3463" s="7"/>
      <c r="U3463" s="7"/>
      <c r="V3463" s="7"/>
      <c r="W3463" s="7"/>
      <c r="X3463" s="7"/>
      <c r="Y3463" s="7"/>
    </row>
    <row r="3464">
      <c r="A3464" s="14" t="s">
        <v>12350</v>
      </c>
      <c r="B3464" s="17" t="s">
        <v>12347</v>
      </c>
      <c r="C3464" s="17" t="s">
        <v>12351</v>
      </c>
      <c r="D3464" s="19" t="s">
        <v>12352</v>
      </c>
      <c r="E3464" s="20" t="s">
        <v>104</v>
      </c>
      <c r="F3464" s="21">
        <v>34279.0</v>
      </c>
      <c r="G3464" s="14">
        <f t="shared" si="1"/>
        <v>32</v>
      </c>
      <c r="H3464" s="23" t="s">
        <v>26</v>
      </c>
      <c r="I3464" s="24" t="s">
        <v>27</v>
      </c>
      <c r="J3464" s="19" t="s">
        <v>328</v>
      </c>
      <c r="K3464" s="14">
        <v>21.0</v>
      </c>
      <c r="L3464" s="14">
        <v>0.0</v>
      </c>
      <c r="M3464" s="25"/>
      <c r="N3464" s="26" t="s">
        <v>21</v>
      </c>
      <c r="O3464" s="7"/>
      <c r="P3464" s="7"/>
      <c r="Q3464" s="7"/>
      <c r="R3464" s="7"/>
      <c r="S3464" s="7"/>
      <c r="T3464" s="7"/>
      <c r="U3464" s="7"/>
      <c r="V3464" s="7"/>
      <c r="W3464" s="7"/>
      <c r="X3464" s="7"/>
      <c r="Y3464" s="7"/>
    </row>
    <row r="3465">
      <c r="A3465" s="14" t="s">
        <v>12353</v>
      </c>
      <c r="B3465" s="17" t="s">
        <v>12354</v>
      </c>
      <c r="C3465" s="17" t="s">
        <v>12355</v>
      </c>
      <c r="D3465" s="19" t="s">
        <v>12356</v>
      </c>
      <c r="E3465" s="20" t="s">
        <v>12357</v>
      </c>
      <c r="F3465" s="21">
        <v>34488.0</v>
      </c>
      <c r="G3465" s="14">
        <f t="shared" si="1"/>
        <v>32</v>
      </c>
      <c r="H3465" s="23" t="s">
        <v>26</v>
      </c>
      <c r="I3465" s="24" t="s">
        <v>33</v>
      </c>
      <c r="J3465" s="19" t="s">
        <v>337</v>
      </c>
      <c r="K3465" s="14">
        <v>3.0</v>
      </c>
      <c r="L3465" s="14">
        <v>0.0</v>
      </c>
      <c r="M3465" s="25"/>
      <c r="N3465" s="26" t="s">
        <v>21</v>
      </c>
      <c r="O3465" s="7"/>
      <c r="P3465" s="7"/>
      <c r="Q3465" s="7"/>
      <c r="R3465" s="7"/>
      <c r="S3465" s="7"/>
      <c r="T3465" s="7"/>
      <c r="U3465" s="7"/>
      <c r="V3465" s="7"/>
      <c r="W3465" s="7"/>
      <c r="X3465" s="7"/>
      <c r="Y3465" s="7"/>
    </row>
    <row r="3466">
      <c r="A3466" s="14" t="s">
        <v>12358</v>
      </c>
      <c r="B3466" s="17" t="s">
        <v>12354</v>
      </c>
      <c r="C3466" s="17" t="s">
        <v>12359</v>
      </c>
      <c r="D3466" s="19" t="s">
        <v>12360</v>
      </c>
      <c r="E3466" s="20" t="s">
        <v>104</v>
      </c>
      <c r="F3466" s="27">
        <v>34990.0</v>
      </c>
      <c r="G3466" s="14">
        <f t="shared" si="1"/>
        <v>31</v>
      </c>
      <c r="H3466" s="23" t="s">
        <v>26</v>
      </c>
      <c r="I3466" s="24" t="s">
        <v>27</v>
      </c>
      <c r="J3466" s="19" t="s">
        <v>337</v>
      </c>
      <c r="K3466" s="14">
        <v>3.0</v>
      </c>
      <c r="L3466" s="14">
        <v>0.0</v>
      </c>
      <c r="M3466" s="25"/>
      <c r="N3466" s="26" t="s">
        <v>21</v>
      </c>
      <c r="O3466" s="7"/>
      <c r="P3466" s="7"/>
      <c r="Q3466" s="7"/>
      <c r="R3466" s="7"/>
      <c r="S3466" s="7"/>
      <c r="T3466" s="7"/>
      <c r="U3466" s="7"/>
      <c r="V3466" s="7"/>
      <c r="W3466" s="7"/>
      <c r="X3466" s="7"/>
      <c r="Y3466" s="7"/>
    </row>
    <row r="3467">
      <c r="A3467" s="14" t="s">
        <v>12361</v>
      </c>
      <c r="B3467" s="17" t="s">
        <v>12362</v>
      </c>
      <c r="C3467" s="17" t="s">
        <v>12363</v>
      </c>
      <c r="D3467" s="19" t="s">
        <v>12364</v>
      </c>
      <c r="E3467" s="20" t="s">
        <v>12365</v>
      </c>
      <c r="F3467" s="21">
        <v>26463.0</v>
      </c>
      <c r="G3467" s="14">
        <f t="shared" si="1"/>
        <v>54</v>
      </c>
      <c r="H3467" s="23" t="s">
        <v>26</v>
      </c>
      <c r="I3467" s="24" t="s">
        <v>33</v>
      </c>
      <c r="J3467" s="19" t="s">
        <v>8413</v>
      </c>
      <c r="K3467" s="14">
        <v>28.0</v>
      </c>
      <c r="L3467" s="14">
        <v>5.0</v>
      </c>
      <c r="M3467" s="25"/>
      <c r="N3467" s="26" t="s">
        <v>21</v>
      </c>
      <c r="O3467" s="7"/>
      <c r="P3467" s="7"/>
      <c r="Q3467" s="7"/>
      <c r="R3467" s="7"/>
      <c r="S3467" s="7"/>
      <c r="T3467" s="7"/>
      <c r="U3467" s="7"/>
      <c r="V3467" s="7"/>
      <c r="W3467" s="7"/>
      <c r="X3467" s="7"/>
      <c r="Y3467" s="7"/>
    </row>
    <row r="3468">
      <c r="A3468" s="14" t="s">
        <v>12366</v>
      </c>
      <c r="B3468" s="17" t="s">
        <v>12362</v>
      </c>
      <c r="C3468" s="17" t="s">
        <v>12367</v>
      </c>
      <c r="D3468" s="19" t="s">
        <v>12368</v>
      </c>
      <c r="E3468" s="20" t="s">
        <v>1095</v>
      </c>
      <c r="F3468" s="21">
        <v>29233.0</v>
      </c>
      <c r="G3468" s="14">
        <f t="shared" si="1"/>
        <v>46</v>
      </c>
      <c r="H3468" s="23" t="s">
        <v>26</v>
      </c>
      <c r="I3468" s="24" t="s">
        <v>27</v>
      </c>
      <c r="J3468" s="19" t="s">
        <v>8413</v>
      </c>
      <c r="K3468" s="14">
        <v>28.0</v>
      </c>
      <c r="L3468" s="14">
        <v>5.0</v>
      </c>
      <c r="M3468" s="25"/>
      <c r="N3468" s="26" t="s">
        <v>21</v>
      </c>
      <c r="O3468" s="7"/>
      <c r="P3468" s="7"/>
      <c r="Q3468" s="7"/>
      <c r="R3468" s="7"/>
      <c r="S3468" s="7"/>
      <c r="T3468" s="7"/>
      <c r="U3468" s="7"/>
      <c r="V3468" s="7"/>
      <c r="W3468" s="7"/>
      <c r="X3468" s="7"/>
      <c r="Y3468" s="7"/>
    </row>
    <row r="3469">
      <c r="A3469" s="14" t="s">
        <v>12369</v>
      </c>
      <c r="B3469" s="17" t="s">
        <v>12362</v>
      </c>
      <c r="C3469" s="17" t="s">
        <v>12370</v>
      </c>
      <c r="D3469" s="19" t="s">
        <v>12371</v>
      </c>
      <c r="E3469" s="20" t="s">
        <v>138</v>
      </c>
      <c r="F3469" s="27">
        <v>38278.0</v>
      </c>
      <c r="G3469" s="14">
        <f t="shared" si="1"/>
        <v>22</v>
      </c>
      <c r="H3469" s="23" t="s">
        <v>100</v>
      </c>
      <c r="I3469" s="24" t="s">
        <v>27</v>
      </c>
      <c r="J3469" s="19" t="s">
        <v>8413</v>
      </c>
      <c r="K3469" s="14">
        <v>28.0</v>
      </c>
      <c r="L3469" s="14">
        <v>5.0</v>
      </c>
      <c r="M3469" s="25"/>
      <c r="N3469" s="26" t="s">
        <v>21</v>
      </c>
      <c r="O3469" s="7"/>
      <c r="P3469" s="7"/>
      <c r="Q3469" s="7"/>
      <c r="R3469" s="7"/>
      <c r="S3469" s="7"/>
      <c r="T3469" s="7"/>
      <c r="U3469" s="7"/>
      <c r="V3469" s="7"/>
      <c r="W3469" s="7"/>
      <c r="X3469" s="7"/>
      <c r="Y3469" s="7"/>
    </row>
    <row r="3470">
      <c r="A3470" s="14" t="s">
        <v>12372</v>
      </c>
      <c r="B3470" s="17" t="s">
        <v>12373</v>
      </c>
      <c r="C3470" s="17" t="s">
        <v>12374</v>
      </c>
      <c r="D3470" s="19" t="s">
        <v>12375</v>
      </c>
      <c r="E3470" s="20" t="s">
        <v>104</v>
      </c>
      <c r="F3470" s="21">
        <v>37090.0</v>
      </c>
      <c r="G3470" s="14">
        <f t="shared" si="1"/>
        <v>25</v>
      </c>
      <c r="H3470" s="23" t="s">
        <v>100</v>
      </c>
      <c r="I3470" s="24" t="s">
        <v>27</v>
      </c>
      <c r="J3470" s="19" t="s">
        <v>146</v>
      </c>
      <c r="K3470" s="14">
        <v>10.0</v>
      </c>
      <c r="L3470" s="14">
        <v>0.0</v>
      </c>
      <c r="M3470" s="25"/>
      <c r="N3470" s="26" t="s">
        <v>21</v>
      </c>
      <c r="O3470" s="7"/>
      <c r="P3470" s="7"/>
      <c r="Q3470" s="7"/>
      <c r="R3470" s="7"/>
      <c r="S3470" s="7"/>
      <c r="T3470" s="7"/>
      <c r="U3470" s="7"/>
      <c r="V3470" s="7"/>
      <c r="W3470" s="7"/>
      <c r="X3470" s="7"/>
      <c r="Y3470" s="7"/>
    </row>
    <row r="3471">
      <c r="A3471" s="14" t="s">
        <v>12376</v>
      </c>
      <c r="B3471" s="17" t="s">
        <v>12373</v>
      </c>
      <c r="C3471" s="17" t="s">
        <v>12377</v>
      </c>
      <c r="D3471" s="19" t="s">
        <v>4523</v>
      </c>
      <c r="E3471" s="20" t="s">
        <v>880</v>
      </c>
      <c r="F3471" s="21">
        <v>27038.0</v>
      </c>
      <c r="G3471" s="14">
        <f t="shared" si="1"/>
        <v>52</v>
      </c>
      <c r="H3471" s="23" t="s">
        <v>26</v>
      </c>
      <c r="I3471" s="24" t="s">
        <v>33</v>
      </c>
      <c r="J3471" s="19" t="s">
        <v>146</v>
      </c>
      <c r="K3471" s="14">
        <v>10.0</v>
      </c>
      <c r="L3471" s="14">
        <v>0.0</v>
      </c>
      <c r="M3471" s="25"/>
      <c r="N3471" s="26" t="s">
        <v>21</v>
      </c>
      <c r="O3471" s="7"/>
      <c r="P3471" s="7"/>
      <c r="Q3471" s="7"/>
      <c r="R3471" s="7"/>
      <c r="S3471" s="7"/>
      <c r="T3471" s="7"/>
      <c r="U3471" s="7"/>
      <c r="V3471" s="7"/>
      <c r="W3471" s="7"/>
      <c r="X3471" s="7"/>
      <c r="Y3471" s="7"/>
    </row>
    <row r="3472">
      <c r="A3472" s="14" t="s">
        <v>12378</v>
      </c>
      <c r="B3472" s="17" t="s">
        <v>12373</v>
      </c>
      <c r="C3472" s="17" t="s">
        <v>12379</v>
      </c>
      <c r="D3472" s="19" t="s">
        <v>12380</v>
      </c>
      <c r="E3472" s="20" t="s">
        <v>2680</v>
      </c>
      <c r="F3472" s="21">
        <v>29300.0</v>
      </c>
      <c r="G3472" s="14">
        <f t="shared" si="1"/>
        <v>46</v>
      </c>
      <c r="H3472" s="23" t="s">
        <v>26</v>
      </c>
      <c r="I3472" s="24" t="s">
        <v>27</v>
      </c>
      <c r="J3472" s="19" t="s">
        <v>146</v>
      </c>
      <c r="K3472" s="14">
        <v>10.0</v>
      </c>
      <c r="L3472" s="14">
        <v>0.0</v>
      </c>
      <c r="M3472" s="25"/>
      <c r="N3472" s="26" t="s">
        <v>21</v>
      </c>
      <c r="O3472" s="7"/>
      <c r="P3472" s="7"/>
      <c r="Q3472" s="7"/>
      <c r="R3472" s="7"/>
      <c r="S3472" s="7"/>
      <c r="T3472" s="7"/>
      <c r="U3472" s="7"/>
      <c r="V3472" s="7"/>
      <c r="W3472" s="7"/>
      <c r="X3472" s="7"/>
      <c r="Y3472" s="7"/>
    </row>
    <row r="3473">
      <c r="A3473" s="14" t="s">
        <v>12381</v>
      </c>
      <c r="B3473" s="17" t="s">
        <v>12382</v>
      </c>
      <c r="C3473" s="17" t="s">
        <v>12383</v>
      </c>
      <c r="D3473" s="19" t="s">
        <v>12384</v>
      </c>
      <c r="E3473" s="20" t="s">
        <v>7517</v>
      </c>
      <c r="F3473" s="27">
        <v>22205.0</v>
      </c>
      <c r="G3473" s="14">
        <f t="shared" si="1"/>
        <v>66</v>
      </c>
      <c r="H3473" s="23" t="s">
        <v>26</v>
      </c>
      <c r="I3473" s="24" t="s">
        <v>33</v>
      </c>
      <c r="J3473" s="19" t="s">
        <v>517</v>
      </c>
      <c r="K3473" s="14">
        <v>5.0</v>
      </c>
      <c r="L3473" s="14">
        <v>0.0</v>
      </c>
      <c r="M3473" s="25"/>
      <c r="N3473" s="26" t="s">
        <v>21</v>
      </c>
      <c r="O3473" s="7"/>
      <c r="P3473" s="7"/>
      <c r="Q3473" s="7"/>
      <c r="R3473" s="7"/>
      <c r="S3473" s="7"/>
      <c r="T3473" s="7"/>
      <c r="U3473" s="7"/>
      <c r="V3473" s="7"/>
      <c r="W3473" s="7"/>
      <c r="X3473" s="7"/>
      <c r="Y3473" s="7"/>
    </row>
    <row r="3474">
      <c r="A3474" s="14" t="s">
        <v>12385</v>
      </c>
      <c r="B3474" s="17" t="s">
        <v>12382</v>
      </c>
      <c r="C3474" s="17" t="s">
        <v>12386</v>
      </c>
      <c r="D3474" s="19" t="s">
        <v>661</v>
      </c>
      <c r="E3474" s="20" t="s">
        <v>5046</v>
      </c>
      <c r="F3474" s="21">
        <v>18527.0</v>
      </c>
      <c r="G3474" s="14">
        <f t="shared" si="1"/>
        <v>76</v>
      </c>
      <c r="H3474" s="23" t="s">
        <v>26</v>
      </c>
      <c r="I3474" s="24" t="s">
        <v>27</v>
      </c>
      <c r="J3474" s="19" t="s">
        <v>517</v>
      </c>
      <c r="K3474" s="14">
        <v>5.0</v>
      </c>
      <c r="L3474" s="14">
        <v>0.0</v>
      </c>
      <c r="M3474" s="25"/>
      <c r="N3474" s="26" t="s">
        <v>21</v>
      </c>
      <c r="O3474" s="7"/>
      <c r="P3474" s="7"/>
      <c r="Q3474" s="7"/>
      <c r="R3474" s="7"/>
      <c r="S3474" s="7"/>
      <c r="T3474" s="7"/>
      <c r="U3474" s="7"/>
      <c r="V3474" s="7"/>
      <c r="W3474" s="7"/>
      <c r="X3474" s="7"/>
      <c r="Y3474" s="7"/>
    </row>
    <row r="3475">
      <c r="A3475" s="14" t="s">
        <v>12388</v>
      </c>
      <c r="B3475" s="17" t="s">
        <v>12389</v>
      </c>
      <c r="C3475" s="17" t="s">
        <v>12390</v>
      </c>
      <c r="D3475" s="19" t="s">
        <v>5549</v>
      </c>
      <c r="E3475" s="20" t="s">
        <v>104</v>
      </c>
      <c r="F3475" s="21">
        <v>28946.0</v>
      </c>
      <c r="G3475" s="14">
        <f t="shared" si="1"/>
        <v>47</v>
      </c>
      <c r="H3475" s="23" t="s">
        <v>26</v>
      </c>
      <c r="I3475" s="24" t="s">
        <v>33</v>
      </c>
      <c r="J3475" s="19" t="s">
        <v>146</v>
      </c>
      <c r="K3475" s="14">
        <v>36.0</v>
      </c>
      <c r="L3475" s="14">
        <v>0.0</v>
      </c>
      <c r="M3475" s="25"/>
      <c r="N3475" s="26" t="s">
        <v>21</v>
      </c>
      <c r="O3475" s="7"/>
      <c r="P3475" s="7"/>
      <c r="Q3475" s="7"/>
      <c r="R3475" s="7"/>
      <c r="S3475" s="7"/>
      <c r="T3475" s="7"/>
      <c r="U3475" s="7"/>
      <c r="V3475" s="7"/>
      <c r="W3475" s="7"/>
      <c r="X3475" s="7"/>
      <c r="Y3475" s="7"/>
    </row>
    <row r="3476">
      <c r="A3476" s="14" t="s">
        <v>12391</v>
      </c>
      <c r="B3476" s="17" t="s">
        <v>12389</v>
      </c>
      <c r="C3476" s="17" t="s">
        <v>12392</v>
      </c>
      <c r="D3476" s="19" t="s">
        <v>5649</v>
      </c>
      <c r="E3476" s="20" t="s">
        <v>8323</v>
      </c>
      <c r="F3476" s="21">
        <v>29416.0</v>
      </c>
      <c r="G3476" s="14">
        <f t="shared" si="1"/>
        <v>46</v>
      </c>
      <c r="H3476" s="23" t="s">
        <v>26</v>
      </c>
      <c r="I3476" s="24" t="s">
        <v>27</v>
      </c>
      <c r="J3476" s="19" t="s">
        <v>146</v>
      </c>
      <c r="K3476" s="14">
        <v>36.0</v>
      </c>
      <c r="L3476" s="14">
        <v>0.0</v>
      </c>
      <c r="M3476" s="25"/>
      <c r="N3476" s="26" t="s">
        <v>21</v>
      </c>
      <c r="O3476" s="7"/>
      <c r="P3476" s="7"/>
      <c r="Q3476" s="7"/>
      <c r="R3476" s="7"/>
      <c r="S3476" s="7"/>
      <c r="T3476" s="7"/>
      <c r="U3476" s="7"/>
      <c r="V3476" s="7"/>
      <c r="W3476" s="7"/>
      <c r="X3476" s="7"/>
      <c r="Y3476" s="7"/>
    </row>
    <row r="3477">
      <c r="A3477" s="14" t="s">
        <v>12393</v>
      </c>
      <c r="B3477" s="17" t="s">
        <v>12394</v>
      </c>
      <c r="C3477" s="17" t="s">
        <v>12395</v>
      </c>
      <c r="D3477" s="19" t="s">
        <v>12396</v>
      </c>
      <c r="E3477" s="20" t="s">
        <v>53</v>
      </c>
      <c r="F3477" s="21">
        <v>39276.0</v>
      </c>
      <c r="G3477" s="14">
        <f t="shared" si="1"/>
        <v>19</v>
      </c>
      <c r="H3477" s="23" t="s">
        <v>100</v>
      </c>
      <c r="I3477" s="24" t="s">
        <v>27</v>
      </c>
      <c r="J3477" s="19" t="s">
        <v>8413</v>
      </c>
      <c r="K3477" s="14">
        <v>32.0</v>
      </c>
      <c r="L3477" s="14">
        <v>0.0</v>
      </c>
      <c r="M3477" s="25"/>
      <c r="N3477" s="26" t="s">
        <v>21</v>
      </c>
      <c r="O3477" s="7"/>
      <c r="P3477" s="7"/>
      <c r="Q3477" s="7"/>
      <c r="R3477" s="7"/>
      <c r="S3477" s="7"/>
      <c r="T3477" s="7"/>
      <c r="U3477" s="7"/>
      <c r="V3477" s="7"/>
      <c r="W3477" s="7"/>
      <c r="X3477" s="7"/>
      <c r="Y3477" s="7"/>
    </row>
    <row r="3478">
      <c r="A3478" s="14" t="s">
        <v>12397</v>
      </c>
      <c r="B3478" s="17" t="s">
        <v>12394</v>
      </c>
      <c r="C3478" s="17" t="s">
        <v>12398</v>
      </c>
      <c r="D3478" s="19" t="s">
        <v>2192</v>
      </c>
      <c r="E3478" s="20" t="s">
        <v>337</v>
      </c>
      <c r="F3478" s="21">
        <v>36978.0</v>
      </c>
      <c r="G3478" s="14">
        <f t="shared" si="1"/>
        <v>25</v>
      </c>
      <c r="H3478" s="23" t="s">
        <v>100</v>
      </c>
      <c r="I3478" s="24" t="s">
        <v>27</v>
      </c>
      <c r="J3478" s="19" t="s">
        <v>8413</v>
      </c>
      <c r="K3478" s="14">
        <v>32.0</v>
      </c>
      <c r="L3478" s="14">
        <v>0.0</v>
      </c>
      <c r="M3478" s="25"/>
      <c r="N3478" s="26" t="s">
        <v>21</v>
      </c>
      <c r="O3478" s="7"/>
      <c r="P3478" s="7"/>
      <c r="Q3478" s="7"/>
      <c r="R3478" s="7"/>
      <c r="S3478" s="7"/>
      <c r="T3478" s="7"/>
      <c r="U3478" s="7"/>
      <c r="V3478" s="7"/>
      <c r="W3478" s="7"/>
      <c r="X3478" s="7"/>
      <c r="Y3478" s="7"/>
    </row>
    <row r="3479">
      <c r="A3479" s="14" t="s">
        <v>12399</v>
      </c>
      <c r="B3479" s="17" t="s">
        <v>12394</v>
      </c>
      <c r="C3479" s="17" t="s">
        <v>12400</v>
      </c>
      <c r="D3479" s="19" t="s">
        <v>12401</v>
      </c>
      <c r="E3479" s="20" t="s">
        <v>104</v>
      </c>
      <c r="F3479" s="21">
        <v>29603.0</v>
      </c>
      <c r="G3479" s="14">
        <f t="shared" si="1"/>
        <v>45</v>
      </c>
      <c r="H3479" s="23" t="s">
        <v>26</v>
      </c>
      <c r="I3479" s="24" t="s">
        <v>27</v>
      </c>
      <c r="J3479" s="19" t="s">
        <v>8413</v>
      </c>
      <c r="K3479" s="14">
        <v>32.0</v>
      </c>
      <c r="L3479" s="14">
        <v>0.0</v>
      </c>
      <c r="M3479" s="25"/>
      <c r="N3479" s="26" t="s">
        <v>21</v>
      </c>
      <c r="O3479" s="7"/>
      <c r="P3479" s="7"/>
      <c r="Q3479" s="7"/>
      <c r="R3479" s="7"/>
      <c r="S3479" s="7"/>
      <c r="T3479" s="7"/>
      <c r="U3479" s="7"/>
      <c r="V3479" s="7"/>
      <c r="W3479" s="7"/>
      <c r="X3479" s="7"/>
      <c r="Y3479" s="7"/>
    </row>
    <row r="3480">
      <c r="A3480" s="14" t="s">
        <v>12402</v>
      </c>
      <c r="B3480" s="17" t="s">
        <v>12394</v>
      </c>
      <c r="C3480" s="17" t="s">
        <v>12403</v>
      </c>
      <c r="D3480" s="19" t="s">
        <v>12404</v>
      </c>
      <c r="E3480" s="20" t="s">
        <v>654</v>
      </c>
      <c r="F3480" s="21">
        <v>26767.0</v>
      </c>
      <c r="G3480" s="14">
        <f t="shared" si="1"/>
        <v>53</v>
      </c>
      <c r="H3480" s="23" t="s">
        <v>26</v>
      </c>
      <c r="I3480" s="24" t="s">
        <v>33</v>
      </c>
      <c r="J3480" s="19" t="s">
        <v>8413</v>
      </c>
      <c r="K3480" s="14">
        <v>32.0</v>
      </c>
      <c r="L3480" s="14">
        <v>0.0</v>
      </c>
      <c r="M3480" s="25"/>
      <c r="N3480" s="26" t="s">
        <v>21</v>
      </c>
      <c r="O3480" s="7"/>
      <c r="P3480" s="7"/>
      <c r="Q3480" s="7"/>
      <c r="R3480" s="7"/>
      <c r="S3480" s="7"/>
      <c r="T3480" s="7"/>
      <c r="U3480" s="7"/>
      <c r="V3480" s="7"/>
      <c r="W3480" s="7"/>
      <c r="X3480" s="7"/>
      <c r="Y3480" s="7"/>
    </row>
    <row r="3481">
      <c r="A3481" s="14" t="s">
        <v>12405</v>
      </c>
      <c r="B3481" s="17" t="s">
        <v>12406</v>
      </c>
      <c r="C3481" s="17" t="s">
        <v>12407</v>
      </c>
      <c r="D3481" s="19" t="s">
        <v>12408</v>
      </c>
      <c r="E3481" s="20" t="s">
        <v>53</v>
      </c>
      <c r="F3481" s="27">
        <v>36814.0</v>
      </c>
      <c r="G3481" s="14">
        <f t="shared" si="1"/>
        <v>26</v>
      </c>
      <c r="H3481" s="23" t="s">
        <v>100</v>
      </c>
      <c r="I3481" s="24" t="s">
        <v>33</v>
      </c>
      <c r="J3481" s="19" t="s">
        <v>12409</v>
      </c>
      <c r="K3481" s="14">
        <v>8.0</v>
      </c>
      <c r="L3481" s="14">
        <v>0.0</v>
      </c>
      <c r="M3481" s="25"/>
      <c r="N3481" s="26" t="s">
        <v>21</v>
      </c>
      <c r="O3481" s="7"/>
      <c r="P3481" s="7"/>
      <c r="Q3481" s="7"/>
      <c r="R3481" s="7"/>
      <c r="S3481" s="7"/>
      <c r="T3481" s="7"/>
      <c r="U3481" s="7"/>
      <c r="V3481" s="7"/>
      <c r="W3481" s="7"/>
      <c r="X3481" s="7"/>
      <c r="Y3481" s="7"/>
    </row>
    <row r="3482">
      <c r="A3482" s="14" t="s">
        <v>12410</v>
      </c>
      <c r="B3482" s="17" t="s">
        <v>12406</v>
      </c>
      <c r="C3482" s="17" t="s">
        <v>12411</v>
      </c>
      <c r="D3482" s="19" t="s">
        <v>12412</v>
      </c>
      <c r="E3482" s="20" t="s">
        <v>53</v>
      </c>
      <c r="F3482" s="21">
        <v>28437.0</v>
      </c>
      <c r="G3482" s="14">
        <f t="shared" si="1"/>
        <v>48</v>
      </c>
      <c r="H3482" s="23" t="s">
        <v>26</v>
      </c>
      <c r="I3482" s="24" t="s">
        <v>27</v>
      </c>
      <c r="J3482" s="19" t="s">
        <v>12409</v>
      </c>
      <c r="K3482" s="14">
        <v>8.0</v>
      </c>
      <c r="L3482" s="14">
        <v>0.0</v>
      </c>
      <c r="M3482" s="25"/>
      <c r="N3482" s="26" t="s">
        <v>21</v>
      </c>
      <c r="O3482" s="7"/>
      <c r="P3482" s="7"/>
      <c r="Q3482" s="7"/>
      <c r="R3482" s="7"/>
      <c r="S3482" s="7"/>
      <c r="T3482" s="7"/>
      <c r="U3482" s="7"/>
      <c r="V3482" s="7"/>
      <c r="W3482" s="7"/>
      <c r="X3482" s="7"/>
      <c r="Y3482" s="7"/>
    </row>
    <row r="3483">
      <c r="A3483" s="14" t="s">
        <v>12413</v>
      </c>
      <c r="B3483" s="17" t="s">
        <v>12406</v>
      </c>
      <c r="C3483" s="17" t="s">
        <v>12414</v>
      </c>
      <c r="D3483" s="19" t="s">
        <v>2667</v>
      </c>
      <c r="E3483" s="20" t="s">
        <v>632</v>
      </c>
      <c r="F3483" s="21">
        <v>25569.0</v>
      </c>
      <c r="G3483" s="14">
        <f t="shared" si="1"/>
        <v>56</v>
      </c>
      <c r="H3483" s="23" t="s">
        <v>26</v>
      </c>
      <c r="I3483" s="24" t="s">
        <v>33</v>
      </c>
      <c r="J3483" s="19" t="s">
        <v>12409</v>
      </c>
      <c r="K3483" s="14">
        <v>8.0</v>
      </c>
      <c r="L3483" s="14">
        <v>0.0</v>
      </c>
      <c r="M3483" s="25"/>
      <c r="N3483" s="26" t="s">
        <v>21</v>
      </c>
      <c r="O3483" s="7"/>
      <c r="P3483" s="7"/>
      <c r="Q3483" s="7"/>
      <c r="R3483" s="7"/>
      <c r="S3483" s="7"/>
      <c r="T3483" s="7"/>
      <c r="U3483" s="7"/>
      <c r="V3483" s="7"/>
      <c r="W3483" s="7"/>
      <c r="X3483" s="7"/>
      <c r="Y3483" s="7"/>
    </row>
    <row r="3484">
      <c r="A3484" s="14" t="s">
        <v>12416</v>
      </c>
      <c r="B3484" s="17" t="s">
        <v>12417</v>
      </c>
      <c r="C3484" s="17" t="s">
        <v>12418</v>
      </c>
      <c r="D3484" s="19" t="s">
        <v>6184</v>
      </c>
      <c r="E3484" s="20" t="s">
        <v>290</v>
      </c>
      <c r="F3484" s="27">
        <v>28408.0</v>
      </c>
      <c r="G3484" s="14">
        <f t="shared" si="1"/>
        <v>49</v>
      </c>
      <c r="H3484" s="23" t="s">
        <v>26</v>
      </c>
      <c r="I3484" s="24" t="s">
        <v>27</v>
      </c>
      <c r="J3484" s="19" t="s">
        <v>68</v>
      </c>
      <c r="K3484" s="14">
        <v>35.0</v>
      </c>
      <c r="L3484" s="14">
        <v>0.0</v>
      </c>
      <c r="M3484" s="25"/>
      <c r="N3484" s="26" t="s">
        <v>21</v>
      </c>
      <c r="O3484" s="7"/>
      <c r="P3484" s="7"/>
      <c r="Q3484" s="7"/>
      <c r="R3484" s="7"/>
      <c r="S3484" s="7"/>
      <c r="T3484" s="7"/>
      <c r="U3484" s="7"/>
      <c r="V3484" s="7"/>
      <c r="W3484" s="7"/>
      <c r="X3484" s="7"/>
      <c r="Y3484" s="7"/>
    </row>
    <row r="3485">
      <c r="A3485" s="14" t="s">
        <v>12419</v>
      </c>
      <c r="B3485" s="17" t="s">
        <v>12417</v>
      </c>
      <c r="C3485" s="17" t="s">
        <v>12420</v>
      </c>
      <c r="D3485" s="19" t="s">
        <v>12421</v>
      </c>
      <c r="E3485" s="20" t="s">
        <v>53</v>
      </c>
      <c r="F3485" s="21">
        <v>38374.0</v>
      </c>
      <c r="G3485" s="14">
        <f t="shared" si="1"/>
        <v>21</v>
      </c>
      <c r="H3485" s="23" t="s">
        <v>100</v>
      </c>
      <c r="I3485" s="24" t="s">
        <v>27</v>
      </c>
      <c r="J3485" s="19" t="s">
        <v>68</v>
      </c>
      <c r="K3485" s="14">
        <v>35.0</v>
      </c>
      <c r="L3485" s="14">
        <v>0.0</v>
      </c>
      <c r="M3485" s="25"/>
      <c r="N3485" s="26" t="s">
        <v>21</v>
      </c>
      <c r="O3485" s="7"/>
      <c r="P3485" s="7"/>
      <c r="Q3485" s="7"/>
      <c r="R3485" s="7"/>
      <c r="S3485" s="7"/>
      <c r="T3485" s="7"/>
      <c r="U3485" s="7"/>
      <c r="V3485" s="7"/>
      <c r="W3485" s="7"/>
      <c r="X3485" s="7"/>
      <c r="Y3485" s="7"/>
    </row>
    <row r="3486">
      <c r="A3486" s="14" t="s">
        <v>12422</v>
      </c>
      <c r="B3486" s="17" t="s">
        <v>12417</v>
      </c>
      <c r="C3486" s="17" t="s">
        <v>12423</v>
      </c>
      <c r="D3486" s="19" t="s">
        <v>3321</v>
      </c>
      <c r="E3486" s="20" t="s">
        <v>67</v>
      </c>
      <c r="F3486" s="21">
        <v>27258.0</v>
      </c>
      <c r="G3486" s="14">
        <f t="shared" si="1"/>
        <v>52</v>
      </c>
      <c r="H3486" s="23" t="s">
        <v>26</v>
      </c>
      <c r="I3486" s="24" t="s">
        <v>33</v>
      </c>
      <c r="J3486" s="19" t="s">
        <v>68</v>
      </c>
      <c r="K3486" s="14">
        <v>35.0</v>
      </c>
      <c r="L3486" s="14">
        <v>0.0</v>
      </c>
      <c r="M3486" s="25"/>
      <c r="N3486" s="26" t="s">
        <v>21</v>
      </c>
      <c r="O3486" s="7"/>
      <c r="P3486" s="7"/>
      <c r="Q3486" s="7"/>
      <c r="R3486" s="7"/>
      <c r="S3486" s="7"/>
      <c r="T3486" s="7"/>
      <c r="U3486" s="7"/>
      <c r="V3486" s="7"/>
      <c r="W3486" s="7"/>
      <c r="X3486" s="7"/>
      <c r="Y3486" s="7"/>
    </row>
    <row r="3487">
      <c r="A3487" s="14" t="s">
        <v>12424</v>
      </c>
      <c r="B3487" s="17" t="s">
        <v>12425</v>
      </c>
      <c r="C3487" s="17" t="s">
        <v>12426</v>
      </c>
      <c r="D3487" s="19" t="s">
        <v>12427</v>
      </c>
      <c r="E3487" s="20" t="s">
        <v>798</v>
      </c>
      <c r="F3487" s="21">
        <v>31651.0</v>
      </c>
      <c r="G3487" s="14">
        <f t="shared" si="1"/>
        <v>40</v>
      </c>
      <c r="H3487" s="23" t="s">
        <v>26</v>
      </c>
      <c r="I3487" s="24" t="s">
        <v>27</v>
      </c>
      <c r="J3487" s="19" t="s">
        <v>362</v>
      </c>
      <c r="K3487" s="14">
        <v>24.0</v>
      </c>
      <c r="L3487" s="14">
        <v>0.0</v>
      </c>
      <c r="M3487" s="25"/>
      <c r="N3487" s="26" t="s">
        <v>21</v>
      </c>
      <c r="O3487" s="7"/>
      <c r="P3487" s="7"/>
      <c r="Q3487" s="7"/>
      <c r="R3487" s="7"/>
      <c r="S3487" s="7"/>
      <c r="T3487" s="7"/>
      <c r="U3487" s="7"/>
      <c r="V3487" s="7"/>
      <c r="W3487" s="7"/>
      <c r="X3487" s="7"/>
      <c r="Y3487" s="7"/>
    </row>
    <row r="3488">
      <c r="A3488" s="14" t="s">
        <v>12428</v>
      </c>
      <c r="B3488" s="17" t="s">
        <v>12425</v>
      </c>
      <c r="C3488" s="17" t="s">
        <v>12429</v>
      </c>
      <c r="D3488" s="19" t="s">
        <v>12430</v>
      </c>
      <c r="E3488" s="20" t="s">
        <v>104</v>
      </c>
      <c r="F3488" s="21">
        <v>39348.0</v>
      </c>
      <c r="G3488" s="14">
        <f t="shared" si="1"/>
        <v>19</v>
      </c>
      <c r="H3488" s="23" t="s">
        <v>100</v>
      </c>
      <c r="I3488" s="24" t="s">
        <v>27</v>
      </c>
      <c r="J3488" s="19" t="s">
        <v>362</v>
      </c>
      <c r="K3488" s="14">
        <v>24.0</v>
      </c>
      <c r="L3488" s="14">
        <v>0.0</v>
      </c>
      <c r="M3488" s="25"/>
      <c r="N3488" s="26" t="s">
        <v>21</v>
      </c>
      <c r="O3488" s="7"/>
      <c r="P3488" s="7"/>
      <c r="Q3488" s="7"/>
      <c r="R3488" s="7"/>
      <c r="S3488" s="7"/>
      <c r="T3488" s="7"/>
      <c r="U3488" s="7"/>
      <c r="V3488" s="7"/>
      <c r="W3488" s="7"/>
      <c r="X3488" s="7"/>
      <c r="Y3488" s="7"/>
    </row>
    <row r="3489">
      <c r="A3489" s="14" t="s">
        <v>12431</v>
      </c>
      <c r="B3489" s="17" t="s">
        <v>12425</v>
      </c>
      <c r="C3489" s="17" t="s">
        <v>12432</v>
      </c>
      <c r="D3489" s="19" t="s">
        <v>12433</v>
      </c>
      <c r="E3489" s="20" t="s">
        <v>104</v>
      </c>
      <c r="F3489" s="27">
        <v>28818.0</v>
      </c>
      <c r="G3489" s="14">
        <f t="shared" si="1"/>
        <v>47</v>
      </c>
      <c r="H3489" s="23" t="s">
        <v>26</v>
      </c>
      <c r="I3489" s="24" t="s">
        <v>33</v>
      </c>
      <c r="J3489" s="19" t="s">
        <v>362</v>
      </c>
      <c r="K3489" s="14">
        <v>24.0</v>
      </c>
      <c r="L3489" s="14">
        <v>0.0</v>
      </c>
      <c r="M3489" s="25"/>
      <c r="N3489" s="26" t="s">
        <v>21</v>
      </c>
      <c r="O3489" s="7"/>
      <c r="P3489" s="7"/>
      <c r="Q3489" s="7"/>
      <c r="R3489" s="7"/>
      <c r="S3489" s="7"/>
      <c r="T3489" s="7"/>
      <c r="U3489" s="7"/>
      <c r="V3489" s="7"/>
      <c r="W3489" s="7"/>
      <c r="X3489" s="7"/>
      <c r="Y3489" s="7"/>
    </row>
    <row r="3490">
      <c r="A3490" s="14" t="s">
        <v>12434</v>
      </c>
      <c r="B3490" s="17" t="s">
        <v>12435</v>
      </c>
      <c r="C3490" s="17" t="s">
        <v>12436</v>
      </c>
      <c r="D3490" s="19" t="s">
        <v>12437</v>
      </c>
      <c r="E3490" s="20" t="s">
        <v>1791</v>
      </c>
      <c r="F3490" s="21">
        <v>36005.0</v>
      </c>
      <c r="G3490" s="14">
        <f t="shared" si="1"/>
        <v>28</v>
      </c>
      <c r="H3490" s="23" t="s">
        <v>26</v>
      </c>
      <c r="I3490" s="24" t="s">
        <v>33</v>
      </c>
      <c r="J3490" s="19" t="s">
        <v>328</v>
      </c>
      <c r="K3490" s="14">
        <v>24.0</v>
      </c>
      <c r="L3490" s="14">
        <v>0.0</v>
      </c>
      <c r="M3490" s="25"/>
      <c r="N3490" s="26" t="s">
        <v>21</v>
      </c>
      <c r="O3490" s="7"/>
      <c r="P3490" s="7"/>
      <c r="Q3490" s="7"/>
      <c r="R3490" s="7"/>
      <c r="S3490" s="7"/>
      <c r="T3490" s="7"/>
      <c r="U3490" s="7"/>
      <c r="V3490" s="7"/>
      <c r="W3490" s="7"/>
      <c r="X3490" s="7"/>
      <c r="Y3490" s="7"/>
    </row>
    <row r="3491">
      <c r="A3491" s="14" t="s">
        <v>12438</v>
      </c>
      <c r="B3491" s="17" t="s">
        <v>12435</v>
      </c>
      <c r="C3491" s="17" t="s">
        <v>12439</v>
      </c>
      <c r="D3491" s="19" t="s">
        <v>9512</v>
      </c>
      <c r="E3491" s="20" t="s">
        <v>104</v>
      </c>
      <c r="F3491" s="21">
        <v>32343.0</v>
      </c>
      <c r="G3491" s="14">
        <f t="shared" si="1"/>
        <v>38</v>
      </c>
      <c r="H3491" s="23" t="s">
        <v>26</v>
      </c>
      <c r="I3491" s="24" t="s">
        <v>27</v>
      </c>
      <c r="J3491" s="19" t="s">
        <v>328</v>
      </c>
      <c r="K3491" s="14">
        <v>24.0</v>
      </c>
      <c r="L3491" s="14">
        <v>0.0</v>
      </c>
      <c r="M3491" s="25"/>
      <c r="N3491" s="26" t="s">
        <v>21</v>
      </c>
      <c r="O3491" s="7"/>
      <c r="P3491" s="7"/>
      <c r="Q3491" s="7"/>
      <c r="R3491" s="7"/>
      <c r="S3491" s="7"/>
      <c r="T3491" s="7"/>
      <c r="U3491" s="7"/>
      <c r="V3491" s="7"/>
      <c r="W3491" s="7"/>
      <c r="X3491" s="7"/>
      <c r="Y3491" s="7"/>
    </row>
    <row r="3492">
      <c r="A3492" s="14" t="s">
        <v>12440</v>
      </c>
      <c r="B3492" s="17" t="s">
        <v>12441</v>
      </c>
      <c r="C3492" s="17" t="s">
        <v>12442</v>
      </c>
      <c r="D3492" s="19" t="s">
        <v>12443</v>
      </c>
      <c r="E3492" s="20" t="s">
        <v>53</v>
      </c>
      <c r="F3492" s="27">
        <v>31715.0</v>
      </c>
      <c r="G3492" s="14">
        <f t="shared" si="1"/>
        <v>39</v>
      </c>
      <c r="H3492" s="23" t="s">
        <v>26</v>
      </c>
      <c r="I3492" s="24" t="s">
        <v>33</v>
      </c>
      <c r="J3492" s="19" t="s">
        <v>68</v>
      </c>
      <c r="K3492" s="14">
        <v>30.0</v>
      </c>
      <c r="L3492" s="14">
        <v>0.0</v>
      </c>
      <c r="M3492" s="25"/>
      <c r="N3492" s="26" t="s">
        <v>21</v>
      </c>
      <c r="O3492" s="7"/>
      <c r="P3492" s="7"/>
      <c r="Q3492" s="7"/>
      <c r="R3492" s="7"/>
      <c r="S3492" s="7"/>
      <c r="T3492" s="7"/>
      <c r="U3492" s="7"/>
      <c r="V3492" s="7"/>
      <c r="W3492" s="7"/>
      <c r="X3492" s="7"/>
      <c r="Y3492" s="7"/>
    </row>
    <row r="3493">
      <c r="A3493" s="14" t="s">
        <v>12444</v>
      </c>
      <c r="B3493" s="17" t="s">
        <v>12441</v>
      </c>
      <c r="C3493" s="17" t="s">
        <v>12445</v>
      </c>
      <c r="D3493" s="19" t="s">
        <v>12446</v>
      </c>
      <c r="E3493" s="20" t="s">
        <v>536</v>
      </c>
      <c r="F3493" s="21">
        <v>31721.0</v>
      </c>
      <c r="G3493" s="14">
        <f t="shared" si="1"/>
        <v>39</v>
      </c>
      <c r="H3493" s="23" t="s">
        <v>26</v>
      </c>
      <c r="I3493" s="24" t="s">
        <v>27</v>
      </c>
      <c r="J3493" s="19" t="s">
        <v>68</v>
      </c>
      <c r="K3493" s="14">
        <v>30.0</v>
      </c>
      <c r="L3493" s="14">
        <v>0.0</v>
      </c>
      <c r="M3493" s="25"/>
      <c r="N3493" s="26" t="s">
        <v>21</v>
      </c>
      <c r="O3493" s="7"/>
      <c r="P3493" s="7"/>
      <c r="Q3493" s="7"/>
      <c r="R3493" s="7"/>
      <c r="S3493" s="7"/>
      <c r="T3493" s="7"/>
      <c r="U3493" s="7"/>
      <c r="V3493" s="7"/>
      <c r="W3493" s="7"/>
      <c r="X3493" s="7"/>
      <c r="Y3493" s="7"/>
    </row>
    <row r="3494">
      <c r="A3494" s="14" t="s">
        <v>12447</v>
      </c>
      <c r="B3494" s="17" t="s">
        <v>12448</v>
      </c>
      <c r="C3494" s="17" t="s">
        <v>12449</v>
      </c>
      <c r="D3494" s="19" t="s">
        <v>12450</v>
      </c>
      <c r="E3494" s="20" t="s">
        <v>104</v>
      </c>
      <c r="F3494" s="21">
        <v>31306.0</v>
      </c>
      <c r="G3494" s="14">
        <f t="shared" si="1"/>
        <v>41</v>
      </c>
      <c r="H3494" s="23" t="s">
        <v>26</v>
      </c>
      <c r="I3494" s="24" t="s">
        <v>33</v>
      </c>
      <c r="J3494" s="19" t="s">
        <v>53</v>
      </c>
      <c r="K3494" s="14">
        <v>15.0</v>
      </c>
      <c r="L3494" s="14">
        <v>0.0</v>
      </c>
      <c r="M3494" s="25"/>
      <c r="N3494" s="26" t="s">
        <v>21</v>
      </c>
      <c r="O3494" s="7"/>
      <c r="P3494" s="7"/>
      <c r="Q3494" s="7"/>
      <c r="R3494" s="7"/>
      <c r="S3494" s="7"/>
      <c r="T3494" s="7"/>
      <c r="U3494" s="7"/>
      <c r="V3494" s="7"/>
      <c r="W3494" s="7"/>
      <c r="X3494" s="7"/>
      <c r="Y3494" s="7"/>
    </row>
    <row r="3495">
      <c r="A3495" s="14" t="s">
        <v>12451</v>
      </c>
      <c r="B3495" s="17" t="s">
        <v>12448</v>
      </c>
      <c r="C3495" s="17" t="s">
        <v>12452</v>
      </c>
      <c r="D3495" s="19" t="s">
        <v>12453</v>
      </c>
      <c r="E3495" s="20" t="s">
        <v>104</v>
      </c>
      <c r="F3495" s="21">
        <v>31649.0</v>
      </c>
      <c r="G3495" s="14">
        <f t="shared" si="1"/>
        <v>40</v>
      </c>
      <c r="H3495" s="23" t="s">
        <v>26</v>
      </c>
      <c r="I3495" s="24" t="s">
        <v>27</v>
      </c>
      <c r="J3495" s="19" t="s">
        <v>53</v>
      </c>
      <c r="K3495" s="14">
        <v>15.0</v>
      </c>
      <c r="L3495" s="14">
        <v>0.0</v>
      </c>
      <c r="M3495" s="25"/>
      <c r="N3495" s="26" t="s">
        <v>21</v>
      </c>
      <c r="O3495" s="7"/>
      <c r="P3495" s="7"/>
      <c r="Q3495" s="7"/>
      <c r="R3495" s="7"/>
      <c r="S3495" s="7"/>
      <c r="T3495" s="7"/>
      <c r="U3495" s="7"/>
      <c r="V3495" s="7"/>
      <c r="W3495" s="7"/>
      <c r="X3495" s="7"/>
      <c r="Y3495" s="7"/>
    </row>
    <row r="3496">
      <c r="A3496" s="14" t="s">
        <v>12454</v>
      </c>
      <c r="B3496" s="17" t="s">
        <v>12455</v>
      </c>
      <c r="C3496" s="17" t="s">
        <v>12456</v>
      </c>
      <c r="D3496" s="19" t="s">
        <v>12457</v>
      </c>
      <c r="E3496" s="20" t="s">
        <v>104</v>
      </c>
      <c r="F3496" s="21">
        <v>38058.0</v>
      </c>
      <c r="G3496" s="14">
        <f t="shared" si="1"/>
        <v>22</v>
      </c>
      <c r="H3496" s="23" t="s">
        <v>100</v>
      </c>
      <c r="I3496" s="24" t="s">
        <v>27</v>
      </c>
      <c r="J3496" s="19" t="s">
        <v>68</v>
      </c>
      <c r="K3496" s="14">
        <v>28.0</v>
      </c>
      <c r="L3496" s="14">
        <v>0.0</v>
      </c>
      <c r="M3496" s="25"/>
      <c r="N3496" s="26" t="s">
        <v>21</v>
      </c>
      <c r="O3496" s="7"/>
      <c r="P3496" s="7"/>
      <c r="Q3496" s="7"/>
      <c r="R3496" s="7"/>
      <c r="S3496" s="7"/>
      <c r="T3496" s="7"/>
      <c r="U3496" s="7"/>
      <c r="V3496" s="7"/>
      <c r="W3496" s="7"/>
      <c r="X3496" s="7"/>
      <c r="Y3496" s="7"/>
    </row>
    <row r="3497">
      <c r="A3497" s="14" t="s">
        <v>12458</v>
      </c>
      <c r="B3497" s="17" t="s">
        <v>12455</v>
      </c>
      <c r="C3497" s="17" t="s">
        <v>12459</v>
      </c>
      <c r="D3497" s="19" t="s">
        <v>12460</v>
      </c>
      <c r="E3497" s="20" t="s">
        <v>104</v>
      </c>
      <c r="F3497" s="21">
        <v>29283.0</v>
      </c>
      <c r="G3497" s="14">
        <f t="shared" si="1"/>
        <v>46</v>
      </c>
      <c r="H3497" s="23" t="s">
        <v>26</v>
      </c>
      <c r="I3497" s="24" t="s">
        <v>27</v>
      </c>
      <c r="J3497" s="19" t="s">
        <v>68</v>
      </c>
      <c r="K3497" s="14">
        <v>28.0</v>
      </c>
      <c r="L3497" s="14">
        <v>0.0</v>
      </c>
      <c r="M3497" s="25"/>
      <c r="N3497" s="26" t="s">
        <v>21</v>
      </c>
      <c r="O3497" s="7"/>
      <c r="P3497" s="7"/>
      <c r="Q3497" s="7"/>
      <c r="R3497" s="7"/>
      <c r="S3497" s="7"/>
      <c r="T3497" s="7"/>
      <c r="U3497" s="7"/>
      <c r="V3497" s="7"/>
      <c r="W3497" s="7"/>
      <c r="X3497" s="7"/>
      <c r="Y3497" s="7"/>
    </row>
    <row r="3498">
      <c r="A3498" s="14" t="s">
        <v>12461</v>
      </c>
      <c r="B3498" s="17" t="s">
        <v>12455</v>
      </c>
      <c r="C3498" s="17" t="s">
        <v>12462</v>
      </c>
      <c r="D3498" s="19" t="s">
        <v>2220</v>
      </c>
      <c r="E3498" s="20" t="s">
        <v>1639</v>
      </c>
      <c r="F3498" s="21">
        <v>29247.0</v>
      </c>
      <c r="G3498" s="14">
        <f t="shared" si="1"/>
        <v>46</v>
      </c>
      <c r="H3498" s="23" t="s">
        <v>26</v>
      </c>
      <c r="I3498" s="24" t="s">
        <v>33</v>
      </c>
      <c r="J3498" s="19" t="s">
        <v>68</v>
      </c>
      <c r="K3498" s="14">
        <v>28.0</v>
      </c>
      <c r="L3498" s="14">
        <v>0.0</v>
      </c>
      <c r="M3498" s="25"/>
      <c r="N3498" s="26" t="s">
        <v>21</v>
      </c>
      <c r="O3498" s="7"/>
      <c r="P3498" s="7"/>
      <c r="Q3498" s="7"/>
      <c r="R3498" s="7"/>
      <c r="S3498" s="7"/>
      <c r="T3498" s="7"/>
      <c r="U3498" s="7"/>
      <c r="V3498" s="7"/>
      <c r="W3498" s="7"/>
      <c r="X3498" s="7"/>
      <c r="Y3498" s="7"/>
    </row>
    <row r="3499">
      <c r="A3499" s="14" t="s">
        <v>12463</v>
      </c>
      <c r="B3499" s="17" t="s">
        <v>12464</v>
      </c>
      <c r="C3499" s="17" t="s">
        <v>12465</v>
      </c>
      <c r="D3499" s="19" t="s">
        <v>12466</v>
      </c>
      <c r="E3499" s="20" t="s">
        <v>434</v>
      </c>
      <c r="F3499" s="21">
        <v>20637.0</v>
      </c>
      <c r="G3499" s="14">
        <f t="shared" si="1"/>
        <v>70</v>
      </c>
      <c r="H3499" s="23" t="s">
        <v>26</v>
      </c>
      <c r="I3499" s="24" t="s">
        <v>33</v>
      </c>
      <c r="J3499" s="19" t="s">
        <v>328</v>
      </c>
      <c r="K3499" s="14">
        <v>25.0</v>
      </c>
      <c r="L3499" s="14">
        <v>0.0</v>
      </c>
      <c r="M3499" s="25"/>
      <c r="N3499" s="26" t="s">
        <v>21</v>
      </c>
      <c r="O3499" s="7"/>
      <c r="P3499" s="7"/>
      <c r="Q3499" s="7"/>
      <c r="R3499" s="7"/>
      <c r="S3499" s="7"/>
      <c r="T3499" s="7"/>
      <c r="U3499" s="7"/>
      <c r="V3499" s="7"/>
      <c r="W3499" s="7"/>
      <c r="X3499" s="7"/>
      <c r="Y3499" s="7"/>
    </row>
    <row r="3500">
      <c r="A3500" s="14" t="s">
        <v>12467</v>
      </c>
      <c r="B3500" s="17" t="s">
        <v>12464</v>
      </c>
      <c r="C3500" s="17" t="s">
        <v>12468</v>
      </c>
      <c r="D3500" s="19" t="s">
        <v>12469</v>
      </c>
      <c r="E3500" s="20" t="s">
        <v>1148</v>
      </c>
      <c r="F3500" s="21">
        <v>21583.0</v>
      </c>
      <c r="G3500" s="14">
        <f t="shared" si="1"/>
        <v>67</v>
      </c>
      <c r="H3500" s="23" t="s">
        <v>26</v>
      </c>
      <c r="I3500" s="24" t="s">
        <v>27</v>
      </c>
      <c r="J3500" s="19" t="s">
        <v>328</v>
      </c>
      <c r="K3500" s="14">
        <v>25.0</v>
      </c>
      <c r="L3500" s="14">
        <v>0.0</v>
      </c>
      <c r="M3500" s="25"/>
      <c r="N3500" s="26" t="s">
        <v>21</v>
      </c>
      <c r="O3500" s="7"/>
      <c r="P3500" s="7"/>
      <c r="Q3500" s="7"/>
      <c r="R3500" s="7"/>
      <c r="S3500" s="7"/>
      <c r="T3500" s="7"/>
      <c r="U3500" s="7"/>
      <c r="V3500" s="7"/>
      <c r="W3500" s="7"/>
      <c r="X3500" s="7"/>
      <c r="Y3500" s="7"/>
    </row>
    <row r="3501">
      <c r="A3501" s="14" t="s">
        <v>12470</v>
      </c>
      <c r="B3501" s="17" t="s">
        <v>12471</v>
      </c>
      <c r="C3501" s="17" t="s">
        <v>12472</v>
      </c>
      <c r="D3501" s="19" t="s">
        <v>554</v>
      </c>
      <c r="E3501" s="20" t="s">
        <v>104</v>
      </c>
      <c r="F3501" s="21">
        <v>24752.0</v>
      </c>
      <c r="G3501" s="14">
        <f t="shared" si="1"/>
        <v>59</v>
      </c>
      <c r="H3501" s="23" t="s">
        <v>26</v>
      </c>
      <c r="I3501" s="24" t="s">
        <v>27</v>
      </c>
      <c r="J3501" s="19" t="s">
        <v>989</v>
      </c>
      <c r="K3501" s="14">
        <v>26.0</v>
      </c>
      <c r="L3501" s="14">
        <v>0.0</v>
      </c>
      <c r="M3501" s="25"/>
      <c r="N3501" s="26" t="s">
        <v>21</v>
      </c>
      <c r="O3501" s="7"/>
      <c r="P3501" s="7"/>
      <c r="Q3501" s="7"/>
      <c r="R3501" s="7"/>
      <c r="S3501" s="7"/>
      <c r="T3501" s="7"/>
      <c r="U3501" s="7"/>
      <c r="V3501" s="7"/>
      <c r="W3501" s="7"/>
      <c r="X3501" s="7"/>
      <c r="Y3501" s="7"/>
    </row>
    <row r="3502">
      <c r="A3502" s="14" t="s">
        <v>12473</v>
      </c>
      <c r="B3502" s="17" t="s">
        <v>12471</v>
      </c>
      <c r="C3502" s="17" t="s">
        <v>12474</v>
      </c>
      <c r="D3502" s="19" t="s">
        <v>12475</v>
      </c>
      <c r="E3502" s="20" t="s">
        <v>654</v>
      </c>
      <c r="F3502" s="21">
        <v>27040.0</v>
      </c>
      <c r="G3502" s="14">
        <f t="shared" si="1"/>
        <v>52</v>
      </c>
      <c r="H3502" s="23" t="s">
        <v>26</v>
      </c>
      <c r="I3502" s="24" t="s">
        <v>33</v>
      </c>
      <c r="J3502" s="19" t="s">
        <v>989</v>
      </c>
      <c r="K3502" s="14">
        <v>26.0</v>
      </c>
      <c r="L3502" s="14">
        <v>0.0</v>
      </c>
      <c r="M3502" s="25"/>
      <c r="N3502" s="26" t="s">
        <v>21</v>
      </c>
      <c r="O3502" s="7"/>
      <c r="P3502" s="7"/>
      <c r="Q3502" s="7"/>
      <c r="R3502" s="7"/>
      <c r="S3502" s="7"/>
      <c r="T3502" s="7"/>
      <c r="U3502" s="7"/>
      <c r="V3502" s="7"/>
      <c r="W3502" s="7"/>
      <c r="X3502" s="7"/>
      <c r="Y3502" s="7"/>
    </row>
    <row r="3503">
      <c r="A3503" s="14" t="s">
        <v>12476</v>
      </c>
      <c r="B3503" s="17" t="s">
        <v>12477</v>
      </c>
      <c r="C3503" s="17" t="s">
        <v>12478</v>
      </c>
      <c r="D3503" s="19" t="s">
        <v>12479</v>
      </c>
      <c r="E3503" s="20" t="s">
        <v>67</v>
      </c>
      <c r="F3503" s="21">
        <v>23774.0</v>
      </c>
      <c r="G3503" s="14">
        <f t="shared" si="1"/>
        <v>61</v>
      </c>
      <c r="H3503" s="23" t="s">
        <v>26</v>
      </c>
      <c r="I3503" s="24" t="s">
        <v>27</v>
      </c>
      <c r="J3503" s="19" t="s">
        <v>68</v>
      </c>
      <c r="K3503" s="14">
        <v>34.0</v>
      </c>
      <c r="L3503" s="14">
        <v>1.0</v>
      </c>
      <c r="M3503" s="25"/>
      <c r="N3503" s="26" t="s">
        <v>21</v>
      </c>
      <c r="O3503" s="7"/>
      <c r="P3503" s="7"/>
      <c r="Q3503" s="7"/>
      <c r="R3503" s="7"/>
      <c r="S3503" s="7"/>
      <c r="T3503" s="7"/>
      <c r="U3503" s="7"/>
      <c r="V3503" s="7"/>
      <c r="W3503" s="7"/>
      <c r="X3503" s="7"/>
      <c r="Y3503" s="7"/>
    </row>
    <row r="3504">
      <c r="A3504" s="14" t="s">
        <v>12480</v>
      </c>
      <c r="B3504" s="17" t="s">
        <v>12477</v>
      </c>
      <c r="C3504" s="17" t="s">
        <v>12481</v>
      </c>
      <c r="D3504" s="19" t="s">
        <v>1282</v>
      </c>
      <c r="E3504" s="20" t="s">
        <v>67</v>
      </c>
      <c r="F3504" s="21">
        <v>22361.0</v>
      </c>
      <c r="G3504" s="14">
        <f t="shared" si="1"/>
        <v>65</v>
      </c>
      <c r="H3504" s="23" t="s">
        <v>26</v>
      </c>
      <c r="I3504" s="24" t="s">
        <v>33</v>
      </c>
      <c r="J3504" s="19" t="s">
        <v>68</v>
      </c>
      <c r="K3504" s="14">
        <v>34.0</v>
      </c>
      <c r="L3504" s="14">
        <v>0.0</v>
      </c>
      <c r="M3504" s="25"/>
      <c r="N3504" s="26" t="s">
        <v>21</v>
      </c>
      <c r="O3504" s="7"/>
      <c r="P3504" s="7"/>
      <c r="Q3504" s="7"/>
      <c r="R3504" s="7"/>
      <c r="S3504" s="7"/>
      <c r="T3504" s="7"/>
      <c r="U3504" s="7"/>
      <c r="V3504" s="7"/>
      <c r="W3504" s="7"/>
      <c r="X3504" s="7"/>
      <c r="Y3504" s="7"/>
    </row>
    <row r="3505">
      <c r="A3505" s="14" t="s">
        <v>12482</v>
      </c>
      <c r="B3505" s="17" t="s">
        <v>12483</v>
      </c>
      <c r="C3505" s="17" t="s">
        <v>12484</v>
      </c>
      <c r="D3505" s="19" t="s">
        <v>12485</v>
      </c>
      <c r="E3505" s="20" t="s">
        <v>12486</v>
      </c>
      <c r="F3505" s="21">
        <v>28510.0</v>
      </c>
      <c r="G3505" s="14">
        <f t="shared" si="1"/>
        <v>48</v>
      </c>
      <c r="H3505" s="23" t="s">
        <v>26</v>
      </c>
      <c r="I3505" s="24" t="s">
        <v>33</v>
      </c>
      <c r="J3505" s="19" t="s">
        <v>206</v>
      </c>
      <c r="K3505" s="14">
        <v>1.0</v>
      </c>
      <c r="L3505" s="14">
        <v>0.0</v>
      </c>
      <c r="M3505" s="25"/>
      <c r="N3505" s="26" t="s">
        <v>21</v>
      </c>
      <c r="O3505" s="7"/>
      <c r="P3505" s="7"/>
      <c r="Q3505" s="7"/>
      <c r="R3505" s="7"/>
      <c r="S3505" s="7"/>
      <c r="T3505" s="7"/>
      <c r="U3505" s="7"/>
      <c r="V3505" s="7"/>
      <c r="W3505" s="7"/>
      <c r="X3505" s="7"/>
      <c r="Y3505" s="7"/>
    </row>
    <row r="3506">
      <c r="A3506" s="14" t="s">
        <v>12487</v>
      </c>
      <c r="B3506" s="17" t="s">
        <v>12483</v>
      </c>
      <c r="C3506" s="17" t="s">
        <v>12488</v>
      </c>
      <c r="D3506" s="19" t="s">
        <v>12489</v>
      </c>
      <c r="E3506" s="20" t="s">
        <v>53</v>
      </c>
      <c r="F3506" s="21">
        <v>38324.0</v>
      </c>
      <c r="G3506" s="14">
        <f t="shared" si="1"/>
        <v>21</v>
      </c>
      <c r="H3506" s="23" t="s">
        <v>100</v>
      </c>
      <c r="I3506" s="24" t="s">
        <v>27</v>
      </c>
      <c r="J3506" s="19" t="s">
        <v>206</v>
      </c>
      <c r="K3506" s="14">
        <v>1.0</v>
      </c>
      <c r="L3506" s="14">
        <v>0.0</v>
      </c>
      <c r="M3506" s="25"/>
      <c r="N3506" s="26" t="s">
        <v>21</v>
      </c>
      <c r="O3506" s="7"/>
      <c r="P3506" s="7"/>
      <c r="Q3506" s="7"/>
      <c r="R3506" s="7"/>
      <c r="S3506" s="7"/>
      <c r="T3506" s="7"/>
      <c r="U3506" s="7"/>
      <c r="V3506" s="7"/>
      <c r="W3506" s="7"/>
      <c r="X3506" s="7"/>
      <c r="Y3506" s="7"/>
    </row>
    <row r="3507">
      <c r="A3507" s="14" t="s">
        <v>12490</v>
      </c>
      <c r="B3507" s="17" t="s">
        <v>12483</v>
      </c>
      <c r="C3507" s="17" t="s">
        <v>12491</v>
      </c>
      <c r="D3507" s="19" t="s">
        <v>12492</v>
      </c>
      <c r="E3507" s="20" t="s">
        <v>8861</v>
      </c>
      <c r="F3507" s="21">
        <v>38195.0</v>
      </c>
      <c r="G3507" s="14">
        <f t="shared" si="1"/>
        <v>22</v>
      </c>
      <c r="H3507" s="23" t="s">
        <v>100</v>
      </c>
      <c r="I3507" s="24" t="s">
        <v>33</v>
      </c>
      <c r="J3507" s="19" t="s">
        <v>206</v>
      </c>
      <c r="K3507" s="14">
        <v>1.0</v>
      </c>
      <c r="L3507" s="14">
        <v>0.0</v>
      </c>
      <c r="M3507" s="25"/>
      <c r="N3507" s="26" t="s">
        <v>21</v>
      </c>
      <c r="O3507" s="7"/>
      <c r="P3507" s="7"/>
      <c r="Q3507" s="7"/>
      <c r="R3507" s="7"/>
      <c r="S3507" s="7"/>
      <c r="T3507" s="7"/>
      <c r="U3507" s="7"/>
      <c r="V3507" s="7"/>
      <c r="W3507" s="7"/>
      <c r="X3507" s="7"/>
      <c r="Y3507" s="7"/>
    </row>
    <row r="3508">
      <c r="A3508" s="14" t="s">
        <v>12493</v>
      </c>
      <c r="B3508" s="17" t="s">
        <v>12483</v>
      </c>
      <c r="C3508" s="17" t="s">
        <v>12494</v>
      </c>
      <c r="D3508" s="19" t="s">
        <v>12495</v>
      </c>
      <c r="E3508" s="20" t="s">
        <v>53</v>
      </c>
      <c r="F3508" s="27">
        <v>30282.0</v>
      </c>
      <c r="G3508" s="14">
        <f t="shared" si="1"/>
        <v>43</v>
      </c>
      <c r="H3508" s="23" t="s">
        <v>26</v>
      </c>
      <c r="I3508" s="24" t="s">
        <v>27</v>
      </c>
      <c r="J3508" s="19" t="s">
        <v>206</v>
      </c>
      <c r="K3508" s="14">
        <v>1.0</v>
      </c>
      <c r="L3508" s="14">
        <v>0.0</v>
      </c>
      <c r="M3508" s="25"/>
      <c r="N3508" s="26" t="s">
        <v>21</v>
      </c>
      <c r="O3508" s="7"/>
      <c r="P3508" s="7"/>
      <c r="Q3508" s="7"/>
      <c r="R3508" s="7"/>
      <c r="S3508" s="7"/>
      <c r="T3508" s="7"/>
      <c r="U3508" s="7"/>
      <c r="V3508" s="7"/>
      <c r="W3508" s="7"/>
      <c r="X3508" s="7"/>
      <c r="Y3508" s="7"/>
    </row>
    <row r="3509">
      <c r="A3509" s="14" t="s">
        <v>12496</v>
      </c>
      <c r="B3509" s="17" t="s">
        <v>12497</v>
      </c>
      <c r="C3509" s="17" t="s">
        <v>12498</v>
      </c>
      <c r="D3509" s="19" t="s">
        <v>12499</v>
      </c>
      <c r="E3509" s="20" t="s">
        <v>53</v>
      </c>
      <c r="F3509" s="21">
        <v>35527.0</v>
      </c>
      <c r="G3509" s="14">
        <f t="shared" si="1"/>
        <v>29</v>
      </c>
      <c r="H3509" s="23" t="s">
        <v>100</v>
      </c>
      <c r="I3509" s="24" t="s">
        <v>33</v>
      </c>
      <c r="J3509" s="19" t="s">
        <v>517</v>
      </c>
      <c r="K3509" s="14">
        <v>7.0</v>
      </c>
      <c r="L3509" s="14">
        <v>0.0</v>
      </c>
      <c r="M3509" s="25"/>
      <c r="N3509" s="26" t="s">
        <v>21</v>
      </c>
      <c r="O3509" s="7"/>
      <c r="P3509" s="7"/>
      <c r="Q3509" s="7"/>
      <c r="R3509" s="7"/>
      <c r="S3509" s="7"/>
      <c r="T3509" s="7"/>
      <c r="U3509" s="7"/>
      <c r="V3509" s="7"/>
      <c r="W3509" s="7"/>
      <c r="X3509" s="7"/>
      <c r="Y3509" s="7"/>
    </row>
    <row r="3510">
      <c r="A3510" s="14" t="s">
        <v>12500</v>
      </c>
      <c r="B3510" s="17" t="s">
        <v>12497</v>
      </c>
      <c r="C3510" s="17" t="s">
        <v>12501</v>
      </c>
      <c r="D3510" s="19" t="s">
        <v>10703</v>
      </c>
      <c r="E3510" s="20" t="s">
        <v>650</v>
      </c>
      <c r="F3510" s="27">
        <v>25499.0</v>
      </c>
      <c r="G3510" s="14">
        <f t="shared" si="1"/>
        <v>57</v>
      </c>
      <c r="H3510" s="23" t="s">
        <v>27</v>
      </c>
      <c r="I3510" s="24" t="s">
        <v>27</v>
      </c>
      <c r="J3510" s="19" t="s">
        <v>517</v>
      </c>
      <c r="K3510" s="14">
        <v>7.0</v>
      </c>
      <c r="L3510" s="14">
        <v>0.0</v>
      </c>
      <c r="M3510" s="25"/>
      <c r="N3510" s="26" t="s">
        <v>21</v>
      </c>
      <c r="O3510" s="7"/>
      <c r="P3510" s="7"/>
      <c r="Q3510" s="7"/>
      <c r="R3510" s="7"/>
      <c r="S3510" s="7"/>
      <c r="T3510" s="7"/>
      <c r="U3510" s="7"/>
      <c r="V3510" s="7"/>
      <c r="W3510" s="7"/>
      <c r="X3510" s="7"/>
      <c r="Y3510" s="7"/>
    </row>
    <row r="3511">
      <c r="A3511" s="14" t="s">
        <v>12502</v>
      </c>
      <c r="B3511" s="17" t="s">
        <v>12503</v>
      </c>
      <c r="C3511" s="17" t="s">
        <v>12504</v>
      </c>
      <c r="D3511" s="19" t="s">
        <v>12505</v>
      </c>
      <c r="E3511" s="20" t="s">
        <v>53</v>
      </c>
      <c r="F3511" s="27">
        <v>35409.0</v>
      </c>
      <c r="G3511" s="14">
        <f t="shared" si="1"/>
        <v>29</v>
      </c>
      <c r="H3511" s="23" t="s">
        <v>100</v>
      </c>
      <c r="I3511" s="24" t="s">
        <v>33</v>
      </c>
      <c r="J3511" s="19" t="s">
        <v>7905</v>
      </c>
      <c r="K3511" s="14">
        <v>14.0</v>
      </c>
      <c r="L3511" s="14">
        <v>0.0</v>
      </c>
      <c r="M3511" s="25"/>
      <c r="N3511" s="26" t="s">
        <v>21</v>
      </c>
      <c r="O3511" s="7"/>
      <c r="P3511" s="7"/>
      <c r="Q3511" s="7"/>
      <c r="R3511" s="7"/>
      <c r="S3511" s="7"/>
      <c r="T3511" s="7"/>
      <c r="U3511" s="7"/>
      <c r="V3511" s="7"/>
      <c r="W3511" s="7"/>
      <c r="X3511" s="7"/>
      <c r="Y3511" s="7"/>
    </row>
    <row r="3512">
      <c r="A3512" s="14" t="s">
        <v>12506</v>
      </c>
      <c r="B3512" s="17" t="s">
        <v>12503</v>
      </c>
      <c r="C3512" s="17" t="s">
        <v>12507</v>
      </c>
      <c r="D3512" s="19" t="s">
        <v>8521</v>
      </c>
      <c r="E3512" s="20" t="s">
        <v>1058</v>
      </c>
      <c r="F3512" s="21">
        <v>26368.0</v>
      </c>
      <c r="G3512" s="14">
        <f t="shared" si="1"/>
        <v>54</v>
      </c>
      <c r="H3512" s="23" t="s">
        <v>26</v>
      </c>
      <c r="I3512" s="24" t="s">
        <v>33</v>
      </c>
      <c r="J3512" s="19" t="s">
        <v>5924</v>
      </c>
      <c r="K3512" s="14">
        <v>14.0</v>
      </c>
      <c r="L3512" s="14">
        <v>0.0</v>
      </c>
      <c r="M3512" s="25"/>
      <c r="N3512" s="26" t="s">
        <v>21</v>
      </c>
      <c r="O3512" s="7"/>
      <c r="P3512" s="7"/>
      <c r="Q3512" s="7"/>
      <c r="R3512" s="7"/>
      <c r="S3512" s="7"/>
      <c r="T3512" s="7"/>
      <c r="U3512" s="7"/>
      <c r="V3512" s="7"/>
      <c r="W3512" s="7"/>
      <c r="X3512" s="7"/>
      <c r="Y3512" s="7"/>
    </row>
    <row r="3513">
      <c r="A3513" s="14" t="s">
        <v>12508</v>
      </c>
      <c r="B3513" s="17" t="s">
        <v>12503</v>
      </c>
      <c r="C3513" s="17" t="s">
        <v>12509</v>
      </c>
      <c r="D3513" s="19" t="s">
        <v>5299</v>
      </c>
      <c r="E3513" s="20" t="s">
        <v>1058</v>
      </c>
      <c r="F3513" s="27">
        <v>26613.0</v>
      </c>
      <c r="G3513" s="14">
        <f t="shared" si="1"/>
        <v>53</v>
      </c>
      <c r="H3513" s="23" t="s">
        <v>26</v>
      </c>
      <c r="I3513" s="24" t="s">
        <v>27</v>
      </c>
      <c r="J3513" s="19" t="s">
        <v>7905</v>
      </c>
      <c r="K3513" s="14">
        <v>14.0</v>
      </c>
      <c r="L3513" s="14">
        <v>0.0</v>
      </c>
      <c r="M3513" s="25"/>
      <c r="N3513" s="26" t="s">
        <v>21</v>
      </c>
      <c r="O3513" s="7"/>
      <c r="P3513" s="7"/>
      <c r="Q3513" s="7"/>
      <c r="R3513" s="7"/>
      <c r="S3513" s="7"/>
      <c r="T3513" s="7"/>
      <c r="U3513" s="7"/>
      <c r="V3513" s="7"/>
      <c r="W3513" s="7"/>
      <c r="X3513" s="7"/>
      <c r="Y3513" s="7"/>
    </row>
    <row r="3514">
      <c r="A3514" s="14" t="s">
        <v>12510</v>
      </c>
      <c r="B3514" s="17" t="s">
        <v>12511</v>
      </c>
      <c r="C3514" s="17" t="s">
        <v>12512</v>
      </c>
      <c r="D3514" s="19" t="s">
        <v>12513</v>
      </c>
      <c r="E3514" s="20" t="s">
        <v>195</v>
      </c>
      <c r="F3514" s="21">
        <v>24078.0</v>
      </c>
      <c r="G3514" s="14">
        <f t="shared" si="1"/>
        <v>60</v>
      </c>
      <c r="H3514" s="23" t="s">
        <v>27</v>
      </c>
      <c r="I3514" s="24" t="s">
        <v>27</v>
      </c>
      <c r="J3514" s="19" t="s">
        <v>726</v>
      </c>
      <c r="K3514" s="14">
        <v>17.0</v>
      </c>
      <c r="L3514" s="14">
        <v>5.0</v>
      </c>
      <c r="M3514" s="28" t="s">
        <v>398</v>
      </c>
      <c r="N3514" s="26" t="s">
        <v>21</v>
      </c>
      <c r="O3514" s="7"/>
      <c r="P3514" s="7"/>
      <c r="Q3514" s="7"/>
      <c r="R3514" s="7"/>
      <c r="S3514" s="7"/>
      <c r="T3514" s="7"/>
      <c r="U3514" s="7"/>
      <c r="V3514" s="7"/>
      <c r="W3514" s="7"/>
      <c r="X3514" s="7"/>
      <c r="Y3514" s="7"/>
    </row>
    <row r="3515">
      <c r="A3515" s="14" t="s">
        <v>12514</v>
      </c>
      <c r="B3515" s="17" t="s">
        <v>12515</v>
      </c>
      <c r="C3515" s="17" t="s">
        <v>12516</v>
      </c>
      <c r="D3515" s="19" t="s">
        <v>12517</v>
      </c>
      <c r="E3515" s="20" t="s">
        <v>624</v>
      </c>
      <c r="F3515" s="21">
        <v>22593.0</v>
      </c>
      <c r="G3515" s="14">
        <f t="shared" si="1"/>
        <v>64</v>
      </c>
      <c r="H3515" s="23" t="s">
        <v>27</v>
      </c>
      <c r="I3515" s="24" t="s">
        <v>27</v>
      </c>
      <c r="J3515" s="19" t="s">
        <v>146</v>
      </c>
      <c r="K3515" s="14">
        <v>36.0</v>
      </c>
      <c r="L3515" s="14">
        <v>0.0</v>
      </c>
      <c r="M3515" s="25"/>
      <c r="N3515" s="26" t="s">
        <v>21</v>
      </c>
      <c r="O3515" s="7"/>
      <c r="P3515" s="7"/>
      <c r="Q3515" s="7"/>
      <c r="R3515" s="7"/>
      <c r="S3515" s="7"/>
      <c r="T3515" s="7"/>
      <c r="U3515" s="7"/>
      <c r="V3515" s="7"/>
      <c r="W3515" s="7"/>
      <c r="X3515" s="7"/>
      <c r="Y3515" s="7"/>
    </row>
    <row r="3516">
      <c r="A3516" s="14" t="s">
        <v>12518</v>
      </c>
      <c r="B3516" s="17" t="s">
        <v>12519</v>
      </c>
      <c r="C3516" s="17" t="s">
        <v>12520</v>
      </c>
      <c r="D3516" s="19" t="s">
        <v>12521</v>
      </c>
      <c r="E3516" s="20" t="s">
        <v>104</v>
      </c>
      <c r="F3516" s="21">
        <v>35649.0</v>
      </c>
      <c r="G3516" s="14">
        <f t="shared" si="1"/>
        <v>29</v>
      </c>
      <c r="H3516" s="23" t="s">
        <v>100</v>
      </c>
      <c r="I3516" s="24" t="s">
        <v>33</v>
      </c>
      <c r="J3516" s="19" t="s">
        <v>282</v>
      </c>
      <c r="K3516" s="14">
        <v>12.0</v>
      </c>
      <c r="L3516" s="14">
        <v>0.0</v>
      </c>
      <c r="M3516" s="25"/>
      <c r="N3516" s="26" t="s">
        <v>21</v>
      </c>
      <c r="O3516" s="7"/>
      <c r="P3516" s="7"/>
      <c r="Q3516" s="7"/>
      <c r="R3516" s="7"/>
      <c r="S3516" s="7"/>
      <c r="T3516" s="7"/>
      <c r="U3516" s="7"/>
      <c r="V3516" s="7"/>
      <c r="W3516" s="7"/>
      <c r="X3516" s="7"/>
      <c r="Y3516" s="7"/>
    </row>
    <row r="3517">
      <c r="A3517" s="14" t="s">
        <v>12522</v>
      </c>
      <c r="B3517" s="17" t="s">
        <v>12519</v>
      </c>
      <c r="C3517" s="17" t="s">
        <v>12523</v>
      </c>
      <c r="D3517" s="19" t="s">
        <v>12524</v>
      </c>
      <c r="E3517" s="20" t="s">
        <v>624</v>
      </c>
      <c r="F3517" s="21">
        <v>21765.0</v>
      </c>
      <c r="G3517" s="14">
        <f t="shared" si="1"/>
        <v>67</v>
      </c>
      <c r="H3517" s="23" t="s">
        <v>27</v>
      </c>
      <c r="I3517" s="24" t="s">
        <v>27</v>
      </c>
      <c r="J3517" s="19" t="s">
        <v>282</v>
      </c>
      <c r="K3517" s="14">
        <v>12.0</v>
      </c>
      <c r="L3517" s="14">
        <v>0.0</v>
      </c>
      <c r="M3517" s="25"/>
      <c r="N3517" s="26" t="s">
        <v>21</v>
      </c>
      <c r="O3517" s="7"/>
      <c r="P3517" s="7"/>
      <c r="Q3517" s="7"/>
      <c r="R3517" s="7"/>
      <c r="S3517" s="7"/>
      <c r="T3517" s="7"/>
      <c r="U3517" s="7"/>
      <c r="V3517" s="7"/>
      <c r="W3517" s="7"/>
      <c r="X3517" s="7"/>
      <c r="Y3517" s="7"/>
    </row>
    <row r="3518">
      <c r="A3518" s="14" t="s">
        <v>12525</v>
      </c>
      <c r="B3518" s="17" t="s">
        <v>12526</v>
      </c>
      <c r="C3518" s="17" t="s">
        <v>12527</v>
      </c>
      <c r="D3518" s="19" t="s">
        <v>12528</v>
      </c>
      <c r="E3518" s="20" t="s">
        <v>10442</v>
      </c>
      <c r="F3518" s="21">
        <v>26520.0</v>
      </c>
      <c r="G3518" s="14">
        <f t="shared" si="1"/>
        <v>54</v>
      </c>
      <c r="H3518" s="23" t="s">
        <v>26</v>
      </c>
      <c r="I3518" s="24" t="s">
        <v>33</v>
      </c>
      <c r="J3518" s="19" t="s">
        <v>12529</v>
      </c>
      <c r="K3518" s="14">
        <v>15.0</v>
      </c>
      <c r="L3518" s="14">
        <v>0.0</v>
      </c>
      <c r="M3518" s="25"/>
      <c r="N3518" s="26" t="s">
        <v>21</v>
      </c>
      <c r="O3518" s="7"/>
      <c r="P3518" s="7"/>
      <c r="Q3518" s="7"/>
      <c r="R3518" s="7"/>
      <c r="S3518" s="7"/>
      <c r="T3518" s="7"/>
      <c r="U3518" s="7"/>
      <c r="V3518" s="7"/>
      <c r="W3518" s="7"/>
      <c r="X3518" s="7"/>
      <c r="Y3518" s="7"/>
    </row>
    <row r="3519">
      <c r="A3519" s="14" t="s">
        <v>12530</v>
      </c>
      <c r="B3519" s="17" t="s">
        <v>12526</v>
      </c>
      <c r="C3519" s="17" t="s">
        <v>12531</v>
      </c>
      <c r="D3519" s="19" t="s">
        <v>12532</v>
      </c>
      <c r="E3519" s="20" t="s">
        <v>654</v>
      </c>
      <c r="F3519" s="21">
        <v>29445.0</v>
      </c>
      <c r="G3519" s="14">
        <f t="shared" si="1"/>
        <v>46</v>
      </c>
      <c r="H3519" s="23" t="s">
        <v>26</v>
      </c>
      <c r="I3519" s="24" t="s">
        <v>27</v>
      </c>
      <c r="J3519" s="19" t="s">
        <v>12529</v>
      </c>
      <c r="K3519" s="14">
        <v>15.0</v>
      </c>
      <c r="L3519" s="14">
        <v>0.0</v>
      </c>
      <c r="M3519" s="25"/>
      <c r="N3519" s="26" t="s">
        <v>21</v>
      </c>
      <c r="O3519" s="7"/>
      <c r="P3519" s="7"/>
      <c r="Q3519" s="7"/>
      <c r="R3519" s="7"/>
      <c r="S3519" s="7"/>
      <c r="T3519" s="7"/>
      <c r="U3519" s="7"/>
      <c r="V3519" s="7"/>
      <c r="W3519" s="7"/>
      <c r="X3519" s="7"/>
      <c r="Y3519" s="7"/>
    </row>
    <row r="3520">
      <c r="A3520" s="14" t="s">
        <v>12533</v>
      </c>
      <c r="B3520" s="17" t="s">
        <v>12534</v>
      </c>
      <c r="C3520" s="17" t="s">
        <v>12535</v>
      </c>
      <c r="D3520" s="19" t="s">
        <v>12536</v>
      </c>
      <c r="E3520" s="20" t="s">
        <v>104</v>
      </c>
      <c r="F3520" s="21">
        <v>33974.0</v>
      </c>
      <c r="G3520" s="14">
        <f t="shared" si="1"/>
        <v>33</v>
      </c>
      <c r="H3520" s="23" t="s">
        <v>100</v>
      </c>
      <c r="I3520" s="24" t="s">
        <v>27</v>
      </c>
      <c r="J3520" s="19" t="s">
        <v>68</v>
      </c>
      <c r="K3520" s="14">
        <v>31.0</v>
      </c>
      <c r="L3520" s="14">
        <v>0.0</v>
      </c>
      <c r="M3520" s="25"/>
      <c r="N3520" s="26" t="s">
        <v>21</v>
      </c>
      <c r="O3520" s="7"/>
      <c r="P3520" s="7"/>
      <c r="Q3520" s="7"/>
      <c r="R3520" s="7"/>
      <c r="S3520" s="7"/>
      <c r="T3520" s="7"/>
      <c r="U3520" s="7"/>
      <c r="V3520" s="7"/>
      <c r="W3520" s="7"/>
      <c r="X3520" s="7"/>
      <c r="Y3520" s="7"/>
    </row>
    <row r="3521">
      <c r="A3521" s="14" t="s">
        <v>12537</v>
      </c>
      <c r="B3521" s="17" t="s">
        <v>12538</v>
      </c>
      <c r="C3521" s="17" t="s">
        <v>12539</v>
      </c>
      <c r="D3521" s="19" t="s">
        <v>12540</v>
      </c>
      <c r="E3521" s="20" t="s">
        <v>104</v>
      </c>
      <c r="F3521" s="21">
        <v>33649.0</v>
      </c>
      <c r="G3521" s="14">
        <f t="shared" si="1"/>
        <v>34</v>
      </c>
      <c r="H3521" s="23" t="s">
        <v>26</v>
      </c>
      <c r="I3521" s="24" t="s">
        <v>33</v>
      </c>
      <c r="J3521" s="19" t="s">
        <v>53</v>
      </c>
      <c r="K3521" s="14">
        <v>31.0</v>
      </c>
      <c r="L3521" s="14">
        <v>0.0</v>
      </c>
      <c r="M3521" s="25"/>
      <c r="N3521" s="26" t="s">
        <v>21</v>
      </c>
      <c r="O3521" s="7"/>
      <c r="P3521" s="7"/>
      <c r="Q3521" s="7"/>
      <c r="R3521" s="7"/>
      <c r="S3521" s="7"/>
      <c r="T3521" s="7"/>
      <c r="U3521" s="7"/>
      <c r="V3521" s="7"/>
      <c r="W3521" s="7"/>
      <c r="X3521" s="7"/>
      <c r="Y3521" s="7"/>
    </row>
    <row r="3522">
      <c r="A3522" s="14" t="s">
        <v>12541</v>
      </c>
      <c r="B3522" s="17" t="s">
        <v>12542</v>
      </c>
      <c r="C3522" s="17" t="s">
        <v>12543</v>
      </c>
      <c r="D3522" s="19" t="s">
        <v>12544</v>
      </c>
      <c r="E3522" s="20" t="s">
        <v>12545</v>
      </c>
      <c r="F3522" s="27">
        <v>28471.0</v>
      </c>
      <c r="G3522" s="14">
        <f t="shared" si="1"/>
        <v>48</v>
      </c>
      <c r="H3522" s="23" t="s">
        <v>26</v>
      </c>
      <c r="I3522" s="24" t="s">
        <v>27</v>
      </c>
      <c r="J3522" s="19" t="s">
        <v>53</v>
      </c>
      <c r="K3522" s="14">
        <v>14.0</v>
      </c>
      <c r="L3522" s="14">
        <v>0.0</v>
      </c>
      <c r="M3522" s="25"/>
      <c r="N3522" s="26" t="s">
        <v>21</v>
      </c>
      <c r="O3522" s="7"/>
      <c r="P3522" s="7"/>
      <c r="Q3522" s="7"/>
      <c r="R3522" s="7"/>
      <c r="S3522" s="7"/>
      <c r="T3522" s="7"/>
      <c r="U3522" s="7"/>
      <c r="V3522" s="7"/>
      <c r="W3522" s="7"/>
      <c r="X3522" s="7"/>
      <c r="Y3522" s="7"/>
    </row>
    <row r="3523">
      <c r="A3523" s="14" t="s">
        <v>12546</v>
      </c>
      <c r="B3523" s="17" t="s">
        <v>12542</v>
      </c>
      <c r="C3523" s="17" t="s">
        <v>12547</v>
      </c>
      <c r="D3523" s="19" t="s">
        <v>12548</v>
      </c>
      <c r="E3523" s="20" t="s">
        <v>1058</v>
      </c>
      <c r="F3523" s="21">
        <v>25056.0</v>
      </c>
      <c r="G3523" s="14">
        <f t="shared" si="1"/>
        <v>58</v>
      </c>
      <c r="H3523" s="23" t="s">
        <v>26</v>
      </c>
      <c r="I3523" s="24" t="s">
        <v>33</v>
      </c>
      <c r="J3523" s="19" t="s">
        <v>53</v>
      </c>
      <c r="K3523" s="14">
        <v>14.0</v>
      </c>
      <c r="L3523" s="14">
        <v>0.0</v>
      </c>
      <c r="M3523" s="25"/>
      <c r="N3523" s="26" t="s">
        <v>21</v>
      </c>
      <c r="O3523" s="7"/>
      <c r="P3523" s="7"/>
      <c r="Q3523" s="7"/>
      <c r="R3523" s="7"/>
      <c r="S3523" s="7"/>
      <c r="T3523" s="7"/>
      <c r="U3523" s="7"/>
      <c r="V3523" s="7"/>
      <c r="W3523" s="7"/>
      <c r="X3523" s="7"/>
      <c r="Y3523" s="7"/>
    </row>
    <row r="3524">
      <c r="A3524" s="14" t="s">
        <v>12549</v>
      </c>
      <c r="B3524" s="17" t="s">
        <v>12542</v>
      </c>
      <c r="C3524" s="17" t="s">
        <v>12550</v>
      </c>
      <c r="D3524" s="19" t="s">
        <v>12551</v>
      </c>
      <c r="E3524" s="20" t="s">
        <v>104</v>
      </c>
      <c r="F3524" s="27">
        <v>37907.0</v>
      </c>
      <c r="G3524" s="14">
        <f t="shared" si="1"/>
        <v>23</v>
      </c>
      <c r="H3524" s="23" t="s">
        <v>100</v>
      </c>
      <c r="I3524" s="24" t="s">
        <v>33</v>
      </c>
      <c r="J3524" s="19" t="s">
        <v>53</v>
      </c>
      <c r="K3524" s="14">
        <v>14.0</v>
      </c>
      <c r="L3524" s="14">
        <v>0.0</v>
      </c>
      <c r="M3524" s="25"/>
      <c r="N3524" s="26" t="s">
        <v>21</v>
      </c>
      <c r="O3524" s="7"/>
      <c r="P3524" s="7"/>
      <c r="Q3524" s="7"/>
      <c r="R3524" s="7"/>
      <c r="S3524" s="7"/>
      <c r="T3524" s="7"/>
      <c r="U3524" s="7"/>
      <c r="V3524" s="7"/>
      <c r="W3524" s="7"/>
      <c r="X3524" s="7"/>
      <c r="Y3524" s="7"/>
    </row>
    <row r="3525">
      <c r="A3525" s="14" t="s">
        <v>12552</v>
      </c>
      <c r="B3525" s="17" t="s">
        <v>12553</v>
      </c>
      <c r="C3525" s="17" t="s">
        <v>12554</v>
      </c>
      <c r="D3525" s="19" t="s">
        <v>12555</v>
      </c>
      <c r="E3525" s="20" t="s">
        <v>104</v>
      </c>
      <c r="F3525" s="21">
        <v>35797.0</v>
      </c>
      <c r="G3525" s="14">
        <f t="shared" si="1"/>
        <v>28</v>
      </c>
      <c r="H3525" s="23" t="s">
        <v>26</v>
      </c>
      <c r="I3525" s="24" t="s">
        <v>27</v>
      </c>
      <c r="J3525" s="19" t="s">
        <v>68</v>
      </c>
      <c r="K3525" s="14">
        <v>33.0</v>
      </c>
      <c r="L3525" s="14">
        <v>0.0</v>
      </c>
      <c r="M3525" s="25"/>
      <c r="N3525" s="26" t="s">
        <v>21</v>
      </c>
      <c r="O3525" s="7"/>
      <c r="P3525" s="7"/>
      <c r="Q3525" s="7"/>
      <c r="R3525" s="7"/>
      <c r="S3525" s="7"/>
      <c r="T3525" s="7"/>
      <c r="U3525" s="7"/>
      <c r="V3525" s="7"/>
      <c r="W3525" s="7"/>
      <c r="X3525" s="7"/>
      <c r="Y3525" s="7"/>
    </row>
    <row r="3526">
      <c r="A3526" s="14" t="s">
        <v>12556</v>
      </c>
      <c r="B3526" s="17" t="s">
        <v>12553</v>
      </c>
      <c r="C3526" s="17" t="s">
        <v>12557</v>
      </c>
      <c r="D3526" s="19" t="s">
        <v>12558</v>
      </c>
      <c r="E3526" s="20" t="s">
        <v>104</v>
      </c>
      <c r="F3526" s="21">
        <v>34826.0</v>
      </c>
      <c r="G3526" s="14">
        <f t="shared" si="1"/>
        <v>31</v>
      </c>
      <c r="H3526" s="23" t="s">
        <v>26</v>
      </c>
      <c r="I3526" s="24" t="s">
        <v>33</v>
      </c>
      <c r="J3526" s="19" t="s">
        <v>68</v>
      </c>
      <c r="K3526" s="14">
        <v>33.0</v>
      </c>
      <c r="L3526" s="14">
        <v>0.0</v>
      </c>
      <c r="M3526" s="25"/>
      <c r="N3526" s="26" t="s">
        <v>21</v>
      </c>
      <c r="O3526" s="7"/>
      <c r="P3526" s="7"/>
      <c r="Q3526" s="7"/>
      <c r="R3526" s="7"/>
      <c r="S3526" s="7"/>
      <c r="T3526" s="7"/>
      <c r="U3526" s="7"/>
      <c r="V3526" s="7"/>
      <c r="W3526" s="7"/>
      <c r="X3526" s="7"/>
      <c r="Y3526" s="7"/>
    </row>
    <row r="3527">
      <c r="A3527" s="14" t="s">
        <v>12559</v>
      </c>
      <c r="B3527" s="17" t="s">
        <v>12560</v>
      </c>
      <c r="C3527" s="17" t="s">
        <v>12561</v>
      </c>
      <c r="D3527" s="19" t="s">
        <v>12562</v>
      </c>
      <c r="E3527" s="20" t="s">
        <v>104</v>
      </c>
      <c r="F3527" s="21">
        <v>28642.0</v>
      </c>
      <c r="G3527" s="14">
        <f t="shared" si="1"/>
        <v>48</v>
      </c>
      <c r="H3527" s="23" t="s">
        <v>100</v>
      </c>
      <c r="I3527" s="24" t="s">
        <v>33</v>
      </c>
      <c r="J3527" s="19" t="s">
        <v>12563</v>
      </c>
      <c r="K3527" s="14">
        <v>19.0</v>
      </c>
      <c r="L3527" s="14">
        <v>0.0</v>
      </c>
      <c r="M3527" s="25"/>
      <c r="N3527" s="26" t="s">
        <v>21</v>
      </c>
      <c r="O3527" s="7"/>
      <c r="P3527" s="7"/>
      <c r="Q3527" s="7"/>
      <c r="R3527" s="7"/>
      <c r="S3527" s="7"/>
      <c r="T3527" s="7"/>
      <c r="U3527" s="7"/>
      <c r="V3527" s="7"/>
      <c r="W3527" s="7"/>
      <c r="X3527" s="7"/>
      <c r="Y3527" s="7"/>
    </row>
    <row r="3528">
      <c r="A3528" s="14" t="s">
        <v>12564</v>
      </c>
      <c r="B3528" s="17" t="s">
        <v>12565</v>
      </c>
      <c r="C3528" s="17" t="s">
        <v>12566</v>
      </c>
      <c r="D3528" s="19" t="s">
        <v>12567</v>
      </c>
      <c r="E3528" s="20" t="s">
        <v>67</v>
      </c>
      <c r="F3528" s="21">
        <v>15582.0</v>
      </c>
      <c r="G3528" s="14">
        <f t="shared" si="1"/>
        <v>84</v>
      </c>
      <c r="H3528" s="23" t="s">
        <v>27</v>
      </c>
      <c r="I3528" s="24" t="s">
        <v>27</v>
      </c>
      <c r="J3528" s="19" t="s">
        <v>12568</v>
      </c>
      <c r="K3528" s="14">
        <v>32.0</v>
      </c>
      <c r="L3528" s="14">
        <v>0.0</v>
      </c>
      <c r="M3528" s="25"/>
      <c r="N3528" s="26" t="s">
        <v>21</v>
      </c>
      <c r="O3528" s="7"/>
      <c r="P3528" s="7"/>
      <c r="Q3528" s="7"/>
      <c r="R3528" s="7"/>
      <c r="S3528" s="7"/>
      <c r="T3528" s="7"/>
      <c r="U3528" s="7"/>
      <c r="V3528" s="7"/>
      <c r="W3528" s="7"/>
      <c r="X3528" s="7"/>
      <c r="Y3528" s="7"/>
    </row>
    <row r="3529">
      <c r="A3529" s="14" t="s">
        <v>12569</v>
      </c>
      <c r="B3529" s="17" t="s">
        <v>12570</v>
      </c>
      <c r="C3529" s="17" t="s">
        <v>12571</v>
      </c>
      <c r="D3529" s="19" t="s">
        <v>12572</v>
      </c>
      <c r="E3529" s="20" t="s">
        <v>372</v>
      </c>
      <c r="F3529" s="21">
        <v>22827.0</v>
      </c>
      <c r="G3529" s="14">
        <f t="shared" si="1"/>
        <v>64</v>
      </c>
      <c r="H3529" s="23" t="s">
        <v>26</v>
      </c>
      <c r="I3529" s="24" t="s">
        <v>33</v>
      </c>
      <c r="J3529" s="19" t="s">
        <v>282</v>
      </c>
      <c r="K3529" s="14">
        <v>16.0</v>
      </c>
      <c r="L3529" s="14">
        <v>0.0</v>
      </c>
      <c r="M3529" s="25"/>
      <c r="N3529" s="26" t="s">
        <v>21</v>
      </c>
      <c r="O3529" s="7"/>
      <c r="P3529" s="7"/>
      <c r="Q3529" s="7"/>
      <c r="R3529" s="7"/>
      <c r="S3529" s="7"/>
      <c r="T3529" s="7"/>
      <c r="U3529" s="7"/>
      <c r="V3529" s="7"/>
      <c r="W3529" s="7"/>
      <c r="X3529" s="7"/>
      <c r="Y3529" s="7"/>
    </row>
    <row r="3530">
      <c r="A3530" s="14" t="s">
        <v>12573</v>
      </c>
      <c r="B3530" s="17" t="s">
        <v>12570</v>
      </c>
      <c r="C3530" s="17" t="s">
        <v>12574</v>
      </c>
      <c r="D3530" s="19" t="s">
        <v>3759</v>
      </c>
      <c r="E3530" s="20" t="s">
        <v>104</v>
      </c>
      <c r="F3530" s="21">
        <v>30579.0</v>
      </c>
      <c r="G3530" s="14">
        <f t="shared" si="1"/>
        <v>43</v>
      </c>
      <c r="H3530" s="23" t="s">
        <v>26</v>
      </c>
      <c r="I3530" s="24" t="s">
        <v>27</v>
      </c>
      <c r="J3530" s="19" t="s">
        <v>328</v>
      </c>
      <c r="K3530" s="14">
        <v>16.0</v>
      </c>
      <c r="L3530" s="14">
        <v>0.0</v>
      </c>
      <c r="M3530" s="25"/>
      <c r="N3530" s="26" t="s">
        <v>21</v>
      </c>
      <c r="O3530" s="7"/>
      <c r="P3530" s="7"/>
      <c r="Q3530" s="7"/>
      <c r="R3530" s="7"/>
      <c r="S3530" s="7"/>
      <c r="T3530" s="7"/>
      <c r="U3530" s="7"/>
      <c r="V3530" s="7"/>
      <c r="W3530" s="7"/>
      <c r="X3530" s="7"/>
      <c r="Y3530" s="7"/>
    </row>
    <row r="3531">
      <c r="A3531" s="14" t="s">
        <v>12575</v>
      </c>
      <c r="B3531" s="17" t="s">
        <v>12576</v>
      </c>
      <c r="C3531" s="17" t="s">
        <v>12577</v>
      </c>
      <c r="D3531" s="19" t="s">
        <v>12578</v>
      </c>
      <c r="E3531" s="20" t="s">
        <v>1786</v>
      </c>
      <c r="F3531" s="21">
        <v>16932.0</v>
      </c>
      <c r="G3531" s="14">
        <f t="shared" si="1"/>
        <v>80</v>
      </c>
      <c r="H3531" s="23" t="s">
        <v>27</v>
      </c>
      <c r="I3531" s="24" t="s">
        <v>27</v>
      </c>
      <c r="J3531" s="19" t="s">
        <v>146</v>
      </c>
      <c r="K3531" s="14">
        <v>1.0</v>
      </c>
      <c r="L3531" s="14">
        <v>0.0</v>
      </c>
      <c r="M3531" s="25"/>
      <c r="N3531" s="26" t="s">
        <v>21</v>
      </c>
      <c r="O3531" s="7"/>
      <c r="P3531" s="7"/>
      <c r="Q3531" s="7"/>
      <c r="R3531" s="7"/>
      <c r="S3531" s="7"/>
      <c r="T3531" s="7"/>
      <c r="U3531" s="7"/>
      <c r="V3531" s="7"/>
      <c r="W3531" s="7"/>
      <c r="X3531" s="7"/>
      <c r="Y3531" s="7"/>
    </row>
    <row r="3532">
      <c r="A3532" s="14" t="s">
        <v>12579</v>
      </c>
      <c r="B3532" s="17" t="s">
        <v>12580</v>
      </c>
      <c r="C3532" s="17" t="s">
        <v>12581</v>
      </c>
      <c r="D3532" s="19" t="s">
        <v>12582</v>
      </c>
      <c r="E3532" s="20" t="s">
        <v>12583</v>
      </c>
      <c r="F3532" s="21">
        <v>32641.0</v>
      </c>
      <c r="G3532" s="14">
        <f t="shared" si="1"/>
        <v>37</v>
      </c>
      <c r="H3532" s="23" t="s">
        <v>100</v>
      </c>
      <c r="I3532" s="24" t="s">
        <v>27</v>
      </c>
      <c r="J3532" s="19" t="s">
        <v>2196</v>
      </c>
      <c r="K3532" s="14">
        <v>17.0</v>
      </c>
      <c r="L3532" s="14">
        <v>5.0</v>
      </c>
      <c r="M3532" s="25"/>
      <c r="N3532" s="26" t="s">
        <v>21</v>
      </c>
      <c r="O3532" s="7"/>
      <c r="P3532" s="7"/>
      <c r="Q3532" s="7"/>
      <c r="R3532" s="7"/>
      <c r="S3532" s="7"/>
      <c r="T3532" s="7"/>
      <c r="U3532" s="7"/>
      <c r="V3532" s="7"/>
      <c r="W3532" s="7"/>
      <c r="X3532" s="7"/>
      <c r="Y3532" s="7"/>
    </row>
    <row r="3533">
      <c r="A3533" s="14" t="s">
        <v>12584</v>
      </c>
      <c r="B3533" s="17" t="s">
        <v>12585</v>
      </c>
      <c r="C3533" s="17" t="s">
        <v>12586</v>
      </c>
      <c r="D3533" s="19" t="s">
        <v>12587</v>
      </c>
      <c r="E3533" s="20" t="s">
        <v>104</v>
      </c>
      <c r="F3533" s="21">
        <v>32525.0</v>
      </c>
      <c r="G3533" s="14">
        <f t="shared" si="1"/>
        <v>37</v>
      </c>
      <c r="H3533" s="23" t="s">
        <v>100</v>
      </c>
      <c r="I3533" s="24" t="s">
        <v>33</v>
      </c>
      <c r="J3533" s="19" t="s">
        <v>282</v>
      </c>
      <c r="K3533" s="14">
        <v>14.0</v>
      </c>
      <c r="L3533" s="14">
        <v>0.0</v>
      </c>
      <c r="M3533" s="25"/>
      <c r="N3533" s="26" t="s">
        <v>21</v>
      </c>
      <c r="O3533" s="7"/>
      <c r="P3533" s="7"/>
      <c r="Q3533" s="7"/>
      <c r="R3533" s="7"/>
      <c r="S3533" s="7"/>
      <c r="T3533" s="7"/>
      <c r="U3533" s="7"/>
      <c r="V3533" s="7"/>
      <c r="W3533" s="7"/>
      <c r="X3533" s="7"/>
      <c r="Y3533" s="7"/>
    </row>
    <row r="3534">
      <c r="A3534" s="14" t="s">
        <v>12588</v>
      </c>
      <c r="B3534" s="17" t="s">
        <v>12585</v>
      </c>
      <c r="C3534" s="17" t="s">
        <v>12589</v>
      </c>
      <c r="D3534" s="19" t="s">
        <v>12590</v>
      </c>
      <c r="E3534" s="20" t="s">
        <v>67</v>
      </c>
      <c r="F3534" s="21">
        <v>24692.0</v>
      </c>
      <c r="G3534" s="14">
        <f t="shared" si="1"/>
        <v>59</v>
      </c>
      <c r="H3534" s="23" t="s">
        <v>26</v>
      </c>
      <c r="I3534" s="24" t="s">
        <v>33</v>
      </c>
      <c r="J3534" s="19" t="s">
        <v>282</v>
      </c>
      <c r="K3534" s="14">
        <v>14.0</v>
      </c>
      <c r="L3534" s="14">
        <v>0.0</v>
      </c>
      <c r="M3534" s="25"/>
      <c r="N3534" s="26" t="s">
        <v>21</v>
      </c>
      <c r="O3534" s="7"/>
      <c r="P3534" s="7"/>
      <c r="Q3534" s="7"/>
      <c r="R3534" s="7"/>
      <c r="S3534" s="7"/>
      <c r="T3534" s="7"/>
      <c r="U3534" s="7"/>
      <c r="V3534" s="7"/>
      <c r="W3534" s="7"/>
      <c r="X3534" s="7"/>
      <c r="Y3534" s="7"/>
    </row>
    <row r="3535">
      <c r="A3535" s="14" t="s">
        <v>12591</v>
      </c>
      <c r="B3535" s="17" t="s">
        <v>12585</v>
      </c>
      <c r="C3535" s="17" t="s">
        <v>12592</v>
      </c>
      <c r="D3535" s="19" t="s">
        <v>12593</v>
      </c>
      <c r="E3535" s="20" t="s">
        <v>624</v>
      </c>
      <c r="F3535" s="27">
        <v>26618.0</v>
      </c>
      <c r="G3535" s="14">
        <f t="shared" si="1"/>
        <v>53</v>
      </c>
      <c r="H3535" s="23" t="s">
        <v>26</v>
      </c>
      <c r="I3535" s="24" t="s">
        <v>27</v>
      </c>
      <c r="J3535" s="19" t="s">
        <v>282</v>
      </c>
      <c r="K3535" s="14">
        <v>14.0</v>
      </c>
      <c r="L3535" s="14">
        <v>0.0</v>
      </c>
      <c r="M3535" s="25"/>
      <c r="N3535" s="26" t="s">
        <v>21</v>
      </c>
      <c r="O3535" s="7"/>
      <c r="P3535" s="7"/>
      <c r="Q3535" s="7"/>
      <c r="R3535" s="7"/>
      <c r="S3535" s="7"/>
      <c r="T3535" s="7"/>
      <c r="U3535" s="7"/>
      <c r="V3535" s="7"/>
      <c r="W3535" s="7"/>
      <c r="X3535" s="7"/>
      <c r="Y3535" s="7"/>
    </row>
    <row r="3536">
      <c r="A3536" s="14" t="s">
        <v>12594</v>
      </c>
      <c r="B3536" s="17" t="s">
        <v>12595</v>
      </c>
      <c r="C3536" s="17" t="s">
        <v>12596</v>
      </c>
      <c r="D3536" s="19" t="s">
        <v>12597</v>
      </c>
      <c r="E3536" s="20" t="s">
        <v>736</v>
      </c>
      <c r="F3536" s="21">
        <v>31832.0</v>
      </c>
      <c r="G3536" s="14">
        <f t="shared" si="1"/>
        <v>39</v>
      </c>
      <c r="H3536" s="23" t="s">
        <v>26</v>
      </c>
      <c r="I3536" s="24" t="s">
        <v>33</v>
      </c>
      <c r="J3536" s="19" t="s">
        <v>206</v>
      </c>
      <c r="K3536" s="14">
        <v>3.0</v>
      </c>
      <c r="L3536" s="14">
        <v>0.0</v>
      </c>
      <c r="M3536" s="25"/>
      <c r="N3536" s="26" t="s">
        <v>21</v>
      </c>
      <c r="O3536" s="7"/>
      <c r="P3536" s="7"/>
      <c r="Q3536" s="7"/>
      <c r="R3536" s="7"/>
      <c r="S3536" s="7"/>
      <c r="T3536" s="7"/>
      <c r="U3536" s="7"/>
      <c r="V3536" s="7"/>
      <c r="W3536" s="7"/>
      <c r="X3536" s="7"/>
      <c r="Y3536" s="7"/>
    </row>
    <row r="3537">
      <c r="A3537" s="14" t="s">
        <v>12598</v>
      </c>
      <c r="B3537" s="17" t="s">
        <v>12595</v>
      </c>
      <c r="C3537" s="17" t="s">
        <v>12599</v>
      </c>
      <c r="D3537" s="19" t="s">
        <v>12600</v>
      </c>
      <c r="E3537" s="20" t="s">
        <v>104</v>
      </c>
      <c r="F3537" s="21">
        <v>33984.0</v>
      </c>
      <c r="G3537" s="14">
        <f t="shared" si="1"/>
        <v>33</v>
      </c>
      <c r="H3537" s="23" t="s">
        <v>26</v>
      </c>
      <c r="I3537" s="24" t="s">
        <v>27</v>
      </c>
      <c r="J3537" s="19" t="s">
        <v>206</v>
      </c>
      <c r="K3537" s="14">
        <v>3.0</v>
      </c>
      <c r="L3537" s="14">
        <v>0.0</v>
      </c>
      <c r="M3537" s="25"/>
      <c r="N3537" s="26" t="s">
        <v>21</v>
      </c>
      <c r="O3537" s="7"/>
      <c r="P3537" s="7"/>
      <c r="Q3537" s="7"/>
      <c r="R3537" s="7"/>
      <c r="S3537" s="7"/>
      <c r="T3537" s="7"/>
      <c r="U3537" s="7"/>
      <c r="V3537" s="7"/>
      <c r="W3537" s="7"/>
      <c r="X3537" s="7"/>
      <c r="Y3537" s="7"/>
    </row>
    <row r="3538">
      <c r="A3538" s="14" t="s">
        <v>12601</v>
      </c>
      <c r="B3538" s="17" t="s">
        <v>12602</v>
      </c>
      <c r="C3538" s="17" t="s">
        <v>12603</v>
      </c>
      <c r="D3538" s="19" t="s">
        <v>12604</v>
      </c>
      <c r="E3538" s="20" t="s">
        <v>104</v>
      </c>
      <c r="F3538" s="21">
        <v>33673.0</v>
      </c>
      <c r="G3538" s="14">
        <f t="shared" si="1"/>
        <v>34</v>
      </c>
      <c r="H3538" s="23" t="s">
        <v>26</v>
      </c>
      <c r="I3538" s="24" t="s">
        <v>33</v>
      </c>
      <c r="J3538" s="19" t="s">
        <v>53</v>
      </c>
      <c r="K3538" s="14">
        <v>3.0</v>
      </c>
      <c r="L3538" s="14">
        <v>0.0</v>
      </c>
      <c r="M3538" s="25"/>
      <c r="N3538" s="26" t="s">
        <v>21</v>
      </c>
      <c r="O3538" s="7"/>
      <c r="P3538" s="7"/>
      <c r="Q3538" s="7"/>
      <c r="R3538" s="7"/>
      <c r="S3538" s="7"/>
      <c r="T3538" s="7"/>
      <c r="U3538" s="7"/>
      <c r="V3538" s="7"/>
      <c r="W3538" s="7"/>
      <c r="X3538" s="7"/>
      <c r="Y3538" s="7"/>
    </row>
    <row r="3539">
      <c r="A3539" s="14" t="s">
        <v>12605</v>
      </c>
      <c r="B3539" s="17" t="s">
        <v>12602</v>
      </c>
      <c r="C3539" s="17" t="s">
        <v>12606</v>
      </c>
      <c r="D3539" s="19" t="s">
        <v>6661</v>
      </c>
      <c r="E3539" s="20" t="s">
        <v>104</v>
      </c>
      <c r="F3539" s="21">
        <v>33721.0</v>
      </c>
      <c r="G3539" s="14">
        <f t="shared" si="1"/>
        <v>34</v>
      </c>
      <c r="H3539" s="23" t="s">
        <v>26</v>
      </c>
      <c r="I3539" s="24" t="s">
        <v>27</v>
      </c>
      <c r="J3539" s="19" t="s">
        <v>53</v>
      </c>
      <c r="K3539" s="14">
        <v>3.0</v>
      </c>
      <c r="L3539" s="14">
        <v>0.0</v>
      </c>
      <c r="M3539" s="25"/>
      <c r="N3539" s="26" t="s">
        <v>21</v>
      </c>
      <c r="O3539" s="7"/>
      <c r="P3539" s="7"/>
      <c r="Q3539" s="7"/>
      <c r="R3539" s="7"/>
      <c r="S3539" s="7"/>
      <c r="T3539" s="7"/>
      <c r="U3539" s="7"/>
      <c r="V3539" s="7"/>
      <c r="W3539" s="7"/>
      <c r="X3539" s="7"/>
      <c r="Y3539" s="7"/>
    </row>
    <row r="3540">
      <c r="A3540" s="14" t="s">
        <v>12607</v>
      </c>
      <c r="B3540" s="17" t="s">
        <v>12608</v>
      </c>
      <c r="C3540" s="17" t="s">
        <v>12609</v>
      </c>
      <c r="D3540" s="19" t="s">
        <v>12610</v>
      </c>
      <c r="E3540" s="20" t="s">
        <v>434</v>
      </c>
      <c r="F3540" s="27">
        <v>23671.0</v>
      </c>
      <c r="G3540" s="14">
        <f t="shared" si="1"/>
        <v>62</v>
      </c>
      <c r="H3540" s="23" t="s">
        <v>26</v>
      </c>
      <c r="I3540" s="24" t="s">
        <v>27</v>
      </c>
      <c r="J3540" s="19" t="s">
        <v>146</v>
      </c>
      <c r="K3540" s="14">
        <v>2.0</v>
      </c>
      <c r="L3540" s="14">
        <v>0.0</v>
      </c>
      <c r="M3540" s="25"/>
      <c r="N3540" s="26" t="s">
        <v>21</v>
      </c>
      <c r="O3540" s="7"/>
      <c r="P3540" s="7"/>
      <c r="Q3540" s="7"/>
      <c r="R3540" s="7"/>
      <c r="S3540" s="7"/>
      <c r="T3540" s="7"/>
      <c r="U3540" s="7"/>
      <c r="V3540" s="7"/>
      <c r="W3540" s="7"/>
      <c r="X3540" s="7"/>
      <c r="Y3540" s="7"/>
    </row>
    <row r="3541">
      <c r="A3541" s="14" t="s">
        <v>12611</v>
      </c>
      <c r="B3541" s="17" t="s">
        <v>12608</v>
      </c>
      <c r="C3541" s="17" t="s">
        <v>12612</v>
      </c>
      <c r="D3541" s="19" t="s">
        <v>12613</v>
      </c>
      <c r="E3541" s="20" t="s">
        <v>434</v>
      </c>
      <c r="F3541" s="21">
        <v>21802.0</v>
      </c>
      <c r="G3541" s="14">
        <f t="shared" si="1"/>
        <v>67</v>
      </c>
      <c r="H3541" s="23" t="s">
        <v>26</v>
      </c>
      <c r="I3541" s="24" t="s">
        <v>33</v>
      </c>
      <c r="J3541" s="19" t="s">
        <v>146</v>
      </c>
      <c r="K3541" s="14">
        <v>2.0</v>
      </c>
      <c r="L3541" s="14">
        <v>0.0</v>
      </c>
      <c r="M3541" s="25"/>
      <c r="N3541" s="26" t="s">
        <v>21</v>
      </c>
      <c r="O3541" s="7"/>
      <c r="P3541" s="7"/>
      <c r="Q3541" s="7"/>
      <c r="R3541" s="7"/>
      <c r="S3541" s="7"/>
      <c r="T3541" s="7"/>
      <c r="U3541" s="7"/>
      <c r="V3541" s="7"/>
      <c r="W3541" s="7"/>
      <c r="X3541" s="7"/>
      <c r="Y3541" s="7"/>
    </row>
    <row r="3542">
      <c r="A3542" s="14" t="s">
        <v>12614</v>
      </c>
      <c r="B3542" s="17" t="s">
        <v>12615</v>
      </c>
      <c r="C3542" s="17" t="s">
        <v>12616</v>
      </c>
      <c r="D3542" s="19" t="s">
        <v>12617</v>
      </c>
      <c r="E3542" s="20" t="s">
        <v>104</v>
      </c>
      <c r="F3542" s="27">
        <v>39041.0</v>
      </c>
      <c r="G3542" s="14">
        <f t="shared" si="1"/>
        <v>19</v>
      </c>
      <c r="H3542" s="23" t="s">
        <v>100</v>
      </c>
      <c r="I3542" s="24" t="s">
        <v>27</v>
      </c>
      <c r="J3542" s="19" t="s">
        <v>282</v>
      </c>
      <c r="K3542" s="14">
        <v>15.0</v>
      </c>
      <c r="L3542" s="14">
        <v>0.0</v>
      </c>
      <c r="M3542" s="25"/>
      <c r="N3542" s="26" t="s">
        <v>21</v>
      </c>
      <c r="O3542" s="7"/>
      <c r="P3542" s="7"/>
      <c r="Q3542" s="7"/>
      <c r="R3542" s="7"/>
      <c r="S3542" s="7"/>
      <c r="T3542" s="7"/>
      <c r="U3542" s="7"/>
      <c r="V3542" s="7"/>
      <c r="W3542" s="7"/>
      <c r="X3542" s="7"/>
      <c r="Y3542" s="7"/>
    </row>
    <row r="3543">
      <c r="A3543" s="14" t="s">
        <v>12618</v>
      </c>
      <c r="B3543" s="17" t="s">
        <v>12615</v>
      </c>
      <c r="C3543" s="17" t="s">
        <v>12619</v>
      </c>
      <c r="D3543" s="19" t="s">
        <v>12620</v>
      </c>
      <c r="E3543" s="20" t="s">
        <v>1058</v>
      </c>
      <c r="F3543" s="21">
        <v>27897.0</v>
      </c>
      <c r="G3543" s="14">
        <f t="shared" si="1"/>
        <v>50</v>
      </c>
      <c r="H3543" s="23" t="s">
        <v>26</v>
      </c>
      <c r="I3543" s="24" t="s">
        <v>33</v>
      </c>
      <c r="J3543" s="19" t="s">
        <v>282</v>
      </c>
      <c r="K3543" s="14">
        <v>15.0</v>
      </c>
      <c r="L3543" s="14">
        <v>0.0</v>
      </c>
      <c r="M3543" s="25"/>
      <c r="N3543" s="26" t="s">
        <v>21</v>
      </c>
      <c r="O3543" s="7"/>
      <c r="P3543" s="7"/>
      <c r="Q3543" s="7"/>
      <c r="R3543" s="7"/>
      <c r="S3543" s="7"/>
      <c r="T3543" s="7"/>
      <c r="U3543" s="7"/>
      <c r="V3543" s="7"/>
      <c r="W3543" s="7"/>
      <c r="X3543" s="7"/>
      <c r="Y3543" s="7"/>
    </row>
    <row r="3544">
      <c r="A3544" s="14" t="s">
        <v>12621</v>
      </c>
      <c r="B3544" s="17" t="s">
        <v>12615</v>
      </c>
      <c r="C3544" s="17" t="s">
        <v>12622</v>
      </c>
      <c r="D3544" s="19" t="s">
        <v>5916</v>
      </c>
      <c r="E3544" s="20" t="s">
        <v>1058</v>
      </c>
      <c r="F3544" s="21">
        <v>29422.0</v>
      </c>
      <c r="G3544" s="14">
        <f t="shared" si="1"/>
        <v>46</v>
      </c>
      <c r="H3544" s="23" t="s">
        <v>26</v>
      </c>
      <c r="I3544" s="24" t="s">
        <v>27</v>
      </c>
      <c r="J3544" s="19" t="s">
        <v>282</v>
      </c>
      <c r="K3544" s="14">
        <v>15.0</v>
      </c>
      <c r="L3544" s="14">
        <v>0.0</v>
      </c>
      <c r="M3544" s="25"/>
      <c r="N3544" s="26" t="s">
        <v>21</v>
      </c>
      <c r="O3544" s="7"/>
      <c r="P3544" s="7"/>
      <c r="Q3544" s="7"/>
      <c r="R3544" s="7"/>
      <c r="S3544" s="7"/>
      <c r="T3544" s="7"/>
      <c r="U3544" s="7"/>
      <c r="V3544" s="7"/>
      <c r="W3544" s="7"/>
      <c r="X3544" s="7"/>
      <c r="Y3544" s="7"/>
    </row>
    <row r="3545">
      <c r="A3545" s="14" t="s">
        <v>12623</v>
      </c>
      <c r="B3545" s="17" t="s">
        <v>12624</v>
      </c>
      <c r="C3545" s="17" t="s">
        <v>12625</v>
      </c>
      <c r="D3545" s="19" t="s">
        <v>12626</v>
      </c>
      <c r="E3545" s="20" t="s">
        <v>671</v>
      </c>
      <c r="F3545" s="21">
        <v>28237.0</v>
      </c>
      <c r="G3545" s="14">
        <f t="shared" si="1"/>
        <v>49</v>
      </c>
      <c r="H3545" s="23" t="s">
        <v>26</v>
      </c>
      <c r="I3545" s="24" t="s">
        <v>27</v>
      </c>
      <c r="J3545" s="19" t="s">
        <v>282</v>
      </c>
      <c r="K3545" s="14">
        <v>15.0</v>
      </c>
      <c r="L3545" s="14">
        <v>0.0</v>
      </c>
      <c r="M3545" s="25"/>
      <c r="N3545" s="26" t="s">
        <v>21</v>
      </c>
      <c r="O3545" s="7"/>
      <c r="P3545" s="7"/>
      <c r="Q3545" s="7"/>
      <c r="R3545" s="7"/>
      <c r="S3545" s="7"/>
      <c r="T3545" s="7"/>
      <c r="U3545" s="7"/>
      <c r="V3545" s="7"/>
      <c r="W3545" s="7"/>
      <c r="X3545" s="7"/>
      <c r="Y3545" s="7"/>
    </row>
    <row r="3546">
      <c r="A3546" s="14" t="s">
        <v>12627</v>
      </c>
      <c r="B3546" s="17" t="s">
        <v>12624</v>
      </c>
      <c r="C3546" s="17" t="s">
        <v>12628</v>
      </c>
      <c r="D3546" s="19" t="s">
        <v>4513</v>
      </c>
      <c r="E3546" s="20" t="s">
        <v>1058</v>
      </c>
      <c r="F3546" s="27">
        <v>27689.0</v>
      </c>
      <c r="G3546" s="14">
        <f t="shared" si="1"/>
        <v>51</v>
      </c>
      <c r="H3546" s="23" t="s">
        <v>26</v>
      </c>
      <c r="I3546" s="24" t="s">
        <v>33</v>
      </c>
      <c r="J3546" s="19" t="s">
        <v>282</v>
      </c>
      <c r="K3546" s="14">
        <v>15.0</v>
      </c>
      <c r="L3546" s="14">
        <v>0.0</v>
      </c>
      <c r="M3546" s="25"/>
      <c r="N3546" s="26" t="s">
        <v>21</v>
      </c>
      <c r="O3546" s="7"/>
      <c r="P3546" s="7"/>
      <c r="Q3546" s="7"/>
      <c r="R3546" s="7"/>
      <c r="S3546" s="7"/>
      <c r="T3546" s="7"/>
      <c r="U3546" s="7"/>
      <c r="V3546" s="7"/>
      <c r="W3546" s="7"/>
      <c r="X3546" s="7"/>
      <c r="Y3546" s="7"/>
    </row>
    <row r="3547">
      <c r="A3547" s="14" t="s">
        <v>12629</v>
      </c>
      <c r="B3547" s="17" t="s">
        <v>12630</v>
      </c>
      <c r="C3547" s="17" t="s">
        <v>12631</v>
      </c>
      <c r="D3547" s="19" t="s">
        <v>12632</v>
      </c>
      <c r="E3547" s="20" t="s">
        <v>1058</v>
      </c>
      <c r="F3547" s="27">
        <v>25856.0</v>
      </c>
      <c r="G3547" s="14">
        <f t="shared" si="1"/>
        <v>56</v>
      </c>
      <c r="H3547" s="23" t="s">
        <v>26</v>
      </c>
      <c r="I3547" s="24" t="s">
        <v>27</v>
      </c>
      <c r="J3547" s="19" t="s">
        <v>7905</v>
      </c>
      <c r="K3547" s="14">
        <v>15.0</v>
      </c>
      <c r="L3547" s="14">
        <v>0.0</v>
      </c>
      <c r="M3547" s="25"/>
      <c r="N3547" s="26" t="s">
        <v>21</v>
      </c>
      <c r="O3547" s="7"/>
      <c r="P3547" s="7"/>
      <c r="Q3547" s="7"/>
      <c r="R3547" s="7"/>
      <c r="S3547" s="7"/>
      <c r="T3547" s="7"/>
      <c r="U3547" s="7"/>
      <c r="V3547" s="7"/>
      <c r="W3547" s="7"/>
      <c r="X3547" s="7"/>
      <c r="Y3547" s="7"/>
    </row>
    <row r="3548">
      <c r="A3548" s="14" t="s">
        <v>12633</v>
      </c>
      <c r="B3548" s="17" t="s">
        <v>12630</v>
      </c>
      <c r="C3548" s="17" t="s">
        <v>12634</v>
      </c>
      <c r="D3548" s="19" t="s">
        <v>12558</v>
      </c>
      <c r="E3548" s="20" t="s">
        <v>1058</v>
      </c>
      <c r="F3548" s="21">
        <v>24019.0</v>
      </c>
      <c r="G3548" s="14">
        <f t="shared" si="1"/>
        <v>61</v>
      </c>
      <c r="H3548" s="23" t="s">
        <v>26</v>
      </c>
      <c r="I3548" s="24" t="s">
        <v>33</v>
      </c>
      <c r="J3548" s="19" t="s">
        <v>7905</v>
      </c>
      <c r="K3548" s="14">
        <v>15.0</v>
      </c>
      <c r="L3548" s="14">
        <v>0.0</v>
      </c>
      <c r="M3548" s="25"/>
      <c r="N3548" s="26" t="s">
        <v>21</v>
      </c>
      <c r="O3548" s="7"/>
      <c r="P3548" s="7"/>
      <c r="Q3548" s="7"/>
      <c r="R3548" s="7"/>
      <c r="S3548" s="7"/>
      <c r="T3548" s="7"/>
      <c r="U3548" s="7"/>
      <c r="V3548" s="7"/>
      <c r="W3548" s="7"/>
      <c r="X3548" s="7"/>
      <c r="Y3548" s="7"/>
    </row>
    <row r="3549">
      <c r="A3549" s="14" t="s">
        <v>12635</v>
      </c>
      <c r="B3549" s="17" t="s">
        <v>12636</v>
      </c>
      <c r="C3549" s="17" t="s">
        <v>12637</v>
      </c>
      <c r="D3549" s="19" t="s">
        <v>12638</v>
      </c>
      <c r="E3549" s="20" t="s">
        <v>12639</v>
      </c>
      <c r="F3549" s="21">
        <v>24939.0</v>
      </c>
      <c r="G3549" s="14">
        <f t="shared" si="1"/>
        <v>58</v>
      </c>
      <c r="H3549" s="23" t="s">
        <v>26</v>
      </c>
      <c r="I3549" s="24" t="s">
        <v>27</v>
      </c>
      <c r="J3549" s="19" t="s">
        <v>282</v>
      </c>
      <c r="K3549" s="14">
        <v>16.0</v>
      </c>
      <c r="L3549" s="14">
        <v>0.0</v>
      </c>
      <c r="M3549" s="25"/>
      <c r="N3549" s="26" t="s">
        <v>21</v>
      </c>
      <c r="O3549" s="7"/>
      <c r="P3549" s="7"/>
      <c r="Q3549" s="7"/>
      <c r="R3549" s="7"/>
      <c r="S3549" s="7"/>
      <c r="T3549" s="7"/>
      <c r="U3549" s="7"/>
      <c r="V3549" s="7"/>
      <c r="W3549" s="7"/>
      <c r="X3549" s="7"/>
      <c r="Y3549" s="7"/>
    </row>
    <row r="3550">
      <c r="A3550" s="14" t="s">
        <v>12640</v>
      </c>
      <c r="B3550" s="17" t="s">
        <v>12636</v>
      </c>
      <c r="C3550" s="17" t="s">
        <v>12641</v>
      </c>
      <c r="D3550" s="19" t="s">
        <v>12572</v>
      </c>
      <c r="E3550" s="20" t="s">
        <v>104</v>
      </c>
      <c r="F3550" s="21">
        <v>23867.0</v>
      </c>
      <c r="G3550" s="14">
        <f t="shared" si="1"/>
        <v>61</v>
      </c>
      <c r="H3550" s="23" t="s">
        <v>26</v>
      </c>
      <c r="I3550" s="24" t="s">
        <v>33</v>
      </c>
      <c r="J3550" s="19" t="s">
        <v>282</v>
      </c>
      <c r="K3550" s="14">
        <v>16.0</v>
      </c>
      <c r="L3550" s="14">
        <v>0.0</v>
      </c>
      <c r="M3550" s="25"/>
      <c r="N3550" s="26" t="s">
        <v>21</v>
      </c>
      <c r="O3550" s="7"/>
      <c r="P3550" s="7"/>
      <c r="Q3550" s="7"/>
      <c r="R3550" s="7"/>
      <c r="S3550" s="7"/>
      <c r="T3550" s="7"/>
      <c r="U3550" s="7"/>
      <c r="V3550" s="7"/>
      <c r="W3550" s="7"/>
      <c r="X3550" s="7"/>
      <c r="Y3550" s="7"/>
    </row>
    <row r="3551">
      <c r="A3551" s="14" t="s">
        <v>12642</v>
      </c>
      <c r="B3551" s="17" t="s">
        <v>12643</v>
      </c>
      <c r="C3551" s="17" t="s">
        <v>12644</v>
      </c>
      <c r="D3551" s="19" t="s">
        <v>2199</v>
      </c>
      <c r="E3551" s="20" t="s">
        <v>1058</v>
      </c>
      <c r="F3551" s="21">
        <v>20280.0</v>
      </c>
      <c r="G3551" s="14">
        <f t="shared" si="1"/>
        <v>71</v>
      </c>
      <c r="H3551" s="23" t="s">
        <v>26</v>
      </c>
      <c r="I3551" s="24" t="s">
        <v>33</v>
      </c>
      <c r="J3551" s="19" t="s">
        <v>2196</v>
      </c>
      <c r="K3551" s="14">
        <v>15.0</v>
      </c>
      <c r="L3551" s="14">
        <v>0.0</v>
      </c>
      <c r="M3551" s="25"/>
      <c r="N3551" s="26" t="s">
        <v>21</v>
      </c>
      <c r="O3551" s="7"/>
      <c r="P3551" s="7"/>
      <c r="Q3551" s="7"/>
      <c r="R3551" s="7"/>
      <c r="S3551" s="7"/>
      <c r="T3551" s="7"/>
      <c r="U3551" s="7"/>
      <c r="V3551" s="7"/>
      <c r="W3551" s="7"/>
      <c r="X3551" s="7"/>
      <c r="Y3551" s="7"/>
    </row>
    <row r="3552">
      <c r="A3552" s="14" t="s">
        <v>12645</v>
      </c>
      <c r="B3552" s="17" t="s">
        <v>12646</v>
      </c>
      <c r="C3552" s="17" t="s">
        <v>12647</v>
      </c>
      <c r="D3552" s="19" t="s">
        <v>12648</v>
      </c>
      <c r="E3552" s="20" t="s">
        <v>544</v>
      </c>
      <c r="F3552" s="21">
        <v>16666.0</v>
      </c>
      <c r="G3552" s="14">
        <f t="shared" si="1"/>
        <v>81</v>
      </c>
      <c r="H3552" s="23" t="s">
        <v>26</v>
      </c>
      <c r="I3552" s="24" t="s">
        <v>33</v>
      </c>
      <c r="J3552" s="19" t="s">
        <v>1387</v>
      </c>
      <c r="K3552" s="14">
        <v>6.0</v>
      </c>
      <c r="L3552" s="14">
        <v>0.0</v>
      </c>
      <c r="M3552" s="25"/>
      <c r="N3552" s="26" t="s">
        <v>21</v>
      </c>
      <c r="O3552" s="7"/>
      <c r="P3552" s="7"/>
      <c r="Q3552" s="7"/>
      <c r="R3552" s="7"/>
      <c r="S3552" s="7"/>
      <c r="T3552" s="7"/>
      <c r="U3552" s="7"/>
      <c r="V3552" s="7"/>
      <c r="W3552" s="7"/>
      <c r="X3552" s="7"/>
      <c r="Y3552" s="7"/>
    </row>
    <row r="3553">
      <c r="A3553" s="14" t="s">
        <v>12649</v>
      </c>
      <c r="B3553" s="17" t="s">
        <v>12650</v>
      </c>
      <c r="C3553" s="17" t="s">
        <v>12651</v>
      </c>
      <c r="D3553" s="19" t="s">
        <v>12652</v>
      </c>
      <c r="E3553" s="20" t="s">
        <v>1058</v>
      </c>
      <c r="F3553" s="21">
        <v>19216.0</v>
      </c>
      <c r="G3553" s="14">
        <f t="shared" si="1"/>
        <v>74</v>
      </c>
      <c r="H3553" s="23" t="s">
        <v>26</v>
      </c>
      <c r="I3553" s="24" t="s">
        <v>27</v>
      </c>
      <c r="J3553" s="19" t="s">
        <v>282</v>
      </c>
      <c r="K3553" s="14">
        <v>15.0</v>
      </c>
      <c r="L3553" s="14">
        <v>0.0</v>
      </c>
      <c r="M3553" s="25"/>
      <c r="N3553" s="26" t="s">
        <v>21</v>
      </c>
      <c r="O3553" s="7"/>
      <c r="P3553" s="7"/>
      <c r="Q3553" s="7"/>
      <c r="R3553" s="7"/>
      <c r="S3553" s="7"/>
      <c r="T3553" s="7"/>
      <c r="U3553" s="7"/>
      <c r="V3553" s="7"/>
      <c r="W3553" s="7"/>
      <c r="X3553" s="7"/>
      <c r="Y3553" s="7"/>
    </row>
    <row r="3554">
      <c r="A3554" s="14" t="s">
        <v>12653</v>
      </c>
      <c r="B3554" s="17" t="s">
        <v>12654</v>
      </c>
      <c r="C3554" s="17" t="s">
        <v>12655</v>
      </c>
      <c r="D3554" s="19" t="s">
        <v>12656</v>
      </c>
      <c r="E3554" s="20" t="s">
        <v>53</v>
      </c>
      <c r="F3554" s="21">
        <v>38850.0</v>
      </c>
      <c r="G3554" s="14">
        <f t="shared" si="1"/>
        <v>20</v>
      </c>
      <c r="H3554" s="23" t="s">
        <v>100</v>
      </c>
      <c r="I3554" s="24" t="s">
        <v>27</v>
      </c>
      <c r="J3554" s="19" t="s">
        <v>282</v>
      </c>
      <c r="K3554" s="14">
        <v>15.0</v>
      </c>
      <c r="L3554" s="14">
        <v>0.0</v>
      </c>
      <c r="M3554" s="25"/>
      <c r="N3554" s="26" t="s">
        <v>21</v>
      </c>
      <c r="O3554" s="7"/>
      <c r="P3554" s="7"/>
      <c r="Q3554" s="7"/>
      <c r="R3554" s="7"/>
      <c r="S3554" s="7"/>
      <c r="T3554" s="7"/>
      <c r="U3554" s="7"/>
      <c r="V3554" s="7"/>
      <c r="W3554" s="7"/>
      <c r="X3554" s="7"/>
      <c r="Y3554" s="7"/>
    </row>
    <row r="3555">
      <c r="A3555" s="14" t="s">
        <v>12657</v>
      </c>
      <c r="B3555" s="17" t="s">
        <v>12654</v>
      </c>
      <c r="C3555" s="17" t="s">
        <v>12658</v>
      </c>
      <c r="D3555" s="19" t="s">
        <v>12659</v>
      </c>
      <c r="E3555" s="20" t="s">
        <v>1049</v>
      </c>
      <c r="F3555" s="21">
        <v>21862.0</v>
      </c>
      <c r="G3555" s="14">
        <f t="shared" si="1"/>
        <v>66</v>
      </c>
      <c r="H3555" s="23" t="s">
        <v>26</v>
      </c>
      <c r="I3555" s="24" t="s">
        <v>33</v>
      </c>
      <c r="J3555" s="19" t="s">
        <v>282</v>
      </c>
      <c r="K3555" s="14">
        <v>15.0</v>
      </c>
      <c r="L3555" s="14">
        <v>0.0</v>
      </c>
      <c r="M3555" s="25"/>
      <c r="N3555" s="26" t="s">
        <v>21</v>
      </c>
      <c r="O3555" s="7"/>
      <c r="P3555" s="7"/>
      <c r="Q3555" s="7"/>
      <c r="R3555" s="7"/>
      <c r="S3555" s="7"/>
      <c r="T3555" s="7"/>
      <c r="U3555" s="7"/>
      <c r="V3555" s="7"/>
      <c r="W3555" s="7"/>
      <c r="X3555" s="7"/>
      <c r="Y3555" s="7"/>
    </row>
    <row r="3556">
      <c r="A3556" s="14" t="s">
        <v>12660</v>
      </c>
      <c r="B3556" s="17" t="s">
        <v>12654</v>
      </c>
      <c r="C3556" s="17" t="s">
        <v>12661</v>
      </c>
      <c r="D3556" s="19" t="s">
        <v>554</v>
      </c>
      <c r="E3556" s="20" t="s">
        <v>1038</v>
      </c>
      <c r="F3556" s="21">
        <v>23543.0</v>
      </c>
      <c r="G3556" s="14">
        <f t="shared" si="1"/>
        <v>62</v>
      </c>
      <c r="H3556" s="23" t="s">
        <v>26</v>
      </c>
      <c r="I3556" s="24" t="s">
        <v>27</v>
      </c>
      <c r="J3556" s="19" t="s">
        <v>282</v>
      </c>
      <c r="K3556" s="14">
        <v>15.0</v>
      </c>
      <c r="L3556" s="14">
        <v>0.0</v>
      </c>
      <c r="M3556" s="25"/>
      <c r="N3556" s="26" t="s">
        <v>21</v>
      </c>
      <c r="O3556" s="7"/>
      <c r="P3556" s="7"/>
      <c r="Q3556" s="7"/>
      <c r="R3556" s="7"/>
      <c r="S3556" s="7"/>
      <c r="T3556" s="7"/>
      <c r="U3556" s="7"/>
      <c r="V3556" s="7"/>
      <c r="W3556" s="7"/>
      <c r="X3556" s="7"/>
      <c r="Y3556" s="7"/>
    </row>
    <row r="3557">
      <c r="A3557" s="14" t="s">
        <v>12662</v>
      </c>
      <c r="B3557" s="17" t="s">
        <v>12663</v>
      </c>
      <c r="C3557" s="17" t="s">
        <v>12664</v>
      </c>
      <c r="D3557" s="19" t="s">
        <v>12665</v>
      </c>
      <c r="E3557" s="20" t="s">
        <v>12666</v>
      </c>
      <c r="F3557" s="21">
        <v>23846.0</v>
      </c>
      <c r="G3557" s="14">
        <f t="shared" si="1"/>
        <v>61</v>
      </c>
      <c r="H3557" s="23" t="s">
        <v>26</v>
      </c>
      <c r="I3557" s="24" t="s">
        <v>27</v>
      </c>
      <c r="J3557" s="19" t="s">
        <v>206</v>
      </c>
      <c r="K3557" s="14">
        <v>1.0</v>
      </c>
      <c r="L3557" s="14">
        <v>0.0</v>
      </c>
      <c r="M3557" s="25"/>
      <c r="N3557" s="26" t="s">
        <v>21</v>
      </c>
      <c r="O3557" s="7"/>
      <c r="P3557" s="7"/>
      <c r="Q3557" s="7"/>
      <c r="R3557" s="7"/>
      <c r="S3557" s="7"/>
      <c r="T3557" s="7"/>
      <c r="U3557" s="7"/>
      <c r="V3557" s="7"/>
      <c r="W3557" s="7"/>
      <c r="X3557" s="7"/>
      <c r="Y3557" s="7"/>
    </row>
    <row r="3558">
      <c r="A3558" s="14" t="s">
        <v>12667</v>
      </c>
      <c r="B3558" s="17" t="s">
        <v>12663</v>
      </c>
      <c r="C3558" s="17" t="s">
        <v>12668</v>
      </c>
      <c r="D3558" s="19" t="s">
        <v>4513</v>
      </c>
      <c r="E3558" s="20" t="s">
        <v>8190</v>
      </c>
      <c r="F3558" s="21">
        <v>23209.0</v>
      </c>
      <c r="G3558" s="14">
        <f t="shared" si="1"/>
        <v>63</v>
      </c>
      <c r="H3558" s="23" t="s">
        <v>26</v>
      </c>
      <c r="I3558" s="24" t="s">
        <v>33</v>
      </c>
      <c r="J3558" s="19" t="s">
        <v>206</v>
      </c>
      <c r="K3558" s="14">
        <v>1.0</v>
      </c>
      <c r="L3558" s="14">
        <v>0.0</v>
      </c>
      <c r="M3558" s="25"/>
      <c r="N3558" s="26" t="s">
        <v>21</v>
      </c>
      <c r="O3558" s="7"/>
      <c r="P3558" s="7"/>
      <c r="Q3558" s="7"/>
      <c r="R3558" s="7"/>
      <c r="S3558" s="7"/>
      <c r="T3558" s="7"/>
      <c r="U3558" s="7"/>
      <c r="V3558" s="7"/>
      <c r="W3558" s="7"/>
      <c r="X3558" s="7"/>
      <c r="Y3558" s="7"/>
    </row>
    <row r="3559">
      <c r="A3559" s="14" t="s">
        <v>12669</v>
      </c>
      <c r="B3559" s="17" t="s">
        <v>12663</v>
      </c>
      <c r="C3559" s="17" t="s">
        <v>12670</v>
      </c>
      <c r="D3559" s="19" t="s">
        <v>12671</v>
      </c>
      <c r="E3559" s="20" t="s">
        <v>104</v>
      </c>
      <c r="F3559" s="21">
        <v>38515.0</v>
      </c>
      <c r="G3559" s="14">
        <f t="shared" si="1"/>
        <v>21</v>
      </c>
      <c r="H3559" s="23" t="s">
        <v>100</v>
      </c>
      <c r="I3559" s="24" t="s">
        <v>33</v>
      </c>
      <c r="J3559" s="19" t="s">
        <v>206</v>
      </c>
      <c r="K3559" s="14">
        <v>1.0</v>
      </c>
      <c r="L3559" s="14">
        <v>0.0</v>
      </c>
      <c r="M3559" s="25"/>
      <c r="N3559" s="26" t="s">
        <v>21</v>
      </c>
      <c r="O3559" s="7"/>
      <c r="P3559" s="7"/>
      <c r="Q3559" s="7"/>
      <c r="R3559" s="7"/>
      <c r="S3559" s="7"/>
      <c r="T3559" s="7"/>
      <c r="U3559" s="7"/>
      <c r="V3559" s="7"/>
      <c r="W3559" s="7"/>
      <c r="X3559" s="7"/>
      <c r="Y3559" s="7"/>
    </row>
    <row r="3560">
      <c r="A3560" s="14" t="s">
        <v>12672</v>
      </c>
      <c r="B3560" s="17" t="s">
        <v>12477</v>
      </c>
      <c r="C3560" s="17" t="s">
        <v>12674</v>
      </c>
      <c r="D3560" s="19" t="s">
        <v>12675</v>
      </c>
      <c r="E3560" s="20" t="s">
        <v>1816</v>
      </c>
      <c r="F3560" s="21">
        <v>27703.0</v>
      </c>
      <c r="G3560" s="14">
        <f t="shared" si="1"/>
        <v>50</v>
      </c>
      <c r="H3560" s="23" t="s">
        <v>26</v>
      </c>
      <c r="I3560" s="24" t="s">
        <v>27</v>
      </c>
      <c r="J3560" s="19" t="s">
        <v>7905</v>
      </c>
      <c r="K3560" s="14">
        <v>34.0</v>
      </c>
      <c r="L3560" s="14">
        <v>0.0</v>
      </c>
      <c r="M3560" s="25"/>
      <c r="N3560" s="26" t="s">
        <v>21</v>
      </c>
      <c r="O3560" s="7"/>
      <c r="P3560" s="7"/>
      <c r="Q3560" s="7"/>
      <c r="R3560" s="7"/>
      <c r="S3560" s="7"/>
      <c r="T3560" s="7"/>
      <c r="U3560" s="7"/>
      <c r="V3560" s="7"/>
      <c r="W3560" s="7"/>
      <c r="X3560" s="7"/>
      <c r="Y3560" s="7"/>
    </row>
    <row r="3561">
      <c r="A3561" s="14" t="s">
        <v>12676</v>
      </c>
      <c r="B3561" s="17" t="s">
        <v>12677</v>
      </c>
      <c r="C3561" s="17" t="s">
        <v>12678</v>
      </c>
      <c r="D3561" s="19" t="s">
        <v>12679</v>
      </c>
      <c r="E3561" s="20" t="s">
        <v>1148</v>
      </c>
      <c r="F3561" s="27">
        <v>24472.0</v>
      </c>
      <c r="G3561" s="14">
        <f t="shared" si="1"/>
        <v>59</v>
      </c>
      <c r="H3561" s="23" t="s">
        <v>27</v>
      </c>
      <c r="I3561" s="24" t="s">
        <v>27</v>
      </c>
      <c r="J3561" s="19" t="s">
        <v>320</v>
      </c>
      <c r="K3561" s="14">
        <v>11.0</v>
      </c>
      <c r="L3561" s="14">
        <v>0.0</v>
      </c>
      <c r="M3561" s="25"/>
      <c r="N3561" s="26" t="s">
        <v>21</v>
      </c>
      <c r="O3561" s="7"/>
      <c r="P3561" s="7"/>
      <c r="Q3561" s="7"/>
      <c r="R3561" s="7"/>
      <c r="S3561" s="7"/>
      <c r="T3561" s="7"/>
      <c r="U3561" s="7"/>
      <c r="V3561" s="7"/>
      <c r="W3561" s="7"/>
      <c r="X3561" s="7"/>
      <c r="Y3561" s="7"/>
    </row>
    <row r="3562">
      <c r="A3562" s="14" t="s">
        <v>12680</v>
      </c>
      <c r="B3562" s="17" t="s">
        <v>12677</v>
      </c>
      <c r="C3562" s="17" t="s">
        <v>12681</v>
      </c>
      <c r="D3562" s="19" t="s">
        <v>12682</v>
      </c>
      <c r="E3562" s="20" t="s">
        <v>1148</v>
      </c>
      <c r="F3562" s="27">
        <v>29550.0</v>
      </c>
      <c r="G3562" s="14">
        <f t="shared" si="1"/>
        <v>45</v>
      </c>
      <c r="H3562" s="23" t="s">
        <v>100</v>
      </c>
      <c r="I3562" s="24" t="s">
        <v>33</v>
      </c>
      <c r="J3562" s="19" t="s">
        <v>320</v>
      </c>
      <c r="K3562" s="14">
        <v>11.0</v>
      </c>
      <c r="L3562" s="14">
        <v>0.0</v>
      </c>
      <c r="M3562" s="25"/>
      <c r="N3562" s="26" t="s">
        <v>21</v>
      </c>
      <c r="O3562" s="7"/>
      <c r="P3562" s="7"/>
      <c r="Q3562" s="7"/>
      <c r="R3562" s="7"/>
      <c r="S3562" s="7"/>
      <c r="T3562" s="7"/>
      <c r="U3562" s="7"/>
      <c r="V3562" s="7"/>
      <c r="W3562" s="7"/>
      <c r="X3562" s="7"/>
      <c r="Y3562" s="7"/>
    </row>
    <row r="3563">
      <c r="A3563" s="14" t="s">
        <v>12683</v>
      </c>
      <c r="B3563" s="17" t="s">
        <v>12677</v>
      </c>
      <c r="C3563" s="17" t="s">
        <v>12684</v>
      </c>
      <c r="D3563" s="19" t="s">
        <v>12685</v>
      </c>
      <c r="E3563" s="20" t="s">
        <v>1148</v>
      </c>
      <c r="F3563" s="21">
        <v>30194.0</v>
      </c>
      <c r="G3563" s="14">
        <f t="shared" si="1"/>
        <v>44</v>
      </c>
      <c r="H3563" s="23" t="s">
        <v>100</v>
      </c>
      <c r="I3563" s="24" t="s">
        <v>33</v>
      </c>
      <c r="J3563" s="19" t="s">
        <v>320</v>
      </c>
      <c r="K3563" s="14">
        <v>11.0</v>
      </c>
      <c r="L3563" s="14">
        <v>0.0</v>
      </c>
      <c r="M3563" s="25"/>
      <c r="N3563" s="26" t="s">
        <v>21</v>
      </c>
      <c r="O3563" s="7"/>
      <c r="P3563" s="7"/>
      <c r="Q3563" s="7"/>
      <c r="R3563" s="7"/>
      <c r="S3563" s="7"/>
      <c r="T3563" s="7"/>
      <c r="U3563" s="7"/>
      <c r="V3563" s="7"/>
      <c r="W3563" s="7"/>
      <c r="X3563" s="7"/>
      <c r="Y3563" s="7"/>
    </row>
    <row r="3564">
      <c r="A3564" s="14" t="s">
        <v>12686</v>
      </c>
      <c r="B3564" s="17" t="s">
        <v>12677</v>
      </c>
      <c r="C3564" s="17" t="s">
        <v>12687</v>
      </c>
      <c r="D3564" s="19" t="s">
        <v>12688</v>
      </c>
      <c r="E3564" s="20" t="s">
        <v>1148</v>
      </c>
      <c r="F3564" s="21">
        <v>35478.0</v>
      </c>
      <c r="G3564" s="14">
        <f t="shared" si="1"/>
        <v>29</v>
      </c>
      <c r="H3564" s="23" t="s">
        <v>100</v>
      </c>
      <c r="I3564" s="24" t="s">
        <v>33</v>
      </c>
      <c r="J3564" s="19" t="s">
        <v>39</v>
      </c>
      <c r="K3564" s="14">
        <v>11.0</v>
      </c>
      <c r="L3564" s="14">
        <v>0.0</v>
      </c>
      <c r="M3564" s="25"/>
      <c r="N3564" s="26" t="s">
        <v>21</v>
      </c>
      <c r="O3564" s="7"/>
      <c r="P3564" s="7"/>
      <c r="Q3564" s="7"/>
      <c r="R3564" s="7"/>
      <c r="S3564" s="7"/>
      <c r="T3564" s="7"/>
      <c r="U3564" s="7"/>
      <c r="V3564" s="7"/>
      <c r="W3564" s="7"/>
      <c r="X3564" s="7"/>
      <c r="Y3564" s="7"/>
    </row>
    <row r="3565">
      <c r="A3565" s="14" t="s">
        <v>12689</v>
      </c>
      <c r="B3565" s="17" t="s">
        <v>12690</v>
      </c>
      <c r="C3565" s="17" t="s">
        <v>12691</v>
      </c>
      <c r="D3565" s="19" t="s">
        <v>12692</v>
      </c>
      <c r="E3565" s="20" t="s">
        <v>2200</v>
      </c>
      <c r="F3565" s="21">
        <v>33764.0</v>
      </c>
      <c r="G3565" s="14">
        <f t="shared" si="1"/>
        <v>34</v>
      </c>
      <c r="H3565" s="23" t="s">
        <v>26</v>
      </c>
      <c r="I3565" s="24" t="s">
        <v>27</v>
      </c>
      <c r="J3565" s="19" t="s">
        <v>58</v>
      </c>
      <c r="K3565" s="14">
        <v>5.0</v>
      </c>
      <c r="L3565" s="14">
        <v>0.0</v>
      </c>
      <c r="M3565" s="25"/>
      <c r="N3565" s="26" t="s">
        <v>21</v>
      </c>
      <c r="O3565" s="7"/>
      <c r="P3565" s="7"/>
      <c r="Q3565" s="7"/>
      <c r="R3565" s="7"/>
      <c r="S3565" s="7"/>
      <c r="T3565" s="7"/>
      <c r="U3565" s="7"/>
      <c r="V3565" s="7"/>
      <c r="W3565" s="7"/>
      <c r="X3565" s="7"/>
      <c r="Y3565" s="7"/>
    </row>
    <row r="3566">
      <c r="A3566" s="14" t="s">
        <v>12693</v>
      </c>
      <c r="B3566" s="17" t="s">
        <v>12694</v>
      </c>
      <c r="C3566" s="17" t="s">
        <v>12695</v>
      </c>
      <c r="D3566" s="19" t="s">
        <v>12696</v>
      </c>
      <c r="E3566" s="20" t="s">
        <v>53</v>
      </c>
      <c r="F3566" s="21">
        <v>33106.0</v>
      </c>
      <c r="G3566" s="14">
        <f t="shared" si="1"/>
        <v>36</v>
      </c>
      <c r="H3566" s="23" t="s">
        <v>26</v>
      </c>
      <c r="I3566" s="24" t="s">
        <v>27</v>
      </c>
      <c r="J3566" s="19" t="s">
        <v>12697</v>
      </c>
      <c r="K3566" s="14">
        <v>30.0</v>
      </c>
      <c r="L3566" s="14">
        <v>0.0</v>
      </c>
      <c r="M3566" s="25"/>
      <c r="N3566" s="26" t="s">
        <v>21</v>
      </c>
      <c r="O3566" s="7"/>
      <c r="P3566" s="7"/>
      <c r="Q3566" s="7"/>
      <c r="R3566" s="7"/>
      <c r="S3566" s="7"/>
      <c r="T3566" s="7"/>
      <c r="U3566" s="7"/>
      <c r="V3566" s="7"/>
      <c r="W3566" s="7"/>
      <c r="X3566" s="7"/>
      <c r="Y3566" s="7"/>
    </row>
    <row r="3567">
      <c r="A3567" s="14" t="s">
        <v>12698</v>
      </c>
      <c r="B3567" s="17" t="s">
        <v>12694</v>
      </c>
      <c r="C3567" s="17" t="s">
        <v>12699</v>
      </c>
      <c r="D3567" s="19" t="s">
        <v>12700</v>
      </c>
      <c r="E3567" s="20" t="s">
        <v>2023</v>
      </c>
      <c r="F3567" s="21">
        <v>39207.0</v>
      </c>
      <c r="G3567" s="14">
        <f t="shared" si="1"/>
        <v>19</v>
      </c>
      <c r="H3567" s="23" t="s">
        <v>100</v>
      </c>
      <c r="I3567" s="24" t="s">
        <v>27</v>
      </c>
      <c r="J3567" s="19" t="s">
        <v>12697</v>
      </c>
      <c r="K3567" s="14">
        <v>30.0</v>
      </c>
      <c r="L3567" s="14">
        <v>0.0</v>
      </c>
      <c r="M3567" s="25"/>
      <c r="N3567" s="26" t="s">
        <v>21</v>
      </c>
      <c r="O3567" s="7"/>
      <c r="P3567" s="7"/>
      <c r="Q3567" s="7"/>
      <c r="R3567" s="7"/>
      <c r="S3567" s="7"/>
      <c r="T3567" s="7"/>
      <c r="U3567" s="7"/>
      <c r="V3567" s="7"/>
      <c r="W3567" s="7"/>
      <c r="X3567" s="7"/>
      <c r="Y3567" s="7"/>
    </row>
    <row r="3568">
      <c r="A3568" s="14" t="s">
        <v>12701</v>
      </c>
      <c r="B3568" s="17" t="s">
        <v>12694</v>
      </c>
      <c r="C3568" s="17" t="s">
        <v>12702</v>
      </c>
      <c r="D3568" s="19" t="s">
        <v>12703</v>
      </c>
      <c r="E3568" s="20" t="s">
        <v>11291</v>
      </c>
      <c r="F3568" s="21">
        <v>33640.0</v>
      </c>
      <c r="G3568" s="14">
        <f t="shared" si="1"/>
        <v>34</v>
      </c>
      <c r="H3568" s="23" t="s">
        <v>26</v>
      </c>
      <c r="I3568" s="24" t="s">
        <v>33</v>
      </c>
      <c r="J3568" s="19" t="s">
        <v>12697</v>
      </c>
      <c r="K3568" s="14">
        <v>30.0</v>
      </c>
      <c r="L3568" s="14">
        <v>5.0</v>
      </c>
      <c r="M3568" s="28" t="s">
        <v>14425</v>
      </c>
      <c r="N3568" s="26" t="s">
        <v>21</v>
      </c>
      <c r="O3568" s="7"/>
      <c r="P3568" s="7"/>
      <c r="Q3568" s="7"/>
      <c r="R3568" s="7"/>
      <c r="S3568" s="7"/>
      <c r="T3568" s="7"/>
      <c r="U3568" s="7"/>
      <c r="V3568" s="7"/>
      <c r="W3568" s="7"/>
      <c r="X3568" s="7"/>
      <c r="Y3568" s="7"/>
    </row>
    <row r="3569">
      <c r="A3569" s="14" t="s">
        <v>12704</v>
      </c>
      <c r="B3569" s="17" t="s">
        <v>12705</v>
      </c>
      <c r="C3569" s="17" t="s">
        <v>12706</v>
      </c>
      <c r="D3569" s="19" t="s">
        <v>12707</v>
      </c>
      <c r="E3569" s="20" t="s">
        <v>104</v>
      </c>
      <c r="F3569" s="21">
        <v>36989.0</v>
      </c>
      <c r="G3569" s="14">
        <f t="shared" si="1"/>
        <v>25</v>
      </c>
      <c r="H3569" s="23" t="s">
        <v>100</v>
      </c>
      <c r="I3569" s="24" t="s">
        <v>33</v>
      </c>
      <c r="J3569" s="19" t="s">
        <v>257</v>
      </c>
      <c r="K3569" s="14">
        <v>9.0</v>
      </c>
      <c r="L3569" s="14">
        <v>0.0</v>
      </c>
      <c r="M3569" s="25"/>
      <c r="N3569" s="26" t="s">
        <v>21</v>
      </c>
      <c r="O3569" s="7"/>
      <c r="P3569" s="7"/>
      <c r="Q3569" s="7"/>
      <c r="R3569" s="7"/>
      <c r="S3569" s="7"/>
      <c r="T3569" s="7"/>
      <c r="U3569" s="7"/>
      <c r="V3569" s="7"/>
      <c r="W3569" s="7"/>
      <c r="X3569" s="7"/>
      <c r="Y3569" s="7"/>
    </row>
    <row r="3570">
      <c r="A3570" s="14" t="s">
        <v>12708</v>
      </c>
      <c r="B3570" s="17" t="s">
        <v>12705</v>
      </c>
      <c r="C3570" s="17" t="s">
        <v>12709</v>
      </c>
      <c r="D3570" s="19" t="s">
        <v>12710</v>
      </c>
      <c r="E3570" s="20" t="s">
        <v>104</v>
      </c>
      <c r="F3570" s="21">
        <v>36200.0</v>
      </c>
      <c r="G3570" s="14">
        <f t="shared" si="1"/>
        <v>27</v>
      </c>
      <c r="H3570" s="23" t="s">
        <v>100</v>
      </c>
      <c r="I3570" s="24" t="s">
        <v>27</v>
      </c>
      <c r="J3570" s="19" t="s">
        <v>257</v>
      </c>
      <c r="K3570" s="14">
        <v>9.0</v>
      </c>
      <c r="L3570" s="14">
        <v>0.0</v>
      </c>
      <c r="M3570" s="25"/>
      <c r="N3570" s="26" t="s">
        <v>21</v>
      </c>
      <c r="O3570" s="7"/>
      <c r="P3570" s="7"/>
      <c r="Q3570" s="7"/>
      <c r="R3570" s="7"/>
      <c r="S3570" s="7"/>
      <c r="T3570" s="7"/>
      <c r="U3570" s="7"/>
      <c r="V3570" s="7"/>
      <c r="W3570" s="7"/>
      <c r="X3570" s="7"/>
      <c r="Y3570" s="7"/>
    </row>
    <row r="3571">
      <c r="A3571" s="14" t="s">
        <v>12711</v>
      </c>
      <c r="B3571" s="17" t="s">
        <v>12705</v>
      </c>
      <c r="C3571" s="17" t="s">
        <v>12712</v>
      </c>
      <c r="D3571" s="19" t="s">
        <v>12713</v>
      </c>
      <c r="E3571" s="20" t="s">
        <v>749</v>
      </c>
      <c r="F3571" s="21">
        <v>28039.0</v>
      </c>
      <c r="G3571" s="14">
        <f t="shared" si="1"/>
        <v>50</v>
      </c>
      <c r="H3571" s="23" t="s">
        <v>27</v>
      </c>
      <c r="I3571" s="24" t="s">
        <v>27</v>
      </c>
      <c r="J3571" s="19" t="s">
        <v>257</v>
      </c>
      <c r="K3571" s="14">
        <v>9.0</v>
      </c>
      <c r="L3571" s="14">
        <v>0.0</v>
      </c>
      <c r="M3571" s="25"/>
      <c r="N3571" s="26" t="s">
        <v>21</v>
      </c>
      <c r="O3571" s="7"/>
      <c r="P3571" s="7"/>
      <c r="Q3571" s="7"/>
      <c r="R3571" s="7"/>
      <c r="S3571" s="7"/>
      <c r="T3571" s="7"/>
      <c r="U3571" s="7"/>
      <c r="V3571" s="7"/>
      <c r="W3571" s="7"/>
      <c r="X3571" s="7"/>
      <c r="Y3571" s="7"/>
    </row>
    <row r="3572">
      <c r="A3572" s="14" t="s">
        <v>12714</v>
      </c>
      <c r="B3572" s="17" t="s">
        <v>12715</v>
      </c>
      <c r="C3572" s="17" t="s">
        <v>12716</v>
      </c>
      <c r="D3572" s="19" t="s">
        <v>11161</v>
      </c>
      <c r="E3572" s="20" t="s">
        <v>195</v>
      </c>
      <c r="F3572" s="21">
        <v>28980.0</v>
      </c>
      <c r="G3572" s="14">
        <f t="shared" si="1"/>
        <v>47</v>
      </c>
      <c r="H3572" s="23" t="s">
        <v>26</v>
      </c>
      <c r="I3572" s="24" t="s">
        <v>27</v>
      </c>
      <c r="J3572" s="19" t="s">
        <v>68</v>
      </c>
      <c r="K3572" s="14">
        <v>18.0</v>
      </c>
      <c r="L3572" s="14">
        <v>0.0</v>
      </c>
      <c r="M3572" s="25"/>
      <c r="N3572" s="26" t="s">
        <v>21</v>
      </c>
      <c r="O3572" s="7"/>
      <c r="P3572" s="7"/>
      <c r="Q3572" s="7"/>
      <c r="R3572" s="7"/>
      <c r="S3572" s="7"/>
      <c r="T3572" s="7"/>
      <c r="U3572" s="7"/>
      <c r="V3572" s="7"/>
      <c r="W3572" s="7"/>
      <c r="X3572" s="7"/>
      <c r="Y3572" s="7"/>
    </row>
    <row r="3573">
      <c r="A3573" s="14" t="s">
        <v>12717</v>
      </c>
      <c r="B3573" s="17" t="s">
        <v>12715</v>
      </c>
      <c r="C3573" s="17" t="s">
        <v>12718</v>
      </c>
      <c r="D3573" s="19" t="s">
        <v>12719</v>
      </c>
      <c r="E3573" s="20" t="s">
        <v>104</v>
      </c>
      <c r="F3573" s="21">
        <v>35972.0</v>
      </c>
      <c r="G3573" s="14">
        <f t="shared" si="1"/>
        <v>28</v>
      </c>
      <c r="H3573" s="23" t="s">
        <v>100</v>
      </c>
      <c r="I3573" s="24" t="s">
        <v>33</v>
      </c>
      <c r="J3573" s="19" t="s">
        <v>39</v>
      </c>
      <c r="K3573" s="14">
        <v>18.0</v>
      </c>
      <c r="L3573" s="14">
        <v>0.0</v>
      </c>
      <c r="M3573" s="25"/>
      <c r="N3573" s="26" t="s">
        <v>21</v>
      </c>
      <c r="O3573" s="7"/>
      <c r="P3573" s="7"/>
      <c r="Q3573" s="7"/>
      <c r="R3573" s="7"/>
      <c r="S3573" s="7"/>
      <c r="T3573" s="7"/>
      <c r="U3573" s="7"/>
      <c r="V3573" s="7"/>
      <c r="W3573" s="7"/>
      <c r="X3573" s="7"/>
      <c r="Y3573" s="7"/>
    </row>
    <row r="3574">
      <c r="A3574" s="14" t="s">
        <v>12720</v>
      </c>
      <c r="B3574" s="17" t="s">
        <v>12715</v>
      </c>
      <c r="C3574" s="38" t="s">
        <v>14426</v>
      </c>
      <c r="D3574" s="19" t="s">
        <v>12722</v>
      </c>
      <c r="E3574" s="20" t="s">
        <v>104</v>
      </c>
      <c r="F3574" s="21">
        <v>37129.0</v>
      </c>
      <c r="G3574" s="14">
        <f t="shared" si="1"/>
        <v>25</v>
      </c>
      <c r="H3574" s="23" t="s">
        <v>100</v>
      </c>
      <c r="I3574" s="24" t="s">
        <v>27</v>
      </c>
      <c r="J3574" s="19" t="s">
        <v>39</v>
      </c>
      <c r="K3574" s="14">
        <v>18.0</v>
      </c>
      <c r="L3574" s="14">
        <v>0.0</v>
      </c>
      <c r="M3574" s="25"/>
      <c r="N3574" s="26" t="s">
        <v>21</v>
      </c>
      <c r="O3574" s="7"/>
      <c r="P3574" s="7"/>
      <c r="Q3574" s="7"/>
      <c r="R3574" s="7"/>
      <c r="S3574" s="7"/>
      <c r="T3574" s="7"/>
      <c r="U3574" s="7"/>
      <c r="V3574" s="7"/>
      <c r="W3574" s="7"/>
      <c r="X3574" s="7"/>
      <c r="Y3574" s="7"/>
    </row>
    <row r="3575">
      <c r="A3575" s="14" t="s">
        <v>12723</v>
      </c>
      <c r="B3575" s="17" t="s">
        <v>12715</v>
      </c>
      <c r="C3575" s="17" t="s">
        <v>12724</v>
      </c>
      <c r="D3575" s="19" t="s">
        <v>12725</v>
      </c>
      <c r="E3575" s="20" t="s">
        <v>1058</v>
      </c>
      <c r="F3575" s="21">
        <v>26835.0</v>
      </c>
      <c r="G3575" s="14">
        <f t="shared" si="1"/>
        <v>53</v>
      </c>
      <c r="H3575" s="23" t="s">
        <v>26</v>
      </c>
      <c r="I3575" s="24" t="s">
        <v>33</v>
      </c>
      <c r="J3575" s="19" t="s">
        <v>39</v>
      </c>
      <c r="K3575" s="14">
        <v>18.0</v>
      </c>
      <c r="L3575" s="14">
        <v>0.0</v>
      </c>
      <c r="M3575" s="25"/>
      <c r="N3575" s="26" t="s">
        <v>21</v>
      </c>
      <c r="O3575" s="7"/>
      <c r="P3575" s="7"/>
      <c r="Q3575" s="7"/>
      <c r="R3575" s="7"/>
      <c r="S3575" s="7"/>
      <c r="T3575" s="7"/>
      <c r="U3575" s="7"/>
      <c r="V3575" s="7"/>
      <c r="W3575" s="7"/>
      <c r="X3575" s="7"/>
      <c r="Y3575" s="7"/>
    </row>
    <row r="3576">
      <c r="A3576" s="14" t="s">
        <v>12726</v>
      </c>
      <c r="B3576" s="17" t="s">
        <v>12727</v>
      </c>
      <c r="C3576" s="17" t="s">
        <v>12728</v>
      </c>
      <c r="D3576" s="19" t="s">
        <v>12729</v>
      </c>
      <c r="E3576" s="20" t="s">
        <v>6693</v>
      </c>
      <c r="F3576" s="27">
        <v>29202.0</v>
      </c>
      <c r="G3576" s="14">
        <f t="shared" si="1"/>
        <v>46</v>
      </c>
      <c r="H3576" s="23" t="s">
        <v>26</v>
      </c>
      <c r="I3576" s="24" t="s">
        <v>33</v>
      </c>
      <c r="J3576" s="19" t="s">
        <v>104</v>
      </c>
      <c r="K3576" s="14">
        <v>24.0</v>
      </c>
      <c r="L3576" s="14">
        <v>0.0</v>
      </c>
      <c r="M3576" s="25"/>
      <c r="N3576" s="26" t="s">
        <v>21</v>
      </c>
      <c r="O3576" s="7"/>
      <c r="P3576" s="7"/>
      <c r="Q3576" s="7"/>
      <c r="R3576" s="7"/>
      <c r="S3576" s="7"/>
      <c r="T3576" s="7"/>
      <c r="U3576" s="7"/>
      <c r="V3576" s="7"/>
      <c r="W3576" s="7"/>
      <c r="X3576" s="7"/>
      <c r="Y3576" s="7"/>
    </row>
    <row r="3577">
      <c r="A3577" s="14" t="s">
        <v>12730</v>
      </c>
      <c r="B3577" s="17" t="s">
        <v>12727</v>
      </c>
      <c r="C3577" s="17" t="s">
        <v>12731</v>
      </c>
      <c r="D3577" s="19" t="s">
        <v>12732</v>
      </c>
      <c r="E3577" s="20" t="s">
        <v>104</v>
      </c>
      <c r="F3577" s="21">
        <v>31491.0</v>
      </c>
      <c r="G3577" s="14">
        <f t="shared" si="1"/>
        <v>40</v>
      </c>
      <c r="H3577" s="23" t="s">
        <v>26</v>
      </c>
      <c r="I3577" s="24" t="s">
        <v>27</v>
      </c>
      <c r="J3577" s="19" t="s">
        <v>104</v>
      </c>
      <c r="K3577" s="14">
        <v>24.0</v>
      </c>
      <c r="L3577" s="14">
        <v>0.0</v>
      </c>
      <c r="M3577" s="25"/>
      <c r="N3577" s="26" t="s">
        <v>21</v>
      </c>
      <c r="O3577" s="7"/>
      <c r="P3577" s="7"/>
      <c r="Q3577" s="7"/>
      <c r="R3577" s="7"/>
      <c r="S3577" s="7"/>
      <c r="T3577" s="7"/>
      <c r="U3577" s="7"/>
      <c r="V3577" s="7"/>
      <c r="W3577" s="7"/>
      <c r="X3577" s="7"/>
      <c r="Y3577" s="7"/>
    </row>
    <row r="3578">
      <c r="A3578" s="14" t="s">
        <v>12733</v>
      </c>
      <c r="B3578" s="17" t="s">
        <v>12734</v>
      </c>
      <c r="C3578" s="17" t="s">
        <v>12735</v>
      </c>
      <c r="D3578" s="19" t="s">
        <v>12736</v>
      </c>
      <c r="E3578" s="20" t="s">
        <v>12737</v>
      </c>
      <c r="F3578" s="27">
        <v>35734.0</v>
      </c>
      <c r="G3578" s="14">
        <f t="shared" si="1"/>
        <v>28</v>
      </c>
      <c r="H3578" s="23" t="s">
        <v>26</v>
      </c>
      <c r="I3578" s="24" t="s">
        <v>33</v>
      </c>
      <c r="J3578" s="19" t="s">
        <v>282</v>
      </c>
      <c r="K3578" s="14">
        <v>18.0</v>
      </c>
      <c r="L3578" s="14">
        <v>0.0</v>
      </c>
      <c r="M3578" s="25"/>
      <c r="N3578" s="26" t="s">
        <v>21</v>
      </c>
      <c r="O3578" s="7"/>
      <c r="P3578" s="7"/>
      <c r="Q3578" s="7"/>
      <c r="R3578" s="7"/>
      <c r="S3578" s="7"/>
      <c r="T3578" s="7"/>
      <c r="U3578" s="7"/>
      <c r="V3578" s="7"/>
      <c r="W3578" s="7"/>
      <c r="X3578" s="7"/>
      <c r="Y3578" s="7"/>
    </row>
    <row r="3579">
      <c r="A3579" s="14" t="s">
        <v>12738</v>
      </c>
      <c r="B3579" s="17" t="s">
        <v>12734</v>
      </c>
      <c r="C3579" s="17" t="s">
        <v>12739</v>
      </c>
      <c r="D3579" s="19" t="s">
        <v>5443</v>
      </c>
      <c r="E3579" s="20" t="s">
        <v>1058</v>
      </c>
      <c r="F3579" s="21">
        <v>35977.0</v>
      </c>
      <c r="G3579" s="14">
        <f t="shared" si="1"/>
        <v>28</v>
      </c>
      <c r="H3579" s="23" t="s">
        <v>26</v>
      </c>
      <c r="I3579" s="24" t="s">
        <v>27</v>
      </c>
      <c r="J3579" s="19" t="s">
        <v>282</v>
      </c>
      <c r="K3579" s="14">
        <v>18.0</v>
      </c>
      <c r="L3579" s="14">
        <v>0.0</v>
      </c>
      <c r="M3579" s="25"/>
      <c r="N3579" s="26" t="s">
        <v>21</v>
      </c>
      <c r="O3579" s="7"/>
      <c r="P3579" s="7"/>
      <c r="Q3579" s="7"/>
      <c r="R3579" s="7"/>
      <c r="S3579" s="7"/>
      <c r="T3579" s="7"/>
      <c r="U3579" s="7"/>
      <c r="V3579" s="7"/>
      <c r="W3579" s="7"/>
      <c r="X3579" s="7"/>
      <c r="Y3579" s="7"/>
    </row>
    <row r="3580">
      <c r="A3580" s="14" t="s">
        <v>12740</v>
      </c>
      <c r="B3580" s="17" t="s">
        <v>12741</v>
      </c>
      <c r="C3580" s="17" t="s">
        <v>12742</v>
      </c>
      <c r="D3580" s="19" t="s">
        <v>12743</v>
      </c>
      <c r="E3580" s="20" t="s">
        <v>138</v>
      </c>
      <c r="F3580" s="21">
        <v>35941.0</v>
      </c>
      <c r="G3580" s="14">
        <f t="shared" si="1"/>
        <v>28</v>
      </c>
      <c r="H3580" s="23" t="s">
        <v>26</v>
      </c>
      <c r="I3580" s="24" t="s">
        <v>33</v>
      </c>
      <c r="J3580" s="19" t="s">
        <v>1437</v>
      </c>
      <c r="K3580" s="14">
        <v>33.0</v>
      </c>
      <c r="L3580" s="14">
        <v>0.0</v>
      </c>
      <c r="M3580" s="25"/>
      <c r="N3580" s="26" t="s">
        <v>21</v>
      </c>
      <c r="O3580" s="7"/>
      <c r="P3580" s="7"/>
      <c r="Q3580" s="7"/>
      <c r="R3580" s="7"/>
      <c r="S3580" s="7"/>
      <c r="T3580" s="7"/>
      <c r="U3580" s="7"/>
      <c r="V3580" s="7"/>
      <c r="W3580" s="7"/>
      <c r="X3580" s="7"/>
      <c r="Y3580" s="7"/>
    </row>
    <row r="3581">
      <c r="A3581" s="14" t="s">
        <v>12744</v>
      </c>
      <c r="B3581" s="17" t="s">
        <v>12741</v>
      </c>
      <c r="C3581" s="17" t="s">
        <v>12745</v>
      </c>
      <c r="D3581" s="19" t="s">
        <v>12746</v>
      </c>
      <c r="E3581" s="20" t="s">
        <v>53</v>
      </c>
      <c r="F3581" s="21">
        <v>36001.0</v>
      </c>
      <c r="G3581" s="14">
        <f t="shared" si="1"/>
        <v>28</v>
      </c>
      <c r="H3581" s="23" t="s">
        <v>26</v>
      </c>
      <c r="I3581" s="24" t="s">
        <v>27</v>
      </c>
      <c r="J3581" s="19" t="s">
        <v>1437</v>
      </c>
      <c r="K3581" s="14">
        <v>33.0</v>
      </c>
      <c r="L3581" s="14">
        <v>0.0</v>
      </c>
      <c r="M3581" s="25"/>
      <c r="N3581" s="26" t="s">
        <v>21</v>
      </c>
      <c r="O3581" s="7"/>
      <c r="P3581" s="7"/>
      <c r="Q3581" s="7"/>
      <c r="R3581" s="7"/>
      <c r="S3581" s="7"/>
      <c r="T3581" s="7"/>
      <c r="U3581" s="7"/>
      <c r="V3581" s="7"/>
      <c r="W3581" s="7"/>
      <c r="X3581" s="7"/>
      <c r="Y3581" s="7"/>
    </row>
    <row r="3582">
      <c r="A3582" s="14" t="s">
        <v>12747</v>
      </c>
      <c r="B3582" s="17" t="s">
        <v>12748</v>
      </c>
      <c r="C3582" s="17" t="s">
        <v>12749</v>
      </c>
      <c r="D3582" s="19" t="s">
        <v>12750</v>
      </c>
      <c r="E3582" s="20" t="s">
        <v>53</v>
      </c>
      <c r="F3582" s="21">
        <v>36012.0</v>
      </c>
      <c r="G3582" s="14">
        <f t="shared" si="1"/>
        <v>28</v>
      </c>
      <c r="H3582" s="23" t="s">
        <v>26</v>
      </c>
      <c r="I3582" s="24" t="s">
        <v>33</v>
      </c>
      <c r="J3582" s="19" t="s">
        <v>282</v>
      </c>
      <c r="K3582" s="14">
        <v>11.0</v>
      </c>
      <c r="L3582" s="14">
        <v>0.0</v>
      </c>
      <c r="M3582" s="25"/>
      <c r="N3582" s="26" t="s">
        <v>21</v>
      </c>
      <c r="O3582" s="7"/>
      <c r="P3582" s="7"/>
      <c r="Q3582" s="7"/>
      <c r="R3582" s="7"/>
      <c r="S3582" s="7"/>
      <c r="T3582" s="7"/>
      <c r="U3582" s="7"/>
      <c r="V3582" s="7"/>
      <c r="W3582" s="7"/>
      <c r="X3582" s="7"/>
      <c r="Y3582" s="7"/>
    </row>
    <row r="3583">
      <c r="A3583" s="14" t="s">
        <v>12751</v>
      </c>
      <c r="B3583" s="17" t="s">
        <v>12748</v>
      </c>
      <c r="C3583" s="17" t="s">
        <v>12752</v>
      </c>
      <c r="D3583" s="19" t="s">
        <v>12753</v>
      </c>
      <c r="E3583" s="20" t="s">
        <v>536</v>
      </c>
      <c r="F3583" s="27">
        <v>36493.0</v>
      </c>
      <c r="G3583" s="14">
        <f t="shared" si="1"/>
        <v>26</v>
      </c>
      <c r="H3583" s="23" t="s">
        <v>26</v>
      </c>
      <c r="I3583" s="24" t="s">
        <v>27</v>
      </c>
      <c r="J3583" s="19" t="s">
        <v>282</v>
      </c>
      <c r="K3583" s="14">
        <v>11.0</v>
      </c>
      <c r="L3583" s="14">
        <v>0.0</v>
      </c>
      <c r="M3583" s="25"/>
      <c r="N3583" s="26" t="s">
        <v>21</v>
      </c>
      <c r="O3583" s="7"/>
      <c r="P3583" s="7"/>
      <c r="Q3583" s="7"/>
      <c r="R3583" s="7"/>
      <c r="S3583" s="7"/>
      <c r="T3583" s="7"/>
      <c r="U3583" s="7"/>
      <c r="V3583" s="7"/>
      <c r="W3583" s="7"/>
      <c r="X3583" s="7"/>
      <c r="Y3583" s="7"/>
    </row>
    <row r="3584">
      <c r="A3584" s="14" t="s">
        <v>12754</v>
      </c>
      <c r="B3584" s="17" t="s">
        <v>12755</v>
      </c>
      <c r="C3584" s="17" t="s">
        <v>12756</v>
      </c>
      <c r="D3584" s="19" t="s">
        <v>12757</v>
      </c>
      <c r="E3584" s="20" t="s">
        <v>1816</v>
      </c>
      <c r="F3584" s="27">
        <v>20435.0</v>
      </c>
      <c r="G3584" s="14">
        <f t="shared" si="1"/>
        <v>70</v>
      </c>
      <c r="H3584" s="23" t="s">
        <v>26</v>
      </c>
      <c r="I3584" s="24" t="s">
        <v>33</v>
      </c>
      <c r="J3584" s="19" t="s">
        <v>282</v>
      </c>
      <c r="K3584" s="14">
        <v>18.0</v>
      </c>
      <c r="L3584" s="14">
        <v>0.0</v>
      </c>
      <c r="M3584" s="25"/>
      <c r="N3584" s="26" t="s">
        <v>21</v>
      </c>
      <c r="O3584" s="7"/>
      <c r="P3584" s="7"/>
      <c r="Q3584" s="7"/>
      <c r="R3584" s="7"/>
      <c r="S3584" s="7"/>
      <c r="T3584" s="7"/>
      <c r="U3584" s="7"/>
      <c r="V3584" s="7"/>
      <c r="W3584" s="7"/>
      <c r="X3584" s="7"/>
      <c r="Y3584" s="7"/>
    </row>
    <row r="3585">
      <c r="A3585" s="14" t="s">
        <v>12758</v>
      </c>
      <c r="B3585" s="17" t="s">
        <v>12755</v>
      </c>
      <c r="C3585" s="17" t="s">
        <v>12759</v>
      </c>
      <c r="D3585" s="19" t="s">
        <v>3729</v>
      </c>
      <c r="E3585" s="20" t="s">
        <v>2672</v>
      </c>
      <c r="F3585" s="21">
        <v>24967.0</v>
      </c>
      <c r="G3585" s="14">
        <f t="shared" si="1"/>
        <v>58</v>
      </c>
      <c r="H3585" s="23" t="s">
        <v>26</v>
      </c>
      <c r="I3585" s="24" t="s">
        <v>27</v>
      </c>
      <c r="J3585" s="19" t="s">
        <v>282</v>
      </c>
      <c r="K3585" s="14">
        <v>18.0</v>
      </c>
      <c r="L3585" s="14">
        <v>0.0</v>
      </c>
      <c r="M3585" s="25"/>
      <c r="N3585" s="26" t="s">
        <v>21</v>
      </c>
      <c r="O3585" s="7"/>
      <c r="P3585" s="7"/>
      <c r="Q3585" s="7"/>
      <c r="R3585" s="7"/>
      <c r="S3585" s="7"/>
      <c r="T3585" s="7"/>
      <c r="U3585" s="7"/>
      <c r="V3585" s="7"/>
      <c r="W3585" s="7"/>
      <c r="X3585" s="7"/>
      <c r="Y3585" s="7"/>
    </row>
    <row r="3586">
      <c r="A3586" s="14" t="s">
        <v>12760</v>
      </c>
      <c r="B3586" s="17" t="s">
        <v>12761</v>
      </c>
      <c r="C3586" s="17" t="s">
        <v>12762</v>
      </c>
      <c r="D3586" s="19" t="s">
        <v>12763</v>
      </c>
      <c r="E3586" s="20" t="s">
        <v>12764</v>
      </c>
      <c r="F3586" s="21">
        <v>32621.0</v>
      </c>
      <c r="G3586" s="14">
        <f t="shared" si="1"/>
        <v>37</v>
      </c>
      <c r="H3586" s="23" t="s">
        <v>26</v>
      </c>
      <c r="I3586" s="24" t="s">
        <v>33</v>
      </c>
      <c r="J3586" s="19" t="s">
        <v>53</v>
      </c>
      <c r="K3586" s="14">
        <v>30.0</v>
      </c>
      <c r="L3586" s="14">
        <v>0.0</v>
      </c>
      <c r="M3586" s="25"/>
      <c r="N3586" s="26" t="s">
        <v>21</v>
      </c>
      <c r="O3586" s="7"/>
      <c r="P3586" s="7"/>
      <c r="Q3586" s="7"/>
      <c r="R3586" s="7"/>
      <c r="S3586" s="7"/>
      <c r="T3586" s="7"/>
      <c r="U3586" s="7"/>
      <c r="V3586" s="7"/>
      <c r="W3586" s="7"/>
      <c r="X3586" s="7"/>
      <c r="Y3586" s="7"/>
    </row>
    <row r="3587">
      <c r="A3587" s="14" t="s">
        <v>12765</v>
      </c>
      <c r="B3587" s="17" t="s">
        <v>12761</v>
      </c>
      <c r="C3587" s="17" t="s">
        <v>12766</v>
      </c>
      <c r="D3587" s="19" t="s">
        <v>12767</v>
      </c>
      <c r="E3587" s="20" t="s">
        <v>104</v>
      </c>
      <c r="F3587" s="27">
        <v>38682.0</v>
      </c>
      <c r="G3587" s="14">
        <f t="shared" si="1"/>
        <v>20</v>
      </c>
      <c r="H3587" s="23" t="s">
        <v>100</v>
      </c>
      <c r="I3587" s="24" t="s">
        <v>33</v>
      </c>
      <c r="J3587" s="19" t="s">
        <v>53</v>
      </c>
      <c r="K3587" s="14">
        <v>30.0</v>
      </c>
      <c r="L3587" s="14">
        <v>0.0</v>
      </c>
      <c r="M3587" s="25"/>
      <c r="N3587" s="26" t="s">
        <v>21</v>
      </c>
      <c r="O3587" s="7"/>
      <c r="P3587" s="7"/>
      <c r="Q3587" s="7"/>
      <c r="R3587" s="7"/>
      <c r="S3587" s="7"/>
      <c r="T3587" s="7"/>
      <c r="U3587" s="7"/>
      <c r="V3587" s="7"/>
      <c r="W3587" s="7"/>
      <c r="X3587" s="7"/>
      <c r="Y3587" s="7"/>
    </row>
    <row r="3588">
      <c r="A3588" s="14" t="s">
        <v>12768</v>
      </c>
      <c r="B3588" s="17" t="s">
        <v>12761</v>
      </c>
      <c r="C3588" s="17" t="s">
        <v>12769</v>
      </c>
      <c r="D3588" s="19" t="s">
        <v>861</v>
      </c>
      <c r="E3588" s="20" t="s">
        <v>3587</v>
      </c>
      <c r="F3588" s="21">
        <v>28161.0</v>
      </c>
      <c r="G3588" s="14">
        <f t="shared" si="1"/>
        <v>49</v>
      </c>
      <c r="H3588" s="23" t="s">
        <v>26</v>
      </c>
      <c r="I3588" s="24" t="s">
        <v>27</v>
      </c>
      <c r="J3588" s="19" t="s">
        <v>53</v>
      </c>
      <c r="K3588" s="14">
        <v>30.0</v>
      </c>
      <c r="L3588" s="14">
        <v>0.0</v>
      </c>
      <c r="M3588" s="25"/>
      <c r="N3588" s="26" t="s">
        <v>21</v>
      </c>
      <c r="O3588" s="7"/>
      <c r="P3588" s="7"/>
      <c r="Q3588" s="7"/>
      <c r="R3588" s="7"/>
      <c r="S3588" s="7"/>
      <c r="T3588" s="7"/>
      <c r="U3588" s="7"/>
      <c r="V3588" s="7"/>
      <c r="W3588" s="7"/>
      <c r="X3588" s="7"/>
      <c r="Y3588" s="7"/>
    </row>
    <row r="3589">
      <c r="A3589" s="14" t="s">
        <v>12770</v>
      </c>
      <c r="B3589" s="17" t="s">
        <v>12771</v>
      </c>
      <c r="C3589" s="17" t="s">
        <v>12772</v>
      </c>
      <c r="D3589" s="19" t="s">
        <v>460</v>
      </c>
      <c r="E3589" s="20" t="s">
        <v>104</v>
      </c>
      <c r="F3589" s="21">
        <v>29771.0</v>
      </c>
      <c r="G3589" s="14">
        <f t="shared" si="1"/>
        <v>45</v>
      </c>
      <c r="H3589" s="23" t="s">
        <v>26</v>
      </c>
      <c r="I3589" s="24" t="s">
        <v>33</v>
      </c>
      <c r="J3589" s="19" t="s">
        <v>362</v>
      </c>
      <c r="K3589" s="14">
        <v>19.0</v>
      </c>
      <c r="L3589" s="14">
        <v>0.0</v>
      </c>
      <c r="M3589" s="25"/>
      <c r="N3589" s="26" t="s">
        <v>21</v>
      </c>
      <c r="O3589" s="7"/>
      <c r="P3589" s="7"/>
      <c r="Q3589" s="7"/>
      <c r="R3589" s="7"/>
      <c r="S3589" s="7"/>
      <c r="T3589" s="7"/>
      <c r="U3589" s="7"/>
      <c r="V3589" s="7"/>
      <c r="W3589" s="7"/>
      <c r="X3589" s="7"/>
      <c r="Y3589" s="7"/>
    </row>
    <row r="3590">
      <c r="A3590" s="14" t="s">
        <v>12773</v>
      </c>
      <c r="B3590" s="17" t="s">
        <v>12771</v>
      </c>
      <c r="C3590" s="17" t="s">
        <v>12774</v>
      </c>
      <c r="D3590" s="19" t="s">
        <v>12775</v>
      </c>
      <c r="E3590" s="20" t="s">
        <v>12776</v>
      </c>
      <c r="F3590" s="21">
        <v>33604.0</v>
      </c>
      <c r="G3590" s="14">
        <f t="shared" si="1"/>
        <v>34</v>
      </c>
      <c r="H3590" s="23" t="s">
        <v>26</v>
      </c>
      <c r="I3590" s="24" t="s">
        <v>27</v>
      </c>
      <c r="J3590" s="19" t="s">
        <v>362</v>
      </c>
      <c r="K3590" s="14">
        <v>19.0</v>
      </c>
      <c r="L3590" s="14">
        <v>0.0</v>
      </c>
      <c r="M3590" s="25"/>
      <c r="N3590" s="26" t="s">
        <v>21</v>
      </c>
      <c r="O3590" s="7"/>
      <c r="P3590" s="7"/>
      <c r="Q3590" s="7"/>
      <c r="R3590" s="7"/>
      <c r="S3590" s="7"/>
      <c r="T3590" s="7"/>
      <c r="U3590" s="7"/>
      <c r="V3590" s="7"/>
      <c r="W3590" s="7"/>
      <c r="X3590" s="7"/>
      <c r="Y3590" s="7"/>
    </row>
    <row r="3591">
      <c r="A3591" s="14" t="s">
        <v>12777</v>
      </c>
      <c r="B3591" s="17" t="s">
        <v>12778</v>
      </c>
      <c r="C3591" s="17" t="s">
        <v>12779</v>
      </c>
      <c r="D3591" s="19" t="s">
        <v>12780</v>
      </c>
      <c r="E3591" s="20" t="s">
        <v>12781</v>
      </c>
      <c r="F3591" s="21">
        <v>32363.0</v>
      </c>
      <c r="G3591" s="14">
        <f t="shared" si="1"/>
        <v>38</v>
      </c>
      <c r="H3591" s="23" t="s">
        <v>26</v>
      </c>
      <c r="I3591" s="24" t="s">
        <v>27</v>
      </c>
      <c r="J3591" s="19" t="s">
        <v>53</v>
      </c>
      <c r="K3591" s="14">
        <v>34.0</v>
      </c>
      <c r="L3591" s="14">
        <v>0.0</v>
      </c>
      <c r="M3591" s="25"/>
      <c r="N3591" s="26" t="s">
        <v>21</v>
      </c>
      <c r="O3591" s="7"/>
      <c r="P3591" s="7"/>
      <c r="Q3591" s="7"/>
      <c r="R3591" s="7"/>
      <c r="S3591" s="7"/>
      <c r="T3591" s="7"/>
      <c r="U3591" s="7"/>
      <c r="V3591" s="7"/>
      <c r="W3591" s="7"/>
      <c r="X3591" s="7"/>
      <c r="Y3591" s="7"/>
    </row>
    <row r="3592">
      <c r="A3592" s="14" t="s">
        <v>12782</v>
      </c>
      <c r="B3592" s="17" t="s">
        <v>12778</v>
      </c>
      <c r="C3592" s="17" t="s">
        <v>12783</v>
      </c>
      <c r="D3592" s="19" t="s">
        <v>12784</v>
      </c>
      <c r="E3592" s="20" t="s">
        <v>53</v>
      </c>
      <c r="F3592" s="21">
        <v>32290.0</v>
      </c>
      <c r="G3592" s="14">
        <f t="shared" si="1"/>
        <v>38</v>
      </c>
      <c r="H3592" s="23" t="s">
        <v>26</v>
      </c>
      <c r="I3592" s="24" t="s">
        <v>33</v>
      </c>
      <c r="J3592" s="19" t="s">
        <v>53</v>
      </c>
      <c r="K3592" s="14">
        <v>34.0</v>
      </c>
      <c r="L3592" s="14">
        <v>0.0</v>
      </c>
      <c r="M3592" s="25"/>
      <c r="N3592" s="26" t="s">
        <v>21</v>
      </c>
      <c r="O3592" s="7"/>
      <c r="P3592" s="7"/>
      <c r="Q3592" s="7"/>
      <c r="R3592" s="7"/>
      <c r="S3592" s="7"/>
      <c r="T3592" s="7"/>
      <c r="U3592" s="7"/>
      <c r="V3592" s="7"/>
      <c r="W3592" s="7"/>
      <c r="X3592" s="7"/>
      <c r="Y3592" s="7"/>
    </row>
    <row r="3593">
      <c r="A3593" s="14" t="s">
        <v>12785</v>
      </c>
      <c r="B3593" s="17" t="s">
        <v>12786</v>
      </c>
      <c r="C3593" s="17" t="s">
        <v>12787</v>
      </c>
      <c r="D3593" s="19" t="s">
        <v>12788</v>
      </c>
      <c r="E3593" s="20" t="s">
        <v>10898</v>
      </c>
      <c r="F3593" s="21">
        <v>32206.0</v>
      </c>
      <c r="G3593" s="14">
        <f t="shared" si="1"/>
        <v>38</v>
      </c>
      <c r="H3593" s="23" t="s">
        <v>26</v>
      </c>
      <c r="I3593" s="24" t="s">
        <v>27</v>
      </c>
      <c r="J3593" s="19" t="s">
        <v>68</v>
      </c>
      <c r="K3593" s="14">
        <v>30.0</v>
      </c>
      <c r="L3593" s="14">
        <v>5.0</v>
      </c>
      <c r="M3593" s="28" t="s">
        <v>14427</v>
      </c>
      <c r="N3593" s="26" t="s">
        <v>21</v>
      </c>
      <c r="O3593" s="7"/>
      <c r="P3593" s="7"/>
      <c r="Q3593" s="7"/>
      <c r="R3593" s="7"/>
      <c r="S3593" s="7"/>
      <c r="T3593" s="7"/>
      <c r="U3593" s="7"/>
      <c r="V3593" s="7"/>
      <c r="W3593" s="7"/>
      <c r="X3593" s="7"/>
      <c r="Y3593" s="7"/>
    </row>
    <row r="3594">
      <c r="A3594" s="14" t="s">
        <v>12789</v>
      </c>
      <c r="B3594" s="17" t="s">
        <v>12786</v>
      </c>
      <c r="C3594" s="17" t="s">
        <v>12790</v>
      </c>
      <c r="D3594" s="19" t="s">
        <v>12791</v>
      </c>
      <c r="E3594" s="20" t="s">
        <v>195</v>
      </c>
      <c r="F3594" s="21">
        <v>32971.0</v>
      </c>
      <c r="G3594" s="14">
        <f t="shared" si="1"/>
        <v>36</v>
      </c>
      <c r="H3594" s="23" t="s">
        <v>26</v>
      </c>
      <c r="I3594" s="24" t="s">
        <v>33</v>
      </c>
      <c r="J3594" s="19" t="s">
        <v>68</v>
      </c>
      <c r="K3594" s="14">
        <v>30.0</v>
      </c>
      <c r="L3594" s="14">
        <v>5.0</v>
      </c>
      <c r="M3594" s="28" t="s">
        <v>14427</v>
      </c>
      <c r="N3594" s="26" t="s">
        <v>21</v>
      </c>
      <c r="O3594" s="7"/>
      <c r="P3594" s="7"/>
      <c r="Q3594" s="7"/>
      <c r="R3594" s="7"/>
      <c r="S3594" s="7"/>
      <c r="T3594" s="7"/>
      <c r="U3594" s="7"/>
      <c r="V3594" s="7"/>
      <c r="W3594" s="7"/>
      <c r="X3594" s="7"/>
      <c r="Y3594" s="7"/>
    </row>
    <row r="3595">
      <c r="A3595" s="14" t="s">
        <v>12792</v>
      </c>
      <c r="B3595" s="17" t="s">
        <v>12793</v>
      </c>
      <c r="C3595" s="17" t="s">
        <v>12794</v>
      </c>
      <c r="D3595" s="19" t="s">
        <v>12795</v>
      </c>
      <c r="E3595" s="20" t="s">
        <v>104</v>
      </c>
      <c r="F3595" s="21">
        <v>34558.0</v>
      </c>
      <c r="G3595" s="14">
        <f t="shared" si="1"/>
        <v>32</v>
      </c>
      <c r="H3595" s="23" t="s">
        <v>26</v>
      </c>
      <c r="I3595" s="24" t="s">
        <v>27</v>
      </c>
      <c r="J3595" s="19" t="s">
        <v>53</v>
      </c>
      <c r="K3595" s="14">
        <v>9.0</v>
      </c>
      <c r="L3595" s="14">
        <v>0.0</v>
      </c>
      <c r="M3595" s="25"/>
      <c r="N3595" s="26" t="s">
        <v>21</v>
      </c>
      <c r="O3595" s="7"/>
      <c r="P3595" s="7"/>
      <c r="Q3595" s="7"/>
      <c r="R3595" s="7"/>
      <c r="S3595" s="7"/>
      <c r="T3595" s="7"/>
      <c r="U3595" s="7"/>
      <c r="V3595" s="7"/>
      <c r="W3595" s="7"/>
      <c r="X3595" s="7"/>
      <c r="Y3595" s="7"/>
    </row>
    <row r="3596">
      <c r="A3596" s="14" t="s">
        <v>12796</v>
      </c>
      <c r="B3596" s="17" t="s">
        <v>12793</v>
      </c>
      <c r="C3596" s="17" t="s">
        <v>12797</v>
      </c>
      <c r="D3596" s="19" t="s">
        <v>12798</v>
      </c>
      <c r="E3596" s="20" t="s">
        <v>769</v>
      </c>
      <c r="F3596" s="21">
        <v>31442.0</v>
      </c>
      <c r="G3596" s="14">
        <f t="shared" si="1"/>
        <v>40</v>
      </c>
      <c r="H3596" s="23" t="s">
        <v>26</v>
      </c>
      <c r="I3596" s="24" t="s">
        <v>33</v>
      </c>
      <c r="J3596" s="19" t="s">
        <v>53</v>
      </c>
      <c r="K3596" s="14">
        <v>9.0</v>
      </c>
      <c r="L3596" s="14">
        <v>0.0</v>
      </c>
      <c r="M3596" s="25"/>
      <c r="N3596" s="26" t="s">
        <v>21</v>
      </c>
      <c r="O3596" s="7"/>
      <c r="P3596" s="7"/>
      <c r="Q3596" s="7"/>
      <c r="R3596" s="7"/>
      <c r="S3596" s="7"/>
      <c r="T3596" s="7"/>
      <c r="U3596" s="7"/>
      <c r="V3596" s="7"/>
      <c r="W3596" s="7"/>
      <c r="X3596" s="7"/>
      <c r="Y3596" s="7"/>
    </row>
    <row r="3597">
      <c r="A3597" s="14" t="s">
        <v>12799</v>
      </c>
      <c r="B3597" s="17" t="s">
        <v>12800</v>
      </c>
      <c r="C3597" s="17" t="s">
        <v>12801</v>
      </c>
      <c r="D3597" s="19" t="s">
        <v>12802</v>
      </c>
      <c r="E3597" s="20" t="s">
        <v>5578</v>
      </c>
      <c r="F3597" s="21">
        <v>31599.0</v>
      </c>
      <c r="G3597" s="14">
        <f t="shared" si="1"/>
        <v>40</v>
      </c>
      <c r="H3597" s="23" t="s">
        <v>100</v>
      </c>
      <c r="I3597" s="24" t="s">
        <v>33</v>
      </c>
      <c r="J3597" s="19" t="s">
        <v>53</v>
      </c>
      <c r="K3597" s="14">
        <v>28.0</v>
      </c>
      <c r="L3597" s="14">
        <v>0.0</v>
      </c>
      <c r="M3597" s="25"/>
      <c r="N3597" s="26" t="s">
        <v>21</v>
      </c>
      <c r="O3597" s="7"/>
      <c r="P3597" s="7"/>
      <c r="Q3597" s="7"/>
      <c r="R3597" s="7"/>
      <c r="S3597" s="7"/>
      <c r="T3597" s="7"/>
      <c r="U3597" s="7"/>
      <c r="V3597" s="7"/>
      <c r="W3597" s="7"/>
      <c r="X3597" s="7"/>
      <c r="Y3597" s="7"/>
    </row>
    <row r="3598">
      <c r="A3598" s="14" t="s">
        <v>12803</v>
      </c>
      <c r="B3598" s="17" t="s">
        <v>12800</v>
      </c>
      <c r="C3598" s="17" t="s">
        <v>12804</v>
      </c>
      <c r="D3598" s="19" t="s">
        <v>12805</v>
      </c>
      <c r="E3598" s="20" t="s">
        <v>5578</v>
      </c>
      <c r="F3598" s="21">
        <v>19828.0</v>
      </c>
      <c r="G3598" s="14">
        <f t="shared" si="1"/>
        <v>72</v>
      </c>
      <c r="H3598" s="23" t="s">
        <v>26</v>
      </c>
      <c r="I3598" s="24" t="s">
        <v>33</v>
      </c>
      <c r="J3598" s="19" t="s">
        <v>53</v>
      </c>
      <c r="K3598" s="14">
        <v>28.0</v>
      </c>
      <c r="L3598" s="14">
        <v>0.0</v>
      </c>
      <c r="M3598" s="25"/>
      <c r="N3598" s="26" t="s">
        <v>21</v>
      </c>
      <c r="O3598" s="7"/>
      <c r="P3598" s="7"/>
      <c r="Q3598" s="7"/>
      <c r="R3598" s="7"/>
      <c r="S3598" s="7"/>
      <c r="T3598" s="7"/>
      <c r="U3598" s="7"/>
      <c r="V3598" s="7"/>
      <c r="W3598" s="7"/>
      <c r="X3598" s="7"/>
      <c r="Y3598" s="7"/>
    </row>
    <row r="3599">
      <c r="A3599" s="14" t="s">
        <v>12806</v>
      </c>
      <c r="B3599" s="17" t="s">
        <v>12800</v>
      </c>
      <c r="C3599" s="17" t="s">
        <v>12807</v>
      </c>
      <c r="D3599" s="19" t="s">
        <v>12808</v>
      </c>
      <c r="E3599" s="20" t="s">
        <v>1058</v>
      </c>
      <c r="F3599" s="27">
        <v>21473.0</v>
      </c>
      <c r="G3599" s="14">
        <f t="shared" si="1"/>
        <v>68</v>
      </c>
      <c r="H3599" s="23" t="s">
        <v>26</v>
      </c>
      <c r="I3599" s="24" t="s">
        <v>27</v>
      </c>
      <c r="J3599" s="19" t="s">
        <v>53</v>
      </c>
      <c r="K3599" s="14">
        <v>28.0</v>
      </c>
      <c r="L3599" s="14">
        <v>0.0</v>
      </c>
      <c r="M3599" s="25"/>
      <c r="N3599" s="26" t="s">
        <v>21</v>
      </c>
      <c r="O3599" s="7"/>
      <c r="P3599" s="7"/>
      <c r="Q3599" s="7"/>
      <c r="R3599" s="7"/>
      <c r="S3599" s="7"/>
      <c r="T3599" s="7"/>
      <c r="U3599" s="7"/>
      <c r="V3599" s="7"/>
      <c r="W3599" s="7"/>
      <c r="X3599" s="7"/>
      <c r="Y3599" s="7"/>
    </row>
    <row r="3600">
      <c r="A3600" s="14" t="s">
        <v>12809</v>
      </c>
      <c r="B3600" s="17" t="s">
        <v>12810</v>
      </c>
      <c r="C3600" s="17" t="s">
        <v>12811</v>
      </c>
      <c r="D3600" s="19" t="s">
        <v>12812</v>
      </c>
      <c r="E3600" s="20" t="s">
        <v>104</v>
      </c>
      <c r="F3600" s="21">
        <v>35674.0</v>
      </c>
      <c r="G3600" s="14">
        <f t="shared" si="1"/>
        <v>29</v>
      </c>
      <c r="H3600" s="23" t="s">
        <v>26</v>
      </c>
      <c r="I3600" s="24" t="s">
        <v>27</v>
      </c>
      <c r="J3600" s="19" t="s">
        <v>1915</v>
      </c>
      <c r="K3600" s="14">
        <v>11.0</v>
      </c>
      <c r="L3600" s="14">
        <v>0.0</v>
      </c>
      <c r="M3600" s="25"/>
      <c r="N3600" s="26" t="s">
        <v>21</v>
      </c>
      <c r="O3600" s="7"/>
      <c r="P3600" s="7"/>
      <c r="Q3600" s="7"/>
      <c r="R3600" s="7"/>
      <c r="S3600" s="7"/>
      <c r="T3600" s="7"/>
      <c r="U3600" s="7"/>
      <c r="V3600" s="7"/>
      <c r="W3600" s="7"/>
      <c r="X3600" s="7"/>
      <c r="Y3600" s="7"/>
    </row>
    <row r="3601">
      <c r="A3601" s="14" t="s">
        <v>12813</v>
      </c>
      <c r="B3601" s="17" t="s">
        <v>12810</v>
      </c>
      <c r="C3601" s="17" t="s">
        <v>12814</v>
      </c>
      <c r="D3601" s="19" t="s">
        <v>12815</v>
      </c>
      <c r="E3601" s="20" t="s">
        <v>671</v>
      </c>
      <c r="F3601" s="21">
        <v>31943.0</v>
      </c>
      <c r="G3601" s="14">
        <f t="shared" si="1"/>
        <v>39</v>
      </c>
      <c r="H3601" s="23" t="s">
        <v>26</v>
      </c>
      <c r="I3601" s="24" t="s">
        <v>33</v>
      </c>
      <c r="J3601" s="19" t="s">
        <v>1915</v>
      </c>
      <c r="K3601" s="14">
        <v>11.0</v>
      </c>
      <c r="L3601" s="14">
        <v>0.0</v>
      </c>
      <c r="M3601" s="25"/>
      <c r="N3601" s="26" t="s">
        <v>21</v>
      </c>
      <c r="O3601" s="7"/>
      <c r="P3601" s="7"/>
      <c r="Q3601" s="7"/>
      <c r="R3601" s="7"/>
      <c r="S3601" s="7"/>
      <c r="T3601" s="7"/>
      <c r="U3601" s="7"/>
      <c r="V3601" s="7"/>
      <c r="W3601" s="7"/>
      <c r="X3601" s="7"/>
      <c r="Y3601" s="7"/>
    </row>
    <row r="3602">
      <c r="A3602" s="14" t="s">
        <v>12816</v>
      </c>
      <c r="B3602" s="17" t="s">
        <v>12817</v>
      </c>
      <c r="C3602" s="17" t="s">
        <v>12818</v>
      </c>
      <c r="D3602" s="19" t="s">
        <v>12819</v>
      </c>
      <c r="E3602" s="20" t="s">
        <v>12820</v>
      </c>
      <c r="F3602" s="21">
        <v>31856.0</v>
      </c>
      <c r="G3602" s="14">
        <f t="shared" si="1"/>
        <v>39</v>
      </c>
      <c r="H3602" s="23" t="s">
        <v>26</v>
      </c>
      <c r="I3602" s="24" t="s">
        <v>33</v>
      </c>
      <c r="J3602" s="19" t="s">
        <v>282</v>
      </c>
      <c r="K3602" s="14">
        <v>17.0</v>
      </c>
      <c r="L3602" s="14">
        <v>5.0</v>
      </c>
      <c r="M3602" s="28" t="s">
        <v>398</v>
      </c>
      <c r="N3602" s="26" t="s">
        <v>21</v>
      </c>
      <c r="O3602" s="7"/>
      <c r="P3602" s="7"/>
      <c r="Q3602" s="7"/>
      <c r="R3602" s="7"/>
      <c r="S3602" s="7"/>
      <c r="T3602" s="7"/>
      <c r="U3602" s="7"/>
      <c r="V3602" s="7"/>
      <c r="W3602" s="7"/>
      <c r="X3602" s="7"/>
      <c r="Y3602" s="7"/>
    </row>
    <row r="3603">
      <c r="A3603" s="14" t="s">
        <v>12821</v>
      </c>
      <c r="B3603" s="17" t="s">
        <v>12817</v>
      </c>
      <c r="C3603" s="17" t="s">
        <v>12822</v>
      </c>
      <c r="D3603" s="19" t="s">
        <v>12823</v>
      </c>
      <c r="E3603" s="20" t="s">
        <v>337</v>
      </c>
      <c r="F3603" s="21">
        <v>34053.0</v>
      </c>
      <c r="G3603" s="14">
        <f t="shared" si="1"/>
        <v>33</v>
      </c>
      <c r="H3603" s="23" t="s">
        <v>26</v>
      </c>
      <c r="I3603" s="24" t="s">
        <v>27</v>
      </c>
      <c r="J3603" s="19" t="s">
        <v>282</v>
      </c>
      <c r="K3603" s="14">
        <v>17.0</v>
      </c>
      <c r="L3603" s="14">
        <v>5.0</v>
      </c>
      <c r="M3603" s="28" t="s">
        <v>398</v>
      </c>
      <c r="N3603" s="26" t="s">
        <v>21</v>
      </c>
      <c r="O3603" s="7"/>
      <c r="P3603" s="7"/>
      <c r="Q3603" s="7"/>
      <c r="R3603" s="7"/>
      <c r="S3603" s="7"/>
      <c r="T3603" s="7"/>
      <c r="U3603" s="7"/>
      <c r="V3603" s="7"/>
      <c r="W3603" s="7"/>
      <c r="X3603" s="7"/>
      <c r="Y3603" s="7"/>
    </row>
    <row r="3604">
      <c r="A3604" s="14" t="s">
        <v>12824</v>
      </c>
      <c r="B3604" s="17" t="s">
        <v>12825</v>
      </c>
      <c r="C3604" s="17" t="s">
        <v>12827</v>
      </c>
      <c r="D3604" s="19" t="s">
        <v>12828</v>
      </c>
      <c r="E3604" s="20" t="s">
        <v>1816</v>
      </c>
      <c r="F3604" s="27">
        <v>16781.0</v>
      </c>
      <c r="G3604" s="14">
        <f t="shared" si="1"/>
        <v>80</v>
      </c>
      <c r="H3604" s="23" t="s">
        <v>26</v>
      </c>
      <c r="I3604" s="24" t="s">
        <v>27</v>
      </c>
      <c r="J3604" s="19" t="s">
        <v>12829</v>
      </c>
      <c r="K3604" s="14">
        <v>28.0</v>
      </c>
      <c r="L3604" s="14">
        <v>0.0</v>
      </c>
      <c r="M3604" s="25"/>
      <c r="N3604" s="26" t="s">
        <v>21</v>
      </c>
      <c r="O3604" s="7"/>
      <c r="P3604" s="7"/>
      <c r="Q3604" s="7"/>
      <c r="R3604" s="7"/>
      <c r="S3604" s="7"/>
      <c r="T3604" s="7"/>
      <c r="U3604" s="7"/>
      <c r="V3604" s="7"/>
      <c r="W3604" s="7"/>
      <c r="X3604" s="7"/>
      <c r="Y3604" s="7"/>
    </row>
    <row r="3605">
      <c r="A3605" s="14" t="s">
        <v>12830</v>
      </c>
      <c r="B3605" s="17" t="s">
        <v>12831</v>
      </c>
      <c r="C3605" s="17" t="s">
        <v>12832</v>
      </c>
      <c r="D3605" s="19" t="s">
        <v>12833</v>
      </c>
      <c r="E3605" s="20" t="s">
        <v>104</v>
      </c>
      <c r="F3605" s="21">
        <v>30411.0</v>
      </c>
      <c r="G3605" s="14">
        <f t="shared" si="1"/>
        <v>43</v>
      </c>
      <c r="H3605" s="23" t="s">
        <v>26</v>
      </c>
      <c r="I3605" s="24" t="s">
        <v>27</v>
      </c>
      <c r="J3605" s="19" t="s">
        <v>156</v>
      </c>
      <c r="K3605" s="14">
        <v>28.0</v>
      </c>
      <c r="L3605" s="14">
        <v>0.0</v>
      </c>
      <c r="M3605" s="25"/>
      <c r="N3605" s="26" t="s">
        <v>21</v>
      </c>
      <c r="O3605" s="7"/>
      <c r="P3605" s="7"/>
      <c r="Q3605" s="7"/>
      <c r="R3605" s="7"/>
      <c r="S3605" s="7"/>
      <c r="T3605" s="7"/>
      <c r="U3605" s="7"/>
      <c r="V3605" s="7"/>
      <c r="W3605" s="7"/>
      <c r="X3605" s="7"/>
      <c r="Y3605" s="7"/>
    </row>
    <row r="3606">
      <c r="A3606" s="14" t="s">
        <v>12834</v>
      </c>
      <c r="B3606" s="17" t="s">
        <v>12831</v>
      </c>
      <c r="C3606" s="17" t="s">
        <v>12835</v>
      </c>
      <c r="D3606" s="19" t="s">
        <v>12836</v>
      </c>
      <c r="E3606" s="20" t="s">
        <v>195</v>
      </c>
      <c r="F3606" s="27">
        <v>24091.0</v>
      </c>
      <c r="G3606" s="14">
        <f t="shared" si="1"/>
        <v>60</v>
      </c>
      <c r="H3606" s="23" t="s">
        <v>26</v>
      </c>
      <c r="I3606" s="24" t="s">
        <v>33</v>
      </c>
      <c r="J3606" s="19" t="s">
        <v>156</v>
      </c>
      <c r="K3606" s="14">
        <v>28.0</v>
      </c>
      <c r="L3606" s="14">
        <v>0.0</v>
      </c>
      <c r="M3606" s="25"/>
      <c r="N3606" s="26" t="s">
        <v>21</v>
      </c>
      <c r="O3606" s="7"/>
      <c r="P3606" s="7"/>
      <c r="Q3606" s="7"/>
      <c r="R3606" s="7"/>
      <c r="S3606" s="7"/>
      <c r="T3606" s="7"/>
      <c r="U3606" s="7"/>
      <c r="V3606" s="7"/>
      <c r="W3606" s="7"/>
      <c r="X3606" s="7"/>
      <c r="Y3606" s="7"/>
    </row>
    <row r="3607">
      <c r="A3607" s="14" t="s">
        <v>12837</v>
      </c>
      <c r="B3607" s="17" t="s">
        <v>12838</v>
      </c>
      <c r="C3607" s="17" t="s">
        <v>12839</v>
      </c>
      <c r="D3607" s="19" t="s">
        <v>12840</v>
      </c>
      <c r="E3607" s="20" t="s">
        <v>138</v>
      </c>
      <c r="F3607" s="27">
        <v>37244.0</v>
      </c>
      <c r="G3607" s="14">
        <f t="shared" si="1"/>
        <v>24</v>
      </c>
      <c r="H3607" s="23" t="s">
        <v>100</v>
      </c>
      <c r="I3607" s="24" t="s">
        <v>27</v>
      </c>
      <c r="J3607" s="19" t="s">
        <v>156</v>
      </c>
      <c r="K3607" s="14">
        <v>28.0</v>
      </c>
      <c r="L3607" s="14">
        <v>0.0</v>
      </c>
      <c r="M3607" s="25"/>
      <c r="N3607" s="26" t="s">
        <v>21</v>
      </c>
      <c r="O3607" s="7"/>
      <c r="P3607" s="7"/>
      <c r="Q3607" s="7"/>
      <c r="R3607" s="7"/>
      <c r="S3607" s="7"/>
      <c r="T3607" s="7"/>
      <c r="U3607" s="7"/>
      <c r="V3607" s="7"/>
      <c r="W3607" s="7"/>
      <c r="X3607" s="7"/>
      <c r="Y3607" s="7"/>
    </row>
    <row r="3608">
      <c r="A3608" s="14" t="s">
        <v>12841</v>
      </c>
      <c r="B3608" s="17" t="s">
        <v>12838</v>
      </c>
      <c r="C3608" s="17" t="s">
        <v>12842</v>
      </c>
      <c r="D3608" s="19" t="s">
        <v>8767</v>
      </c>
      <c r="E3608" s="20" t="s">
        <v>12843</v>
      </c>
      <c r="F3608" s="21">
        <v>21002.0</v>
      </c>
      <c r="G3608" s="14">
        <f t="shared" si="1"/>
        <v>69</v>
      </c>
      <c r="H3608" s="23" t="s">
        <v>26</v>
      </c>
      <c r="I3608" s="24" t="s">
        <v>33</v>
      </c>
      <c r="J3608" s="19" t="s">
        <v>156</v>
      </c>
      <c r="K3608" s="14">
        <v>28.0</v>
      </c>
      <c r="L3608" s="14">
        <v>0.0</v>
      </c>
      <c r="M3608" s="25"/>
      <c r="N3608" s="26" t="s">
        <v>21</v>
      </c>
      <c r="O3608" s="7"/>
      <c r="P3608" s="7"/>
      <c r="Q3608" s="7"/>
      <c r="R3608" s="7"/>
      <c r="S3608" s="7"/>
      <c r="T3608" s="7"/>
      <c r="U3608" s="7"/>
      <c r="V3608" s="7"/>
      <c r="W3608" s="7"/>
      <c r="X3608" s="7"/>
      <c r="Y3608" s="7"/>
    </row>
    <row r="3609">
      <c r="A3609" s="14" t="s">
        <v>12844</v>
      </c>
      <c r="B3609" s="17" t="s">
        <v>12838</v>
      </c>
      <c r="C3609" s="17" t="s">
        <v>12845</v>
      </c>
      <c r="D3609" s="19" t="s">
        <v>950</v>
      </c>
      <c r="E3609" s="20" t="s">
        <v>12843</v>
      </c>
      <c r="F3609" s="21">
        <v>26481.0</v>
      </c>
      <c r="G3609" s="14">
        <f t="shared" si="1"/>
        <v>54</v>
      </c>
      <c r="H3609" s="23" t="s">
        <v>26</v>
      </c>
      <c r="I3609" s="24" t="s">
        <v>27</v>
      </c>
      <c r="J3609" s="19" t="s">
        <v>156</v>
      </c>
      <c r="K3609" s="14">
        <v>28.0</v>
      </c>
      <c r="L3609" s="14">
        <v>0.0</v>
      </c>
      <c r="M3609" s="25"/>
      <c r="N3609" s="26" t="s">
        <v>21</v>
      </c>
      <c r="O3609" s="7"/>
      <c r="P3609" s="7"/>
      <c r="Q3609" s="7"/>
      <c r="R3609" s="7"/>
      <c r="S3609" s="7"/>
      <c r="T3609" s="7"/>
      <c r="U3609" s="7"/>
      <c r="V3609" s="7"/>
      <c r="W3609" s="7"/>
      <c r="X3609" s="7"/>
      <c r="Y3609" s="7"/>
    </row>
    <row r="3610">
      <c r="A3610" s="14" t="s">
        <v>12846</v>
      </c>
      <c r="B3610" s="17" t="s">
        <v>12847</v>
      </c>
      <c r="C3610" s="17" t="s">
        <v>12848</v>
      </c>
      <c r="D3610" s="19" t="s">
        <v>12849</v>
      </c>
      <c r="E3610" s="20" t="s">
        <v>1816</v>
      </c>
      <c r="F3610" s="21">
        <v>16103.0</v>
      </c>
      <c r="G3610" s="14">
        <f t="shared" si="1"/>
        <v>82</v>
      </c>
      <c r="H3610" s="23" t="s">
        <v>26</v>
      </c>
      <c r="I3610" s="24" t="s">
        <v>27</v>
      </c>
      <c r="J3610" s="19" t="s">
        <v>156</v>
      </c>
      <c r="K3610" s="14">
        <v>28.0</v>
      </c>
      <c r="L3610" s="14">
        <v>0.0</v>
      </c>
      <c r="M3610" s="25"/>
      <c r="N3610" s="26" t="s">
        <v>21</v>
      </c>
      <c r="O3610" s="7"/>
      <c r="P3610" s="7"/>
      <c r="Q3610" s="7"/>
      <c r="R3610" s="7"/>
      <c r="S3610" s="7"/>
      <c r="T3610" s="7"/>
      <c r="U3610" s="7"/>
      <c r="V3610" s="7"/>
      <c r="W3610" s="7"/>
      <c r="X3610" s="7"/>
      <c r="Y3610" s="7"/>
    </row>
    <row r="3611">
      <c r="A3611" s="14" t="s">
        <v>12850</v>
      </c>
      <c r="B3611" s="17" t="s">
        <v>12851</v>
      </c>
      <c r="C3611" s="17" t="s">
        <v>12852</v>
      </c>
      <c r="D3611" s="19" t="s">
        <v>12853</v>
      </c>
      <c r="E3611" s="20" t="s">
        <v>67</v>
      </c>
      <c r="F3611" s="21">
        <v>14427.0</v>
      </c>
      <c r="G3611" s="14">
        <f t="shared" si="1"/>
        <v>87</v>
      </c>
      <c r="H3611" s="23" t="s">
        <v>26</v>
      </c>
      <c r="I3611" s="24" t="s">
        <v>27</v>
      </c>
      <c r="J3611" s="19" t="s">
        <v>12829</v>
      </c>
      <c r="K3611" s="14">
        <v>35.0</v>
      </c>
      <c r="L3611" s="14">
        <v>0.0</v>
      </c>
      <c r="M3611" s="25"/>
      <c r="N3611" s="26" t="s">
        <v>21</v>
      </c>
      <c r="O3611" s="7"/>
      <c r="P3611" s="7"/>
      <c r="Q3611" s="7"/>
      <c r="R3611" s="7"/>
      <c r="S3611" s="7"/>
      <c r="T3611" s="7"/>
      <c r="U3611" s="7"/>
      <c r="V3611" s="7"/>
      <c r="W3611" s="7"/>
      <c r="X3611" s="7"/>
      <c r="Y3611" s="7"/>
    </row>
    <row r="3612">
      <c r="A3612" s="14" t="s">
        <v>12854</v>
      </c>
      <c r="B3612" s="17" t="s">
        <v>12855</v>
      </c>
      <c r="C3612" s="17" t="s">
        <v>12856</v>
      </c>
      <c r="D3612" s="19" t="s">
        <v>12857</v>
      </c>
      <c r="E3612" s="20" t="s">
        <v>1903</v>
      </c>
      <c r="F3612" s="21">
        <v>24387.0</v>
      </c>
      <c r="G3612" s="14">
        <f t="shared" si="1"/>
        <v>60</v>
      </c>
      <c r="H3612" s="23" t="s">
        <v>26</v>
      </c>
      <c r="I3612" s="24" t="s">
        <v>33</v>
      </c>
      <c r="J3612" s="19" t="s">
        <v>53</v>
      </c>
      <c r="K3612" s="14">
        <v>36.0</v>
      </c>
      <c r="L3612" s="14">
        <v>0.0</v>
      </c>
      <c r="M3612" s="25"/>
      <c r="N3612" s="26" t="s">
        <v>21</v>
      </c>
      <c r="O3612" s="7"/>
      <c r="P3612" s="7"/>
      <c r="Q3612" s="7"/>
      <c r="R3612" s="7"/>
      <c r="S3612" s="7"/>
      <c r="T3612" s="7"/>
      <c r="U3612" s="7"/>
      <c r="V3612" s="7"/>
      <c r="W3612" s="7"/>
      <c r="X3612" s="7"/>
      <c r="Y3612" s="7"/>
    </row>
    <row r="3613">
      <c r="A3613" s="14" t="s">
        <v>12858</v>
      </c>
      <c r="B3613" s="17" t="s">
        <v>12855</v>
      </c>
      <c r="C3613" s="17" t="s">
        <v>12859</v>
      </c>
      <c r="D3613" s="19" t="s">
        <v>12860</v>
      </c>
      <c r="E3613" s="20" t="s">
        <v>290</v>
      </c>
      <c r="F3613" s="21">
        <v>26002.0</v>
      </c>
      <c r="G3613" s="14">
        <f t="shared" si="1"/>
        <v>55</v>
      </c>
      <c r="H3613" s="23" t="s">
        <v>26</v>
      </c>
      <c r="I3613" s="24" t="s">
        <v>27</v>
      </c>
      <c r="J3613" s="19" t="s">
        <v>53</v>
      </c>
      <c r="K3613" s="14">
        <v>36.0</v>
      </c>
      <c r="L3613" s="14">
        <v>0.0</v>
      </c>
      <c r="M3613" s="25"/>
      <c r="N3613" s="26" t="s">
        <v>21</v>
      </c>
      <c r="O3613" s="7"/>
      <c r="P3613" s="7"/>
      <c r="Q3613" s="7"/>
      <c r="R3613" s="7"/>
      <c r="S3613" s="7"/>
      <c r="T3613" s="7"/>
      <c r="U3613" s="7"/>
      <c r="V3613" s="7"/>
      <c r="W3613" s="7"/>
      <c r="X3613" s="7"/>
      <c r="Y3613" s="7"/>
    </row>
    <row r="3614">
      <c r="A3614" s="14" t="s">
        <v>12861</v>
      </c>
      <c r="B3614" s="17" t="s">
        <v>12862</v>
      </c>
      <c r="C3614" s="17" t="s">
        <v>12863</v>
      </c>
      <c r="D3614" s="19" t="s">
        <v>12864</v>
      </c>
      <c r="E3614" s="20" t="s">
        <v>650</v>
      </c>
      <c r="F3614" s="21">
        <v>10426.0</v>
      </c>
      <c r="G3614" s="14">
        <f t="shared" si="1"/>
        <v>98</v>
      </c>
      <c r="H3614" s="23" t="s">
        <v>26</v>
      </c>
      <c r="I3614" s="24" t="s">
        <v>27</v>
      </c>
      <c r="J3614" s="19" t="s">
        <v>53</v>
      </c>
      <c r="K3614" s="14">
        <v>36.0</v>
      </c>
      <c r="L3614" s="14">
        <v>0.0</v>
      </c>
      <c r="M3614" s="25"/>
      <c r="N3614" s="26" t="s">
        <v>21</v>
      </c>
      <c r="O3614" s="7"/>
      <c r="P3614" s="7"/>
      <c r="Q3614" s="7"/>
      <c r="R3614" s="7"/>
      <c r="S3614" s="7"/>
      <c r="T3614" s="7"/>
      <c r="U3614" s="7"/>
      <c r="V3614" s="7"/>
      <c r="W3614" s="7"/>
      <c r="X3614" s="7"/>
      <c r="Y3614" s="7"/>
    </row>
    <row r="3615">
      <c r="A3615" s="14" t="s">
        <v>12865</v>
      </c>
      <c r="B3615" s="17" t="s">
        <v>12866</v>
      </c>
      <c r="C3615" s="17" t="s">
        <v>12867</v>
      </c>
      <c r="D3615" s="19" t="s">
        <v>12868</v>
      </c>
      <c r="E3615" s="20" t="s">
        <v>650</v>
      </c>
      <c r="F3615" s="21">
        <v>29004.0</v>
      </c>
      <c r="G3615" s="14">
        <f t="shared" si="1"/>
        <v>47</v>
      </c>
      <c r="H3615" s="23" t="s">
        <v>26</v>
      </c>
      <c r="I3615" s="24" t="s">
        <v>33</v>
      </c>
      <c r="J3615" s="19" t="s">
        <v>53</v>
      </c>
      <c r="K3615" s="14">
        <v>6.0</v>
      </c>
      <c r="L3615" s="14">
        <v>0.0</v>
      </c>
      <c r="M3615" s="25"/>
      <c r="N3615" s="26" t="s">
        <v>21</v>
      </c>
      <c r="O3615" s="7"/>
      <c r="P3615" s="7"/>
      <c r="Q3615" s="7"/>
      <c r="R3615" s="7"/>
      <c r="S3615" s="7"/>
      <c r="T3615" s="7"/>
      <c r="U3615" s="7"/>
      <c r="V3615" s="7"/>
      <c r="W3615" s="7"/>
      <c r="X3615" s="7"/>
      <c r="Y3615" s="7"/>
    </row>
    <row r="3616">
      <c r="A3616" s="14" t="s">
        <v>12869</v>
      </c>
      <c r="B3616" s="17" t="s">
        <v>12866</v>
      </c>
      <c r="C3616" s="17" t="s">
        <v>12870</v>
      </c>
      <c r="D3616" s="19" t="s">
        <v>12871</v>
      </c>
      <c r="E3616" s="20" t="s">
        <v>650</v>
      </c>
      <c r="F3616" s="27">
        <v>37611.0</v>
      </c>
      <c r="G3616" s="14">
        <f t="shared" si="1"/>
        <v>23</v>
      </c>
      <c r="H3616" s="23" t="s">
        <v>100</v>
      </c>
      <c r="I3616" s="24" t="s">
        <v>33</v>
      </c>
      <c r="J3616" s="19" t="s">
        <v>53</v>
      </c>
      <c r="K3616" s="14">
        <v>6.0</v>
      </c>
      <c r="L3616" s="14">
        <v>0.0</v>
      </c>
      <c r="M3616" s="25"/>
      <c r="N3616" s="26" t="s">
        <v>21</v>
      </c>
      <c r="O3616" s="7"/>
      <c r="P3616" s="7"/>
      <c r="Q3616" s="7"/>
      <c r="R3616" s="7"/>
      <c r="S3616" s="7"/>
      <c r="T3616" s="7"/>
      <c r="U3616" s="7"/>
      <c r="V3616" s="7"/>
      <c r="W3616" s="7"/>
      <c r="X3616" s="7"/>
      <c r="Y3616" s="7"/>
    </row>
    <row r="3617">
      <c r="A3617" s="14" t="s">
        <v>12872</v>
      </c>
      <c r="B3617" s="17" t="s">
        <v>12866</v>
      </c>
      <c r="C3617" s="17" t="s">
        <v>12873</v>
      </c>
      <c r="D3617" s="19" t="s">
        <v>2374</v>
      </c>
      <c r="E3617" s="20" t="s">
        <v>104</v>
      </c>
      <c r="F3617" s="21">
        <v>29281.0</v>
      </c>
      <c r="G3617" s="14">
        <f t="shared" si="1"/>
        <v>46</v>
      </c>
      <c r="H3617" s="23" t="s">
        <v>26</v>
      </c>
      <c r="I3617" s="24" t="s">
        <v>27</v>
      </c>
      <c r="J3617" s="19" t="s">
        <v>53</v>
      </c>
      <c r="K3617" s="14">
        <v>6.0</v>
      </c>
      <c r="L3617" s="14">
        <v>0.0</v>
      </c>
      <c r="M3617" s="25"/>
      <c r="N3617" s="26" t="s">
        <v>21</v>
      </c>
      <c r="O3617" s="7"/>
      <c r="P3617" s="7"/>
      <c r="Q3617" s="7"/>
      <c r="R3617" s="7"/>
      <c r="S3617" s="7"/>
      <c r="T3617" s="7"/>
      <c r="U3617" s="7"/>
      <c r="V3617" s="7"/>
      <c r="W3617" s="7"/>
      <c r="X3617" s="7"/>
      <c r="Y3617" s="7"/>
    </row>
    <row r="3618">
      <c r="A3618" s="14" t="s">
        <v>12874</v>
      </c>
      <c r="B3618" s="17" t="s">
        <v>12875</v>
      </c>
      <c r="C3618" s="17" t="s">
        <v>12876</v>
      </c>
      <c r="D3618" s="19" t="s">
        <v>12877</v>
      </c>
      <c r="E3618" s="20" t="s">
        <v>650</v>
      </c>
      <c r="F3618" s="21">
        <v>19541.0</v>
      </c>
      <c r="G3618" s="14">
        <f t="shared" si="1"/>
        <v>73</v>
      </c>
      <c r="H3618" s="23" t="s">
        <v>27</v>
      </c>
      <c r="I3618" s="24" t="s">
        <v>27</v>
      </c>
      <c r="J3618" s="19" t="s">
        <v>517</v>
      </c>
      <c r="K3618" s="14">
        <v>6.0</v>
      </c>
      <c r="L3618" s="14">
        <v>0.0</v>
      </c>
      <c r="M3618" s="25"/>
      <c r="N3618" s="26" t="s">
        <v>21</v>
      </c>
      <c r="O3618" s="7"/>
      <c r="P3618" s="7"/>
      <c r="Q3618" s="7"/>
      <c r="R3618" s="7"/>
      <c r="S3618" s="7"/>
      <c r="T3618" s="7"/>
      <c r="U3618" s="7"/>
      <c r="V3618" s="7"/>
      <c r="W3618" s="7"/>
      <c r="X3618" s="7"/>
      <c r="Y3618" s="7"/>
    </row>
    <row r="3619">
      <c r="A3619" s="14" t="s">
        <v>12878</v>
      </c>
      <c r="B3619" s="17" t="s">
        <v>12879</v>
      </c>
      <c r="C3619" s="17" t="s">
        <v>12880</v>
      </c>
      <c r="D3619" s="19" t="s">
        <v>12881</v>
      </c>
      <c r="E3619" s="20" t="s">
        <v>104</v>
      </c>
      <c r="F3619" s="21">
        <v>29561.0</v>
      </c>
      <c r="G3619" s="14">
        <f t="shared" si="1"/>
        <v>45</v>
      </c>
      <c r="H3619" s="23" t="s">
        <v>26</v>
      </c>
      <c r="I3619" s="24" t="s">
        <v>27</v>
      </c>
      <c r="J3619" s="19" t="s">
        <v>58</v>
      </c>
      <c r="K3619" s="14">
        <v>6.0</v>
      </c>
      <c r="L3619" s="14">
        <v>0.0</v>
      </c>
      <c r="M3619" s="25"/>
      <c r="N3619" s="26" t="s">
        <v>21</v>
      </c>
      <c r="O3619" s="7"/>
      <c r="P3619" s="7"/>
      <c r="Q3619" s="7"/>
      <c r="R3619" s="7"/>
      <c r="S3619" s="7"/>
      <c r="T3619" s="7"/>
      <c r="U3619" s="7"/>
      <c r="V3619" s="7"/>
      <c r="W3619" s="7"/>
      <c r="X3619" s="7"/>
      <c r="Y3619" s="7"/>
    </row>
    <row r="3620">
      <c r="A3620" s="14" t="s">
        <v>12882</v>
      </c>
      <c r="B3620" s="17" t="s">
        <v>12879</v>
      </c>
      <c r="C3620" s="17" t="s">
        <v>12883</v>
      </c>
      <c r="D3620" s="19" t="s">
        <v>12884</v>
      </c>
      <c r="E3620" s="20" t="s">
        <v>53</v>
      </c>
      <c r="F3620" s="27">
        <v>36859.0</v>
      </c>
      <c r="G3620" s="14">
        <f t="shared" si="1"/>
        <v>25</v>
      </c>
      <c r="H3620" s="23" t="s">
        <v>100</v>
      </c>
      <c r="I3620" s="24" t="s">
        <v>27</v>
      </c>
      <c r="J3620" s="19" t="s">
        <v>58</v>
      </c>
      <c r="K3620" s="14">
        <v>6.0</v>
      </c>
      <c r="L3620" s="14">
        <v>0.0</v>
      </c>
      <c r="M3620" s="25"/>
      <c r="N3620" s="26" t="s">
        <v>21</v>
      </c>
      <c r="O3620" s="7"/>
      <c r="P3620" s="7"/>
      <c r="Q3620" s="7"/>
      <c r="R3620" s="7"/>
      <c r="S3620" s="7"/>
      <c r="T3620" s="7"/>
      <c r="U3620" s="7"/>
      <c r="V3620" s="7"/>
      <c r="W3620" s="7"/>
      <c r="X3620" s="7"/>
      <c r="Y3620" s="7"/>
    </row>
    <row r="3621">
      <c r="A3621" s="14" t="s">
        <v>12885</v>
      </c>
      <c r="B3621" s="17" t="s">
        <v>12879</v>
      </c>
      <c r="C3621" s="17" t="s">
        <v>12886</v>
      </c>
      <c r="D3621" s="19" t="s">
        <v>12887</v>
      </c>
      <c r="E3621" s="20" t="s">
        <v>650</v>
      </c>
      <c r="F3621" s="27">
        <v>27375.0</v>
      </c>
      <c r="G3621" s="14">
        <f t="shared" si="1"/>
        <v>51</v>
      </c>
      <c r="H3621" s="23" t="s">
        <v>26</v>
      </c>
      <c r="I3621" s="24" t="s">
        <v>33</v>
      </c>
      <c r="J3621" s="19" t="s">
        <v>58</v>
      </c>
      <c r="K3621" s="14">
        <v>6.0</v>
      </c>
      <c r="L3621" s="14">
        <v>0.0</v>
      </c>
      <c r="M3621" s="25"/>
      <c r="N3621" s="26" t="s">
        <v>21</v>
      </c>
      <c r="O3621" s="7"/>
      <c r="P3621" s="7"/>
      <c r="Q3621" s="7"/>
      <c r="R3621" s="7"/>
      <c r="S3621" s="7"/>
      <c r="T3621" s="7"/>
      <c r="U3621" s="7"/>
      <c r="V3621" s="7"/>
      <c r="W3621" s="7"/>
      <c r="X3621" s="7"/>
      <c r="Y3621" s="7"/>
    </row>
    <row r="3622">
      <c r="A3622" s="14" t="s">
        <v>12888</v>
      </c>
      <c r="B3622" s="17" t="s">
        <v>12879</v>
      </c>
      <c r="C3622" s="17" t="s">
        <v>12889</v>
      </c>
      <c r="D3622" s="19" t="s">
        <v>12890</v>
      </c>
      <c r="E3622" s="20" t="s">
        <v>53</v>
      </c>
      <c r="F3622" s="21">
        <v>35153.0</v>
      </c>
      <c r="G3622" s="14">
        <f t="shared" si="1"/>
        <v>30</v>
      </c>
      <c r="H3622" s="23" t="s">
        <v>100</v>
      </c>
      <c r="I3622" s="24" t="s">
        <v>33</v>
      </c>
      <c r="J3622" s="19" t="s">
        <v>58</v>
      </c>
      <c r="K3622" s="14">
        <v>6.0</v>
      </c>
      <c r="L3622" s="14">
        <v>0.0</v>
      </c>
      <c r="M3622" s="25"/>
      <c r="N3622" s="26" t="s">
        <v>21</v>
      </c>
      <c r="O3622" s="7"/>
      <c r="P3622" s="7"/>
      <c r="Q3622" s="7"/>
      <c r="R3622" s="7"/>
      <c r="S3622" s="7"/>
      <c r="T3622" s="7"/>
      <c r="U3622" s="7"/>
      <c r="V3622" s="7"/>
      <c r="W3622" s="7"/>
      <c r="X3622" s="7"/>
      <c r="Y3622" s="7"/>
    </row>
    <row r="3623">
      <c r="A3623" s="14" t="s">
        <v>12891</v>
      </c>
      <c r="B3623" s="17" t="s">
        <v>12892</v>
      </c>
      <c r="C3623" s="17" t="s">
        <v>12893</v>
      </c>
      <c r="D3623" s="19" t="s">
        <v>12894</v>
      </c>
      <c r="E3623" s="20" t="s">
        <v>605</v>
      </c>
      <c r="F3623" s="21">
        <v>24968.0</v>
      </c>
      <c r="G3623" s="14">
        <f t="shared" si="1"/>
        <v>58</v>
      </c>
      <c r="H3623" s="23" t="s">
        <v>26</v>
      </c>
      <c r="I3623" s="24" t="s">
        <v>33</v>
      </c>
      <c r="J3623" s="19" t="s">
        <v>517</v>
      </c>
      <c r="K3623" s="14">
        <v>8.0</v>
      </c>
      <c r="L3623" s="14">
        <v>0.0</v>
      </c>
      <c r="M3623" s="25"/>
      <c r="N3623" s="26" t="s">
        <v>21</v>
      </c>
      <c r="O3623" s="7"/>
      <c r="P3623" s="7"/>
      <c r="Q3623" s="7"/>
      <c r="R3623" s="7"/>
      <c r="S3623" s="7"/>
      <c r="T3623" s="7"/>
      <c r="U3623" s="7"/>
      <c r="V3623" s="7"/>
      <c r="W3623" s="7"/>
      <c r="X3623" s="7"/>
      <c r="Y3623" s="7"/>
    </row>
    <row r="3624">
      <c r="A3624" s="14" t="s">
        <v>12898</v>
      </c>
      <c r="B3624" s="17" t="s">
        <v>12892</v>
      </c>
      <c r="C3624" s="17" t="s">
        <v>12899</v>
      </c>
      <c r="D3624" s="19" t="s">
        <v>8108</v>
      </c>
      <c r="E3624" s="20" t="s">
        <v>502</v>
      </c>
      <c r="F3624" s="21">
        <v>26399.0</v>
      </c>
      <c r="G3624" s="14">
        <f t="shared" si="1"/>
        <v>54</v>
      </c>
      <c r="H3624" s="23" t="s">
        <v>26</v>
      </c>
      <c r="I3624" s="24" t="s">
        <v>27</v>
      </c>
      <c r="J3624" s="19" t="s">
        <v>517</v>
      </c>
      <c r="K3624" s="14">
        <v>8.0</v>
      </c>
      <c r="L3624" s="14">
        <v>0.0</v>
      </c>
      <c r="M3624" s="25"/>
      <c r="N3624" s="26" t="s">
        <v>21</v>
      </c>
      <c r="O3624" s="7"/>
      <c r="P3624" s="7"/>
      <c r="Q3624" s="7"/>
      <c r="R3624" s="7"/>
      <c r="S3624" s="7"/>
      <c r="T3624" s="7"/>
      <c r="U3624" s="7"/>
      <c r="V3624" s="7"/>
      <c r="W3624" s="7"/>
      <c r="X3624" s="7"/>
      <c r="Y3624" s="7"/>
    </row>
    <row r="3625">
      <c r="A3625" s="14" t="s">
        <v>12895</v>
      </c>
      <c r="B3625" s="17" t="s">
        <v>14428</v>
      </c>
      <c r="C3625" s="17" t="s">
        <v>12896</v>
      </c>
      <c r="D3625" s="19" t="s">
        <v>12897</v>
      </c>
      <c r="E3625" s="20" t="s">
        <v>104</v>
      </c>
      <c r="F3625" s="21">
        <v>38719.0</v>
      </c>
      <c r="G3625" s="14">
        <f t="shared" si="1"/>
        <v>20</v>
      </c>
      <c r="H3625" s="23" t="s">
        <v>26</v>
      </c>
      <c r="I3625" s="24" t="s">
        <v>27</v>
      </c>
      <c r="J3625" s="19" t="s">
        <v>517</v>
      </c>
      <c r="K3625" s="14">
        <v>8.0</v>
      </c>
      <c r="L3625" s="14">
        <v>7.0</v>
      </c>
      <c r="M3625" s="25"/>
      <c r="N3625" s="26" t="s">
        <v>21</v>
      </c>
      <c r="O3625" s="7"/>
      <c r="P3625" s="7"/>
      <c r="Q3625" s="7"/>
      <c r="R3625" s="7"/>
      <c r="S3625" s="7"/>
      <c r="T3625" s="7"/>
      <c r="U3625" s="7"/>
      <c r="V3625" s="7"/>
      <c r="W3625" s="7"/>
      <c r="X3625" s="7"/>
      <c r="Y3625" s="7"/>
    </row>
    <row r="3626">
      <c r="A3626" s="55"/>
      <c r="B3626" s="17" t="s">
        <v>14428</v>
      </c>
      <c r="C3626" s="17" t="s">
        <v>14429</v>
      </c>
      <c r="D3626" s="19" t="s">
        <v>14430</v>
      </c>
      <c r="E3626" s="20" t="s">
        <v>14431</v>
      </c>
      <c r="F3626" s="21">
        <v>37788.0</v>
      </c>
      <c r="G3626" s="14">
        <f t="shared" si="1"/>
        <v>23</v>
      </c>
      <c r="H3626" s="23" t="s">
        <v>26</v>
      </c>
      <c r="I3626" s="24" t="s">
        <v>27</v>
      </c>
      <c r="J3626" s="19" t="s">
        <v>517</v>
      </c>
      <c r="K3626" s="14">
        <v>8.0</v>
      </c>
      <c r="L3626" s="14">
        <v>7.0</v>
      </c>
      <c r="M3626" s="25"/>
      <c r="N3626" s="26" t="s">
        <v>21</v>
      </c>
      <c r="O3626" s="7"/>
      <c r="P3626" s="7"/>
      <c r="Q3626" s="7"/>
      <c r="R3626" s="7"/>
      <c r="S3626" s="7"/>
      <c r="T3626" s="7"/>
      <c r="U3626" s="7"/>
      <c r="V3626" s="7"/>
      <c r="W3626" s="7"/>
      <c r="X3626" s="7"/>
      <c r="Y3626" s="7"/>
    </row>
    <row r="3627">
      <c r="A3627" s="14" t="s">
        <v>12900</v>
      </c>
      <c r="B3627" s="17" t="s">
        <v>12901</v>
      </c>
      <c r="C3627" s="17" t="s">
        <v>12902</v>
      </c>
      <c r="D3627" s="19" t="s">
        <v>12903</v>
      </c>
      <c r="E3627" s="20" t="s">
        <v>104</v>
      </c>
      <c r="F3627" s="21">
        <v>37133.0</v>
      </c>
      <c r="G3627" s="14">
        <f t="shared" si="1"/>
        <v>25</v>
      </c>
      <c r="H3627" s="23" t="s">
        <v>100</v>
      </c>
      <c r="I3627" s="24" t="s">
        <v>33</v>
      </c>
      <c r="J3627" s="19" t="s">
        <v>53</v>
      </c>
      <c r="K3627" s="14">
        <v>5.0</v>
      </c>
      <c r="L3627" s="14">
        <v>0.0</v>
      </c>
      <c r="M3627" s="25"/>
      <c r="N3627" s="26" t="s">
        <v>21</v>
      </c>
      <c r="O3627" s="7"/>
      <c r="P3627" s="7"/>
      <c r="Q3627" s="7"/>
      <c r="R3627" s="7"/>
      <c r="S3627" s="7"/>
      <c r="T3627" s="7"/>
      <c r="U3627" s="7"/>
      <c r="V3627" s="7"/>
      <c r="W3627" s="7"/>
      <c r="X3627" s="7"/>
      <c r="Y3627" s="7"/>
    </row>
    <row r="3628">
      <c r="A3628" s="14" t="s">
        <v>12904</v>
      </c>
      <c r="B3628" s="17" t="s">
        <v>12901</v>
      </c>
      <c r="C3628" s="17" t="s">
        <v>12905</v>
      </c>
      <c r="D3628" s="19" t="s">
        <v>12906</v>
      </c>
      <c r="E3628" s="20" t="s">
        <v>104</v>
      </c>
      <c r="F3628" s="21">
        <v>28945.0</v>
      </c>
      <c r="G3628" s="14">
        <f t="shared" si="1"/>
        <v>47</v>
      </c>
      <c r="H3628" s="23" t="s">
        <v>26</v>
      </c>
      <c r="I3628" s="24" t="s">
        <v>33</v>
      </c>
      <c r="J3628" s="19" t="s">
        <v>53</v>
      </c>
      <c r="K3628" s="14">
        <v>5.0</v>
      </c>
      <c r="L3628" s="14">
        <v>0.0</v>
      </c>
      <c r="M3628" s="25"/>
      <c r="N3628" s="26" t="s">
        <v>21</v>
      </c>
      <c r="O3628" s="7"/>
      <c r="P3628" s="7"/>
      <c r="Q3628" s="7"/>
      <c r="R3628" s="7"/>
      <c r="S3628" s="7"/>
      <c r="T3628" s="7"/>
      <c r="U3628" s="7"/>
      <c r="V3628" s="7"/>
      <c r="W3628" s="7"/>
      <c r="X3628" s="7"/>
      <c r="Y3628" s="7"/>
    </row>
    <row r="3629">
      <c r="A3629" s="14" t="s">
        <v>12907</v>
      </c>
      <c r="B3629" s="17" t="s">
        <v>12901</v>
      </c>
      <c r="C3629" s="17" t="s">
        <v>12908</v>
      </c>
      <c r="D3629" s="19" t="s">
        <v>2868</v>
      </c>
      <c r="E3629" s="20" t="s">
        <v>53</v>
      </c>
      <c r="F3629" s="21">
        <v>30514.0</v>
      </c>
      <c r="G3629" s="14">
        <f t="shared" si="1"/>
        <v>43</v>
      </c>
      <c r="H3629" s="23" t="s">
        <v>26</v>
      </c>
      <c r="I3629" s="24" t="s">
        <v>27</v>
      </c>
      <c r="J3629" s="19" t="s">
        <v>53</v>
      </c>
      <c r="K3629" s="14">
        <v>5.0</v>
      </c>
      <c r="L3629" s="14">
        <v>0.0</v>
      </c>
      <c r="M3629" s="25"/>
      <c r="N3629" s="26" t="s">
        <v>21</v>
      </c>
      <c r="O3629" s="7"/>
      <c r="P3629" s="7"/>
      <c r="Q3629" s="7"/>
      <c r="R3629" s="7"/>
      <c r="S3629" s="7"/>
      <c r="T3629" s="7"/>
      <c r="U3629" s="7"/>
      <c r="V3629" s="7"/>
      <c r="W3629" s="7"/>
      <c r="X3629" s="7"/>
      <c r="Y3629" s="7"/>
    </row>
    <row r="3630">
      <c r="A3630" s="14" t="s">
        <v>12909</v>
      </c>
      <c r="B3630" s="17" t="s">
        <v>12910</v>
      </c>
      <c r="C3630" s="17" t="s">
        <v>12911</v>
      </c>
      <c r="D3630" s="19" t="s">
        <v>12912</v>
      </c>
      <c r="E3630" s="20" t="s">
        <v>104</v>
      </c>
      <c r="F3630" s="21">
        <v>37130.0</v>
      </c>
      <c r="G3630" s="14">
        <f t="shared" si="1"/>
        <v>25</v>
      </c>
      <c r="H3630" s="23" t="s">
        <v>100</v>
      </c>
      <c r="I3630" s="24" t="s">
        <v>33</v>
      </c>
      <c r="J3630" s="19" t="s">
        <v>517</v>
      </c>
      <c r="K3630" s="14">
        <v>9.0</v>
      </c>
      <c r="L3630" s="14">
        <v>0.0</v>
      </c>
      <c r="M3630" s="25"/>
      <c r="N3630" s="26" t="s">
        <v>21</v>
      </c>
      <c r="O3630" s="7"/>
      <c r="P3630" s="7"/>
      <c r="Q3630" s="7"/>
      <c r="R3630" s="7"/>
      <c r="S3630" s="7"/>
      <c r="T3630" s="7"/>
      <c r="U3630" s="7"/>
      <c r="V3630" s="7"/>
      <c r="W3630" s="7"/>
      <c r="X3630" s="7"/>
      <c r="Y3630" s="7"/>
    </row>
    <row r="3631">
      <c r="A3631" s="14" t="s">
        <v>12913</v>
      </c>
      <c r="B3631" s="17" t="s">
        <v>12910</v>
      </c>
      <c r="C3631" s="17" t="s">
        <v>12914</v>
      </c>
      <c r="D3631" s="19" t="s">
        <v>12915</v>
      </c>
      <c r="E3631" s="20" t="s">
        <v>632</v>
      </c>
      <c r="F3631" s="21">
        <v>23193.0</v>
      </c>
      <c r="G3631" s="14">
        <f t="shared" si="1"/>
        <v>63</v>
      </c>
      <c r="H3631" s="23" t="s">
        <v>27</v>
      </c>
      <c r="I3631" s="24" t="s">
        <v>27</v>
      </c>
      <c r="J3631" s="19" t="s">
        <v>517</v>
      </c>
      <c r="K3631" s="14">
        <v>9.0</v>
      </c>
      <c r="L3631" s="14">
        <v>0.0</v>
      </c>
      <c r="M3631" s="25"/>
      <c r="N3631" s="26" t="s">
        <v>21</v>
      </c>
      <c r="O3631" s="7"/>
      <c r="P3631" s="7"/>
      <c r="Q3631" s="7"/>
      <c r="R3631" s="7"/>
      <c r="S3631" s="7"/>
      <c r="T3631" s="7"/>
      <c r="U3631" s="7"/>
      <c r="V3631" s="7"/>
      <c r="W3631" s="7"/>
      <c r="X3631" s="7"/>
      <c r="Y3631" s="7"/>
    </row>
    <row r="3632">
      <c r="A3632" s="14" t="s">
        <v>12916</v>
      </c>
      <c r="B3632" s="17" t="s">
        <v>12917</v>
      </c>
      <c r="C3632" s="17" t="s">
        <v>12918</v>
      </c>
      <c r="D3632" s="19" t="s">
        <v>12919</v>
      </c>
      <c r="E3632" s="20" t="s">
        <v>12920</v>
      </c>
      <c r="F3632" s="27">
        <v>28476.0</v>
      </c>
      <c r="G3632" s="14">
        <f t="shared" si="1"/>
        <v>48</v>
      </c>
      <c r="H3632" s="23" t="s">
        <v>26</v>
      </c>
      <c r="I3632" s="24" t="s">
        <v>33</v>
      </c>
      <c r="J3632" s="19" t="s">
        <v>53</v>
      </c>
      <c r="K3632" s="14">
        <v>3.0</v>
      </c>
      <c r="L3632" s="14">
        <v>0.0</v>
      </c>
      <c r="M3632" s="25"/>
      <c r="N3632" s="26" t="s">
        <v>21</v>
      </c>
      <c r="O3632" s="7"/>
      <c r="P3632" s="7"/>
      <c r="Q3632" s="7"/>
      <c r="R3632" s="7"/>
      <c r="S3632" s="7"/>
      <c r="T3632" s="7"/>
      <c r="U3632" s="7"/>
      <c r="V3632" s="7"/>
      <c r="W3632" s="7"/>
      <c r="X3632" s="7"/>
      <c r="Y3632" s="7"/>
    </row>
    <row r="3633">
      <c r="A3633" s="14" t="s">
        <v>12921</v>
      </c>
      <c r="B3633" s="17" t="s">
        <v>12917</v>
      </c>
      <c r="C3633" s="17" t="s">
        <v>12922</v>
      </c>
      <c r="D3633" s="19" t="s">
        <v>12923</v>
      </c>
      <c r="E3633" s="20" t="s">
        <v>138</v>
      </c>
      <c r="F3633" s="27">
        <v>39000.0</v>
      </c>
      <c r="G3633" s="14">
        <f t="shared" si="1"/>
        <v>20</v>
      </c>
      <c r="H3633" s="23" t="s">
        <v>100</v>
      </c>
      <c r="I3633" s="24" t="s">
        <v>33</v>
      </c>
      <c r="J3633" s="19" t="s">
        <v>53</v>
      </c>
      <c r="K3633" s="14">
        <v>3.0</v>
      </c>
      <c r="L3633" s="14">
        <v>0.0</v>
      </c>
      <c r="M3633" s="25"/>
      <c r="N3633" s="26" t="s">
        <v>21</v>
      </c>
      <c r="O3633" s="7"/>
      <c r="P3633" s="7"/>
      <c r="Q3633" s="7"/>
      <c r="R3633" s="7"/>
      <c r="S3633" s="7"/>
      <c r="T3633" s="7"/>
      <c r="U3633" s="7"/>
      <c r="V3633" s="7"/>
      <c r="W3633" s="7"/>
      <c r="X3633" s="7"/>
      <c r="Y3633" s="7"/>
    </row>
    <row r="3634">
      <c r="A3634" s="14" t="s">
        <v>12924</v>
      </c>
      <c r="B3634" s="17" t="s">
        <v>12917</v>
      </c>
      <c r="C3634" s="17" t="s">
        <v>12925</v>
      </c>
      <c r="D3634" s="19" t="s">
        <v>12926</v>
      </c>
      <c r="E3634" s="20" t="s">
        <v>1291</v>
      </c>
      <c r="F3634" s="21">
        <v>27110.0</v>
      </c>
      <c r="G3634" s="14">
        <f t="shared" si="1"/>
        <v>52</v>
      </c>
      <c r="H3634" s="23" t="s">
        <v>26</v>
      </c>
      <c r="I3634" s="24" t="s">
        <v>27</v>
      </c>
      <c r="J3634" s="19" t="s">
        <v>53</v>
      </c>
      <c r="K3634" s="14">
        <v>3.0</v>
      </c>
      <c r="L3634" s="14">
        <v>0.0</v>
      </c>
      <c r="M3634" s="25"/>
      <c r="N3634" s="26" t="s">
        <v>21</v>
      </c>
      <c r="O3634" s="7"/>
      <c r="P3634" s="7"/>
      <c r="Q3634" s="7"/>
      <c r="R3634" s="7"/>
      <c r="S3634" s="7"/>
      <c r="T3634" s="7"/>
      <c r="U3634" s="7"/>
      <c r="V3634" s="7"/>
      <c r="W3634" s="7"/>
      <c r="X3634" s="7"/>
      <c r="Y3634" s="7"/>
    </row>
    <row r="3635">
      <c r="A3635" s="14" t="s">
        <v>12927</v>
      </c>
      <c r="B3635" s="17" t="s">
        <v>12928</v>
      </c>
      <c r="C3635" s="17" t="s">
        <v>12929</v>
      </c>
      <c r="D3635" s="19" t="s">
        <v>1390</v>
      </c>
      <c r="E3635" s="20" t="s">
        <v>2014</v>
      </c>
      <c r="F3635" s="21">
        <v>21128.0</v>
      </c>
      <c r="G3635" s="14">
        <f t="shared" si="1"/>
        <v>68</v>
      </c>
      <c r="H3635" s="23" t="s">
        <v>26</v>
      </c>
      <c r="I3635" s="24" t="s">
        <v>33</v>
      </c>
      <c r="J3635" s="19" t="s">
        <v>53</v>
      </c>
      <c r="K3635" s="14">
        <v>14.0</v>
      </c>
      <c r="L3635" s="14">
        <v>0.0</v>
      </c>
      <c r="M3635" s="25"/>
      <c r="N3635" s="26" t="s">
        <v>21</v>
      </c>
      <c r="O3635" s="7"/>
      <c r="P3635" s="7"/>
      <c r="Q3635" s="7"/>
      <c r="R3635" s="7"/>
      <c r="S3635" s="7"/>
      <c r="T3635" s="7"/>
      <c r="U3635" s="7"/>
      <c r="V3635" s="7"/>
      <c r="W3635" s="7"/>
      <c r="X3635" s="7"/>
      <c r="Y3635" s="7"/>
    </row>
    <row r="3636">
      <c r="A3636" s="14" t="s">
        <v>12930</v>
      </c>
      <c r="B3636" s="17" t="s">
        <v>12928</v>
      </c>
      <c r="C3636" s="17" t="s">
        <v>12931</v>
      </c>
      <c r="D3636" s="19" t="s">
        <v>6812</v>
      </c>
      <c r="E3636" s="20" t="s">
        <v>632</v>
      </c>
      <c r="F3636" s="21">
        <v>23175.0</v>
      </c>
      <c r="G3636" s="14">
        <f t="shared" si="1"/>
        <v>63</v>
      </c>
      <c r="H3636" s="23" t="s">
        <v>26</v>
      </c>
      <c r="I3636" s="24" t="s">
        <v>27</v>
      </c>
      <c r="J3636" s="19" t="s">
        <v>53</v>
      </c>
      <c r="K3636" s="14">
        <v>14.0</v>
      </c>
      <c r="L3636" s="14">
        <v>0.0</v>
      </c>
      <c r="M3636" s="25"/>
      <c r="N3636" s="26" t="s">
        <v>21</v>
      </c>
      <c r="O3636" s="7"/>
      <c r="P3636" s="7"/>
      <c r="Q3636" s="7"/>
      <c r="R3636" s="7"/>
      <c r="S3636" s="7"/>
      <c r="T3636" s="7"/>
      <c r="U3636" s="7"/>
      <c r="V3636" s="7"/>
      <c r="W3636" s="7"/>
      <c r="X3636" s="7"/>
      <c r="Y3636" s="7"/>
    </row>
    <row r="3637">
      <c r="A3637" s="14" t="s">
        <v>12932</v>
      </c>
      <c r="B3637" s="17" t="s">
        <v>12933</v>
      </c>
      <c r="C3637" s="17" t="s">
        <v>12934</v>
      </c>
      <c r="D3637" s="19" t="s">
        <v>12935</v>
      </c>
      <c r="E3637" s="20" t="s">
        <v>736</v>
      </c>
      <c r="F3637" s="27">
        <v>29140.0</v>
      </c>
      <c r="G3637" s="14">
        <f t="shared" si="1"/>
        <v>47</v>
      </c>
      <c r="H3637" s="23" t="s">
        <v>26</v>
      </c>
      <c r="I3637" s="24" t="s">
        <v>33</v>
      </c>
      <c r="J3637" s="19" t="s">
        <v>282</v>
      </c>
      <c r="K3637" s="14">
        <v>14.0</v>
      </c>
      <c r="L3637" s="14">
        <v>5.0</v>
      </c>
      <c r="M3637" s="25"/>
      <c r="N3637" s="26" t="s">
        <v>21</v>
      </c>
      <c r="O3637" s="7"/>
      <c r="P3637" s="7"/>
      <c r="Q3637" s="7"/>
      <c r="R3637" s="7"/>
      <c r="S3637" s="7"/>
      <c r="T3637" s="7"/>
      <c r="U3637" s="7"/>
      <c r="V3637" s="7"/>
      <c r="W3637" s="7"/>
      <c r="X3637" s="7"/>
      <c r="Y3637" s="7"/>
    </row>
    <row r="3638">
      <c r="A3638" s="14" t="s">
        <v>12936</v>
      </c>
      <c r="B3638" s="17" t="s">
        <v>12933</v>
      </c>
      <c r="C3638" s="17" t="s">
        <v>12937</v>
      </c>
      <c r="D3638" s="19" t="s">
        <v>12938</v>
      </c>
      <c r="E3638" s="20" t="s">
        <v>104</v>
      </c>
      <c r="F3638" s="21">
        <v>34335.0</v>
      </c>
      <c r="G3638" s="14">
        <f t="shared" si="1"/>
        <v>32</v>
      </c>
      <c r="H3638" s="23" t="s">
        <v>26</v>
      </c>
      <c r="I3638" s="24" t="s">
        <v>27</v>
      </c>
      <c r="J3638" s="19" t="s">
        <v>282</v>
      </c>
      <c r="K3638" s="14">
        <v>14.0</v>
      </c>
      <c r="L3638" s="14">
        <v>5.0</v>
      </c>
      <c r="M3638" s="25"/>
      <c r="N3638" s="26" t="s">
        <v>21</v>
      </c>
      <c r="O3638" s="7"/>
      <c r="P3638" s="7"/>
      <c r="Q3638" s="7"/>
      <c r="R3638" s="7"/>
      <c r="S3638" s="7"/>
      <c r="T3638" s="7"/>
      <c r="U3638" s="7"/>
      <c r="V3638" s="7"/>
      <c r="W3638" s="7"/>
      <c r="X3638" s="7"/>
      <c r="Y3638" s="7"/>
    </row>
    <row r="3639">
      <c r="A3639" s="14" t="s">
        <v>12939</v>
      </c>
      <c r="B3639" s="17" t="s">
        <v>12940</v>
      </c>
      <c r="C3639" s="17" t="s">
        <v>12941</v>
      </c>
      <c r="D3639" s="19" t="s">
        <v>12942</v>
      </c>
      <c r="E3639" s="20" t="s">
        <v>12943</v>
      </c>
      <c r="F3639" s="21">
        <v>25020.0</v>
      </c>
      <c r="G3639" s="14">
        <f t="shared" si="1"/>
        <v>58</v>
      </c>
      <c r="H3639" s="23" t="s">
        <v>26</v>
      </c>
      <c r="I3639" s="24" t="s">
        <v>27</v>
      </c>
      <c r="J3639" s="19" t="s">
        <v>58</v>
      </c>
      <c r="K3639" s="14">
        <v>9.0</v>
      </c>
      <c r="L3639" s="14">
        <v>0.0</v>
      </c>
      <c r="M3639" s="25"/>
      <c r="N3639" s="26" t="s">
        <v>21</v>
      </c>
      <c r="O3639" s="7"/>
      <c r="P3639" s="7"/>
      <c r="Q3639" s="7"/>
      <c r="R3639" s="7"/>
      <c r="S3639" s="7"/>
      <c r="T3639" s="7"/>
      <c r="U3639" s="7"/>
      <c r="V3639" s="7"/>
      <c r="W3639" s="7"/>
      <c r="X3639" s="7"/>
      <c r="Y3639" s="7"/>
    </row>
    <row r="3640">
      <c r="A3640" s="14" t="s">
        <v>12944</v>
      </c>
      <c r="B3640" s="17" t="s">
        <v>12945</v>
      </c>
      <c r="C3640" s="17" t="s">
        <v>12946</v>
      </c>
      <c r="D3640" s="19" t="s">
        <v>12947</v>
      </c>
      <c r="E3640" s="20" t="s">
        <v>12948</v>
      </c>
      <c r="F3640" s="21">
        <v>27063.0</v>
      </c>
      <c r="G3640" s="14">
        <f t="shared" si="1"/>
        <v>52</v>
      </c>
      <c r="H3640" s="23" t="s">
        <v>27</v>
      </c>
      <c r="I3640" s="24" t="s">
        <v>27</v>
      </c>
      <c r="J3640" s="19" t="s">
        <v>53</v>
      </c>
      <c r="K3640" s="14">
        <v>25.0</v>
      </c>
      <c r="L3640" s="14">
        <v>0.0</v>
      </c>
      <c r="M3640" s="25"/>
      <c r="N3640" s="26" t="s">
        <v>21</v>
      </c>
      <c r="O3640" s="7"/>
      <c r="P3640" s="7"/>
      <c r="Q3640" s="7"/>
      <c r="R3640" s="7"/>
      <c r="S3640" s="7"/>
      <c r="T3640" s="7"/>
      <c r="U3640" s="7"/>
      <c r="V3640" s="7"/>
      <c r="W3640" s="7"/>
      <c r="X3640" s="7"/>
      <c r="Y3640" s="7"/>
    </row>
    <row r="3641">
      <c r="A3641" s="14" t="s">
        <v>12949</v>
      </c>
      <c r="B3641" s="17" t="s">
        <v>12945</v>
      </c>
      <c r="C3641" s="17" t="s">
        <v>12950</v>
      </c>
      <c r="D3641" s="19" t="s">
        <v>12951</v>
      </c>
      <c r="E3641" s="20" t="s">
        <v>104</v>
      </c>
      <c r="F3641" s="27">
        <v>38651.0</v>
      </c>
      <c r="G3641" s="14">
        <f t="shared" si="1"/>
        <v>21</v>
      </c>
      <c r="H3641" s="23" t="s">
        <v>100</v>
      </c>
      <c r="I3641" s="24" t="s">
        <v>33</v>
      </c>
      <c r="J3641" s="19" t="s">
        <v>53</v>
      </c>
      <c r="K3641" s="14">
        <v>25.0</v>
      </c>
      <c r="L3641" s="14">
        <v>0.0</v>
      </c>
      <c r="M3641" s="25"/>
      <c r="N3641" s="26" t="s">
        <v>21</v>
      </c>
      <c r="O3641" s="7"/>
      <c r="P3641" s="7"/>
      <c r="Q3641" s="7"/>
      <c r="R3641" s="7"/>
      <c r="S3641" s="7"/>
      <c r="T3641" s="7"/>
      <c r="U3641" s="7"/>
      <c r="V3641" s="7"/>
      <c r="W3641" s="7"/>
      <c r="X3641" s="7"/>
      <c r="Y3641" s="7"/>
    </row>
    <row r="3642">
      <c r="A3642" s="14" t="s">
        <v>12952</v>
      </c>
      <c r="B3642" s="17" t="s">
        <v>12945</v>
      </c>
      <c r="C3642" s="17" t="s">
        <v>12953</v>
      </c>
      <c r="D3642" s="19" t="s">
        <v>12954</v>
      </c>
      <c r="E3642" s="20" t="s">
        <v>104</v>
      </c>
      <c r="F3642" s="21">
        <v>35698.0</v>
      </c>
      <c r="G3642" s="14">
        <f t="shared" si="1"/>
        <v>29</v>
      </c>
      <c r="H3642" s="23" t="s">
        <v>100</v>
      </c>
      <c r="I3642" s="24" t="s">
        <v>33</v>
      </c>
      <c r="J3642" s="19" t="s">
        <v>53</v>
      </c>
      <c r="K3642" s="14">
        <v>25.0</v>
      </c>
      <c r="L3642" s="14">
        <v>0.0</v>
      </c>
      <c r="M3642" s="25"/>
      <c r="N3642" s="26" t="s">
        <v>21</v>
      </c>
      <c r="O3642" s="7"/>
      <c r="P3642" s="7"/>
      <c r="Q3642" s="7"/>
      <c r="R3642" s="7"/>
      <c r="S3642" s="7"/>
      <c r="T3642" s="7"/>
      <c r="U3642" s="7"/>
      <c r="V3642" s="7"/>
      <c r="W3642" s="7"/>
      <c r="X3642" s="7"/>
      <c r="Y3642" s="7"/>
    </row>
    <row r="3643">
      <c r="A3643" s="14" t="s">
        <v>12955</v>
      </c>
      <c r="B3643" s="17" t="s">
        <v>12956</v>
      </c>
      <c r="C3643" s="17" t="s">
        <v>12957</v>
      </c>
      <c r="D3643" s="19" t="s">
        <v>12958</v>
      </c>
      <c r="E3643" s="20" t="s">
        <v>53</v>
      </c>
      <c r="F3643" s="21">
        <v>37882.0</v>
      </c>
      <c r="G3643" s="14">
        <f t="shared" si="1"/>
        <v>23</v>
      </c>
      <c r="H3643" s="23" t="s">
        <v>100</v>
      </c>
      <c r="I3643" s="24" t="s">
        <v>33</v>
      </c>
      <c r="J3643" s="19" t="s">
        <v>12959</v>
      </c>
      <c r="K3643" s="14">
        <v>13.0</v>
      </c>
      <c r="L3643" s="14">
        <v>0.0</v>
      </c>
      <c r="M3643" s="25"/>
      <c r="N3643" s="26" t="s">
        <v>21</v>
      </c>
      <c r="O3643" s="7"/>
      <c r="P3643" s="7"/>
      <c r="Q3643" s="7"/>
      <c r="R3643" s="7"/>
      <c r="S3643" s="7"/>
      <c r="T3643" s="7"/>
      <c r="U3643" s="7"/>
      <c r="V3643" s="7"/>
      <c r="W3643" s="7"/>
      <c r="X3643" s="7"/>
      <c r="Y3643" s="7"/>
    </row>
    <row r="3644">
      <c r="A3644" s="14" t="s">
        <v>12960</v>
      </c>
      <c r="B3644" s="17" t="s">
        <v>12956</v>
      </c>
      <c r="C3644" s="17" t="s">
        <v>12961</v>
      </c>
      <c r="D3644" s="19" t="s">
        <v>8782</v>
      </c>
      <c r="E3644" s="20" t="s">
        <v>544</v>
      </c>
      <c r="F3644" s="21">
        <v>24983.0</v>
      </c>
      <c r="G3644" s="14">
        <f t="shared" si="1"/>
        <v>58</v>
      </c>
      <c r="H3644" s="23" t="s">
        <v>26</v>
      </c>
      <c r="I3644" s="24" t="s">
        <v>33</v>
      </c>
      <c r="J3644" s="19" t="s">
        <v>12959</v>
      </c>
      <c r="K3644" s="14">
        <v>13.0</v>
      </c>
      <c r="L3644" s="14">
        <v>0.0</v>
      </c>
      <c r="M3644" s="25"/>
      <c r="N3644" s="26" t="s">
        <v>21</v>
      </c>
      <c r="O3644" s="7"/>
      <c r="P3644" s="7"/>
      <c r="Q3644" s="7"/>
      <c r="R3644" s="7"/>
      <c r="S3644" s="7"/>
      <c r="T3644" s="7"/>
      <c r="U3644" s="7"/>
      <c r="V3644" s="7"/>
      <c r="W3644" s="7"/>
      <c r="X3644" s="7"/>
      <c r="Y3644" s="7"/>
    </row>
    <row r="3645">
      <c r="A3645" s="14" t="s">
        <v>12962</v>
      </c>
      <c r="B3645" s="17" t="s">
        <v>12956</v>
      </c>
      <c r="C3645" s="17" t="s">
        <v>12963</v>
      </c>
      <c r="D3645" s="19" t="s">
        <v>12964</v>
      </c>
      <c r="E3645" s="20" t="s">
        <v>53</v>
      </c>
      <c r="F3645" s="27">
        <v>35363.0</v>
      </c>
      <c r="G3645" s="14">
        <f t="shared" si="1"/>
        <v>30</v>
      </c>
      <c r="H3645" s="23" t="s">
        <v>100</v>
      </c>
      <c r="I3645" s="24" t="s">
        <v>33</v>
      </c>
      <c r="J3645" s="19" t="s">
        <v>12959</v>
      </c>
      <c r="K3645" s="14">
        <v>13.0</v>
      </c>
      <c r="L3645" s="14">
        <v>0.0</v>
      </c>
      <c r="M3645" s="25"/>
      <c r="N3645" s="26" t="s">
        <v>21</v>
      </c>
      <c r="O3645" s="7"/>
      <c r="P3645" s="7"/>
      <c r="Q3645" s="7"/>
      <c r="R3645" s="7"/>
      <c r="S3645" s="7"/>
      <c r="T3645" s="7"/>
      <c r="U3645" s="7"/>
      <c r="V3645" s="7"/>
      <c r="W3645" s="7"/>
      <c r="X3645" s="7"/>
      <c r="Y3645" s="7"/>
    </row>
    <row r="3646">
      <c r="A3646" s="14" t="s">
        <v>12965</v>
      </c>
      <c r="B3646" s="17" t="s">
        <v>12956</v>
      </c>
      <c r="C3646" s="17" t="s">
        <v>12966</v>
      </c>
      <c r="D3646" s="19" t="s">
        <v>3759</v>
      </c>
      <c r="E3646" s="20" t="s">
        <v>53</v>
      </c>
      <c r="F3646" s="21">
        <v>28722.0</v>
      </c>
      <c r="G3646" s="14">
        <f t="shared" si="1"/>
        <v>48</v>
      </c>
      <c r="H3646" s="23" t="s">
        <v>26</v>
      </c>
      <c r="I3646" s="24" t="s">
        <v>27</v>
      </c>
      <c r="J3646" s="19" t="s">
        <v>12959</v>
      </c>
      <c r="K3646" s="14">
        <v>13.0</v>
      </c>
      <c r="L3646" s="14">
        <v>0.0</v>
      </c>
      <c r="M3646" s="25"/>
      <c r="N3646" s="26" t="s">
        <v>21</v>
      </c>
      <c r="O3646" s="7"/>
      <c r="P3646" s="7"/>
      <c r="Q3646" s="7"/>
      <c r="R3646" s="7"/>
      <c r="S3646" s="7"/>
      <c r="T3646" s="7"/>
      <c r="U3646" s="7"/>
      <c r="V3646" s="7"/>
      <c r="W3646" s="7"/>
      <c r="X3646" s="7"/>
      <c r="Y3646" s="7"/>
    </row>
    <row r="3647">
      <c r="A3647" s="14" t="s">
        <v>12967</v>
      </c>
      <c r="B3647" s="17" t="s">
        <v>12968</v>
      </c>
      <c r="C3647" s="17" t="s">
        <v>12969</v>
      </c>
      <c r="D3647" s="19" t="s">
        <v>12970</v>
      </c>
      <c r="E3647" s="20" t="s">
        <v>104</v>
      </c>
      <c r="F3647" s="21">
        <v>39125.0</v>
      </c>
      <c r="G3647" s="14">
        <f t="shared" si="1"/>
        <v>19</v>
      </c>
      <c r="H3647" s="23" t="s">
        <v>100</v>
      </c>
      <c r="I3647" s="24" t="s">
        <v>33</v>
      </c>
      <c r="J3647" s="19" t="s">
        <v>257</v>
      </c>
      <c r="K3647" s="14">
        <v>5.0</v>
      </c>
      <c r="L3647" s="14">
        <v>0.0</v>
      </c>
      <c r="M3647" s="25"/>
      <c r="N3647" s="26" t="s">
        <v>21</v>
      </c>
      <c r="O3647" s="7"/>
      <c r="P3647" s="7"/>
      <c r="Q3647" s="7"/>
      <c r="R3647" s="7"/>
      <c r="S3647" s="7"/>
      <c r="T3647" s="7"/>
      <c r="U3647" s="7"/>
      <c r="V3647" s="7"/>
      <c r="W3647" s="7"/>
      <c r="X3647" s="7"/>
      <c r="Y3647" s="7"/>
    </row>
    <row r="3648">
      <c r="A3648" s="14" t="s">
        <v>12971</v>
      </c>
      <c r="B3648" s="17" t="s">
        <v>12968</v>
      </c>
      <c r="C3648" s="17" t="s">
        <v>12972</v>
      </c>
      <c r="D3648" s="19" t="s">
        <v>12973</v>
      </c>
      <c r="E3648" s="20" t="s">
        <v>219</v>
      </c>
      <c r="F3648" s="21">
        <v>29624.0</v>
      </c>
      <c r="G3648" s="14">
        <f t="shared" si="1"/>
        <v>45</v>
      </c>
      <c r="H3648" s="23" t="s">
        <v>26</v>
      </c>
      <c r="I3648" s="24" t="s">
        <v>33</v>
      </c>
      <c r="J3648" s="19" t="s">
        <v>257</v>
      </c>
      <c r="K3648" s="14">
        <v>5.0</v>
      </c>
      <c r="L3648" s="14">
        <v>0.0</v>
      </c>
      <c r="M3648" s="25"/>
      <c r="N3648" s="26" t="s">
        <v>21</v>
      </c>
      <c r="O3648" s="7"/>
      <c r="P3648" s="7"/>
      <c r="Q3648" s="7"/>
      <c r="R3648" s="7"/>
      <c r="S3648" s="7"/>
      <c r="T3648" s="7"/>
      <c r="U3648" s="7"/>
      <c r="V3648" s="7"/>
      <c r="W3648" s="7"/>
      <c r="X3648" s="7"/>
      <c r="Y3648" s="7"/>
    </row>
    <row r="3649">
      <c r="A3649" s="14" t="s">
        <v>12974</v>
      </c>
      <c r="B3649" s="17" t="s">
        <v>12968</v>
      </c>
      <c r="C3649" s="17" t="s">
        <v>12975</v>
      </c>
      <c r="D3649" s="19" t="s">
        <v>12976</v>
      </c>
      <c r="E3649" s="20" t="s">
        <v>1095</v>
      </c>
      <c r="F3649" s="21">
        <v>38957.0</v>
      </c>
      <c r="G3649" s="14">
        <f t="shared" si="1"/>
        <v>20</v>
      </c>
      <c r="H3649" s="23" t="s">
        <v>100</v>
      </c>
      <c r="I3649" s="24" t="s">
        <v>27</v>
      </c>
      <c r="J3649" s="19" t="s">
        <v>257</v>
      </c>
      <c r="K3649" s="14">
        <v>5.0</v>
      </c>
      <c r="L3649" s="14">
        <v>0.0</v>
      </c>
      <c r="M3649" s="25"/>
      <c r="N3649" s="26" t="s">
        <v>21</v>
      </c>
      <c r="O3649" s="7"/>
      <c r="P3649" s="7"/>
      <c r="Q3649" s="7"/>
      <c r="R3649" s="7"/>
      <c r="S3649" s="7"/>
      <c r="T3649" s="7"/>
      <c r="U3649" s="7"/>
      <c r="V3649" s="7"/>
      <c r="W3649" s="7"/>
      <c r="X3649" s="7"/>
      <c r="Y3649" s="7"/>
    </row>
    <row r="3650">
      <c r="A3650" s="14" t="s">
        <v>12977</v>
      </c>
      <c r="B3650" s="17" t="s">
        <v>12968</v>
      </c>
      <c r="C3650" s="17" t="s">
        <v>12978</v>
      </c>
      <c r="D3650" s="19" t="s">
        <v>12979</v>
      </c>
      <c r="E3650" s="20" t="s">
        <v>219</v>
      </c>
      <c r="F3650" s="27">
        <v>31727.0</v>
      </c>
      <c r="G3650" s="14">
        <f t="shared" si="1"/>
        <v>39</v>
      </c>
      <c r="H3650" s="23" t="s">
        <v>26</v>
      </c>
      <c r="I3650" s="24" t="s">
        <v>27</v>
      </c>
      <c r="J3650" s="19" t="s">
        <v>257</v>
      </c>
      <c r="K3650" s="14">
        <v>5.0</v>
      </c>
      <c r="L3650" s="14">
        <v>0.0</v>
      </c>
      <c r="M3650" s="25"/>
      <c r="N3650" s="26" t="s">
        <v>21</v>
      </c>
      <c r="O3650" s="7"/>
      <c r="P3650" s="7"/>
      <c r="Q3650" s="7"/>
      <c r="R3650" s="7"/>
      <c r="S3650" s="7"/>
      <c r="T3650" s="7"/>
      <c r="U3650" s="7"/>
      <c r="V3650" s="7"/>
      <c r="W3650" s="7"/>
      <c r="X3650" s="7"/>
      <c r="Y3650" s="7"/>
    </row>
    <row r="3651">
      <c r="A3651" s="14" t="s">
        <v>12980</v>
      </c>
      <c r="B3651" s="17" t="s">
        <v>12981</v>
      </c>
      <c r="C3651" s="17" t="s">
        <v>12982</v>
      </c>
      <c r="D3651" s="19" t="s">
        <v>12983</v>
      </c>
      <c r="E3651" s="20" t="s">
        <v>187</v>
      </c>
      <c r="F3651" s="21">
        <v>29314.0</v>
      </c>
      <c r="G3651" s="14">
        <f t="shared" si="1"/>
        <v>46</v>
      </c>
      <c r="H3651" s="23" t="s">
        <v>26</v>
      </c>
      <c r="I3651" s="24" t="s">
        <v>27</v>
      </c>
      <c r="J3651" s="19" t="s">
        <v>328</v>
      </c>
      <c r="K3651" s="14">
        <v>22.0</v>
      </c>
      <c r="L3651" s="14">
        <v>0.0</v>
      </c>
      <c r="M3651" s="25"/>
      <c r="N3651" s="26" t="s">
        <v>21</v>
      </c>
      <c r="O3651" s="7"/>
      <c r="P3651" s="7"/>
      <c r="Q3651" s="7"/>
      <c r="R3651" s="7"/>
      <c r="S3651" s="7"/>
      <c r="T3651" s="7"/>
      <c r="U3651" s="7"/>
      <c r="V3651" s="7"/>
      <c r="W3651" s="7"/>
      <c r="X3651" s="7"/>
      <c r="Y3651" s="7"/>
    </row>
    <row r="3652">
      <c r="A3652" s="14" t="s">
        <v>12984</v>
      </c>
      <c r="B3652" s="17" t="s">
        <v>12981</v>
      </c>
      <c r="C3652" s="17" t="s">
        <v>12985</v>
      </c>
      <c r="D3652" s="19" t="s">
        <v>12986</v>
      </c>
      <c r="E3652" s="20" t="s">
        <v>104</v>
      </c>
      <c r="F3652" s="21">
        <v>38599.0</v>
      </c>
      <c r="G3652" s="14">
        <f t="shared" si="1"/>
        <v>21</v>
      </c>
      <c r="H3652" s="23" t="s">
        <v>100</v>
      </c>
      <c r="I3652" s="24" t="s">
        <v>27</v>
      </c>
      <c r="J3652" s="19" t="s">
        <v>328</v>
      </c>
      <c r="K3652" s="14">
        <v>22.0</v>
      </c>
      <c r="L3652" s="14">
        <v>0.0</v>
      </c>
      <c r="M3652" s="25"/>
      <c r="N3652" s="26" t="s">
        <v>21</v>
      </c>
      <c r="O3652" s="7"/>
      <c r="P3652" s="7"/>
      <c r="Q3652" s="7"/>
      <c r="R3652" s="7"/>
      <c r="S3652" s="7"/>
      <c r="T3652" s="7"/>
      <c r="U3652" s="7"/>
      <c r="V3652" s="7"/>
      <c r="W3652" s="7"/>
      <c r="X3652" s="7"/>
      <c r="Y3652" s="7"/>
    </row>
    <row r="3653">
      <c r="A3653" s="14" t="s">
        <v>12987</v>
      </c>
      <c r="B3653" s="17" t="s">
        <v>12981</v>
      </c>
      <c r="C3653" s="17" t="s">
        <v>12988</v>
      </c>
      <c r="D3653" s="19" t="s">
        <v>12989</v>
      </c>
      <c r="E3653" s="20" t="s">
        <v>650</v>
      </c>
      <c r="F3653" s="21">
        <v>26801.0</v>
      </c>
      <c r="G3653" s="14">
        <f t="shared" si="1"/>
        <v>53</v>
      </c>
      <c r="H3653" s="23" t="s">
        <v>26</v>
      </c>
      <c r="I3653" s="24" t="s">
        <v>33</v>
      </c>
      <c r="J3653" s="19" t="s">
        <v>328</v>
      </c>
      <c r="K3653" s="14">
        <v>22.0</v>
      </c>
      <c r="L3653" s="14">
        <v>0.0</v>
      </c>
      <c r="M3653" s="25"/>
      <c r="N3653" s="26" t="s">
        <v>21</v>
      </c>
      <c r="O3653" s="7"/>
      <c r="P3653" s="7"/>
      <c r="Q3653" s="7"/>
      <c r="R3653" s="7"/>
      <c r="S3653" s="7"/>
      <c r="T3653" s="7"/>
      <c r="U3653" s="7"/>
      <c r="V3653" s="7"/>
      <c r="W3653" s="7"/>
      <c r="X3653" s="7"/>
      <c r="Y3653" s="7"/>
    </row>
    <row r="3654">
      <c r="A3654" s="14" t="s">
        <v>12990</v>
      </c>
      <c r="B3654" s="17" t="s">
        <v>12991</v>
      </c>
      <c r="C3654" s="17" t="s">
        <v>12992</v>
      </c>
      <c r="D3654" s="19" t="s">
        <v>12993</v>
      </c>
      <c r="E3654" s="20" t="s">
        <v>210</v>
      </c>
      <c r="F3654" s="21">
        <v>23161.0</v>
      </c>
      <c r="G3654" s="14">
        <f t="shared" si="1"/>
        <v>63</v>
      </c>
      <c r="H3654" s="23" t="s">
        <v>27</v>
      </c>
      <c r="I3654" s="24" t="s">
        <v>33</v>
      </c>
      <c r="J3654" s="19" t="s">
        <v>53</v>
      </c>
      <c r="K3654" s="14">
        <v>6.0</v>
      </c>
      <c r="L3654" s="14">
        <v>5.0</v>
      </c>
      <c r="M3654" s="25"/>
      <c r="N3654" s="26" t="s">
        <v>21</v>
      </c>
      <c r="O3654" s="7"/>
      <c r="P3654" s="7"/>
      <c r="Q3654" s="7"/>
      <c r="R3654" s="7"/>
      <c r="S3654" s="7"/>
      <c r="T3654" s="7"/>
      <c r="U3654" s="7"/>
      <c r="V3654" s="7"/>
      <c r="W3654" s="7"/>
      <c r="X3654" s="7"/>
      <c r="Y3654" s="7"/>
    </row>
    <row r="3655">
      <c r="A3655" s="14" t="s">
        <v>12994</v>
      </c>
      <c r="B3655" s="17" t="s">
        <v>12995</v>
      </c>
      <c r="C3655" s="17" t="s">
        <v>12996</v>
      </c>
      <c r="D3655" s="19" t="s">
        <v>4823</v>
      </c>
      <c r="E3655" s="20" t="s">
        <v>632</v>
      </c>
      <c r="F3655" s="21">
        <v>25274.0</v>
      </c>
      <c r="G3655" s="14">
        <f t="shared" si="1"/>
        <v>57</v>
      </c>
      <c r="H3655" s="23" t="s">
        <v>27</v>
      </c>
      <c r="I3655" s="24" t="s">
        <v>27</v>
      </c>
      <c r="J3655" s="19" t="s">
        <v>4079</v>
      </c>
      <c r="K3655" s="14">
        <v>22.0</v>
      </c>
      <c r="L3655" s="14">
        <v>0.0</v>
      </c>
      <c r="M3655" s="25"/>
      <c r="N3655" s="26" t="s">
        <v>21</v>
      </c>
      <c r="O3655" s="7"/>
      <c r="P3655" s="7"/>
      <c r="Q3655" s="7"/>
      <c r="R3655" s="7"/>
      <c r="S3655" s="7"/>
      <c r="T3655" s="7"/>
      <c r="U3655" s="7"/>
      <c r="V3655" s="7"/>
      <c r="W3655" s="7"/>
      <c r="X3655" s="7"/>
      <c r="Y3655" s="7"/>
    </row>
    <row r="3656">
      <c r="A3656" s="14" t="s">
        <v>12997</v>
      </c>
      <c r="B3656" s="17" t="s">
        <v>12998</v>
      </c>
      <c r="C3656" s="17" t="s">
        <v>12999</v>
      </c>
      <c r="D3656" s="19" t="s">
        <v>13000</v>
      </c>
      <c r="E3656" s="20" t="s">
        <v>337</v>
      </c>
      <c r="F3656" s="21">
        <v>34039.0</v>
      </c>
      <c r="G3656" s="14">
        <f t="shared" si="1"/>
        <v>33</v>
      </c>
      <c r="H3656" s="23" t="s">
        <v>26</v>
      </c>
      <c r="I3656" s="24" t="s">
        <v>27</v>
      </c>
      <c r="J3656" s="19" t="s">
        <v>328</v>
      </c>
      <c r="K3656" s="14">
        <v>9.0</v>
      </c>
      <c r="L3656" s="14">
        <v>0.0</v>
      </c>
      <c r="M3656" s="25"/>
      <c r="N3656" s="26" t="s">
        <v>21</v>
      </c>
      <c r="O3656" s="7"/>
      <c r="P3656" s="7"/>
      <c r="Q3656" s="7"/>
      <c r="R3656" s="7"/>
      <c r="S3656" s="7"/>
      <c r="T3656" s="7"/>
      <c r="U3656" s="7"/>
      <c r="V3656" s="7"/>
      <c r="W3656" s="7"/>
      <c r="X3656" s="7"/>
      <c r="Y3656" s="7"/>
    </row>
    <row r="3657">
      <c r="A3657" s="14" t="s">
        <v>13001</v>
      </c>
      <c r="B3657" s="17" t="s">
        <v>12998</v>
      </c>
      <c r="C3657" s="17" t="s">
        <v>13002</v>
      </c>
      <c r="D3657" s="19" t="s">
        <v>13003</v>
      </c>
      <c r="E3657" s="20" t="s">
        <v>104</v>
      </c>
      <c r="F3657" s="27">
        <v>33531.0</v>
      </c>
      <c r="G3657" s="14">
        <f t="shared" si="1"/>
        <v>35</v>
      </c>
      <c r="H3657" s="23" t="s">
        <v>26</v>
      </c>
      <c r="I3657" s="24" t="s">
        <v>33</v>
      </c>
      <c r="J3657" s="19" t="s">
        <v>328</v>
      </c>
      <c r="K3657" s="14">
        <v>9.0</v>
      </c>
      <c r="L3657" s="14">
        <v>0.0</v>
      </c>
      <c r="M3657" s="25"/>
      <c r="N3657" s="26" t="s">
        <v>21</v>
      </c>
      <c r="O3657" s="7"/>
      <c r="P3657" s="7"/>
      <c r="Q3657" s="7"/>
      <c r="R3657" s="7"/>
      <c r="S3657" s="7"/>
      <c r="T3657" s="7"/>
      <c r="U3657" s="7"/>
      <c r="V3657" s="7"/>
      <c r="W3657" s="7"/>
      <c r="X3657" s="7"/>
      <c r="Y3657" s="7"/>
    </row>
    <row r="3658">
      <c r="A3658" s="14" t="s">
        <v>13004</v>
      </c>
      <c r="B3658" s="17" t="s">
        <v>13005</v>
      </c>
      <c r="C3658" s="17" t="s">
        <v>13006</v>
      </c>
      <c r="D3658" s="19" t="s">
        <v>13007</v>
      </c>
      <c r="E3658" s="20" t="s">
        <v>104</v>
      </c>
      <c r="F3658" s="21">
        <v>39264.0</v>
      </c>
      <c r="G3658" s="14">
        <f t="shared" si="1"/>
        <v>19</v>
      </c>
      <c r="H3658" s="23" t="s">
        <v>100</v>
      </c>
      <c r="I3658" s="24" t="s">
        <v>33</v>
      </c>
      <c r="J3658" s="19" t="s">
        <v>146</v>
      </c>
      <c r="K3658" s="14">
        <v>6.0</v>
      </c>
      <c r="L3658" s="14">
        <v>0.0</v>
      </c>
      <c r="M3658" s="25"/>
      <c r="N3658" s="26" t="s">
        <v>21</v>
      </c>
      <c r="O3658" s="7"/>
      <c r="P3658" s="7"/>
      <c r="Q3658" s="7"/>
      <c r="R3658" s="7"/>
      <c r="S3658" s="7"/>
      <c r="T3658" s="7"/>
      <c r="U3658" s="7"/>
      <c r="V3658" s="7"/>
      <c r="W3658" s="7"/>
      <c r="X3658" s="7"/>
      <c r="Y3658" s="7"/>
    </row>
    <row r="3659">
      <c r="A3659" s="14" t="s">
        <v>13008</v>
      </c>
      <c r="B3659" s="17" t="s">
        <v>13005</v>
      </c>
      <c r="C3659" s="17" t="s">
        <v>13009</v>
      </c>
      <c r="D3659" s="19" t="s">
        <v>13010</v>
      </c>
      <c r="E3659" s="20" t="s">
        <v>104</v>
      </c>
      <c r="F3659" s="21">
        <v>35977.0</v>
      </c>
      <c r="G3659" s="14">
        <f t="shared" si="1"/>
        <v>28</v>
      </c>
      <c r="H3659" s="23" t="s">
        <v>100</v>
      </c>
      <c r="I3659" s="24" t="s">
        <v>33</v>
      </c>
      <c r="J3659" s="19" t="s">
        <v>146</v>
      </c>
      <c r="K3659" s="14">
        <v>6.0</v>
      </c>
      <c r="L3659" s="14">
        <v>0.0</v>
      </c>
      <c r="M3659" s="25"/>
      <c r="N3659" s="26" t="s">
        <v>21</v>
      </c>
      <c r="O3659" s="7"/>
      <c r="P3659" s="7"/>
      <c r="Q3659" s="7"/>
      <c r="R3659" s="7"/>
      <c r="S3659" s="7"/>
      <c r="T3659" s="7"/>
      <c r="U3659" s="7"/>
      <c r="V3659" s="7"/>
      <c r="W3659" s="7"/>
      <c r="X3659" s="7"/>
      <c r="Y3659" s="7"/>
    </row>
    <row r="3660">
      <c r="A3660" s="14" t="s">
        <v>13011</v>
      </c>
      <c r="B3660" s="17" t="s">
        <v>13005</v>
      </c>
      <c r="C3660" s="38" t="s">
        <v>14432</v>
      </c>
      <c r="D3660" s="19" t="s">
        <v>13013</v>
      </c>
      <c r="E3660" s="20" t="s">
        <v>290</v>
      </c>
      <c r="F3660" s="21">
        <v>23851.0</v>
      </c>
      <c r="G3660" s="14">
        <f t="shared" si="1"/>
        <v>61</v>
      </c>
      <c r="H3660" s="23" t="s">
        <v>26</v>
      </c>
      <c r="I3660" s="24" t="s">
        <v>33</v>
      </c>
      <c r="J3660" s="19" t="s">
        <v>146</v>
      </c>
      <c r="K3660" s="14">
        <v>6.0</v>
      </c>
      <c r="L3660" s="14">
        <v>0.0</v>
      </c>
      <c r="M3660" s="25"/>
      <c r="N3660" s="26" t="s">
        <v>21</v>
      </c>
      <c r="O3660" s="7"/>
      <c r="P3660" s="7"/>
      <c r="Q3660" s="7"/>
      <c r="R3660" s="7"/>
      <c r="S3660" s="7"/>
      <c r="T3660" s="7"/>
      <c r="U3660" s="7"/>
      <c r="V3660" s="7"/>
      <c r="W3660" s="7"/>
      <c r="X3660" s="7"/>
      <c r="Y3660" s="7"/>
    </row>
    <row r="3661">
      <c r="A3661" s="14" t="s">
        <v>13014</v>
      </c>
      <c r="B3661" s="17" t="s">
        <v>13005</v>
      </c>
      <c r="C3661" s="17" t="s">
        <v>13015</v>
      </c>
      <c r="D3661" s="19" t="s">
        <v>3114</v>
      </c>
      <c r="E3661" s="20" t="s">
        <v>290</v>
      </c>
      <c r="F3661" s="21">
        <v>26398.0</v>
      </c>
      <c r="G3661" s="14">
        <f t="shared" si="1"/>
        <v>54</v>
      </c>
      <c r="H3661" s="23" t="s">
        <v>26</v>
      </c>
      <c r="I3661" s="24" t="s">
        <v>27</v>
      </c>
      <c r="J3661" s="19" t="s">
        <v>146</v>
      </c>
      <c r="K3661" s="14">
        <v>6.0</v>
      </c>
      <c r="L3661" s="14">
        <v>0.0</v>
      </c>
      <c r="M3661" s="25"/>
      <c r="N3661" s="26" t="s">
        <v>21</v>
      </c>
      <c r="O3661" s="7"/>
      <c r="P3661" s="7"/>
      <c r="Q3661" s="7"/>
      <c r="R3661" s="7"/>
      <c r="S3661" s="7"/>
      <c r="T3661" s="7"/>
      <c r="U3661" s="7"/>
      <c r="V3661" s="7"/>
      <c r="W3661" s="7"/>
      <c r="X3661" s="7"/>
      <c r="Y3661" s="7"/>
    </row>
    <row r="3662">
      <c r="A3662" s="14" t="s">
        <v>13016</v>
      </c>
      <c r="B3662" s="17" t="s">
        <v>13017</v>
      </c>
      <c r="C3662" s="17" t="s">
        <v>13018</v>
      </c>
      <c r="D3662" s="19" t="s">
        <v>5027</v>
      </c>
      <c r="E3662" s="20" t="s">
        <v>544</v>
      </c>
      <c r="F3662" s="21">
        <v>14722.0</v>
      </c>
      <c r="G3662" s="14">
        <f t="shared" si="1"/>
        <v>86</v>
      </c>
      <c r="H3662" s="23" t="s">
        <v>26</v>
      </c>
      <c r="I3662" s="24" t="s">
        <v>33</v>
      </c>
      <c r="J3662" s="19" t="s">
        <v>517</v>
      </c>
      <c r="K3662" s="14">
        <v>36.0</v>
      </c>
      <c r="L3662" s="14">
        <v>0.0</v>
      </c>
      <c r="M3662" s="25"/>
      <c r="N3662" s="26" t="s">
        <v>21</v>
      </c>
      <c r="O3662" s="7"/>
      <c r="P3662" s="7"/>
      <c r="Q3662" s="7"/>
      <c r="R3662" s="7"/>
      <c r="S3662" s="7"/>
      <c r="T3662" s="7"/>
      <c r="U3662" s="7"/>
      <c r="V3662" s="7"/>
      <c r="W3662" s="7"/>
      <c r="X3662" s="7"/>
      <c r="Y3662" s="7"/>
    </row>
    <row r="3663">
      <c r="A3663" s="14" t="s">
        <v>13019</v>
      </c>
      <c r="B3663" s="17" t="s">
        <v>13017</v>
      </c>
      <c r="C3663" s="17" t="s">
        <v>13020</v>
      </c>
      <c r="D3663" s="19" t="s">
        <v>13021</v>
      </c>
      <c r="E3663" s="20" t="s">
        <v>624</v>
      </c>
      <c r="F3663" s="21">
        <v>22828.0</v>
      </c>
      <c r="G3663" s="14">
        <f t="shared" si="1"/>
        <v>64</v>
      </c>
      <c r="H3663" s="23" t="s">
        <v>26</v>
      </c>
      <c r="I3663" s="24" t="s">
        <v>27</v>
      </c>
      <c r="J3663" s="19" t="s">
        <v>517</v>
      </c>
      <c r="K3663" s="14">
        <v>36.0</v>
      </c>
      <c r="L3663" s="14">
        <v>0.0</v>
      </c>
      <c r="M3663" s="25"/>
      <c r="N3663" s="26" t="s">
        <v>21</v>
      </c>
      <c r="O3663" s="7"/>
      <c r="P3663" s="7"/>
      <c r="Q3663" s="7"/>
      <c r="R3663" s="7"/>
      <c r="S3663" s="7"/>
      <c r="T3663" s="7"/>
      <c r="U3663" s="7"/>
      <c r="V3663" s="7"/>
      <c r="W3663" s="7"/>
      <c r="X3663" s="7"/>
      <c r="Y3663" s="7"/>
    </row>
    <row r="3664">
      <c r="A3664" s="14" t="s">
        <v>13022</v>
      </c>
      <c r="B3664" s="17" t="s">
        <v>13023</v>
      </c>
      <c r="C3664" s="17" t="s">
        <v>13024</v>
      </c>
      <c r="D3664" s="19" t="s">
        <v>13025</v>
      </c>
      <c r="E3664" s="20" t="s">
        <v>104</v>
      </c>
      <c r="F3664" s="21">
        <v>30057.0</v>
      </c>
      <c r="G3664" s="14">
        <f t="shared" si="1"/>
        <v>44</v>
      </c>
      <c r="H3664" s="23" t="s">
        <v>26</v>
      </c>
      <c r="I3664" s="24" t="s">
        <v>33</v>
      </c>
      <c r="J3664" s="19" t="s">
        <v>146</v>
      </c>
      <c r="K3664" s="14">
        <v>6.0</v>
      </c>
      <c r="L3664" s="14">
        <v>0.0</v>
      </c>
      <c r="M3664" s="25"/>
      <c r="N3664" s="26" t="s">
        <v>21</v>
      </c>
      <c r="O3664" s="7"/>
      <c r="P3664" s="7"/>
      <c r="Q3664" s="7"/>
      <c r="R3664" s="7"/>
      <c r="S3664" s="7"/>
      <c r="T3664" s="7"/>
      <c r="U3664" s="7"/>
      <c r="V3664" s="7"/>
      <c r="W3664" s="7"/>
      <c r="X3664" s="7"/>
      <c r="Y3664" s="7"/>
    </row>
    <row r="3665">
      <c r="A3665" s="14" t="s">
        <v>13026</v>
      </c>
      <c r="B3665" s="17" t="s">
        <v>13027</v>
      </c>
      <c r="C3665" s="17" t="s">
        <v>13028</v>
      </c>
      <c r="D3665" s="19" t="s">
        <v>13029</v>
      </c>
      <c r="E3665" s="20" t="s">
        <v>210</v>
      </c>
      <c r="F3665" s="21">
        <v>31275.0</v>
      </c>
      <c r="G3665" s="14">
        <f t="shared" si="1"/>
        <v>41</v>
      </c>
      <c r="H3665" s="23" t="s">
        <v>26</v>
      </c>
      <c r="I3665" s="24" t="s">
        <v>33</v>
      </c>
      <c r="J3665" s="19" t="s">
        <v>146</v>
      </c>
      <c r="K3665" s="14">
        <v>6.0</v>
      </c>
      <c r="L3665" s="14">
        <v>0.0</v>
      </c>
      <c r="M3665" s="25"/>
      <c r="N3665" s="26" t="s">
        <v>21</v>
      </c>
      <c r="O3665" s="7"/>
      <c r="P3665" s="7"/>
      <c r="Q3665" s="7"/>
      <c r="R3665" s="7"/>
      <c r="S3665" s="7"/>
      <c r="T3665" s="7"/>
      <c r="U3665" s="7"/>
      <c r="V3665" s="7"/>
      <c r="W3665" s="7"/>
      <c r="X3665" s="7"/>
      <c r="Y3665" s="7"/>
    </row>
    <row r="3666">
      <c r="A3666" s="14" t="s">
        <v>13030</v>
      </c>
      <c r="B3666" s="17" t="s">
        <v>13027</v>
      </c>
      <c r="C3666" s="17" t="s">
        <v>13031</v>
      </c>
      <c r="D3666" s="19" t="s">
        <v>13032</v>
      </c>
      <c r="E3666" s="20" t="s">
        <v>104</v>
      </c>
      <c r="F3666" s="21">
        <v>38591.0</v>
      </c>
      <c r="G3666" s="14">
        <f t="shared" si="1"/>
        <v>21</v>
      </c>
      <c r="H3666" s="23" t="s">
        <v>100</v>
      </c>
      <c r="I3666" s="24" t="s">
        <v>33</v>
      </c>
      <c r="J3666" s="19" t="s">
        <v>146</v>
      </c>
      <c r="K3666" s="14">
        <v>6.0</v>
      </c>
      <c r="L3666" s="14">
        <v>0.0</v>
      </c>
      <c r="M3666" s="25"/>
      <c r="N3666" s="26" t="s">
        <v>21</v>
      </c>
      <c r="O3666" s="7"/>
      <c r="P3666" s="7"/>
      <c r="Q3666" s="7"/>
      <c r="R3666" s="7"/>
      <c r="S3666" s="7"/>
      <c r="T3666" s="7"/>
      <c r="U3666" s="7"/>
      <c r="V3666" s="7"/>
      <c r="W3666" s="7"/>
      <c r="X3666" s="7"/>
      <c r="Y3666" s="7"/>
    </row>
    <row r="3667">
      <c r="A3667" s="14" t="s">
        <v>13033</v>
      </c>
      <c r="B3667" s="17" t="s">
        <v>13027</v>
      </c>
      <c r="C3667" s="17" t="s">
        <v>13034</v>
      </c>
      <c r="D3667" s="19" t="s">
        <v>1440</v>
      </c>
      <c r="E3667" s="20" t="s">
        <v>104</v>
      </c>
      <c r="F3667" s="21">
        <v>31544.0</v>
      </c>
      <c r="G3667" s="14">
        <f t="shared" si="1"/>
        <v>40</v>
      </c>
      <c r="H3667" s="23" t="s">
        <v>26</v>
      </c>
      <c r="I3667" s="24" t="s">
        <v>27</v>
      </c>
      <c r="J3667" s="19" t="s">
        <v>146</v>
      </c>
      <c r="K3667" s="14">
        <v>6.0</v>
      </c>
      <c r="L3667" s="14">
        <v>0.0</v>
      </c>
      <c r="M3667" s="25"/>
      <c r="N3667" s="26" t="s">
        <v>21</v>
      </c>
      <c r="O3667" s="7"/>
      <c r="P3667" s="7"/>
      <c r="Q3667" s="7"/>
      <c r="R3667" s="7"/>
      <c r="S3667" s="7"/>
      <c r="T3667" s="7"/>
      <c r="U3667" s="7"/>
      <c r="V3667" s="7"/>
      <c r="W3667" s="7"/>
      <c r="X3667" s="7"/>
      <c r="Y3667" s="7"/>
    </row>
    <row r="3668">
      <c r="A3668" s="14" t="s">
        <v>13035</v>
      </c>
      <c r="B3668" s="17" t="s">
        <v>13036</v>
      </c>
      <c r="C3668" s="17" t="s">
        <v>13037</v>
      </c>
      <c r="D3668" s="19" t="s">
        <v>13038</v>
      </c>
      <c r="E3668" s="20" t="s">
        <v>337</v>
      </c>
      <c r="F3668" s="21">
        <v>38222.0</v>
      </c>
      <c r="G3668" s="14">
        <f t="shared" si="1"/>
        <v>22</v>
      </c>
      <c r="H3668" s="23" t="s">
        <v>100</v>
      </c>
      <c r="I3668" s="24" t="s">
        <v>27</v>
      </c>
      <c r="J3668" s="19" t="s">
        <v>146</v>
      </c>
      <c r="K3668" s="14">
        <v>7.0</v>
      </c>
      <c r="L3668" s="14">
        <v>0.0</v>
      </c>
      <c r="M3668" s="25"/>
      <c r="N3668" s="26" t="s">
        <v>21</v>
      </c>
      <c r="O3668" s="7"/>
      <c r="P3668" s="7"/>
      <c r="Q3668" s="7"/>
      <c r="R3668" s="7"/>
      <c r="S3668" s="7"/>
      <c r="T3668" s="7"/>
      <c r="U3668" s="7"/>
      <c r="V3668" s="7"/>
      <c r="W3668" s="7"/>
      <c r="X3668" s="7"/>
      <c r="Y3668" s="7"/>
    </row>
    <row r="3669">
      <c r="A3669" s="14" t="s">
        <v>13039</v>
      </c>
      <c r="B3669" s="17" t="s">
        <v>13036</v>
      </c>
      <c r="C3669" s="17" t="s">
        <v>13040</v>
      </c>
      <c r="D3669" s="19" t="s">
        <v>13041</v>
      </c>
      <c r="E3669" s="20" t="s">
        <v>836</v>
      </c>
      <c r="F3669" s="27">
        <v>28090.0</v>
      </c>
      <c r="G3669" s="14">
        <f t="shared" si="1"/>
        <v>49</v>
      </c>
      <c r="H3669" s="23" t="s">
        <v>26</v>
      </c>
      <c r="I3669" s="24" t="s">
        <v>33</v>
      </c>
      <c r="J3669" s="19" t="s">
        <v>146</v>
      </c>
      <c r="K3669" s="14">
        <v>7.0</v>
      </c>
      <c r="L3669" s="14">
        <v>0.0</v>
      </c>
      <c r="M3669" s="25"/>
      <c r="N3669" s="26" t="s">
        <v>21</v>
      </c>
      <c r="O3669" s="7"/>
      <c r="P3669" s="7"/>
      <c r="Q3669" s="7"/>
      <c r="R3669" s="7"/>
      <c r="S3669" s="7"/>
      <c r="T3669" s="7"/>
      <c r="U3669" s="7"/>
      <c r="V3669" s="7"/>
      <c r="W3669" s="7"/>
      <c r="X3669" s="7"/>
      <c r="Y3669" s="7"/>
    </row>
    <row r="3670">
      <c r="A3670" s="14" t="s">
        <v>13042</v>
      </c>
      <c r="B3670" s="17" t="s">
        <v>13036</v>
      </c>
      <c r="C3670" s="17" t="s">
        <v>13043</v>
      </c>
      <c r="D3670" s="19" t="s">
        <v>13044</v>
      </c>
      <c r="E3670" s="20" t="s">
        <v>53</v>
      </c>
      <c r="F3670" s="21">
        <v>37857.0</v>
      </c>
      <c r="G3670" s="14">
        <f t="shared" si="1"/>
        <v>23</v>
      </c>
      <c r="H3670" s="23" t="s">
        <v>100</v>
      </c>
      <c r="I3670" s="24" t="s">
        <v>27</v>
      </c>
      <c r="J3670" s="19" t="s">
        <v>146</v>
      </c>
      <c r="K3670" s="14">
        <v>7.0</v>
      </c>
      <c r="L3670" s="14">
        <v>0.0</v>
      </c>
      <c r="M3670" s="25"/>
      <c r="N3670" s="26" t="s">
        <v>21</v>
      </c>
      <c r="O3670" s="7"/>
      <c r="P3670" s="7"/>
      <c r="Q3670" s="7"/>
      <c r="R3670" s="7"/>
      <c r="S3670" s="7"/>
      <c r="T3670" s="7"/>
      <c r="U3670" s="7"/>
      <c r="V3670" s="7"/>
      <c r="W3670" s="7"/>
      <c r="X3670" s="7"/>
      <c r="Y3670" s="7"/>
    </row>
    <row r="3671">
      <c r="A3671" s="14" t="s">
        <v>13045</v>
      </c>
      <c r="B3671" s="17" t="s">
        <v>13036</v>
      </c>
      <c r="C3671" s="17" t="s">
        <v>13046</v>
      </c>
      <c r="D3671" s="19" t="s">
        <v>10472</v>
      </c>
      <c r="E3671" s="20" t="s">
        <v>104</v>
      </c>
      <c r="F3671" s="21">
        <v>30934.0</v>
      </c>
      <c r="G3671" s="14">
        <f t="shared" si="1"/>
        <v>42</v>
      </c>
      <c r="H3671" s="23" t="s">
        <v>26</v>
      </c>
      <c r="I3671" s="24" t="s">
        <v>27</v>
      </c>
      <c r="J3671" s="19" t="s">
        <v>146</v>
      </c>
      <c r="K3671" s="14">
        <v>7.0</v>
      </c>
      <c r="L3671" s="14">
        <v>0.0</v>
      </c>
      <c r="M3671" s="25"/>
      <c r="N3671" s="26" t="s">
        <v>21</v>
      </c>
      <c r="O3671" s="7"/>
      <c r="P3671" s="7"/>
      <c r="Q3671" s="7"/>
      <c r="R3671" s="7"/>
      <c r="S3671" s="7"/>
      <c r="T3671" s="7"/>
      <c r="U3671" s="7"/>
      <c r="V3671" s="7"/>
      <c r="W3671" s="7"/>
      <c r="X3671" s="7"/>
      <c r="Y3671" s="7"/>
    </row>
    <row r="3672">
      <c r="A3672" s="14" t="s">
        <v>13047</v>
      </c>
      <c r="B3672" s="17" t="s">
        <v>13048</v>
      </c>
      <c r="C3672" s="17" t="s">
        <v>13049</v>
      </c>
      <c r="D3672" s="19" t="s">
        <v>13050</v>
      </c>
      <c r="E3672" s="20" t="s">
        <v>104</v>
      </c>
      <c r="F3672" s="27">
        <v>39050.0</v>
      </c>
      <c r="G3672" s="14">
        <f t="shared" si="1"/>
        <v>19</v>
      </c>
      <c r="H3672" s="23" t="s">
        <v>100</v>
      </c>
      <c r="I3672" s="24" t="s">
        <v>33</v>
      </c>
      <c r="J3672" s="19" t="s">
        <v>362</v>
      </c>
      <c r="K3672" s="14">
        <v>26.0</v>
      </c>
      <c r="L3672" s="14">
        <v>0.0</v>
      </c>
      <c r="M3672" s="25"/>
      <c r="N3672" s="26" t="s">
        <v>21</v>
      </c>
      <c r="O3672" s="7"/>
      <c r="P3672" s="7"/>
      <c r="Q3672" s="7"/>
      <c r="R3672" s="7"/>
      <c r="S3672" s="7"/>
      <c r="T3672" s="7"/>
      <c r="U3672" s="7"/>
      <c r="V3672" s="7"/>
      <c r="W3672" s="7"/>
      <c r="X3672" s="7"/>
      <c r="Y3672" s="7"/>
    </row>
    <row r="3673">
      <c r="A3673" s="14" t="s">
        <v>13051</v>
      </c>
      <c r="B3673" s="17" t="s">
        <v>13048</v>
      </c>
      <c r="C3673" s="17" t="s">
        <v>13052</v>
      </c>
      <c r="D3673" s="19" t="s">
        <v>5852</v>
      </c>
      <c r="E3673" s="20" t="s">
        <v>104</v>
      </c>
      <c r="F3673" s="21">
        <v>31293.0</v>
      </c>
      <c r="G3673" s="14">
        <f t="shared" si="1"/>
        <v>41</v>
      </c>
      <c r="H3673" s="23" t="s">
        <v>26</v>
      </c>
      <c r="I3673" s="24" t="s">
        <v>33</v>
      </c>
      <c r="J3673" s="19" t="s">
        <v>362</v>
      </c>
      <c r="K3673" s="14">
        <v>26.0</v>
      </c>
      <c r="L3673" s="14">
        <v>0.0</v>
      </c>
      <c r="M3673" s="25"/>
      <c r="N3673" s="26" t="s">
        <v>21</v>
      </c>
      <c r="O3673" s="7"/>
      <c r="P3673" s="7"/>
      <c r="Q3673" s="7"/>
      <c r="R3673" s="7"/>
      <c r="S3673" s="7"/>
      <c r="T3673" s="7"/>
      <c r="U3673" s="7"/>
      <c r="V3673" s="7"/>
      <c r="W3673" s="7"/>
      <c r="X3673" s="7"/>
      <c r="Y3673" s="7"/>
    </row>
    <row r="3674">
      <c r="A3674" s="14" t="s">
        <v>13053</v>
      </c>
      <c r="B3674" s="17" t="s">
        <v>13048</v>
      </c>
      <c r="C3674" s="17" t="s">
        <v>13054</v>
      </c>
      <c r="D3674" s="19" t="s">
        <v>13055</v>
      </c>
      <c r="E3674" s="20" t="s">
        <v>104</v>
      </c>
      <c r="F3674" s="27">
        <v>33219.0</v>
      </c>
      <c r="G3674" s="14">
        <f t="shared" si="1"/>
        <v>35</v>
      </c>
      <c r="H3674" s="23" t="s">
        <v>26</v>
      </c>
      <c r="I3674" s="24" t="s">
        <v>27</v>
      </c>
      <c r="J3674" s="19" t="s">
        <v>362</v>
      </c>
      <c r="K3674" s="14">
        <v>26.0</v>
      </c>
      <c r="L3674" s="14">
        <v>0.0</v>
      </c>
      <c r="M3674" s="25"/>
      <c r="N3674" s="26" t="s">
        <v>21</v>
      </c>
      <c r="O3674" s="7"/>
      <c r="P3674" s="7"/>
      <c r="Q3674" s="7"/>
      <c r="R3674" s="7"/>
      <c r="S3674" s="7"/>
      <c r="T3674" s="7"/>
      <c r="U3674" s="7"/>
      <c r="V3674" s="7"/>
      <c r="W3674" s="7"/>
      <c r="X3674" s="7"/>
      <c r="Y3674" s="7"/>
    </row>
    <row r="3675">
      <c r="A3675" s="14" t="s">
        <v>13056</v>
      </c>
      <c r="B3675" s="17" t="s">
        <v>13057</v>
      </c>
      <c r="C3675" s="17" t="s">
        <v>13058</v>
      </c>
      <c r="D3675" s="19" t="s">
        <v>13059</v>
      </c>
      <c r="E3675" s="20" t="s">
        <v>195</v>
      </c>
      <c r="F3675" s="21">
        <v>27440.0</v>
      </c>
      <c r="G3675" s="14">
        <f t="shared" si="1"/>
        <v>51</v>
      </c>
      <c r="H3675" s="23" t="s">
        <v>26</v>
      </c>
      <c r="I3675" s="24" t="s">
        <v>33</v>
      </c>
      <c r="J3675" s="19" t="s">
        <v>757</v>
      </c>
      <c r="K3675" s="14">
        <v>10.0</v>
      </c>
      <c r="L3675" s="14">
        <v>0.0</v>
      </c>
      <c r="M3675" s="25"/>
      <c r="N3675" s="26" t="s">
        <v>21</v>
      </c>
      <c r="O3675" s="7"/>
      <c r="P3675" s="7"/>
      <c r="Q3675" s="7"/>
      <c r="R3675" s="7"/>
      <c r="S3675" s="7"/>
      <c r="T3675" s="7"/>
      <c r="U3675" s="7"/>
      <c r="V3675" s="7"/>
      <c r="W3675" s="7"/>
      <c r="X3675" s="7"/>
      <c r="Y3675" s="7"/>
    </row>
    <row r="3676">
      <c r="A3676" s="14" t="s">
        <v>13060</v>
      </c>
      <c r="B3676" s="17" t="s">
        <v>13057</v>
      </c>
      <c r="C3676" s="17" t="s">
        <v>13061</v>
      </c>
      <c r="D3676" s="19" t="s">
        <v>13062</v>
      </c>
      <c r="E3676" s="20" t="s">
        <v>544</v>
      </c>
      <c r="F3676" s="27">
        <v>27717.0</v>
      </c>
      <c r="G3676" s="14">
        <f t="shared" si="1"/>
        <v>50</v>
      </c>
      <c r="H3676" s="23" t="s">
        <v>26</v>
      </c>
      <c r="I3676" s="24" t="s">
        <v>27</v>
      </c>
      <c r="J3676" s="19" t="s">
        <v>757</v>
      </c>
      <c r="K3676" s="14">
        <v>10.0</v>
      </c>
      <c r="L3676" s="14">
        <v>0.0</v>
      </c>
      <c r="M3676" s="25"/>
      <c r="N3676" s="26" t="s">
        <v>21</v>
      </c>
      <c r="O3676" s="7"/>
      <c r="P3676" s="7"/>
      <c r="Q3676" s="7"/>
      <c r="R3676" s="7"/>
      <c r="S3676" s="7"/>
      <c r="T3676" s="7"/>
      <c r="U3676" s="7"/>
      <c r="V3676" s="7"/>
      <c r="W3676" s="7"/>
      <c r="X3676" s="7"/>
      <c r="Y3676" s="7"/>
    </row>
    <row r="3677">
      <c r="A3677" s="14" t="s">
        <v>13063</v>
      </c>
      <c r="B3677" s="17" t="s">
        <v>13064</v>
      </c>
      <c r="C3677" s="17" t="s">
        <v>13065</v>
      </c>
      <c r="D3677" s="19" t="s">
        <v>13066</v>
      </c>
      <c r="E3677" s="20" t="s">
        <v>231</v>
      </c>
      <c r="F3677" s="21">
        <v>30287.0</v>
      </c>
      <c r="G3677" s="14">
        <f t="shared" si="1"/>
        <v>43</v>
      </c>
      <c r="H3677" s="23" t="s">
        <v>26</v>
      </c>
      <c r="I3677" s="24" t="s">
        <v>33</v>
      </c>
      <c r="J3677" s="19" t="s">
        <v>146</v>
      </c>
      <c r="K3677" s="14">
        <v>6.0</v>
      </c>
      <c r="L3677" s="14">
        <v>0.0</v>
      </c>
      <c r="M3677" s="25"/>
      <c r="N3677" s="26" t="s">
        <v>21</v>
      </c>
      <c r="O3677" s="7"/>
      <c r="P3677" s="7"/>
      <c r="Q3677" s="7"/>
      <c r="R3677" s="7"/>
      <c r="S3677" s="7"/>
      <c r="T3677" s="7"/>
      <c r="U3677" s="7"/>
      <c r="V3677" s="7"/>
      <c r="W3677" s="7"/>
      <c r="X3677" s="7"/>
      <c r="Y3677" s="7"/>
    </row>
    <row r="3678">
      <c r="A3678" s="14" t="s">
        <v>13067</v>
      </c>
      <c r="B3678" s="17" t="s">
        <v>13064</v>
      </c>
      <c r="C3678" s="17" t="s">
        <v>13068</v>
      </c>
      <c r="D3678" s="19" t="s">
        <v>286</v>
      </c>
      <c r="E3678" s="20" t="s">
        <v>231</v>
      </c>
      <c r="F3678" s="21">
        <v>30719.0</v>
      </c>
      <c r="G3678" s="14">
        <f t="shared" si="1"/>
        <v>42</v>
      </c>
      <c r="H3678" s="23" t="s">
        <v>26</v>
      </c>
      <c r="I3678" s="24" t="s">
        <v>27</v>
      </c>
      <c r="J3678" s="19" t="s">
        <v>146</v>
      </c>
      <c r="K3678" s="14">
        <v>6.0</v>
      </c>
      <c r="L3678" s="14">
        <v>0.0</v>
      </c>
      <c r="M3678" s="25"/>
      <c r="N3678" s="26" t="s">
        <v>21</v>
      </c>
      <c r="O3678" s="7"/>
      <c r="P3678" s="7"/>
      <c r="Q3678" s="7"/>
      <c r="R3678" s="7"/>
      <c r="S3678" s="7"/>
      <c r="T3678" s="7"/>
      <c r="U3678" s="7"/>
      <c r="V3678" s="7"/>
      <c r="W3678" s="7"/>
      <c r="X3678" s="7"/>
      <c r="Y3678" s="7"/>
    </row>
    <row r="3679">
      <c r="A3679" s="14" t="s">
        <v>13069</v>
      </c>
      <c r="B3679" s="17" t="s">
        <v>13070</v>
      </c>
      <c r="C3679" s="17" t="s">
        <v>13071</v>
      </c>
      <c r="D3679" s="19" t="s">
        <v>13072</v>
      </c>
      <c r="E3679" s="20" t="s">
        <v>650</v>
      </c>
      <c r="F3679" s="21">
        <v>16165.0</v>
      </c>
      <c r="G3679" s="14">
        <f t="shared" si="1"/>
        <v>82</v>
      </c>
      <c r="H3679" s="23" t="s">
        <v>26</v>
      </c>
      <c r="I3679" s="24" t="s">
        <v>27</v>
      </c>
      <c r="J3679" s="19" t="s">
        <v>146</v>
      </c>
      <c r="K3679" s="14">
        <v>36.0</v>
      </c>
      <c r="L3679" s="14">
        <v>1.0</v>
      </c>
      <c r="M3679" s="25"/>
      <c r="N3679" s="26" t="s">
        <v>21</v>
      </c>
      <c r="O3679" s="7"/>
      <c r="P3679" s="7"/>
      <c r="Q3679" s="7"/>
      <c r="R3679" s="7"/>
      <c r="S3679" s="7"/>
      <c r="T3679" s="7"/>
      <c r="U3679" s="7"/>
      <c r="V3679" s="7"/>
      <c r="W3679" s="7"/>
      <c r="X3679" s="7"/>
      <c r="Y3679" s="7"/>
    </row>
    <row r="3680">
      <c r="A3680" s="14" t="s">
        <v>13073</v>
      </c>
      <c r="B3680" s="17" t="s">
        <v>13074</v>
      </c>
      <c r="C3680" s="17" t="s">
        <v>13075</v>
      </c>
      <c r="D3680" s="19" t="s">
        <v>7385</v>
      </c>
      <c r="E3680" s="20" t="s">
        <v>104</v>
      </c>
      <c r="F3680" s="27">
        <v>29579.0</v>
      </c>
      <c r="G3680" s="14">
        <f t="shared" si="1"/>
        <v>45</v>
      </c>
      <c r="H3680" s="23" t="s">
        <v>26</v>
      </c>
      <c r="I3680" s="24" t="s">
        <v>33</v>
      </c>
      <c r="J3680" s="19" t="s">
        <v>68</v>
      </c>
      <c r="K3680" s="14">
        <v>35.0</v>
      </c>
      <c r="L3680" s="14">
        <v>0.0</v>
      </c>
      <c r="M3680" s="25"/>
      <c r="N3680" s="26" t="s">
        <v>21</v>
      </c>
      <c r="O3680" s="7"/>
      <c r="P3680" s="7"/>
      <c r="Q3680" s="7"/>
      <c r="R3680" s="7"/>
      <c r="S3680" s="7"/>
      <c r="T3680" s="7"/>
      <c r="U3680" s="7"/>
      <c r="V3680" s="7"/>
      <c r="W3680" s="7"/>
      <c r="X3680" s="7"/>
      <c r="Y3680" s="7"/>
    </row>
    <row r="3681">
      <c r="A3681" s="14" t="s">
        <v>13076</v>
      </c>
      <c r="B3681" s="17" t="s">
        <v>13074</v>
      </c>
      <c r="C3681" s="17" t="s">
        <v>13077</v>
      </c>
      <c r="D3681" s="19" t="s">
        <v>13078</v>
      </c>
      <c r="E3681" s="20" t="s">
        <v>104</v>
      </c>
      <c r="F3681" s="21">
        <v>32887.0</v>
      </c>
      <c r="G3681" s="14">
        <f t="shared" si="1"/>
        <v>36</v>
      </c>
      <c r="H3681" s="23" t="s">
        <v>26</v>
      </c>
      <c r="I3681" s="24" t="s">
        <v>27</v>
      </c>
      <c r="J3681" s="19" t="s">
        <v>68</v>
      </c>
      <c r="K3681" s="14">
        <v>35.0</v>
      </c>
      <c r="L3681" s="14">
        <v>0.0</v>
      </c>
      <c r="M3681" s="25"/>
      <c r="N3681" s="26" t="s">
        <v>21</v>
      </c>
      <c r="O3681" s="7"/>
      <c r="P3681" s="7"/>
      <c r="Q3681" s="7"/>
      <c r="R3681" s="7"/>
      <c r="S3681" s="7"/>
      <c r="T3681" s="7"/>
      <c r="U3681" s="7"/>
      <c r="V3681" s="7"/>
      <c r="W3681" s="7"/>
      <c r="X3681" s="7"/>
      <c r="Y3681" s="7"/>
    </row>
    <row r="3682">
      <c r="A3682" s="14" t="s">
        <v>13079</v>
      </c>
      <c r="B3682" s="17" t="s">
        <v>13080</v>
      </c>
      <c r="C3682" s="17" t="s">
        <v>13081</v>
      </c>
      <c r="D3682" s="19" t="s">
        <v>13082</v>
      </c>
      <c r="E3682" s="20" t="s">
        <v>13083</v>
      </c>
      <c r="F3682" s="21">
        <v>30902.0</v>
      </c>
      <c r="G3682" s="14">
        <f t="shared" si="1"/>
        <v>42</v>
      </c>
      <c r="H3682" s="23" t="s">
        <v>27</v>
      </c>
      <c r="I3682" s="24" t="s">
        <v>27</v>
      </c>
      <c r="J3682" s="19" t="s">
        <v>328</v>
      </c>
      <c r="K3682" s="14">
        <v>22.0</v>
      </c>
      <c r="L3682" s="14">
        <v>5.0</v>
      </c>
      <c r="M3682" s="28" t="s">
        <v>1483</v>
      </c>
      <c r="N3682" s="26" t="s">
        <v>21</v>
      </c>
      <c r="O3682" s="7"/>
      <c r="P3682" s="7"/>
      <c r="Q3682" s="7"/>
      <c r="R3682" s="7"/>
      <c r="S3682" s="7"/>
      <c r="T3682" s="7"/>
      <c r="U3682" s="7"/>
      <c r="V3682" s="7"/>
      <c r="W3682" s="7"/>
      <c r="X3682" s="7"/>
      <c r="Y3682" s="7"/>
    </row>
    <row r="3683">
      <c r="A3683" s="14" t="s">
        <v>13084</v>
      </c>
      <c r="B3683" s="17" t="s">
        <v>13085</v>
      </c>
      <c r="C3683" s="17" t="s">
        <v>13086</v>
      </c>
      <c r="D3683" s="19" t="s">
        <v>13087</v>
      </c>
      <c r="E3683" s="20" t="s">
        <v>1095</v>
      </c>
      <c r="F3683" s="21">
        <v>18362.0</v>
      </c>
      <c r="G3683" s="14">
        <f t="shared" si="1"/>
        <v>76</v>
      </c>
      <c r="H3683" s="23" t="s">
        <v>27</v>
      </c>
      <c r="I3683" s="24" t="s">
        <v>27</v>
      </c>
      <c r="J3683" s="19" t="s">
        <v>328</v>
      </c>
      <c r="K3683" s="14">
        <v>22.0</v>
      </c>
      <c r="L3683" s="14">
        <v>0.0</v>
      </c>
      <c r="M3683" s="25"/>
      <c r="N3683" s="26" t="s">
        <v>21</v>
      </c>
      <c r="O3683" s="7"/>
      <c r="P3683" s="7"/>
      <c r="Q3683" s="7"/>
      <c r="R3683" s="7"/>
      <c r="S3683" s="7"/>
      <c r="T3683" s="7"/>
      <c r="U3683" s="7"/>
      <c r="V3683" s="7"/>
      <c r="W3683" s="7"/>
      <c r="X3683" s="7"/>
      <c r="Y3683" s="7"/>
    </row>
    <row r="3684">
      <c r="A3684" s="14" t="s">
        <v>13088</v>
      </c>
      <c r="B3684" s="17" t="s">
        <v>13089</v>
      </c>
      <c r="C3684" s="17" t="s">
        <v>13090</v>
      </c>
      <c r="D3684" s="19" t="s">
        <v>13091</v>
      </c>
      <c r="E3684" s="20" t="s">
        <v>13092</v>
      </c>
      <c r="F3684" s="21">
        <v>30554.0</v>
      </c>
      <c r="G3684" s="14">
        <f t="shared" si="1"/>
        <v>43</v>
      </c>
      <c r="H3684" s="23" t="s">
        <v>26</v>
      </c>
      <c r="I3684" s="24" t="s">
        <v>27</v>
      </c>
      <c r="J3684" s="19" t="s">
        <v>146</v>
      </c>
      <c r="K3684" s="14">
        <v>11.0</v>
      </c>
      <c r="L3684" s="14">
        <v>0.0</v>
      </c>
      <c r="M3684" s="25"/>
      <c r="N3684" s="26" t="s">
        <v>21</v>
      </c>
      <c r="O3684" s="7"/>
      <c r="P3684" s="7"/>
      <c r="Q3684" s="7"/>
      <c r="R3684" s="7"/>
      <c r="S3684" s="7"/>
      <c r="T3684" s="7"/>
      <c r="U3684" s="7"/>
      <c r="V3684" s="7"/>
      <c r="W3684" s="7"/>
      <c r="X3684" s="7"/>
      <c r="Y3684" s="7"/>
    </row>
    <row r="3685">
      <c r="A3685" s="14" t="s">
        <v>13093</v>
      </c>
      <c r="B3685" s="17" t="s">
        <v>13089</v>
      </c>
      <c r="C3685" s="17" t="s">
        <v>13094</v>
      </c>
      <c r="D3685" s="19" t="s">
        <v>5845</v>
      </c>
      <c r="E3685" s="20" t="s">
        <v>880</v>
      </c>
      <c r="F3685" s="21">
        <v>29402.0</v>
      </c>
      <c r="G3685" s="14">
        <f t="shared" si="1"/>
        <v>46</v>
      </c>
      <c r="H3685" s="23" t="s">
        <v>26</v>
      </c>
      <c r="I3685" s="24" t="s">
        <v>33</v>
      </c>
      <c r="J3685" s="19" t="s">
        <v>146</v>
      </c>
      <c r="K3685" s="14">
        <v>11.0</v>
      </c>
      <c r="L3685" s="14">
        <v>0.0</v>
      </c>
      <c r="M3685" s="25"/>
      <c r="N3685" s="26" t="s">
        <v>21</v>
      </c>
      <c r="O3685" s="7"/>
      <c r="P3685" s="7"/>
      <c r="Q3685" s="7"/>
      <c r="R3685" s="7"/>
      <c r="S3685" s="7"/>
      <c r="T3685" s="7"/>
      <c r="U3685" s="7"/>
      <c r="V3685" s="7"/>
      <c r="W3685" s="7"/>
      <c r="X3685" s="7"/>
      <c r="Y3685" s="7"/>
    </row>
    <row r="3686">
      <c r="A3686" s="14" t="s">
        <v>13095</v>
      </c>
      <c r="B3686" s="17" t="s">
        <v>13096</v>
      </c>
      <c r="C3686" s="17" t="s">
        <v>13097</v>
      </c>
      <c r="D3686" s="19" t="s">
        <v>13098</v>
      </c>
      <c r="E3686" s="20" t="s">
        <v>53</v>
      </c>
      <c r="F3686" s="21">
        <v>35923.0</v>
      </c>
      <c r="G3686" s="14">
        <f t="shared" si="1"/>
        <v>28</v>
      </c>
      <c r="H3686" s="23" t="s">
        <v>100</v>
      </c>
      <c r="I3686" s="24" t="s">
        <v>33</v>
      </c>
      <c r="J3686" s="19" t="s">
        <v>68</v>
      </c>
      <c r="K3686" s="14">
        <v>32.0</v>
      </c>
      <c r="L3686" s="14">
        <v>0.0</v>
      </c>
      <c r="M3686" s="25"/>
      <c r="N3686" s="26" t="s">
        <v>21</v>
      </c>
      <c r="O3686" s="7"/>
      <c r="P3686" s="7"/>
      <c r="Q3686" s="7"/>
      <c r="R3686" s="7"/>
      <c r="S3686" s="7"/>
      <c r="T3686" s="7"/>
      <c r="U3686" s="7"/>
      <c r="V3686" s="7"/>
      <c r="W3686" s="7"/>
      <c r="X3686" s="7"/>
      <c r="Y3686" s="7"/>
    </row>
    <row r="3687">
      <c r="A3687" s="14" t="s">
        <v>13099</v>
      </c>
      <c r="B3687" s="17" t="s">
        <v>13096</v>
      </c>
      <c r="C3687" s="17" t="s">
        <v>13100</v>
      </c>
      <c r="D3687" s="19" t="s">
        <v>13101</v>
      </c>
      <c r="E3687" s="20" t="s">
        <v>67</v>
      </c>
      <c r="F3687" s="21">
        <v>23801.0</v>
      </c>
      <c r="G3687" s="14">
        <f t="shared" si="1"/>
        <v>61</v>
      </c>
      <c r="H3687" s="23" t="s">
        <v>26</v>
      </c>
      <c r="I3687" s="24" t="s">
        <v>27</v>
      </c>
      <c r="J3687" s="19" t="s">
        <v>68</v>
      </c>
      <c r="K3687" s="14">
        <v>32.0</v>
      </c>
      <c r="L3687" s="14">
        <v>0.0</v>
      </c>
      <c r="M3687" s="25"/>
      <c r="N3687" s="26" t="s">
        <v>21</v>
      </c>
      <c r="O3687" s="7"/>
      <c r="P3687" s="7"/>
      <c r="Q3687" s="7"/>
      <c r="R3687" s="7"/>
      <c r="S3687" s="7"/>
      <c r="T3687" s="7"/>
      <c r="U3687" s="7"/>
      <c r="V3687" s="7"/>
      <c r="W3687" s="7"/>
      <c r="X3687" s="7"/>
      <c r="Y3687" s="7"/>
    </row>
    <row r="3688">
      <c r="A3688" s="14" t="s">
        <v>13102</v>
      </c>
      <c r="B3688" s="17" t="s">
        <v>13096</v>
      </c>
      <c r="C3688" s="17" t="s">
        <v>13103</v>
      </c>
      <c r="D3688" s="19" t="s">
        <v>13104</v>
      </c>
      <c r="E3688" s="20" t="s">
        <v>67</v>
      </c>
      <c r="F3688" s="21">
        <v>23208.0</v>
      </c>
      <c r="G3688" s="14">
        <f t="shared" si="1"/>
        <v>63</v>
      </c>
      <c r="H3688" s="23" t="s">
        <v>26</v>
      </c>
      <c r="I3688" s="24" t="s">
        <v>33</v>
      </c>
      <c r="J3688" s="19" t="s">
        <v>68</v>
      </c>
      <c r="K3688" s="14">
        <v>32.0</v>
      </c>
      <c r="L3688" s="14">
        <v>0.0</v>
      </c>
      <c r="M3688" s="25"/>
      <c r="N3688" s="26" t="s">
        <v>21</v>
      </c>
      <c r="O3688" s="7"/>
      <c r="P3688" s="7"/>
      <c r="Q3688" s="7"/>
      <c r="R3688" s="7"/>
      <c r="S3688" s="7"/>
      <c r="T3688" s="7"/>
      <c r="U3688" s="7"/>
      <c r="V3688" s="7"/>
      <c r="W3688" s="7"/>
      <c r="X3688" s="7"/>
      <c r="Y3688" s="7"/>
    </row>
    <row r="3689">
      <c r="A3689" s="14" t="s">
        <v>13105</v>
      </c>
      <c r="B3689" s="17" t="s">
        <v>13106</v>
      </c>
      <c r="C3689" s="17" t="s">
        <v>13107</v>
      </c>
      <c r="D3689" s="19" t="s">
        <v>13108</v>
      </c>
      <c r="E3689" s="20" t="s">
        <v>104</v>
      </c>
      <c r="F3689" s="21">
        <v>37134.0</v>
      </c>
      <c r="G3689" s="14">
        <f t="shared" si="1"/>
        <v>25</v>
      </c>
      <c r="H3689" s="23" t="s">
        <v>100</v>
      </c>
      <c r="I3689" s="24" t="s">
        <v>33</v>
      </c>
      <c r="J3689" s="19" t="s">
        <v>5770</v>
      </c>
      <c r="K3689" s="14">
        <v>25.0</v>
      </c>
      <c r="L3689" s="14">
        <v>0.0</v>
      </c>
      <c r="M3689" s="25"/>
      <c r="N3689" s="26" t="s">
        <v>21</v>
      </c>
      <c r="O3689" s="7"/>
      <c r="P3689" s="7"/>
      <c r="Q3689" s="7"/>
      <c r="R3689" s="7"/>
      <c r="S3689" s="7"/>
      <c r="T3689" s="7"/>
      <c r="U3689" s="7"/>
      <c r="V3689" s="7"/>
      <c r="W3689" s="7"/>
      <c r="X3689" s="7"/>
      <c r="Y3689" s="7"/>
    </row>
    <row r="3690">
      <c r="A3690" s="14" t="s">
        <v>13109</v>
      </c>
      <c r="B3690" s="17" t="s">
        <v>13106</v>
      </c>
      <c r="C3690" s="17" t="s">
        <v>13110</v>
      </c>
      <c r="D3690" s="19" t="s">
        <v>13111</v>
      </c>
      <c r="E3690" s="20" t="s">
        <v>1291</v>
      </c>
      <c r="F3690" s="21">
        <v>27435.0</v>
      </c>
      <c r="G3690" s="14">
        <f t="shared" si="1"/>
        <v>51</v>
      </c>
      <c r="H3690" s="23" t="s">
        <v>26</v>
      </c>
      <c r="I3690" s="24" t="s">
        <v>27</v>
      </c>
      <c r="J3690" s="19" t="s">
        <v>5770</v>
      </c>
      <c r="K3690" s="14">
        <v>25.0</v>
      </c>
      <c r="L3690" s="14">
        <v>0.0</v>
      </c>
      <c r="M3690" s="25"/>
      <c r="N3690" s="26" t="s">
        <v>21</v>
      </c>
      <c r="O3690" s="7"/>
      <c r="P3690" s="7"/>
      <c r="Q3690" s="7"/>
      <c r="R3690" s="7"/>
      <c r="S3690" s="7"/>
      <c r="T3690" s="7"/>
      <c r="U3690" s="7"/>
      <c r="V3690" s="7"/>
      <c r="W3690" s="7"/>
      <c r="X3690" s="7"/>
      <c r="Y3690" s="7"/>
    </row>
    <row r="3691">
      <c r="A3691" s="14" t="s">
        <v>13112</v>
      </c>
      <c r="B3691" s="17" t="s">
        <v>13106</v>
      </c>
      <c r="C3691" s="17" t="s">
        <v>13113</v>
      </c>
      <c r="D3691" s="19" t="s">
        <v>684</v>
      </c>
      <c r="E3691" s="20" t="s">
        <v>429</v>
      </c>
      <c r="F3691" s="21">
        <v>24178.0</v>
      </c>
      <c r="G3691" s="14">
        <f t="shared" si="1"/>
        <v>60</v>
      </c>
      <c r="H3691" s="23" t="s">
        <v>26</v>
      </c>
      <c r="I3691" s="24" t="s">
        <v>33</v>
      </c>
      <c r="J3691" s="19" t="s">
        <v>5770</v>
      </c>
      <c r="K3691" s="14">
        <v>25.0</v>
      </c>
      <c r="L3691" s="14">
        <v>0.0</v>
      </c>
      <c r="M3691" s="25"/>
      <c r="N3691" s="26" t="s">
        <v>21</v>
      </c>
      <c r="O3691" s="7"/>
      <c r="P3691" s="7"/>
      <c r="Q3691" s="7"/>
      <c r="R3691" s="7"/>
      <c r="S3691" s="7"/>
      <c r="T3691" s="7"/>
      <c r="U3691" s="7"/>
      <c r="V3691" s="7"/>
      <c r="W3691" s="7"/>
      <c r="X3691" s="7"/>
      <c r="Y3691" s="7"/>
    </row>
    <row r="3692">
      <c r="A3692" s="14" t="s">
        <v>13114</v>
      </c>
      <c r="B3692" s="17" t="s">
        <v>13115</v>
      </c>
      <c r="C3692" s="17" t="s">
        <v>13116</v>
      </c>
      <c r="D3692" s="19" t="s">
        <v>13117</v>
      </c>
      <c r="E3692" s="20" t="s">
        <v>138</v>
      </c>
      <c r="F3692" s="21">
        <v>38745.0</v>
      </c>
      <c r="G3692" s="14">
        <f t="shared" si="1"/>
        <v>20</v>
      </c>
      <c r="H3692" s="23" t="s">
        <v>100</v>
      </c>
      <c r="I3692" s="24" t="s">
        <v>33</v>
      </c>
      <c r="J3692" s="19" t="s">
        <v>328</v>
      </c>
      <c r="K3692" s="14">
        <v>26.0</v>
      </c>
      <c r="L3692" s="14">
        <v>0.0</v>
      </c>
      <c r="M3692" s="25"/>
      <c r="N3692" s="26" t="s">
        <v>21</v>
      </c>
      <c r="O3692" s="7"/>
      <c r="P3692" s="7"/>
      <c r="Q3692" s="7"/>
      <c r="R3692" s="7"/>
      <c r="S3692" s="7"/>
      <c r="T3692" s="7"/>
      <c r="U3692" s="7"/>
      <c r="V3692" s="7"/>
      <c r="W3692" s="7"/>
      <c r="X3692" s="7"/>
      <c r="Y3692" s="7"/>
    </row>
    <row r="3693">
      <c r="A3693" s="14" t="s">
        <v>13118</v>
      </c>
      <c r="B3693" s="17" t="s">
        <v>13115</v>
      </c>
      <c r="C3693" s="17" t="s">
        <v>13119</v>
      </c>
      <c r="D3693" s="19" t="s">
        <v>13120</v>
      </c>
      <c r="E3693" s="20" t="s">
        <v>3263</v>
      </c>
      <c r="F3693" s="21">
        <v>25297.0</v>
      </c>
      <c r="G3693" s="14">
        <f t="shared" si="1"/>
        <v>57</v>
      </c>
      <c r="H3693" s="23" t="s">
        <v>27</v>
      </c>
      <c r="I3693" s="24" t="s">
        <v>33</v>
      </c>
      <c r="J3693" s="19" t="s">
        <v>328</v>
      </c>
      <c r="K3693" s="14">
        <v>26.0</v>
      </c>
      <c r="L3693" s="14">
        <v>0.0</v>
      </c>
      <c r="M3693" s="25"/>
      <c r="N3693" s="26" t="s">
        <v>21</v>
      </c>
      <c r="O3693" s="7"/>
      <c r="P3693" s="7"/>
      <c r="Q3693" s="7"/>
      <c r="R3693" s="7"/>
      <c r="S3693" s="7"/>
      <c r="T3693" s="7"/>
      <c r="U3693" s="7"/>
      <c r="V3693" s="7"/>
      <c r="W3693" s="7"/>
      <c r="X3693" s="7"/>
      <c r="Y3693" s="7"/>
    </row>
    <row r="3694">
      <c r="A3694" s="14" t="s">
        <v>13121</v>
      </c>
      <c r="B3694" s="17" t="s">
        <v>13115</v>
      </c>
      <c r="C3694" s="17" t="s">
        <v>13122</v>
      </c>
      <c r="D3694" s="19" t="s">
        <v>13123</v>
      </c>
      <c r="E3694" s="20" t="s">
        <v>138</v>
      </c>
      <c r="F3694" s="21">
        <v>36656.0</v>
      </c>
      <c r="G3694" s="14">
        <f t="shared" si="1"/>
        <v>26</v>
      </c>
      <c r="H3694" s="23" t="s">
        <v>100</v>
      </c>
      <c r="I3694" s="24" t="s">
        <v>33</v>
      </c>
      <c r="J3694" s="19" t="s">
        <v>328</v>
      </c>
      <c r="K3694" s="14">
        <v>26.0</v>
      </c>
      <c r="L3694" s="14">
        <v>0.0</v>
      </c>
      <c r="M3694" s="25"/>
      <c r="N3694" s="26" t="s">
        <v>21</v>
      </c>
      <c r="O3694" s="7"/>
      <c r="P3694" s="7"/>
      <c r="Q3694" s="7"/>
      <c r="R3694" s="7"/>
      <c r="S3694" s="7"/>
      <c r="T3694" s="7"/>
      <c r="U3694" s="7"/>
      <c r="V3694" s="7"/>
      <c r="W3694" s="7"/>
      <c r="X3694" s="7"/>
      <c r="Y3694" s="7"/>
    </row>
    <row r="3695">
      <c r="A3695" s="14" t="s">
        <v>13124</v>
      </c>
      <c r="B3695" s="17" t="s">
        <v>13125</v>
      </c>
      <c r="C3695" s="17" t="s">
        <v>13126</v>
      </c>
      <c r="D3695" s="19" t="s">
        <v>13127</v>
      </c>
      <c r="E3695" s="20" t="s">
        <v>4043</v>
      </c>
      <c r="F3695" s="21">
        <v>28387.0</v>
      </c>
      <c r="G3695" s="14">
        <f t="shared" si="1"/>
        <v>49</v>
      </c>
      <c r="H3695" s="23" t="s">
        <v>26</v>
      </c>
      <c r="I3695" s="24" t="s">
        <v>27</v>
      </c>
      <c r="J3695" s="19" t="s">
        <v>1437</v>
      </c>
      <c r="K3695" s="14">
        <v>30.0</v>
      </c>
      <c r="L3695" s="14">
        <v>0.0</v>
      </c>
      <c r="M3695" s="25"/>
      <c r="N3695" s="26" t="s">
        <v>21</v>
      </c>
      <c r="O3695" s="7"/>
      <c r="P3695" s="7"/>
      <c r="Q3695" s="7"/>
      <c r="R3695" s="7"/>
      <c r="S3695" s="7"/>
      <c r="T3695" s="7"/>
      <c r="U3695" s="7"/>
      <c r="V3695" s="7"/>
      <c r="W3695" s="7"/>
      <c r="X3695" s="7"/>
      <c r="Y3695" s="7"/>
    </row>
    <row r="3696">
      <c r="A3696" s="14" t="s">
        <v>13128</v>
      </c>
      <c r="B3696" s="17" t="s">
        <v>13125</v>
      </c>
      <c r="C3696" s="17" t="s">
        <v>13129</v>
      </c>
      <c r="D3696" s="19" t="s">
        <v>13130</v>
      </c>
      <c r="E3696" s="20" t="s">
        <v>104</v>
      </c>
      <c r="F3696" s="21">
        <v>38226.0</v>
      </c>
      <c r="G3696" s="14">
        <f t="shared" si="1"/>
        <v>22</v>
      </c>
      <c r="H3696" s="23" t="s">
        <v>100</v>
      </c>
      <c r="I3696" s="24" t="s">
        <v>33</v>
      </c>
      <c r="J3696" s="19" t="s">
        <v>1437</v>
      </c>
      <c r="K3696" s="14">
        <v>30.0</v>
      </c>
      <c r="L3696" s="14">
        <v>0.0</v>
      </c>
      <c r="M3696" s="25"/>
      <c r="N3696" s="26" t="s">
        <v>21</v>
      </c>
      <c r="O3696" s="7"/>
      <c r="P3696" s="7"/>
      <c r="Q3696" s="7"/>
      <c r="R3696" s="7"/>
      <c r="S3696" s="7"/>
      <c r="T3696" s="7"/>
      <c r="U3696" s="7"/>
      <c r="V3696" s="7"/>
      <c r="W3696" s="7"/>
      <c r="X3696" s="7"/>
      <c r="Y3696" s="7"/>
    </row>
    <row r="3697">
      <c r="A3697" s="14" t="s">
        <v>13131</v>
      </c>
      <c r="B3697" s="17" t="s">
        <v>13125</v>
      </c>
      <c r="C3697" s="17" t="s">
        <v>13132</v>
      </c>
      <c r="D3697" s="19" t="s">
        <v>13133</v>
      </c>
      <c r="E3697" s="20" t="s">
        <v>1038</v>
      </c>
      <c r="F3697" s="27">
        <v>25486.0</v>
      </c>
      <c r="G3697" s="14">
        <f t="shared" si="1"/>
        <v>57</v>
      </c>
      <c r="H3697" s="23" t="s">
        <v>26</v>
      </c>
      <c r="I3697" s="24" t="s">
        <v>33</v>
      </c>
      <c r="J3697" s="19" t="s">
        <v>1437</v>
      </c>
      <c r="K3697" s="14">
        <v>30.0</v>
      </c>
      <c r="L3697" s="14">
        <v>0.0</v>
      </c>
      <c r="M3697" s="25"/>
      <c r="N3697" s="26" t="s">
        <v>21</v>
      </c>
      <c r="O3697" s="7"/>
      <c r="P3697" s="7"/>
      <c r="Q3697" s="7"/>
      <c r="R3697" s="7"/>
      <c r="S3697" s="7"/>
      <c r="T3697" s="7"/>
      <c r="U3697" s="7"/>
      <c r="V3697" s="7"/>
      <c r="W3697" s="7"/>
      <c r="X3697" s="7"/>
      <c r="Y3697" s="7"/>
    </row>
    <row r="3698">
      <c r="A3698" s="14" t="s">
        <v>13134</v>
      </c>
      <c r="B3698" s="17" t="s">
        <v>13135</v>
      </c>
      <c r="C3698" s="17" t="s">
        <v>13136</v>
      </c>
      <c r="D3698" s="19" t="s">
        <v>13137</v>
      </c>
      <c r="E3698" s="20" t="s">
        <v>104</v>
      </c>
      <c r="F3698" s="21">
        <v>36018.0</v>
      </c>
      <c r="G3698" s="14">
        <f t="shared" si="1"/>
        <v>28</v>
      </c>
      <c r="H3698" s="23" t="s">
        <v>100</v>
      </c>
      <c r="I3698" s="24" t="s">
        <v>33</v>
      </c>
      <c r="J3698" s="19" t="s">
        <v>68</v>
      </c>
      <c r="K3698" s="14">
        <v>30.0</v>
      </c>
      <c r="L3698" s="14">
        <v>0.0</v>
      </c>
      <c r="M3698" s="25"/>
      <c r="N3698" s="26" t="s">
        <v>21</v>
      </c>
      <c r="O3698" s="7"/>
      <c r="P3698" s="7"/>
      <c r="Q3698" s="7"/>
      <c r="R3698" s="7"/>
      <c r="S3698" s="7"/>
      <c r="T3698" s="7"/>
      <c r="U3698" s="7"/>
      <c r="V3698" s="7"/>
      <c r="W3698" s="7"/>
      <c r="X3698" s="7"/>
      <c r="Y3698" s="7"/>
    </row>
    <row r="3699">
      <c r="A3699" s="14" t="s">
        <v>13138</v>
      </c>
      <c r="B3699" s="17" t="s">
        <v>13135</v>
      </c>
      <c r="C3699" s="17" t="s">
        <v>13139</v>
      </c>
      <c r="D3699" s="19" t="s">
        <v>13140</v>
      </c>
      <c r="E3699" s="20" t="s">
        <v>104</v>
      </c>
      <c r="F3699" s="21">
        <v>37685.0</v>
      </c>
      <c r="G3699" s="14">
        <f t="shared" si="1"/>
        <v>23</v>
      </c>
      <c r="H3699" s="23" t="s">
        <v>100</v>
      </c>
      <c r="I3699" s="24" t="s">
        <v>33</v>
      </c>
      <c r="J3699" s="19" t="s">
        <v>68</v>
      </c>
      <c r="K3699" s="14">
        <v>30.0</v>
      </c>
      <c r="L3699" s="14">
        <v>0.0</v>
      </c>
      <c r="M3699" s="25"/>
      <c r="N3699" s="26" t="s">
        <v>21</v>
      </c>
      <c r="O3699" s="7"/>
      <c r="P3699" s="7"/>
      <c r="Q3699" s="7"/>
      <c r="R3699" s="7"/>
      <c r="S3699" s="7"/>
      <c r="T3699" s="7"/>
      <c r="U3699" s="7"/>
      <c r="V3699" s="7"/>
      <c r="W3699" s="7"/>
      <c r="X3699" s="7"/>
      <c r="Y3699" s="7"/>
    </row>
    <row r="3700">
      <c r="A3700" s="14" t="s">
        <v>13141</v>
      </c>
      <c r="B3700" s="17" t="s">
        <v>13135</v>
      </c>
      <c r="C3700" s="17" t="s">
        <v>13142</v>
      </c>
      <c r="D3700" s="19" t="s">
        <v>6339</v>
      </c>
      <c r="E3700" s="20" t="s">
        <v>624</v>
      </c>
      <c r="F3700" s="21">
        <v>25476.0</v>
      </c>
      <c r="G3700" s="14">
        <f t="shared" si="1"/>
        <v>57</v>
      </c>
      <c r="H3700" s="23" t="s">
        <v>26</v>
      </c>
      <c r="I3700" s="24" t="s">
        <v>33</v>
      </c>
      <c r="J3700" s="19" t="s">
        <v>68</v>
      </c>
      <c r="K3700" s="14">
        <v>30.0</v>
      </c>
      <c r="L3700" s="14">
        <v>0.0</v>
      </c>
      <c r="M3700" s="25"/>
      <c r="N3700" s="26" t="s">
        <v>21</v>
      </c>
      <c r="O3700" s="7"/>
      <c r="P3700" s="7"/>
      <c r="Q3700" s="7"/>
      <c r="R3700" s="7"/>
      <c r="S3700" s="7"/>
      <c r="T3700" s="7"/>
      <c r="U3700" s="7"/>
      <c r="V3700" s="7"/>
      <c r="W3700" s="7"/>
      <c r="X3700" s="7"/>
      <c r="Y3700" s="7"/>
    </row>
    <row r="3701">
      <c r="A3701" s="14" t="s">
        <v>13143</v>
      </c>
      <c r="B3701" s="17" t="s">
        <v>13144</v>
      </c>
      <c r="C3701" s="17" t="s">
        <v>13145</v>
      </c>
      <c r="D3701" s="19" t="s">
        <v>13146</v>
      </c>
      <c r="E3701" s="20" t="s">
        <v>13147</v>
      </c>
      <c r="F3701" s="21">
        <v>24478.0</v>
      </c>
      <c r="G3701" s="14">
        <f t="shared" si="1"/>
        <v>59</v>
      </c>
      <c r="H3701" s="23" t="s">
        <v>26</v>
      </c>
      <c r="I3701" s="24" t="s">
        <v>33</v>
      </c>
      <c r="J3701" s="19" t="s">
        <v>13148</v>
      </c>
      <c r="K3701" s="14">
        <v>28.0</v>
      </c>
      <c r="L3701" s="14">
        <v>0.0</v>
      </c>
      <c r="M3701" s="25"/>
      <c r="N3701" s="26" t="s">
        <v>21</v>
      </c>
      <c r="O3701" s="7"/>
      <c r="P3701" s="7"/>
      <c r="Q3701" s="7"/>
      <c r="R3701" s="7"/>
      <c r="S3701" s="7"/>
      <c r="T3701" s="7"/>
      <c r="U3701" s="7"/>
      <c r="V3701" s="7"/>
      <c r="W3701" s="7"/>
      <c r="X3701" s="7"/>
      <c r="Y3701" s="7"/>
    </row>
    <row r="3702">
      <c r="A3702" s="14" t="s">
        <v>13149</v>
      </c>
      <c r="B3702" s="17" t="s">
        <v>13144</v>
      </c>
      <c r="C3702" s="17" t="s">
        <v>13150</v>
      </c>
      <c r="D3702" s="19" t="s">
        <v>13151</v>
      </c>
      <c r="E3702" s="20" t="s">
        <v>138</v>
      </c>
      <c r="F3702" s="21">
        <v>39104.0</v>
      </c>
      <c r="G3702" s="14">
        <f t="shared" si="1"/>
        <v>19</v>
      </c>
      <c r="H3702" s="23" t="s">
        <v>100</v>
      </c>
      <c r="I3702" s="24" t="s">
        <v>33</v>
      </c>
      <c r="J3702" s="19" t="s">
        <v>13148</v>
      </c>
      <c r="K3702" s="14">
        <v>28.0</v>
      </c>
      <c r="L3702" s="14">
        <v>0.0</v>
      </c>
      <c r="M3702" s="25"/>
      <c r="N3702" s="26" t="s">
        <v>21</v>
      </c>
      <c r="O3702" s="7"/>
      <c r="P3702" s="7"/>
      <c r="Q3702" s="7"/>
      <c r="R3702" s="7"/>
      <c r="S3702" s="7"/>
      <c r="T3702" s="7"/>
      <c r="U3702" s="7"/>
      <c r="V3702" s="7"/>
      <c r="W3702" s="7"/>
      <c r="X3702" s="7"/>
      <c r="Y3702" s="7"/>
    </row>
    <row r="3703">
      <c r="A3703" s="14" t="s">
        <v>13152</v>
      </c>
      <c r="B3703" s="17" t="s">
        <v>13144</v>
      </c>
      <c r="C3703" s="17" t="s">
        <v>13153</v>
      </c>
      <c r="D3703" s="19" t="s">
        <v>13154</v>
      </c>
      <c r="E3703" s="20" t="s">
        <v>8873</v>
      </c>
      <c r="F3703" s="21">
        <v>26803.0</v>
      </c>
      <c r="G3703" s="14">
        <f t="shared" si="1"/>
        <v>53</v>
      </c>
      <c r="H3703" s="23" t="s">
        <v>26</v>
      </c>
      <c r="I3703" s="24" t="s">
        <v>27</v>
      </c>
      <c r="J3703" s="19" t="s">
        <v>13148</v>
      </c>
      <c r="K3703" s="14">
        <v>28.0</v>
      </c>
      <c r="L3703" s="14">
        <v>0.0</v>
      </c>
      <c r="M3703" s="25"/>
      <c r="N3703" s="26" t="s">
        <v>21</v>
      </c>
      <c r="O3703" s="7"/>
      <c r="P3703" s="7"/>
      <c r="Q3703" s="7"/>
      <c r="R3703" s="7"/>
      <c r="S3703" s="7"/>
      <c r="T3703" s="7"/>
      <c r="U3703" s="7"/>
      <c r="V3703" s="7"/>
      <c r="W3703" s="7"/>
      <c r="X3703" s="7"/>
      <c r="Y3703" s="7"/>
    </row>
    <row r="3704">
      <c r="A3704" s="14" t="s">
        <v>13155</v>
      </c>
      <c r="B3704" s="17" t="s">
        <v>13144</v>
      </c>
      <c r="C3704" s="17" t="s">
        <v>13156</v>
      </c>
      <c r="D3704" s="19" t="s">
        <v>13157</v>
      </c>
      <c r="E3704" s="20" t="s">
        <v>138</v>
      </c>
      <c r="F3704" s="21">
        <v>35861.0</v>
      </c>
      <c r="G3704" s="14">
        <f t="shared" si="1"/>
        <v>28</v>
      </c>
      <c r="H3704" s="23" t="s">
        <v>100</v>
      </c>
      <c r="I3704" s="24" t="s">
        <v>27</v>
      </c>
      <c r="J3704" s="19" t="s">
        <v>13148</v>
      </c>
      <c r="K3704" s="14">
        <v>28.0</v>
      </c>
      <c r="L3704" s="14">
        <v>0.0</v>
      </c>
      <c r="M3704" s="25"/>
      <c r="N3704" s="26" t="s">
        <v>21</v>
      </c>
      <c r="O3704" s="7"/>
      <c r="P3704" s="7"/>
      <c r="Q3704" s="7"/>
      <c r="R3704" s="7"/>
      <c r="S3704" s="7"/>
      <c r="T3704" s="7"/>
      <c r="U3704" s="7"/>
      <c r="V3704" s="7"/>
      <c r="W3704" s="7"/>
      <c r="X3704" s="7"/>
      <c r="Y3704" s="7"/>
    </row>
    <row r="3705">
      <c r="A3705" s="14" t="s">
        <v>13158</v>
      </c>
      <c r="B3705" s="17" t="s">
        <v>13159</v>
      </c>
      <c r="C3705" s="17" t="s">
        <v>13160</v>
      </c>
      <c r="D3705" s="19" t="s">
        <v>1017</v>
      </c>
      <c r="E3705" s="20" t="s">
        <v>632</v>
      </c>
      <c r="F3705" s="21">
        <v>20489.0</v>
      </c>
      <c r="G3705" s="14">
        <f t="shared" si="1"/>
        <v>70</v>
      </c>
      <c r="H3705" s="23" t="s">
        <v>26</v>
      </c>
      <c r="I3705" s="24" t="s">
        <v>27</v>
      </c>
      <c r="J3705" s="19" t="s">
        <v>53</v>
      </c>
      <c r="K3705" s="14">
        <v>3.0</v>
      </c>
      <c r="L3705" s="14">
        <v>0.0</v>
      </c>
      <c r="M3705" s="25"/>
      <c r="N3705" s="26" t="s">
        <v>21</v>
      </c>
      <c r="O3705" s="7"/>
      <c r="P3705" s="7"/>
      <c r="Q3705" s="7"/>
      <c r="R3705" s="7"/>
      <c r="S3705" s="7"/>
      <c r="T3705" s="7"/>
      <c r="U3705" s="7"/>
      <c r="V3705" s="7"/>
      <c r="W3705" s="7"/>
      <c r="X3705" s="7"/>
      <c r="Y3705" s="7"/>
    </row>
    <row r="3706">
      <c r="A3706" s="14" t="s">
        <v>13161</v>
      </c>
      <c r="B3706" s="17" t="s">
        <v>13159</v>
      </c>
      <c r="C3706" s="17" t="s">
        <v>13162</v>
      </c>
      <c r="D3706" s="19" t="s">
        <v>13163</v>
      </c>
      <c r="E3706" s="20" t="s">
        <v>337</v>
      </c>
      <c r="F3706" s="21">
        <v>36286.0</v>
      </c>
      <c r="G3706" s="14">
        <f t="shared" si="1"/>
        <v>27</v>
      </c>
      <c r="H3706" s="23" t="s">
        <v>100</v>
      </c>
      <c r="I3706" s="24" t="s">
        <v>27</v>
      </c>
      <c r="J3706" s="19" t="s">
        <v>53</v>
      </c>
      <c r="K3706" s="14">
        <v>3.0</v>
      </c>
      <c r="L3706" s="14">
        <v>0.0</v>
      </c>
      <c r="M3706" s="25"/>
      <c r="N3706" s="26" t="s">
        <v>21</v>
      </c>
      <c r="O3706" s="7"/>
      <c r="P3706" s="7"/>
      <c r="Q3706" s="7"/>
      <c r="R3706" s="7"/>
      <c r="S3706" s="7"/>
      <c r="T3706" s="7"/>
      <c r="U3706" s="7"/>
      <c r="V3706" s="7"/>
      <c r="W3706" s="7"/>
      <c r="X3706" s="7"/>
      <c r="Y3706" s="7"/>
    </row>
    <row r="3707">
      <c r="A3707" s="14" t="s">
        <v>13164</v>
      </c>
      <c r="B3707" s="17" t="s">
        <v>13165</v>
      </c>
      <c r="C3707" s="17" t="s">
        <v>13166</v>
      </c>
      <c r="D3707" s="19" t="s">
        <v>13167</v>
      </c>
      <c r="E3707" s="20" t="s">
        <v>1058</v>
      </c>
      <c r="F3707" s="21">
        <v>35901.0</v>
      </c>
      <c r="G3707" s="14">
        <f t="shared" si="1"/>
        <v>28</v>
      </c>
      <c r="H3707" s="23" t="s">
        <v>100</v>
      </c>
      <c r="I3707" s="24" t="s">
        <v>33</v>
      </c>
      <c r="J3707" s="19" t="s">
        <v>68</v>
      </c>
      <c r="K3707" s="14">
        <v>31.0</v>
      </c>
      <c r="L3707" s="14">
        <v>0.0</v>
      </c>
      <c r="M3707" s="25"/>
      <c r="N3707" s="26" t="s">
        <v>21</v>
      </c>
      <c r="O3707" s="7"/>
      <c r="P3707" s="7"/>
      <c r="Q3707" s="7"/>
      <c r="R3707" s="7"/>
      <c r="S3707" s="7"/>
      <c r="T3707" s="7"/>
      <c r="U3707" s="7"/>
      <c r="V3707" s="7"/>
      <c r="W3707" s="7"/>
      <c r="X3707" s="7"/>
      <c r="Y3707" s="7"/>
    </row>
    <row r="3708">
      <c r="A3708" s="14" t="s">
        <v>13168</v>
      </c>
      <c r="B3708" s="17" t="s">
        <v>13165</v>
      </c>
      <c r="C3708" s="17" t="s">
        <v>13169</v>
      </c>
      <c r="D3708" s="19" t="s">
        <v>1753</v>
      </c>
      <c r="E3708" s="20" t="s">
        <v>1058</v>
      </c>
      <c r="F3708" s="21">
        <v>25579.0</v>
      </c>
      <c r="G3708" s="14">
        <f t="shared" si="1"/>
        <v>56</v>
      </c>
      <c r="H3708" s="23" t="s">
        <v>26</v>
      </c>
      <c r="I3708" s="24" t="s">
        <v>33</v>
      </c>
      <c r="J3708" s="19" t="s">
        <v>68</v>
      </c>
      <c r="K3708" s="14">
        <v>31.0</v>
      </c>
      <c r="L3708" s="14">
        <v>0.0</v>
      </c>
      <c r="M3708" s="25"/>
      <c r="N3708" s="26" t="s">
        <v>21</v>
      </c>
      <c r="O3708" s="7"/>
      <c r="P3708" s="7"/>
      <c r="Q3708" s="7"/>
      <c r="R3708" s="7"/>
      <c r="S3708" s="7"/>
      <c r="T3708" s="7"/>
      <c r="U3708" s="7"/>
      <c r="V3708" s="7"/>
      <c r="W3708" s="7"/>
      <c r="X3708" s="7"/>
      <c r="Y3708" s="7"/>
    </row>
    <row r="3709">
      <c r="A3709" s="14" t="s">
        <v>13170</v>
      </c>
      <c r="B3709" s="17" t="s">
        <v>13165</v>
      </c>
      <c r="C3709" s="17" t="s">
        <v>13171</v>
      </c>
      <c r="D3709" s="19" t="s">
        <v>5348</v>
      </c>
      <c r="E3709" s="20" t="s">
        <v>1058</v>
      </c>
      <c r="F3709" s="27">
        <v>26662.0</v>
      </c>
      <c r="G3709" s="14">
        <f t="shared" si="1"/>
        <v>53</v>
      </c>
      <c r="H3709" s="23" t="s">
        <v>26</v>
      </c>
      <c r="I3709" s="24" t="s">
        <v>27</v>
      </c>
      <c r="J3709" s="19" t="s">
        <v>68</v>
      </c>
      <c r="K3709" s="14">
        <v>31.0</v>
      </c>
      <c r="L3709" s="14">
        <v>0.0</v>
      </c>
      <c r="M3709" s="25"/>
      <c r="N3709" s="26" t="s">
        <v>21</v>
      </c>
      <c r="O3709" s="7"/>
      <c r="P3709" s="7"/>
      <c r="Q3709" s="7"/>
      <c r="R3709" s="7"/>
      <c r="S3709" s="7"/>
      <c r="T3709" s="7"/>
      <c r="U3709" s="7"/>
      <c r="V3709" s="7"/>
      <c r="W3709" s="7"/>
      <c r="X3709" s="7"/>
      <c r="Y3709" s="7"/>
    </row>
    <row r="3710">
      <c r="A3710" s="14" t="s">
        <v>13172</v>
      </c>
      <c r="B3710" s="17" t="s">
        <v>13173</v>
      </c>
      <c r="C3710" s="17" t="s">
        <v>13174</v>
      </c>
      <c r="D3710" s="19" t="s">
        <v>2809</v>
      </c>
      <c r="E3710" s="20" t="s">
        <v>4976</v>
      </c>
      <c r="F3710" s="21">
        <v>26744.0</v>
      </c>
      <c r="G3710" s="14">
        <f t="shared" si="1"/>
        <v>53</v>
      </c>
      <c r="H3710" s="23" t="s">
        <v>26</v>
      </c>
      <c r="I3710" s="24" t="s">
        <v>33</v>
      </c>
      <c r="J3710" s="19" t="s">
        <v>156</v>
      </c>
      <c r="K3710" s="14">
        <v>35.0</v>
      </c>
      <c r="L3710" s="14">
        <v>0.0</v>
      </c>
      <c r="M3710" s="25"/>
      <c r="N3710" s="26" t="s">
        <v>21</v>
      </c>
      <c r="O3710" s="7"/>
      <c r="P3710" s="7"/>
      <c r="Q3710" s="7"/>
      <c r="R3710" s="7"/>
      <c r="S3710" s="7"/>
      <c r="T3710" s="7"/>
      <c r="U3710" s="7"/>
      <c r="V3710" s="7"/>
      <c r="W3710" s="7"/>
      <c r="X3710" s="7"/>
      <c r="Y3710" s="7"/>
    </row>
    <row r="3711">
      <c r="A3711" s="14" t="s">
        <v>13175</v>
      </c>
      <c r="B3711" s="17" t="s">
        <v>13173</v>
      </c>
      <c r="C3711" s="17" t="s">
        <v>13176</v>
      </c>
      <c r="D3711" s="19" t="s">
        <v>13177</v>
      </c>
      <c r="E3711" s="20" t="s">
        <v>104</v>
      </c>
      <c r="F3711" s="21">
        <v>38745.0</v>
      </c>
      <c r="G3711" s="14">
        <f t="shared" si="1"/>
        <v>20</v>
      </c>
      <c r="H3711" s="23" t="s">
        <v>100</v>
      </c>
      <c r="I3711" s="24" t="s">
        <v>27</v>
      </c>
      <c r="J3711" s="19" t="s">
        <v>156</v>
      </c>
      <c r="K3711" s="14">
        <v>35.0</v>
      </c>
      <c r="L3711" s="14">
        <v>0.0</v>
      </c>
      <c r="M3711" s="25"/>
      <c r="N3711" s="26" t="s">
        <v>21</v>
      </c>
      <c r="O3711" s="7"/>
      <c r="P3711" s="7"/>
      <c r="Q3711" s="7"/>
      <c r="R3711" s="7"/>
      <c r="S3711" s="7"/>
      <c r="T3711" s="7"/>
      <c r="U3711" s="7"/>
      <c r="V3711" s="7"/>
      <c r="W3711" s="7"/>
      <c r="X3711" s="7"/>
      <c r="Y3711" s="7"/>
    </row>
    <row r="3712">
      <c r="A3712" s="14" t="s">
        <v>13178</v>
      </c>
      <c r="B3712" s="17" t="s">
        <v>13173</v>
      </c>
      <c r="C3712" s="17" t="s">
        <v>13179</v>
      </c>
      <c r="D3712" s="19" t="s">
        <v>13180</v>
      </c>
      <c r="E3712" s="20" t="s">
        <v>53</v>
      </c>
      <c r="F3712" s="27">
        <v>28074.0</v>
      </c>
      <c r="G3712" s="14">
        <f t="shared" si="1"/>
        <v>49</v>
      </c>
      <c r="H3712" s="23" t="s">
        <v>26</v>
      </c>
      <c r="I3712" s="24" t="s">
        <v>27</v>
      </c>
      <c r="J3712" s="19" t="s">
        <v>156</v>
      </c>
      <c r="K3712" s="14">
        <v>35.0</v>
      </c>
      <c r="L3712" s="14">
        <v>0.0</v>
      </c>
      <c r="M3712" s="25"/>
      <c r="N3712" s="26" t="s">
        <v>21</v>
      </c>
      <c r="O3712" s="7"/>
      <c r="P3712" s="7"/>
      <c r="Q3712" s="7"/>
      <c r="R3712" s="7"/>
      <c r="S3712" s="7"/>
      <c r="T3712" s="7"/>
      <c r="U3712" s="7"/>
      <c r="V3712" s="7"/>
      <c r="W3712" s="7"/>
      <c r="X3712" s="7"/>
      <c r="Y3712" s="7"/>
    </row>
    <row r="3713">
      <c r="A3713" s="14" t="s">
        <v>13181</v>
      </c>
      <c r="B3713" s="17" t="s">
        <v>13173</v>
      </c>
      <c r="C3713" s="17" t="s">
        <v>13182</v>
      </c>
      <c r="D3713" s="19" t="s">
        <v>13183</v>
      </c>
      <c r="E3713" s="20" t="s">
        <v>104</v>
      </c>
      <c r="F3713" s="21">
        <v>36197.0</v>
      </c>
      <c r="G3713" s="14">
        <f t="shared" si="1"/>
        <v>27</v>
      </c>
      <c r="H3713" s="23" t="s">
        <v>100</v>
      </c>
      <c r="I3713" s="24" t="s">
        <v>27</v>
      </c>
      <c r="J3713" s="19" t="s">
        <v>156</v>
      </c>
      <c r="K3713" s="14">
        <v>35.0</v>
      </c>
      <c r="L3713" s="14">
        <v>0.0</v>
      </c>
      <c r="M3713" s="25"/>
      <c r="N3713" s="26" t="s">
        <v>21</v>
      </c>
      <c r="O3713" s="7"/>
      <c r="P3713" s="7"/>
      <c r="Q3713" s="7"/>
      <c r="R3713" s="7"/>
      <c r="S3713" s="7"/>
      <c r="T3713" s="7"/>
      <c r="U3713" s="7"/>
      <c r="V3713" s="7"/>
      <c r="W3713" s="7"/>
      <c r="X3713" s="7"/>
      <c r="Y3713" s="7"/>
    </row>
    <row r="3714">
      <c r="A3714" s="14" t="s">
        <v>13184</v>
      </c>
      <c r="B3714" s="17" t="s">
        <v>13185</v>
      </c>
      <c r="C3714" s="17" t="s">
        <v>13186</v>
      </c>
      <c r="D3714" s="19" t="s">
        <v>13187</v>
      </c>
      <c r="E3714" s="20" t="s">
        <v>1291</v>
      </c>
      <c r="F3714" s="21">
        <v>16968.0</v>
      </c>
      <c r="G3714" s="14">
        <f t="shared" si="1"/>
        <v>80</v>
      </c>
      <c r="H3714" s="23" t="s">
        <v>26</v>
      </c>
      <c r="I3714" s="24" t="s">
        <v>33</v>
      </c>
      <c r="J3714" s="19" t="s">
        <v>156</v>
      </c>
      <c r="K3714" s="14">
        <v>35.0</v>
      </c>
      <c r="L3714" s="14">
        <v>0.0</v>
      </c>
      <c r="M3714" s="25"/>
      <c r="N3714" s="26" t="s">
        <v>21</v>
      </c>
      <c r="O3714" s="7"/>
      <c r="P3714" s="7"/>
      <c r="Q3714" s="7"/>
      <c r="R3714" s="7"/>
      <c r="S3714" s="7"/>
      <c r="T3714" s="7"/>
      <c r="U3714" s="7"/>
      <c r="V3714" s="7"/>
      <c r="W3714" s="7"/>
      <c r="X3714" s="7"/>
      <c r="Y3714" s="7"/>
    </row>
    <row r="3715">
      <c r="A3715" s="14" t="s">
        <v>13188</v>
      </c>
      <c r="B3715" s="17" t="s">
        <v>13185</v>
      </c>
      <c r="C3715" s="17" t="s">
        <v>13189</v>
      </c>
      <c r="D3715" s="19" t="s">
        <v>13190</v>
      </c>
      <c r="E3715" s="20" t="s">
        <v>1291</v>
      </c>
      <c r="F3715" s="21">
        <v>18513.0</v>
      </c>
      <c r="G3715" s="14">
        <f t="shared" si="1"/>
        <v>76</v>
      </c>
      <c r="H3715" s="23" t="s">
        <v>26</v>
      </c>
      <c r="I3715" s="24" t="s">
        <v>27</v>
      </c>
      <c r="J3715" s="19" t="s">
        <v>156</v>
      </c>
      <c r="K3715" s="14">
        <v>35.0</v>
      </c>
      <c r="L3715" s="14">
        <v>0.0</v>
      </c>
      <c r="M3715" s="25"/>
      <c r="N3715" s="26" t="s">
        <v>21</v>
      </c>
      <c r="O3715" s="7"/>
      <c r="P3715" s="7"/>
      <c r="Q3715" s="7"/>
      <c r="R3715" s="7"/>
      <c r="S3715" s="7"/>
      <c r="T3715" s="7"/>
      <c r="U3715" s="7"/>
      <c r="V3715" s="7"/>
      <c r="W3715" s="7"/>
      <c r="X3715" s="7"/>
      <c r="Y3715" s="7"/>
    </row>
    <row r="3716">
      <c r="A3716" s="14" t="s">
        <v>13191</v>
      </c>
      <c r="B3716" s="17" t="s">
        <v>13192</v>
      </c>
      <c r="C3716" s="17" t="s">
        <v>13193</v>
      </c>
      <c r="D3716" s="19" t="s">
        <v>1432</v>
      </c>
      <c r="E3716" s="20" t="s">
        <v>13194</v>
      </c>
      <c r="F3716" s="21">
        <v>32928.0</v>
      </c>
      <c r="G3716" s="14">
        <f t="shared" si="1"/>
        <v>36</v>
      </c>
      <c r="H3716" s="23" t="s">
        <v>26</v>
      </c>
      <c r="I3716" s="24" t="s">
        <v>27</v>
      </c>
      <c r="J3716" s="19" t="s">
        <v>156</v>
      </c>
      <c r="K3716" s="14">
        <v>35.0</v>
      </c>
      <c r="L3716" s="14">
        <v>0.0</v>
      </c>
      <c r="M3716" s="25"/>
      <c r="N3716" s="26" t="s">
        <v>21</v>
      </c>
      <c r="O3716" s="7"/>
      <c r="P3716" s="7"/>
      <c r="Q3716" s="7"/>
      <c r="R3716" s="7"/>
      <c r="S3716" s="7"/>
      <c r="T3716" s="7"/>
      <c r="U3716" s="7"/>
      <c r="V3716" s="7"/>
      <c r="W3716" s="7"/>
      <c r="X3716" s="7"/>
      <c r="Y3716" s="7"/>
    </row>
    <row r="3717">
      <c r="A3717" s="14" t="s">
        <v>13195</v>
      </c>
      <c r="B3717" s="17" t="s">
        <v>13192</v>
      </c>
      <c r="C3717" s="17" t="s">
        <v>13196</v>
      </c>
      <c r="D3717" s="19" t="s">
        <v>13197</v>
      </c>
      <c r="E3717" s="20" t="s">
        <v>53</v>
      </c>
      <c r="F3717" s="21">
        <v>30744.0</v>
      </c>
      <c r="G3717" s="14">
        <f t="shared" si="1"/>
        <v>42</v>
      </c>
      <c r="H3717" s="23" t="s">
        <v>26</v>
      </c>
      <c r="I3717" s="24" t="s">
        <v>33</v>
      </c>
      <c r="J3717" s="19" t="s">
        <v>156</v>
      </c>
      <c r="K3717" s="14">
        <v>35.0</v>
      </c>
      <c r="L3717" s="14">
        <v>0.0</v>
      </c>
      <c r="M3717" s="25"/>
      <c r="N3717" s="26" t="s">
        <v>21</v>
      </c>
      <c r="O3717" s="7"/>
      <c r="P3717" s="7"/>
      <c r="Q3717" s="7"/>
      <c r="R3717" s="7"/>
      <c r="S3717" s="7"/>
      <c r="T3717" s="7"/>
      <c r="U3717" s="7"/>
      <c r="V3717" s="7"/>
      <c r="W3717" s="7"/>
      <c r="X3717" s="7"/>
      <c r="Y3717" s="7"/>
    </row>
    <row r="3718">
      <c r="A3718" s="14" t="s">
        <v>13198</v>
      </c>
      <c r="B3718" s="17" t="s">
        <v>13199</v>
      </c>
      <c r="C3718" s="17" t="s">
        <v>13200</v>
      </c>
      <c r="D3718" s="19" t="s">
        <v>13201</v>
      </c>
      <c r="E3718" s="20" t="s">
        <v>104</v>
      </c>
      <c r="F3718" s="27">
        <v>34624.0</v>
      </c>
      <c r="G3718" s="14">
        <f t="shared" si="1"/>
        <v>32</v>
      </c>
      <c r="H3718" s="23" t="s">
        <v>100</v>
      </c>
      <c r="I3718" s="24" t="s">
        <v>33</v>
      </c>
      <c r="J3718" s="19" t="s">
        <v>328</v>
      </c>
      <c r="K3718" s="14">
        <v>25.0</v>
      </c>
      <c r="L3718" s="14">
        <v>0.0</v>
      </c>
      <c r="M3718" s="25"/>
      <c r="N3718" s="26" t="s">
        <v>21</v>
      </c>
      <c r="O3718" s="7"/>
      <c r="P3718" s="7"/>
      <c r="Q3718" s="7"/>
      <c r="R3718" s="7"/>
      <c r="S3718" s="7"/>
      <c r="T3718" s="7"/>
      <c r="U3718" s="7"/>
      <c r="V3718" s="7"/>
      <c r="W3718" s="7"/>
      <c r="X3718" s="7"/>
      <c r="Y3718" s="7"/>
    </row>
    <row r="3719">
      <c r="A3719" s="14" t="s">
        <v>13202</v>
      </c>
      <c r="B3719" s="17" t="s">
        <v>13199</v>
      </c>
      <c r="C3719" s="17" t="s">
        <v>13203</v>
      </c>
      <c r="D3719" s="19" t="s">
        <v>13204</v>
      </c>
      <c r="E3719" s="20" t="s">
        <v>13205</v>
      </c>
      <c r="F3719" s="21">
        <v>20958.0</v>
      </c>
      <c r="G3719" s="14">
        <f t="shared" si="1"/>
        <v>69</v>
      </c>
      <c r="H3719" s="23" t="s">
        <v>26</v>
      </c>
      <c r="I3719" s="24" t="s">
        <v>33</v>
      </c>
      <c r="J3719" s="19" t="s">
        <v>328</v>
      </c>
      <c r="K3719" s="14">
        <v>25.0</v>
      </c>
      <c r="L3719" s="14">
        <v>0.0</v>
      </c>
      <c r="M3719" s="25"/>
      <c r="N3719" s="26" t="s">
        <v>21</v>
      </c>
      <c r="O3719" s="7"/>
      <c r="P3719" s="7"/>
      <c r="Q3719" s="7"/>
      <c r="R3719" s="7"/>
      <c r="S3719" s="7"/>
      <c r="T3719" s="7"/>
      <c r="U3719" s="7"/>
      <c r="V3719" s="7"/>
      <c r="W3719" s="7"/>
      <c r="X3719" s="7"/>
      <c r="Y3719" s="7"/>
    </row>
    <row r="3720">
      <c r="A3720" s="14" t="s">
        <v>13206</v>
      </c>
      <c r="B3720" s="17" t="s">
        <v>13199</v>
      </c>
      <c r="C3720" s="17" t="s">
        <v>13207</v>
      </c>
      <c r="D3720" s="19" t="s">
        <v>13208</v>
      </c>
      <c r="E3720" s="20" t="s">
        <v>632</v>
      </c>
      <c r="F3720" s="21">
        <v>22463.0</v>
      </c>
      <c r="G3720" s="14">
        <f t="shared" si="1"/>
        <v>65</v>
      </c>
      <c r="H3720" s="23" t="s">
        <v>26</v>
      </c>
      <c r="I3720" s="24" t="s">
        <v>27</v>
      </c>
      <c r="J3720" s="19" t="s">
        <v>328</v>
      </c>
      <c r="K3720" s="14">
        <v>25.0</v>
      </c>
      <c r="L3720" s="14">
        <v>0.0</v>
      </c>
      <c r="M3720" s="25"/>
      <c r="N3720" s="26" t="s">
        <v>21</v>
      </c>
      <c r="O3720" s="7"/>
      <c r="P3720" s="7"/>
      <c r="Q3720" s="7"/>
      <c r="R3720" s="7"/>
      <c r="S3720" s="7"/>
      <c r="T3720" s="7"/>
      <c r="U3720" s="7"/>
      <c r="V3720" s="7"/>
      <c r="W3720" s="7"/>
      <c r="X3720" s="7"/>
      <c r="Y3720" s="7"/>
    </row>
    <row r="3721">
      <c r="A3721" s="14" t="s">
        <v>13209</v>
      </c>
      <c r="B3721" s="17" t="s">
        <v>13210</v>
      </c>
      <c r="C3721" s="17" t="s">
        <v>13211</v>
      </c>
      <c r="D3721" s="19" t="s">
        <v>13212</v>
      </c>
      <c r="E3721" s="20" t="s">
        <v>138</v>
      </c>
      <c r="F3721" s="21">
        <v>36671.0</v>
      </c>
      <c r="G3721" s="14">
        <f t="shared" si="1"/>
        <v>26</v>
      </c>
      <c r="H3721" s="23" t="s">
        <v>100</v>
      </c>
      <c r="I3721" s="24" t="s">
        <v>33</v>
      </c>
      <c r="J3721" s="19" t="s">
        <v>13213</v>
      </c>
      <c r="K3721" s="14">
        <v>7.0</v>
      </c>
      <c r="L3721" s="14">
        <v>0.0</v>
      </c>
      <c r="M3721" s="25"/>
      <c r="N3721" s="26" t="s">
        <v>21</v>
      </c>
      <c r="O3721" s="7"/>
      <c r="P3721" s="7"/>
      <c r="Q3721" s="7"/>
      <c r="R3721" s="7"/>
      <c r="S3721" s="7"/>
      <c r="T3721" s="7"/>
      <c r="U3721" s="7"/>
      <c r="V3721" s="7"/>
      <c r="W3721" s="7"/>
      <c r="X3721" s="7"/>
      <c r="Y3721" s="7"/>
    </row>
    <row r="3722">
      <c r="A3722" s="14" t="s">
        <v>13214</v>
      </c>
      <c r="B3722" s="17" t="s">
        <v>13215</v>
      </c>
      <c r="C3722" s="17" t="s">
        <v>13216</v>
      </c>
      <c r="D3722" s="19" t="s">
        <v>13217</v>
      </c>
      <c r="E3722" s="20" t="s">
        <v>53</v>
      </c>
      <c r="F3722" s="27">
        <v>35369.0</v>
      </c>
      <c r="G3722" s="14">
        <f t="shared" si="1"/>
        <v>29</v>
      </c>
      <c r="H3722" s="23" t="s">
        <v>26</v>
      </c>
      <c r="I3722" s="24" t="s">
        <v>33</v>
      </c>
      <c r="J3722" s="19" t="s">
        <v>53</v>
      </c>
      <c r="K3722" s="14">
        <v>29.0</v>
      </c>
      <c r="L3722" s="14">
        <v>5.0</v>
      </c>
      <c r="M3722" s="25"/>
      <c r="N3722" s="26" t="s">
        <v>21</v>
      </c>
      <c r="O3722" s="7"/>
      <c r="P3722" s="7"/>
      <c r="Q3722" s="7"/>
      <c r="R3722" s="7"/>
      <c r="S3722" s="7"/>
      <c r="T3722" s="7"/>
      <c r="U3722" s="7"/>
      <c r="V3722" s="7"/>
      <c r="W3722" s="7"/>
      <c r="X3722" s="7"/>
      <c r="Y3722" s="7"/>
    </row>
    <row r="3723">
      <c r="A3723" s="14" t="s">
        <v>13218</v>
      </c>
      <c r="B3723" s="17" t="s">
        <v>13215</v>
      </c>
      <c r="C3723" s="17" t="s">
        <v>13219</v>
      </c>
      <c r="D3723" s="19" t="s">
        <v>13221</v>
      </c>
      <c r="E3723" s="20" t="s">
        <v>195</v>
      </c>
      <c r="F3723" s="21">
        <v>35807.0</v>
      </c>
      <c r="G3723" s="14">
        <f t="shared" si="1"/>
        <v>28</v>
      </c>
      <c r="H3723" s="23" t="s">
        <v>26</v>
      </c>
      <c r="I3723" s="24" t="s">
        <v>27</v>
      </c>
      <c r="J3723" s="19" t="s">
        <v>53</v>
      </c>
      <c r="K3723" s="14">
        <v>29.0</v>
      </c>
      <c r="L3723" s="14">
        <v>5.0</v>
      </c>
      <c r="M3723" s="25"/>
      <c r="N3723" s="26" t="s">
        <v>21</v>
      </c>
      <c r="O3723" s="7"/>
      <c r="P3723" s="7"/>
      <c r="Q3723" s="7"/>
      <c r="R3723" s="7"/>
      <c r="S3723" s="7"/>
      <c r="T3723" s="7"/>
      <c r="U3723" s="7"/>
      <c r="V3723" s="7"/>
      <c r="W3723" s="7"/>
      <c r="X3723" s="7"/>
      <c r="Y3723" s="7"/>
    </row>
    <row r="3724">
      <c r="A3724" s="14" t="s">
        <v>13222</v>
      </c>
      <c r="B3724" s="17" t="s">
        <v>13223</v>
      </c>
      <c r="C3724" s="17" t="s">
        <v>13224</v>
      </c>
      <c r="D3724" s="19" t="s">
        <v>13225</v>
      </c>
      <c r="E3724" s="20" t="s">
        <v>104</v>
      </c>
      <c r="F3724" s="21">
        <v>36934.0</v>
      </c>
      <c r="G3724" s="14">
        <f t="shared" si="1"/>
        <v>25</v>
      </c>
      <c r="H3724" s="23" t="s">
        <v>100</v>
      </c>
      <c r="I3724" s="24" t="s">
        <v>33</v>
      </c>
      <c r="J3724" s="19" t="s">
        <v>68</v>
      </c>
      <c r="K3724" s="14">
        <v>35.0</v>
      </c>
      <c r="L3724" s="14">
        <v>1.0</v>
      </c>
      <c r="M3724" s="25"/>
      <c r="N3724" s="26" t="s">
        <v>21</v>
      </c>
      <c r="O3724" s="7"/>
      <c r="P3724" s="7"/>
      <c r="Q3724" s="7"/>
      <c r="R3724" s="7"/>
      <c r="S3724" s="7"/>
      <c r="T3724" s="7"/>
      <c r="U3724" s="7"/>
      <c r="V3724" s="7"/>
      <c r="W3724" s="7"/>
      <c r="X3724" s="7"/>
      <c r="Y3724" s="7"/>
    </row>
    <row r="3725">
      <c r="A3725" s="14" t="s">
        <v>13226</v>
      </c>
      <c r="B3725" s="17" t="s">
        <v>13223</v>
      </c>
      <c r="C3725" s="17" t="s">
        <v>13227</v>
      </c>
      <c r="D3725" s="19" t="s">
        <v>13228</v>
      </c>
      <c r="E3725" s="20" t="s">
        <v>138</v>
      </c>
      <c r="F3725" s="21">
        <v>38907.0</v>
      </c>
      <c r="G3725" s="14">
        <f t="shared" si="1"/>
        <v>20</v>
      </c>
      <c r="H3725" s="23" t="s">
        <v>100</v>
      </c>
      <c r="I3725" s="24" t="s">
        <v>27</v>
      </c>
      <c r="J3725" s="19" t="s">
        <v>68</v>
      </c>
      <c r="K3725" s="14">
        <v>35.0</v>
      </c>
      <c r="L3725" s="14">
        <v>0.0</v>
      </c>
      <c r="M3725" s="25"/>
      <c r="N3725" s="26" t="s">
        <v>21</v>
      </c>
      <c r="O3725" s="7"/>
      <c r="P3725" s="7"/>
      <c r="Q3725" s="7"/>
      <c r="R3725" s="7"/>
      <c r="S3725" s="7"/>
      <c r="T3725" s="7"/>
      <c r="U3725" s="7"/>
      <c r="V3725" s="7"/>
      <c r="W3725" s="7"/>
      <c r="X3725" s="7"/>
      <c r="Y3725" s="7"/>
    </row>
    <row r="3726">
      <c r="A3726" s="14" t="s">
        <v>13229</v>
      </c>
      <c r="B3726" s="17" t="s">
        <v>13223</v>
      </c>
      <c r="C3726" s="17" t="s">
        <v>13230</v>
      </c>
      <c r="D3726" s="19" t="s">
        <v>6134</v>
      </c>
      <c r="E3726" s="20" t="s">
        <v>67</v>
      </c>
      <c r="F3726" s="21">
        <v>24929.0</v>
      </c>
      <c r="G3726" s="14">
        <f t="shared" si="1"/>
        <v>58</v>
      </c>
      <c r="H3726" s="23" t="s">
        <v>26</v>
      </c>
      <c r="I3726" s="24" t="s">
        <v>33</v>
      </c>
      <c r="J3726" s="19" t="s">
        <v>68</v>
      </c>
      <c r="K3726" s="14">
        <v>35.0</v>
      </c>
      <c r="L3726" s="14">
        <v>0.0</v>
      </c>
      <c r="M3726" s="25"/>
      <c r="N3726" s="26" t="s">
        <v>21</v>
      </c>
      <c r="O3726" s="7"/>
      <c r="P3726" s="7"/>
      <c r="Q3726" s="7"/>
      <c r="R3726" s="7"/>
      <c r="S3726" s="7"/>
      <c r="T3726" s="7"/>
      <c r="U3726" s="7"/>
      <c r="V3726" s="7"/>
      <c r="W3726" s="7"/>
      <c r="X3726" s="7"/>
      <c r="Y3726" s="7"/>
    </row>
    <row r="3727">
      <c r="A3727" s="14" t="s">
        <v>13231</v>
      </c>
      <c r="B3727" s="17" t="s">
        <v>13223</v>
      </c>
      <c r="C3727" s="17" t="s">
        <v>13232</v>
      </c>
      <c r="D3727" s="19" t="s">
        <v>5493</v>
      </c>
      <c r="E3727" s="20" t="s">
        <v>104</v>
      </c>
      <c r="F3727" s="21">
        <v>28321.0</v>
      </c>
      <c r="G3727" s="14">
        <f t="shared" si="1"/>
        <v>49</v>
      </c>
      <c r="H3727" s="23" t="s">
        <v>26</v>
      </c>
      <c r="I3727" s="24" t="s">
        <v>27</v>
      </c>
      <c r="J3727" s="19" t="s">
        <v>68</v>
      </c>
      <c r="K3727" s="14">
        <v>35.0</v>
      </c>
      <c r="L3727" s="14">
        <v>0.0</v>
      </c>
      <c r="M3727" s="25"/>
      <c r="N3727" s="26" t="s">
        <v>21</v>
      </c>
      <c r="O3727" s="7"/>
      <c r="P3727" s="7"/>
      <c r="Q3727" s="7"/>
      <c r="R3727" s="7"/>
      <c r="S3727" s="7"/>
      <c r="T3727" s="7"/>
      <c r="U3727" s="7"/>
      <c r="V3727" s="7"/>
      <c r="W3727" s="7"/>
      <c r="X3727" s="7"/>
      <c r="Y3727" s="7"/>
    </row>
    <row r="3728">
      <c r="A3728" s="14" t="s">
        <v>13233</v>
      </c>
      <c r="B3728" s="17" t="s">
        <v>13234</v>
      </c>
      <c r="C3728" s="17" t="s">
        <v>13235</v>
      </c>
      <c r="D3728" s="19" t="s">
        <v>13236</v>
      </c>
      <c r="E3728" s="20" t="s">
        <v>1291</v>
      </c>
      <c r="F3728" s="21">
        <v>20333.0</v>
      </c>
      <c r="G3728" s="14">
        <f t="shared" si="1"/>
        <v>71</v>
      </c>
      <c r="H3728" s="23" t="s">
        <v>26</v>
      </c>
      <c r="I3728" s="24" t="s">
        <v>33</v>
      </c>
      <c r="J3728" s="19" t="s">
        <v>68</v>
      </c>
      <c r="K3728" s="14">
        <v>34.0</v>
      </c>
      <c r="L3728" s="14">
        <v>0.0</v>
      </c>
      <c r="M3728" s="25"/>
      <c r="N3728" s="26" t="s">
        <v>21</v>
      </c>
      <c r="O3728" s="7"/>
      <c r="P3728" s="7"/>
      <c r="Q3728" s="7"/>
      <c r="R3728" s="7"/>
      <c r="S3728" s="7"/>
      <c r="T3728" s="7"/>
      <c r="U3728" s="7"/>
      <c r="V3728" s="7"/>
      <c r="W3728" s="7"/>
      <c r="X3728" s="7"/>
      <c r="Y3728" s="7"/>
    </row>
    <row r="3729">
      <c r="A3729" s="14" t="s">
        <v>13237</v>
      </c>
      <c r="B3729" s="17" t="s">
        <v>13234</v>
      </c>
      <c r="C3729" s="17" t="s">
        <v>13238</v>
      </c>
      <c r="D3729" s="19" t="s">
        <v>6171</v>
      </c>
      <c r="E3729" s="20" t="s">
        <v>67</v>
      </c>
      <c r="F3729" s="21">
        <v>24283.0</v>
      </c>
      <c r="G3729" s="14">
        <f t="shared" si="1"/>
        <v>60</v>
      </c>
      <c r="H3729" s="23" t="s">
        <v>26</v>
      </c>
      <c r="I3729" s="24" t="s">
        <v>27</v>
      </c>
      <c r="J3729" s="19" t="s">
        <v>68</v>
      </c>
      <c r="K3729" s="14">
        <v>34.0</v>
      </c>
      <c r="L3729" s="14">
        <v>0.0</v>
      </c>
      <c r="M3729" s="25"/>
      <c r="N3729" s="26" t="s">
        <v>21</v>
      </c>
      <c r="O3729" s="7"/>
      <c r="P3729" s="7"/>
      <c r="Q3729" s="7"/>
      <c r="R3729" s="7"/>
      <c r="S3729" s="7"/>
      <c r="T3729" s="7"/>
      <c r="U3729" s="7"/>
      <c r="V3729" s="7"/>
      <c r="W3729" s="7"/>
      <c r="X3729" s="7"/>
      <c r="Y3729" s="7"/>
    </row>
    <row r="3730">
      <c r="A3730" s="14" t="s">
        <v>13239</v>
      </c>
      <c r="B3730" s="17" t="s">
        <v>13240</v>
      </c>
      <c r="C3730" s="17" t="s">
        <v>13241</v>
      </c>
      <c r="D3730" s="19" t="s">
        <v>13242</v>
      </c>
      <c r="E3730" s="20" t="s">
        <v>67</v>
      </c>
      <c r="F3730" s="21">
        <v>23898.0</v>
      </c>
      <c r="G3730" s="14">
        <f t="shared" si="1"/>
        <v>61</v>
      </c>
      <c r="H3730" s="23" t="s">
        <v>26</v>
      </c>
      <c r="I3730" s="24" t="s">
        <v>33</v>
      </c>
      <c r="J3730" s="19" t="s">
        <v>68</v>
      </c>
      <c r="K3730" s="14">
        <v>35.0</v>
      </c>
      <c r="L3730" s="14">
        <v>0.0</v>
      </c>
      <c r="M3730" s="25"/>
      <c r="N3730" s="26" t="s">
        <v>21</v>
      </c>
      <c r="O3730" s="7"/>
      <c r="P3730" s="7"/>
      <c r="Q3730" s="7"/>
      <c r="R3730" s="7"/>
      <c r="S3730" s="7"/>
      <c r="T3730" s="7"/>
      <c r="U3730" s="7"/>
      <c r="V3730" s="7"/>
      <c r="W3730" s="7"/>
      <c r="X3730" s="7"/>
      <c r="Y3730" s="7"/>
    </row>
    <row r="3731">
      <c r="A3731" s="14" t="s">
        <v>13243</v>
      </c>
      <c r="B3731" s="17" t="s">
        <v>13240</v>
      </c>
      <c r="C3731" s="17" t="s">
        <v>13244</v>
      </c>
      <c r="D3731" s="19" t="s">
        <v>13245</v>
      </c>
      <c r="E3731" s="20" t="s">
        <v>53</v>
      </c>
      <c r="F3731" s="21">
        <v>38973.0</v>
      </c>
      <c r="G3731" s="14">
        <f t="shared" si="1"/>
        <v>20</v>
      </c>
      <c r="H3731" s="23" t="s">
        <v>100</v>
      </c>
      <c r="I3731" s="24" t="s">
        <v>27</v>
      </c>
      <c r="J3731" s="19" t="s">
        <v>68</v>
      </c>
      <c r="K3731" s="14">
        <v>35.0</v>
      </c>
      <c r="L3731" s="14">
        <v>0.0</v>
      </c>
      <c r="M3731" s="25"/>
      <c r="N3731" s="26" t="s">
        <v>21</v>
      </c>
      <c r="O3731" s="7"/>
      <c r="P3731" s="7"/>
      <c r="Q3731" s="7"/>
      <c r="R3731" s="7"/>
      <c r="S3731" s="7"/>
      <c r="T3731" s="7"/>
      <c r="U3731" s="7"/>
      <c r="V3731" s="7"/>
      <c r="W3731" s="7"/>
      <c r="X3731" s="7"/>
      <c r="Y3731" s="7"/>
    </row>
    <row r="3732">
      <c r="A3732" s="14" t="s">
        <v>13246</v>
      </c>
      <c r="B3732" s="17" t="s">
        <v>13240</v>
      </c>
      <c r="C3732" s="17" t="s">
        <v>13247</v>
      </c>
      <c r="D3732" s="19" t="s">
        <v>9601</v>
      </c>
      <c r="E3732" s="20" t="s">
        <v>13248</v>
      </c>
      <c r="F3732" s="21">
        <v>30845.0</v>
      </c>
      <c r="G3732" s="14">
        <f t="shared" si="1"/>
        <v>42</v>
      </c>
      <c r="H3732" s="23" t="s">
        <v>26</v>
      </c>
      <c r="I3732" s="24" t="s">
        <v>27</v>
      </c>
      <c r="J3732" s="19" t="s">
        <v>68</v>
      </c>
      <c r="K3732" s="14">
        <v>35.0</v>
      </c>
      <c r="L3732" s="14">
        <v>0.0</v>
      </c>
      <c r="M3732" s="25"/>
      <c r="N3732" s="26" t="s">
        <v>21</v>
      </c>
      <c r="O3732" s="7"/>
      <c r="P3732" s="7"/>
      <c r="Q3732" s="7"/>
      <c r="R3732" s="7"/>
      <c r="S3732" s="7"/>
      <c r="T3732" s="7"/>
      <c r="U3732" s="7"/>
      <c r="V3732" s="7"/>
      <c r="W3732" s="7"/>
      <c r="X3732" s="7"/>
      <c r="Y3732" s="7"/>
    </row>
    <row r="3733">
      <c r="A3733" s="14" t="s">
        <v>13249</v>
      </c>
      <c r="B3733" s="17" t="s">
        <v>13250</v>
      </c>
      <c r="C3733" s="17" t="s">
        <v>13251</v>
      </c>
      <c r="D3733" s="19" t="s">
        <v>13252</v>
      </c>
      <c r="E3733" s="20" t="s">
        <v>2551</v>
      </c>
      <c r="F3733" s="21">
        <v>35079.0</v>
      </c>
      <c r="G3733" s="14">
        <f t="shared" si="1"/>
        <v>30</v>
      </c>
      <c r="H3733" s="23" t="s">
        <v>100</v>
      </c>
      <c r="I3733" s="24" t="s">
        <v>27</v>
      </c>
      <c r="J3733" s="19" t="s">
        <v>328</v>
      </c>
      <c r="K3733" s="14">
        <v>21.0</v>
      </c>
      <c r="L3733" s="14">
        <v>7.0</v>
      </c>
      <c r="M3733" s="28" t="s">
        <v>14433</v>
      </c>
      <c r="N3733" s="26" t="s">
        <v>21</v>
      </c>
      <c r="O3733" s="7"/>
      <c r="P3733" s="7"/>
      <c r="Q3733" s="7"/>
      <c r="R3733" s="7"/>
      <c r="S3733" s="7"/>
      <c r="T3733" s="7"/>
      <c r="U3733" s="7"/>
      <c r="V3733" s="7"/>
      <c r="W3733" s="7"/>
      <c r="X3733" s="7"/>
      <c r="Y3733" s="7"/>
    </row>
    <row r="3734">
      <c r="A3734" s="14" t="s">
        <v>13253</v>
      </c>
      <c r="B3734" s="17" t="s">
        <v>13250</v>
      </c>
      <c r="C3734" s="17" t="s">
        <v>13254</v>
      </c>
      <c r="D3734" s="19" t="s">
        <v>13255</v>
      </c>
      <c r="E3734" s="20" t="s">
        <v>4976</v>
      </c>
      <c r="F3734" s="21">
        <v>32244.0</v>
      </c>
      <c r="G3734" s="14">
        <f t="shared" si="1"/>
        <v>38</v>
      </c>
      <c r="H3734" s="23" t="s">
        <v>26</v>
      </c>
      <c r="I3734" s="24" t="s">
        <v>27</v>
      </c>
      <c r="J3734" s="19" t="s">
        <v>328</v>
      </c>
      <c r="K3734" s="14">
        <v>21.0</v>
      </c>
      <c r="L3734" s="14">
        <v>1.0</v>
      </c>
      <c r="M3734" s="25"/>
      <c r="N3734" s="26" t="s">
        <v>21</v>
      </c>
      <c r="O3734" s="7"/>
      <c r="P3734" s="7"/>
      <c r="Q3734" s="7"/>
      <c r="R3734" s="7"/>
      <c r="S3734" s="7"/>
      <c r="T3734" s="7"/>
      <c r="U3734" s="7"/>
      <c r="V3734" s="7"/>
      <c r="W3734" s="7"/>
      <c r="X3734" s="7"/>
      <c r="Y3734" s="7"/>
    </row>
    <row r="3735">
      <c r="A3735" s="14" t="s">
        <v>13256</v>
      </c>
      <c r="B3735" s="17" t="s">
        <v>13250</v>
      </c>
      <c r="C3735" s="17" t="s">
        <v>13257</v>
      </c>
      <c r="D3735" s="19" t="s">
        <v>6611</v>
      </c>
      <c r="E3735" s="20" t="s">
        <v>632</v>
      </c>
      <c r="F3735" s="21">
        <v>18810.0</v>
      </c>
      <c r="G3735" s="14">
        <f t="shared" si="1"/>
        <v>75</v>
      </c>
      <c r="H3735" s="23" t="s">
        <v>26</v>
      </c>
      <c r="I3735" s="24" t="s">
        <v>33</v>
      </c>
      <c r="J3735" s="19" t="s">
        <v>328</v>
      </c>
      <c r="K3735" s="14">
        <v>21.0</v>
      </c>
      <c r="L3735" s="14">
        <v>0.0</v>
      </c>
      <c r="M3735" s="25"/>
      <c r="N3735" s="26" t="s">
        <v>21</v>
      </c>
      <c r="O3735" s="7"/>
      <c r="P3735" s="7"/>
      <c r="Q3735" s="7"/>
      <c r="R3735" s="7"/>
      <c r="S3735" s="7"/>
      <c r="T3735" s="7"/>
      <c r="U3735" s="7"/>
      <c r="V3735" s="7"/>
      <c r="W3735" s="7"/>
      <c r="X3735" s="7"/>
      <c r="Y3735" s="7"/>
    </row>
    <row r="3736">
      <c r="A3736" s="14" t="s">
        <v>13258</v>
      </c>
      <c r="B3736" s="17" t="s">
        <v>13259</v>
      </c>
      <c r="C3736" s="17" t="s">
        <v>13260</v>
      </c>
      <c r="D3736" s="19" t="s">
        <v>13261</v>
      </c>
      <c r="E3736" s="20" t="s">
        <v>1291</v>
      </c>
      <c r="F3736" s="21">
        <v>25361.0</v>
      </c>
      <c r="G3736" s="14">
        <f t="shared" si="1"/>
        <v>57</v>
      </c>
      <c r="H3736" s="23" t="s">
        <v>26</v>
      </c>
      <c r="I3736" s="24" t="s">
        <v>27</v>
      </c>
      <c r="J3736" s="19" t="s">
        <v>68</v>
      </c>
      <c r="K3736" s="14">
        <v>34.0</v>
      </c>
      <c r="L3736" s="14">
        <v>0.0</v>
      </c>
      <c r="M3736" s="25"/>
      <c r="N3736" s="26" t="s">
        <v>21</v>
      </c>
      <c r="O3736" s="7"/>
      <c r="P3736" s="7"/>
      <c r="Q3736" s="7"/>
      <c r="R3736" s="7"/>
      <c r="S3736" s="7"/>
      <c r="T3736" s="7"/>
      <c r="U3736" s="7"/>
      <c r="V3736" s="7"/>
      <c r="W3736" s="7"/>
      <c r="X3736" s="7"/>
      <c r="Y3736" s="7"/>
    </row>
    <row r="3737">
      <c r="A3737" s="14" t="s">
        <v>13262</v>
      </c>
      <c r="B3737" s="17" t="s">
        <v>13259</v>
      </c>
      <c r="C3737" s="17" t="s">
        <v>13263</v>
      </c>
      <c r="D3737" s="19" t="s">
        <v>13264</v>
      </c>
      <c r="E3737" s="20" t="s">
        <v>10266</v>
      </c>
      <c r="F3737" s="21">
        <v>22333.0</v>
      </c>
      <c r="G3737" s="14">
        <f t="shared" si="1"/>
        <v>65</v>
      </c>
      <c r="H3737" s="23" t="s">
        <v>26</v>
      </c>
      <c r="I3737" s="24" t="s">
        <v>33</v>
      </c>
      <c r="J3737" s="19" t="s">
        <v>68</v>
      </c>
      <c r="K3737" s="14">
        <v>34.0</v>
      </c>
      <c r="L3737" s="14">
        <v>0.0</v>
      </c>
      <c r="M3737" s="25"/>
      <c r="N3737" s="26" t="s">
        <v>21</v>
      </c>
      <c r="O3737" s="7"/>
      <c r="P3737" s="7"/>
      <c r="Q3737" s="7"/>
      <c r="R3737" s="7"/>
      <c r="S3737" s="7"/>
      <c r="T3737" s="7"/>
      <c r="U3737" s="7"/>
      <c r="V3737" s="7"/>
      <c r="W3737" s="7"/>
      <c r="X3737" s="7"/>
      <c r="Y3737" s="7"/>
    </row>
    <row r="3738">
      <c r="A3738" s="14" t="s">
        <v>13265</v>
      </c>
      <c r="B3738" s="17" t="s">
        <v>13266</v>
      </c>
      <c r="C3738" s="17" t="s">
        <v>13267</v>
      </c>
      <c r="D3738" s="19" t="s">
        <v>13268</v>
      </c>
      <c r="E3738" s="20" t="s">
        <v>210</v>
      </c>
      <c r="F3738" s="21">
        <v>30902.0</v>
      </c>
      <c r="G3738" s="14">
        <f t="shared" si="1"/>
        <v>42</v>
      </c>
      <c r="H3738" s="23" t="s">
        <v>26</v>
      </c>
      <c r="I3738" s="24" t="s">
        <v>33</v>
      </c>
      <c r="J3738" s="19" t="s">
        <v>13269</v>
      </c>
      <c r="K3738" s="14">
        <v>17.0</v>
      </c>
      <c r="L3738" s="14">
        <v>0.0</v>
      </c>
      <c r="M3738" s="25"/>
      <c r="N3738" s="26" t="s">
        <v>21</v>
      </c>
      <c r="O3738" s="7"/>
      <c r="P3738" s="7"/>
      <c r="Q3738" s="7"/>
      <c r="R3738" s="7"/>
      <c r="S3738" s="7"/>
      <c r="T3738" s="7"/>
      <c r="U3738" s="7"/>
      <c r="V3738" s="7"/>
      <c r="W3738" s="7"/>
      <c r="X3738" s="7"/>
      <c r="Y3738" s="7"/>
    </row>
    <row r="3739">
      <c r="A3739" s="14" t="s">
        <v>13270</v>
      </c>
      <c r="B3739" s="17" t="s">
        <v>13266</v>
      </c>
      <c r="C3739" s="17" t="s">
        <v>13271</v>
      </c>
      <c r="D3739" s="19" t="s">
        <v>103</v>
      </c>
      <c r="E3739" s="20" t="s">
        <v>104</v>
      </c>
      <c r="F3739" s="21">
        <v>32949.0</v>
      </c>
      <c r="G3739" s="14">
        <f t="shared" si="1"/>
        <v>36</v>
      </c>
      <c r="H3739" s="23" t="s">
        <v>26</v>
      </c>
      <c r="I3739" s="24" t="s">
        <v>27</v>
      </c>
      <c r="J3739" s="19" t="s">
        <v>328</v>
      </c>
      <c r="K3739" s="14">
        <v>17.0</v>
      </c>
      <c r="L3739" s="14">
        <v>0.0</v>
      </c>
      <c r="M3739" s="25"/>
      <c r="N3739" s="26" t="s">
        <v>21</v>
      </c>
      <c r="O3739" s="7"/>
      <c r="P3739" s="7"/>
      <c r="Q3739" s="7"/>
      <c r="R3739" s="7"/>
      <c r="S3739" s="7"/>
      <c r="T3739" s="7"/>
      <c r="U3739" s="7"/>
      <c r="V3739" s="7"/>
      <c r="W3739" s="7"/>
      <c r="X3739" s="7"/>
      <c r="Y3739" s="7"/>
    </row>
    <row r="3740">
      <c r="A3740" s="14" t="s">
        <v>13272</v>
      </c>
      <c r="B3740" s="17" t="s">
        <v>13273</v>
      </c>
      <c r="C3740" s="17" t="s">
        <v>13274</v>
      </c>
      <c r="D3740" s="19" t="s">
        <v>13275</v>
      </c>
      <c r="E3740" s="20" t="s">
        <v>1038</v>
      </c>
      <c r="F3740" s="21">
        <v>25039.0</v>
      </c>
      <c r="G3740" s="14">
        <f t="shared" si="1"/>
        <v>58</v>
      </c>
      <c r="H3740" s="23" t="s">
        <v>26</v>
      </c>
      <c r="I3740" s="24" t="s">
        <v>33</v>
      </c>
      <c r="J3740" s="19" t="s">
        <v>328</v>
      </c>
      <c r="K3740" s="14">
        <v>22.0</v>
      </c>
      <c r="L3740" s="14">
        <v>6.0</v>
      </c>
      <c r="M3740" s="25"/>
      <c r="N3740" s="26" t="s">
        <v>21</v>
      </c>
      <c r="O3740" s="7"/>
      <c r="P3740" s="7"/>
      <c r="Q3740" s="7"/>
      <c r="R3740" s="7"/>
      <c r="S3740" s="7"/>
      <c r="T3740" s="7"/>
      <c r="U3740" s="7"/>
      <c r="V3740" s="7"/>
      <c r="W3740" s="7"/>
      <c r="X3740" s="7"/>
      <c r="Y3740" s="7"/>
    </row>
    <row r="3741">
      <c r="A3741" s="14" t="s">
        <v>13276</v>
      </c>
      <c r="B3741" s="17" t="s">
        <v>13273</v>
      </c>
      <c r="C3741" s="17" t="s">
        <v>13277</v>
      </c>
      <c r="D3741" s="19" t="s">
        <v>9388</v>
      </c>
      <c r="E3741" s="20" t="s">
        <v>1038</v>
      </c>
      <c r="F3741" s="21">
        <v>22116.0</v>
      </c>
      <c r="G3741" s="14">
        <f t="shared" si="1"/>
        <v>66</v>
      </c>
      <c r="H3741" s="23" t="s">
        <v>26</v>
      </c>
      <c r="I3741" s="24" t="s">
        <v>27</v>
      </c>
      <c r="J3741" s="19" t="s">
        <v>328</v>
      </c>
      <c r="K3741" s="14">
        <v>22.0</v>
      </c>
      <c r="L3741" s="14">
        <v>6.0</v>
      </c>
      <c r="M3741" s="25"/>
      <c r="N3741" s="26" t="s">
        <v>21</v>
      </c>
      <c r="O3741" s="7"/>
      <c r="P3741" s="7"/>
      <c r="Q3741" s="7"/>
      <c r="R3741" s="7"/>
      <c r="S3741" s="7"/>
      <c r="T3741" s="7"/>
      <c r="U3741" s="7"/>
      <c r="V3741" s="7"/>
      <c r="W3741" s="7"/>
      <c r="X3741" s="7"/>
      <c r="Y3741" s="7"/>
    </row>
    <row r="3742">
      <c r="A3742" s="14" t="s">
        <v>13278</v>
      </c>
      <c r="B3742" s="17" t="s">
        <v>13279</v>
      </c>
      <c r="C3742" s="17" t="s">
        <v>13280</v>
      </c>
      <c r="D3742" s="19" t="s">
        <v>13281</v>
      </c>
      <c r="E3742" s="20" t="s">
        <v>624</v>
      </c>
      <c r="F3742" s="21">
        <v>27570.0</v>
      </c>
      <c r="G3742" s="14">
        <f t="shared" si="1"/>
        <v>51</v>
      </c>
      <c r="H3742" s="23" t="s">
        <v>26</v>
      </c>
      <c r="I3742" s="24" t="s">
        <v>33</v>
      </c>
      <c r="J3742" s="19" t="s">
        <v>328</v>
      </c>
      <c r="K3742" s="14">
        <v>21.0</v>
      </c>
      <c r="L3742" s="14">
        <v>0.0</v>
      </c>
      <c r="M3742" s="25"/>
      <c r="N3742" s="26" t="s">
        <v>21</v>
      </c>
      <c r="O3742" s="7"/>
      <c r="P3742" s="7"/>
      <c r="Q3742" s="7"/>
      <c r="R3742" s="7"/>
      <c r="S3742" s="7"/>
      <c r="T3742" s="7"/>
      <c r="U3742" s="7"/>
      <c r="V3742" s="7"/>
      <c r="W3742" s="7"/>
      <c r="X3742" s="7"/>
      <c r="Y3742" s="7"/>
    </row>
    <row r="3743">
      <c r="A3743" s="14" t="s">
        <v>13282</v>
      </c>
      <c r="B3743" s="17" t="s">
        <v>13279</v>
      </c>
      <c r="C3743" s="17" t="s">
        <v>13283</v>
      </c>
      <c r="D3743" s="19" t="s">
        <v>13284</v>
      </c>
      <c r="E3743" s="20" t="s">
        <v>104</v>
      </c>
      <c r="F3743" s="27">
        <v>38654.0</v>
      </c>
      <c r="G3743" s="14">
        <f t="shared" si="1"/>
        <v>21</v>
      </c>
      <c r="H3743" s="23" t="s">
        <v>100</v>
      </c>
      <c r="I3743" s="24" t="s">
        <v>33</v>
      </c>
      <c r="J3743" s="19" t="s">
        <v>328</v>
      </c>
      <c r="K3743" s="14">
        <v>21.0</v>
      </c>
      <c r="L3743" s="14">
        <v>5.0</v>
      </c>
      <c r="M3743" s="25"/>
      <c r="N3743" s="26" t="s">
        <v>21</v>
      </c>
      <c r="O3743" s="7"/>
      <c r="P3743" s="7"/>
      <c r="Q3743" s="7"/>
      <c r="R3743" s="7"/>
      <c r="S3743" s="7"/>
      <c r="T3743" s="7"/>
      <c r="U3743" s="7"/>
      <c r="V3743" s="7"/>
      <c r="W3743" s="7"/>
      <c r="X3743" s="7"/>
      <c r="Y3743" s="7"/>
    </row>
    <row r="3744">
      <c r="A3744" s="14" t="s">
        <v>13285</v>
      </c>
      <c r="B3744" s="17" t="s">
        <v>13279</v>
      </c>
      <c r="C3744" s="17" t="s">
        <v>13286</v>
      </c>
      <c r="D3744" s="19" t="s">
        <v>13287</v>
      </c>
      <c r="E3744" s="20" t="s">
        <v>372</v>
      </c>
      <c r="F3744" s="21">
        <v>30493.0</v>
      </c>
      <c r="G3744" s="14">
        <f t="shared" si="1"/>
        <v>43</v>
      </c>
      <c r="H3744" s="23" t="s">
        <v>26</v>
      </c>
      <c r="I3744" s="24" t="s">
        <v>27</v>
      </c>
      <c r="J3744" s="19" t="s">
        <v>328</v>
      </c>
      <c r="K3744" s="14">
        <v>21.0</v>
      </c>
      <c r="L3744" s="14">
        <v>0.0</v>
      </c>
      <c r="M3744" s="25"/>
      <c r="N3744" s="26" t="s">
        <v>21</v>
      </c>
      <c r="O3744" s="7"/>
      <c r="P3744" s="7"/>
      <c r="Q3744" s="7"/>
      <c r="R3744" s="7"/>
      <c r="S3744" s="7"/>
      <c r="T3744" s="7"/>
      <c r="U3744" s="7"/>
      <c r="V3744" s="7"/>
      <c r="W3744" s="7"/>
      <c r="X3744" s="7"/>
      <c r="Y3744" s="7"/>
    </row>
    <row r="3745">
      <c r="A3745" s="14" t="s">
        <v>13288</v>
      </c>
      <c r="B3745" s="17" t="s">
        <v>13289</v>
      </c>
      <c r="C3745" s="17" t="s">
        <v>13290</v>
      </c>
      <c r="D3745" s="19" t="s">
        <v>13291</v>
      </c>
      <c r="E3745" s="20" t="s">
        <v>104</v>
      </c>
      <c r="F3745" s="21">
        <v>31875.0</v>
      </c>
      <c r="G3745" s="14">
        <f t="shared" si="1"/>
        <v>39</v>
      </c>
      <c r="H3745" s="23" t="s">
        <v>26</v>
      </c>
      <c r="I3745" s="24" t="s">
        <v>27</v>
      </c>
      <c r="J3745" s="19" t="s">
        <v>53</v>
      </c>
      <c r="K3745" s="14">
        <v>15.0</v>
      </c>
      <c r="L3745" s="14">
        <v>0.0</v>
      </c>
      <c r="M3745" s="25"/>
      <c r="N3745" s="26" t="s">
        <v>21</v>
      </c>
      <c r="O3745" s="7"/>
      <c r="P3745" s="7"/>
      <c r="Q3745" s="7"/>
      <c r="R3745" s="7"/>
      <c r="S3745" s="7"/>
      <c r="T3745" s="7"/>
      <c r="U3745" s="7"/>
      <c r="V3745" s="7"/>
      <c r="W3745" s="7"/>
      <c r="X3745" s="7"/>
      <c r="Y3745" s="7"/>
    </row>
    <row r="3746">
      <c r="A3746" s="14" t="s">
        <v>13292</v>
      </c>
      <c r="B3746" s="17" t="s">
        <v>13289</v>
      </c>
      <c r="C3746" s="17" t="s">
        <v>13293</v>
      </c>
      <c r="D3746" s="19" t="s">
        <v>13294</v>
      </c>
      <c r="E3746" s="20" t="s">
        <v>5046</v>
      </c>
      <c r="F3746" s="21">
        <v>30293.0</v>
      </c>
      <c r="G3746" s="14">
        <f t="shared" si="1"/>
        <v>43</v>
      </c>
      <c r="H3746" s="23" t="s">
        <v>26</v>
      </c>
      <c r="I3746" s="24" t="s">
        <v>33</v>
      </c>
      <c r="J3746" s="19" t="s">
        <v>53</v>
      </c>
      <c r="K3746" s="14">
        <v>15.0</v>
      </c>
      <c r="L3746" s="14">
        <v>0.0</v>
      </c>
      <c r="M3746" s="25"/>
      <c r="N3746" s="26" t="s">
        <v>21</v>
      </c>
      <c r="O3746" s="7"/>
      <c r="P3746" s="7"/>
      <c r="Q3746" s="7"/>
      <c r="R3746" s="7"/>
      <c r="S3746" s="7"/>
      <c r="T3746" s="7"/>
      <c r="U3746" s="7"/>
      <c r="V3746" s="7"/>
      <c r="W3746" s="7"/>
      <c r="X3746" s="7"/>
      <c r="Y3746" s="7"/>
    </row>
    <row r="3747">
      <c r="A3747" s="14" t="s">
        <v>13295</v>
      </c>
      <c r="B3747" s="17" t="s">
        <v>13289</v>
      </c>
      <c r="C3747" s="17" t="s">
        <v>13296</v>
      </c>
      <c r="D3747" s="19" t="s">
        <v>13297</v>
      </c>
      <c r="E3747" s="20" t="s">
        <v>138</v>
      </c>
      <c r="F3747" s="21">
        <v>39164.0</v>
      </c>
      <c r="G3747" s="14">
        <f t="shared" si="1"/>
        <v>19</v>
      </c>
      <c r="H3747" s="23" t="s">
        <v>100</v>
      </c>
      <c r="I3747" s="24" t="s">
        <v>33</v>
      </c>
      <c r="J3747" s="19" t="s">
        <v>53</v>
      </c>
      <c r="K3747" s="14">
        <v>15.0</v>
      </c>
      <c r="L3747" s="14">
        <v>0.0</v>
      </c>
      <c r="M3747" s="25"/>
      <c r="N3747" s="26" t="s">
        <v>21</v>
      </c>
      <c r="O3747" s="7"/>
      <c r="P3747" s="7"/>
      <c r="Q3747" s="7"/>
      <c r="R3747" s="7"/>
      <c r="S3747" s="7"/>
      <c r="T3747" s="7"/>
      <c r="U3747" s="7"/>
      <c r="V3747" s="7"/>
      <c r="W3747" s="7"/>
      <c r="X3747" s="7"/>
      <c r="Y3747" s="7"/>
    </row>
    <row r="3748">
      <c r="A3748" s="14" t="s">
        <v>13298</v>
      </c>
      <c r="B3748" s="17" t="s">
        <v>14434</v>
      </c>
      <c r="C3748" s="17" t="s">
        <v>13300</v>
      </c>
      <c r="D3748" s="19" t="s">
        <v>13301</v>
      </c>
      <c r="E3748" s="20" t="s">
        <v>210</v>
      </c>
      <c r="F3748" s="21">
        <v>36740.0</v>
      </c>
      <c r="G3748" s="14">
        <f t="shared" si="1"/>
        <v>26</v>
      </c>
      <c r="H3748" s="23" t="s">
        <v>26</v>
      </c>
      <c r="I3748" s="24" t="s">
        <v>27</v>
      </c>
      <c r="J3748" s="19" t="s">
        <v>156</v>
      </c>
      <c r="K3748" s="14">
        <v>22.0</v>
      </c>
      <c r="L3748" s="14">
        <v>0.0</v>
      </c>
      <c r="M3748" s="25"/>
      <c r="N3748" s="26" t="s">
        <v>21</v>
      </c>
      <c r="O3748" s="7"/>
      <c r="P3748" s="7"/>
      <c r="Q3748" s="7"/>
      <c r="R3748" s="7"/>
      <c r="S3748" s="7"/>
      <c r="T3748" s="7"/>
      <c r="U3748" s="7"/>
      <c r="V3748" s="7"/>
      <c r="W3748" s="7"/>
      <c r="X3748" s="7"/>
      <c r="Y3748" s="7"/>
    </row>
    <row r="3749">
      <c r="A3749" s="14" t="s">
        <v>13302</v>
      </c>
      <c r="B3749" s="17" t="s">
        <v>13299</v>
      </c>
      <c r="C3749" s="17" t="s">
        <v>13303</v>
      </c>
      <c r="D3749" s="19" t="s">
        <v>13304</v>
      </c>
      <c r="E3749" s="20" t="s">
        <v>4923</v>
      </c>
      <c r="F3749" s="21">
        <v>29380.0</v>
      </c>
      <c r="G3749" s="14">
        <f t="shared" si="1"/>
        <v>46</v>
      </c>
      <c r="H3749" s="23" t="s">
        <v>26</v>
      </c>
      <c r="I3749" s="24" t="s">
        <v>33</v>
      </c>
      <c r="J3749" s="19" t="s">
        <v>156</v>
      </c>
      <c r="K3749" s="14">
        <v>22.0</v>
      </c>
      <c r="L3749" s="14">
        <v>0.0</v>
      </c>
      <c r="M3749" s="25"/>
      <c r="N3749" s="26" t="s">
        <v>21</v>
      </c>
      <c r="O3749" s="7"/>
      <c r="P3749" s="7"/>
      <c r="Q3749" s="7"/>
      <c r="R3749" s="7"/>
      <c r="S3749" s="7"/>
      <c r="T3749" s="7"/>
      <c r="U3749" s="7"/>
      <c r="V3749" s="7"/>
      <c r="W3749" s="7"/>
      <c r="X3749" s="7"/>
      <c r="Y3749" s="7"/>
    </row>
    <row r="3750">
      <c r="A3750" s="14" t="s">
        <v>13305</v>
      </c>
      <c r="B3750" s="17" t="s">
        <v>13306</v>
      </c>
      <c r="C3750" s="17" t="s">
        <v>13307</v>
      </c>
      <c r="D3750" s="19" t="s">
        <v>13308</v>
      </c>
      <c r="E3750" s="20" t="s">
        <v>104</v>
      </c>
      <c r="F3750" s="21">
        <v>36833.0</v>
      </c>
      <c r="G3750" s="14">
        <f t="shared" si="1"/>
        <v>25</v>
      </c>
      <c r="H3750" s="23" t="s">
        <v>26</v>
      </c>
      <c r="I3750" s="24" t="s">
        <v>27</v>
      </c>
      <c r="J3750" s="19" t="s">
        <v>282</v>
      </c>
      <c r="K3750" s="14">
        <v>17.0</v>
      </c>
      <c r="L3750" s="14">
        <v>0.0</v>
      </c>
      <c r="M3750" s="25"/>
      <c r="N3750" s="26" t="s">
        <v>21</v>
      </c>
      <c r="O3750" s="7"/>
      <c r="P3750" s="7"/>
      <c r="Q3750" s="7"/>
      <c r="R3750" s="7"/>
      <c r="S3750" s="7"/>
      <c r="T3750" s="7"/>
      <c r="U3750" s="7"/>
      <c r="V3750" s="7"/>
      <c r="W3750" s="7"/>
      <c r="X3750" s="7"/>
      <c r="Y3750" s="7"/>
    </row>
    <row r="3751">
      <c r="A3751" s="14" t="s">
        <v>13309</v>
      </c>
      <c r="B3751" s="17" t="s">
        <v>13306</v>
      </c>
      <c r="C3751" s="17" t="s">
        <v>13310</v>
      </c>
      <c r="D3751" s="19" t="s">
        <v>2199</v>
      </c>
      <c r="E3751" s="20" t="s">
        <v>104</v>
      </c>
      <c r="F3751" s="27">
        <v>35713.0</v>
      </c>
      <c r="G3751" s="14">
        <f t="shared" si="1"/>
        <v>29</v>
      </c>
      <c r="H3751" s="23" t="s">
        <v>26</v>
      </c>
      <c r="I3751" s="24" t="s">
        <v>33</v>
      </c>
      <c r="J3751" s="19" t="s">
        <v>726</v>
      </c>
      <c r="K3751" s="14">
        <v>17.0</v>
      </c>
      <c r="L3751" s="14">
        <v>5.0</v>
      </c>
      <c r="M3751" s="25"/>
      <c r="N3751" s="26" t="s">
        <v>21</v>
      </c>
      <c r="O3751" s="7"/>
      <c r="P3751" s="7"/>
      <c r="Q3751" s="7"/>
      <c r="R3751" s="7"/>
      <c r="S3751" s="7"/>
      <c r="T3751" s="7"/>
      <c r="U3751" s="7"/>
      <c r="V3751" s="7"/>
      <c r="W3751" s="7"/>
      <c r="X3751" s="7"/>
      <c r="Y3751" s="7"/>
    </row>
    <row r="3752">
      <c r="A3752" s="14" t="s">
        <v>13311</v>
      </c>
      <c r="B3752" s="17" t="s">
        <v>13312</v>
      </c>
      <c r="C3752" s="17" t="s">
        <v>13313</v>
      </c>
      <c r="D3752" s="19" t="s">
        <v>13314</v>
      </c>
      <c r="E3752" s="20" t="s">
        <v>632</v>
      </c>
      <c r="F3752" s="21">
        <v>12966.0</v>
      </c>
      <c r="G3752" s="14">
        <f t="shared" si="1"/>
        <v>91</v>
      </c>
      <c r="H3752" s="23" t="s">
        <v>27</v>
      </c>
      <c r="I3752" s="24" t="s">
        <v>27</v>
      </c>
      <c r="J3752" s="19" t="s">
        <v>156</v>
      </c>
      <c r="K3752" s="14">
        <v>30.0</v>
      </c>
      <c r="L3752" s="14">
        <v>0.0</v>
      </c>
      <c r="M3752" s="25"/>
      <c r="N3752" s="26" t="s">
        <v>21</v>
      </c>
      <c r="O3752" s="7"/>
      <c r="P3752" s="7"/>
      <c r="Q3752" s="7"/>
      <c r="R3752" s="7"/>
      <c r="S3752" s="7"/>
      <c r="T3752" s="7"/>
      <c r="U3752" s="7"/>
      <c r="V3752" s="7"/>
      <c r="W3752" s="7"/>
      <c r="X3752" s="7"/>
      <c r="Y3752" s="7"/>
    </row>
    <row r="3753">
      <c r="A3753" s="14" t="s">
        <v>13315</v>
      </c>
      <c r="B3753" s="17" t="s">
        <v>13316</v>
      </c>
      <c r="C3753" s="17" t="s">
        <v>13317</v>
      </c>
      <c r="D3753" s="19" t="s">
        <v>13318</v>
      </c>
      <c r="E3753" s="20" t="s">
        <v>104</v>
      </c>
      <c r="F3753" s="27">
        <v>36844.0</v>
      </c>
      <c r="G3753" s="14">
        <f t="shared" si="1"/>
        <v>25</v>
      </c>
      <c r="H3753" s="23" t="s">
        <v>26</v>
      </c>
      <c r="I3753" s="24" t="s">
        <v>33</v>
      </c>
      <c r="J3753" s="19" t="s">
        <v>68</v>
      </c>
      <c r="K3753" s="14">
        <v>35.0</v>
      </c>
      <c r="L3753" s="14">
        <v>0.0</v>
      </c>
      <c r="M3753" s="25"/>
      <c r="N3753" s="26" t="s">
        <v>21</v>
      </c>
      <c r="O3753" s="7"/>
      <c r="P3753" s="7"/>
      <c r="Q3753" s="7"/>
      <c r="R3753" s="7"/>
      <c r="S3753" s="7"/>
      <c r="T3753" s="7"/>
      <c r="U3753" s="7"/>
      <c r="V3753" s="7"/>
      <c r="W3753" s="7"/>
      <c r="X3753" s="7"/>
      <c r="Y3753" s="7"/>
    </row>
    <row r="3754">
      <c r="A3754" s="14" t="s">
        <v>13319</v>
      </c>
      <c r="B3754" s="17" t="s">
        <v>13316</v>
      </c>
      <c r="C3754" s="17" t="s">
        <v>13320</v>
      </c>
      <c r="D3754" s="19" t="s">
        <v>13321</v>
      </c>
      <c r="E3754" s="20" t="s">
        <v>53</v>
      </c>
      <c r="F3754" s="21">
        <v>36470.0</v>
      </c>
      <c r="G3754" s="14">
        <f t="shared" si="1"/>
        <v>26</v>
      </c>
      <c r="H3754" s="23" t="s">
        <v>26</v>
      </c>
      <c r="I3754" s="24" t="s">
        <v>27</v>
      </c>
      <c r="J3754" s="19" t="s">
        <v>68</v>
      </c>
      <c r="K3754" s="14">
        <v>35.0</v>
      </c>
      <c r="L3754" s="14">
        <v>0.0</v>
      </c>
      <c r="M3754" s="25"/>
      <c r="N3754" s="26" t="s">
        <v>21</v>
      </c>
      <c r="O3754" s="7"/>
      <c r="P3754" s="7"/>
      <c r="Q3754" s="7"/>
      <c r="R3754" s="7"/>
      <c r="S3754" s="7"/>
      <c r="T3754" s="7"/>
      <c r="U3754" s="7"/>
      <c r="V3754" s="7"/>
      <c r="W3754" s="7"/>
      <c r="X3754" s="7"/>
      <c r="Y3754" s="7"/>
    </row>
    <row r="3755">
      <c r="A3755" s="14" t="s">
        <v>13322</v>
      </c>
      <c r="B3755" s="17" t="s">
        <v>13323</v>
      </c>
      <c r="C3755" s="17" t="s">
        <v>13324</v>
      </c>
      <c r="D3755" s="19" t="s">
        <v>13325</v>
      </c>
      <c r="E3755" s="20" t="s">
        <v>650</v>
      </c>
      <c r="F3755" s="21">
        <v>15539.0</v>
      </c>
      <c r="G3755" s="14">
        <f t="shared" si="1"/>
        <v>84</v>
      </c>
      <c r="H3755" s="23" t="s">
        <v>27</v>
      </c>
      <c r="I3755" s="24" t="s">
        <v>27</v>
      </c>
      <c r="J3755" s="19" t="s">
        <v>53</v>
      </c>
      <c r="K3755" s="14">
        <v>4.0</v>
      </c>
      <c r="L3755" s="14">
        <v>0.0</v>
      </c>
      <c r="M3755" s="25"/>
      <c r="N3755" s="26" t="s">
        <v>21</v>
      </c>
      <c r="O3755" s="7"/>
      <c r="P3755" s="7"/>
      <c r="Q3755" s="7"/>
      <c r="R3755" s="7"/>
      <c r="S3755" s="7"/>
      <c r="T3755" s="7"/>
      <c r="U3755" s="7"/>
      <c r="V3755" s="7"/>
      <c r="W3755" s="7"/>
      <c r="X3755" s="7"/>
      <c r="Y3755" s="7"/>
    </row>
    <row r="3756">
      <c r="A3756" s="14" t="s">
        <v>13326</v>
      </c>
      <c r="B3756" s="17" t="s">
        <v>13327</v>
      </c>
      <c r="C3756" s="17" t="s">
        <v>13328</v>
      </c>
      <c r="D3756" s="19" t="s">
        <v>13329</v>
      </c>
      <c r="E3756" s="20" t="s">
        <v>13330</v>
      </c>
      <c r="F3756" s="21">
        <v>34740.0</v>
      </c>
      <c r="G3756" s="14">
        <f t="shared" si="1"/>
        <v>31</v>
      </c>
      <c r="H3756" s="23" t="s">
        <v>26</v>
      </c>
      <c r="I3756" s="24" t="s">
        <v>33</v>
      </c>
      <c r="J3756" s="19" t="s">
        <v>156</v>
      </c>
      <c r="K3756" s="14">
        <v>29.0</v>
      </c>
      <c r="L3756" s="14">
        <v>5.0</v>
      </c>
      <c r="M3756" s="25"/>
      <c r="N3756" s="26" t="s">
        <v>21</v>
      </c>
      <c r="O3756" s="7"/>
      <c r="P3756" s="7"/>
      <c r="Q3756" s="7"/>
      <c r="R3756" s="7"/>
      <c r="S3756" s="7"/>
      <c r="T3756" s="7"/>
      <c r="U3756" s="7"/>
      <c r="V3756" s="7"/>
      <c r="W3756" s="7"/>
      <c r="X3756" s="7"/>
      <c r="Y3756" s="7"/>
    </row>
    <row r="3757">
      <c r="A3757" s="14" t="s">
        <v>13331</v>
      </c>
      <c r="B3757" s="17" t="s">
        <v>13327</v>
      </c>
      <c r="C3757" s="17" t="s">
        <v>13332</v>
      </c>
      <c r="D3757" s="19" t="s">
        <v>13333</v>
      </c>
      <c r="E3757" s="20" t="s">
        <v>13334</v>
      </c>
      <c r="F3757" s="21">
        <v>35766.0</v>
      </c>
      <c r="G3757" s="14">
        <f t="shared" si="1"/>
        <v>28</v>
      </c>
      <c r="H3757" s="23" t="s">
        <v>26</v>
      </c>
      <c r="I3757" s="24" t="s">
        <v>27</v>
      </c>
      <c r="J3757" s="19" t="s">
        <v>156</v>
      </c>
      <c r="K3757" s="14">
        <v>29.0</v>
      </c>
      <c r="L3757" s="14">
        <v>5.0</v>
      </c>
      <c r="M3757" s="25"/>
      <c r="N3757" s="26" t="s">
        <v>21</v>
      </c>
      <c r="O3757" s="7"/>
      <c r="P3757" s="7"/>
      <c r="Q3757" s="7"/>
      <c r="R3757" s="7"/>
      <c r="S3757" s="7"/>
      <c r="T3757" s="7"/>
      <c r="U3757" s="7"/>
      <c r="V3757" s="7"/>
      <c r="W3757" s="7"/>
      <c r="X3757" s="7"/>
      <c r="Y3757" s="7"/>
    </row>
    <row r="3758">
      <c r="A3758" s="14" t="s">
        <v>13335</v>
      </c>
      <c r="B3758" s="17" t="s">
        <v>13336</v>
      </c>
      <c r="C3758" s="17" t="s">
        <v>13337</v>
      </c>
      <c r="D3758" s="19" t="s">
        <v>13338</v>
      </c>
      <c r="E3758" s="20" t="s">
        <v>654</v>
      </c>
      <c r="F3758" s="21">
        <v>18241.0</v>
      </c>
      <c r="G3758" s="14">
        <f t="shared" si="1"/>
        <v>76</v>
      </c>
      <c r="H3758" s="23" t="s">
        <v>27</v>
      </c>
      <c r="I3758" s="24" t="s">
        <v>27</v>
      </c>
      <c r="J3758" s="19" t="s">
        <v>68</v>
      </c>
      <c r="K3758" s="14">
        <v>31.0</v>
      </c>
      <c r="L3758" s="14">
        <v>0.0</v>
      </c>
      <c r="M3758" s="25"/>
      <c r="N3758" s="26" t="s">
        <v>21</v>
      </c>
      <c r="O3758" s="7"/>
      <c r="P3758" s="7"/>
      <c r="Q3758" s="7"/>
      <c r="R3758" s="7"/>
      <c r="S3758" s="7"/>
      <c r="T3758" s="7"/>
      <c r="U3758" s="7"/>
      <c r="V3758" s="7"/>
      <c r="W3758" s="7"/>
      <c r="X3758" s="7"/>
      <c r="Y3758" s="7"/>
    </row>
    <row r="3759">
      <c r="A3759" s="14" t="s">
        <v>13339</v>
      </c>
      <c r="B3759" s="17" t="s">
        <v>13340</v>
      </c>
      <c r="C3759" s="17" t="s">
        <v>13341</v>
      </c>
      <c r="D3759" s="19" t="s">
        <v>13342</v>
      </c>
      <c r="E3759" s="20" t="s">
        <v>736</v>
      </c>
      <c r="F3759" s="27">
        <v>35715.0</v>
      </c>
      <c r="G3759" s="14">
        <f t="shared" si="1"/>
        <v>29</v>
      </c>
      <c r="H3759" s="23" t="s">
        <v>26</v>
      </c>
      <c r="I3759" s="24" t="s">
        <v>33</v>
      </c>
      <c r="J3759" s="19" t="s">
        <v>58</v>
      </c>
      <c r="K3759" s="14">
        <v>7.0</v>
      </c>
      <c r="L3759" s="14">
        <v>0.0</v>
      </c>
      <c r="M3759" s="25"/>
      <c r="N3759" s="26" t="s">
        <v>21</v>
      </c>
      <c r="O3759" s="7"/>
      <c r="P3759" s="7"/>
      <c r="Q3759" s="7"/>
      <c r="R3759" s="7"/>
      <c r="S3759" s="7"/>
      <c r="T3759" s="7"/>
      <c r="U3759" s="7"/>
      <c r="V3759" s="7"/>
      <c r="W3759" s="7"/>
      <c r="X3759" s="7"/>
      <c r="Y3759" s="7"/>
    </row>
    <row r="3760">
      <c r="A3760" s="14" t="s">
        <v>13343</v>
      </c>
      <c r="B3760" s="17" t="s">
        <v>13340</v>
      </c>
      <c r="C3760" s="17" t="s">
        <v>13344</v>
      </c>
      <c r="D3760" s="19" t="s">
        <v>13345</v>
      </c>
      <c r="E3760" s="20" t="s">
        <v>104</v>
      </c>
      <c r="F3760" s="21">
        <v>35440.0</v>
      </c>
      <c r="G3760" s="14">
        <f t="shared" si="1"/>
        <v>29</v>
      </c>
      <c r="H3760" s="23" t="s">
        <v>26</v>
      </c>
      <c r="I3760" s="24" t="s">
        <v>27</v>
      </c>
      <c r="J3760" s="19" t="s">
        <v>58</v>
      </c>
      <c r="K3760" s="14">
        <v>7.0</v>
      </c>
      <c r="L3760" s="14">
        <v>0.0</v>
      </c>
      <c r="M3760" s="25"/>
      <c r="N3760" s="26" t="s">
        <v>21</v>
      </c>
      <c r="O3760" s="7"/>
      <c r="P3760" s="7"/>
      <c r="Q3760" s="7"/>
      <c r="R3760" s="7"/>
      <c r="S3760" s="7"/>
      <c r="T3760" s="7"/>
      <c r="U3760" s="7"/>
      <c r="V3760" s="7"/>
      <c r="W3760" s="7"/>
      <c r="X3760" s="7"/>
      <c r="Y3760" s="7"/>
    </row>
    <row r="3761">
      <c r="A3761" s="14" t="s">
        <v>13346</v>
      </c>
      <c r="B3761" s="17" t="s">
        <v>13347</v>
      </c>
      <c r="C3761" s="17" t="s">
        <v>13348</v>
      </c>
      <c r="D3761" s="19" t="s">
        <v>13349</v>
      </c>
      <c r="E3761" s="20" t="s">
        <v>1786</v>
      </c>
      <c r="F3761" s="21">
        <v>21002.0</v>
      </c>
      <c r="G3761" s="14">
        <f t="shared" si="1"/>
        <v>69</v>
      </c>
      <c r="H3761" s="23" t="s">
        <v>27</v>
      </c>
      <c r="I3761" s="24" t="s">
        <v>27</v>
      </c>
      <c r="J3761" s="19" t="s">
        <v>146</v>
      </c>
      <c r="K3761" s="14">
        <v>2.0</v>
      </c>
      <c r="L3761" s="14">
        <v>1.0</v>
      </c>
      <c r="M3761" s="25"/>
      <c r="N3761" s="26" t="s">
        <v>21</v>
      </c>
      <c r="O3761" s="7"/>
      <c r="P3761" s="7"/>
      <c r="Q3761" s="7"/>
      <c r="R3761" s="7"/>
      <c r="S3761" s="7"/>
      <c r="T3761" s="7"/>
      <c r="U3761" s="7"/>
      <c r="V3761" s="7"/>
      <c r="W3761" s="7"/>
      <c r="X3761" s="7"/>
      <c r="Y3761" s="7"/>
    </row>
    <row r="3762">
      <c r="A3762" s="14" t="s">
        <v>13350</v>
      </c>
      <c r="B3762" s="17" t="s">
        <v>13351</v>
      </c>
      <c r="C3762" s="17" t="s">
        <v>13352</v>
      </c>
      <c r="D3762" s="19" t="s">
        <v>13353</v>
      </c>
      <c r="E3762" s="20" t="s">
        <v>890</v>
      </c>
      <c r="F3762" s="21">
        <v>36392.0</v>
      </c>
      <c r="G3762" s="14">
        <f t="shared" si="1"/>
        <v>27</v>
      </c>
      <c r="H3762" s="23" t="s">
        <v>100</v>
      </c>
      <c r="I3762" s="24" t="s">
        <v>27</v>
      </c>
      <c r="J3762" s="19" t="s">
        <v>53</v>
      </c>
      <c r="K3762" s="14">
        <v>6.0</v>
      </c>
      <c r="L3762" s="14">
        <v>5.0</v>
      </c>
      <c r="M3762" s="25"/>
      <c r="N3762" s="26" t="s">
        <v>21</v>
      </c>
      <c r="O3762" s="7"/>
      <c r="P3762" s="7"/>
      <c r="Q3762" s="7"/>
      <c r="R3762" s="7"/>
      <c r="S3762" s="7"/>
      <c r="T3762" s="7"/>
      <c r="U3762" s="7"/>
      <c r="V3762" s="7"/>
      <c r="W3762" s="7"/>
      <c r="X3762" s="7"/>
      <c r="Y3762" s="7"/>
    </row>
    <row r="3763">
      <c r="A3763" s="14" t="s">
        <v>13354</v>
      </c>
      <c r="B3763" s="17" t="s">
        <v>13351</v>
      </c>
      <c r="C3763" s="17" t="s">
        <v>13355</v>
      </c>
      <c r="D3763" s="19" t="s">
        <v>13356</v>
      </c>
      <c r="E3763" s="20" t="s">
        <v>176</v>
      </c>
      <c r="F3763" s="21">
        <v>26765.0</v>
      </c>
      <c r="G3763" s="14">
        <f t="shared" si="1"/>
        <v>53</v>
      </c>
      <c r="H3763" s="23" t="s">
        <v>26</v>
      </c>
      <c r="I3763" s="24" t="s">
        <v>27</v>
      </c>
      <c r="J3763" s="19" t="s">
        <v>53</v>
      </c>
      <c r="K3763" s="14">
        <v>6.0</v>
      </c>
      <c r="L3763" s="14">
        <v>0.0</v>
      </c>
      <c r="M3763" s="25"/>
      <c r="N3763" s="26" t="s">
        <v>21</v>
      </c>
      <c r="O3763" s="7"/>
      <c r="P3763" s="7"/>
      <c r="Q3763" s="7"/>
      <c r="R3763" s="7"/>
      <c r="S3763" s="7"/>
      <c r="T3763" s="7"/>
      <c r="U3763" s="7"/>
      <c r="V3763" s="7"/>
      <c r="W3763" s="7"/>
      <c r="X3763" s="7"/>
      <c r="Y3763" s="7"/>
    </row>
    <row r="3764">
      <c r="A3764" s="14" t="s">
        <v>13357</v>
      </c>
      <c r="B3764" s="17" t="s">
        <v>13351</v>
      </c>
      <c r="C3764" s="17" t="s">
        <v>13358</v>
      </c>
      <c r="D3764" s="19" t="s">
        <v>13359</v>
      </c>
      <c r="E3764" s="20" t="s">
        <v>890</v>
      </c>
      <c r="F3764" s="21">
        <v>25652.0</v>
      </c>
      <c r="G3764" s="14">
        <f t="shared" si="1"/>
        <v>56</v>
      </c>
      <c r="H3764" s="23" t="s">
        <v>26</v>
      </c>
      <c r="I3764" s="24" t="s">
        <v>33</v>
      </c>
      <c r="J3764" s="19" t="s">
        <v>53</v>
      </c>
      <c r="K3764" s="14">
        <v>6.0</v>
      </c>
      <c r="L3764" s="14">
        <v>0.0</v>
      </c>
      <c r="M3764" s="25"/>
      <c r="N3764" s="26" t="s">
        <v>21</v>
      </c>
      <c r="O3764" s="7"/>
      <c r="P3764" s="7"/>
      <c r="Q3764" s="7"/>
      <c r="R3764" s="7"/>
      <c r="S3764" s="7"/>
      <c r="T3764" s="7"/>
      <c r="U3764" s="7"/>
      <c r="V3764" s="7"/>
      <c r="W3764" s="7"/>
      <c r="X3764" s="7"/>
      <c r="Y3764" s="7"/>
    </row>
    <row r="3765">
      <c r="A3765" s="14" t="s">
        <v>13360</v>
      </c>
      <c r="B3765" s="17" t="s">
        <v>13351</v>
      </c>
      <c r="C3765" s="17" t="s">
        <v>13361</v>
      </c>
      <c r="D3765" s="19" t="s">
        <v>13362</v>
      </c>
      <c r="E3765" s="20" t="s">
        <v>890</v>
      </c>
      <c r="F3765" s="21">
        <v>38606.0</v>
      </c>
      <c r="G3765" s="14">
        <f t="shared" si="1"/>
        <v>21</v>
      </c>
      <c r="H3765" s="23" t="s">
        <v>100</v>
      </c>
      <c r="I3765" s="24" t="s">
        <v>33</v>
      </c>
      <c r="J3765" s="19" t="s">
        <v>53</v>
      </c>
      <c r="K3765" s="14">
        <v>6.0</v>
      </c>
      <c r="L3765" s="14">
        <v>0.0</v>
      </c>
      <c r="M3765" s="25"/>
      <c r="N3765" s="26" t="s">
        <v>21</v>
      </c>
      <c r="O3765" s="7"/>
      <c r="P3765" s="7"/>
      <c r="Q3765" s="7"/>
      <c r="R3765" s="7"/>
      <c r="S3765" s="7"/>
      <c r="T3765" s="7"/>
      <c r="U3765" s="7"/>
      <c r="V3765" s="7"/>
      <c r="W3765" s="7"/>
      <c r="X3765" s="7"/>
      <c r="Y3765" s="7"/>
    </row>
    <row r="3766">
      <c r="A3766" s="14" t="s">
        <v>13363</v>
      </c>
      <c r="B3766" s="17" t="s">
        <v>13351</v>
      </c>
      <c r="C3766" s="17" t="s">
        <v>13364</v>
      </c>
      <c r="D3766" s="19" t="s">
        <v>13365</v>
      </c>
      <c r="E3766" s="20" t="s">
        <v>890</v>
      </c>
      <c r="F3766" s="21">
        <v>37840.0</v>
      </c>
      <c r="G3766" s="14">
        <f t="shared" si="1"/>
        <v>23</v>
      </c>
      <c r="H3766" s="23" t="s">
        <v>100</v>
      </c>
      <c r="I3766" s="24" t="s">
        <v>33</v>
      </c>
      <c r="J3766" s="19" t="s">
        <v>53</v>
      </c>
      <c r="K3766" s="14">
        <v>6.0</v>
      </c>
      <c r="L3766" s="14">
        <v>0.0</v>
      </c>
      <c r="M3766" s="25"/>
      <c r="N3766" s="26" t="s">
        <v>21</v>
      </c>
      <c r="O3766" s="7"/>
      <c r="P3766" s="7"/>
      <c r="Q3766" s="7"/>
      <c r="R3766" s="7"/>
      <c r="S3766" s="7"/>
      <c r="T3766" s="7"/>
      <c r="U3766" s="7"/>
      <c r="V3766" s="7"/>
      <c r="W3766" s="7"/>
      <c r="X3766" s="7"/>
      <c r="Y3766" s="7"/>
    </row>
    <row r="3767">
      <c r="A3767" s="14" t="s">
        <v>13366</v>
      </c>
      <c r="B3767" s="17" t="s">
        <v>13367</v>
      </c>
      <c r="C3767" s="17" t="s">
        <v>13368</v>
      </c>
      <c r="D3767" s="19" t="s">
        <v>4688</v>
      </c>
      <c r="E3767" s="20" t="s">
        <v>104</v>
      </c>
      <c r="F3767" s="27">
        <v>32854.0</v>
      </c>
      <c r="G3767" s="14">
        <f t="shared" si="1"/>
        <v>36</v>
      </c>
      <c r="H3767" s="23" t="s">
        <v>26</v>
      </c>
      <c r="I3767" s="24" t="s">
        <v>27</v>
      </c>
      <c r="J3767" s="19" t="s">
        <v>53</v>
      </c>
      <c r="K3767" s="14">
        <v>6.0</v>
      </c>
      <c r="L3767" s="14">
        <v>0.0</v>
      </c>
      <c r="M3767" s="25"/>
      <c r="N3767" s="26" t="s">
        <v>21</v>
      </c>
      <c r="O3767" s="7"/>
      <c r="P3767" s="7"/>
      <c r="Q3767" s="7"/>
      <c r="R3767" s="7"/>
      <c r="S3767" s="7"/>
      <c r="T3767" s="7"/>
      <c r="U3767" s="7"/>
      <c r="V3767" s="7"/>
      <c r="W3767" s="7"/>
      <c r="X3767" s="7"/>
      <c r="Y3767" s="7"/>
    </row>
    <row r="3768">
      <c r="A3768" s="14" t="s">
        <v>13369</v>
      </c>
      <c r="B3768" s="17" t="s">
        <v>13367</v>
      </c>
      <c r="C3768" s="17" t="s">
        <v>13370</v>
      </c>
      <c r="D3768" s="19" t="s">
        <v>5852</v>
      </c>
      <c r="E3768" s="20" t="s">
        <v>104</v>
      </c>
      <c r="F3768" s="21">
        <v>29247.0</v>
      </c>
      <c r="G3768" s="14">
        <f t="shared" si="1"/>
        <v>46</v>
      </c>
      <c r="H3768" s="23" t="s">
        <v>26</v>
      </c>
      <c r="I3768" s="24" t="s">
        <v>33</v>
      </c>
      <c r="J3768" s="19" t="s">
        <v>53</v>
      </c>
      <c r="K3768" s="14">
        <v>6.0</v>
      </c>
      <c r="L3768" s="14">
        <v>0.0</v>
      </c>
      <c r="M3768" s="25"/>
      <c r="N3768" s="26" t="s">
        <v>21</v>
      </c>
      <c r="O3768" s="7"/>
      <c r="P3768" s="7"/>
      <c r="Q3768" s="7"/>
      <c r="R3768" s="7"/>
      <c r="S3768" s="7"/>
      <c r="T3768" s="7"/>
      <c r="U3768" s="7"/>
      <c r="V3768" s="7"/>
      <c r="W3768" s="7"/>
      <c r="X3768" s="7"/>
      <c r="Y3768" s="7"/>
    </row>
    <row r="3769">
      <c r="A3769" s="14" t="s">
        <v>13371</v>
      </c>
      <c r="B3769" s="17" t="s">
        <v>13367</v>
      </c>
      <c r="C3769" s="17" t="s">
        <v>13372</v>
      </c>
      <c r="D3769" s="19" t="s">
        <v>13373</v>
      </c>
      <c r="E3769" s="20" t="s">
        <v>104</v>
      </c>
      <c r="F3769" s="21">
        <v>38903.0</v>
      </c>
      <c r="G3769" s="14">
        <f t="shared" si="1"/>
        <v>20</v>
      </c>
      <c r="H3769" s="23" t="s">
        <v>100</v>
      </c>
      <c r="I3769" s="24" t="s">
        <v>33</v>
      </c>
      <c r="J3769" s="19" t="s">
        <v>53</v>
      </c>
      <c r="K3769" s="14">
        <v>6.0</v>
      </c>
      <c r="L3769" s="14">
        <v>0.0</v>
      </c>
      <c r="M3769" s="25"/>
      <c r="N3769" s="26" t="s">
        <v>21</v>
      </c>
      <c r="O3769" s="7"/>
      <c r="P3769" s="7"/>
      <c r="Q3769" s="7"/>
      <c r="R3769" s="7"/>
      <c r="S3769" s="7"/>
      <c r="T3769" s="7"/>
      <c r="U3769" s="7"/>
      <c r="V3769" s="7"/>
      <c r="W3769" s="7"/>
      <c r="X3769" s="7"/>
      <c r="Y3769" s="7"/>
    </row>
    <row r="3770">
      <c r="A3770" s="14" t="s">
        <v>13374</v>
      </c>
      <c r="B3770" s="17" t="s">
        <v>13375</v>
      </c>
      <c r="C3770" s="17" t="s">
        <v>13376</v>
      </c>
      <c r="D3770" s="19" t="s">
        <v>13377</v>
      </c>
      <c r="E3770" s="20" t="s">
        <v>195</v>
      </c>
      <c r="F3770" s="21">
        <v>28192.0</v>
      </c>
      <c r="G3770" s="14">
        <f t="shared" si="1"/>
        <v>49</v>
      </c>
      <c r="H3770" s="23" t="s">
        <v>26</v>
      </c>
      <c r="I3770" s="24" t="s">
        <v>33</v>
      </c>
      <c r="J3770" s="19" t="s">
        <v>517</v>
      </c>
      <c r="K3770" s="14">
        <v>6.0</v>
      </c>
      <c r="L3770" s="14">
        <v>0.0</v>
      </c>
      <c r="M3770" s="25"/>
      <c r="N3770" s="26" t="s">
        <v>21</v>
      </c>
      <c r="O3770" s="7"/>
      <c r="P3770" s="7"/>
      <c r="Q3770" s="7"/>
      <c r="R3770" s="7"/>
      <c r="S3770" s="7"/>
      <c r="T3770" s="7"/>
      <c r="U3770" s="7"/>
      <c r="V3770" s="7"/>
      <c r="W3770" s="7"/>
      <c r="X3770" s="7"/>
      <c r="Y3770" s="7"/>
    </row>
    <row r="3771">
      <c r="A3771" s="14" t="s">
        <v>13378</v>
      </c>
      <c r="B3771" s="17" t="s">
        <v>13375</v>
      </c>
      <c r="C3771" s="17" t="s">
        <v>13379</v>
      </c>
      <c r="D3771" s="19" t="s">
        <v>13380</v>
      </c>
      <c r="E3771" s="20" t="s">
        <v>13381</v>
      </c>
      <c r="F3771" s="27">
        <v>37935.0</v>
      </c>
      <c r="G3771" s="14">
        <f t="shared" si="1"/>
        <v>22</v>
      </c>
      <c r="H3771" s="23" t="s">
        <v>100</v>
      </c>
      <c r="I3771" s="24" t="s">
        <v>27</v>
      </c>
      <c r="J3771" s="19" t="s">
        <v>517</v>
      </c>
      <c r="K3771" s="14">
        <v>6.0</v>
      </c>
      <c r="L3771" s="14">
        <v>5.0</v>
      </c>
      <c r="M3771" s="25"/>
      <c r="N3771" s="26" t="s">
        <v>21</v>
      </c>
      <c r="O3771" s="7"/>
      <c r="P3771" s="7"/>
      <c r="Q3771" s="7"/>
      <c r="R3771" s="7"/>
      <c r="S3771" s="7"/>
      <c r="T3771" s="7"/>
      <c r="U3771" s="7"/>
      <c r="V3771" s="7"/>
      <c r="W3771" s="7"/>
      <c r="X3771" s="7"/>
      <c r="Y3771" s="7"/>
    </row>
    <row r="3772">
      <c r="A3772" s="14" t="s">
        <v>13382</v>
      </c>
      <c r="B3772" s="17" t="s">
        <v>13375</v>
      </c>
      <c r="C3772" s="17" t="s">
        <v>13383</v>
      </c>
      <c r="D3772" s="19" t="s">
        <v>13384</v>
      </c>
      <c r="E3772" s="20" t="s">
        <v>13385</v>
      </c>
      <c r="F3772" s="21">
        <v>39183.0</v>
      </c>
      <c r="G3772" s="14">
        <f t="shared" si="1"/>
        <v>19</v>
      </c>
      <c r="H3772" s="23" t="s">
        <v>100</v>
      </c>
      <c r="I3772" s="24" t="s">
        <v>27</v>
      </c>
      <c r="J3772" s="19" t="s">
        <v>517</v>
      </c>
      <c r="K3772" s="14">
        <v>6.0</v>
      </c>
      <c r="L3772" s="14">
        <v>0.0</v>
      </c>
      <c r="M3772" s="25"/>
      <c r="N3772" s="26" t="s">
        <v>21</v>
      </c>
      <c r="O3772" s="7"/>
      <c r="P3772" s="7"/>
      <c r="Q3772" s="7"/>
      <c r="R3772" s="7"/>
      <c r="S3772" s="7"/>
      <c r="T3772" s="7"/>
      <c r="U3772" s="7"/>
      <c r="V3772" s="7"/>
      <c r="W3772" s="7"/>
      <c r="X3772" s="7"/>
      <c r="Y3772" s="7"/>
    </row>
    <row r="3773">
      <c r="A3773" s="14" t="s">
        <v>13386</v>
      </c>
      <c r="B3773" s="17" t="s">
        <v>13375</v>
      </c>
      <c r="C3773" s="17" t="s">
        <v>13387</v>
      </c>
      <c r="D3773" s="19" t="s">
        <v>1604</v>
      </c>
      <c r="E3773" s="20" t="s">
        <v>138</v>
      </c>
      <c r="F3773" s="21">
        <v>29072.0</v>
      </c>
      <c r="G3773" s="14">
        <f t="shared" si="1"/>
        <v>47</v>
      </c>
      <c r="H3773" s="23" t="s">
        <v>26</v>
      </c>
      <c r="I3773" s="24" t="s">
        <v>27</v>
      </c>
      <c r="J3773" s="19" t="s">
        <v>517</v>
      </c>
      <c r="K3773" s="14">
        <v>6.0</v>
      </c>
      <c r="L3773" s="14">
        <v>0.0</v>
      </c>
      <c r="M3773" s="25"/>
      <c r="N3773" s="26" t="s">
        <v>21</v>
      </c>
      <c r="O3773" s="7"/>
      <c r="P3773" s="7"/>
      <c r="Q3773" s="7"/>
      <c r="R3773" s="7"/>
      <c r="S3773" s="7"/>
      <c r="T3773" s="7"/>
      <c r="U3773" s="7"/>
      <c r="V3773" s="7"/>
      <c r="W3773" s="7"/>
      <c r="X3773" s="7"/>
      <c r="Y3773" s="7"/>
    </row>
    <row r="3774">
      <c r="A3774" s="14" t="s">
        <v>13388</v>
      </c>
      <c r="B3774" s="17" t="s">
        <v>13389</v>
      </c>
      <c r="C3774" s="17" t="s">
        <v>13390</v>
      </c>
      <c r="D3774" s="19" t="s">
        <v>13391</v>
      </c>
      <c r="E3774" s="20" t="s">
        <v>53</v>
      </c>
      <c r="F3774" s="21">
        <v>33873.0</v>
      </c>
      <c r="G3774" s="14">
        <f t="shared" si="1"/>
        <v>34</v>
      </c>
      <c r="H3774" s="23" t="s">
        <v>100</v>
      </c>
      <c r="I3774" s="24" t="s">
        <v>33</v>
      </c>
      <c r="J3774" s="19" t="s">
        <v>53</v>
      </c>
      <c r="K3774" s="14">
        <v>17.0</v>
      </c>
      <c r="L3774" s="14">
        <v>0.0</v>
      </c>
      <c r="M3774" s="25"/>
      <c r="N3774" s="26" t="s">
        <v>21</v>
      </c>
      <c r="O3774" s="7"/>
      <c r="P3774" s="7"/>
      <c r="Q3774" s="7"/>
      <c r="R3774" s="7"/>
      <c r="S3774" s="7"/>
      <c r="T3774" s="7"/>
      <c r="U3774" s="7"/>
      <c r="V3774" s="7"/>
      <c r="W3774" s="7"/>
      <c r="X3774" s="7"/>
      <c r="Y3774" s="7"/>
    </row>
    <row r="3775">
      <c r="A3775" s="14" t="s">
        <v>13392</v>
      </c>
      <c r="B3775" s="17" t="s">
        <v>13389</v>
      </c>
      <c r="C3775" s="17" t="s">
        <v>13393</v>
      </c>
      <c r="D3775" s="19" t="s">
        <v>11384</v>
      </c>
      <c r="E3775" s="20" t="s">
        <v>1049</v>
      </c>
      <c r="F3775" s="21">
        <v>25648.0</v>
      </c>
      <c r="G3775" s="14">
        <f t="shared" si="1"/>
        <v>56</v>
      </c>
      <c r="H3775" s="23" t="s">
        <v>26</v>
      </c>
      <c r="I3775" s="24" t="s">
        <v>33</v>
      </c>
      <c r="J3775" s="19" t="s">
        <v>53</v>
      </c>
      <c r="K3775" s="14">
        <v>17.0</v>
      </c>
      <c r="L3775" s="14">
        <v>0.0</v>
      </c>
      <c r="M3775" s="25"/>
      <c r="N3775" s="26" t="s">
        <v>21</v>
      </c>
      <c r="O3775" s="7"/>
      <c r="P3775" s="7"/>
      <c r="Q3775" s="7"/>
      <c r="R3775" s="7"/>
      <c r="S3775" s="7"/>
      <c r="T3775" s="7"/>
      <c r="U3775" s="7"/>
      <c r="V3775" s="7"/>
      <c r="W3775" s="7"/>
      <c r="X3775" s="7"/>
      <c r="Y3775" s="7"/>
    </row>
    <row r="3776">
      <c r="A3776" s="14" t="s">
        <v>13394</v>
      </c>
      <c r="B3776" s="17" t="s">
        <v>13389</v>
      </c>
      <c r="C3776" s="17" t="s">
        <v>13395</v>
      </c>
      <c r="D3776" s="19" t="s">
        <v>13396</v>
      </c>
      <c r="E3776" s="20" t="s">
        <v>104</v>
      </c>
      <c r="F3776" s="21">
        <v>36690.0</v>
      </c>
      <c r="G3776" s="14">
        <f t="shared" si="1"/>
        <v>26</v>
      </c>
      <c r="H3776" s="23" t="s">
        <v>100</v>
      </c>
      <c r="I3776" s="24" t="s">
        <v>33</v>
      </c>
      <c r="J3776" s="19" t="s">
        <v>53</v>
      </c>
      <c r="K3776" s="14">
        <v>17.0</v>
      </c>
      <c r="L3776" s="14">
        <v>0.0</v>
      </c>
      <c r="M3776" s="25"/>
      <c r="N3776" s="26" t="s">
        <v>21</v>
      </c>
      <c r="O3776" s="7"/>
      <c r="P3776" s="7"/>
      <c r="Q3776" s="7"/>
      <c r="R3776" s="7"/>
      <c r="S3776" s="7"/>
      <c r="T3776" s="7"/>
      <c r="U3776" s="7"/>
      <c r="V3776" s="7"/>
      <c r="W3776" s="7"/>
      <c r="X3776" s="7"/>
      <c r="Y3776" s="7"/>
    </row>
    <row r="3777">
      <c r="A3777" s="14" t="s">
        <v>13397</v>
      </c>
      <c r="B3777" s="17" t="s">
        <v>13389</v>
      </c>
      <c r="C3777" s="17" t="s">
        <v>13398</v>
      </c>
      <c r="D3777" s="19" t="s">
        <v>13399</v>
      </c>
      <c r="E3777" s="20" t="s">
        <v>1058</v>
      </c>
      <c r="F3777" s="21">
        <v>26112.0</v>
      </c>
      <c r="G3777" s="14">
        <f t="shared" si="1"/>
        <v>55</v>
      </c>
      <c r="H3777" s="23" t="s">
        <v>26</v>
      </c>
      <c r="I3777" s="24" t="s">
        <v>27</v>
      </c>
      <c r="J3777" s="19" t="s">
        <v>53</v>
      </c>
      <c r="K3777" s="14">
        <v>17.0</v>
      </c>
      <c r="L3777" s="14">
        <v>0.0</v>
      </c>
      <c r="M3777" s="25"/>
      <c r="N3777" s="26" t="s">
        <v>21</v>
      </c>
      <c r="O3777" s="7"/>
      <c r="P3777" s="7"/>
      <c r="Q3777" s="7"/>
      <c r="R3777" s="7"/>
      <c r="S3777" s="7"/>
      <c r="T3777" s="7"/>
      <c r="U3777" s="7"/>
      <c r="V3777" s="7"/>
      <c r="W3777" s="7"/>
      <c r="X3777" s="7"/>
      <c r="Y3777" s="7"/>
    </row>
    <row r="3778">
      <c r="A3778" s="14" t="s">
        <v>13400</v>
      </c>
      <c r="B3778" s="17" t="s">
        <v>13401</v>
      </c>
      <c r="C3778" s="17" t="s">
        <v>13402</v>
      </c>
      <c r="D3778" s="19" t="s">
        <v>13403</v>
      </c>
      <c r="E3778" s="20" t="s">
        <v>544</v>
      </c>
      <c r="F3778" s="27">
        <v>30265.0</v>
      </c>
      <c r="G3778" s="14">
        <f t="shared" si="1"/>
        <v>43</v>
      </c>
      <c r="H3778" s="23" t="s">
        <v>26</v>
      </c>
      <c r="I3778" s="24" t="s">
        <v>33</v>
      </c>
      <c r="J3778" s="19" t="s">
        <v>53</v>
      </c>
      <c r="K3778" s="14">
        <v>6.0</v>
      </c>
      <c r="L3778" s="14">
        <v>0.0</v>
      </c>
      <c r="M3778" s="25"/>
      <c r="N3778" s="26" t="s">
        <v>21</v>
      </c>
      <c r="O3778" s="7"/>
      <c r="P3778" s="7"/>
      <c r="Q3778" s="7"/>
      <c r="R3778" s="7"/>
      <c r="S3778" s="7"/>
      <c r="T3778" s="7"/>
      <c r="U3778" s="7"/>
      <c r="V3778" s="7"/>
      <c r="W3778" s="7"/>
      <c r="X3778" s="7"/>
      <c r="Y3778" s="7"/>
    </row>
    <row r="3779">
      <c r="A3779" s="14" t="s">
        <v>13404</v>
      </c>
      <c r="B3779" s="17" t="s">
        <v>13401</v>
      </c>
      <c r="C3779" s="17" t="s">
        <v>13405</v>
      </c>
      <c r="D3779" s="19" t="s">
        <v>13406</v>
      </c>
      <c r="E3779" s="20" t="s">
        <v>104</v>
      </c>
      <c r="F3779" s="21">
        <v>30469.0</v>
      </c>
      <c r="G3779" s="14">
        <f t="shared" si="1"/>
        <v>43</v>
      </c>
      <c r="H3779" s="23" t="s">
        <v>26</v>
      </c>
      <c r="I3779" s="24" t="s">
        <v>27</v>
      </c>
      <c r="J3779" s="19" t="s">
        <v>53</v>
      </c>
      <c r="K3779" s="14">
        <v>6.0</v>
      </c>
      <c r="L3779" s="14">
        <v>0.0</v>
      </c>
      <c r="M3779" s="25"/>
      <c r="N3779" s="26" t="s">
        <v>21</v>
      </c>
      <c r="O3779" s="7"/>
      <c r="P3779" s="7"/>
      <c r="Q3779" s="7"/>
      <c r="R3779" s="7"/>
      <c r="S3779" s="7"/>
      <c r="T3779" s="7"/>
      <c r="U3779" s="7"/>
      <c r="V3779" s="7"/>
      <c r="W3779" s="7"/>
      <c r="X3779" s="7"/>
      <c r="Y3779" s="7"/>
    </row>
    <row r="3780">
      <c r="A3780" s="14" t="s">
        <v>13407</v>
      </c>
      <c r="B3780" s="17" t="s">
        <v>13408</v>
      </c>
      <c r="C3780" s="17" t="s">
        <v>13409</v>
      </c>
      <c r="D3780" s="19" t="s">
        <v>2456</v>
      </c>
      <c r="E3780" s="20" t="s">
        <v>2038</v>
      </c>
      <c r="F3780" s="21">
        <v>36708.0</v>
      </c>
      <c r="G3780" s="14">
        <f t="shared" si="1"/>
        <v>26</v>
      </c>
      <c r="H3780" s="23" t="s">
        <v>100</v>
      </c>
      <c r="I3780" s="24" t="s">
        <v>27</v>
      </c>
      <c r="J3780" s="19" t="s">
        <v>53</v>
      </c>
      <c r="K3780" s="14">
        <v>6.0</v>
      </c>
      <c r="L3780" s="14">
        <v>0.0</v>
      </c>
      <c r="M3780" s="25"/>
      <c r="N3780" s="26" t="s">
        <v>21</v>
      </c>
      <c r="O3780" s="7"/>
      <c r="P3780" s="7"/>
      <c r="Q3780" s="7"/>
      <c r="R3780" s="7"/>
      <c r="S3780" s="7"/>
      <c r="T3780" s="7"/>
      <c r="U3780" s="7"/>
      <c r="V3780" s="7"/>
      <c r="W3780" s="7"/>
      <c r="X3780" s="7"/>
      <c r="Y3780" s="7"/>
    </row>
    <row r="3781">
      <c r="A3781" s="14" t="s">
        <v>13410</v>
      </c>
      <c r="B3781" s="17" t="s">
        <v>13411</v>
      </c>
      <c r="C3781" s="17" t="s">
        <v>13412</v>
      </c>
      <c r="D3781" s="19" t="s">
        <v>13413</v>
      </c>
      <c r="E3781" s="20" t="s">
        <v>13414</v>
      </c>
      <c r="F3781" s="21">
        <v>25328.0</v>
      </c>
      <c r="G3781" s="14">
        <f t="shared" si="1"/>
        <v>57</v>
      </c>
      <c r="H3781" s="23" t="s">
        <v>26</v>
      </c>
      <c r="I3781" s="24" t="s">
        <v>33</v>
      </c>
      <c r="J3781" s="19" t="s">
        <v>156</v>
      </c>
      <c r="K3781" s="14">
        <v>31.0</v>
      </c>
      <c r="L3781" s="14">
        <v>0.0</v>
      </c>
      <c r="M3781" s="25"/>
      <c r="N3781" s="26" t="s">
        <v>21</v>
      </c>
      <c r="O3781" s="7"/>
      <c r="P3781" s="7"/>
      <c r="Q3781" s="7"/>
      <c r="R3781" s="7"/>
      <c r="S3781" s="7"/>
      <c r="T3781" s="7"/>
      <c r="U3781" s="7"/>
      <c r="V3781" s="7"/>
      <c r="W3781" s="7"/>
      <c r="X3781" s="7"/>
      <c r="Y3781" s="7"/>
    </row>
    <row r="3782">
      <c r="A3782" s="14" t="s">
        <v>13415</v>
      </c>
      <c r="B3782" s="17" t="s">
        <v>13411</v>
      </c>
      <c r="C3782" s="17" t="s">
        <v>13416</v>
      </c>
      <c r="D3782" s="19" t="s">
        <v>11369</v>
      </c>
      <c r="E3782" s="20" t="s">
        <v>104</v>
      </c>
      <c r="F3782" s="21">
        <v>28431.0</v>
      </c>
      <c r="G3782" s="14">
        <f t="shared" si="1"/>
        <v>48</v>
      </c>
      <c r="H3782" s="23" t="s">
        <v>26</v>
      </c>
      <c r="I3782" s="24" t="s">
        <v>27</v>
      </c>
      <c r="J3782" s="19" t="s">
        <v>53</v>
      </c>
      <c r="K3782" s="14">
        <v>32.0</v>
      </c>
      <c r="L3782" s="14">
        <v>0.0</v>
      </c>
      <c r="M3782" s="25"/>
      <c r="N3782" s="26" t="s">
        <v>21</v>
      </c>
      <c r="O3782" s="7"/>
      <c r="P3782" s="7"/>
      <c r="Q3782" s="7"/>
      <c r="R3782" s="7"/>
      <c r="S3782" s="7"/>
      <c r="T3782" s="7"/>
      <c r="U3782" s="7"/>
      <c r="V3782" s="7"/>
      <c r="W3782" s="7"/>
      <c r="X3782" s="7"/>
      <c r="Y3782" s="7"/>
    </row>
    <row r="3783">
      <c r="A3783" s="14" t="s">
        <v>13417</v>
      </c>
      <c r="B3783" s="17" t="s">
        <v>13418</v>
      </c>
      <c r="C3783" s="17" t="s">
        <v>13419</v>
      </c>
      <c r="D3783" s="19" t="s">
        <v>2381</v>
      </c>
      <c r="E3783" s="20" t="s">
        <v>195</v>
      </c>
      <c r="F3783" s="21">
        <v>26942.0</v>
      </c>
      <c r="G3783" s="14">
        <f t="shared" si="1"/>
        <v>53</v>
      </c>
      <c r="H3783" s="23" t="s">
        <v>26</v>
      </c>
      <c r="I3783" s="24" t="s">
        <v>27</v>
      </c>
      <c r="J3783" s="19" t="s">
        <v>362</v>
      </c>
      <c r="K3783" s="14">
        <v>30.0</v>
      </c>
      <c r="L3783" s="14">
        <v>0.0</v>
      </c>
      <c r="M3783" s="25"/>
      <c r="N3783" s="26" t="s">
        <v>21</v>
      </c>
      <c r="O3783" s="7"/>
      <c r="P3783" s="7"/>
      <c r="Q3783" s="7"/>
      <c r="R3783" s="7"/>
      <c r="S3783" s="7"/>
      <c r="T3783" s="7"/>
      <c r="U3783" s="7"/>
      <c r="V3783" s="7"/>
      <c r="W3783" s="7"/>
      <c r="X3783" s="7"/>
      <c r="Y3783" s="7"/>
    </row>
    <row r="3784">
      <c r="A3784" s="14" t="s">
        <v>13420</v>
      </c>
      <c r="B3784" s="17" t="s">
        <v>13418</v>
      </c>
      <c r="C3784" s="17" t="s">
        <v>13421</v>
      </c>
      <c r="D3784" s="19" t="s">
        <v>13422</v>
      </c>
      <c r="E3784" s="20" t="s">
        <v>13423</v>
      </c>
      <c r="F3784" s="21">
        <v>38029.0</v>
      </c>
      <c r="G3784" s="14">
        <f t="shared" si="1"/>
        <v>22</v>
      </c>
      <c r="H3784" s="23" t="s">
        <v>100</v>
      </c>
      <c r="I3784" s="24" t="s">
        <v>33</v>
      </c>
      <c r="J3784" s="19" t="s">
        <v>362</v>
      </c>
      <c r="K3784" s="14">
        <v>30.0</v>
      </c>
      <c r="L3784" s="14">
        <v>0.0</v>
      </c>
      <c r="M3784" s="25"/>
      <c r="N3784" s="26" t="s">
        <v>21</v>
      </c>
      <c r="O3784" s="7"/>
      <c r="P3784" s="7"/>
      <c r="Q3784" s="7"/>
      <c r="R3784" s="7"/>
      <c r="S3784" s="7"/>
      <c r="T3784" s="7"/>
      <c r="U3784" s="7"/>
      <c r="V3784" s="7"/>
      <c r="W3784" s="7"/>
      <c r="X3784" s="7"/>
      <c r="Y3784" s="7"/>
    </row>
    <row r="3785">
      <c r="A3785" s="14" t="s">
        <v>13424</v>
      </c>
      <c r="B3785" s="17" t="s">
        <v>13418</v>
      </c>
      <c r="C3785" s="17" t="s">
        <v>13425</v>
      </c>
      <c r="D3785" s="19" t="s">
        <v>13426</v>
      </c>
      <c r="E3785" s="20" t="s">
        <v>104</v>
      </c>
      <c r="F3785" s="21">
        <v>35434.0</v>
      </c>
      <c r="G3785" s="14">
        <f t="shared" si="1"/>
        <v>29</v>
      </c>
      <c r="H3785" s="23" t="s">
        <v>100</v>
      </c>
      <c r="I3785" s="24" t="s">
        <v>33</v>
      </c>
      <c r="J3785" s="19" t="s">
        <v>362</v>
      </c>
      <c r="K3785" s="14">
        <v>30.0</v>
      </c>
      <c r="L3785" s="14">
        <v>0.0</v>
      </c>
      <c r="M3785" s="25"/>
      <c r="N3785" s="26" t="s">
        <v>21</v>
      </c>
      <c r="O3785" s="7"/>
      <c r="P3785" s="7"/>
      <c r="Q3785" s="7"/>
      <c r="R3785" s="7"/>
      <c r="S3785" s="7"/>
      <c r="T3785" s="7"/>
      <c r="U3785" s="7"/>
      <c r="V3785" s="7"/>
      <c r="W3785" s="7"/>
      <c r="X3785" s="7"/>
      <c r="Y3785" s="7"/>
    </row>
    <row r="3786">
      <c r="A3786" s="14" t="s">
        <v>13427</v>
      </c>
      <c r="B3786" s="17" t="s">
        <v>13418</v>
      </c>
      <c r="C3786" s="17" t="s">
        <v>13428</v>
      </c>
      <c r="D3786" s="19" t="s">
        <v>13429</v>
      </c>
      <c r="E3786" s="20" t="s">
        <v>632</v>
      </c>
      <c r="F3786" s="21">
        <v>25903.0</v>
      </c>
      <c r="G3786" s="14">
        <f t="shared" si="1"/>
        <v>55</v>
      </c>
      <c r="H3786" s="23" t="s">
        <v>26</v>
      </c>
      <c r="I3786" s="24" t="s">
        <v>33</v>
      </c>
      <c r="J3786" s="19" t="s">
        <v>362</v>
      </c>
      <c r="K3786" s="14">
        <v>30.0</v>
      </c>
      <c r="L3786" s="14">
        <v>0.0</v>
      </c>
      <c r="M3786" s="25"/>
      <c r="N3786" s="26" t="s">
        <v>21</v>
      </c>
      <c r="O3786" s="7"/>
      <c r="P3786" s="7"/>
      <c r="Q3786" s="7"/>
      <c r="R3786" s="7"/>
      <c r="S3786" s="7"/>
      <c r="T3786" s="7"/>
      <c r="U3786" s="7"/>
      <c r="V3786" s="7"/>
      <c r="W3786" s="7"/>
      <c r="X3786" s="7"/>
      <c r="Y3786" s="7"/>
    </row>
    <row r="3787">
      <c r="A3787" s="14" t="s">
        <v>13430</v>
      </c>
      <c r="B3787" s="17" t="s">
        <v>13431</v>
      </c>
      <c r="C3787" s="17" t="s">
        <v>13432</v>
      </c>
      <c r="D3787" s="19" t="s">
        <v>13433</v>
      </c>
      <c r="E3787" s="20" t="s">
        <v>53</v>
      </c>
      <c r="F3787" s="27">
        <v>33162.0</v>
      </c>
      <c r="G3787" s="14">
        <f t="shared" si="1"/>
        <v>36</v>
      </c>
      <c r="H3787" s="23" t="s">
        <v>26</v>
      </c>
      <c r="I3787" s="24" t="s">
        <v>33</v>
      </c>
      <c r="J3787" s="19" t="s">
        <v>282</v>
      </c>
      <c r="K3787" s="14">
        <v>14.0</v>
      </c>
      <c r="L3787" s="14">
        <v>0.0</v>
      </c>
      <c r="M3787" s="25"/>
      <c r="N3787" s="26" t="s">
        <v>21</v>
      </c>
      <c r="O3787" s="7"/>
      <c r="P3787" s="7"/>
      <c r="Q3787" s="7"/>
      <c r="R3787" s="7"/>
      <c r="S3787" s="7"/>
      <c r="T3787" s="7"/>
      <c r="U3787" s="7"/>
      <c r="V3787" s="7"/>
      <c r="W3787" s="7"/>
      <c r="X3787" s="7"/>
      <c r="Y3787" s="7"/>
    </row>
    <row r="3788">
      <c r="A3788" s="14" t="s">
        <v>13434</v>
      </c>
      <c r="B3788" s="17" t="s">
        <v>13431</v>
      </c>
      <c r="C3788" s="17" t="s">
        <v>13435</v>
      </c>
      <c r="D3788" s="19" t="s">
        <v>13436</v>
      </c>
      <c r="E3788" s="20" t="s">
        <v>138</v>
      </c>
      <c r="F3788" s="21">
        <v>34712.0</v>
      </c>
      <c r="G3788" s="14">
        <f t="shared" si="1"/>
        <v>31</v>
      </c>
      <c r="H3788" s="23" t="s">
        <v>26</v>
      </c>
      <c r="I3788" s="24" t="s">
        <v>27</v>
      </c>
      <c r="J3788" s="19" t="s">
        <v>282</v>
      </c>
      <c r="K3788" s="14">
        <v>14.0</v>
      </c>
      <c r="L3788" s="14">
        <v>0.0</v>
      </c>
      <c r="M3788" s="25"/>
      <c r="N3788" s="26" t="s">
        <v>21</v>
      </c>
      <c r="O3788" s="7"/>
      <c r="P3788" s="7"/>
      <c r="Q3788" s="7"/>
      <c r="R3788" s="7"/>
      <c r="S3788" s="7"/>
      <c r="T3788" s="7"/>
      <c r="U3788" s="7"/>
      <c r="V3788" s="7"/>
      <c r="W3788" s="7"/>
      <c r="X3788" s="7"/>
      <c r="Y3788" s="7"/>
    </row>
    <row r="3789">
      <c r="A3789" s="14" t="s">
        <v>13437</v>
      </c>
      <c r="B3789" s="17" t="s">
        <v>13438</v>
      </c>
      <c r="C3789" s="17" t="s">
        <v>13439</v>
      </c>
      <c r="D3789" s="19" t="s">
        <v>13440</v>
      </c>
      <c r="E3789" s="20" t="s">
        <v>3345</v>
      </c>
      <c r="F3789" s="21">
        <v>37496.0</v>
      </c>
      <c r="G3789" s="14">
        <f t="shared" si="1"/>
        <v>24</v>
      </c>
      <c r="H3789" s="23" t="s">
        <v>26</v>
      </c>
      <c r="I3789" s="24" t="s">
        <v>33</v>
      </c>
      <c r="J3789" s="19" t="s">
        <v>328</v>
      </c>
      <c r="K3789" s="14">
        <v>25.0</v>
      </c>
      <c r="L3789" s="14">
        <v>0.0</v>
      </c>
      <c r="M3789" s="25"/>
      <c r="N3789" s="26" t="s">
        <v>21</v>
      </c>
      <c r="O3789" s="7"/>
      <c r="P3789" s="7"/>
      <c r="Q3789" s="7"/>
      <c r="R3789" s="7"/>
      <c r="S3789" s="7"/>
      <c r="T3789" s="7"/>
      <c r="U3789" s="7"/>
      <c r="V3789" s="7"/>
      <c r="W3789" s="7"/>
      <c r="X3789" s="7"/>
      <c r="Y3789" s="7"/>
    </row>
    <row r="3790">
      <c r="A3790" s="14" t="s">
        <v>13441</v>
      </c>
      <c r="B3790" s="17" t="s">
        <v>13438</v>
      </c>
      <c r="C3790" s="17" t="s">
        <v>13442</v>
      </c>
      <c r="D3790" s="19" t="s">
        <v>13443</v>
      </c>
      <c r="E3790" s="20" t="s">
        <v>6420</v>
      </c>
      <c r="F3790" s="21">
        <v>36987.0</v>
      </c>
      <c r="G3790" s="14">
        <f t="shared" si="1"/>
        <v>25</v>
      </c>
      <c r="H3790" s="23" t="s">
        <v>26</v>
      </c>
      <c r="I3790" s="24" t="s">
        <v>27</v>
      </c>
      <c r="J3790" s="19" t="s">
        <v>328</v>
      </c>
      <c r="K3790" s="14">
        <v>25.0</v>
      </c>
      <c r="L3790" s="14">
        <v>0.0</v>
      </c>
      <c r="M3790" s="25"/>
      <c r="N3790" s="26" t="s">
        <v>21</v>
      </c>
      <c r="O3790" s="7"/>
      <c r="P3790" s="7"/>
      <c r="Q3790" s="7"/>
      <c r="R3790" s="7"/>
      <c r="S3790" s="7"/>
      <c r="T3790" s="7"/>
      <c r="U3790" s="7"/>
      <c r="V3790" s="7"/>
      <c r="W3790" s="7"/>
      <c r="X3790" s="7"/>
      <c r="Y3790" s="7"/>
    </row>
    <row r="3791">
      <c r="A3791" s="14" t="s">
        <v>13444</v>
      </c>
      <c r="B3791" s="17" t="s">
        <v>13445</v>
      </c>
      <c r="C3791" s="17" t="s">
        <v>13446</v>
      </c>
      <c r="D3791" s="19" t="s">
        <v>13447</v>
      </c>
      <c r="E3791" s="20" t="s">
        <v>104</v>
      </c>
      <c r="F3791" s="21">
        <v>33917.0</v>
      </c>
      <c r="G3791" s="14">
        <f t="shared" si="1"/>
        <v>33</v>
      </c>
      <c r="H3791" s="23" t="s">
        <v>26</v>
      </c>
      <c r="I3791" s="24" t="s">
        <v>27</v>
      </c>
      <c r="J3791" s="19" t="s">
        <v>13448</v>
      </c>
      <c r="K3791" s="14">
        <v>33.0</v>
      </c>
      <c r="L3791" s="14">
        <v>0.0</v>
      </c>
      <c r="M3791" s="25"/>
      <c r="N3791" s="26" t="s">
        <v>21</v>
      </c>
      <c r="O3791" s="7"/>
      <c r="P3791" s="7"/>
      <c r="Q3791" s="7"/>
      <c r="R3791" s="7"/>
      <c r="S3791" s="7"/>
      <c r="T3791" s="7"/>
      <c r="U3791" s="7"/>
      <c r="V3791" s="7"/>
      <c r="W3791" s="7"/>
      <c r="X3791" s="7"/>
      <c r="Y3791" s="7"/>
    </row>
    <row r="3792">
      <c r="A3792" s="14" t="s">
        <v>13449</v>
      </c>
      <c r="B3792" s="17" t="s">
        <v>13445</v>
      </c>
      <c r="C3792" s="17" t="s">
        <v>13450</v>
      </c>
      <c r="D3792" s="19" t="s">
        <v>13451</v>
      </c>
      <c r="E3792" s="20" t="s">
        <v>104</v>
      </c>
      <c r="F3792" s="21">
        <v>32017.0</v>
      </c>
      <c r="G3792" s="14">
        <f t="shared" si="1"/>
        <v>39</v>
      </c>
      <c r="H3792" s="23" t="s">
        <v>26</v>
      </c>
      <c r="I3792" s="24" t="s">
        <v>33</v>
      </c>
      <c r="J3792" s="19" t="s">
        <v>13448</v>
      </c>
      <c r="K3792" s="14">
        <v>33.0</v>
      </c>
      <c r="L3792" s="14">
        <v>0.0</v>
      </c>
      <c r="M3792" s="25"/>
      <c r="N3792" s="26" t="s">
        <v>21</v>
      </c>
      <c r="O3792" s="7"/>
      <c r="P3792" s="7"/>
      <c r="Q3792" s="7"/>
      <c r="R3792" s="7"/>
      <c r="S3792" s="7"/>
      <c r="T3792" s="7"/>
      <c r="U3792" s="7"/>
      <c r="V3792" s="7"/>
      <c r="W3792" s="7"/>
      <c r="X3792" s="7"/>
      <c r="Y3792" s="7"/>
    </row>
    <row r="3793">
      <c r="A3793" s="14" t="s">
        <v>13452</v>
      </c>
      <c r="B3793" s="17" t="s">
        <v>13453</v>
      </c>
      <c r="C3793" s="17" t="s">
        <v>13454</v>
      </c>
      <c r="D3793" s="19" t="s">
        <v>13455</v>
      </c>
      <c r="E3793" s="20" t="s">
        <v>1370</v>
      </c>
      <c r="F3793" s="21">
        <v>30410.0</v>
      </c>
      <c r="G3793" s="14">
        <f t="shared" si="1"/>
        <v>43</v>
      </c>
      <c r="H3793" s="23" t="s">
        <v>26</v>
      </c>
      <c r="I3793" s="24" t="s">
        <v>33</v>
      </c>
      <c r="J3793" s="19" t="s">
        <v>726</v>
      </c>
      <c r="K3793" s="14">
        <v>17.0</v>
      </c>
      <c r="L3793" s="14">
        <v>0.0</v>
      </c>
      <c r="M3793" s="25"/>
      <c r="N3793" s="26" t="s">
        <v>21</v>
      </c>
      <c r="O3793" s="7"/>
      <c r="P3793" s="7"/>
      <c r="Q3793" s="7"/>
      <c r="R3793" s="7"/>
      <c r="S3793" s="7"/>
      <c r="T3793" s="7"/>
      <c r="U3793" s="7"/>
      <c r="V3793" s="7"/>
      <c r="W3793" s="7"/>
      <c r="X3793" s="7"/>
      <c r="Y3793" s="7"/>
    </row>
    <row r="3794">
      <c r="A3794" s="14" t="s">
        <v>13456</v>
      </c>
      <c r="B3794" s="17" t="s">
        <v>13453</v>
      </c>
      <c r="C3794" s="17" t="s">
        <v>13457</v>
      </c>
      <c r="D3794" s="19" t="s">
        <v>13458</v>
      </c>
      <c r="E3794" s="20" t="s">
        <v>104</v>
      </c>
      <c r="F3794" s="21">
        <v>32545.0</v>
      </c>
      <c r="G3794" s="14">
        <f t="shared" si="1"/>
        <v>37</v>
      </c>
      <c r="H3794" s="23" t="s">
        <v>26</v>
      </c>
      <c r="I3794" s="24" t="s">
        <v>27</v>
      </c>
      <c r="J3794" s="19" t="s">
        <v>726</v>
      </c>
      <c r="K3794" s="14">
        <v>17.0</v>
      </c>
      <c r="L3794" s="14">
        <v>0.0</v>
      </c>
      <c r="M3794" s="25"/>
      <c r="N3794" s="26" t="s">
        <v>21</v>
      </c>
      <c r="O3794" s="7"/>
      <c r="P3794" s="7"/>
      <c r="Q3794" s="7"/>
      <c r="R3794" s="7"/>
      <c r="S3794" s="7"/>
      <c r="T3794" s="7"/>
      <c r="U3794" s="7"/>
      <c r="V3794" s="7"/>
      <c r="W3794" s="7"/>
      <c r="X3794" s="7"/>
      <c r="Y3794" s="7"/>
    </row>
    <row r="3795">
      <c r="A3795" s="14" t="s">
        <v>13459</v>
      </c>
      <c r="B3795" s="17" t="s">
        <v>13460</v>
      </c>
      <c r="C3795" s="17" t="s">
        <v>13461</v>
      </c>
      <c r="D3795" s="19" t="s">
        <v>13462</v>
      </c>
      <c r="E3795" s="20" t="s">
        <v>13463</v>
      </c>
      <c r="F3795" s="21">
        <v>39030.0</v>
      </c>
      <c r="G3795" s="14">
        <f t="shared" si="1"/>
        <v>19</v>
      </c>
      <c r="H3795" s="23" t="s">
        <v>100</v>
      </c>
      <c r="I3795" s="24" t="s">
        <v>33</v>
      </c>
      <c r="J3795" s="19" t="s">
        <v>53</v>
      </c>
      <c r="K3795" s="14">
        <v>1.0</v>
      </c>
      <c r="L3795" s="14">
        <v>0.0</v>
      </c>
      <c r="M3795" s="25"/>
      <c r="N3795" s="26" t="s">
        <v>21</v>
      </c>
      <c r="O3795" s="7"/>
      <c r="P3795" s="7"/>
      <c r="Q3795" s="7"/>
      <c r="R3795" s="7"/>
      <c r="S3795" s="7"/>
      <c r="T3795" s="7"/>
      <c r="U3795" s="7"/>
      <c r="V3795" s="7"/>
      <c r="W3795" s="7"/>
      <c r="X3795" s="7"/>
      <c r="Y3795" s="7"/>
    </row>
    <row r="3796">
      <c r="A3796" s="14" t="s">
        <v>13464</v>
      </c>
      <c r="B3796" s="17" t="s">
        <v>13460</v>
      </c>
      <c r="C3796" s="17" t="s">
        <v>13465</v>
      </c>
      <c r="D3796" s="19" t="s">
        <v>13466</v>
      </c>
      <c r="E3796" s="20" t="s">
        <v>3414</v>
      </c>
      <c r="F3796" s="21">
        <v>37006.0</v>
      </c>
      <c r="G3796" s="14">
        <f t="shared" si="1"/>
        <v>25</v>
      </c>
      <c r="H3796" s="23" t="s">
        <v>100</v>
      </c>
      <c r="I3796" s="24" t="s">
        <v>33</v>
      </c>
      <c r="J3796" s="19" t="s">
        <v>53</v>
      </c>
      <c r="K3796" s="14">
        <v>1.0</v>
      </c>
      <c r="L3796" s="14">
        <v>5.0</v>
      </c>
      <c r="M3796" s="25"/>
      <c r="N3796" s="26" t="s">
        <v>21</v>
      </c>
      <c r="O3796" s="7"/>
      <c r="P3796" s="7"/>
      <c r="Q3796" s="7"/>
      <c r="R3796" s="7"/>
      <c r="S3796" s="7"/>
      <c r="T3796" s="7"/>
      <c r="U3796" s="7"/>
      <c r="V3796" s="7"/>
      <c r="W3796" s="7"/>
      <c r="X3796" s="7"/>
      <c r="Y3796" s="7"/>
    </row>
    <row r="3797">
      <c r="A3797" s="14" t="s">
        <v>13467</v>
      </c>
      <c r="B3797" s="17" t="s">
        <v>13460</v>
      </c>
      <c r="C3797" s="17" t="s">
        <v>13468</v>
      </c>
      <c r="D3797" s="19" t="s">
        <v>13469</v>
      </c>
      <c r="E3797" s="20" t="s">
        <v>3414</v>
      </c>
      <c r="F3797" s="21">
        <v>37624.0</v>
      </c>
      <c r="G3797" s="14">
        <f t="shared" si="1"/>
        <v>23</v>
      </c>
      <c r="H3797" s="23" t="s">
        <v>100</v>
      </c>
      <c r="I3797" s="24" t="s">
        <v>27</v>
      </c>
      <c r="J3797" s="19" t="s">
        <v>53</v>
      </c>
      <c r="K3797" s="14">
        <v>1.0</v>
      </c>
      <c r="L3797" s="14">
        <v>0.0</v>
      </c>
      <c r="M3797" s="25"/>
      <c r="N3797" s="26" t="s">
        <v>21</v>
      </c>
      <c r="O3797" s="7"/>
      <c r="P3797" s="7"/>
      <c r="Q3797" s="7"/>
      <c r="R3797" s="7"/>
      <c r="S3797" s="7"/>
      <c r="T3797" s="7"/>
      <c r="U3797" s="7"/>
      <c r="V3797" s="7"/>
      <c r="W3797" s="7"/>
      <c r="X3797" s="7"/>
      <c r="Y3797" s="7"/>
    </row>
    <row r="3798">
      <c r="A3798" s="14" t="s">
        <v>13470</v>
      </c>
      <c r="B3798" s="17" t="s">
        <v>13460</v>
      </c>
      <c r="C3798" s="17" t="s">
        <v>13471</v>
      </c>
      <c r="D3798" s="19" t="s">
        <v>13472</v>
      </c>
      <c r="E3798" s="20" t="s">
        <v>3414</v>
      </c>
      <c r="F3798" s="21">
        <v>28551.0</v>
      </c>
      <c r="G3798" s="14">
        <f t="shared" si="1"/>
        <v>48</v>
      </c>
      <c r="H3798" s="23" t="s">
        <v>26</v>
      </c>
      <c r="I3798" s="24" t="s">
        <v>33</v>
      </c>
      <c r="J3798" s="19" t="s">
        <v>53</v>
      </c>
      <c r="K3798" s="14">
        <v>1.0</v>
      </c>
      <c r="L3798" s="14">
        <v>0.0</v>
      </c>
      <c r="M3798" s="25"/>
      <c r="N3798" s="26" t="s">
        <v>21</v>
      </c>
      <c r="O3798" s="7"/>
      <c r="P3798" s="7"/>
      <c r="Q3798" s="7"/>
      <c r="R3798" s="7"/>
      <c r="S3798" s="7"/>
      <c r="T3798" s="7"/>
      <c r="U3798" s="7"/>
      <c r="V3798" s="7"/>
      <c r="W3798" s="7"/>
      <c r="X3798" s="7"/>
      <c r="Y3798" s="7"/>
    </row>
    <row r="3799">
      <c r="A3799" s="14" t="s">
        <v>13473</v>
      </c>
      <c r="B3799" s="17" t="s">
        <v>13460</v>
      </c>
      <c r="C3799" s="17" t="s">
        <v>13474</v>
      </c>
      <c r="D3799" s="19" t="s">
        <v>7736</v>
      </c>
      <c r="E3799" s="20" t="s">
        <v>3414</v>
      </c>
      <c r="F3799" s="21">
        <v>28672.0</v>
      </c>
      <c r="G3799" s="14">
        <f t="shared" si="1"/>
        <v>48</v>
      </c>
      <c r="H3799" s="23" t="s">
        <v>26</v>
      </c>
      <c r="I3799" s="24" t="s">
        <v>27</v>
      </c>
      <c r="J3799" s="19" t="s">
        <v>53</v>
      </c>
      <c r="K3799" s="14">
        <v>1.0</v>
      </c>
      <c r="L3799" s="14">
        <v>0.0</v>
      </c>
      <c r="M3799" s="25"/>
      <c r="N3799" s="26" t="s">
        <v>21</v>
      </c>
      <c r="O3799" s="7"/>
      <c r="P3799" s="7"/>
      <c r="Q3799" s="7"/>
      <c r="R3799" s="7"/>
      <c r="S3799" s="7"/>
      <c r="T3799" s="7"/>
      <c r="U3799" s="7"/>
      <c r="V3799" s="7"/>
      <c r="W3799" s="7"/>
      <c r="X3799" s="7"/>
      <c r="Y3799" s="7"/>
    </row>
    <row r="3800">
      <c r="A3800" s="14" t="s">
        <v>13475</v>
      </c>
      <c r="B3800" s="17" t="s">
        <v>13476</v>
      </c>
      <c r="C3800" s="17" t="s">
        <v>13477</v>
      </c>
      <c r="D3800" s="19" t="s">
        <v>13478</v>
      </c>
      <c r="E3800" s="20" t="s">
        <v>632</v>
      </c>
      <c r="F3800" s="21">
        <v>20897.0</v>
      </c>
      <c r="G3800" s="14">
        <f t="shared" si="1"/>
        <v>69</v>
      </c>
      <c r="H3800" s="23" t="s">
        <v>26</v>
      </c>
      <c r="I3800" s="24" t="s">
        <v>33</v>
      </c>
      <c r="J3800" s="19" t="s">
        <v>328</v>
      </c>
      <c r="K3800" s="14">
        <v>24.0</v>
      </c>
      <c r="L3800" s="14">
        <v>0.0</v>
      </c>
      <c r="M3800" s="25"/>
      <c r="N3800" s="26" t="s">
        <v>21</v>
      </c>
      <c r="O3800" s="7"/>
      <c r="P3800" s="7"/>
      <c r="Q3800" s="7"/>
      <c r="R3800" s="7"/>
      <c r="S3800" s="7"/>
      <c r="T3800" s="7"/>
      <c r="U3800" s="7"/>
      <c r="V3800" s="7"/>
      <c r="W3800" s="7"/>
      <c r="X3800" s="7"/>
      <c r="Y3800" s="7"/>
    </row>
    <row r="3801">
      <c r="A3801" s="14" t="s">
        <v>13479</v>
      </c>
      <c r="B3801" s="17" t="s">
        <v>13476</v>
      </c>
      <c r="C3801" s="17" t="s">
        <v>13480</v>
      </c>
      <c r="D3801" s="19" t="s">
        <v>13481</v>
      </c>
      <c r="E3801" s="20" t="s">
        <v>632</v>
      </c>
      <c r="F3801" s="21">
        <v>24003.0</v>
      </c>
      <c r="G3801" s="14">
        <f t="shared" si="1"/>
        <v>61</v>
      </c>
      <c r="H3801" s="23" t="s">
        <v>26</v>
      </c>
      <c r="I3801" s="24" t="s">
        <v>27</v>
      </c>
      <c r="J3801" s="19" t="s">
        <v>362</v>
      </c>
      <c r="K3801" s="14">
        <v>24.0</v>
      </c>
      <c r="L3801" s="14">
        <v>1.0</v>
      </c>
      <c r="M3801" s="25"/>
      <c r="N3801" s="26" t="s">
        <v>21</v>
      </c>
      <c r="O3801" s="7"/>
      <c r="P3801" s="7"/>
      <c r="Q3801" s="7"/>
      <c r="R3801" s="7"/>
      <c r="S3801" s="7"/>
      <c r="T3801" s="7"/>
      <c r="U3801" s="7"/>
      <c r="V3801" s="7"/>
      <c r="W3801" s="7"/>
      <c r="X3801" s="7"/>
      <c r="Y3801" s="7"/>
    </row>
    <row r="3802">
      <c r="A3802" s="14" t="s">
        <v>13482</v>
      </c>
      <c r="B3802" s="17" t="s">
        <v>13483</v>
      </c>
      <c r="C3802" s="17" t="s">
        <v>13484</v>
      </c>
      <c r="D3802" s="19" t="s">
        <v>6121</v>
      </c>
      <c r="E3802" s="20" t="s">
        <v>13485</v>
      </c>
      <c r="F3802" s="21">
        <v>30776.0</v>
      </c>
      <c r="G3802" s="14">
        <f t="shared" si="1"/>
        <v>42</v>
      </c>
      <c r="H3802" s="23" t="s">
        <v>26</v>
      </c>
      <c r="I3802" s="24" t="s">
        <v>33</v>
      </c>
      <c r="J3802" s="19" t="s">
        <v>146</v>
      </c>
      <c r="K3802" s="14">
        <v>4.0</v>
      </c>
      <c r="L3802" s="14">
        <v>5.0</v>
      </c>
      <c r="M3802" s="25"/>
      <c r="N3802" s="26" t="s">
        <v>21</v>
      </c>
      <c r="O3802" s="7"/>
      <c r="P3802" s="7"/>
      <c r="Q3802" s="7"/>
      <c r="R3802" s="7"/>
      <c r="S3802" s="7"/>
      <c r="T3802" s="7"/>
      <c r="U3802" s="7"/>
      <c r="V3802" s="7"/>
      <c r="W3802" s="7"/>
      <c r="X3802" s="7"/>
      <c r="Y3802" s="7"/>
    </row>
    <row r="3803">
      <c r="A3803" s="14" t="s">
        <v>13486</v>
      </c>
      <c r="B3803" s="17" t="s">
        <v>13487</v>
      </c>
      <c r="C3803" s="17" t="s">
        <v>13488</v>
      </c>
      <c r="D3803" s="19" t="s">
        <v>10302</v>
      </c>
      <c r="E3803" s="20" t="s">
        <v>1058</v>
      </c>
      <c r="F3803" s="21">
        <v>14793.0</v>
      </c>
      <c r="G3803" s="14">
        <f t="shared" si="1"/>
        <v>86</v>
      </c>
      <c r="H3803" s="23" t="s">
        <v>26</v>
      </c>
      <c r="I3803" s="24" t="s">
        <v>27</v>
      </c>
      <c r="J3803" s="19" t="s">
        <v>68</v>
      </c>
      <c r="K3803" s="14">
        <v>30.0</v>
      </c>
      <c r="L3803" s="14">
        <v>0.0</v>
      </c>
      <c r="M3803" s="25"/>
      <c r="N3803" s="26" t="s">
        <v>21</v>
      </c>
      <c r="O3803" s="7"/>
      <c r="P3803" s="7"/>
      <c r="Q3803" s="7"/>
      <c r="R3803" s="7"/>
      <c r="S3803" s="7"/>
      <c r="T3803" s="7"/>
      <c r="U3803" s="7"/>
      <c r="V3803" s="7"/>
      <c r="W3803" s="7"/>
      <c r="X3803" s="7"/>
      <c r="Y3803" s="7"/>
    </row>
    <row r="3804">
      <c r="A3804" s="14" t="s">
        <v>13489</v>
      </c>
      <c r="B3804" s="17" t="s">
        <v>13490</v>
      </c>
      <c r="C3804" s="17" t="s">
        <v>13491</v>
      </c>
      <c r="D3804" s="19" t="s">
        <v>13492</v>
      </c>
      <c r="E3804" s="20" t="s">
        <v>138</v>
      </c>
      <c r="F3804" s="21">
        <v>31234.0</v>
      </c>
      <c r="G3804" s="14">
        <f t="shared" si="1"/>
        <v>41</v>
      </c>
      <c r="H3804" s="23" t="s">
        <v>26</v>
      </c>
      <c r="I3804" s="24" t="s">
        <v>27</v>
      </c>
      <c r="J3804" s="19" t="s">
        <v>53</v>
      </c>
      <c r="K3804" s="14">
        <v>15.0</v>
      </c>
      <c r="L3804" s="14">
        <v>0.0</v>
      </c>
      <c r="M3804" s="25"/>
      <c r="N3804" s="26" t="s">
        <v>21</v>
      </c>
      <c r="O3804" s="7"/>
      <c r="P3804" s="7"/>
      <c r="Q3804" s="7"/>
      <c r="R3804" s="7"/>
      <c r="S3804" s="7"/>
      <c r="T3804" s="7"/>
      <c r="U3804" s="7"/>
      <c r="V3804" s="7"/>
      <c r="W3804" s="7"/>
      <c r="X3804" s="7"/>
      <c r="Y3804" s="7"/>
    </row>
    <row r="3805">
      <c r="A3805" s="14" t="s">
        <v>13493</v>
      </c>
      <c r="B3805" s="17" t="s">
        <v>13494</v>
      </c>
      <c r="C3805" s="17" t="s">
        <v>13495</v>
      </c>
      <c r="D3805" s="19" t="s">
        <v>13496</v>
      </c>
      <c r="E3805" s="20" t="s">
        <v>104</v>
      </c>
      <c r="F3805" s="21">
        <v>36343.0</v>
      </c>
      <c r="G3805" s="14">
        <f t="shared" si="1"/>
        <v>27</v>
      </c>
      <c r="H3805" s="23" t="s">
        <v>100</v>
      </c>
      <c r="I3805" s="24" t="s">
        <v>33</v>
      </c>
      <c r="J3805" s="19" t="s">
        <v>328</v>
      </c>
      <c r="K3805" s="14">
        <v>27.0</v>
      </c>
      <c r="L3805" s="14">
        <v>5.0</v>
      </c>
      <c r="M3805" s="28" t="s">
        <v>14435</v>
      </c>
      <c r="N3805" s="26" t="s">
        <v>21</v>
      </c>
      <c r="O3805" s="7"/>
      <c r="P3805" s="7"/>
      <c r="Q3805" s="7"/>
      <c r="R3805" s="7"/>
      <c r="S3805" s="7"/>
      <c r="T3805" s="7"/>
      <c r="U3805" s="7"/>
      <c r="V3805" s="7"/>
      <c r="W3805" s="7"/>
      <c r="X3805" s="7"/>
      <c r="Y3805" s="7"/>
    </row>
    <row r="3806">
      <c r="A3806" s="14" t="s">
        <v>13497</v>
      </c>
      <c r="B3806" s="17" t="s">
        <v>13494</v>
      </c>
      <c r="C3806" s="17" t="s">
        <v>13498</v>
      </c>
      <c r="D3806" s="19" t="s">
        <v>13499</v>
      </c>
      <c r="E3806" s="20" t="s">
        <v>104</v>
      </c>
      <c r="F3806" s="27">
        <v>36814.0</v>
      </c>
      <c r="G3806" s="14">
        <f t="shared" si="1"/>
        <v>26</v>
      </c>
      <c r="H3806" s="23" t="s">
        <v>100</v>
      </c>
      <c r="I3806" s="24" t="s">
        <v>33</v>
      </c>
      <c r="J3806" s="19" t="s">
        <v>328</v>
      </c>
      <c r="K3806" s="14">
        <v>27.0</v>
      </c>
      <c r="L3806" s="14">
        <v>0.0</v>
      </c>
      <c r="M3806" s="25"/>
      <c r="N3806" s="26" t="s">
        <v>21</v>
      </c>
      <c r="O3806" s="7"/>
      <c r="P3806" s="7"/>
      <c r="Q3806" s="7"/>
      <c r="R3806" s="7"/>
      <c r="S3806" s="7"/>
      <c r="T3806" s="7"/>
      <c r="U3806" s="7"/>
      <c r="V3806" s="7"/>
      <c r="W3806" s="7"/>
      <c r="X3806" s="7"/>
      <c r="Y3806" s="7"/>
    </row>
    <row r="3807">
      <c r="A3807" s="14" t="s">
        <v>13500</v>
      </c>
      <c r="B3807" s="17" t="s">
        <v>13494</v>
      </c>
      <c r="C3807" s="17" t="s">
        <v>13501</v>
      </c>
      <c r="D3807" s="19" t="s">
        <v>1707</v>
      </c>
      <c r="E3807" s="20" t="s">
        <v>1084</v>
      </c>
      <c r="F3807" s="21">
        <v>28654.0</v>
      </c>
      <c r="G3807" s="14">
        <f t="shared" si="1"/>
        <v>48</v>
      </c>
      <c r="H3807" s="23" t="s">
        <v>26</v>
      </c>
      <c r="I3807" s="24" t="s">
        <v>27</v>
      </c>
      <c r="J3807" s="19" t="s">
        <v>328</v>
      </c>
      <c r="K3807" s="14">
        <v>27.0</v>
      </c>
      <c r="L3807" s="14">
        <v>0.0</v>
      </c>
      <c r="M3807" s="25"/>
      <c r="N3807" s="26" t="s">
        <v>21</v>
      </c>
      <c r="O3807" s="7"/>
      <c r="P3807" s="7"/>
      <c r="Q3807" s="7"/>
      <c r="R3807" s="7"/>
      <c r="S3807" s="7"/>
      <c r="T3807" s="7"/>
      <c r="U3807" s="7"/>
      <c r="V3807" s="7"/>
      <c r="W3807" s="7"/>
      <c r="X3807" s="7"/>
      <c r="Y3807" s="7"/>
    </row>
    <row r="3808">
      <c r="A3808" s="14" t="s">
        <v>13502</v>
      </c>
      <c r="B3808" s="17" t="s">
        <v>13494</v>
      </c>
      <c r="C3808" s="17" t="s">
        <v>13503</v>
      </c>
      <c r="D3808" s="19" t="s">
        <v>13504</v>
      </c>
      <c r="E3808" s="20" t="s">
        <v>1291</v>
      </c>
      <c r="F3808" s="21">
        <v>26464.0</v>
      </c>
      <c r="G3808" s="14">
        <f t="shared" si="1"/>
        <v>54</v>
      </c>
      <c r="H3808" s="23" t="s">
        <v>26</v>
      </c>
      <c r="I3808" s="24" t="s">
        <v>33</v>
      </c>
      <c r="J3808" s="19" t="s">
        <v>328</v>
      </c>
      <c r="K3808" s="14">
        <v>27.0</v>
      </c>
      <c r="L3808" s="14">
        <v>0.0</v>
      </c>
      <c r="M3808" s="25"/>
      <c r="N3808" s="26" t="s">
        <v>21</v>
      </c>
      <c r="O3808" s="7"/>
      <c r="P3808" s="7"/>
      <c r="Q3808" s="7"/>
      <c r="R3808" s="7"/>
      <c r="S3808" s="7"/>
      <c r="T3808" s="7"/>
      <c r="U3808" s="7"/>
      <c r="V3808" s="7"/>
      <c r="W3808" s="7"/>
      <c r="X3808" s="7"/>
      <c r="Y3808" s="7"/>
    </row>
    <row r="3809">
      <c r="A3809" s="14" t="s">
        <v>13505</v>
      </c>
      <c r="B3809" s="17" t="s">
        <v>13506</v>
      </c>
      <c r="C3809" s="17" t="s">
        <v>13507</v>
      </c>
      <c r="D3809" s="19" t="s">
        <v>9465</v>
      </c>
      <c r="E3809" s="20" t="s">
        <v>654</v>
      </c>
      <c r="F3809" s="21">
        <v>20271.0</v>
      </c>
      <c r="G3809" s="14">
        <f t="shared" si="1"/>
        <v>71</v>
      </c>
      <c r="H3809" s="23" t="s">
        <v>27</v>
      </c>
      <c r="I3809" s="24" t="s">
        <v>27</v>
      </c>
      <c r="J3809" s="19" t="s">
        <v>895</v>
      </c>
      <c r="K3809" s="14">
        <v>25.0</v>
      </c>
      <c r="L3809" s="14">
        <v>0.0</v>
      </c>
      <c r="M3809" s="25"/>
      <c r="N3809" s="26" t="s">
        <v>21</v>
      </c>
      <c r="O3809" s="7"/>
      <c r="P3809" s="7"/>
      <c r="Q3809" s="7"/>
      <c r="R3809" s="7"/>
      <c r="S3809" s="7"/>
      <c r="T3809" s="7"/>
      <c r="U3809" s="7"/>
      <c r="V3809" s="7"/>
      <c r="W3809" s="7"/>
      <c r="X3809" s="7"/>
      <c r="Y3809" s="7"/>
    </row>
    <row r="3810">
      <c r="A3810" s="14" t="s">
        <v>13508</v>
      </c>
      <c r="B3810" s="17" t="s">
        <v>13509</v>
      </c>
      <c r="C3810" s="17" t="s">
        <v>13510</v>
      </c>
      <c r="D3810" s="19" t="s">
        <v>13511</v>
      </c>
      <c r="E3810" s="20" t="s">
        <v>104</v>
      </c>
      <c r="F3810" s="27">
        <v>34627.0</v>
      </c>
      <c r="G3810" s="14">
        <f t="shared" si="1"/>
        <v>32</v>
      </c>
      <c r="H3810" s="23" t="s">
        <v>26</v>
      </c>
      <c r="I3810" s="24" t="s">
        <v>27</v>
      </c>
      <c r="J3810" s="19" t="s">
        <v>58</v>
      </c>
      <c r="K3810" s="14">
        <v>10.0</v>
      </c>
      <c r="L3810" s="14">
        <v>0.0</v>
      </c>
      <c r="M3810" s="25"/>
      <c r="N3810" s="26" t="s">
        <v>21</v>
      </c>
      <c r="O3810" s="7"/>
      <c r="P3810" s="7"/>
      <c r="Q3810" s="7"/>
      <c r="R3810" s="7"/>
      <c r="S3810" s="7"/>
      <c r="T3810" s="7"/>
      <c r="U3810" s="7"/>
      <c r="V3810" s="7"/>
      <c r="W3810" s="7"/>
      <c r="X3810" s="7"/>
      <c r="Y3810" s="7"/>
    </row>
    <row r="3811">
      <c r="A3811" s="14" t="s">
        <v>13512</v>
      </c>
      <c r="B3811" s="17" t="s">
        <v>13509</v>
      </c>
      <c r="C3811" s="17" t="s">
        <v>13513</v>
      </c>
      <c r="D3811" s="19" t="s">
        <v>13514</v>
      </c>
      <c r="E3811" s="20" t="s">
        <v>13515</v>
      </c>
      <c r="F3811" s="21">
        <v>31315.0</v>
      </c>
      <c r="G3811" s="14">
        <f t="shared" si="1"/>
        <v>41</v>
      </c>
      <c r="H3811" s="23" t="s">
        <v>26</v>
      </c>
      <c r="I3811" s="24" t="s">
        <v>33</v>
      </c>
      <c r="J3811" s="19" t="s">
        <v>58</v>
      </c>
      <c r="K3811" s="14">
        <v>10.0</v>
      </c>
      <c r="L3811" s="14">
        <v>0.0</v>
      </c>
      <c r="M3811" s="25"/>
      <c r="N3811" s="26" t="s">
        <v>21</v>
      </c>
      <c r="O3811" s="7"/>
      <c r="P3811" s="7"/>
      <c r="Q3811" s="7"/>
      <c r="R3811" s="7"/>
      <c r="S3811" s="7"/>
      <c r="T3811" s="7"/>
      <c r="U3811" s="7"/>
      <c r="V3811" s="7"/>
      <c r="W3811" s="7"/>
      <c r="X3811" s="7"/>
      <c r="Y3811" s="7"/>
    </row>
    <row r="3812">
      <c r="A3812" s="14" t="s">
        <v>13516</v>
      </c>
      <c r="B3812" s="17" t="s">
        <v>13517</v>
      </c>
      <c r="C3812" s="17" t="s">
        <v>13518</v>
      </c>
      <c r="D3812" s="19" t="s">
        <v>13519</v>
      </c>
      <c r="E3812" s="20" t="s">
        <v>5389</v>
      </c>
      <c r="F3812" s="21">
        <v>24329.0</v>
      </c>
      <c r="G3812" s="14">
        <f t="shared" si="1"/>
        <v>60</v>
      </c>
      <c r="H3812" s="23" t="s">
        <v>27</v>
      </c>
      <c r="I3812" s="24" t="s">
        <v>27</v>
      </c>
      <c r="J3812" s="19" t="s">
        <v>206</v>
      </c>
      <c r="K3812" s="14">
        <v>1.0</v>
      </c>
      <c r="L3812" s="14">
        <v>0.0</v>
      </c>
      <c r="M3812" s="25"/>
      <c r="N3812" s="26" t="s">
        <v>21</v>
      </c>
      <c r="O3812" s="7"/>
      <c r="P3812" s="7"/>
      <c r="Q3812" s="7"/>
      <c r="R3812" s="7"/>
      <c r="S3812" s="7"/>
      <c r="T3812" s="7"/>
      <c r="U3812" s="7"/>
      <c r="V3812" s="7"/>
      <c r="W3812" s="7"/>
      <c r="X3812" s="7"/>
      <c r="Y3812" s="7"/>
    </row>
    <row r="3813">
      <c r="A3813" s="14" t="s">
        <v>13520</v>
      </c>
      <c r="B3813" s="17" t="s">
        <v>13517</v>
      </c>
      <c r="C3813" s="17" t="s">
        <v>13521</v>
      </c>
      <c r="D3813" s="19" t="s">
        <v>13522</v>
      </c>
      <c r="E3813" s="20" t="s">
        <v>13523</v>
      </c>
      <c r="F3813" s="21">
        <v>36776.0</v>
      </c>
      <c r="G3813" s="14">
        <f t="shared" si="1"/>
        <v>26</v>
      </c>
      <c r="H3813" s="23" t="s">
        <v>100</v>
      </c>
      <c r="I3813" s="24" t="s">
        <v>33</v>
      </c>
      <c r="J3813" s="19" t="s">
        <v>206</v>
      </c>
      <c r="K3813" s="14">
        <v>1.0</v>
      </c>
      <c r="L3813" s="14">
        <v>0.0</v>
      </c>
      <c r="M3813" s="25"/>
      <c r="N3813" s="26" t="s">
        <v>21</v>
      </c>
      <c r="O3813" s="7"/>
      <c r="P3813" s="7"/>
      <c r="Q3813" s="7"/>
      <c r="R3813" s="7"/>
      <c r="S3813" s="7"/>
      <c r="T3813" s="7"/>
      <c r="U3813" s="7"/>
      <c r="V3813" s="7"/>
      <c r="W3813" s="7"/>
      <c r="X3813" s="7"/>
      <c r="Y3813" s="7"/>
    </row>
    <row r="3814">
      <c r="A3814" s="14" t="s">
        <v>13524</v>
      </c>
      <c r="B3814" s="17" t="s">
        <v>276</v>
      </c>
      <c r="C3814" s="17" t="s">
        <v>13525</v>
      </c>
      <c r="D3814" s="19" t="s">
        <v>13526</v>
      </c>
      <c r="E3814" s="20" t="s">
        <v>2689</v>
      </c>
      <c r="F3814" s="21">
        <v>32303.0</v>
      </c>
      <c r="G3814" s="14">
        <f t="shared" si="1"/>
        <v>38</v>
      </c>
      <c r="H3814" s="23" t="s">
        <v>100</v>
      </c>
      <c r="I3814" s="24" t="s">
        <v>33</v>
      </c>
      <c r="J3814" s="19" t="s">
        <v>13527</v>
      </c>
      <c r="K3814" s="14">
        <v>10.0</v>
      </c>
      <c r="L3814" s="14">
        <v>0.0</v>
      </c>
      <c r="M3814" s="25"/>
      <c r="N3814" s="26" t="s">
        <v>21</v>
      </c>
      <c r="O3814" s="7"/>
      <c r="P3814" s="7"/>
      <c r="Q3814" s="7"/>
      <c r="R3814" s="7"/>
      <c r="S3814" s="7"/>
      <c r="T3814" s="7"/>
      <c r="U3814" s="7"/>
      <c r="V3814" s="7"/>
      <c r="W3814" s="7"/>
      <c r="X3814" s="7"/>
      <c r="Y3814" s="7"/>
    </row>
    <row r="3815">
      <c r="A3815" s="14" t="s">
        <v>13528</v>
      </c>
      <c r="B3815" s="17" t="s">
        <v>13529</v>
      </c>
      <c r="C3815" s="17" t="s">
        <v>13530</v>
      </c>
      <c r="D3815" s="19" t="s">
        <v>12450</v>
      </c>
      <c r="E3815" s="20" t="s">
        <v>429</v>
      </c>
      <c r="F3815" s="21">
        <v>14681.0</v>
      </c>
      <c r="G3815" s="14">
        <f t="shared" si="1"/>
        <v>86</v>
      </c>
      <c r="H3815" s="23" t="s">
        <v>26</v>
      </c>
      <c r="I3815" s="24" t="s">
        <v>33</v>
      </c>
      <c r="J3815" s="19" t="s">
        <v>726</v>
      </c>
      <c r="K3815" s="14">
        <v>11.0</v>
      </c>
      <c r="L3815" s="14">
        <v>1.0</v>
      </c>
      <c r="M3815" s="25"/>
      <c r="N3815" s="26" t="s">
        <v>21</v>
      </c>
      <c r="O3815" s="7"/>
      <c r="P3815" s="7"/>
      <c r="Q3815" s="7"/>
      <c r="R3815" s="7"/>
      <c r="S3815" s="7"/>
      <c r="T3815" s="7"/>
      <c r="U3815" s="7"/>
      <c r="V3815" s="7"/>
      <c r="W3815" s="7"/>
      <c r="X3815" s="7"/>
      <c r="Y3815" s="7"/>
    </row>
    <row r="3816">
      <c r="A3816" s="14" t="s">
        <v>13531</v>
      </c>
      <c r="B3816" s="17" t="s">
        <v>13532</v>
      </c>
      <c r="C3816" s="17" t="s">
        <v>13533</v>
      </c>
      <c r="D3816" s="19" t="s">
        <v>13534</v>
      </c>
      <c r="E3816" s="20" t="s">
        <v>1095</v>
      </c>
      <c r="F3816" s="27">
        <v>39010.0</v>
      </c>
      <c r="G3816" s="14">
        <f t="shared" si="1"/>
        <v>20</v>
      </c>
      <c r="H3816" s="23" t="s">
        <v>100</v>
      </c>
      <c r="I3816" s="24" t="s">
        <v>33</v>
      </c>
      <c r="J3816" s="19" t="s">
        <v>362</v>
      </c>
      <c r="K3816" s="14">
        <v>21.0</v>
      </c>
      <c r="L3816" s="14">
        <v>0.0</v>
      </c>
      <c r="M3816" s="25"/>
      <c r="N3816" s="26" t="s">
        <v>21</v>
      </c>
      <c r="O3816" s="7"/>
      <c r="P3816" s="7"/>
      <c r="Q3816" s="7"/>
      <c r="R3816" s="7"/>
      <c r="S3816" s="7"/>
      <c r="T3816" s="7"/>
      <c r="U3816" s="7"/>
      <c r="V3816" s="7"/>
      <c r="W3816" s="7"/>
      <c r="X3816" s="7"/>
      <c r="Y3816" s="7"/>
    </row>
    <row r="3817">
      <c r="A3817" s="14" t="s">
        <v>13535</v>
      </c>
      <c r="B3817" s="17" t="s">
        <v>13532</v>
      </c>
      <c r="C3817" s="17" t="s">
        <v>13536</v>
      </c>
      <c r="D3817" s="19" t="s">
        <v>13537</v>
      </c>
      <c r="E3817" s="20" t="s">
        <v>104</v>
      </c>
      <c r="F3817" s="21">
        <v>31426.0</v>
      </c>
      <c r="G3817" s="14">
        <f t="shared" si="1"/>
        <v>40</v>
      </c>
      <c r="H3817" s="23" t="s">
        <v>26</v>
      </c>
      <c r="I3817" s="24" t="s">
        <v>27</v>
      </c>
      <c r="J3817" s="19" t="s">
        <v>362</v>
      </c>
      <c r="K3817" s="14">
        <v>21.0</v>
      </c>
      <c r="L3817" s="14">
        <v>0.0</v>
      </c>
      <c r="M3817" s="25"/>
      <c r="N3817" s="26" t="s">
        <v>21</v>
      </c>
      <c r="O3817" s="7"/>
      <c r="P3817" s="7"/>
      <c r="Q3817" s="7"/>
      <c r="R3817" s="7"/>
      <c r="S3817" s="7"/>
      <c r="T3817" s="7"/>
      <c r="U3817" s="7"/>
      <c r="V3817" s="7"/>
      <c r="W3817" s="7"/>
      <c r="X3817" s="7"/>
      <c r="Y3817" s="7"/>
    </row>
    <row r="3818">
      <c r="A3818" s="14" t="s">
        <v>13538</v>
      </c>
      <c r="B3818" s="17" t="s">
        <v>13532</v>
      </c>
      <c r="C3818" s="17" t="s">
        <v>13539</v>
      </c>
      <c r="D3818" s="19" t="s">
        <v>540</v>
      </c>
      <c r="E3818" s="20" t="s">
        <v>104</v>
      </c>
      <c r="F3818" s="21">
        <v>30902.0</v>
      </c>
      <c r="G3818" s="14">
        <f t="shared" si="1"/>
        <v>42</v>
      </c>
      <c r="H3818" s="23" t="s">
        <v>26</v>
      </c>
      <c r="I3818" s="24" t="s">
        <v>33</v>
      </c>
      <c r="J3818" s="19" t="s">
        <v>362</v>
      </c>
      <c r="K3818" s="14">
        <v>21.0</v>
      </c>
      <c r="L3818" s="14">
        <v>0.0</v>
      </c>
      <c r="M3818" s="25"/>
      <c r="N3818" s="26" t="s">
        <v>21</v>
      </c>
      <c r="O3818" s="7"/>
      <c r="P3818" s="7"/>
      <c r="Q3818" s="7"/>
      <c r="R3818" s="7"/>
      <c r="S3818" s="7"/>
      <c r="T3818" s="7"/>
      <c r="U3818" s="7"/>
      <c r="V3818" s="7"/>
      <c r="W3818" s="7"/>
      <c r="X3818" s="7"/>
      <c r="Y3818" s="7"/>
    </row>
    <row r="3819">
      <c r="A3819" s="14" t="s">
        <v>13540</v>
      </c>
      <c r="B3819" s="17" t="s">
        <v>13541</v>
      </c>
      <c r="C3819" s="17" t="s">
        <v>13542</v>
      </c>
      <c r="D3819" s="19" t="s">
        <v>13543</v>
      </c>
      <c r="E3819" s="20" t="s">
        <v>1133</v>
      </c>
      <c r="F3819" s="21">
        <v>38902.0</v>
      </c>
      <c r="G3819" s="14">
        <f t="shared" si="1"/>
        <v>20</v>
      </c>
      <c r="H3819" s="23" t="s">
        <v>100</v>
      </c>
      <c r="I3819" s="24" t="s">
        <v>33</v>
      </c>
      <c r="J3819" s="19" t="s">
        <v>282</v>
      </c>
      <c r="K3819" s="14">
        <v>16.0</v>
      </c>
      <c r="L3819" s="14">
        <v>0.0</v>
      </c>
      <c r="M3819" s="25"/>
      <c r="N3819" s="26" t="s">
        <v>21</v>
      </c>
      <c r="O3819" s="7"/>
      <c r="P3819" s="7"/>
      <c r="Q3819" s="7"/>
      <c r="R3819" s="7"/>
      <c r="S3819" s="7"/>
      <c r="T3819" s="7"/>
      <c r="U3819" s="7"/>
      <c r="V3819" s="7"/>
      <c r="W3819" s="7"/>
      <c r="X3819" s="7"/>
      <c r="Y3819" s="7"/>
    </row>
    <row r="3820">
      <c r="A3820" s="14" t="s">
        <v>13544</v>
      </c>
      <c r="B3820" s="17" t="s">
        <v>13541</v>
      </c>
      <c r="C3820" s="17" t="s">
        <v>13545</v>
      </c>
      <c r="D3820" s="19" t="s">
        <v>13546</v>
      </c>
      <c r="E3820" s="20" t="s">
        <v>671</v>
      </c>
      <c r="F3820" s="21">
        <v>25283.0</v>
      </c>
      <c r="G3820" s="14">
        <f t="shared" si="1"/>
        <v>57</v>
      </c>
      <c r="H3820" s="23" t="s">
        <v>26</v>
      </c>
      <c r="I3820" s="24" t="s">
        <v>33</v>
      </c>
      <c r="J3820" s="19" t="s">
        <v>282</v>
      </c>
      <c r="K3820" s="14">
        <v>16.0</v>
      </c>
      <c r="L3820" s="14">
        <v>0.0</v>
      </c>
      <c r="M3820" s="25"/>
      <c r="N3820" s="26" t="s">
        <v>21</v>
      </c>
      <c r="O3820" s="7"/>
      <c r="P3820" s="7"/>
      <c r="Q3820" s="7"/>
      <c r="R3820" s="7"/>
      <c r="S3820" s="7"/>
      <c r="T3820" s="7"/>
      <c r="U3820" s="7"/>
      <c r="V3820" s="7"/>
      <c r="W3820" s="7"/>
      <c r="X3820" s="7"/>
      <c r="Y3820" s="7"/>
    </row>
    <row r="3821">
      <c r="A3821" s="14" t="s">
        <v>13547</v>
      </c>
      <c r="B3821" s="17" t="s">
        <v>13541</v>
      </c>
      <c r="C3821" s="17" t="s">
        <v>13548</v>
      </c>
      <c r="D3821" s="19" t="s">
        <v>13549</v>
      </c>
      <c r="E3821" s="20" t="s">
        <v>624</v>
      </c>
      <c r="F3821" s="21">
        <v>27634.0</v>
      </c>
      <c r="G3821" s="14">
        <f t="shared" si="1"/>
        <v>51</v>
      </c>
      <c r="H3821" s="23" t="s">
        <v>26</v>
      </c>
      <c r="I3821" s="24" t="s">
        <v>27</v>
      </c>
      <c r="J3821" s="19" t="s">
        <v>282</v>
      </c>
      <c r="K3821" s="14">
        <v>16.0</v>
      </c>
      <c r="L3821" s="14">
        <v>0.0</v>
      </c>
      <c r="M3821" s="25"/>
      <c r="N3821" s="26" t="s">
        <v>21</v>
      </c>
      <c r="O3821" s="7"/>
      <c r="P3821" s="7"/>
      <c r="Q3821" s="7"/>
      <c r="R3821" s="7"/>
      <c r="S3821" s="7"/>
      <c r="T3821" s="7"/>
      <c r="U3821" s="7"/>
      <c r="V3821" s="7"/>
      <c r="W3821" s="7"/>
      <c r="X3821" s="7"/>
      <c r="Y3821" s="7"/>
    </row>
    <row r="3822">
      <c r="A3822" s="14" t="s">
        <v>13550</v>
      </c>
      <c r="B3822" s="17" t="s">
        <v>13551</v>
      </c>
      <c r="C3822" s="17" t="s">
        <v>13552</v>
      </c>
      <c r="D3822" s="19" t="s">
        <v>13553</v>
      </c>
      <c r="E3822" s="20" t="s">
        <v>337</v>
      </c>
      <c r="F3822" s="21">
        <v>33105.0</v>
      </c>
      <c r="G3822" s="14">
        <f t="shared" si="1"/>
        <v>36</v>
      </c>
      <c r="H3822" s="23" t="s">
        <v>26</v>
      </c>
      <c r="I3822" s="24" t="s">
        <v>27</v>
      </c>
      <c r="J3822" s="19" t="s">
        <v>757</v>
      </c>
      <c r="K3822" s="14">
        <v>10.0</v>
      </c>
      <c r="L3822" s="14">
        <v>0.0</v>
      </c>
      <c r="M3822" s="25"/>
      <c r="N3822" s="26" t="s">
        <v>21</v>
      </c>
      <c r="O3822" s="7"/>
      <c r="P3822" s="7"/>
      <c r="Q3822" s="7"/>
      <c r="R3822" s="7"/>
      <c r="S3822" s="7"/>
      <c r="T3822" s="7"/>
      <c r="U3822" s="7"/>
      <c r="V3822" s="7"/>
      <c r="W3822" s="7"/>
      <c r="X3822" s="7"/>
      <c r="Y3822" s="7"/>
    </row>
    <row r="3823">
      <c r="A3823" s="14" t="s">
        <v>13554</v>
      </c>
      <c r="B3823" s="17" t="s">
        <v>13551</v>
      </c>
      <c r="C3823" s="17" t="s">
        <v>13555</v>
      </c>
      <c r="D3823" s="19" t="s">
        <v>684</v>
      </c>
      <c r="E3823" s="20" t="s">
        <v>104</v>
      </c>
      <c r="F3823" s="21">
        <v>33065.0</v>
      </c>
      <c r="G3823" s="14">
        <f t="shared" si="1"/>
        <v>36</v>
      </c>
      <c r="H3823" s="23" t="s">
        <v>26</v>
      </c>
      <c r="I3823" s="24" t="s">
        <v>33</v>
      </c>
      <c r="J3823" s="19" t="s">
        <v>757</v>
      </c>
      <c r="K3823" s="14">
        <v>10.0</v>
      </c>
      <c r="L3823" s="14">
        <v>0.0</v>
      </c>
      <c r="M3823" s="25"/>
      <c r="N3823" s="26" t="s">
        <v>21</v>
      </c>
      <c r="O3823" s="7"/>
      <c r="P3823" s="7"/>
      <c r="Q3823" s="7"/>
      <c r="R3823" s="7"/>
      <c r="S3823" s="7"/>
      <c r="T3823" s="7"/>
      <c r="U3823" s="7"/>
      <c r="V3823" s="7"/>
      <c r="W3823" s="7"/>
      <c r="X3823" s="7"/>
      <c r="Y3823" s="7"/>
    </row>
    <row r="3824">
      <c r="A3824" s="14" t="s">
        <v>13556</v>
      </c>
      <c r="B3824" s="17" t="s">
        <v>13557</v>
      </c>
      <c r="C3824" s="17" t="s">
        <v>13558</v>
      </c>
      <c r="D3824" s="19" t="s">
        <v>13559</v>
      </c>
      <c r="E3824" s="20" t="s">
        <v>13560</v>
      </c>
      <c r="F3824" s="21">
        <v>32392.0</v>
      </c>
      <c r="G3824" s="14">
        <f t="shared" si="1"/>
        <v>38</v>
      </c>
      <c r="H3824" s="23" t="s">
        <v>26</v>
      </c>
      <c r="I3824" s="24" t="s">
        <v>33</v>
      </c>
      <c r="J3824" s="19" t="s">
        <v>58</v>
      </c>
      <c r="K3824" s="14">
        <v>7.0</v>
      </c>
      <c r="L3824" s="14">
        <v>0.0</v>
      </c>
      <c r="M3824" s="25"/>
      <c r="N3824" s="26" t="s">
        <v>21</v>
      </c>
      <c r="O3824" s="7"/>
      <c r="P3824" s="7"/>
      <c r="Q3824" s="7"/>
      <c r="R3824" s="7"/>
      <c r="S3824" s="7"/>
      <c r="T3824" s="7"/>
      <c r="U3824" s="7"/>
      <c r="V3824" s="7"/>
      <c r="W3824" s="7"/>
      <c r="X3824" s="7"/>
      <c r="Y3824" s="7"/>
    </row>
    <row r="3825">
      <c r="A3825" s="14" t="s">
        <v>13561</v>
      </c>
      <c r="B3825" s="17" t="s">
        <v>13557</v>
      </c>
      <c r="C3825" s="17" t="s">
        <v>13562</v>
      </c>
      <c r="D3825" s="19" t="s">
        <v>13563</v>
      </c>
      <c r="E3825" s="20" t="s">
        <v>104</v>
      </c>
      <c r="F3825" s="21">
        <v>34220.0</v>
      </c>
      <c r="G3825" s="14">
        <f t="shared" si="1"/>
        <v>33</v>
      </c>
      <c r="H3825" s="23" t="s">
        <v>26</v>
      </c>
      <c r="I3825" s="24" t="s">
        <v>27</v>
      </c>
      <c r="J3825" s="19" t="s">
        <v>58</v>
      </c>
      <c r="K3825" s="14">
        <v>7.0</v>
      </c>
      <c r="L3825" s="14">
        <v>0.0</v>
      </c>
      <c r="M3825" s="25"/>
      <c r="N3825" s="26" t="s">
        <v>21</v>
      </c>
      <c r="O3825" s="7"/>
      <c r="P3825" s="7"/>
      <c r="Q3825" s="7"/>
      <c r="R3825" s="7"/>
      <c r="S3825" s="7"/>
      <c r="T3825" s="7"/>
      <c r="U3825" s="7"/>
      <c r="V3825" s="7"/>
      <c r="W3825" s="7"/>
      <c r="X3825" s="7"/>
      <c r="Y3825" s="7"/>
    </row>
    <row r="3826">
      <c r="A3826" s="14" t="s">
        <v>13564</v>
      </c>
      <c r="B3826" s="17" t="s">
        <v>13565</v>
      </c>
      <c r="C3826" s="17" t="s">
        <v>13566</v>
      </c>
      <c r="D3826" s="19" t="s">
        <v>1143</v>
      </c>
      <c r="E3826" s="20" t="s">
        <v>104</v>
      </c>
      <c r="F3826" s="27">
        <v>30240.0</v>
      </c>
      <c r="G3826" s="14">
        <f t="shared" si="1"/>
        <v>44</v>
      </c>
      <c r="H3826" s="23" t="s">
        <v>26</v>
      </c>
      <c r="I3826" s="24" t="s">
        <v>33</v>
      </c>
      <c r="J3826" s="19" t="s">
        <v>53</v>
      </c>
      <c r="K3826" s="14">
        <v>36.0</v>
      </c>
      <c r="L3826" s="14">
        <v>0.0</v>
      </c>
      <c r="M3826" s="25"/>
      <c r="N3826" s="26" t="s">
        <v>21</v>
      </c>
      <c r="O3826" s="7"/>
      <c r="P3826" s="7"/>
      <c r="Q3826" s="7"/>
      <c r="R3826" s="7"/>
      <c r="S3826" s="7"/>
      <c r="T3826" s="7"/>
      <c r="U3826" s="7"/>
      <c r="V3826" s="7"/>
      <c r="W3826" s="7"/>
      <c r="X3826" s="7"/>
      <c r="Y3826" s="7"/>
    </row>
    <row r="3827">
      <c r="A3827" s="14" t="s">
        <v>13567</v>
      </c>
      <c r="B3827" s="17" t="s">
        <v>13565</v>
      </c>
      <c r="C3827" s="17" t="s">
        <v>13568</v>
      </c>
      <c r="D3827" s="19" t="s">
        <v>13569</v>
      </c>
      <c r="E3827" s="20" t="s">
        <v>53</v>
      </c>
      <c r="F3827" s="21">
        <v>33801.0</v>
      </c>
      <c r="G3827" s="14">
        <f t="shared" si="1"/>
        <v>34</v>
      </c>
      <c r="H3827" s="23" t="s">
        <v>26</v>
      </c>
      <c r="I3827" s="24" t="s">
        <v>27</v>
      </c>
      <c r="J3827" s="19" t="s">
        <v>53</v>
      </c>
      <c r="K3827" s="14">
        <v>36.0</v>
      </c>
      <c r="L3827" s="14">
        <v>0.0</v>
      </c>
      <c r="M3827" s="25"/>
      <c r="N3827" s="26" t="s">
        <v>21</v>
      </c>
      <c r="O3827" s="7"/>
      <c r="P3827" s="7"/>
      <c r="Q3827" s="7"/>
      <c r="R3827" s="7"/>
      <c r="S3827" s="7"/>
      <c r="T3827" s="7"/>
      <c r="U3827" s="7"/>
      <c r="V3827" s="7"/>
      <c r="W3827" s="7"/>
      <c r="X3827" s="7"/>
      <c r="Y3827" s="7"/>
    </row>
    <row r="3828">
      <c r="A3828" s="14" t="s">
        <v>13570</v>
      </c>
      <c r="B3828" s="17" t="s">
        <v>13571</v>
      </c>
      <c r="C3828" s="17" t="s">
        <v>13572</v>
      </c>
      <c r="D3828" s="19" t="s">
        <v>13573</v>
      </c>
      <c r="E3828" s="20" t="s">
        <v>112</v>
      </c>
      <c r="F3828" s="21">
        <v>24696.0</v>
      </c>
      <c r="G3828" s="14">
        <f t="shared" si="1"/>
        <v>59</v>
      </c>
      <c r="H3828" s="23" t="s">
        <v>26</v>
      </c>
      <c r="I3828" s="24" t="s">
        <v>33</v>
      </c>
      <c r="J3828" s="19" t="s">
        <v>726</v>
      </c>
      <c r="K3828" s="14">
        <v>13.0</v>
      </c>
      <c r="L3828" s="14">
        <v>0.0</v>
      </c>
      <c r="M3828" s="25"/>
      <c r="N3828" s="26" t="s">
        <v>21</v>
      </c>
      <c r="O3828" s="7"/>
      <c r="P3828" s="7"/>
      <c r="Q3828" s="7"/>
      <c r="R3828" s="7"/>
      <c r="S3828" s="7"/>
      <c r="T3828" s="7"/>
      <c r="U3828" s="7"/>
      <c r="V3828" s="7"/>
      <c r="W3828" s="7"/>
      <c r="X3828" s="7"/>
      <c r="Y3828" s="7"/>
    </row>
    <row r="3829">
      <c r="A3829" s="14" t="s">
        <v>13574</v>
      </c>
      <c r="B3829" s="17" t="s">
        <v>13571</v>
      </c>
      <c r="C3829" s="17" t="s">
        <v>13575</v>
      </c>
      <c r="D3829" s="19" t="s">
        <v>13576</v>
      </c>
      <c r="E3829" s="20" t="s">
        <v>4257</v>
      </c>
      <c r="F3829" s="21">
        <v>35946.0</v>
      </c>
      <c r="G3829" s="14">
        <f t="shared" si="1"/>
        <v>28</v>
      </c>
      <c r="H3829" s="23" t="s">
        <v>100</v>
      </c>
      <c r="I3829" s="24" t="s">
        <v>33</v>
      </c>
      <c r="J3829" s="19" t="s">
        <v>726</v>
      </c>
      <c r="K3829" s="14">
        <v>13.0</v>
      </c>
      <c r="L3829" s="14">
        <v>0.0</v>
      </c>
      <c r="M3829" s="25"/>
      <c r="N3829" s="26" t="s">
        <v>21</v>
      </c>
      <c r="O3829" s="7"/>
      <c r="P3829" s="7"/>
      <c r="Q3829" s="7"/>
      <c r="R3829" s="7"/>
      <c r="S3829" s="7"/>
      <c r="T3829" s="7"/>
      <c r="U3829" s="7"/>
      <c r="V3829" s="7"/>
      <c r="W3829" s="7"/>
      <c r="X3829" s="7"/>
      <c r="Y3829" s="7"/>
    </row>
    <row r="3830">
      <c r="A3830" s="14" t="s">
        <v>13577</v>
      </c>
      <c r="B3830" s="17" t="s">
        <v>13571</v>
      </c>
      <c r="C3830" s="17" t="s">
        <v>13578</v>
      </c>
      <c r="D3830" s="19" t="s">
        <v>11971</v>
      </c>
      <c r="E3830" s="20" t="s">
        <v>195</v>
      </c>
      <c r="F3830" s="21">
        <v>26173.0</v>
      </c>
      <c r="G3830" s="14">
        <f t="shared" si="1"/>
        <v>55</v>
      </c>
      <c r="H3830" s="23" t="s">
        <v>26</v>
      </c>
      <c r="I3830" s="24" t="s">
        <v>27</v>
      </c>
      <c r="J3830" s="19" t="s">
        <v>726</v>
      </c>
      <c r="K3830" s="14">
        <v>13.0</v>
      </c>
      <c r="L3830" s="14">
        <v>0.0</v>
      </c>
      <c r="M3830" s="25"/>
      <c r="N3830" s="26" t="s">
        <v>21</v>
      </c>
      <c r="O3830" s="7"/>
      <c r="P3830" s="7"/>
      <c r="Q3830" s="7"/>
      <c r="R3830" s="7"/>
      <c r="S3830" s="7"/>
      <c r="T3830" s="7"/>
      <c r="U3830" s="7"/>
      <c r="V3830" s="7"/>
      <c r="W3830" s="7"/>
      <c r="X3830" s="7"/>
      <c r="Y3830" s="7"/>
    </row>
    <row r="3831">
      <c r="A3831" s="14" t="s">
        <v>13579</v>
      </c>
      <c r="B3831" s="32" t="s">
        <v>14436</v>
      </c>
      <c r="C3831" s="17" t="s">
        <v>13581</v>
      </c>
      <c r="D3831" s="19" t="s">
        <v>13582</v>
      </c>
      <c r="E3831" s="20" t="s">
        <v>53</v>
      </c>
      <c r="F3831" s="21">
        <v>35083.0</v>
      </c>
      <c r="G3831" s="14">
        <f t="shared" si="1"/>
        <v>30</v>
      </c>
      <c r="H3831" s="23" t="s">
        <v>27</v>
      </c>
      <c r="I3831" s="24" t="s">
        <v>27</v>
      </c>
      <c r="J3831" s="19" t="s">
        <v>282</v>
      </c>
      <c r="K3831" s="14">
        <v>18.0</v>
      </c>
      <c r="L3831" s="14">
        <v>0.0</v>
      </c>
      <c r="M3831" s="28" t="s">
        <v>14437</v>
      </c>
      <c r="N3831" s="26" t="s">
        <v>21</v>
      </c>
      <c r="O3831" s="7"/>
      <c r="P3831" s="7"/>
      <c r="Q3831" s="7"/>
      <c r="R3831" s="7"/>
      <c r="S3831" s="7"/>
      <c r="T3831" s="7"/>
      <c r="U3831" s="7"/>
      <c r="V3831" s="7"/>
      <c r="W3831" s="7"/>
      <c r="X3831" s="7"/>
      <c r="Y3831" s="7"/>
    </row>
    <row r="3832">
      <c r="A3832" s="14" t="s">
        <v>13583</v>
      </c>
      <c r="B3832" s="17" t="s">
        <v>13584</v>
      </c>
      <c r="C3832" s="17" t="s">
        <v>13585</v>
      </c>
      <c r="D3832" s="19" t="s">
        <v>13586</v>
      </c>
      <c r="E3832" s="20" t="s">
        <v>104</v>
      </c>
      <c r="F3832" s="21">
        <v>29561.0</v>
      </c>
      <c r="G3832" s="14">
        <f t="shared" si="1"/>
        <v>45</v>
      </c>
      <c r="H3832" s="23" t="s">
        <v>100</v>
      </c>
      <c r="I3832" s="24" t="s">
        <v>33</v>
      </c>
      <c r="J3832" s="19" t="s">
        <v>53</v>
      </c>
      <c r="K3832" s="14">
        <v>22.0</v>
      </c>
      <c r="L3832" s="14">
        <v>5.0</v>
      </c>
      <c r="M3832" s="28" t="s">
        <v>14438</v>
      </c>
      <c r="N3832" s="26" t="s">
        <v>21</v>
      </c>
      <c r="O3832" s="7"/>
      <c r="P3832" s="7"/>
      <c r="Q3832" s="7"/>
      <c r="R3832" s="7"/>
      <c r="S3832" s="7"/>
      <c r="T3832" s="7"/>
      <c r="U3832" s="7"/>
      <c r="V3832" s="7"/>
      <c r="W3832" s="7"/>
      <c r="X3832" s="7"/>
      <c r="Y3832" s="7"/>
    </row>
    <row r="3833">
      <c r="A3833" s="14" t="s">
        <v>13587</v>
      </c>
      <c r="B3833" s="17" t="s">
        <v>13584</v>
      </c>
      <c r="C3833" s="17" t="s">
        <v>13588</v>
      </c>
      <c r="D3833" s="19" t="s">
        <v>13589</v>
      </c>
      <c r="E3833" s="20" t="s">
        <v>104</v>
      </c>
      <c r="F3833" s="27">
        <v>36889.0</v>
      </c>
      <c r="G3833" s="14">
        <f t="shared" si="1"/>
        <v>25</v>
      </c>
      <c r="H3833" s="23" t="s">
        <v>100</v>
      </c>
      <c r="I3833" s="24" t="s">
        <v>27</v>
      </c>
      <c r="J3833" s="19" t="s">
        <v>53</v>
      </c>
      <c r="K3833" s="14">
        <v>22.0</v>
      </c>
      <c r="L3833" s="14">
        <v>0.0</v>
      </c>
      <c r="M3833" s="25"/>
      <c r="N3833" s="26" t="s">
        <v>21</v>
      </c>
      <c r="O3833" s="7"/>
      <c r="P3833" s="7"/>
      <c r="Q3833" s="7"/>
      <c r="R3833" s="7"/>
      <c r="S3833" s="7"/>
      <c r="T3833" s="7"/>
      <c r="U3833" s="7"/>
      <c r="V3833" s="7"/>
      <c r="W3833" s="7"/>
      <c r="X3833" s="7"/>
      <c r="Y3833" s="7"/>
    </row>
    <row r="3834">
      <c r="A3834" s="14" t="s">
        <v>13590</v>
      </c>
      <c r="B3834" s="17" t="s">
        <v>13584</v>
      </c>
      <c r="C3834" s="17" t="s">
        <v>13591</v>
      </c>
      <c r="D3834" s="19" t="s">
        <v>13592</v>
      </c>
      <c r="E3834" s="20" t="s">
        <v>632</v>
      </c>
      <c r="F3834" s="21">
        <v>19944.0</v>
      </c>
      <c r="G3834" s="14">
        <f t="shared" si="1"/>
        <v>72</v>
      </c>
      <c r="H3834" s="23" t="s">
        <v>26</v>
      </c>
      <c r="I3834" s="24" t="s">
        <v>33</v>
      </c>
      <c r="J3834" s="19" t="s">
        <v>53</v>
      </c>
      <c r="K3834" s="14">
        <v>22.0</v>
      </c>
      <c r="L3834" s="14">
        <v>0.0</v>
      </c>
      <c r="M3834" s="25"/>
      <c r="N3834" s="26" t="s">
        <v>21</v>
      </c>
      <c r="O3834" s="7"/>
      <c r="P3834" s="7"/>
      <c r="Q3834" s="7"/>
      <c r="R3834" s="7"/>
      <c r="S3834" s="7"/>
      <c r="T3834" s="7"/>
      <c r="U3834" s="7"/>
      <c r="V3834" s="7"/>
      <c r="W3834" s="7"/>
      <c r="X3834" s="7"/>
      <c r="Y3834" s="7"/>
    </row>
    <row r="3835">
      <c r="A3835" s="14" t="s">
        <v>13593</v>
      </c>
      <c r="B3835" s="17" t="s">
        <v>13584</v>
      </c>
      <c r="C3835" s="17" t="s">
        <v>13594</v>
      </c>
      <c r="D3835" s="19" t="s">
        <v>13595</v>
      </c>
      <c r="E3835" s="20" t="s">
        <v>632</v>
      </c>
      <c r="F3835" s="21">
        <v>21708.0</v>
      </c>
      <c r="G3835" s="14">
        <f t="shared" si="1"/>
        <v>67</v>
      </c>
      <c r="H3835" s="23" t="s">
        <v>26</v>
      </c>
      <c r="I3835" s="24" t="s">
        <v>27</v>
      </c>
      <c r="J3835" s="19" t="s">
        <v>337</v>
      </c>
      <c r="K3835" s="14">
        <v>22.0</v>
      </c>
      <c r="L3835" s="14">
        <v>1.0</v>
      </c>
      <c r="M3835" s="25"/>
      <c r="N3835" s="26" t="s">
        <v>21</v>
      </c>
      <c r="O3835" s="7"/>
      <c r="P3835" s="7"/>
      <c r="Q3835" s="7"/>
      <c r="R3835" s="7"/>
      <c r="S3835" s="7"/>
      <c r="T3835" s="7"/>
      <c r="U3835" s="7"/>
      <c r="V3835" s="7"/>
      <c r="W3835" s="7"/>
      <c r="X3835" s="7"/>
      <c r="Y3835" s="7"/>
    </row>
    <row r="3836">
      <c r="A3836" s="14" t="s">
        <v>13596</v>
      </c>
      <c r="B3836" s="17" t="s">
        <v>13597</v>
      </c>
      <c r="C3836" s="17" t="s">
        <v>13598</v>
      </c>
      <c r="D3836" s="19" t="s">
        <v>13599</v>
      </c>
      <c r="E3836" s="20" t="s">
        <v>13600</v>
      </c>
      <c r="F3836" s="21">
        <v>26343.0</v>
      </c>
      <c r="G3836" s="14">
        <f t="shared" si="1"/>
        <v>54</v>
      </c>
      <c r="H3836" s="23" t="s">
        <v>26</v>
      </c>
      <c r="I3836" s="24" t="s">
        <v>33</v>
      </c>
      <c r="J3836" s="19" t="s">
        <v>257</v>
      </c>
      <c r="K3836" s="14">
        <v>25.0</v>
      </c>
      <c r="L3836" s="14">
        <v>0.0</v>
      </c>
      <c r="M3836" s="25"/>
      <c r="N3836" s="26" t="s">
        <v>21</v>
      </c>
      <c r="O3836" s="7"/>
      <c r="P3836" s="7"/>
      <c r="Q3836" s="7"/>
      <c r="R3836" s="7"/>
      <c r="S3836" s="7"/>
      <c r="T3836" s="7"/>
      <c r="U3836" s="7"/>
      <c r="V3836" s="7"/>
      <c r="W3836" s="7"/>
      <c r="X3836" s="7"/>
      <c r="Y3836" s="7"/>
    </row>
    <row r="3837">
      <c r="A3837" s="14" t="s">
        <v>13601</v>
      </c>
      <c r="B3837" s="17" t="s">
        <v>13597</v>
      </c>
      <c r="C3837" s="17" t="s">
        <v>13602</v>
      </c>
      <c r="D3837" s="19" t="s">
        <v>13603</v>
      </c>
      <c r="E3837" s="20" t="s">
        <v>6420</v>
      </c>
      <c r="F3837" s="21">
        <v>38038.0</v>
      </c>
      <c r="G3837" s="14">
        <f t="shared" si="1"/>
        <v>22</v>
      </c>
      <c r="H3837" s="23" t="s">
        <v>100</v>
      </c>
      <c r="I3837" s="24" t="s">
        <v>33</v>
      </c>
      <c r="J3837" s="19" t="s">
        <v>257</v>
      </c>
      <c r="K3837" s="14">
        <v>25.0</v>
      </c>
      <c r="L3837" s="14">
        <v>0.0</v>
      </c>
      <c r="M3837" s="25"/>
      <c r="N3837" s="26" t="s">
        <v>21</v>
      </c>
      <c r="O3837" s="7"/>
      <c r="P3837" s="7"/>
      <c r="Q3837" s="7"/>
      <c r="R3837" s="7"/>
      <c r="S3837" s="7"/>
      <c r="T3837" s="7"/>
      <c r="U3837" s="7"/>
      <c r="V3837" s="7"/>
      <c r="W3837" s="7"/>
      <c r="X3837" s="7"/>
      <c r="Y3837" s="7"/>
    </row>
    <row r="3838">
      <c r="A3838" s="14" t="s">
        <v>13604</v>
      </c>
      <c r="B3838" s="17" t="s">
        <v>13597</v>
      </c>
      <c r="C3838" s="17" t="s">
        <v>13605</v>
      </c>
      <c r="D3838" s="19" t="s">
        <v>7933</v>
      </c>
      <c r="E3838" s="20" t="s">
        <v>6420</v>
      </c>
      <c r="F3838" s="21">
        <v>26049.0</v>
      </c>
      <c r="G3838" s="14">
        <f t="shared" si="1"/>
        <v>55</v>
      </c>
      <c r="H3838" s="23" t="s">
        <v>26</v>
      </c>
      <c r="I3838" s="24" t="s">
        <v>27</v>
      </c>
      <c r="J3838" s="19" t="s">
        <v>257</v>
      </c>
      <c r="K3838" s="14">
        <v>25.0</v>
      </c>
      <c r="L3838" s="14">
        <v>0.0</v>
      </c>
      <c r="M3838" s="25"/>
      <c r="N3838" s="26" t="s">
        <v>21</v>
      </c>
      <c r="O3838" s="7"/>
      <c r="P3838" s="7"/>
      <c r="Q3838" s="7"/>
      <c r="R3838" s="7"/>
      <c r="S3838" s="7"/>
      <c r="T3838" s="7"/>
      <c r="U3838" s="7"/>
      <c r="V3838" s="7"/>
      <c r="W3838" s="7"/>
      <c r="X3838" s="7"/>
      <c r="Y3838" s="7"/>
    </row>
    <row r="3839">
      <c r="A3839" s="14" t="s">
        <v>13606</v>
      </c>
      <c r="B3839" s="17" t="s">
        <v>13607</v>
      </c>
      <c r="C3839" s="17" t="s">
        <v>13608</v>
      </c>
      <c r="D3839" s="19" t="s">
        <v>13609</v>
      </c>
      <c r="E3839" s="20" t="s">
        <v>53</v>
      </c>
      <c r="F3839" s="21">
        <v>29891.0</v>
      </c>
      <c r="G3839" s="14">
        <f t="shared" si="1"/>
        <v>44</v>
      </c>
      <c r="H3839" s="23" t="s">
        <v>26</v>
      </c>
      <c r="I3839" s="24" t="s">
        <v>27</v>
      </c>
      <c r="J3839" s="19" t="s">
        <v>7905</v>
      </c>
      <c r="K3839" s="14">
        <v>22.0</v>
      </c>
      <c r="L3839" s="14">
        <v>0.0</v>
      </c>
      <c r="M3839" s="25"/>
      <c r="N3839" s="26" t="s">
        <v>21</v>
      </c>
      <c r="O3839" s="7"/>
      <c r="P3839" s="7"/>
      <c r="Q3839" s="7"/>
      <c r="R3839" s="7"/>
      <c r="S3839" s="7"/>
      <c r="T3839" s="7"/>
      <c r="U3839" s="7"/>
      <c r="V3839" s="7"/>
      <c r="W3839" s="7"/>
      <c r="X3839" s="7"/>
      <c r="Y3839" s="7"/>
    </row>
    <row r="3840">
      <c r="A3840" s="14" t="s">
        <v>13610</v>
      </c>
      <c r="B3840" s="17" t="s">
        <v>13607</v>
      </c>
      <c r="C3840" s="17" t="s">
        <v>13611</v>
      </c>
      <c r="D3840" s="19" t="s">
        <v>13612</v>
      </c>
      <c r="E3840" s="20" t="s">
        <v>13613</v>
      </c>
      <c r="F3840" s="21">
        <v>36664.0</v>
      </c>
      <c r="G3840" s="14">
        <f t="shared" si="1"/>
        <v>26</v>
      </c>
      <c r="H3840" s="23" t="s">
        <v>100</v>
      </c>
      <c r="I3840" s="24" t="s">
        <v>33</v>
      </c>
      <c r="J3840" s="19" t="s">
        <v>7905</v>
      </c>
      <c r="K3840" s="14">
        <v>22.0</v>
      </c>
      <c r="L3840" s="14">
        <v>0.0</v>
      </c>
      <c r="M3840" s="25"/>
      <c r="N3840" s="26" t="s">
        <v>21</v>
      </c>
      <c r="O3840" s="7"/>
      <c r="P3840" s="7"/>
      <c r="Q3840" s="7"/>
      <c r="R3840" s="7"/>
      <c r="S3840" s="7"/>
      <c r="T3840" s="7"/>
      <c r="U3840" s="7"/>
      <c r="V3840" s="7"/>
      <c r="W3840" s="7"/>
      <c r="X3840" s="7"/>
      <c r="Y3840" s="7"/>
    </row>
    <row r="3841">
      <c r="A3841" s="14" t="s">
        <v>13614</v>
      </c>
      <c r="B3841" s="17" t="s">
        <v>13607</v>
      </c>
      <c r="C3841" s="17" t="s">
        <v>13615</v>
      </c>
      <c r="D3841" s="19" t="s">
        <v>311</v>
      </c>
      <c r="E3841" s="20" t="s">
        <v>195</v>
      </c>
      <c r="F3841" s="21">
        <v>27951.0</v>
      </c>
      <c r="G3841" s="14">
        <f t="shared" si="1"/>
        <v>50</v>
      </c>
      <c r="H3841" s="23" t="s">
        <v>26</v>
      </c>
      <c r="I3841" s="24" t="s">
        <v>33</v>
      </c>
      <c r="J3841" s="19" t="s">
        <v>7905</v>
      </c>
      <c r="K3841" s="14">
        <v>22.0</v>
      </c>
      <c r="L3841" s="14">
        <v>0.0</v>
      </c>
      <c r="M3841" s="25"/>
      <c r="N3841" s="26" t="s">
        <v>21</v>
      </c>
      <c r="O3841" s="7"/>
      <c r="P3841" s="7"/>
      <c r="Q3841" s="7"/>
      <c r="R3841" s="7"/>
      <c r="S3841" s="7"/>
      <c r="T3841" s="7"/>
      <c r="U3841" s="7"/>
      <c r="V3841" s="7"/>
      <c r="W3841" s="7"/>
      <c r="X3841" s="7"/>
      <c r="Y3841" s="7"/>
    </row>
    <row r="3842">
      <c r="A3842" s="14" t="s">
        <v>13616</v>
      </c>
      <c r="B3842" s="17" t="s">
        <v>13617</v>
      </c>
      <c r="C3842" s="17" t="s">
        <v>13618</v>
      </c>
      <c r="D3842" s="19" t="s">
        <v>13619</v>
      </c>
      <c r="E3842" s="20" t="s">
        <v>632</v>
      </c>
      <c r="F3842" s="21">
        <v>25819.0</v>
      </c>
      <c r="G3842" s="14">
        <f t="shared" si="1"/>
        <v>56</v>
      </c>
      <c r="H3842" s="23" t="s">
        <v>26</v>
      </c>
      <c r="I3842" s="24" t="s">
        <v>33</v>
      </c>
      <c r="J3842" s="19" t="s">
        <v>783</v>
      </c>
      <c r="K3842" s="14">
        <v>22.0</v>
      </c>
      <c r="L3842" s="14">
        <v>0.0</v>
      </c>
      <c r="M3842" s="25"/>
      <c r="N3842" s="26" t="s">
        <v>21</v>
      </c>
      <c r="O3842" s="7"/>
      <c r="P3842" s="7"/>
      <c r="Q3842" s="7"/>
      <c r="R3842" s="7"/>
      <c r="S3842" s="7"/>
      <c r="T3842" s="7"/>
      <c r="U3842" s="7"/>
      <c r="V3842" s="7"/>
      <c r="W3842" s="7"/>
      <c r="X3842" s="7"/>
      <c r="Y3842" s="7"/>
    </row>
    <row r="3843">
      <c r="A3843" s="14" t="s">
        <v>13620</v>
      </c>
      <c r="B3843" s="17" t="s">
        <v>13617</v>
      </c>
      <c r="C3843" s="17" t="s">
        <v>13621</v>
      </c>
      <c r="D3843" s="19" t="s">
        <v>13622</v>
      </c>
      <c r="E3843" s="20" t="s">
        <v>53</v>
      </c>
      <c r="F3843" s="21">
        <v>37138.0</v>
      </c>
      <c r="G3843" s="14">
        <f t="shared" si="1"/>
        <v>25</v>
      </c>
      <c r="H3843" s="23" t="s">
        <v>100</v>
      </c>
      <c r="I3843" s="24" t="s">
        <v>33</v>
      </c>
      <c r="J3843" s="19" t="s">
        <v>783</v>
      </c>
      <c r="K3843" s="14">
        <v>22.0</v>
      </c>
      <c r="L3843" s="14">
        <v>0.0</v>
      </c>
      <c r="M3843" s="25"/>
      <c r="N3843" s="26" t="s">
        <v>21</v>
      </c>
      <c r="O3843" s="7"/>
      <c r="P3843" s="7"/>
      <c r="Q3843" s="7"/>
      <c r="R3843" s="7"/>
      <c r="S3843" s="7"/>
      <c r="T3843" s="7"/>
      <c r="U3843" s="7"/>
      <c r="V3843" s="7"/>
      <c r="W3843" s="7"/>
      <c r="X3843" s="7"/>
      <c r="Y3843" s="7"/>
    </row>
    <row r="3844">
      <c r="A3844" s="14" t="s">
        <v>13623</v>
      </c>
      <c r="B3844" s="17" t="s">
        <v>13617</v>
      </c>
      <c r="C3844" s="17" t="s">
        <v>13624</v>
      </c>
      <c r="D3844" s="19" t="s">
        <v>13625</v>
      </c>
      <c r="E3844" s="20" t="s">
        <v>434</v>
      </c>
      <c r="F3844" s="21">
        <v>27090.0</v>
      </c>
      <c r="G3844" s="14">
        <f t="shared" si="1"/>
        <v>52</v>
      </c>
      <c r="H3844" s="23" t="s">
        <v>26</v>
      </c>
      <c r="I3844" s="24" t="s">
        <v>27</v>
      </c>
      <c r="J3844" s="19" t="s">
        <v>783</v>
      </c>
      <c r="K3844" s="14">
        <v>22.0</v>
      </c>
      <c r="L3844" s="14">
        <v>0.0</v>
      </c>
      <c r="M3844" s="25"/>
      <c r="N3844" s="26" t="s">
        <v>21</v>
      </c>
      <c r="O3844" s="7"/>
      <c r="P3844" s="7"/>
      <c r="Q3844" s="7"/>
      <c r="R3844" s="7"/>
      <c r="S3844" s="7"/>
      <c r="T3844" s="7"/>
      <c r="U3844" s="7"/>
      <c r="V3844" s="7"/>
      <c r="W3844" s="7"/>
      <c r="X3844" s="7"/>
      <c r="Y3844" s="7"/>
    </row>
    <row r="3845">
      <c r="A3845" s="14" t="s">
        <v>13626</v>
      </c>
      <c r="B3845" s="17" t="s">
        <v>13627</v>
      </c>
      <c r="C3845" s="17" t="s">
        <v>13628</v>
      </c>
      <c r="D3845" s="19" t="s">
        <v>13629</v>
      </c>
      <c r="E3845" s="20" t="s">
        <v>429</v>
      </c>
      <c r="F3845" s="21">
        <v>21966.0</v>
      </c>
      <c r="G3845" s="14">
        <f t="shared" si="1"/>
        <v>66</v>
      </c>
      <c r="H3845" s="23" t="s">
        <v>26</v>
      </c>
      <c r="I3845" s="24" t="s">
        <v>27</v>
      </c>
      <c r="J3845" s="19" t="s">
        <v>362</v>
      </c>
      <c r="K3845" s="14">
        <v>22.0</v>
      </c>
      <c r="L3845" s="14">
        <v>0.0</v>
      </c>
      <c r="M3845" s="25"/>
      <c r="N3845" s="26" t="s">
        <v>21</v>
      </c>
      <c r="O3845" s="7"/>
      <c r="P3845" s="7"/>
      <c r="Q3845" s="7"/>
      <c r="R3845" s="7"/>
      <c r="S3845" s="7"/>
      <c r="T3845" s="7"/>
      <c r="U3845" s="7"/>
      <c r="V3845" s="7"/>
      <c r="W3845" s="7"/>
      <c r="X3845" s="7"/>
      <c r="Y3845" s="7"/>
    </row>
    <row r="3846">
      <c r="A3846" s="14" t="s">
        <v>13630</v>
      </c>
      <c r="B3846" s="17" t="s">
        <v>13627</v>
      </c>
      <c r="C3846" s="17" t="s">
        <v>13631</v>
      </c>
      <c r="D3846" s="19" t="s">
        <v>4673</v>
      </c>
      <c r="E3846" s="20" t="s">
        <v>429</v>
      </c>
      <c r="F3846" s="27">
        <v>21850.0</v>
      </c>
      <c r="G3846" s="14">
        <f t="shared" si="1"/>
        <v>67</v>
      </c>
      <c r="H3846" s="23" t="s">
        <v>26</v>
      </c>
      <c r="I3846" s="24" t="s">
        <v>33</v>
      </c>
      <c r="J3846" s="19" t="s">
        <v>362</v>
      </c>
      <c r="K3846" s="14">
        <v>22.0</v>
      </c>
      <c r="L3846" s="14">
        <v>0.0</v>
      </c>
      <c r="M3846" s="25"/>
      <c r="N3846" s="26" t="s">
        <v>21</v>
      </c>
      <c r="O3846" s="7"/>
      <c r="P3846" s="7"/>
      <c r="Q3846" s="7"/>
      <c r="R3846" s="7"/>
      <c r="S3846" s="7"/>
      <c r="T3846" s="7"/>
      <c r="U3846" s="7"/>
      <c r="V3846" s="7"/>
      <c r="W3846" s="7"/>
      <c r="X3846" s="7"/>
      <c r="Y3846" s="7"/>
    </row>
    <row r="3847">
      <c r="A3847" s="14" t="s">
        <v>13632</v>
      </c>
      <c r="B3847" s="17" t="s">
        <v>13633</v>
      </c>
      <c r="C3847" s="17" t="s">
        <v>13634</v>
      </c>
      <c r="D3847" s="19" t="s">
        <v>13635</v>
      </c>
      <c r="E3847" s="20" t="s">
        <v>2762</v>
      </c>
      <c r="F3847" s="21">
        <v>36756.0</v>
      </c>
      <c r="G3847" s="14">
        <f t="shared" si="1"/>
        <v>26</v>
      </c>
      <c r="H3847" s="23" t="s">
        <v>100</v>
      </c>
      <c r="I3847" s="24" t="s">
        <v>33</v>
      </c>
      <c r="J3847" s="19" t="s">
        <v>68</v>
      </c>
      <c r="K3847" s="14">
        <v>31.0</v>
      </c>
      <c r="L3847" s="14">
        <v>0.0</v>
      </c>
      <c r="M3847" s="25"/>
      <c r="N3847" s="26" t="s">
        <v>21</v>
      </c>
      <c r="O3847" s="7"/>
      <c r="P3847" s="7"/>
      <c r="Q3847" s="7"/>
      <c r="R3847" s="7"/>
      <c r="S3847" s="7"/>
      <c r="T3847" s="7"/>
      <c r="U3847" s="7"/>
      <c r="V3847" s="7"/>
      <c r="W3847" s="7"/>
      <c r="X3847" s="7"/>
      <c r="Y3847" s="7"/>
    </row>
    <row r="3848">
      <c r="A3848" s="14" t="s">
        <v>13636</v>
      </c>
      <c r="B3848" s="17" t="s">
        <v>13633</v>
      </c>
      <c r="C3848" s="17" t="s">
        <v>13637</v>
      </c>
      <c r="D3848" s="19" t="s">
        <v>13638</v>
      </c>
      <c r="E3848" s="20" t="s">
        <v>7893</v>
      </c>
      <c r="F3848" s="21">
        <v>23488.0</v>
      </c>
      <c r="G3848" s="14">
        <f t="shared" si="1"/>
        <v>62</v>
      </c>
      <c r="H3848" s="23" t="s">
        <v>26</v>
      </c>
      <c r="I3848" s="24" t="s">
        <v>33</v>
      </c>
      <c r="J3848" s="19" t="s">
        <v>68</v>
      </c>
      <c r="K3848" s="14">
        <v>31.0</v>
      </c>
      <c r="L3848" s="14">
        <v>0.0</v>
      </c>
      <c r="M3848" s="25"/>
      <c r="N3848" s="26" t="s">
        <v>21</v>
      </c>
      <c r="O3848" s="7"/>
      <c r="P3848" s="7"/>
      <c r="Q3848" s="7"/>
      <c r="R3848" s="7"/>
      <c r="S3848" s="7"/>
      <c r="T3848" s="7"/>
      <c r="U3848" s="7"/>
      <c r="V3848" s="7"/>
      <c r="W3848" s="7"/>
      <c r="X3848" s="7"/>
      <c r="Y3848" s="7"/>
    </row>
    <row r="3849">
      <c r="A3849" s="14" t="s">
        <v>13639</v>
      </c>
      <c r="B3849" s="17" t="s">
        <v>13633</v>
      </c>
      <c r="C3849" s="17" t="s">
        <v>13640</v>
      </c>
      <c r="D3849" s="19" t="s">
        <v>8955</v>
      </c>
      <c r="E3849" s="20" t="s">
        <v>632</v>
      </c>
      <c r="F3849" s="21">
        <v>24587.0</v>
      </c>
      <c r="G3849" s="14">
        <f t="shared" si="1"/>
        <v>59</v>
      </c>
      <c r="H3849" s="23" t="s">
        <v>26</v>
      </c>
      <c r="I3849" s="24" t="s">
        <v>27</v>
      </c>
      <c r="J3849" s="19" t="s">
        <v>68</v>
      </c>
      <c r="K3849" s="14">
        <v>31.0</v>
      </c>
      <c r="L3849" s="14">
        <v>0.0</v>
      </c>
      <c r="M3849" s="25"/>
      <c r="N3849" s="26" t="s">
        <v>21</v>
      </c>
      <c r="O3849" s="7"/>
      <c r="P3849" s="7"/>
      <c r="Q3849" s="7"/>
      <c r="R3849" s="7"/>
      <c r="S3849" s="7"/>
      <c r="T3849" s="7"/>
      <c r="U3849" s="7"/>
      <c r="V3849" s="7"/>
      <c r="W3849" s="7"/>
      <c r="X3849" s="7"/>
      <c r="Y3849" s="7"/>
    </row>
    <row r="3850">
      <c r="A3850" s="14" t="s">
        <v>13641</v>
      </c>
      <c r="B3850" s="17" t="s">
        <v>13642</v>
      </c>
      <c r="C3850" s="17" t="s">
        <v>13643</v>
      </c>
      <c r="D3850" s="19" t="s">
        <v>13644</v>
      </c>
      <c r="E3850" s="20" t="s">
        <v>219</v>
      </c>
      <c r="F3850" s="27">
        <v>31756.0</v>
      </c>
      <c r="G3850" s="14">
        <f t="shared" si="1"/>
        <v>39</v>
      </c>
      <c r="H3850" s="23" t="s">
        <v>26</v>
      </c>
      <c r="I3850" s="24" t="s">
        <v>27</v>
      </c>
      <c r="J3850" s="19" t="s">
        <v>362</v>
      </c>
      <c r="K3850" s="14">
        <v>23.0</v>
      </c>
      <c r="L3850" s="14">
        <v>0.0</v>
      </c>
      <c r="M3850" s="25"/>
      <c r="N3850" s="26" t="s">
        <v>21</v>
      </c>
      <c r="O3850" s="7"/>
      <c r="P3850" s="7"/>
      <c r="Q3850" s="7"/>
      <c r="R3850" s="7"/>
      <c r="S3850" s="7"/>
      <c r="T3850" s="7"/>
      <c r="U3850" s="7"/>
      <c r="V3850" s="7"/>
      <c r="W3850" s="7"/>
      <c r="X3850" s="7"/>
      <c r="Y3850" s="7"/>
    </row>
    <row r="3851">
      <c r="A3851" s="14" t="s">
        <v>13645</v>
      </c>
      <c r="B3851" s="17" t="s">
        <v>13642</v>
      </c>
      <c r="C3851" s="17" t="s">
        <v>13646</v>
      </c>
      <c r="D3851" s="19" t="s">
        <v>13647</v>
      </c>
      <c r="E3851" s="20" t="s">
        <v>104</v>
      </c>
      <c r="F3851" s="21">
        <v>27895.0</v>
      </c>
      <c r="G3851" s="14">
        <f t="shared" si="1"/>
        <v>50</v>
      </c>
      <c r="H3851" s="23" t="s">
        <v>26</v>
      </c>
      <c r="I3851" s="24" t="s">
        <v>33</v>
      </c>
      <c r="J3851" s="19" t="s">
        <v>362</v>
      </c>
      <c r="K3851" s="14">
        <v>23.0</v>
      </c>
      <c r="L3851" s="14">
        <v>0.0</v>
      </c>
      <c r="M3851" s="25"/>
      <c r="N3851" s="26" t="s">
        <v>21</v>
      </c>
      <c r="O3851" s="7"/>
      <c r="P3851" s="7"/>
      <c r="Q3851" s="7"/>
      <c r="R3851" s="7"/>
      <c r="S3851" s="7"/>
      <c r="T3851" s="7"/>
      <c r="U3851" s="7"/>
      <c r="V3851" s="7"/>
      <c r="W3851" s="7"/>
      <c r="X3851" s="7"/>
      <c r="Y3851" s="7"/>
    </row>
    <row r="3852">
      <c r="A3852" s="14" t="s">
        <v>13648</v>
      </c>
      <c r="B3852" s="17" t="s">
        <v>13649</v>
      </c>
      <c r="C3852" s="17" t="s">
        <v>13650</v>
      </c>
      <c r="D3852" s="19" t="s">
        <v>13651</v>
      </c>
      <c r="E3852" s="20" t="s">
        <v>195</v>
      </c>
      <c r="F3852" s="21">
        <v>30807.0</v>
      </c>
      <c r="G3852" s="14">
        <f t="shared" si="1"/>
        <v>42</v>
      </c>
      <c r="H3852" s="23" t="s">
        <v>26</v>
      </c>
      <c r="I3852" s="24" t="s">
        <v>33</v>
      </c>
      <c r="J3852" s="19" t="s">
        <v>362</v>
      </c>
      <c r="K3852" s="14">
        <v>9.0</v>
      </c>
      <c r="L3852" s="14">
        <v>0.0</v>
      </c>
      <c r="M3852" s="25"/>
      <c r="N3852" s="26" t="s">
        <v>21</v>
      </c>
      <c r="O3852" s="7"/>
      <c r="P3852" s="7"/>
      <c r="Q3852" s="7"/>
      <c r="R3852" s="7"/>
      <c r="S3852" s="7"/>
      <c r="T3852" s="7"/>
      <c r="U3852" s="7"/>
      <c r="V3852" s="7"/>
      <c r="W3852" s="7"/>
      <c r="X3852" s="7"/>
      <c r="Y3852" s="7"/>
    </row>
    <row r="3853">
      <c r="A3853" s="14" t="s">
        <v>13652</v>
      </c>
      <c r="B3853" s="17" t="s">
        <v>13649</v>
      </c>
      <c r="C3853" s="17" t="s">
        <v>13653</v>
      </c>
      <c r="D3853" s="19" t="s">
        <v>13654</v>
      </c>
      <c r="E3853" s="20" t="s">
        <v>104</v>
      </c>
      <c r="F3853" s="21">
        <v>31921.0</v>
      </c>
      <c r="G3853" s="14">
        <f t="shared" si="1"/>
        <v>39</v>
      </c>
      <c r="H3853" s="23" t="s">
        <v>26</v>
      </c>
      <c r="I3853" s="24" t="s">
        <v>27</v>
      </c>
      <c r="J3853" s="19" t="s">
        <v>362</v>
      </c>
      <c r="K3853" s="14">
        <v>9.0</v>
      </c>
      <c r="L3853" s="14">
        <v>0.0</v>
      </c>
      <c r="M3853" s="25"/>
      <c r="N3853" s="26" t="s">
        <v>21</v>
      </c>
      <c r="O3853" s="7"/>
      <c r="P3853" s="7"/>
      <c r="Q3853" s="7"/>
      <c r="R3853" s="7"/>
      <c r="S3853" s="7"/>
      <c r="T3853" s="7"/>
      <c r="U3853" s="7"/>
      <c r="V3853" s="7"/>
      <c r="W3853" s="7"/>
      <c r="X3853" s="7"/>
      <c r="Y3853" s="7"/>
    </row>
    <row r="3854">
      <c r="A3854" s="14" t="s">
        <v>13655</v>
      </c>
      <c r="B3854" s="17" t="s">
        <v>13656</v>
      </c>
      <c r="C3854" s="17" t="s">
        <v>13657</v>
      </c>
      <c r="D3854" s="19" t="s">
        <v>13658</v>
      </c>
      <c r="E3854" s="20" t="s">
        <v>1846</v>
      </c>
      <c r="F3854" s="21">
        <v>28858.0</v>
      </c>
      <c r="G3854" s="14">
        <f t="shared" si="1"/>
        <v>47</v>
      </c>
      <c r="H3854" s="23" t="s">
        <v>26</v>
      </c>
      <c r="I3854" s="24" t="s">
        <v>33</v>
      </c>
      <c r="J3854" s="19" t="s">
        <v>68</v>
      </c>
      <c r="K3854" s="14">
        <v>31.0</v>
      </c>
      <c r="L3854" s="14">
        <v>0.0</v>
      </c>
      <c r="M3854" s="25"/>
      <c r="N3854" s="26" t="s">
        <v>21</v>
      </c>
      <c r="O3854" s="7"/>
      <c r="P3854" s="7"/>
      <c r="Q3854" s="7"/>
      <c r="R3854" s="7"/>
      <c r="S3854" s="7"/>
      <c r="T3854" s="7"/>
      <c r="U3854" s="7"/>
      <c r="V3854" s="7"/>
      <c r="W3854" s="7"/>
      <c r="X3854" s="7"/>
      <c r="Y3854" s="7"/>
    </row>
    <row r="3855">
      <c r="A3855" s="14" t="s">
        <v>13659</v>
      </c>
      <c r="B3855" s="17" t="s">
        <v>13656</v>
      </c>
      <c r="C3855" s="17" t="s">
        <v>13660</v>
      </c>
      <c r="D3855" s="19" t="s">
        <v>13661</v>
      </c>
      <c r="E3855" s="20" t="s">
        <v>274</v>
      </c>
      <c r="F3855" s="21">
        <v>30130.0</v>
      </c>
      <c r="G3855" s="14">
        <f t="shared" si="1"/>
        <v>44</v>
      </c>
      <c r="H3855" s="23" t="s">
        <v>26</v>
      </c>
      <c r="I3855" s="24" t="s">
        <v>27</v>
      </c>
      <c r="J3855" s="19" t="s">
        <v>68</v>
      </c>
      <c r="K3855" s="14">
        <v>31.0</v>
      </c>
      <c r="L3855" s="14">
        <v>0.0</v>
      </c>
      <c r="M3855" s="25"/>
      <c r="N3855" s="26" t="s">
        <v>21</v>
      </c>
      <c r="O3855" s="7"/>
      <c r="P3855" s="7"/>
      <c r="Q3855" s="7"/>
      <c r="R3855" s="7"/>
      <c r="S3855" s="7"/>
      <c r="T3855" s="7"/>
      <c r="U3855" s="7"/>
      <c r="V3855" s="7"/>
      <c r="W3855" s="7"/>
      <c r="X3855" s="7"/>
      <c r="Y3855" s="7"/>
    </row>
    <row r="3856">
      <c r="A3856" s="14" t="s">
        <v>13662</v>
      </c>
      <c r="B3856" s="17" t="s">
        <v>13663</v>
      </c>
      <c r="C3856" s="17" t="s">
        <v>13664</v>
      </c>
      <c r="D3856" s="19" t="s">
        <v>13665</v>
      </c>
      <c r="E3856" s="20" t="s">
        <v>632</v>
      </c>
      <c r="F3856" s="21">
        <v>15158.0</v>
      </c>
      <c r="G3856" s="14">
        <f t="shared" si="1"/>
        <v>85</v>
      </c>
      <c r="H3856" s="23" t="s">
        <v>26</v>
      </c>
      <c r="I3856" s="24" t="s">
        <v>33</v>
      </c>
      <c r="J3856" s="19" t="s">
        <v>328</v>
      </c>
      <c r="K3856" s="14">
        <v>20.0</v>
      </c>
      <c r="L3856" s="14">
        <v>1.0</v>
      </c>
      <c r="M3856" s="25"/>
      <c r="N3856" s="26" t="s">
        <v>21</v>
      </c>
      <c r="O3856" s="7"/>
      <c r="P3856" s="7"/>
      <c r="Q3856" s="7"/>
      <c r="R3856" s="7"/>
      <c r="S3856" s="7"/>
      <c r="T3856" s="7"/>
      <c r="U3856" s="7"/>
      <c r="V3856" s="7"/>
      <c r="W3856" s="7"/>
      <c r="X3856" s="7"/>
      <c r="Y3856" s="7"/>
    </row>
    <row r="3857">
      <c r="A3857" s="14" t="s">
        <v>13666</v>
      </c>
      <c r="B3857" s="17" t="s">
        <v>13663</v>
      </c>
      <c r="C3857" s="17" t="s">
        <v>13667</v>
      </c>
      <c r="D3857" s="19" t="s">
        <v>9472</v>
      </c>
      <c r="E3857" s="20" t="s">
        <v>632</v>
      </c>
      <c r="F3857" s="21">
        <v>17349.0</v>
      </c>
      <c r="G3857" s="14">
        <f t="shared" si="1"/>
        <v>79</v>
      </c>
      <c r="H3857" s="23" t="s">
        <v>26</v>
      </c>
      <c r="I3857" s="24" t="s">
        <v>27</v>
      </c>
      <c r="J3857" s="19" t="s">
        <v>328</v>
      </c>
      <c r="K3857" s="14">
        <v>20.0</v>
      </c>
      <c r="L3857" s="14">
        <v>0.0</v>
      </c>
      <c r="M3857" s="25"/>
      <c r="N3857" s="26" t="s">
        <v>21</v>
      </c>
      <c r="O3857" s="7"/>
      <c r="P3857" s="7"/>
      <c r="Q3857" s="7"/>
      <c r="R3857" s="7"/>
      <c r="S3857" s="7"/>
      <c r="T3857" s="7"/>
      <c r="U3857" s="7"/>
      <c r="V3857" s="7"/>
      <c r="W3857" s="7"/>
      <c r="X3857" s="7"/>
      <c r="Y3857" s="7"/>
    </row>
    <row r="3858">
      <c r="A3858" s="14" t="s">
        <v>13668</v>
      </c>
      <c r="B3858" s="17" t="s">
        <v>13669</v>
      </c>
      <c r="C3858" s="17" t="s">
        <v>13670</v>
      </c>
      <c r="D3858" s="19" t="s">
        <v>13671</v>
      </c>
      <c r="E3858" s="20" t="s">
        <v>187</v>
      </c>
      <c r="F3858" s="21">
        <v>23197.0</v>
      </c>
      <c r="G3858" s="14">
        <f t="shared" si="1"/>
        <v>63</v>
      </c>
      <c r="H3858" s="23" t="s">
        <v>26</v>
      </c>
      <c r="I3858" s="24" t="s">
        <v>27</v>
      </c>
      <c r="J3858" s="19" t="s">
        <v>328</v>
      </c>
      <c r="K3858" s="14">
        <v>22.0</v>
      </c>
      <c r="L3858" s="14">
        <v>0.0</v>
      </c>
      <c r="M3858" s="25"/>
      <c r="N3858" s="26" t="s">
        <v>21</v>
      </c>
      <c r="O3858" s="7"/>
      <c r="P3858" s="7"/>
      <c r="Q3858" s="7"/>
      <c r="R3858" s="7"/>
      <c r="S3858" s="7"/>
      <c r="T3858" s="7"/>
      <c r="U3858" s="7"/>
      <c r="V3858" s="7"/>
      <c r="W3858" s="7"/>
      <c r="X3858" s="7"/>
      <c r="Y3858" s="7"/>
    </row>
    <row r="3859">
      <c r="A3859" s="14" t="s">
        <v>13672</v>
      </c>
      <c r="B3859" s="17" t="s">
        <v>13669</v>
      </c>
      <c r="C3859" s="17" t="s">
        <v>13673</v>
      </c>
      <c r="D3859" s="19" t="s">
        <v>7385</v>
      </c>
      <c r="E3859" s="20" t="s">
        <v>13674</v>
      </c>
      <c r="F3859" s="21">
        <v>22801.0</v>
      </c>
      <c r="G3859" s="14">
        <f t="shared" si="1"/>
        <v>64</v>
      </c>
      <c r="H3859" s="23" t="s">
        <v>26</v>
      </c>
      <c r="I3859" s="24" t="s">
        <v>33</v>
      </c>
      <c r="J3859" s="19" t="s">
        <v>328</v>
      </c>
      <c r="K3859" s="14">
        <v>22.0</v>
      </c>
      <c r="L3859" s="14">
        <v>0.0</v>
      </c>
      <c r="M3859" s="25"/>
      <c r="N3859" s="26" t="s">
        <v>21</v>
      </c>
      <c r="O3859" s="7"/>
      <c r="P3859" s="7"/>
      <c r="Q3859" s="7"/>
      <c r="R3859" s="7"/>
      <c r="S3859" s="7"/>
      <c r="T3859" s="7"/>
      <c r="U3859" s="7"/>
      <c r="V3859" s="7"/>
      <c r="W3859" s="7"/>
      <c r="X3859" s="7"/>
      <c r="Y3859" s="7"/>
    </row>
    <row r="3860">
      <c r="A3860" s="14" t="s">
        <v>13675</v>
      </c>
      <c r="B3860" s="17" t="s">
        <v>13676</v>
      </c>
      <c r="C3860" s="17" t="s">
        <v>13677</v>
      </c>
      <c r="D3860" s="19" t="s">
        <v>13678</v>
      </c>
      <c r="E3860" s="20" t="s">
        <v>4923</v>
      </c>
      <c r="F3860" s="21">
        <v>31991.0</v>
      </c>
      <c r="G3860" s="14">
        <f t="shared" si="1"/>
        <v>39</v>
      </c>
      <c r="H3860" s="23" t="s">
        <v>26</v>
      </c>
      <c r="I3860" s="24" t="s">
        <v>33</v>
      </c>
      <c r="J3860" s="19" t="s">
        <v>328</v>
      </c>
      <c r="K3860" s="14">
        <v>21.0</v>
      </c>
      <c r="L3860" s="14">
        <v>0.0</v>
      </c>
      <c r="M3860" s="25"/>
      <c r="N3860" s="26" t="s">
        <v>21</v>
      </c>
      <c r="O3860" s="7"/>
      <c r="P3860" s="7"/>
      <c r="Q3860" s="7"/>
      <c r="R3860" s="7"/>
      <c r="S3860" s="7"/>
      <c r="T3860" s="7"/>
      <c r="U3860" s="7"/>
      <c r="V3860" s="7"/>
      <c r="W3860" s="7"/>
      <c r="X3860" s="7"/>
      <c r="Y3860" s="7"/>
    </row>
    <row r="3861">
      <c r="A3861" s="14" t="s">
        <v>13679</v>
      </c>
      <c r="B3861" s="17" t="s">
        <v>13676</v>
      </c>
      <c r="C3861" s="17" t="s">
        <v>13680</v>
      </c>
      <c r="D3861" s="19" t="s">
        <v>13681</v>
      </c>
      <c r="E3861" s="20" t="s">
        <v>53</v>
      </c>
      <c r="F3861" s="21">
        <v>35190.0</v>
      </c>
      <c r="G3861" s="14">
        <f t="shared" si="1"/>
        <v>30</v>
      </c>
      <c r="H3861" s="23" t="s">
        <v>26</v>
      </c>
      <c r="I3861" s="24" t="s">
        <v>27</v>
      </c>
      <c r="J3861" s="19" t="s">
        <v>328</v>
      </c>
      <c r="K3861" s="14">
        <v>21.0</v>
      </c>
      <c r="L3861" s="14">
        <v>0.0</v>
      </c>
      <c r="M3861" s="25"/>
      <c r="N3861" s="26" t="s">
        <v>21</v>
      </c>
      <c r="O3861" s="7"/>
      <c r="P3861" s="7"/>
      <c r="Q3861" s="7"/>
      <c r="R3861" s="7"/>
      <c r="S3861" s="7"/>
      <c r="T3861" s="7"/>
      <c r="U3861" s="7"/>
      <c r="V3861" s="7"/>
      <c r="W3861" s="7"/>
      <c r="X3861" s="7"/>
      <c r="Y3861" s="7"/>
    </row>
    <row r="3862">
      <c r="A3862" s="14" t="s">
        <v>13682</v>
      </c>
      <c r="B3862" s="17" t="s">
        <v>13683</v>
      </c>
      <c r="C3862" s="17" t="s">
        <v>13684</v>
      </c>
      <c r="D3862" s="19" t="s">
        <v>13685</v>
      </c>
      <c r="E3862" s="20" t="s">
        <v>337</v>
      </c>
      <c r="F3862" s="27">
        <v>33222.0</v>
      </c>
      <c r="G3862" s="14">
        <f t="shared" si="1"/>
        <v>35</v>
      </c>
      <c r="H3862" s="23" t="s">
        <v>26</v>
      </c>
      <c r="I3862" s="24" t="s">
        <v>27</v>
      </c>
      <c r="J3862" s="19" t="s">
        <v>328</v>
      </c>
      <c r="K3862" s="14">
        <v>22.0</v>
      </c>
      <c r="L3862" s="14">
        <v>0.0</v>
      </c>
      <c r="M3862" s="25"/>
      <c r="N3862" s="26" t="s">
        <v>21</v>
      </c>
      <c r="O3862" s="7"/>
      <c r="P3862" s="7"/>
      <c r="Q3862" s="7"/>
      <c r="R3862" s="7"/>
      <c r="S3862" s="7"/>
      <c r="T3862" s="7"/>
      <c r="U3862" s="7"/>
      <c r="V3862" s="7"/>
      <c r="W3862" s="7"/>
      <c r="X3862" s="7"/>
      <c r="Y3862" s="7"/>
    </row>
    <row r="3863">
      <c r="A3863" s="14" t="s">
        <v>13686</v>
      </c>
      <c r="B3863" s="17" t="s">
        <v>13683</v>
      </c>
      <c r="C3863" s="17" t="s">
        <v>13687</v>
      </c>
      <c r="D3863" s="19" t="s">
        <v>13688</v>
      </c>
      <c r="E3863" s="20" t="s">
        <v>9849</v>
      </c>
      <c r="F3863" s="21">
        <v>33416.0</v>
      </c>
      <c r="G3863" s="14">
        <f t="shared" si="1"/>
        <v>35</v>
      </c>
      <c r="H3863" s="23" t="s">
        <v>26</v>
      </c>
      <c r="I3863" s="24" t="s">
        <v>33</v>
      </c>
      <c r="J3863" s="19" t="s">
        <v>328</v>
      </c>
      <c r="K3863" s="14">
        <v>22.0</v>
      </c>
      <c r="L3863" s="14">
        <v>0.0</v>
      </c>
      <c r="M3863" s="25"/>
      <c r="N3863" s="26" t="s">
        <v>21</v>
      </c>
      <c r="O3863" s="7"/>
      <c r="P3863" s="7"/>
      <c r="Q3863" s="7"/>
      <c r="R3863" s="7"/>
      <c r="S3863" s="7"/>
      <c r="T3863" s="7"/>
      <c r="U3863" s="7"/>
      <c r="V3863" s="7"/>
      <c r="W3863" s="7"/>
      <c r="X3863" s="7"/>
      <c r="Y3863" s="7"/>
    </row>
    <row r="3864">
      <c r="A3864" s="14" t="s">
        <v>13689</v>
      </c>
      <c r="B3864" s="17" t="s">
        <v>13690</v>
      </c>
      <c r="C3864" s="17" t="s">
        <v>13691</v>
      </c>
      <c r="D3864" s="19" t="s">
        <v>13692</v>
      </c>
      <c r="E3864" s="20" t="s">
        <v>104</v>
      </c>
      <c r="F3864" s="21">
        <v>30048.0</v>
      </c>
      <c r="G3864" s="14">
        <f t="shared" si="1"/>
        <v>44</v>
      </c>
      <c r="H3864" s="23" t="s">
        <v>26</v>
      </c>
      <c r="I3864" s="24" t="s">
        <v>33</v>
      </c>
      <c r="J3864" s="19" t="s">
        <v>68</v>
      </c>
      <c r="K3864" s="14">
        <v>35.0</v>
      </c>
      <c r="L3864" s="14">
        <v>0.0</v>
      </c>
      <c r="M3864" s="25"/>
      <c r="N3864" s="26" t="s">
        <v>21</v>
      </c>
      <c r="O3864" s="7"/>
      <c r="P3864" s="7"/>
      <c r="Q3864" s="7"/>
      <c r="R3864" s="7"/>
      <c r="S3864" s="7"/>
      <c r="T3864" s="7"/>
      <c r="U3864" s="7"/>
      <c r="V3864" s="7"/>
      <c r="W3864" s="7"/>
      <c r="X3864" s="7"/>
      <c r="Y3864" s="7"/>
    </row>
    <row r="3865">
      <c r="A3865" s="14" t="s">
        <v>13693</v>
      </c>
      <c r="B3865" s="17" t="s">
        <v>13690</v>
      </c>
      <c r="C3865" s="17" t="s">
        <v>13694</v>
      </c>
      <c r="D3865" s="19" t="s">
        <v>13695</v>
      </c>
      <c r="E3865" s="20" t="s">
        <v>5353</v>
      </c>
      <c r="F3865" s="21">
        <v>33278.0</v>
      </c>
      <c r="G3865" s="14">
        <f t="shared" si="1"/>
        <v>35</v>
      </c>
      <c r="H3865" s="23" t="s">
        <v>26</v>
      </c>
      <c r="I3865" s="24" t="s">
        <v>27</v>
      </c>
      <c r="J3865" s="19" t="s">
        <v>68</v>
      </c>
      <c r="K3865" s="14">
        <v>35.0</v>
      </c>
      <c r="L3865" s="14">
        <v>0.0</v>
      </c>
      <c r="M3865" s="25"/>
      <c r="N3865" s="26" t="s">
        <v>21</v>
      </c>
      <c r="O3865" s="7"/>
      <c r="P3865" s="7"/>
      <c r="Q3865" s="7"/>
      <c r="R3865" s="7"/>
      <c r="S3865" s="7"/>
      <c r="T3865" s="7"/>
      <c r="U3865" s="7"/>
      <c r="V3865" s="7"/>
      <c r="W3865" s="7"/>
      <c r="X3865" s="7"/>
      <c r="Y3865" s="7"/>
    </row>
    <row r="3866">
      <c r="A3866" s="14" t="s">
        <v>13696</v>
      </c>
      <c r="B3866" s="17" t="s">
        <v>13697</v>
      </c>
      <c r="C3866" s="17" t="s">
        <v>13698</v>
      </c>
      <c r="D3866" s="19" t="s">
        <v>13699</v>
      </c>
      <c r="E3866" s="20" t="s">
        <v>138</v>
      </c>
      <c r="F3866" s="27">
        <v>36520.0</v>
      </c>
      <c r="G3866" s="14">
        <f t="shared" si="1"/>
        <v>26</v>
      </c>
      <c r="H3866" s="23" t="s">
        <v>26</v>
      </c>
      <c r="I3866" s="24" t="s">
        <v>27</v>
      </c>
      <c r="J3866" s="19" t="s">
        <v>68</v>
      </c>
      <c r="K3866" s="14">
        <v>33.0</v>
      </c>
      <c r="L3866" s="14">
        <v>0.0</v>
      </c>
      <c r="M3866" s="25"/>
      <c r="N3866" s="26" t="s">
        <v>21</v>
      </c>
      <c r="O3866" s="7"/>
      <c r="P3866" s="7"/>
      <c r="Q3866" s="7"/>
      <c r="R3866" s="7"/>
      <c r="S3866" s="7"/>
      <c r="T3866" s="7"/>
      <c r="U3866" s="7"/>
      <c r="V3866" s="7"/>
      <c r="W3866" s="7"/>
      <c r="X3866" s="7"/>
      <c r="Y3866" s="7"/>
    </row>
    <row r="3867">
      <c r="A3867" s="14" t="s">
        <v>13700</v>
      </c>
      <c r="B3867" s="17" t="s">
        <v>13697</v>
      </c>
      <c r="C3867" s="17" t="s">
        <v>13701</v>
      </c>
      <c r="D3867" s="19" t="s">
        <v>13702</v>
      </c>
      <c r="E3867" s="20" t="s">
        <v>104</v>
      </c>
      <c r="F3867" s="21">
        <v>35522.0</v>
      </c>
      <c r="G3867" s="14">
        <f t="shared" si="1"/>
        <v>29</v>
      </c>
      <c r="H3867" s="23" t="s">
        <v>26</v>
      </c>
      <c r="I3867" s="24" t="s">
        <v>33</v>
      </c>
      <c r="J3867" s="19" t="s">
        <v>68</v>
      </c>
      <c r="K3867" s="14">
        <v>33.0</v>
      </c>
      <c r="L3867" s="14">
        <v>0.0</v>
      </c>
      <c r="M3867" s="25"/>
      <c r="N3867" s="26" t="s">
        <v>21</v>
      </c>
      <c r="O3867" s="7"/>
      <c r="P3867" s="7"/>
      <c r="Q3867" s="7"/>
      <c r="R3867" s="7"/>
      <c r="S3867" s="7"/>
      <c r="T3867" s="7"/>
      <c r="U3867" s="7"/>
      <c r="V3867" s="7"/>
      <c r="W3867" s="7"/>
      <c r="X3867" s="7"/>
      <c r="Y3867" s="7"/>
    </row>
    <row r="3868">
      <c r="A3868" s="14" t="s">
        <v>13703</v>
      </c>
      <c r="B3868" s="17" t="s">
        <v>13704</v>
      </c>
      <c r="C3868" s="17" t="s">
        <v>13705</v>
      </c>
      <c r="D3868" s="19" t="s">
        <v>13706</v>
      </c>
      <c r="E3868" s="20" t="s">
        <v>632</v>
      </c>
      <c r="F3868" s="27">
        <v>26996.0</v>
      </c>
      <c r="G3868" s="14">
        <f t="shared" si="1"/>
        <v>52</v>
      </c>
      <c r="H3868" s="23" t="s">
        <v>26</v>
      </c>
      <c r="I3868" s="24" t="s">
        <v>27</v>
      </c>
      <c r="J3868" s="19" t="s">
        <v>206</v>
      </c>
      <c r="K3868" s="14">
        <v>4.0</v>
      </c>
      <c r="L3868" s="14">
        <v>0.0</v>
      </c>
      <c r="M3868" s="25"/>
      <c r="N3868" s="26" t="s">
        <v>21</v>
      </c>
      <c r="O3868" s="7"/>
      <c r="P3868" s="7"/>
      <c r="Q3868" s="7"/>
      <c r="R3868" s="7"/>
      <c r="S3868" s="7"/>
      <c r="T3868" s="7"/>
      <c r="U3868" s="7"/>
      <c r="V3868" s="7"/>
      <c r="W3868" s="7"/>
      <c r="X3868" s="7"/>
      <c r="Y3868" s="7"/>
    </row>
    <row r="3869">
      <c r="A3869" s="14" t="s">
        <v>13707</v>
      </c>
      <c r="B3869" s="17" t="s">
        <v>13704</v>
      </c>
      <c r="C3869" s="17" t="s">
        <v>13708</v>
      </c>
      <c r="D3869" s="19" t="s">
        <v>13709</v>
      </c>
      <c r="E3869" s="20" t="s">
        <v>112</v>
      </c>
      <c r="F3869" s="21">
        <v>25728.0</v>
      </c>
      <c r="G3869" s="14">
        <f t="shared" si="1"/>
        <v>56</v>
      </c>
      <c r="H3869" s="23" t="s">
        <v>26</v>
      </c>
      <c r="I3869" s="24" t="s">
        <v>33</v>
      </c>
      <c r="J3869" s="19" t="s">
        <v>206</v>
      </c>
      <c r="K3869" s="14">
        <v>4.0</v>
      </c>
      <c r="L3869" s="14">
        <v>0.0</v>
      </c>
      <c r="M3869" s="25"/>
      <c r="N3869" s="26" t="s">
        <v>21</v>
      </c>
      <c r="O3869" s="7"/>
      <c r="P3869" s="7"/>
      <c r="Q3869" s="7"/>
      <c r="R3869" s="7"/>
      <c r="S3869" s="7"/>
      <c r="T3869" s="7"/>
      <c r="U3869" s="7"/>
      <c r="V3869" s="7"/>
      <c r="W3869" s="7"/>
      <c r="X3869" s="7"/>
      <c r="Y3869" s="7"/>
    </row>
    <row r="3870">
      <c r="A3870" s="14" t="s">
        <v>13710</v>
      </c>
      <c r="B3870" s="17" t="s">
        <v>13704</v>
      </c>
      <c r="C3870" s="17" t="s">
        <v>13711</v>
      </c>
      <c r="D3870" s="19" t="s">
        <v>13712</v>
      </c>
      <c r="E3870" s="20" t="s">
        <v>53</v>
      </c>
      <c r="F3870" s="21">
        <v>35460.0</v>
      </c>
      <c r="G3870" s="14">
        <f t="shared" si="1"/>
        <v>29</v>
      </c>
      <c r="H3870" s="23" t="s">
        <v>100</v>
      </c>
      <c r="I3870" s="24" t="s">
        <v>27</v>
      </c>
      <c r="J3870" s="19" t="s">
        <v>206</v>
      </c>
      <c r="K3870" s="14">
        <v>4.0</v>
      </c>
      <c r="L3870" s="14">
        <v>5.0</v>
      </c>
      <c r="M3870" s="25"/>
      <c r="N3870" s="26" t="s">
        <v>21</v>
      </c>
      <c r="O3870" s="7"/>
      <c r="P3870" s="7"/>
      <c r="Q3870" s="7"/>
      <c r="R3870" s="7"/>
      <c r="S3870" s="7"/>
      <c r="T3870" s="7"/>
      <c r="U3870" s="7"/>
      <c r="V3870" s="7"/>
      <c r="W3870" s="7"/>
      <c r="X3870" s="7"/>
      <c r="Y3870" s="7"/>
    </row>
    <row r="3871">
      <c r="A3871" s="14" t="s">
        <v>13713</v>
      </c>
      <c r="B3871" s="17" t="s">
        <v>13714</v>
      </c>
      <c r="C3871" s="17" t="s">
        <v>13715</v>
      </c>
      <c r="D3871" s="19" t="s">
        <v>13716</v>
      </c>
      <c r="E3871" s="20" t="s">
        <v>104</v>
      </c>
      <c r="F3871" s="21">
        <v>33710.0</v>
      </c>
      <c r="G3871" s="14">
        <f t="shared" si="1"/>
        <v>34</v>
      </c>
      <c r="H3871" s="23" t="s">
        <v>26</v>
      </c>
      <c r="I3871" s="24" t="s">
        <v>27</v>
      </c>
      <c r="J3871" s="19" t="s">
        <v>68</v>
      </c>
      <c r="K3871" s="14">
        <v>32.0</v>
      </c>
      <c r="L3871" s="14">
        <v>0.0</v>
      </c>
      <c r="M3871" s="25"/>
      <c r="N3871" s="26" t="s">
        <v>21</v>
      </c>
      <c r="O3871" s="7"/>
      <c r="P3871" s="7"/>
      <c r="Q3871" s="7"/>
      <c r="R3871" s="7"/>
      <c r="S3871" s="7"/>
      <c r="T3871" s="7"/>
      <c r="U3871" s="7"/>
      <c r="V3871" s="7"/>
      <c r="W3871" s="7"/>
      <c r="X3871" s="7"/>
      <c r="Y3871" s="7"/>
    </row>
    <row r="3872">
      <c r="A3872" s="14" t="s">
        <v>13717</v>
      </c>
      <c r="B3872" s="17" t="s">
        <v>13714</v>
      </c>
      <c r="C3872" s="17" t="s">
        <v>13718</v>
      </c>
      <c r="D3872" s="19" t="s">
        <v>4284</v>
      </c>
      <c r="E3872" s="20" t="s">
        <v>104</v>
      </c>
      <c r="F3872" s="21">
        <v>29493.0</v>
      </c>
      <c r="G3872" s="14">
        <f t="shared" si="1"/>
        <v>46</v>
      </c>
      <c r="H3872" s="23" t="s">
        <v>26</v>
      </c>
      <c r="I3872" s="24" t="s">
        <v>33</v>
      </c>
      <c r="J3872" s="19" t="s">
        <v>68</v>
      </c>
      <c r="K3872" s="14">
        <v>32.0</v>
      </c>
      <c r="L3872" s="14">
        <v>0.0</v>
      </c>
      <c r="M3872" s="25"/>
      <c r="N3872" s="26" t="s">
        <v>21</v>
      </c>
      <c r="O3872" s="7"/>
      <c r="P3872" s="7"/>
      <c r="Q3872" s="7"/>
      <c r="R3872" s="7"/>
      <c r="S3872" s="7"/>
      <c r="T3872" s="7"/>
      <c r="U3872" s="7"/>
      <c r="V3872" s="7"/>
      <c r="W3872" s="7"/>
      <c r="X3872" s="7"/>
      <c r="Y3872" s="7"/>
    </row>
    <row r="3873">
      <c r="A3873" s="14" t="s">
        <v>13719</v>
      </c>
      <c r="B3873" s="17" t="s">
        <v>13720</v>
      </c>
      <c r="C3873" s="17" t="s">
        <v>13721</v>
      </c>
      <c r="D3873" s="19" t="s">
        <v>13722</v>
      </c>
      <c r="E3873" s="20" t="s">
        <v>53</v>
      </c>
      <c r="F3873" s="21">
        <v>33000.0</v>
      </c>
      <c r="G3873" s="14">
        <f t="shared" si="1"/>
        <v>36</v>
      </c>
      <c r="H3873" s="23" t="s">
        <v>26</v>
      </c>
      <c r="I3873" s="24" t="s">
        <v>33</v>
      </c>
      <c r="J3873" s="19" t="s">
        <v>68</v>
      </c>
      <c r="K3873" s="14">
        <v>33.0</v>
      </c>
      <c r="L3873" s="14">
        <v>0.0</v>
      </c>
      <c r="M3873" s="25"/>
      <c r="N3873" s="26" t="s">
        <v>21</v>
      </c>
      <c r="O3873" s="7"/>
      <c r="P3873" s="7"/>
      <c r="Q3873" s="7"/>
      <c r="R3873" s="7"/>
      <c r="S3873" s="7"/>
      <c r="T3873" s="7"/>
      <c r="U3873" s="7"/>
      <c r="V3873" s="7"/>
      <c r="W3873" s="7"/>
      <c r="X3873" s="7"/>
      <c r="Y3873" s="7"/>
    </row>
    <row r="3874">
      <c r="A3874" s="14" t="s">
        <v>13723</v>
      </c>
      <c r="B3874" s="17" t="s">
        <v>13720</v>
      </c>
      <c r="C3874" s="17" t="s">
        <v>13724</v>
      </c>
      <c r="D3874" s="19" t="s">
        <v>13725</v>
      </c>
      <c r="E3874" s="20" t="s">
        <v>195</v>
      </c>
      <c r="F3874" s="27">
        <v>34691.0</v>
      </c>
      <c r="G3874" s="14">
        <f t="shared" si="1"/>
        <v>31</v>
      </c>
      <c r="H3874" s="23" t="s">
        <v>26</v>
      </c>
      <c r="I3874" s="24" t="s">
        <v>27</v>
      </c>
      <c r="J3874" s="19" t="s">
        <v>68</v>
      </c>
      <c r="K3874" s="14">
        <v>33.0</v>
      </c>
      <c r="L3874" s="14">
        <v>0.0</v>
      </c>
      <c r="M3874" s="25"/>
      <c r="N3874" s="26" t="s">
        <v>21</v>
      </c>
      <c r="O3874" s="7"/>
      <c r="P3874" s="7"/>
      <c r="Q3874" s="7"/>
      <c r="R3874" s="7"/>
      <c r="S3874" s="7"/>
      <c r="T3874" s="7"/>
      <c r="U3874" s="7"/>
      <c r="V3874" s="7"/>
      <c r="W3874" s="7"/>
      <c r="X3874" s="7"/>
      <c r="Y3874" s="7"/>
    </row>
    <row r="3875">
      <c r="A3875" s="14" t="s">
        <v>13726</v>
      </c>
      <c r="B3875" s="17" t="s">
        <v>13727</v>
      </c>
      <c r="C3875" s="17" t="s">
        <v>13728</v>
      </c>
      <c r="D3875" s="19" t="s">
        <v>1986</v>
      </c>
      <c r="E3875" s="20" t="s">
        <v>2980</v>
      </c>
      <c r="F3875" s="21">
        <v>30028.0</v>
      </c>
      <c r="G3875" s="14">
        <f t="shared" si="1"/>
        <v>44</v>
      </c>
      <c r="H3875" s="23" t="s">
        <v>26</v>
      </c>
      <c r="I3875" s="24" t="s">
        <v>33</v>
      </c>
      <c r="J3875" s="19" t="s">
        <v>328</v>
      </c>
      <c r="K3875" s="14">
        <v>12.0</v>
      </c>
      <c r="L3875" s="14">
        <v>0.0</v>
      </c>
      <c r="M3875" s="25"/>
      <c r="N3875" s="26" t="s">
        <v>21</v>
      </c>
      <c r="O3875" s="7"/>
      <c r="P3875" s="7"/>
      <c r="Q3875" s="7"/>
      <c r="R3875" s="7"/>
      <c r="S3875" s="7"/>
      <c r="T3875" s="7"/>
      <c r="U3875" s="7"/>
      <c r="V3875" s="7"/>
      <c r="W3875" s="7"/>
      <c r="X3875" s="7"/>
      <c r="Y3875" s="7"/>
    </row>
    <row r="3876">
      <c r="A3876" s="14" t="s">
        <v>13729</v>
      </c>
      <c r="B3876" s="17" t="s">
        <v>13727</v>
      </c>
      <c r="C3876" s="17" t="s">
        <v>13730</v>
      </c>
      <c r="D3876" s="19" t="s">
        <v>13731</v>
      </c>
      <c r="E3876" s="20" t="s">
        <v>104</v>
      </c>
      <c r="F3876" s="21">
        <v>33099.0</v>
      </c>
      <c r="G3876" s="14">
        <f t="shared" si="1"/>
        <v>36</v>
      </c>
      <c r="H3876" s="23" t="s">
        <v>26</v>
      </c>
      <c r="I3876" s="24" t="s">
        <v>27</v>
      </c>
      <c r="J3876" s="19" t="s">
        <v>53</v>
      </c>
      <c r="K3876" s="14">
        <v>12.0</v>
      </c>
      <c r="L3876" s="14">
        <v>0.0</v>
      </c>
      <c r="M3876" s="25"/>
      <c r="N3876" s="26" t="s">
        <v>21</v>
      </c>
      <c r="O3876" s="7"/>
      <c r="P3876" s="7"/>
      <c r="Q3876" s="7"/>
      <c r="R3876" s="7"/>
      <c r="S3876" s="7"/>
      <c r="T3876" s="7"/>
      <c r="U3876" s="7"/>
      <c r="V3876" s="7"/>
      <c r="W3876" s="7"/>
      <c r="X3876" s="7"/>
      <c r="Y3876" s="7"/>
    </row>
    <row r="3877">
      <c r="A3877" s="14" t="s">
        <v>13732</v>
      </c>
      <c r="B3877" s="17" t="s">
        <v>13733</v>
      </c>
      <c r="C3877" s="17" t="s">
        <v>13734</v>
      </c>
      <c r="D3877" s="19" t="s">
        <v>13735</v>
      </c>
      <c r="E3877" s="20" t="s">
        <v>104</v>
      </c>
      <c r="F3877" s="21">
        <v>34557.0</v>
      </c>
      <c r="G3877" s="14">
        <f t="shared" si="1"/>
        <v>32</v>
      </c>
      <c r="H3877" s="23" t="s">
        <v>26</v>
      </c>
      <c r="I3877" s="24" t="s">
        <v>27</v>
      </c>
      <c r="J3877" s="19" t="s">
        <v>68</v>
      </c>
      <c r="K3877" s="14">
        <v>14.0</v>
      </c>
      <c r="L3877" s="14">
        <v>0.0</v>
      </c>
      <c r="M3877" s="25"/>
      <c r="N3877" s="26" t="s">
        <v>21</v>
      </c>
      <c r="O3877" s="7"/>
      <c r="P3877" s="7"/>
      <c r="Q3877" s="7"/>
      <c r="R3877" s="7"/>
      <c r="S3877" s="7"/>
      <c r="T3877" s="7"/>
      <c r="U3877" s="7"/>
      <c r="V3877" s="7"/>
      <c r="W3877" s="7"/>
      <c r="X3877" s="7"/>
      <c r="Y3877" s="7"/>
    </row>
    <row r="3878">
      <c r="A3878" s="14" t="s">
        <v>13736</v>
      </c>
      <c r="B3878" s="17" t="s">
        <v>13733</v>
      </c>
      <c r="C3878" s="17" t="s">
        <v>13737</v>
      </c>
      <c r="D3878" s="19" t="s">
        <v>13738</v>
      </c>
      <c r="E3878" s="20" t="s">
        <v>104</v>
      </c>
      <c r="F3878" s="21">
        <v>32943.0</v>
      </c>
      <c r="G3878" s="14">
        <f t="shared" si="1"/>
        <v>36</v>
      </c>
      <c r="H3878" s="23" t="s">
        <v>26</v>
      </c>
      <c r="I3878" s="24" t="s">
        <v>33</v>
      </c>
      <c r="J3878" s="19" t="s">
        <v>68</v>
      </c>
      <c r="K3878" s="14">
        <v>14.0</v>
      </c>
      <c r="L3878" s="14">
        <v>0.0</v>
      </c>
      <c r="M3878" s="25"/>
      <c r="N3878" s="26" t="s">
        <v>21</v>
      </c>
      <c r="O3878" s="7"/>
      <c r="P3878" s="7"/>
      <c r="Q3878" s="7"/>
      <c r="R3878" s="7"/>
      <c r="S3878" s="7"/>
      <c r="T3878" s="7"/>
      <c r="U3878" s="7"/>
      <c r="V3878" s="7"/>
      <c r="W3878" s="7"/>
      <c r="X3878" s="7"/>
      <c r="Y3878" s="7"/>
    </row>
    <row r="3879">
      <c r="A3879" s="14" t="s">
        <v>13739</v>
      </c>
      <c r="B3879" s="17" t="s">
        <v>13740</v>
      </c>
      <c r="C3879" s="17" t="s">
        <v>13741</v>
      </c>
      <c r="D3879" s="19" t="s">
        <v>13742</v>
      </c>
      <c r="E3879" s="20" t="s">
        <v>2079</v>
      </c>
      <c r="F3879" s="27">
        <v>35421.0</v>
      </c>
      <c r="G3879" s="14">
        <f t="shared" si="1"/>
        <v>29</v>
      </c>
      <c r="H3879" s="23" t="s">
        <v>26</v>
      </c>
      <c r="I3879" s="24" t="s">
        <v>33</v>
      </c>
      <c r="J3879" s="19" t="s">
        <v>146</v>
      </c>
      <c r="K3879" s="14">
        <v>36.0</v>
      </c>
      <c r="L3879" s="14">
        <v>0.0</v>
      </c>
      <c r="M3879" s="28" t="s">
        <v>947</v>
      </c>
      <c r="N3879" s="26" t="s">
        <v>21</v>
      </c>
      <c r="O3879" s="7"/>
      <c r="P3879" s="7"/>
      <c r="Q3879" s="7"/>
      <c r="R3879" s="7"/>
      <c r="S3879" s="7"/>
      <c r="T3879" s="7"/>
      <c r="U3879" s="7"/>
      <c r="V3879" s="7"/>
      <c r="W3879" s="7"/>
      <c r="X3879" s="7"/>
      <c r="Y3879" s="7"/>
    </row>
    <row r="3880">
      <c r="A3880" s="14" t="s">
        <v>13743</v>
      </c>
      <c r="B3880" s="17" t="s">
        <v>13740</v>
      </c>
      <c r="C3880" s="17" t="s">
        <v>13744</v>
      </c>
      <c r="D3880" s="19" t="s">
        <v>11486</v>
      </c>
      <c r="E3880" s="20" t="s">
        <v>13745</v>
      </c>
      <c r="F3880" s="27">
        <v>36446.0</v>
      </c>
      <c r="G3880" s="14">
        <f t="shared" si="1"/>
        <v>27</v>
      </c>
      <c r="H3880" s="23" t="s">
        <v>26</v>
      </c>
      <c r="I3880" s="24" t="s">
        <v>27</v>
      </c>
      <c r="J3880" s="19" t="s">
        <v>146</v>
      </c>
      <c r="K3880" s="14">
        <v>36.0</v>
      </c>
      <c r="L3880" s="14">
        <v>0.0</v>
      </c>
      <c r="M3880" s="28" t="s">
        <v>947</v>
      </c>
      <c r="N3880" s="26" t="s">
        <v>21</v>
      </c>
      <c r="O3880" s="7"/>
      <c r="P3880" s="7"/>
      <c r="Q3880" s="7"/>
      <c r="R3880" s="7"/>
      <c r="S3880" s="7"/>
      <c r="T3880" s="7"/>
      <c r="U3880" s="7"/>
      <c r="V3880" s="7"/>
      <c r="W3880" s="7"/>
      <c r="X3880" s="7"/>
      <c r="Y3880" s="7"/>
    </row>
    <row r="3881">
      <c r="A3881" s="14" t="s">
        <v>13746</v>
      </c>
      <c r="B3881" s="17" t="s">
        <v>13747</v>
      </c>
      <c r="C3881" s="17" t="s">
        <v>13748</v>
      </c>
      <c r="D3881" s="19" t="s">
        <v>13749</v>
      </c>
      <c r="E3881" s="20" t="s">
        <v>104</v>
      </c>
      <c r="F3881" s="21">
        <v>32367.0</v>
      </c>
      <c r="G3881" s="14">
        <f t="shared" si="1"/>
        <v>38</v>
      </c>
      <c r="H3881" s="23" t="s">
        <v>27</v>
      </c>
      <c r="I3881" s="24" t="s">
        <v>27</v>
      </c>
      <c r="J3881" s="19" t="s">
        <v>206</v>
      </c>
      <c r="K3881" s="14">
        <v>10.0</v>
      </c>
      <c r="L3881" s="14">
        <v>0.0</v>
      </c>
      <c r="M3881" s="25"/>
      <c r="N3881" s="26" t="s">
        <v>21</v>
      </c>
      <c r="O3881" s="7"/>
      <c r="P3881" s="7"/>
      <c r="Q3881" s="7"/>
      <c r="R3881" s="7"/>
      <c r="S3881" s="7"/>
      <c r="T3881" s="7"/>
      <c r="U3881" s="7"/>
      <c r="V3881" s="7"/>
      <c r="W3881" s="7"/>
      <c r="X3881" s="7"/>
      <c r="Y3881" s="7"/>
    </row>
    <row r="3882">
      <c r="A3882" s="14" t="s">
        <v>13751</v>
      </c>
      <c r="B3882" s="17" t="s">
        <v>13752</v>
      </c>
      <c r="C3882" s="17" t="s">
        <v>13753</v>
      </c>
      <c r="D3882" s="19" t="s">
        <v>13754</v>
      </c>
      <c r="E3882" s="20" t="s">
        <v>104</v>
      </c>
      <c r="F3882" s="21">
        <v>39222.0</v>
      </c>
      <c r="G3882" s="14">
        <f t="shared" si="1"/>
        <v>19</v>
      </c>
      <c r="H3882" s="23" t="s">
        <v>100</v>
      </c>
      <c r="I3882" s="24" t="s">
        <v>27</v>
      </c>
      <c r="J3882" s="19" t="s">
        <v>1960</v>
      </c>
      <c r="K3882" s="14">
        <v>23.0</v>
      </c>
      <c r="L3882" s="14">
        <v>0.0</v>
      </c>
      <c r="M3882" s="25"/>
      <c r="N3882" s="26" t="s">
        <v>21</v>
      </c>
      <c r="O3882" s="7"/>
      <c r="P3882" s="7"/>
      <c r="Q3882" s="7"/>
      <c r="R3882" s="7"/>
      <c r="S3882" s="7"/>
      <c r="T3882" s="7"/>
      <c r="U3882" s="7"/>
      <c r="V3882" s="7"/>
      <c r="W3882" s="7"/>
      <c r="X3882" s="7"/>
      <c r="Y3882" s="7"/>
    </row>
    <row r="3883">
      <c r="A3883" s="14" t="s">
        <v>13755</v>
      </c>
      <c r="B3883" s="17" t="s">
        <v>13752</v>
      </c>
      <c r="C3883" s="17" t="s">
        <v>13756</v>
      </c>
      <c r="D3883" s="19" t="s">
        <v>13757</v>
      </c>
      <c r="E3883" s="20" t="s">
        <v>104</v>
      </c>
      <c r="F3883" s="21">
        <v>37152.0</v>
      </c>
      <c r="G3883" s="14">
        <f t="shared" si="1"/>
        <v>25</v>
      </c>
      <c r="H3883" s="23" t="s">
        <v>100</v>
      </c>
      <c r="I3883" s="24" t="s">
        <v>27</v>
      </c>
      <c r="J3883" s="19" t="s">
        <v>1960</v>
      </c>
      <c r="K3883" s="14">
        <v>23.0</v>
      </c>
      <c r="L3883" s="14">
        <v>0.0</v>
      </c>
      <c r="M3883" s="25"/>
      <c r="N3883" s="26" t="s">
        <v>21</v>
      </c>
      <c r="O3883" s="7"/>
      <c r="P3883" s="7"/>
      <c r="Q3883" s="7"/>
      <c r="R3883" s="7"/>
      <c r="S3883" s="7"/>
      <c r="T3883" s="7"/>
      <c r="U3883" s="7"/>
      <c r="V3883" s="7"/>
      <c r="W3883" s="7"/>
      <c r="X3883" s="7"/>
      <c r="Y3883" s="7"/>
    </row>
    <row r="3884">
      <c r="A3884" s="14" t="s">
        <v>13758</v>
      </c>
      <c r="B3884" s="17" t="s">
        <v>13752</v>
      </c>
      <c r="C3884" s="17" t="s">
        <v>13759</v>
      </c>
      <c r="D3884" s="19" t="s">
        <v>13760</v>
      </c>
      <c r="E3884" s="20" t="s">
        <v>11265</v>
      </c>
      <c r="F3884" s="21">
        <v>25512.0</v>
      </c>
      <c r="G3884" s="14">
        <f t="shared" si="1"/>
        <v>56</v>
      </c>
      <c r="H3884" s="23" t="s">
        <v>26</v>
      </c>
      <c r="I3884" s="24" t="s">
        <v>33</v>
      </c>
      <c r="J3884" s="19" t="s">
        <v>1960</v>
      </c>
      <c r="K3884" s="14">
        <v>23.0</v>
      </c>
      <c r="L3884" s="14">
        <v>0.0</v>
      </c>
      <c r="M3884" s="25"/>
      <c r="N3884" s="26" t="s">
        <v>21</v>
      </c>
      <c r="O3884" s="7"/>
      <c r="P3884" s="7"/>
      <c r="Q3884" s="7"/>
      <c r="R3884" s="7"/>
      <c r="S3884" s="7"/>
      <c r="T3884" s="7"/>
      <c r="U3884" s="7"/>
      <c r="V3884" s="7"/>
      <c r="W3884" s="7"/>
      <c r="X3884" s="7"/>
      <c r="Y3884" s="7"/>
    </row>
    <row r="3885">
      <c r="A3885" s="14" t="s">
        <v>13761</v>
      </c>
      <c r="B3885" s="17" t="s">
        <v>13752</v>
      </c>
      <c r="C3885" s="17" t="s">
        <v>13762</v>
      </c>
      <c r="D3885" s="19" t="s">
        <v>1815</v>
      </c>
      <c r="E3885" s="20" t="s">
        <v>632</v>
      </c>
      <c r="F3885" s="27">
        <v>26960.0</v>
      </c>
      <c r="G3885" s="14">
        <f t="shared" si="1"/>
        <v>53</v>
      </c>
      <c r="H3885" s="23" t="s">
        <v>26</v>
      </c>
      <c r="I3885" s="24" t="s">
        <v>27</v>
      </c>
      <c r="J3885" s="19" t="s">
        <v>328</v>
      </c>
      <c r="K3885" s="14">
        <v>23.0</v>
      </c>
      <c r="L3885" s="14">
        <v>0.0</v>
      </c>
      <c r="M3885" s="25"/>
      <c r="N3885" s="26" t="s">
        <v>21</v>
      </c>
      <c r="O3885" s="7"/>
      <c r="P3885" s="7"/>
      <c r="Q3885" s="7"/>
      <c r="R3885" s="7"/>
      <c r="S3885" s="7"/>
      <c r="T3885" s="7"/>
      <c r="U3885" s="7"/>
      <c r="V3885" s="7"/>
      <c r="W3885" s="7"/>
      <c r="X3885" s="7"/>
      <c r="Y3885" s="7"/>
    </row>
    <row r="3886">
      <c r="A3886" s="14" t="s">
        <v>13763</v>
      </c>
      <c r="B3886" s="17" t="s">
        <v>13764</v>
      </c>
      <c r="C3886" s="17" t="s">
        <v>13765</v>
      </c>
      <c r="D3886" s="19" t="s">
        <v>13766</v>
      </c>
      <c r="E3886" s="20" t="s">
        <v>104</v>
      </c>
      <c r="F3886" s="21">
        <v>28896.0</v>
      </c>
      <c r="G3886" s="14">
        <f t="shared" si="1"/>
        <v>47</v>
      </c>
      <c r="H3886" s="23" t="s">
        <v>26</v>
      </c>
      <c r="I3886" s="24" t="s">
        <v>27</v>
      </c>
      <c r="J3886" s="19" t="s">
        <v>1960</v>
      </c>
      <c r="K3886" s="14">
        <v>21.0</v>
      </c>
      <c r="L3886" s="14">
        <v>0.0</v>
      </c>
      <c r="M3886" s="25"/>
      <c r="N3886" s="26" t="s">
        <v>21</v>
      </c>
      <c r="O3886" s="7"/>
      <c r="P3886" s="7"/>
      <c r="Q3886" s="7"/>
      <c r="R3886" s="7"/>
      <c r="S3886" s="7"/>
      <c r="T3886" s="7"/>
      <c r="U3886" s="7"/>
      <c r="V3886" s="7"/>
      <c r="W3886" s="7"/>
      <c r="X3886" s="7"/>
      <c r="Y3886" s="7"/>
    </row>
    <row r="3887">
      <c r="A3887" s="14" t="s">
        <v>13767</v>
      </c>
      <c r="B3887" s="17" t="s">
        <v>13764</v>
      </c>
      <c r="C3887" s="17" t="s">
        <v>13768</v>
      </c>
      <c r="D3887" s="19" t="s">
        <v>13769</v>
      </c>
      <c r="E3887" s="20" t="s">
        <v>104</v>
      </c>
      <c r="F3887" s="21">
        <v>38238.0</v>
      </c>
      <c r="G3887" s="14">
        <f t="shared" si="1"/>
        <v>22</v>
      </c>
      <c r="H3887" s="23" t="s">
        <v>100</v>
      </c>
      <c r="I3887" s="24" t="s">
        <v>27</v>
      </c>
      <c r="J3887" s="19" t="s">
        <v>1960</v>
      </c>
      <c r="K3887" s="14">
        <v>21.0</v>
      </c>
      <c r="L3887" s="14">
        <v>0.0</v>
      </c>
      <c r="M3887" s="25"/>
      <c r="N3887" s="26" t="s">
        <v>21</v>
      </c>
      <c r="O3887" s="7"/>
      <c r="P3887" s="7"/>
      <c r="Q3887" s="7"/>
      <c r="R3887" s="7"/>
      <c r="S3887" s="7"/>
      <c r="T3887" s="7"/>
      <c r="U3887" s="7"/>
      <c r="V3887" s="7"/>
      <c r="W3887" s="7"/>
      <c r="X3887" s="7"/>
      <c r="Y3887" s="7"/>
    </row>
    <row r="3888">
      <c r="A3888" s="14" t="s">
        <v>13770</v>
      </c>
      <c r="B3888" s="17" t="s">
        <v>13764</v>
      </c>
      <c r="C3888" s="17" t="s">
        <v>13771</v>
      </c>
      <c r="D3888" s="19" t="s">
        <v>5436</v>
      </c>
      <c r="E3888" s="20" t="s">
        <v>104</v>
      </c>
      <c r="F3888" s="21">
        <v>28292.0</v>
      </c>
      <c r="G3888" s="14">
        <f t="shared" si="1"/>
        <v>49</v>
      </c>
      <c r="H3888" s="23" t="s">
        <v>26</v>
      </c>
      <c r="I3888" s="24" t="s">
        <v>33</v>
      </c>
      <c r="J3888" s="19" t="s">
        <v>1960</v>
      </c>
      <c r="K3888" s="14">
        <v>21.0</v>
      </c>
      <c r="L3888" s="14">
        <v>0.0</v>
      </c>
      <c r="M3888" s="25"/>
      <c r="N3888" s="26" t="s">
        <v>21</v>
      </c>
      <c r="O3888" s="7"/>
      <c r="P3888" s="7"/>
      <c r="Q3888" s="7"/>
      <c r="R3888" s="7"/>
      <c r="S3888" s="7"/>
      <c r="T3888" s="7"/>
      <c r="U3888" s="7"/>
      <c r="V3888" s="7"/>
      <c r="W3888" s="7"/>
      <c r="X3888" s="7"/>
      <c r="Y3888" s="7"/>
    </row>
    <row r="3889">
      <c r="A3889" s="14" t="s">
        <v>13772</v>
      </c>
      <c r="B3889" s="17" t="s">
        <v>13773</v>
      </c>
      <c r="C3889" s="17" t="s">
        <v>13774</v>
      </c>
      <c r="D3889" s="19" t="s">
        <v>4677</v>
      </c>
      <c r="E3889" s="20" t="s">
        <v>429</v>
      </c>
      <c r="F3889" s="21">
        <v>27860.0</v>
      </c>
      <c r="G3889" s="14">
        <f t="shared" si="1"/>
        <v>50</v>
      </c>
      <c r="H3889" s="23" t="s">
        <v>26</v>
      </c>
      <c r="I3889" s="24" t="s">
        <v>33</v>
      </c>
      <c r="J3889" s="19" t="s">
        <v>726</v>
      </c>
      <c r="K3889" s="14">
        <v>18.0</v>
      </c>
      <c r="L3889" s="14">
        <v>0.0</v>
      </c>
      <c r="M3889" s="25"/>
      <c r="N3889" s="26" t="s">
        <v>21</v>
      </c>
      <c r="O3889" s="7"/>
      <c r="P3889" s="7"/>
      <c r="Q3889" s="7"/>
      <c r="R3889" s="7"/>
      <c r="S3889" s="7"/>
      <c r="T3889" s="7"/>
      <c r="U3889" s="7"/>
      <c r="V3889" s="7"/>
      <c r="W3889" s="7"/>
      <c r="X3889" s="7"/>
      <c r="Y3889" s="7"/>
    </row>
    <row r="3890">
      <c r="A3890" s="14" t="s">
        <v>13775</v>
      </c>
      <c r="B3890" s="17" t="s">
        <v>13773</v>
      </c>
      <c r="C3890" s="17" t="s">
        <v>13776</v>
      </c>
      <c r="D3890" s="19" t="s">
        <v>13777</v>
      </c>
      <c r="E3890" s="20" t="s">
        <v>274</v>
      </c>
      <c r="F3890" s="21">
        <v>30070.0</v>
      </c>
      <c r="G3890" s="14">
        <f t="shared" si="1"/>
        <v>44</v>
      </c>
      <c r="H3890" s="23" t="s">
        <v>26</v>
      </c>
      <c r="I3890" s="24" t="s">
        <v>27</v>
      </c>
      <c r="J3890" s="19" t="s">
        <v>726</v>
      </c>
      <c r="K3890" s="14">
        <v>18.0</v>
      </c>
      <c r="L3890" s="14">
        <v>0.0</v>
      </c>
      <c r="M3890" s="25"/>
      <c r="N3890" s="26" t="s">
        <v>21</v>
      </c>
      <c r="O3890" s="7"/>
      <c r="P3890" s="7"/>
      <c r="Q3890" s="7"/>
      <c r="R3890" s="7"/>
      <c r="S3890" s="7"/>
      <c r="T3890" s="7"/>
      <c r="U3890" s="7"/>
      <c r="V3890" s="7"/>
      <c r="W3890" s="7"/>
      <c r="X3890" s="7"/>
      <c r="Y3890" s="7"/>
    </row>
    <row r="3891">
      <c r="A3891" s="14" t="s">
        <v>13778</v>
      </c>
      <c r="B3891" s="17" t="s">
        <v>13779</v>
      </c>
      <c r="C3891" s="17" t="s">
        <v>13780</v>
      </c>
      <c r="D3891" s="19" t="s">
        <v>13781</v>
      </c>
      <c r="E3891" s="20" t="s">
        <v>104</v>
      </c>
      <c r="F3891" s="21">
        <v>30902.0</v>
      </c>
      <c r="G3891" s="14">
        <f t="shared" si="1"/>
        <v>42</v>
      </c>
      <c r="H3891" s="23" t="s">
        <v>26</v>
      </c>
      <c r="I3891" s="24" t="s">
        <v>33</v>
      </c>
      <c r="J3891" s="19" t="s">
        <v>726</v>
      </c>
      <c r="K3891" s="14">
        <v>13.0</v>
      </c>
      <c r="L3891" s="14">
        <v>0.0</v>
      </c>
      <c r="M3891" s="25"/>
      <c r="N3891" s="26" t="s">
        <v>21</v>
      </c>
      <c r="O3891" s="7"/>
      <c r="P3891" s="7"/>
      <c r="Q3891" s="7"/>
      <c r="R3891" s="7"/>
      <c r="S3891" s="7"/>
      <c r="T3891" s="7"/>
      <c r="U3891" s="7"/>
      <c r="V3891" s="7"/>
      <c r="W3891" s="7"/>
      <c r="X3891" s="7"/>
      <c r="Y3891" s="7"/>
    </row>
    <row r="3892">
      <c r="A3892" s="14" t="s">
        <v>13782</v>
      </c>
      <c r="B3892" s="17" t="s">
        <v>13779</v>
      </c>
      <c r="C3892" s="17" t="s">
        <v>13783</v>
      </c>
      <c r="D3892" s="19" t="s">
        <v>13784</v>
      </c>
      <c r="E3892" s="20" t="s">
        <v>104</v>
      </c>
      <c r="F3892" s="27">
        <v>32807.0</v>
      </c>
      <c r="G3892" s="14">
        <f t="shared" si="1"/>
        <v>37</v>
      </c>
      <c r="H3892" s="23" t="s">
        <v>26</v>
      </c>
      <c r="I3892" s="24" t="s">
        <v>27</v>
      </c>
      <c r="J3892" s="19" t="s">
        <v>726</v>
      </c>
      <c r="K3892" s="14">
        <v>13.0</v>
      </c>
      <c r="L3892" s="14">
        <v>0.0</v>
      </c>
      <c r="M3892" s="25"/>
      <c r="N3892" s="26" t="s">
        <v>21</v>
      </c>
      <c r="O3892" s="7"/>
      <c r="P3892" s="7"/>
      <c r="Q3892" s="7"/>
      <c r="R3892" s="7"/>
      <c r="S3892" s="7"/>
      <c r="T3892" s="7"/>
      <c r="U3892" s="7"/>
      <c r="V3892" s="7"/>
      <c r="W3892" s="7"/>
      <c r="X3892" s="7"/>
      <c r="Y3892" s="7"/>
    </row>
    <row r="3893">
      <c r="A3893" s="14" t="s">
        <v>13785</v>
      </c>
      <c r="B3893" s="17" t="s">
        <v>13786</v>
      </c>
      <c r="C3893" s="17" t="s">
        <v>13787</v>
      </c>
      <c r="D3893" s="19" t="s">
        <v>13788</v>
      </c>
      <c r="E3893" s="20" t="s">
        <v>104</v>
      </c>
      <c r="F3893" s="21">
        <v>29000.0</v>
      </c>
      <c r="G3893" s="14">
        <f t="shared" si="1"/>
        <v>47</v>
      </c>
      <c r="H3893" s="23" t="s">
        <v>26</v>
      </c>
      <c r="I3893" s="24" t="s">
        <v>33</v>
      </c>
      <c r="J3893" s="19" t="s">
        <v>328</v>
      </c>
      <c r="K3893" s="14">
        <v>20.0</v>
      </c>
      <c r="L3893" s="14">
        <v>0.0</v>
      </c>
      <c r="M3893" s="25"/>
      <c r="N3893" s="26" t="s">
        <v>21</v>
      </c>
      <c r="O3893" s="7"/>
      <c r="P3893" s="7"/>
      <c r="Q3893" s="7"/>
      <c r="R3893" s="7"/>
      <c r="S3893" s="7"/>
      <c r="T3893" s="7"/>
      <c r="U3893" s="7"/>
      <c r="V3893" s="7"/>
      <c r="W3893" s="7"/>
      <c r="X3893" s="7"/>
      <c r="Y3893" s="7"/>
    </row>
    <row r="3894">
      <c r="A3894" s="14" t="s">
        <v>13789</v>
      </c>
      <c r="B3894" s="17" t="s">
        <v>13786</v>
      </c>
      <c r="C3894" s="17" t="s">
        <v>13790</v>
      </c>
      <c r="D3894" s="19" t="s">
        <v>13791</v>
      </c>
      <c r="E3894" s="20" t="s">
        <v>104</v>
      </c>
      <c r="F3894" s="21">
        <v>39340.0</v>
      </c>
      <c r="G3894" s="14">
        <f t="shared" si="1"/>
        <v>19</v>
      </c>
      <c r="H3894" s="23" t="s">
        <v>100</v>
      </c>
      <c r="I3894" s="24" t="s">
        <v>33</v>
      </c>
      <c r="J3894" s="19" t="s">
        <v>328</v>
      </c>
      <c r="K3894" s="14">
        <v>20.0</v>
      </c>
      <c r="L3894" s="14">
        <v>0.0</v>
      </c>
      <c r="M3894" s="25"/>
      <c r="N3894" s="26" t="s">
        <v>21</v>
      </c>
      <c r="O3894" s="7"/>
      <c r="P3894" s="7"/>
      <c r="Q3894" s="7"/>
      <c r="R3894" s="7"/>
      <c r="S3894" s="7"/>
      <c r="T3894" s="7"/>
      <c r="U3894" s="7"/>
      <c r="V3894" s="7"/>
      <c r="W3894" s="7"/>
      <c r="X3894" s="7"/>
      <c r="Y3894" s="7"/>
    </row>
    <row r="3895">
      <c r="A3895" s="14" t="s">
        <v>13792</v>
      </c>
      <c r="B3895" s="17" t="s">
        <v>13786</v>
      </c>
      <c r="C3895" s="17" t="s">
        <v>13793</v>
      </c>
      <c r="D3895" s="19" t="s">
        <v>13794</v>
      </c>
      <c r="E3895" s="20" t="s">
        <v>104</v>
      </c>
      <c r="F3895" s="21">
        <v>31114.0</v>
      </c>
      <c r="G3895" s="14">
        <f t="shared" si="1"/>
        <v>41</v>
      </c>
      <c r="H3895" s="23" t="s">
        <v>26</v>
      </c>
      <c r="I3895" s="24" t="s">
        <v>27</v>
      </c>
      <c r="J3895" s="19" t="s">
        <v>328</v>
      </c>
      <c r="K3895" s="14">
        <v>20.0</v>
      </c>
      <c r="L3895" s="14">
        <v>0.0</v>
      </c>
      <c r="M3895" s="25"/>
      <c r="N3895" s="26" t="s">
        <v>21</v>
      </c>
      <c r="O3895" s="7"/>
      <c r="P3895" s="7"/>
      <c r="Q3895" s="7"/>
      <c r="R3895" s="7"/>
      <c r="S3895" s="7"/>
      <c r="T3895" s="7"/>
      <c r="U3895" s="7"/>
      <c r="V3895" s="7"/>
      <c r="W3895" s="7"/>
      <c r="X3895" s="7"/>
      <c r="Y3895" s="7"/>
    </row>
    <row r="3896">
      <c r="A3896" s="14" t="s">
        <v>13795</v>
      </c>
      <c r="B3896" s="17" t="s">
        <v>13796</v>
      </c>
      <c r="C3896" s="17" t="s">
        <v>13797</v>
      </c>
      <c r="D3896" s="19" t="s">
        <v>13798</v>
      </c>
      <c r="E3896" s="20" t="s">
        <v>3587</v>
      </c>
      <c r="F3896" s="21">
        <v>35945.0</v>
      </c>
      <c r="G3896" s="14">
        <f t="shared" si="1"/>
        <v>28</v>
      </c>
      <c r="H3896" s="23" t="s">
        <v>26</v>
      </c>
      <c r="I3896" s="24" t="s">
        <v>27</v>
      </c>
      <c r="J3896" s="19" t="s">
        <v>53</v>
      </c>
      <c r="K3896" s="14">
        <v>30.0</v>
      </c>
      <c r="L3896" s="14">
        <v>0.0</v>
      </c>
      <c r="M3896" s="25"/>
      <c r="N3896" s="26" t="s">
        <v>21</v>
      </c>
      <c r="O3896" s="7"/>
      <c r="P3896" s="7"/>
      <c r="Q3896" s="7"/>
      <c r="R3896" s="7"/>
      <c r="S3896" s="7"/>
      <c r="T3896" s="7"/>
      <c r="U3896" s="7"/>
      <c r="V3896" s="7"/>
      <c r="W3896" s="7"/>
      <c r="X3896" s="7"/>
      <c r="Y3896" s="7"/>
    </row>
    <row r="3897">
      <c r="A3897" s="14" t="s">
        <v>13799</v>
      </c>
      <c r="B3897" s="17" t="s">
        <v>13796</v>
      </c>
      <c r="C3897" s="17" t="s">
        <v>13800</v>
      </c>
      <c r="D3897" s="19" t="s">
        <v>13801</v>
      </c>
      <c r="E3897" s="20" t="s">
        <v>53</v>
      </c>
      <c r="F3897" s="21">
        <v>33405.0</v>
      </c>
      <c r="G3897" s="14">
        <f t="shared" si="1"/>
        <v>35</v>
      </c>
      <c r="H3897" s="23" t="s">
        <v>26</v>
      </c>
      <c r="I3897" s="24" t="s">
        <v>33</v>
      </c>
      <c r="J3897" s="19" t="s">
        <v>53</v>
      </c>
      <c r="K3897" s="14">
        <v>30.0</v>
      </c>
      <c r="L3897" s="14">
        <v>0.0</v>
      </c>
      <c r="M3897" s="25"/>
      <c r="N3897" s="26" t="s">
        <v>21</v>
      </c>
      <c r="O3897" s="7"/>
      <c r="P3897" s="7"/>
      <c r="Q3897" s="7"/>
      <c r="R3897" s="7"/>
      <c r="S3897" s="7"/>
      <c r="T3897" s="7"/>
      <c r="U3897" s="7"/>
      <c r="V3897" s="7"/>
      <c r="W3897" s="7"/>
      <c r="X3897" s="7"/>
      <c r="Y3897" s="7"/>
    </row>
    <row r="3898">
      <c r="A3898" s="14" t="s">
        <v>13802</v>
      </c>
      <c r="B3898" s="17" t="s">
        <v>13796</v>
      </c>
      <c r="C3898" s="17" t="s">
        <v>13803</v>
      </c>
      <c r="D3898" s="19" t="s">
        <v>7892</v>
      </c>
      <c r="E3898" s="20" t="s">
        <v>3587</v>
      </c>
      <c r="F3898" s="27">
        <v>22230.0</v>
      </c>
      <c r="G3898" s="14">
        <f t="shared" si="1"/>
        <v>65</v>
      </c>
      <c r="H3898" s="23" t="s">
        <v>27</v>
      </c>
      <c r="I3898" s="24" t="s">
        <v>27</v>
      </c>
      <c r="J3898" s="19" t="s">
        <v>53</v>
      </c>
      <c r="K3898" s="14">
        <v>30.0</v>
      </c>
      <c r="L3898" s="14">
        <v>0.0</v>
      </c>
      <c r="M3898" s="25"/>
      <c r="N3898" s="26" t="s">
        <v>21</v>
      </c>
      <c r="O3898" s="7"/>
      <c r="P3898" s="7"/>
      <c r="Q3898" s="7"/>
      <c r="R3898" s="7"/>
      <c r="S3898" s="7"/>
      <c r="T3898" s="7"/>
      <c r="U3898" s="7"/>
      <c r="V3898" s="7"/>
      <c r="W3898" s="7"/>
      <c r="X3898" s="7"/>
      <c r="Y3898" s="7"/>
    </row>
    <row r="3899">
      <c r="A3899" s="14" t="s">
        <v>13804</v>
      </c>
      <c r="B3899" s="17" t="s">
        <v>13805</v>
      </c>
      <c r="C3899" s="17" t="s">
        <v>13806</v>
      </c>
      <c r="D3899" s="19" t="s">
        <v>13807</v>
      </c>
      <c r="E3899" s="20" t="s">
        <v>10719</v>
      </c>
      <c r="F3899" s="21">
        <v>29131.0</v>
      </c>
      <c r="G3899" s="14">
        <f t="shared" si="1"/>
        <v>47</v>
      </c>
      <c r="H3899" s="23" t="s">
        <v>26</v>
      </c>
      <c r="I3899" s="24" t="s">
        <v>33</v>
      </c>
      <c r="J3899" s="19" t="s">
        <v>282</v>
      </c>
      <c r="K3899" s="14">
        <v>17.0</v>
      </c>
      <c r="L3899" s="14">
        <v>0.0</v>
      </c>
      <c r="M3899" s="25"/>
      <c r="N3899" s="26" t="s">
        <v>21</v>
      </c>
      <c r="O3899" s="7"/>
      <c r="P3899" s="7"/>
      <c r="Q3899" s="7"/>
      <c r="R3899" s="7"/>
      <c r="S3899" s="7"/>
      <c r="T3899" s="7"/>
      <c r="U3899" s="7"/>
      <c r="V3899" s="7"/>
      <c r="W3899" s="7"/>
      <c r="X3899" s="7"/>
      <c r="Y3899" s="7"/>
    </row>
    <row r="3900">
      <c r="A3900" s="14" t="s">
        <v>13808</v>
      </c>
      <c r="B3900" s="17" t="s">
        <v>13805</v>
      </c>
      <c r="C3900" s="17" t="s">
        <v>13809</v>
      </c>
      <c r="D3900" s="19" t="s">
        <v>13810</v>
      </c>
      <c r="E3900" s="20" t="s">
        <v>138</v>
      </c>
      <c r="F3900" s="21">
        <v>28493.0</v>
      </c>
      <c r="G3900" s="14">
        <f t="shared" si="1"/>
        <v>48</v>
      </c>
      <c r="H3900" s="23" t="s">
        <v>26</v>
      </c>
      <c r="I3900" s="24" t="s">
        <v>27</v>
      </c>
      <c r="J3900" s="19" t="s">
        <v>282</v>
      </c>
      <c r="K3900" s="14">
        <v>17.0</v>
      </c>
      <c r="L3900" s="14">
        <v>0.0</v>
      </c>
      <c r="M3900" s="25"/>
      <c r="N3900" s="26" t="s">
        <v>21</v>
      </c>
      <c r="O3900" s="7"/>
      <c r="P3900" s="7"/>
      <c r="Q3900" s="7"/>
      <c r="R3900" s="7"/>
      <c r="S3900" s="7"/>
      <c r="T3900" s="7"/>
      <c r="U3900" s="7"/>
      <c r="V3900" s="7"/>
      <c r="W3900" s="7"/>
      <c r="X3900" s="7"/>
      <c r="Y3900" s="7"/>
    </row>
    <row r="3901">
      <c r="A3901" s="14" t="s">
        <v>13811</v>
      </c>
      <c r="B3901" s="17" t="s">
        <v>13812</v>
      </c>
      <c r="C3901" s="17" t="s">
        <v>13813</v>
      </c>
      <c r="D3901" s="19" t="s">
        <v>1282</v>
      </c>
      <c r="E3901" s="20" t="s">
        <v>104</v>
      </c>
      <c r="F3901" s="27">
        <v>31003.0</v>
      </c>
      <c r="G3901" s="14">
        <f t="shared" si="1"/>
        <v>41</v>
      </c>
      <c r="H3901" s="23" t="s">
        <v>26</v>
      </c>
      <c r="I3901" s="24" t="s">
        <v>33</v>
      </c>
      <c r="J3901" s="19" t="s">
        <v>282</v>
      </c>
      <c r="K3901" s="14">
        <v>14.0</v>
      </c>
      <c r="L3901" s="14">
        <v>0.0</v>
      </c>
      <c r="M3901" s="25"/>
      <c r="N3901" s="26" t="s">
        <v>21</v>
      </c>
      <c r="O3901" s="7"/>
      <c r="P3901" s="7"/>
      <c r="Q3901" s="7"/>
      <c r="R3901" s="7"/>
      <c r="S3901" s="7"/>
      <c r="T3901" s="7"/>
      <c r="U3901" s="7"/>
      <c r="V3901" s="7"/>
      <c r="W3901" s="7"/>
      <c r="X3901" s="7"/>
      <c r="Y3901" s="7"/>
    </row>
    <row r="3902">
      <c r="A3902" s="14" t="s">
        <v>13814</v>
      </c>
      <c r="B3902" s="17" t="s">
        <v>13812</v>
      </c>
      <c r="C3902" s="17" t="s">
        <v>13815</v>
      </c>
      <c r="D3902" s="19" t="s">
        <v>13816</v>
      </c>
      <c r="E3902" s="20" t="s">
        <v>53</v>
      </c>
      <c r="F3902" s="21">
        <v>32630.0</v>
      </c>
      <c r="G3902" s="14">
        <f t="shared" si="1"/>
        <v>37</v>
      </c>
      <c r="H3902" s="23" t="s">
        <v>26</v>
      </c>
      <c r="I3902" s="24" t="s">
        <v>27</v>
      </c>
      <c r="J3902" s="19" t="s">
        <v>282</v>
      </c>
      <c r="K3902" s="14">
        <v>14.0</v>
      </c>
      <c r="L3902" s="14">
        <v>0.0</v>
      </c>
      <c r="M3902" s="25"/>
      <c r="N3902" s="26" t="s">
        <v>21</v>
      </c>
      <c r="O3902" s="7"/>
      <c r="P3902" s="7"/>
      <c r="Q3902" s="7"/>
      <c r="R3902" s="7"/>
      <c r="S3902" s="7"/>
      <c r="T3902" s="7"/>
      <c r="U3902" s="7"/>
      <c r="V3902" s="7"/>
      <c r="W3902" s="7"/>
      <c r="X3902" s="7"/>
      <c r="Y3902" s="7"/>
    </row>
    <row r="3903">
      <c r="A3903" s="14" t="s">
        <v>13817</v>
      </c>
      <c r="B3903" s="17" t="s">
        <v>13818</v>
      </c>
      <c r="C3903" s="17" t="s">
        <v>13819</v>
      </c>
      <c r="D3903" s="19" t="s">
        <v>13820</v>
      </c>
      <c r="E3903" s="20" t="s">
        <v>274</v>
      </c>
      <c r="F3903" s="27">
        <v>35362.0</v>
      </c>
      <c r="G3903" s="14">
        <f t="shared" si="1"/>
        <v>30</v>
      </c>
      <c r="H3903" s="23" t="s">
        <v>26</v>
      </c>
      <c r="I3903" s="24" t="s">
        <v>33</v>
      </c>
      <c r="J3903" s="19" t="s">
        <v>206</v>
      </c>
      <c r="K3903" s="14">
        <v>10.0</v>
      </c>
      <c r="L3903" s="14">
        <v>5.0</v>
      </c>
      <c r="M3903" s="25"/>
      <c r="N3903" s="26" t="s">
        <v>21</v>
      </c>
      <c r="O3903" s="7"/>
      <c r="P3903" s="7"/>
      <c r="Q3903" s="7"/>
      <c r="R3903" s="7"/>
      <c r="S3903" s="7"/>
      <c r="T3903" s="7"/>
      <c r="U3903" s="7"/>
      <c r="V3903" s="7"/>
      <c r="W3903" s="7"/>
      <c r="X3903" s="7"/>
      <c r="Y3903" s="7"/>
    </row>
    <row r="3904">
      <c r="A3904" s="14" t="s">
        <v>13821</v>
      </c>
      <c r="B3904" s="17" t="s">
        <v>13818</v>
      </c>
      <c r="C3904" s="17" t="s">
        <v>13822</v>
      </c>
      <c r="D3904" s="19" t="s">
        <v>13823</v>
      </c>
      <c r="E3904" s="20" t="s">
        <v>3587</v>
      </c>
      <c r="F3904" s="27">
        <v>37237.0</v>
      </c>
      <c r="G3904" s="14">
        <f t="shared" si="1"/>
        <v>24</v>
      </c>
      <c r="H3904" s="23" t="s">
        <v>26</v>
      </c>
      <c r="I3904" s="24" t="s">
        <v>27</v>
      </c>
      <c r="J3904" s="19" t="s">
        <v>206</v>
      </c>
      <c r="K3904" s="14">
        <v>10.0</v>
      </c>
      <c r="L3904" s="14">
        <v>5.0</v>
      </c>
      <c r="M3904" s="25"/>
      <c r="N3904" s="26" t="s">
        <v>21</v>
      </c>
      <c r="O3904" s="7"/>
      <c r="P3904" s="7"/>
      <c r="Q3904" s="7"/>
      <c r="R3904" s="7"/>
      <c r="S3904" s="7"/>
      <c r="T3904" s="7"/>
      <c r="U3904" s="7"/>
      <c r="V3904" s="7"/>
      <c r="W3904" s="7"/>
      <c r="X3904" s="7"/>
      <c r="Y3904" s="7"/>
    </row>
    <row r="3905">
      <c r="A3905" s="14" t="s">
        <v>13824</v>
      </c>
      <c r="B3905" s="17" t="s">
        <v>13825</v>
      </c>
      <c r="C3905" s="17" t="s">
        <v>13826</v>
      </c>
      <c r="D3905" s="19" t="s">
        <v>13827</v>
      </c>
      <c r="E3905" s="20" t="s">
        <v>9953</v>
      </c>
      <c r="F3905" s="21">
        <v>28719.0</v>
      </c>
      <c r="G3905" s="14">
        <f t="shared" si="1"/>
        <v>48</v>
      </c>
      <c r="H3905" s="23" t="s">
        <v>26</v>
      </c>
      <c r="I3905" s="24" t="s">
        <v>27</v>
      </c>
      <c r="J3905" s="19" t="s">
        <v>53</v>
      </c>
      <c r="K3905" s="14">
        <v>25.0</v>
      </c>
      <c r="L3905" s="14">
        <v>0.0</v>
      </c>
      <c r="M3905" s="25"/>
      <c r="N3905" s="26" t="s">
        <v>21</v>
      </c>
      <c r="O3905" s="7"/>
      <c r="P3905" s="7"/>
      <c r="Q3905" s="7"/>
      <c r="R3905" s="7"/>
      <c r="S3905" s="7"/>
      <c r="T3905" s="7"/>
      <c r="U3905" s="7"/>
      <c r="V3905" s="7"/>
      <c r="W3905" s="7"/>
      <c r="X3905" s="7"/>
      <c r="Y3905" s="7"/>
    </row>
    <row r="3906">
      <c r="A3906" s="14" t="s">
        <v>13828</v>
      </c>
      <c r="B3906" s="17" t="s">
        <v>13825</v>
      </c>
      <c r="C3906" s="17" t="s">
        <v>13829</v>
      </c>
      <c r="D3906" s="19" t="s">
        <v>13830</v>
      </c>
      <c r="E3906" s="20" t="s">
        <v>1830</v>
      </c>
      <c r="F3906" s="21">
        <v>38556.0</v>
      </c>
      <c r="G3906" s="14">
        <f t="shared" si="1"/>
        <v>21</v>
      </c>
      <c r="H3906" s="23" t="s">
        <v>100</v>
      </c>
      <c r="I3906" s="24" t="s">
        <v>27</v>
      </c>
      <c r="J3906" s="19" t="s">
        <v>53</v>
      </c>
      <c r="K3906" s="14">
        <v>25.0</v>
      </c>
      <c r="L3906" s="14">
        <v>0.0</v>
      </c>
      <c r="M3906" s="25"/>
      <c r="N3906" s="26" t="s">
        <v>21</v>
      </c>
      <c r="O3906" s="7"/>
      <c r="P3906" s="7"/>
      <c r="Q3906" s="7"/>
      <c r="R3906" s="7"/>
      <c r="S3906" s="7"/>
      <c r="T3906" s="7"/>
      <c r="U3906" s="7"/>
      <c r="V3906" s="7"/>
      <c r="W3906" s="7"/>
      <c r="X3906" s="7"/>
      <c r="Y3906" s="7"/>
    </row>
    <row r="3907">
      <c r="A3907" s="14" t="s">
        <v>13831</v>
      </c>
      <c r="B3907" s="17" t="s">
        <v>13825</v>
      </c>
      <c r="C3907" s="17" t="s">
        <v>13832</v>
      </c>
      <c r="D3907" s="19" t="s">
        <v>13833</v>
      </c>
      <c r="E3907" s="20" t="s">
        <v>13834</v>
      </c>
      <c r="F3907" s="21">
        <v>26912.0</v>
      </c>
      <c r="G3907" s="14">
        <f t="shared" si="1"/>
        <v>53</v>
      </c>
      <c r="H3907" s="23" t="s">
        <v>26</v>
      </c>
      <c r="I3907" s="24" t="s">
        <v>33</v>
      </c>
      <c r="J3907" s="19" t="s">
        <v>53</v>
      </c>
      <c r="K3907" s="14">
        <v>25.0</v>
      </c>
      <c r="L3907" s="14">
        <v>0.0</v>
      </c>
      <c r="M3907" s="25"/>
      <c r="N3907" s="26" t="s">
        <v>21</v>
      </c>
      <c r="O3907" s="7"/>
      <c r="P3907" s="7"/>
      <c r="Q3907" s="7"/>
      <c r="R3907" s="7"/>
      <c r="S3907" s="7"/>
      <c r="T3907" s="7"/>
      <c r="U3907" s="7"/>
      <c r="V3907" s="7"/>
      <c r="W3907" s="7"/>
      <c r="X3907" s="7"/>
      <c r="Y3907" s="7"/>
    </row>
    <row r="3908">
      <c r="A3908" s="14" t="s">
        <v>13835</v>
      </c>
      <c r="B3908" s="17" t="s">
        <v>13836</v>
      </c>
      <c r="C3908" s="17" t="s">
        <v>13837</v>
      </c>
      <c r="D3908" s="19" t="s">
        <v>1865</v>
      </c>
      <c r="E3908" s="20" t="s">
        <v>749</v>
      </c>
      <c r="F3908" s="21">
        <v>28435.0</v>
      </c>
      <c r="G3908" s="14">
        <f t="shared" si="1"/>
        <v>48</v>
      </c>
      <c r="H3908" s="23" t="s">
        <v>26</v>
      </c>
      <c r="I3908" s="24" t="s">
        <v>33</v>
      </c>
      <c r="J3908" s="19" t="s">
        <v>726</v>
      </c>
      <c r="K3908" s="14">
        <v>12.0</v>
      </c>
      <c r="L3908" s="14">
        <v>0.0</v>
      </c>
      <c r="M3908" s="25"/>
      <c r="N3908" s="26" t="s">
        <v>21</v>
      </c>
      <c r="O3908" s="7"/>
      <c r="P3908" s="7"/>
      <c r="Q3908" s="7"/>
      <c r="R3908" s="7"/>
      <c r="S3908" s="7"/>
      <c r="T3908" s="7"/>
      <c r="U3908" s="7"/>
      <c r="V3908" s="7"/>
      <c r="W3908" s="7"/>
      <c r="X3908" s="7"/>
      <c r="Y3908" s="7"/>
    </row>
    <row r="3909">
      <c r="A3909" s="14" t="s">
        <v>13838</v>
      </c>
      <c r="B3909" s="17" t="s">
        <v>13836</v>
      </c>
      <c r="C3909" s="17" t="s">
        <v>13839</v>
      </c>
      <c r="D3909" s="19" t="s">
        <v>13840</v>
      </c>
      <c r="E3909" s="20" t="s">
        <v>337</v>
      </c>
      <c r="F3909" s="21">
        <v>37503.0</v>
      </c>
      <c r="G3909" s="14">
        <f t="shared" si="1"/>
        <v>24</v>
      </c>
      <c r="H3909" s="23" t="s">
        <v>100</v>
      </c>
      <c r="I3909" s="24" t="s">
        <v>27</v>
      </c>
      <c r="J3909" s="19" t="s">
        <v>726</v>
      </c>
      <c r="K3909" s="14">
        <v>12.0</v>
      </c>
      <c r="L3909" s="14">
        <v>0.0</v>
      </c>
      <c r="M3909" s="25"/>
      <c r="N3909" s="26" t="s">
        <v>21</v>
      </c>
      <c r="O3909" s="7"/>
      <c r="P3909" s="7"/>
      <c r="Q3909" s="7"/>
      <c r="R3909" s="7"/>
      <c r="S3909" s="7"/>
      <c r="T3909" s="7"/>
      <c r="U3909" s="7"/>
      <c r="V3909" s="7"/>
      <c r="W3909" s="7"/>
      <c r="X3909" s="7"/>
      <c r="Y3909" s="7"/>
    </row>
    <row r="3910">
      <c r="A3910" s="14" t="s">
        <v>13841</v>
      </c>
      <c r="B3910" s="17" t="s">
        <v>13836</v>
      </c>
      <c r="C3910" s="17" t="s">
        <v>13842</v>
      </c>
      <c r="D3910" s="19" t="s">
        <v>13843</v>
      </c>
      <c r="E3910" s="20" t="s">
        <v>104</v>
      </c>
      <c r="F3910" s="21">
        <v>30549.0</v>
      </c>
      <c r="G3910" s="14">
        <f t="shared" si="1"/>
        <v>43</v>
      </c>
      <c r="H3910" s="23" t="s">
        <v>26</v>
      </c>
      <c r="I3910" s="24" t="s">
        <v>27</v>
      </c>
      <c r="J3910" s="19" t="s">
        <v>726</v>
      </c>
      <c r="K3910" s="14">
        <v>12.0</v>
      </c>
      <c r="L3910" s="14">
        <v>0.0</v>
      </c>
      <c r="M3910" s="25"/>
      <c r="N3910" s="26" t="s">
        <v>21</v>
      </c>
      <c r="O3910" s="7"/>
      <c r="P3910" s="7"/>
      <c r="Q3910" s="7"/>
      <c r="R3910" s="7"/>
      <c r="S3910" s="7"/>
      <c r="T3910" s="7"/>
      <c r="U3910" s="7"/>
      <c r="V3910" s="7"/>
      <c r="W3910" s="7"/>
      <c r="X3910" s="7"/>
      <c r="Y3910" s="7"/>
    </row>
    <row r="3911">
      <c r="A3911" s="14" t="s">
        <v>13844</v>
      </c>
      <c r="B3911" s="17" t="s">
        <v>13845</v>
      </c>
      <c r="C3911" s="17" t="s">
        <v>13846</v>
      </c>
      <c r="D3911" s="19" t="s">
        <v>13847</v>
      </c>
      <c r="E3911" s="20" t="s">
        <v>104</v>
      </c>
      <c r="F3911" s="21">
        <v>33730.0</v>
      </c>
      <c r="G3911" s="14">
        <f t="shared" si="1"/>
        <v>34</v>
      </c>
      <c r="H3911" s="23" t="s">
        <v>26</v>
      </c>
      <c r="I3911" s="24" t="s">
        <v>27</v>
      </c>
      <c r="J3911" s="19" t="s">
        <v>68</v>
      </c>
      <c r="K3911" s="14">
        <v>31.0</v>
      </c>
      <c r="L3911" s="14">
        <v>0.0</v>
      </c>
      <c r="M3911" s="25"/>
      <c r="N3911" s="26" t="s">
        <v>21</v>
      </c>
      <c r="O3911" s="7"/>
      <c r="P3911" s="7"/>
      <c r="Q3911" s="7"/>
      <c r="R3911" s="7"/>
      <c r="S3911" s="7"/>
      <c r="T3911" s="7"/>
      <c r="U3911" s="7"/>
      <c r="V3911" s="7"/>
      <c r="W3911" s="7"/>
      <c r="X3911" s="7"/>
      <c r="Y3911" s="7"/>
    </row>
    <row r="3912">
      <c r="A3912" s="14" t="s">
        <v>13848</v>
      </c>
      <c r="B3912" s="17" t="s">
        <v>13845</v>
      </c>
      <c r="C3912" s="17" t="s">
        <v>13849</v>
      </c>
      <c r="D3912" s="19" t="s">
        <v>13850</v>
      </c>
      <c r="E3912" s="20" t="s">
        <v>5125</v>
      </c>
      <c r="F3912" s="21">
        <v>29589.0</v>
      </c>
      <c r="G3912" s="14">
        <f t="shared" si="1"/>
        <v>45</v>
      </c>
      <c r="H3912" s="23" t="s">
        <v>26</v>
      </c>
      <c r="I3912" s="24" t="s">
        <v>33</v>
      </c>
      <c r="J3912" s="19" t="s">
        <v>68</v>
      </c>
      <c r="K3912" s="14">
        <v>31.0</v>
      </c>
      <c r="L3912" s="14">
        <v>5.0</v>
      </c>
      <c r="M3912" s="25"/>
      <c r="N3912" s="26" t="s">
        <v>21</v>
      </c>
      <c r="O3912" s="7"/>
      <c r="P3912" s="7"/>
      <c r="Q3912" s="7"/>
      <c r="R3912" s="7"/>
      <c r="S3912" s="7"/>
      <c r="T3912" s="7"/>
      <c r="U3912" s="7"/>
      <c r="V3912" s="7"/>
      <c r="W3912" s="7"/>
      <c r="X3912" s="7"/>
      <c r="Y3912" s="7"/>
    </row>
    <row r="3913">
      <c r="A3913" s="14" t="s">
        <v>13851</v>
      </c>
      <c r="B3913" s="17" t="s">
        <v>13852</v>
      </c>
      <c r="C3913" s="17" t="s">
        <v>13853</v>
      </c>
      <c r="D3913" s="19" t="s">
        <v>13854</v>
      </c>
      <c r="E3913" s="20" t="s">
        <v>391</v>
      </c>
      <c r="F3913" s="21">
        <v>38927.0</v>
      </c>
      <c r="G3913" s="14">
        <f t="shared" si="1"/>
        <v>20</v>
      </c>
      <c r="H3913" s="23" t="s">
        <v>26</v>
      </c>
      <c r="I3913" s="24" t="s">
        <v>33</v>
      </c>
      <c r="J3913" s="19" t="s">
        <v>58</v>
      </c>
      <c r="K3913" s="14">
        <v>36.0</v>
      </c>
      <c r="L3913" s="14">
        <v>0.0</v>
      </c>
      <c r="M3913" s="25"/>
      <c r="N3913" s="26" t="s">
        <v>21</v>
      </c>
      <c r="O3913" s="7"/>
      <c r="P3913" s="7"/>
      <c r="Q3913" s="7"/>
      <c r="R3913" s="7"/>
      <c r="S3913" s="7"/>
      <c r="T3913" s="7"/>
      <c r="U3913" s="7"/>
      <c r="V3913" s="7"/>
      <c r="W3913" s="7"/>
      <c r="X3913" s="7"/>
      <c r="Y3913" s="7"/>
    </row>
    <row r="3914">
      <c r="A3914" s="14" t="s">
        <v>13855</v>
      </c>
      <c r="B3914" s="17" t="s">
        <v>13852</v>
      </c>
      <c r="C3914" s="17" t="s">
        <v>13856</v>
      </c>
      <c r="D3914" s="19" t="s">
        <v>13857</v>
      </c>
      <c r="E3914" s="20" t="s">
        <v>13858</v>
      </c>
      <c r="F3914" s="21">
        <v>38612.0</v>
      </c>
      <c r="G3914" s="14">
        <f t="shared" si="1"/>
        <v>21</v>
      </c>
      <c r="H3914" s="23" t="s">
        <v>26</v>
      </c>
      <c r="I3914" s="24" t="s">
        <v>27</v>
      </c>
      <c r="J3914" s="19" t="s">
        <v>58</v>
      </c>
      <c r="K3914" s="14">
        <v>36.0</v>
      </c>
      <c r="L3914" s="14">
        <v>0.0</v>
      </c>
      <c r="M3914" s="25"/>
      <c r="N3914" s="26" t="s">
        <v>21</v>
      </c>
      <c r="O3914" s="7"/>
      <c r="P3914" s="7"/>
      <c r="Q3914" s="7"/>
      <c r="R3914" s="7"/>
      <c r="S3914" s="7"/>
      <c r="T3914" s="7"/>
      <c r="U3914" s="7"/>
      <c r="V3914" s="7"/>
      <c r="W3914" s="7"/>
      <c r="X3914" s="7"/>
      <c r="Y3914" s="7"/>
    </row>
    <row r="3915">
      <c r="A3915" s="14" t="s">
        <v>13859</v>
      </c>
      <c r="B3915" s="17" t="s">
        <v>13860</v>
      </c>
      <c r="C3915" s="17" t="s">
        <v>13861</v>
      </c>
      <c r="D3915" s="19" t="s">
        <v>13862</v>
      </c>
      <c r="E3915" s="20" t="s">
        <v>104</v>
      </c>
      <c r="F3915" s="21">
        <v>36589.0</v>
      </c>
      <c r="G3915" s="14">
        <f t="shared" si="1"/>
        <v>26</v>
      </c>
      <c r="H3915" s="23" t="s">
        <v>100</v>
      </c>
      <c r="I3915" s="24" t="s">
        <v>33</v>
      </c>
      <c r="J3915" s="19" t="s">
        <v>8413</v>
      </c>
      <c r="K3915" s="14">
        <v>32.0</v>
      </c>
      <c r="L3915" s="14">
        <v>0.0</v>
      </c>
      <c r="M3915" s="25"/>
      <c r="N3915" s="26" t="s">
        <v>21</v>
      </c>
      <c r="O3915" s="7"/>
      <c r="P3915" s="7"/>
      <c r="Q3915" s="7"/>
      <c r="R3915" s="7"/>
      <c r="S3915" s="7"/>
      <c r="T3915" s="7"/>
      <c r="U3915" s="7"/>
      <c r="V3915" s="7"/>
      <c r="W3915" s="7"/>
      <c r="X3915" s="7"/>
      <c r="Y3915" s="7"/>
    </row>
    <row r="3916">
      <c r="A3916" s="14" t="s">
        <v>13863</v>
      </c>
      <c r="B3916" s="17" t="s">
        <v>13864</v>
      </c>
      <c r="C3916" s="17" t="s">
        <v>13865</v>
      </c>
      <c r="D3916" s="19" t="s">
        <v>13866</v>
      </c>
      <c r="E3916" s="20" t="s">
        <v>104</v>
      </c>
      <c r="F3916" s="21">
        <v>29755.0</v>
      </c>
      <c r="G3916" s="14">
        <f t="shared" si="1"/>
        <v>45</v>
      </c>
      <c r="H3916" s="23" t="s">
        <v>26</v>
      </c>
      <c r="I3916" s="24" t="s">
        <v>33</v>
      </c>
      <c r="J3916" s="19" t="s">
        <v>53</v>
      </c>
      <c r="K3916" s="14">
        <v>5.0</v>
      </c>
      <c r="L3916" s="14">
        <v>0.0</v>
      </c>
      <c r="M3916" s="25"/>
      <c r="N3916" s="26" t="s">
        <v>21</v>
      </c>
      <c r="O3916" s="7"/>
      <c r="P3916" s="7"/>
      <c r="Q3916" s="7"/>
      <c r="R3916" s="7"/>
      <c r="S3916" s="7"/>
      <c r="T3916" s="7"/>
      <c r="U3916" s="7"/>
      <c r="V3916" s="7"/>
      <c r="W3916" s="7"/>
      <c r="X3916" s="7"/>
      <c r="Y3916" s="7"/>
    </row>
    <row r="3917">
      <c r="A3917" s="14" t="s">
        <v>13867</v>
      </c>
      <c r="B3917" s="17" t="s">
        <v>13864</v>
      </c>
      <c r="C3917" s="17" t="s">
        <v>13868</v>
      </c>
      <c r="D3917" s="19" t="s">
        <v>13869</v>
      </c>
      <c r="E3917" s="20" t="s">
        <v>666</v>
      </c>
      <c r="F3917" s="21">
        <v>31194.0</v>
      </c>
      <c r="G3917" s="14">
        <f t="shared" si="1"/>
        <v>41</v>
      </c>
      <c r="H3917" s="23" t="s">
        <v>26</v>
      </c>
      <c r="I3917" s="24" t="s">
        <v>27</v>
      </c>
      <c r="J3917" s="19" t="s">
        <v>53</v>
      </c>
      <c r="K3917" s="14">
        <v>5.0</v>
      </c>
      <c r="L3917" s="14">
        <v>0.0</v>
      </c>
      <c r="M3917" s="25"/>
      <c r="N3917" s="26" t="s">
        <v>21</v>
      </c>
      <c r="O3917" s="7"/>
      <c r="P3917" s="7"/>
      <c r="Q3917" s="7"/>
      <c r="R3917" s="7"/>
      <c r="S3917" s="7"/>
      <c r="T3917" s="7"/>
      <c r="U3917" s="7"/>
      <c r="V3917" s="7"/>
      <c r="W3917" s="7"/>
      <c r="X3917" s="7"/>
      <c r="Y3917" s="7"/>
    </row>
    <row r="3918">
      <c r="A3918" s="14" t="s">
        <v>13870</v>
      </c>
      <c r="B3918" s="17" t="s">
        <v>13864</v>
      </c>
      <c r="C3918" s="17" t="s">
        <v>13871</v>
      </c>
      <c r="D3918" s="19" t="s">
        <v>13872</v>
      </c>
      <c r="E3918" s="20" t="s">
        <v>876</v>
      </c>
      <c r="F3918" s="21">
        <v>38523.0</v>
      </c>
      <c r="G3918" s="14">
        <f t="shared" si="1"/>
        <v>21</v>
      </c>
      <c r="H3918" s="23" t="s">
        <v>100</v>
      </c>
      <c r="I3918" s="24" t="s">
        <v>27</v>
      </c>
      <c r="J3918" s="19" t="s">
        <v>53</v>
      </c>
      <c r="K3918" s="14">
        <v>5.0</v>
      </c>
      <c r="L3918" s="14">
        <v>0.0</v>
      </c>
      <c r="M3918" s="25"/>
      <c r="N3918" s="26" t="s">
        <v>21</v>
      </c>
      <c r="O3918" s="7"/>
      <c r="P3918" s="7"/>
      <c r="Q3918" s="7"/>
      <c r="R3918" s="7"/>
      <c r="S3918" s="7"/>
      <c r="T3918" s="7"/>
      <c r="U3918" s="7"/>
      <c r="V3918" s="7"/>
      <c r="W3918" s="7"/>
      <c r="X3918" s="7"/>
      <c r="Y3918" s="7"/>
    </row>
    <row r="3919">
      <c r="A3919" s="14" t="s">
        <v>13873</v>
      </c>
      <c r="B3919" s="17" t="s">
        <v>13874</v>
      </c>
      <c r="C3919" s="17" t="s">
        <v>13875</v>
      </c>
      <c r="D3919" s="19" t="s">
        <v>11252</v>
      </c>
      <c r="E3919" s="20" t="s">
        <v>654</v>
      </c>
      <c r="F3919" s="21">
        <v>24332.0</v>
      </c>
      <c r="G3919" s="14">
        <f t="shared" si="1"/>
        <v>60</v>
      </c>
      <c r="H3919" s="23" t="s">
        <v>26</v>
      </c>
      <c r="I3919" s="24" t="s">
        <v>33</v>
      </c>
      <c r="J3919" s="19" t="s">
        <v>517</v>
      </c>
      <c r="K3919" s="14">
        <v>5.0</v>
      </c>
      <c r="L3919" s="14">
        <v>0.0</v>
      </c>
      <c r="M3919" s="25"/>
      <c r="N3919" s="26" t="s">
        <v>21</v>
      </c>
      <c r="O3919" s="7"/>
      <c r="P3919" s="7"/>
      <c r="Q3919" s="7"/>
      <c r="R3919" s="7"/>
      <c r="S3919" s="7"/>
      <c r="T3919" s="7"/>
      <c r="U3919" s="7"/>
      <c r="V3919" s="7"/>
      <c r="W3919" s="7"/>
      <c r="X3919" s="7"/>
      <c r="Y3919" s="7"/>
    </row>
    <row r="3920">
      <c r="A3920" s="14" t="s">
        <v>13876</v>
      </c>
      <c r="B3920" s="17" t="s">
        <v>13874</v>
      </c>
      <c r="C3920" s="17" t="s">
        <v>13877</v>
      </c>
      <c r="D3920" s="19" t="s">
        <v>4488</v>
      </c>
      <c r="E3920" s="20" t="s">
        <v>210</v>
      </c>
      <c r="F3920" s="21">
        <v>27518.0</v>
      </c>
      <c r="G3920" s="14">
        <f t="shared" si="1"/>
        <v>51</v>
      </c>
      <c r="H3920" s="23" t="s">
        <v>26</v>
      </c>
      <c r="I3920" s="24" t="s">
        <v>27</v>
      </c>
      <c r="J3920" s="19" t="s">
        <v>517</v>
      </c>
      <c r="K3920" s="14">
        <v>5.0</v>
      </c>
      <c r="L3920" s="14">
        <v>0.0</v>
      </c>
      <c r="M3920" s="25"/>
      <c r="N3920" s="26" t="s">
        <v>21</v>
      </c>
      <c r="O3920" s="7"/>
      <c r="P3920" s="7"/>
      <c r="Q3920" s="7"/>
      <c r="R3920" s="7"/>
      <c r="S3920" s="7"/>
      <c r="T3920" s="7"/>
      <c r="U3920" s="7"/>
      <c r="V3920" s="7"/>
      <c r="W3920" s="7"/>
      <c r="X3920" s="7"/>
      <c r="Y3920" s="7"/>
    </row>
    <row r="3921">
      <c r="A3921" s="14" t="s">
        <v>13878</v>
      </c>
      <c r="B3921" s="17" t="s">
        <v>13879</v>
      </c>
      <c r="C3921" s="17" t="s">
        <v>13880</v>
      </c>
      <c r="D3921" s="19" t="s">
        <v>13881</v>
      </c>
      <c r="E3921" s="20" t="s">
        <v>654</v>
      </c>
      <c r="F3921" s="21">
        <v>25766.0</v>
      </c>
      <c r="G3921" s="14">
        <f t="shared" si="1"/>
        <v>56</v>
      </c>
      <c r="H3921" s="23" t="s">
        <v>26</v>
      </c>
      <c r="I3921" s="24" t="s">
        <v>33</v>
      </c>
      <c r="J3921" s="19" t="s">
        <v>53</v>
      </c>
      <c r="K3921" s="14">
        <v>36.0</v>
      </c>
      <c r="L3921" s="14">
        <v>0.0</v>
      </c>
      <c r="M3921" s="25"/>
      <c r="N3921" s="26" t="s">
        <v>21</v>
      </c>
      <c r="O3921" s="7"/>
      <c r="P3921" s="7"/>
      <c r="Q3921" s="7"/>
      <c r="R3921" s="7"/>
      <c r="S3921" s="7"/>
      <c r="T3921" s="7"/>
      <c r="U3921" s="7"/>
      <c r="V3921" s="7"/>
      <c r="W3921" s="7"/>
      <c r="X3921" s="7"/>
      <c r="Y3921" s="7"/>
    </row>
    <row r="3922">
      <c r="A3922" s="14" t="s">
        <v>13882</v>
      </c>
      <c r="B3922" s="17" t="s">
        <v>13879</v>
      </c>
      <c r="C3922" s="17" t="s">
        <v>13883</v>
      </c>
      <c r="D3922" s="19" t="s">
        <v>13884</v>
      </c>
      <c r="E3922" s="20" t="s">
        <v>104</v>
      </c>
      <c r="F3922" s="21">
        <v>29419.0</v>
      </c>
      <c r="G3922" s="14">
        <f t="shared" si="1"/>
        <v>46</v>
      </c>
      <c r="H3922" s="23" t="s">
        <v>26</v>
      </c>
      <c r="I3922" s="24" t="s">
        <v>27</v>
      </c>
      <c r="J3922" s="19" t="s">
        <v>53</v>
      </c>
      <c r="K3922" s="14">
        <v>36.0</v>
      </c>
      <c r="L3922" s="14">
        <v>0.0</v>
      </c>
      <c r="M3922" s="25"/>
      <c r="N3922" s="26" t="s">
        <v>21</v>
      </c>
      <c r="O3922" s="7"/>
      <c r="P3922" s="7"/>
      <c r="Q3922" s="7"/>
      <c r="R3922" s="7"/>
      <c r="S3922" s="7"/>
      <c r="T3922" s="7"/>
      <c r="U3922" s="7"/>
      <c r="V3922" s="7"/>
      <c r="W3922" s="7"/>
      <c r="X3922" s="7"/>
      <c r="Y3922" s="7"/>
    </row>
    <row r="3923">
      <c r="A3923" s="14" t="s">
        <v>13885</v>
      </c>
      <c r="B3923" s="17" t="s">
        <v>13879</v>
      </c>
      <c r="C3923" s="17" t="s">
        <v>13886</v>
      </c>
      <c r="D3923" s="19" t="s">
        <v>13887</v>
      </c>
      <c r="E3923" s="20" t="s">
        <v>104</v>
      </c>
      <c r="F3923" s="27">
        <v>38635.0</v>
      </c>
      <c r="G3923" s="14">
        <f t="shared" si="1"/>
        <v>21</v>
      </c>
      <c r="H3923" s="23" t="s">
        <v>100</v>
      </c>
      <c r="I3923" s="24" t="s">
        <v>33</v>
      </c>
      <c r="J3923" s="19" t="s">
        <v>53</v>
      </c>
      <c r="K3923" s="14">
        <v>36.0</v>
      </c>
      <c r="L3923" s="14">
        <v>0.0</v>
      </c>
      <c r="M3923" s="25"/>
      <c r="N3923" s="26" t="s">
        <v>21</v>
      </c>
      <c r="O3923" s="7"/>
      <c r="P3923" s="7"/>
      <c r="Q3923" s="7"/>
      <c r="R3923" s="7"/>
      <c r="S3923" s="7"/>
      <c r="T3923" s="7"/>
      <c r="U3923" s="7"/>
      <c r="V3923" s="7"/>
      <c r="W3923" s="7"/>
      <c r="X3923" s="7"/>
      <c r="Y3923" s="7"/>
    </row>
    <row r="3924">
      <c r="A3924" s="14" t="s">
        <v>13888</v>
      </c>
      <c r="B3924" s="17" t="s">
        <v>13889</v>
      </c>
      <c r="C3924" s="17" t="s">
        <v>13890</v>
      </c>
      <c r="D3924" s="19" t="s">
        <v>5367</v>
      </c>
      <c r="E3924" s="20" t="s">
        <v>650</v>
      </c>
      <c r="F3924" s="21">
        <v>23447.0</v>
      </c>
      <c r="G3924" s="14">
        <f t="shared" si="1"/>
        <v>62</v>
      </c>
      <c r="H3924" s="23" t="s">
        <v>26</v>
      </c>
      <c r="I3924" s="24" t="s">
        <v>27</v>
      </c>
      <c r="J3924" s="19" t="s">
        <v>53</v>
      </c>
      <c r="K3924" s="14">
        <v>5.0</v>
      </c>
      <c r="L3924" s="14">
        <v>0.0</v>
      </c>
      <c r="M3924" s="25"/>
      <c r="N3924" s="26" t="s">
        <v>21</v>
      </c>
      <c r="O3924" s="7"/>
      <c r="P3924" s="7"/>
      <c r="Q3924" s="7"/>
      <c r="R3924" s="7"/>
      <c r="S3924" s="7"/>
      <c r="T3924" s="7"/>
      <c r="U3924" s="7"/>
      <c r="V3924" s="7"/>
      <c r="W3924" s="7"/>
      <c r="X3924" s="7"/>
      <c r="Y3924" s="7"/>
    </row>
    <row r="3925">
      <c r="A3925" s="14" t="s">
        <v>13891</v>
      </c>
      <c r="B3925" s="17" t="s">
        <v>13889</v>
      </c>
      <c r="C3925" s="17" t="s">
        <v>13892</v>
      </c>
      <c r="D3925" s="19" t="s">
        <v>13893</v>
      </c>
      <c r="E3925" s="20" t="s">
        <v>650</v>
      </c>
      <c r="F3925" s="21">
        <v>22098.0</v>
      </c>
      <c r="G3925" s="14">
        <f t="shared" si="1"/>
        <v>66</v>
      </c>
      <c r="H3925" s="23" t="s">
        <v>26</v>
      </c>
      <c r="I3925" s="24" t="s">
        <v>33</v>
      </c>
      <c r="J3925" s="19" t="s">
        <v>53</v>
      </c>
      <c r="K3925" s="14">
        <v>5.0</v>
      </c>
      <c r="L3925" s="14">
        <v>0.0</v>
      </c>
      <c r="M3925" s="25"/>
      <c r="N3925" s="26" t="s">
        <v>21</v>
      </c>
      <c r="O3925" s="7"/>
      <c r="P3925" s="7"/>
      <c r="Q3925" s="7"/>
      <c r="R3925" s="7"/>
      <c r="S3925" s="7"/>
      <c r="T3925" s="7"/>
      <c r="U3925" s="7"/>
      <c r="V3925" s="7"/>
      <c r="W3925" s="7"/>
      <c r="X3925" s="7"/>
      <c r="Y3925" s="7"/>
    </row>
    <row r="3926">
      <c r="A3926" s="14" t="s">
        <v>13894</v>
      </c>
      <c r="B3926" s="17" t="s">
        <v>13895</v>
      </c>
      <c r="C3926" s="17" t="s">
        <v>13896</v>
      </c>
      <c r="D3926" s="19" t="s">
        <v>13897</v>
      </c>
      <c r="E3926" s="20" t="s">
        <v>1095</v>
      </c>
      <c r="F3926" s="27">
        <v>37235.0</v>
      </c>
      <c r="G3926" s="14">
        <f t="shared" si="1"/>
        <v>24</v>
      </c>
      <c r="H3926" s="23" t="s">
        <v>100</v>
      </c>
      <c r="I3926" s="24" t="s">
        <v>27</v>
      </c>
      <c r="J3926" s="19" t="s">
        <v>53</v>
      </c>
      <c r="K3926" s="14">
        <v>5.0</v>
      </c>
      <c r="L3926" s="14">
        <v>0.0</v>
      </c>
      <c r="M3926" s="25"/>
      <c r="N3926" s="26" t="s">
        <v>21</v>
      </c>
      <c r="O3926" s="7"/>
      <c r="P3926" s="7"/>
      <c r="Q3926" s="7"/>
      <c r="R3926" s="7"/>
      <c r="S3926" s="7"/>
      <c r="T3926" s="7"/>
      <c r="U3926" s="7"/>
      <c r="V3926" s="7"/>
      <c r="W3926" s="7"/>
      <c r="X3926" s="7"/>
      <c r="Y3926" s="7"/>
    </row>
    <row r="3927">
      <c r="A3927" s="14" t="s">
        <v>13898</v>
      </c>
      <c r="B3927" s="17" t="s">
        <v>13895</v>
      </c>
      <c r="C3927" s="17" t="s">
        <v>13899</v>
      </c>
      <c r="D3927" s="19" t="s">
        <v>13900</v>
      </c>
      <c r="E3927" s="20" t="s">
        <v>104</v>
      </c>
      <c r="F3927" s="21">
        <v>29419.0</v>
      </c>
      <c r="G3927" s="14">
        <f t="shared" si="1"/>
        <v>46</v>
      </c>
      <c r="H3927" s="23" t="s">
        <v>26</v>
      </c>
      <c r="I3927" s="24" t="s">
        <v>27</v>
      </c>
      <c r="J3927" s="19" t="s">
        <v>53</v>
      </c>
      <c r="K3927" s="14">
        <v>5.0</v>
      </c>
      <c r="L3927" s="14">
        <v>0.0</v>
      </c>
      <c r="M3927" s="25"/>
      <c r="N3927" s="26" t="s">
        <v>21</v>
      </c>
      <c r="O3927" s="7"/>
      <c r="P3927" s="7"/>
      <c r="Q3927" s="7"/>
      <c r="R3927" s="7"/>
      <c r="S3927" s="7"/>
      <c r="T3927" s="7"/>
      <c r="U3927" s="7"/>
      <c r="V3927" s="7"/>
      <c r="W3927" s="7"/>
      <c r="X3927" s="7"/>
      <c r="Y3927" s="7"/>
    </row>
    <row r="3928">
      <c r="A3928" s="14" t="s">
        <v>13901</v>
      </c>
      <c r="B3928" s="17" t="s">
        <v>13895</v>
      </c>
      <c r="C3928" s="17" t="s">
        <v>13902</v>
      </c>
      <c r="D3928" s="19" t="s">
        <v>6748</v>
      </c>
      <c r="E3928" s="20" t="s">
        <v>104</v>
      </c>
      <c r="F3928" s="27">
        <v>28440.0</v>
      </c>
      <c r="G3928" s="14">
        <f t="shared" si="1"/>
        <v>48</v>
      </c>
      <c r="H3928" s="23" t="s">
        <v>26</v>
      </c>
      <c r="I3928" s="24" t="s">
        <v>33</v>
      </c>
      <c r="J3928" s="19" t="s">
        <v>53</v>
      </c>
      <c r="K3928" s="14">
        <v>5.0</v>
      </c>
      <c r="L3928" s="14">
        <v>0.0</v>
      </c>
      <c r="M3928" s="25"/>
      <c r="N3928" s="26" t="s">
        <v>21</v>
      </c>
      <c r="O3928" s="7"/>
      <c r="P3928" s="7"/>
      <c r="Q3928" s="7"/>
      <c r="R3928" s="7"/>
      <c r="S3928" s="7"/>
      <c r="T3928" s="7"/>
      <c r="U3928" s="7"/>
      <c r="V3928" s="7"/>
      <c r="W3928" s="7"/>
      <c r="X3928" s="7"/>
      <c r="Y3928" s="7"/>
    </row>
    <row r="3929">
      <c r="A3929" s="14" t="s">
        <v>13903</v>
      </c>
      <c r="B3929" s="17" t="s">
        <v>13904</v>
      </c>
      <c r="C3929" s="17" t="s">
        <v>13905</v>
      </c>
      <c r="D3929" s="19" t="s">
        <v>13906</v>
      </c>
      <c r="E3929" s="20" t="s">
        <v>53</v>
      </c>
      <c r="F3929" s="21">
        <v>33940.0</v>
      </c>
      <c r="G3929" s="14">
        <f t="shared" si="1"/>
        <v>33</v>
      </c>
      <c r="H3929" s="23" t="s">
        <v>26</v>
      </c>
      <c r="I3929" s="24" t="s">
        <v>33</v>
      </c>
      <c r="J3929" s="19" t="s">
        <v>282</v>
      </c>
      <c r="K3929" s="14">
        <v>12.0</v>
      </c>
      <c r="L3929" s="14">
        <v>0.0</v>
      </c>
      <c r="M3929" s="25"/>
      <c r="N3929" s="26" t="s">
        <v>21</v>
      </c>
      <c r="O3929" s="7"/>
      <c r="P3929" s="7"/>
      <c r="Q3929" s="7"/>
      <c r="R3929" s="7"/>
      <c r="S3929" s="7"/>
      <c r="T3929" s="7"/>
      <c r="U3929" s="7"/>
      <c r="V3929" s="7"/>
      <c r="W3929" s="7"/>
      <c r="X3929" s="7"/>
      <c r="Y3929" s="7"/>
    </row>
    <row r="3930">
      <c r="A3930" s="14" t="s">
        <v>13907</v>
      </c>
      <c r="B3930" s="17" t="s">
        <v>13904</v>
      </c>
      <c r="C3930" s="17" t="s">
        <v>13908</v>
      </c>
      <c r="D3930" s="19" t="s">
        <v>7668</v>
      </c>
      <c r="E3930" s="20" t="s">
        <v>104</v>
      </c>
      <c r="F3930" s="27">
        <v>35747.0</v>
      </c>
      <c r="G3930" s="14">
        <f t="shared" si="1"/>
        <v>28</v>
      </c>
      <c r="H3930" s="23" t="s">
        <v>26</v>
      </c>
      <c r="I3930" s="24" t="s">
        <v>27</v>
      </c>
      <c r="J3930" s="19" t="s">
        <v>282</v>
      </c>
      <c r="K3930" s="14">
        <v>12.0</v>
      </c>
      <c r="L3930" s="14">
        <v>0.0</v>
      </c>
      <c r="M3930" s="25"/>
      <c r="N3930" s="26" t="s">
        <v>21</v>
      </c>
      <c r="O3930" s="7"/>
      <c r="P3930" s="7"/>
      <c r="Q3930" s="7"/>
      <c r="R3930" s="7"/>
      <c r="S3930" s="7"/>
      <c r="T3930" s="7"/>
      <c r="U3930" s="7"/>
      <c r="V3930" s="7"/>
      <c r="W3930" s="7"/>
      <c r="X3930" s="7"/>
      <c r="Y3930" s="7"/>
    </row>
    <row r="3931">
      <c r="A3931" s="14" t="s">
        <v>13909</v>
      </c>
      <c r="B3931" s="17" t="s">
        <v>13910</v>
      </c>
      <c r="C3931" s="17" t="s">
        <v>13911</v>
      </c>
      <c r="D3931" s="19" t="s">
        <v>13912</v>
      </c>
      <c r="E3931" s="20" t="s">
        <v>624</v>
      </c>
      <c r="F3931" s="21">
        <v>21961.0</v>
      </c>
      <c r="G3931" s="14">
        <f t="shared" si="1"/>
        <v>66</v>
      </c>
      <c r="H3931" s="23" t="s">
        <v>27</v>
      </c>
      <c r="I3931" s="24" t="s">
        <v>27</v>
      </c>
      <c r="J3931" s="19" t="s">
        <v>282</v>
      </c>
      <c r="K3931" s="14">
        <v>12.0</v>
      </c>
      <c r="L3931" s="14">
        <v>1.0</v>
      </c>
      <c r="M3931" s="25"/>
      <c r="N3931" s="26" t="s">
        <v>21</v>
      </c>
      <c r="O3931" s="7"/>
      <c r="P3931" s="7"/>
      <c r="Q3931" s="7"/>
      <c r="R3931" s="7"/>
      <c r="S3931" s="7"/>
      <c r="T3931" s="7"/>
      <c r="U3931" s="7"/>
      <c r="V3931" s="7"/>
      <c r="W3931" s="7"/>
      <c r="X3931" s="7"/>
      <c r="Y3931" s="7"/>
    </row>
    <row r="3932">
      <c r="A3932" s="14" t="s">
        <v>13913</v>
      </c>
      <c r="B3932" s="17" t="s">
        <v>13914</v>
      </c>
      <c r="C3932" s="17" t="s">
        <v>13915</v>
      </c>
      <c r="D3932" s="19" t="s">
        <v>13916</v>
      </c>
      <c r="E3932" s="20" t="s">
        <v>104</v>
      </c>
      <c r="F3932" s="27">
        <v>32126.0</v>
      </c>
      <c r="G3932" s="14">
        <f t="shared" si="1"/>
        <v>38</v>
      </c>
      <c r="H3932" s="23" t="s">
        <v>27</v>
      </c>
      <c r="I3932" s="24" t="s">
        <v>27</v>
      </c>
      <c r="J3932" s="19" t="s">
        <v>146</v>
      </c>
      <c r="K3932" s="14">
        <v>10.0</v>
      </c>
      <c r="L3932" s="14">
        <v>0.0</v>
      </c>
      <c r="M3932" s="25"/>
      <c r="N3932" s="26" t="s">
        <v>21</v>
      </c>
      <c r="O3932" s="7"/>
      <c r="P3932" s="7"/>
      <c r="Q3932" s="7"/>
      <c r="R3932" s="7"/>
      <c r="S3932" s="7"/>
      <c r="T3932" s="7"/>
      <c r="U3932" s="7"/>
      <c r="V3932" s="7"/>
      <c r="W3932" s="7"/>
      <c r="X3932" s="7"/>
      <c r="Y3932" s="7"/>
    </row>
    <row r="3933">
      <c r="A3933" s="14" t="s">
        <v>13917</v>
      </c>
      <c r="B3933" s="17" t="s">
        <v>13918</v>
      </c>
      <c r="C3933" s="17" t="s">
        <v>13919</v>
      </c>
      <c r="D3933" s="19" t="s">
        <v>13920</v>
      </c>
      <c r="E3933" s="20" t="s">
        <v>274</v>
      </c>
      <c r="F3933" s="21">
        <v>27995.0</v>
      </c>
      <c r="G3933" s="14">
        <f t="shared" si="1"/>
        <v>50</v>
      </c>
      <c r="H3933" s="23" t="s">
        <v>26</v>
      </c>
      <c r="I3933" s="24" t="s">
        <v>27</v>
      </c>
      <c r="J3933" s="19" t="s">
        <v>726</v>
      </c>
      <c r="K3933" s="14">
        <v>15.0</v>
      </c>
      <c r="L3933" s="14">
        <v>0.0</v>
      </c>
      <c r="M3933" s="25"/>
      <c r="N3933" s="26" t="s">
        <v>21</v>
      </c>
      <c r="O3933" s="7"/>
      <c r="P3933" s="7"/>
      <c r="Q3933" s="7"/>
      <c r="R3933" s="7"/>
      <c r="S3933" s="7"/>
      <c r="T3933" s="7"/>
      <c r="U3933" s="7"/>
      <c r="V3933" s="7"/>
      <c r="W3933" s="7"/>
      <c r="X3933" s="7"/>
      <c r="Y3933" s="7"/>
    </row>
    <row r="3934">
      <c r="A3934" s="14" t="s">
        <v>13921</v>
      </c>
      <c r="B3934" s="17" t="s">
        <v>13918</v>
      </c>
      <c r="C3934" s="17" t="s">
        <v>13922</v>
      </c>
      <c r="D3934" s="19" t="s">
        <v>13923</v>
      </c>
      <c r="E3934" s="20" t="s">
        <v>104</v>
      </c>
      <c r="F3934" s="21">
        <v>36966.0</v>
      </c>
      <c r="G3934" s="14">
        <f t="shared" si="1"/>
        <v>25</v>
      </c>
      <c r="H3934" s="23" t="s">
        <v>100</v>
      </c>
      <c r="I3934" s="24" t="s">
        <v>33</v>
      </c>
      <c r="J3934" s="19" t="s">
        <v>726</v>
      </c>
      <c r="K3934" s="14">
        <v>15.0</v>
      </c>
      <c r="L3934" s="14">
        <v>0.0</v>
      </c>
      <c r="M3934" s="25"/>
      <c r="N3934" s="26" t="s">
        <v>21</v>
      </c>
      <c r="O3934" s="7"/>
      <c r="P3934" s="7"/>
      <c r="Q3934" s="7"/>
      <c r="R3934" s="7"/>
      <c r="S3934" s="7"/>
      <c r="T3934" s="7"/>
      <c r="U3934" s="7"/>
      <c r="V3934" s="7"/>
      <c r="W3934" s="7"/>
      <c r="X3934" s="7"/>
      <c r="Y3934" s="7"/>
    </row>
    <row r="3935">
      <c r="A3935" s="14" t="s">
        <v>13924</v>
      </c>
      <c r="B3935" s="17" t="s">
        <v>13918</v>
      </c>
      <c r="C3935" s="17" t="s">
        <v>13925</v>
      </c>
      <c r="D3935" s="19" t="s">
        <v>13926</v>
      </c>
      <c r="E3935" s="20" t="s">
        <v>290</v>
      </c>
      <c r="F3935" s="21">
        <v>24547.0</v>
      </c>
      <c r="G3935" s="14">
        <f t="shared" si="1"/>
        <v>59</v>
      </c>
      <c r="H3935" s="23" t="s">
        <v>26</v>
      </c>
      <c r="I3935" s="24" t="s">
        <v>33</v>
      </c>
      <c r="J3935" s="19" t="s">
        <v>726</v>
      </c>
      <c r="K3935" s="14">
        <v>15.0</v>
      </c>
      <c r="L3935" s="14">
        <v>0.0</v>
      </c>
      <c r="M3935" s="25"/>
      <c r="N3935" s="26" t="s">
        <v>21</v>
      </c>
      <c r="O3935" s="7"/>
      <c r="P3935" s="7"/>
      <c r="Q3935" s="7"/>
      <c r="R3935" s="7"/>
      <c r="S3935" s="7"/>
      <c r="T3935" s="7"/>
      <c r="U3935" s="7"/>
      <c r="V3935" s="7"/>
      <c r="W3935" s="7"/>
      <c r="X3935" s="7"/>
      <c r="Y3935" s="7"/>
    </row>
    <row r="3936">
      <c r="A3936" s="14" t="s">
        <v>13927</v>
      </c>
      <c r="B3936" s="17" t="s">
        <v>13928</v>
      </c>
      <c r="C3936" s="17" t="s">
        <v>13929</v>
      </c>
      <c r="D3936" s="19" t="s">
        <v>13930</v>
      </c>
      <c r="E3936" s="20" t="s">
        <v>274</v>
      </c>
      <c r="F3936" s="21">
        <v>28620.0</v>
      </c>
      <c r="G3936" s="14">
        <f t="shared" si="1"/>
        <v>48</v>
      </c>
      <c r="H3936" s="23" t="s">
        <v>26</v>
      </c>
      <c r="I3936" s="24" t="s">
        <v>27</v>
      </c>
      <c r="J3936" s="19" t="s">
        <v>726</v>
      </c>
      <c r="K3936" s="14">
        <v>18.0</v>
      </c>
      <c r="L3936" s="14">
        <v>0.0</v>
      </c>
      <c r="M3936" s="25"/>
      <c r="N3936" s="26" t="s">
        <v>21</v>
      </c>
      <c r="O3936" s="7"/>
      <c r="P3936" s="7"/>
      <c r="Q3936" s="7"/>
      <c r="R3936" s="7"/>
      <c r="S3936" s="7"/>
      <c r="T3936" s="7"/>
      <c r="U3936" s="7"/>
      <c r="V3936" s="7"/>
      <c r="W3936" s="7"/>
      <c r="X3936" s="7"/>
      <c r="Y3936" s="7"/>
    </row>
    <row r="3937">
      <c r="A3937" s="14" t="s">
        <v>13931</v>
      </c>
      <c r="B3937" s="17" t="s">
        <v>13928</v>
      </c>
      <c r="C3937" s="17" t="s">
        <v>13932</v>
      </c>
      <c r="D3937" s="19" t="s">
        <v>13933</v>
      </c>
      <c r="E3937" s="20" t="s">
        <v>53</v>
      </c>
      <c r="F3937" s="27">
        <v>37183.0</v>
      </c>
      <c r="G3937" s="14">
        <f t="shared" si="1"/>
        <v>25</v>
      </c>
      <c r="H3937" s="23" t="s">
        <v>100</v>
      </c>
      <c r="I3937" s="24" t="s">
        <v>27</v>
      </c>
      <c r="J3937" s="19" t="s">
        <v>726</v>
      </c>
      <c r="K3937" s="14">
        <v>18.0</v>
      </c>
      <c r="L3937" s="14">
        <v>0.0</v>
      </c>
      <c r="M3937" s="25"/>
      <c r="N3937" s="26" t="s">
        <v>21</v>
      </c>
      <c r="O3937" s="7"/>
      <c r="P3937" s="7"/>
      <c r="Q3937" s="7"/>
      <c r="R3937" s="7"/>
      <c r="S3937" s="7"/>
      <c r="T3937" s="7"/>
      <c r="U3937" s="7"/>
      <c r="V3937" s="7"/>
      <c r="W3937" s="7"/>
      <c r="X3937" s="7"/>
      <c r="Y3937" s="7"/>
    </row>
    <row r="3938">
      <c r="A3938" s="14" t="s">
        <v>13934</v>
      </c>
      <c r="B3938" s="17" t="s">
        <v>13928</v>
      </c>
      <c r="C3938" s="17" t="s">
        <v>13935</v>
      </c>
      <c r="D3938" s="19" t="s">
        <v>13936</v>
      </c>
      <c r="E3938" s="20" t="s">
        <v>836</v>
      </c>
      <c r="F3938" s="21">
        <v>26722.0</v>
      </c>
      <c r="G3938" s="14">
        <f t="shared" si="1"/>
        <v>53</v>
      </c>
      <c r="H3938" s="23" t="s">
        <v>26</v>
      </c>
      <c r="I3938" s="24" t="s">
        <v>33</v>
      </c>
      <c r="J3938" s="19" t="s">
        <v>726</v>
      </c>
      <c r="K3938" s="14">
        <v>18.0</v>
      </c>
      <c r="L3938" s="14">
        <v>0.0</v>
      </c>
      <c r="M3938" s="25"/>
      <c r="N3938" s="26" t="s">
        <v>21</v>
      </c>
      <c r="O3938" s="7"/>
      <c r="P3938" s="7"/>
      <c r="Q3938" s="7"/>
      <c r="R3938" s="7"/>
      <c r="S3938" s="7"/>
      <c r="T3938" s="7"/>
      <c r="U3938" s="7"/>
      <c r="V3938" s="7"/>
      <c r="W3938" s="7"/>
      <c r="X3938" s="7"/>
      <c r="Y3938" s="7"/>
    </row>
    <row r="3939">
      <c r="A3939" s="14" t="s">
        <v>13937</v>
      </c>
      <c r="B3939" s="17" t="s">
        <v>13938</v>
      </c>
      <c r="C3939" s="17" t="s">
        <v>13939</v>
      </c>
      <c r="D3939" s="19" t="s">
        <v>13940</v>
      </c>
      <c r="E3939" s="20" t="s">
        <v>13414</v>
      </c>
      <c r="F3939" s="27">
        <v>29540.0</v>
      </c>
      <c r="G3939" s="14">
        <f t="shared" si="1"/>
        <v>45</v>
      </c>
      <c r="H3939" s="23" t="s">
        <v>26</v>
      </c>
      <c r="I3939" s="24" t="s">
        <v>27</v>
      </c>
      <c r="J3939" s="19" t="s">
        <v>282</v>
      </c>
      <c r="K3939" s="14">
        <v>18.0</v>
      </c>
      <c r="L3939" s="14">
        <v>0.0</v>
      </c>
      <c r="M3939" s="25"/>
      <c r="N3939" s="26" t="s">
        <v>21</v>
      </c>
      <c r="O3939" s="7"/>
      <c r="P3939" s="7"/>
      <c r="Q3939" s="7"/>
      <c r="R3939" s="7"/>
      <c r="S3939" s="7"/>
      <c r="T3939" s="7"/>
      <c r="U3939" s="7"/>
      <c r="V3939" s="7"/>
      <c r="W3939" s="7"/>
      <c r="X3939" s="7"/>
      <c r="Y3939" s="7"/>
    </row>
    <row r="3940">
      <c r="A3940" s="14" t="s">
        <v>13941</v>
      </c>
      <c r="B3940" s="17" t="s">
        <v>13938</v>
      </c>
      <c r="C3940" s="17" t="s">
        <v>13942</v>
      </c>
      <c r="D3940" s="19" t="s">
        <v>13943</v>
      </c>
      <c r="E3940" s="20" t="s">
        <v>274</v>
      </c>
      <c r="F3940" s="21">
        <v>30148.0</v>
      </c>
      <c r="G3940" s="14">
        <f t="shared" si="1"/>
        <v>44</v>
      </c>
      <c r="H3940" s="23" t="s">
        <v>26</v>
      </c>
      <c r="I3940" s="24" t="s">
        <v>33</v>
      </c>
      <c r="J3940" s="19" t="s">
        <v>282</v>
      </c>
      <c r="K3940" s="14">
        <v>18.0</v>
      </c>
      <c r="L3940" s="14">
        <v>0.0</v>
      </c>
      <c r="M3940" s="25"/>
      <c r="N3940" s="26" t="s">
        <v>21</v>
      </c>
      <c r="O3940" s="7"/>
      <c r="P3940" s="7"/>
      <c r="Q3940" s="7"/>
      <c r="R3940" s="7"/>
      <c r="S3940" s="7"/>
      <c r="T3940" s="7"/>
      <c r="U3940" s="7"/>
      <c r="V3940" s="7"/>
      <c r="W3940" s="7"/>
      <c r="X3940" s="7"/>
      <c r="Y3940" s="7"/>
    </row>
    <row r="3941">
      <c r="A3941" s="14" t="s">
        <v>13944</v>
      </c>
      <c r="B3941" s="17" t="s">
        <v>13945</v>
      </c>
      <c r="C3941" s="17" t="s">
        <v>13946</v>
      </c>
      <c r="D3941" s="19" t="s">
        <v>13947</v>
      </c>
      <c r="E3941" s="20" t="s">
        <v>654</v>
      </c>
      <c r="F3941" s="27">
        <v>27756.0</v>
      </c>
      <c r="G3941" s="14">
        <f t="shared" si="1"/>
        <v>50</v>
      </c>
      <c r="H3941" s="23" t="s">
        <v>26</v>
      </c>
      <c r="I3941" s="24" t="s">
        <v>27</v>
      </c>
      <c r="J3941" s="19" t="s">
        <v>146</v>
      </c>
      <c r="K3941" s="14">
        <v>28.0</v>
      </c>
      <c r="L3941" s="14">
        <v>0.0</v>
      </c>
      <c r="M3941" s="25"/>
      <c r="N3941" s="26" t="s">
        <v>21</v>
      </c>
      <c r="O3941" s="7"/>
      <c r="P3941" s="7"/>
      <c r="Q3941" s="7"/>
      <c r="R3941" s="7"/>
      <c r="S3941" s="7"/>
      <c r="T3941" s="7"/>
      <c r="U3941" s="7"/>
      <c r="V3941" s="7"/>
      <c r="W3941" s="7"/>
      <c r="X3941" s="7"/>
      <c r="Y3941" s="7"/>
    </row>
    <row r="3942">
      <c r="A3942" s="14" t="s">
        <v>13948</v>
      </c>
      <c r="B3942" s="17" t="s">
        <v>13945</v>
      </c>
      <c r="C3942" s="17" t="s">
        <v>13949</v>
      </c>
      <c r="D3942" s="19" t="s">
        <v>13950</v>
      </c>
      <c r="E3942" s="20" t="s">
        <v>880</v>
      </c>
      <c r="F3942" s="21">
        <v>16288.0</v>
      </c>
      <c r="G3942" s="14">
        <f t="shared" si="1"/>
        <v>82</v>
      </c>
      <c r="H3942" s="23" t="s">
        <v>26</v>
      </c>
      <c r="I3942" s="24" t="s">
        <v>33</v>
      </c>
      <c r="J3942" s="19" t="s">
        <v>146</v>
      </c>
      <c r="K3942" s="14">
        <v>28.0</v>
      </c>
      <c r="L3942" s="14">
        <v>1.0</v>
      </c>
      <c r="M3942" s="25"/>
      <c r="N3942" s="26" t="s">
        <v>21</v>
      </c>
      <c r="O3942" s="7"/>
      <c r="P3942" s="7"/>
      <c r="Q3942" s="7"/>
      <c r="R3942" s="7"/>
      <c r="S3942" s="7"/>
      <c r="T3942" s="7"/>
      <c r="U3942" s="7"/>
      <c r="V3942" s="7"/>
      <c r="W3942" s="7"/>
      <c r="X3942" s="7"/>
      <c r="Y3942" s="7"/>
    </row>
    <row r="3943">
      <c r="A3943" s="14" t="s">
        <v>13951</v>
      </c>
      <c r="B3943" s="17" t="s">
        <v>13952</v>
      </c>
      <c r="C3943" s="17" t="s">
        <v>13953</v>
      </c>
      <c r="D3943" s="19" t="s">
        <v>13954</v>
      </c>
      <c r="E3943" s="20" t="s">
        <v>104</v>
      </c>
      <c r="F3943" s="21">
        <v>32849.0</v>
      </c>
      <c r="G3943" s="14">
        <f t="shared" si="1"/>
        <v>36</v>
      </c>
      <c r="H3943" s="23" t="s">
        <v>26</v>
      </c>
      <c r="I3943" s="24" t="s">
        <v>27</v>
      </c>
      <c r="J3943" s="19" t="s">
        <v>95</v>
      </c>
      <c r="K3943" s="14">
        <v>15.0</v>
      </c>
      <c r="L3943" s="14">
        <v>0.0</v>
      </c>
      <c r="M3943" s="25"/>
      <c r="N3943" s="26" t="s">
        <v>21</v>
      </c>
      <c r="O3943" s="7"/>
      <c r="P3943" s="7"/>
      <c r="Q3943" s="7"/>
      <c r="R3943" s="7"/>
      <c r="S3943" s="7"/>
      <c r="T3943" s="7"/>
      <c r="U3943" s="7"/>
      <c r="V3943" s="7"/>
      <c r="W3943" s="7"/>
      <c r="X3943" s="7"/>
      <c r="Y3943" s="7"/>
    </row>
    <row r="3944">
      <c r="A3944" s="14" t="s">
        <v>13955</v>
      </c>
      <c r="B3944" s="17" t="s">
        <v>13952</v>
      </c>
      <c r="C3944" s="17" t="s">
        <v>13956</v>
      </c>
      <c r="D3944" s="19" t="s">
        <v>13957</v>
      </c>
      <c r="E3944" s="20" t="s">
        <v>434</v>
      </c>
      <c r="F3944" s="21">
        <v>33145.0</v>
      </c>
      <c r="G3944" s="14">
        <f t="shared" si="1"/>
        <v>36</v>
      </c>
      <c r="H3944" s="23" t="s">
        <v>26</v>
      </c>
      <c r="I3944" s="24" t="s">
        <v>33</v>
      </c>
      <c r="J3944" s="19" t="s">
        <v>95</v>
      </c>
      <c r="K3944" s="14">
        <v>15.0</v>
      </c>
      <c r="L3944" s="14">
        <v>0.0</v>
      </c>
      <c r="M3944" s="25"/>
      <c r="N3944" s="26" t="s">
        <v>21</v>
      </c>
      <c r="O3944" s="7"/>
      <c r="P3944" s="7"/>
      <c r="Q3944" s="7"/>
      <c r="R3944" s="7"/>
      <c r="S3944" s="7"/>
      <c r="T3944" s="7"/>
      <c r="U3944" s="7"/>
      <c r="V3944" s="7"/>
      <c r="W3944" s="7"/>
      <c r="X3944" s="7"/>
      <c r="Y3944" s="7"/>
    </row>
    <row r="3945">
      <c r="A3945" s="14" t="s">
        <v>13958</v>
      </c>
      <c r="B3945" s="17" t="s">
        <v>13959</v>
      </c>
      <c r="C3945" s="17" t="s">
        <v>13960</v>
      </c>
      <c r="D3945" s="19" t="s">
        <v>13961</v>
      </c>
      <c r="E3945" s="20" t="s">
        <v>187</v>
      </c>
      <c r="F3945" s="27">
        <v>32470.0</v>
      </c>
      <c r="G3945" s="14">
        <f t="shared" si="1"/>
        <v>37</v>
      </c>
      <c r="H3945" s="23" t="s">
        <v>26</v>
      </c>
      <c r="I3945" s="24" t="s">
        <v>33</v>
      </c>
      <c r="J3945" s="19" t="s">
        <v>726</v>
      </c>
      <c r="K3945" s="14">
        <v>17.0</v>
      </c>
      <c r="L3945" s="14">
        <v>0.0</v>
      </c>
      <c r="M3945" s="25"/>
      <c r="N3945" s="26" t="s">
        <v>21</v>
      </c>
      <c r="O3945" s="7"/>
      <c r="P3945" s="7"/>
      <c r="Q3945" s="7"/>
      <c r="R3945" s="7"/>
      <c r="S3945" s="7"/>
      <c r="T3945" s="7"/>
      <c r="U3945" s="7"/>
      <c r="V3945" s="7"/>
      <c r="W3945" s="7"/>
      <c r="X3945" s="7"/>
      <c r="Y3945" s="7"/>
    </row>
    <row r="3946">
      <c r="A3946" s="14" t="s">
        <v>13962</v>
      </c>
      <c r="B3946" s="17" t="s">
        <v>13959</v>
      </c>
      <c r="C3946" s="17" t="s">
        <v>13963</v>
      </c>
      <c r="D3946" s="19" t="s">
        <v>835</v>
      </c>
      <c r="E3946" s="20" t="s">
        <v>104</v>
      </c>
      <c r="F3946" s="21">
        <v>33604.0</v>
      </c>
      <c r="G3946" s="14">
        <f t="shared" si="1"/>
        <v>34</v>
      </c>
      <c r="H3946" s="23" t="s">
        <v>26</v>
      </c>
      <c r="I3946" s="24" t="s">
        <v>27</v>
      </c>
      <c r="J3946" s="19" t="s">
        <v>726</v>
      </c>
      <c r="K3946" s="14">
        <v>17.0</v>
      </c>
      <c r="L3946" s="14">
        <v>0.0</v>
      </c>
      <c r="M3946" s="25"/>
      <c r="N3946" s="26" t="s">
        <v>21</v>
      </c>
      <c r="O3946" s="7"/>
      <c r="P3946" s="7"/>
      <c r="Q3946" s="7"/>
      <c r="R3946" s="7"/>
      <c r="S3946" s="7"/>
      <c r="T3946" s="7"/>
      <c r="U3946" s="7"/>
      <c r="V3946" s="7"/>
      <c r="W3946" s="7"/>
      <c r="X3946" s="7"/>
      <c r="Y3946" s="7"/>
    </row>
    <row r="3947">
      <c r="A3947" s="14" t="s">
        <v>13964</v>
      </c>
      <c r="B3947" s="17" t="s">
        <v>13965</v>
      </c>
      <c r="C3947" s="17" t="s">
        <v>13966</v>
      </c>
      <c r="D3947" s="19" t="s">
        <v>13967</v>
      </c>
      <c r="E3947" s="20" t="s">
        <v>104</v>
      </c>
      <c r="F3947" s="27">
        <v>39076.0</v>
      </c>
      <c r="G3947" s="14">
        <f t="shared" si="1"/>
        <v>19</v>
      </c>
      <c r="H3947" s="23" t="s">
        <v>100</v>
      </c>
      <c r="I3947" s="24" t="s">
        <v>27</v>
      </c>
      <c r="J3947" s="19" t="s">
        <v>206</v>
      </c>
      <c r="K3947" s="14">
        <v>4.0</v>
      </c>
      <c r="L3947" s="14">
        <v>0.0</v>
      </c>
      <c r="M3947" s="25"/>
      <c r="N3947" s="26" t="s">
        <v>21</v>
      </c>
      <c r="O3947" s="7"/>
      <c r="P3947" s="7"/>
      <c r="Q3947" s="7"/>
      <c r="R3947" s="7"/>
      <c r="S3947" s="7"/>
      <c r="T3947" s="7"/>
      <c r="U3947" s="7"/>
      <c r="V3947" s="7"/>
      <c r="W3947" s="7"/>
      <c r="X3947" s="7"/>
      <c r="Y3947" s="7"/>
    </row>
    <row r="3948">
      <c r="A3948" s="14" t="s">
        <v>13968</v>
      </c>
      <c r="B3948" s="17" t="s">
        <v>13965</v>
      </c>
      <c r="C3948" s="17" t="s">
        <v>13969</v>
      </c>
      <c r="D3948" s="19" t="s">
        <v>13970</v>
      </c>
      <c r="E3948" s="20" t="s">
        <v>187</v>
      </c>
      <c r="F3948" s="21">
        <v>26497.0</v>
      </c>
      <c r="G3948" s="14">
        <f t="shared" si="1"/>
        <v>54</v>
      </c>
      <c r="H3948" s="23" t="s">
        <v>27</v>
      </c>
      <c r="I3948" s="24" t="s">
        <v>27</v>
      </c>
      <c r="J3948" s="19" t="s">
        <v>206</v>
      </c>
      <c r="K3948" s="14">
        <v>4.0</v>
      </c>
      <c r="L3948" s="14">
        <v>5.0</v>
      </c>
      <c r="M3948" s="25"/>
      <c r="N3948" s="26" t="s">
        <v>21</v>
      </c>
      <c r="O3948" s="7"/>
      <c r="P3948" s="7"/>
      <c r="Q3948" s="7"/>
      <c r="R3948" s="7"/>
      <c r="S3948" s="7"/>
      <c r="T3948" s="7"/>
      <c r="U3948" s="7"/>
      <c r="V3948" s="7"/>
      <c r="W3948" s="7"/>
      <c r="X3948" s="7"/>
      <c r="Y3948" s="7"/>
    </row>
    <row r="3949">
      <c r="A3949" s="14" t="s">
        <v>13971</v>
      </c>
      <c r="B3949" s="17" t="s">
        <v>13972</v>
      </c>
      <c r="C3949" s="17" t="s">
        <v>13973</v>
      </c>
      <c r="D3949" s="19" t="s">
        <v>13974</v>
      </c>
      <c r="E3949" s="20" t="s">
        <v>53</v>
      </c>
      <c r="F3949" s="21">
        <v>35216.0</v>
      </c>
      <c r="G3949" s="14">
        <f t="shared" si="1"/>
        <v>30</v>
      </c>
      <c r="H3949" s="23" t="s">
        <v>26</v>
      </c>
      <c r="I3949" s="24" t="s">
        <v>33</v>
      </c>
      <c r="J3949" s="19" t="s">
        <v>58</v>
      </c>
      <c r="K3949" s="14">
        <v>8.0</v>
      </c>
      <c r="L3949" s="14">
        <v>0.0</v>
      </c>
      <c r="M3949" s="25"/>
      <c r="N3949" s="26" t="s">
        <v>21</v>
      </c>
      <c r="O3949" s="7"/>
      <c r="P3949" s="7"/>
      <c r="Q3949" s="7"/>
      <c r="R3949" s="7"/>
      <c r="S3949" s="7"/>
      <c r="T3949" s="7"/>
      <c r="U3949" s="7"/>
      <c r="V3949" s="7"/>
      <c r="W3949" s="7"/>
      <c r="X3949" s="7"/>
      <c r="Y3949" s="7"/>
    </row>
    <row r="3950">
      <c r="A3950" s="14" t="s">
        <v>13975</v>
      </c>
      <c r="B3950" s="17" t="s">
        <v>13972</v>
      </c>
      <c r="C3950" s="17" t="s">
        <v>13976</v>
      </c>
      <c r="D3950" s="19" t="s">
        <v>13977</v>
      </c>
      <c r="E3950" s="20" t="s">
        <v>104</v>
      </c>
      <c r="F3950" s="21">
        <v>37140.0</v>
      </c>
      <c r="G3950" s="14">
        <f t="shared" si="1"/>
        <v>25</v>
      </c>
      <c r="H3950" s="23" t="s">
        <v>26</v>
      </c>
      <c r="I3950" s="24" t="s">
        <v>27</v>
      </c>
      <c r="J3950" s="19" t="s">
        <v>58</v>
      </c>
      <c r="K3950" s="14">
        <v>8.0</v>
      </c>
      <c r="L3950" s="14">
        <v>0.0</v>
      </c>
      <c r="M3950" s="25"/>
      <c r="N3950" s="26" t="s">
        <v>21</v>
      </c>
      <c r="O3950" s="7"/>
      <c r="P3950" s="7"/>
      <c r="Q3950" s="7"/>
      <c r="R3950" s="7"/>
      <c r="S3950" s="7"/>
      <c r="T3950" s="7"/>
      <c r="U3950" s="7"/>
      <c r="V3950" s="7"/>
      <c r="W3950" s="7"/>
      <c r="X3950" s="7"/>
      <c r="Y3950" s="7"/>
    </row>
    <row r="3951">
      <c r="A3951" s="14" t="s">
        <v>13978</v>
      </c>
      <c r="B3951" s="17" t="s">
        <v>13979</v>
      </c>
      <c r="C3951" s="17" t="s">
        <v>13980</v>
      </c>
      <c r="D3951" s="19" t="s">
        <v>103</v>
      </c>
      <c r="E3951" s="20" t="s">
        <v>53</v>
      </c>
      <c r="F3951" s="21">
        <v>33389.0</v>
      </c>
      <c r="G3951" s="14">
        <f t="shared" si="1"/>
        <v>35</v>
      </c>
      <c r="H3951" s="23" t="s">
        <v>26</v>
      </c>
      <c r="I3951" s="24" t="s">
        <v>27</v>
      </c>
      <c r="J3951" s="19" t="s">
        <v>13269</v>
      </c>
      <c r="K3951" s="14">
        <v>17.0</v>
      </c>
      <c r="L3951" s="14">
        <v>0.0</v>
      </c>
      <c r="M3951" s="25"/>
      <c r="N3951" s="26" t="s">
        <v>21</v>
      </c>
      <c r="O3951" s="7"/>
      <c r="P3951" s="7"/>
      <c r="Q3951" s="7"/>
      <c r="R3951" s="7"/>
      <c r="S3951" s="7"/>
      <c r="T3951" s="7"/>
      <c r="U3951" s="7"/>
      <c r="V3951" s="7"/>
      <c r="W3951" s="7"/>
      <c r="X3951" s="7"/>
      <c r="Y3951" s="7"/>
    </row>
    <row r="3952">
      <c r="A3952" s="14" t="s">
        <v>13981</v>
      </c>
      <c r="B3952" s="17" t="s">
        <v>13979</v>
      </c>
      <c r="C3952" s="17" t="s">
        <v>13982</v>
      </c>
      <c r="D3952" s="19" t="s">
        <v>2629</v>
      </c>
      <c r="E3952" s="20" t="s">
        <v>13983</v>
      </c>
      <c r="F3952" s="21">
        <v>28685.0</v>
      </c>
      <c r="G3952" s="14">
        <f t="shared" si="1"/>
        <v>48</v>
      </c>
      <c r="H3952" s="23" t="s">
        <v>26</v>
      </c>
      <c r="I3952" s="24" t="s">
        <v>33</v>
      </c>
      <c r="J3952" s="19" t="s">
        <v>328</v>
      </c>
      <c r="K3952" s="14">
        <v>17.0</v>
      </c>
      <c r="L3952" s="14">
        <v>0.0</v>
      </c>
      <c r="M3952" s="25"/>
      <c r="N3952" s="26" t="s">
        <v>21</v>
      </c>
      <c r="O3952" s="7"/>
      <c r="P3952" s="7"/>
      <c r="Q3952" s="7"/>
      <c r="R3952" s="7"/>
      <c r="S3952" s="7"/>
      <c r="T3952" s="7"/>
      <c r="U3952" s="7"/>
      <c r="V3952" s="7"/>
      <c r="W3952" s="7"/>
      <c r="X3952" s="7"/>
      <c r="Y3952" s="7"/>
    </row>
    <row r="3953">
      <c r="A3953" s="14" t="s">
        <v>13984</v>
      </c>
      <c r="B3953" s="17" t="s">
        <v>13985</v>
      </c>
      <c r="C3953" s="17" t="s">
        <v>13986</v>
      </c>
      <c r="D3953" s="19" t="s">
        <v>1925</v>
      </c>
      <c r="E3953" s="20" t="s">
        <v>67</v>
      </c>
      <c r="F3953" s="21">
        <v>19545.0</v>
      </c>
      <c r="G3953" s="14">
        <f t="shared" si="1"/>
        <v>73</v>
      </c>
      <c r="H3953" s="23" t="s">
        <v>27</v>
      </c>
      <c r="I3953" s="24" t="s">
        <v>27</v>
      </c>
      <c r="J3953" s="19" t="s">
        <v>1915</v>
      </c>
      <c r="K3953" s="14">
        <v>11.0</v>
      </c>
      <c r="L3953" s="14">
        <v>0.0</v>
      </c>
      <c r="M3953" s="25"/>
      <c r="N3953" s="26" t="s">
        <v>21</v>
      </c>
      <c r="O3953" s="7"/>
      <c r="P3953" s="7"/>
      <c r="Q3953" s="7"/>
      <c r="R3953" s="7"/>
      <c r="S3953" s="7"/>
      <c r="T3953" s="7"/>
      <c r="U3953" s="7"/>
      <c r="V3953" s="7"/>
      <c r="W3953" s="7"/>
      <c r="X3953" s="7"/>
      <c r="Y3953" s="7"/>
    </row>
    <row r="3954">
      <c r="A3954" s="14" t="s">
        <v>13987</v>
      </c>
      <c r="B3954" s="17" t="s">
        <v>13988</v>
      </c>
      <c r="C3954" s="17" t="s">
        <v>13989</v>
      </c>
      <c r="D3954" s="19" t="s">
        <v>13990</v>
      </c>
      <c r="E3954" s="20" t="s">
        <v>104</v>
      </c>
      <c r="F3954" s="21">
        <v>34610.0</v>
      </c>
      <c r="G3954" s="14">
        <f t="shared" si="1"/>
        <v>32</v>
      </c>
      <c r="H3954" s="23" t="s">
        <v>26</v>
      </c>
      <c r="I3954" s="24" t="s">
        <v>27</v>
      </c>
      <c r="J3954" s="19" t="s">
        <v>206</v>
      </c>
      <c r="K3954" s="14">
        <v>1.0</v>
      </c>
      <c r="L3954" s="14">
        <v>0.0</v>
      </c>
      <c r="M3954" s="25"/>
      <c r="N3954" s="26" t="s">
        <v>21</v>
      </c>
      <c r="O3954" s="7"/>
      <c r="P3954" s="7"/>
      <c r="Q3954" s="7"/>
      <c r="R3954" s="7"/>
      <c r="S3954" s="7"/>
      <c r="T3954" s="7"/>
      <c r="U3954" s="7"/>
      <c r="V3954" s="7"/>
      <c r="W3954" s="7"/>
      <c r="X3954" s="7"/>
      <c r="Y3954" s="7"/>
    </row>
    <row r="3955">
      <c r="A3955" s="14" t="s">
        <v>13991</v>
      </c>
      <c r="B3955" s="17" t="s">
        <v>13988</v>
      </c>
      <c r="C3955" s="17" t="s">
        <v>13992</v>
      </c>
      <c r="D3955" s="19" t="s">
        <v>13993</v>
      </c>
      <c r="E3955" s="20" t="s">
        <v>104</v>
      </c>
      <c r="F3955" s="21">
        <v>33311.0</v>
      </c>
      <c r="G3955" s="14">
        <f t="shared" si="1"/>
        <v>35</v>
      </c>
      <c r="H3955" s="23" t="s">
        <v>26</v>
      </c>
      <c r="I3955" s="24" t="s">
        <v>33</v>
      </c>
      <c r="J3955" s="19" t="s">
        <v>206</v>
      </c>
      <c r="K3955" s="14">
        <v>1.0</v>
      </c>
      <c r="L3955" s="14">
        <v>0.0</v>
      </c>
      <c r="M3955" s="25"/>
      <c r="N3955" s="26" t="s">
        <v>21</v>
      </c>
      <c r="O3955" s="7"/>
      <c r="P3955" s="7"/>
      <c r="Q3955" s="7"/>
      <c r="R3955" s="7"/>
      <c r="S3955" s="7"/>
      <c r="T3955" s="7"/>
      <c r="U3955" s="7"/>
      <c r="V3955" s="7"/>
      <c r="W3955" s="7"/>
      <c r="X3955" s="7"/>
      <c r="Y3955" s="7"/>
    </row>
    <row r="3956">
      <c r="A3956" s="14" t="s">
        <v>13994</v>
      </c>
      <c r="B3956" s="17" t="s">
        <v>13995</v>
      </c>
      <c r="C3956" s="17" t="s">
        <v>13996</v>
      </c>
      <c r="D3956" s="19" t="s">
        <v>13997</v>
      </c>
      <c r="E3956" s="20" t="s">
        <v>104</v>
      </c>
      <c r="F3956" s="21">
        <v>32388.0</v>
      </c>
      <c r="G3956" s="14">
        <f t="shared" si="1"/>
        <v>38</v>
      </c>
      <c r="H3956" s="23" t="s">
        <v>26</v>
      </c>
      <c r="I3956" s="24" t="s">
        <v>27</v>
      </c>
      <c r="J3956" s="19" t="s">
        <v>328</v>
      </c>
      <c r="K3956" s="14">
        <v>25.0</v>
      </c>
      <c r="L3956" s="14">
        <v>0.0</v>
      </c>
      <c r="M3956" s="25"/>
      <c r="N3956" s="26" t="s">
        <v>21</v>
      </c>
      <c r="O3956" s="7"/>
      <c r="P3956" s="7"/>
      <c r="Q3956" s="7"/>
      <c r="R3956" s="7"/>
      <c r="S3956" s="7"/>
      <c r="T3956" s="7"/>
      <c r="U3956" s="7"/>
      <c r="V3956" s="7"/>
      <c r="W3956" s="7"/>
      <c r="X3956" s="7"/>
      <c r="Y3956" s="7"/>
    </row>
    <row r="3957">
      <c r="A3957" s="14" t="s">
        <v>13998</v>
      </c>
      <c r="B3957" s="17" t="s">
        <v>13995</v>
      </c>
      <c r="C3957" s="17" t="s">
        <v>13999</v>
      </c>
      <c r="D3957" s="19" t="s">
        <v>14000</v>
      </c>
      <c r="E3957" s="20" t="s">
        <v>1370</v>
      </c>
      <c r="F3957" s="21">
        <v>30107.0</v>
      </c>
      <c r="G3957" s="14">
        <f t="shared" si="1"/>
        <v>44</v>
      </c>
      <c r="H3957" s="23" t="s">
        <v>26</v>
      </c>
      <c r="I3957" s="24" t="s">
        <v>33</v>
      </c>
      <c r="J3957" s="19" t="s">
        <v>328</v>
      </c>
      <c r="K3957" s="14">
        <v>25.0</v>
      </c>
      <c r="L3957" s="14">
        <v>0.0</v>
      </c>
      <c r="M3957" s="25"/>
      <c r="N3957" s="26" t="s">
        <v>21</v>
      </c>
      <c r="O3957" s="7"/>
      <c r="P3957" s="7"/>
      <c r="Q3957" s="7"/>
      <c r="R3957" s="7"/>
      <c r="S3957" s="7"/>
      <c r="T3957" s="7"/>
      <c r="U3957" s="7"/>
      <c r="V3957" s="7"/>
      <c r="W3957" s="7"/>
      <c r="X3957" s="7"/>
      <c r="Y3957" s="7"/>
    </row>
    <row r="3958">
      <c r="A3958" s="14" t="s">
        <v>14001</v>
      </c>
      <c r="B3958" s="17" t="s">
        <v>14002</v>
      </c>
      <c r="C3958" s="17" t="s">
        <v>14003</v>
      </c>
      <c r="D3958" s="19" t="s">
        <v>14004</v>
      </c>
      <c r="E3958" s="20" t="s">
        <v>104</v>
      </c>
      <c r="F3958" s="21">
        <v>33095.0</v>
      </c>
      <c r="G3958" s="14">
        <f t="shared" si="1"/>
        <v>36</v>
      </c>
      <c r="H3958" s="23" t="s">
        <v>26</v>
      </c>
      <c r="I3958" s="24" t="s">
        <v>33</v>
      </c>
      <c r="J3958" s="19" t="s">
        <v>53</v>
      </c>
      <c r="K3958" s="14">
        <v>17.0</v>
      </c>
      <c r="L3958" s="14">
        <v>5.0</v>
      </c>
      <c r="M3958" s="25"/>
      <c r="N3958" s="26" t="s">
        <v>21</v>
      </c>
      <c r="O3958" s="7"/>
      <c r="P3958" s="7"/>
      <c r="Q3958" s="7"/>
      <c r="R3958" s="7"/>
      <c r="S3958" s="7"/>
      <c r="T3958" s="7"/>
      <c r="U3958" s="7"/>
      <c r="V3958" s="7"/>
      <c r="W3958" s="7"/>
      <c r="X3958" s="7"/>
      <c r="Y3958" s="7"/>
    </row>
    <row r="3959">
      <c r="A3959" s="14" t="s">
        <v>14005</v>
      </c>
      <c r="B3959" s="17" t="s">
        <v>14006</v>
      </c>
      <c r="C3959" s="17" t="s">
        <v>14007</v>
      </c>
      <c r="D3959" s="19" t="s">
        <v>14008</v>
      </c>
      <c r="E3959" s="20" t="s">
        <v>104</v>
      </c>
      <c r="F3959" s="21">
        <v>35993.0</v>
      </c>
      <c r="G3959" s="14">
        <f t="shared" si="1"/>
        <v>28</v>
      </c>
      <c r="H3959" s="23" t="s">
        <v>100</v>
      </c>
      <c r="I3959" s="24" t="s">
        <v>33</v>
      </c>
      <c r="J3959" s="19" t="s">
        <v>68</v>
      </c>
      <c r="K3959" s="14">
        <v>31.0</v>
      </c>
      <c r="L3959" s="14">
        <v>0.0</v>
      </c>
      <c r="M3959" s="25"/>
      <c r="N3959" s="26" t="s">
        <v>21</v>
      </c>
      <c r="O3959" s="7"/>
      <c r="P3959" s="7"/>
      <c r="Q3959" s="7"/>
      <c r="R3959" s="7"/>
      <c r="S3959" s="7"/>
      <c r="T3959" s="7"/>
      <c r="U3959" s="7"/>
      <c r="V3959" s="7"/>
      <c r="W3959" s="7"/>
      <c r="X3959" s="7"/>
      <c r="Y3959" s="7"/>
    </row>
    <row r="3960">
      <c r="A3960" s="14" t="s">
        <v>14009</v>
      </c>
      <c r="B3960" s="17" t="s">
        <v>14010</v>
      </c>
      <c r="C3960" s="17" t="s">
        <v>14011</v>
      </c>
      <c r="D3960" s="19" t="s">
        <v>14012</v>
      </c>
      <c r="E3960" s="20" t="s">
        <v>187</v>
      </c>
      <c r="F3960" s="21">
        <v>28216.0</v>
      </c>
      <c r="G3960" s="14">
        <f t="shared" si="1"/>
        <v>49</v>
      </c>
      <c r="H3960" s="23" t="s">
        <v>26</v>
      </c>
      <c r="I3960" s="24" t="s">
        <v>33</v>
      </c>
      <c r="J3960" s="19" t="s">
        <v>58</v>
      </c>
      <c r="K3960" s="14">
        <v>9.0</v>
      </c>
      <c r="L3960" s="14">
        <v>0.0</v>
      </c>
      <c r="M3960" s="25"/>
      <c r="N3960" s="26" t="s">
        <v>21</v>
      </c>
      <c r="O3960" s="7"/>
      <c r="P3960" s="7"/>
      <c r="Q3960" s="7"/>
      <c r="R3960" s="7"/>
      <c r="S3960" s="7"/>
      <c r="T3960" s="7"/>
      <c r="U3960" s="7"/>
      <c r="V3960" s="7"/>
      <c r="W3960" s="7"/>
      <c r="X3960" s="7"/>
      <c r="Y3960" s="7"/>
    </row>
    <row r="3961">
      <c r="A3961" s="14" t="s">
        <v>14013</v>
      </c>
      <c r="B3961" s="17" t="s">
        <v>14010</v>
      </c>
      <c r="C3961" s="17" t="s">
        <v>14014</v>
      </c>
      <c r="D3961" s="19" t="s">
        <v>14015</v>
      </c>
      <c r="E3961" s="20" t="s">
        <v>104</v>
      </c>
      <c r="F3961" s="21">
        <v>28403.0</v>
      </c>
      <c r="G3961" s="14">
        <f t="shared" si="1"/>
        <v>49</v>
      </c>
      <c r="H3961" s="23" t="s">
        <v>26</v>
      </c>
      <c r="I3961" s="24" t="s">
        <v>27</v>
      </c>
      <c r="J3961" s="19" t="s">
        <v>58</v>
      </c>
      <c r="K3961" s="14">
        <v>9.0</v>
      </c>
      <c r="L3961" s="14">
        <v>0.0</v>
      </c>
      <c r="M3961" s="25"/>
      <c r="N3961" s="26" t="s">
        <v>21</v>
      </c>
      <c r="O3961" s="7"/>
      <c r="P3961" s="7"/>
      <c r="Q3961" s="7"/>
      <c r="R3961" s="7"/>
      <c r="S3961" s="7"/>
      <c r="T3961" s="7"/>
      <c r="U3961" s="7"/>
      <c r="V3961" s="7"/>
      <c r="W3961" s="7"/>
      <c r="X3961" s="7"/>
      <c r="Y3961" s="7"/>
    </row>
    <row r="3962">
      <c r="A3962" s="14" t="s">
        <v>14016</v>
      </c>
      <c r="B3962" s="17" t="s">
        <v>14017</v>
      </c>
      <c r="C3962" s="17" t="s">
        <v>14018</v>
      </c>
      <c r="D3962" s="19" t="s">
        <v>14019</v>
      </c>
      <c r="E3962" s="20" t="s">
        <v>104</v>
      </c>
      <c r="F3962" s="27">
        <v>34255.0</v>
      </c>
      <c r="G3962" s="14">
        <f t="shared" si="1"/>
        <v>33</v>
      </c>
      <c r="H3962" s="23" t="s">
        <v>26</v>
      </c>
      <c r="I3962" s="24" t="s">
        <v>33</v>
      </c>
      <c r="J3962" s="19" t="s">
        <v>53</v>
      </c>
      <c r="K3962" s="14">
        <v>35.0</v>
      </c>
      <c r="L3962" s="14">
        <v>0.0</v>
      </c>
      <c r="M3962" s="25"/>
      <c r="N3962" s="26" t="s">
        <v>21</v>
      </c>
      <c r="O3962" s="7"/>
      <c r="P3962" s="7"/>
      <c r="Q3962" s="7"/>
      <c r="R3962" s="7"/>
      <c r="S3962" s="7"/>
      <c r="T3962" s="7"/>
      <c r="U3962" s="7"/>
      <c r="V3962" s="7"/>
      <c r="W3962" s="7"/>
      <c r="X3962" s="7"/>
      <c r="Y3962" s="7"/>
    </row>
    <row r="3963">
      <c r="A3963" s="14" t="s">
        <v>14020</v>
      </c>
      <c r="B3963" s="17" t="s">
        <v>14017</v>
      </c>
      <c r="C3963" s="17" t="s">
        <v>14021</v>
      </c>
      <c r="D3963" s="19" t="s">
        <v>14022</v>
      </c>
      <c r="E3963" s="20" t="s">
        <v>53</v>
      </c>
      <c r="F3963" s="27">
        <v>34263.0</v>
      </c>
      <c r="G3963" s="14">
        <f t="shared" si="1"/>
        <v>33</v>
      </c>
      <c r="H3963" s="23" t="s">
        <v>26</v>
      </c>
      <c r="I3963" s="24" t="s">
        <v>27</v>
      </c>
      <c r="J3963" s="19" t="s">
        <v>53</v>
      </c>
      <c r="K3963" s="14">
        <v>35.0</v>
      </c>
      <c r="L3963" s="14">
        <v>0.0</v>
      </c>
      <c r="M3963" s="25"/>
      <c r="N3963" s="26" t="s">
        <v>21</v>
      </c>
      <c r="O3963" s="7"/>
      <c r="P3963" s="7"/>
      <c r="Q3963" s="7"/>
      <c r="R3963" s="7"/>
      <c r="S3963" s="7"/>
      <c r="T3963" s="7"/>
      <c r="U3963" s="7"/>
      <c r="V3963" s="7"/>
      <c r="W3963" s="7"/>
      <c r="X3963" s="7"/>
      <c r="Y3963" s="7"/>
    </row>
    <row r="3964">
      <c r="A3964" s="14" t="s">
        <v>14023</v>
      </c>
      <c r="B3964" s="17" t="s">
        <v>14024</v>
      </c>
      <c r="C3964" s="17" t="s">
        <v>14025</v>
      </c>
      <c r="D3964" s="19" t="s">
        <v>4409</v>
      </c>
      <c r="E3964" s="20" t="s">
        <v>274</v>
      </c>
      <c r="F3964" s="21">
        <v>34594.0</v>
      </c>
      <c r="G3964" s="14">
        <f t="shared" si="1"/>
        <v>32</v>
      </c>
      <c r="H3964" s="23" t="s">
        <v>26</v>
      </c>
      <c r="I3964" s="24" t="s">
        <v>33</v>
      </c>
      <c r="J3964" s="19" t="s">
        <v>517</v>
      </c>
      <c r="K3964" s="14">
        <v>5.0</v>
      </c>
      <c r="L3964" s="14">
        <v>0.0</v>
      </c>
      <c r="M3964" s="25"/>
      <c r="N3964" s="26" t="s">
        <v>21</v>
      </c>
      <c r="O3964" s="7"/>
      <c r="P3964" s="7"/>
      <c r="Q3964" s="7"/>
      <c r="R3964" s="7"/>
      <c r="S3964" s="7"/>
      <c r="T3964" s="7"/>
      <c r="U3964" s="7"/>
      <c r="V3964" s="7"/>
      <c r="W3964" s="7"/>
      <c r="X3964" s="7"/>
      <c r="Y3964" s="7"/>
    </row>
    <row r="3965">
      <c r="A3965" s="14" t="s">
        <v>14026</v>
      </c>
      <c r="B3965" s="17" t="s">
        <v>14024</v>
      </c>
      <c r="C3965" s="17" t="s">
        <v>14027</v>
      </c>
      <c r="D3965" s="19" t="s">
        <v>14028</v>
      </c>
      <c r="E3965" s="20" t="s">
        <v>138</v>
      </c>
      <c r="F3965" s="27">
        <v>35057.0</v>
      </c>
      <c r="G3965" s="14">
        <f t="shared" si="1"/>
        <v>30</v>
      </c>
      <c r="H3965" s="23" t="s">
        <v>26</v>
      </c>
      <c r="I3965" s="24" t="s">
        <v>27</v>
      </c>
      <c r="J3965" s="19" t="s">
        <v>517</v>
      </c>
      <c r="K3965" s="14">
        <v>5.0</v>
      </c>
      <c r="L3965" s="14">
        <v>0.0</v>
      </c>
      <c r="M3965" s="25"/>
      <c r="N3965" s="26" t="s">
        <v>21</v>
      </c>
      <c r="O3965" s="7"/>
      <c r="P3965" s="7"/>
      <c r="Q3965" s="7"/>
      <c r="R3965" s="7"/>
      <c r="S3965" s="7"/>
      <c r="T3965" s="7"/>
      <c r="U3965" s="7"/>
      <c r="V3965" s="7"/>
      <c r="W3965" s="7"/>
      <c r="X3965" s="7"/>
      <c r="Y3965" s="7"/>
    </row>
    <row r="3966">
      <c r="A3966" s="14" t="s">
        <v>14029</v>
      </c>
      <c r="B3966" s="17" t="s">
        <v>14030</v>
      </c>
      <c r="C3966" s="17" t="s">
        <v>14031</v>
      </c>
      <c r="D3966" s="19" t="s">
        <v>14032</v>
      </c>
      <c r="E3966" s="20" t="s">
        <v>187</v>
      </c>
      <c r="F3966" s="21">
        <v>32021.0</v>
      </c>
      <c r="G3966" s="14">
        <f t="shared" si="1"/>
        <v>39</v>
      </c>
      <c r="H3966" s="23" t="s">
        <v>26</v>
      </c>
      <c r="I3966" s="24" t="s">
        <v>33</v>
      </c>
      <c r="J3966" s="19" t="s">
        <v>14033</v>
      </c>
      <c r="K3966" s="14">
        <v>17.0</v>
      </c>
      <c r="L3966" s="14">
        <v>0.0</v>
      </c>
      <c r="M3966" s="25"/>
      <c r="N3966" s="26" t="s">
        <v>21</v>
      </c>
      <c r="O3966" s="7"/>
      <c r="P3966" s="7"/>
      <c r="Q3966" s="7"/>
      <c r="R3966" s="7"/>
      <c r="S3966" s="7"/>
      <c r="T3966" s="7"/>
      <c r="U3966" s="7"/>
      <c r="V3966" s="7"/>
      <c r="W3966" s="7"/>
      <c r="X3966" s="7"/>
      <c r="Y3966" s="7"/>
    </row>
    <row r="3967">
      <c r="A3967" s="14" t="s">
        <v>14034</v>
      </c>
      <c r="B3967" s="17" t="s">
        <v>14030</v>
      </c>
      <c r="C3967" s="17" t="s">
        <v>14035</v>
      </c>
      <c r="D3967" s="19" t="s">
        <v>14036</v>
      </c>
      <c r="E3967" s="20" t="s">
        <v>176</v>
      </c>
      <c r="F3967" s="21">
        <v>18438.0</v>
      </c>
      <c r="G3967" s="14">
        <f t="shared" si="1"/>
        <v>76</v>
      </c>
      <c r="H3967" s="23" t="s">
        <v>27</v>
      </c>
      <c r="I3967" s="24" t="s">
        <v>27</v>
      </c>
      <c r="J3967" s="19" t="s">
        <v>14033</v>
      </c>
      <c r="K3967" s="14">
        <v>17.0</v>
      </c>
      <c r="L3967" s="14">
        <v>0.0</v>
      </c>
      <c r="M3967" s="25"/>
      <c r="N3967" s="26" t="s">
        <v>21</v>
      </c>
      <c r="O3967" s="7"/>
      <c r="P3967" s="7"/>
      <c r="Q3967" s="7"/>
      <c r="R3967" s="7"/>
      <c r="S3967" s="7"/>
      <c r="T3967" s="7"/>
      <c r="U3967" s="7"/>
      <c r="V3967" s="7"/>
      <c r="W3967" s="7"/>
      <c r="X3967" s="7"/>
      <c r="Y3967" s="7"/>
    </row>
    <row r="3968">
      <c r="A3968" s="14" t="s">
        <v>14037</v>
      </c>
      <c r="B3968" s="17" t="s">
        <v>14030</v>
      </c>
      <c r="C3968" s="17" t="s">
        <v>14038</v>
      </c>
      <c r="D3968" s="19" t="s">
        <v>14039</v>
      </c>
      <c r="E3968" s="20" t="s">
        <v>176</v>
      </c>
      <c r="F3968" s="21">
        <v>33298.0</v>
      </c>
      <c r="G3968" s="14">
        <f t="shared" si="1"/>
        <v>35</v>
      </c>
      <c r="H3968" s="23" t="s">
        <v>26</v>
      </c>
      <c r="I3968" s="24" t="s">
        <v>27</v>
      </c>
      <c r="J3968" s="19" t="s">
        <v>14033</v>
      </c>
      <c r="K3968" s="14">
        <v>17.0</v>
      </c>
      <c r="L3968" s="14">
        <v>0.0</v>
      </c>
      <c r="M3968" s="25"/>
      <c r="N3968" s="26" t="s">
        <v>21</v>
      </c>
      <c r="O3968" s="7"/>
      <c r="P3968" s="7"/>
      <c r="Q3968" s="7"/>
      <c r="R3968" s="7"/>
      <c r="S3968" s="7"/>
      <c r="T3968" s="7"/>
      <c r="U3968" s="7"/>
      <c r="V3968" s="7"/>
      <c r="W3968" s="7"/>
      <c r="X3968" s="7"/>
      <c r="Y3968" s="7"/>
    </row>
    <row r="3969">
      <c r="A3969" s="14" t="s">
        <v>14040</v>
      </c>
      <c r="B3969" s="17" t="s">
        <v>14030</v>
      </c>
      <c r="C3969" s="17" t="s">
        <v>14041</v>
      </c>
      <c r="D3969" s="19" t="s">
        <v>14042</v>
      </c>
      <c r="E3969" s="20" t="s">
        <v>14043</v>
      </c>
      <c r="F3969" s="21">
        <v>32480.0</v>
      </c>
      <c r="G3969" s="14">
        <f t="shared" si="1"/>
        <v>37</v>
      </c>
      <c r="H3969" s="23" t="s">
        <v>100</v>
      </c>
      <c r="I3969" s="24" t="s">
        <v>33</v>
      </c>
      <c r="J3969" s="19" t="s">
        <v>14033</v>
      </c>
      <c r="K3969" s="14">
        <v>17.0</v>
      </c>
      <c r="L3969" s="14">
        <v>0.0</v>
      </c>
      <c r="M3969" s="25"/>
      <c r="N3969" s="26" t="s">
        <v>21</v>
      </c>
      <c r="O3969" s="7"/>
      <c r="P3969" s="7"/>
      <c r="Q3969" s="7"/>
      <c r="R3969" s="7"/>
      <c r="S3969" s="7"/>
      <c r="T3969" s="7"/>
      <c r="U3969" s="7"/>
      <c r="V3969" s="7"/>
      <c r="W3969" s="7"/>
      <c r="X3969" s="7"/>
      <c r="Y3969" s="7"/>
    </row>
    <row r="3970">
      <c r="A3970" s="14" t="s">
        <v>14044</v>
      </c>
      <c r="B3970" s="17" t="s">
        <v>14045</v>
      </c>
      <c r="C3970" s="17" t="s">
        <v>14046</v>
      </c>
      <c r="D3970" s="19" t="s">
        <v>5117</v>
      </c>
      <c r="E3970" s="20" t="s">
        <v>632</v>
      </c>
      <c r="F3970" s="21">
        <v>23261.0</v>
      </c>
      <c r="G3970" s="14">
        <f t="shared" si="1"/>
        <v>63</v>
      </c>
      <c r="H3970" s="23" t="s">
        <v>27</v>
      </c>
      <c r="I3970" s="24" t="s">
        <v>27</v>
      </c>
      <c r="J3970" s="19" t="s">
        <v>53</v>
      </c>
      <c r="K3970" s="14">
        <v>29.0</v>
      </c>
      <c r="L3970" s="14">
        <v>0.0</v>
      </c>
      <c r="M3970" s="25"/>
      <c r="N3970" s="26" t="s">
        <v>21</v>
      </c>
      <c r="O3970" s="7"/>
      <c r="P3970" s="7"/>
      <c r="Q3970" s="7"/>
      <c r="R3970" s="7"/>
      <c r="S3970" s="7"/>
      <c r="T3970" s="7"/>
      <c r="U3970" s="7"/>
      <c r="V3970" s="7"/>
      <c r="W3970" s="7"/>
      <c r="X3970" s="7"/>
      <c r="Y3970" s="7"/>
    </row>
    <row r="3971">
      <c r="A3971" s="14" t="s">
        <v>14047</v>
      </c>
      <c r="B3971" s="17" t="s">
        <v>14048</v>
      </c>
      <c r="C3971" s="17" t="s">
        <v>14049</v>
      </c>
      <c r="D3971" s="19" t="s">
        <v>14050</v>
      </c>
      <c r="E3971" s="20" t="s">
        <v>14051</v>
      </c>
      <c r="F3971" s="21">
        <v>29701.0</v>
      </c>
      <c r="G3971" s="14">
        <f t="shared" si="1"/>
        <v>45</v>
      </c>
      <c r="H3971" s="23" t="s">
        <v>26</v>
      </c>
      <c r="I3971" s="24" t="s">
        <v>33</v>
      </c>
      <c r="J3971" s="19" t="s">
        <v>328</v>
      </c>
      <c r="K3971" s="14">
        <v>22.0</v>
      </c>
      <c r="L3971" s="14">
        <v>5.0</v>
      </c>
      <c r="M3971" s="28" t="s">
        <v>3610</v>
      </c>
      <c r="N3971" s="26" t="s">
        <v>21</v>
      </c>
      <c r="O3971" s="7"/>
      <c r="P3971" s="7"/>
      <c r="Q3971" s="7"/>
      <c r="R3971" s="7"/>
      <c r="S3971" s="7"/>
      <c r="T3971" s="7"/>
      <c r="U3971" s="7"/>
      <c r="V3971" s="7"/>
      <c r="W3971" s="7"/>
      <c r="X3971" s="7"/>
      <c r="Y3971" s="7"/>
    </row>
    <row r="3972">
      <c r="A3972" s="14" t="s">
        <v>14052</v>
      </c>
      <c r="B3972" s="17" t="s">
        <v>14053</v>
      </c>
      <c r="C3972" s="17" t="s">
        <v>14054</v>
      </c>
      <c r="D3972" s="19" t="s">
        <v>11161</v>
      </c>
      <c r="E3972" s="20" t="s">
        <v>104</v>
      </c>
      <c r="F3972" s="21">
        <v>33734.0</v>
      </c>
      <c r="G3972" s="14">
        <f t="shared" si="1"/>
        <v>34</v>
      </c>
      <c r="H3972" s="23" t="s">
        <v>26</v>
      </c>
      <c r="I3972" s="24" t="s">
        <v>27</v>
      </c>
      <c r="J3972" s="19" t="s">
        <v>156</v>
      </c>
      <c r="K3972" s="14">
        <v>32.0</v>
      </c>
      <c r="L3972" s="14">
        <v>0.0</v>
      </c>
      <c r="M3972" s="25"/>
      <c r="N3972" s="26" t="s">
        <v>21</v>
      </c>
      <c r="O3972" s="7"/>
      <c r="P3972" s="7"/>
      <c r="Q3972" s="7"/>
      <c r="R3972" s="7"/>
      <c r="S3972" s="7"/>
      <c r="T3972" s="7"/>
      <c r="U3972" s="7"/>
      <c r="V3972" s="7"/>
      <c r="W3972" s="7"/>
      <c r="X3972" s="7"/>
      <c r="Y3972" s="7"/>
    </row>
    <row r="3973">
      <c r="A3973" s="14" t="s">
        <v>14055</v>
      </c>
      <c r="B3973" s="17" t="s">
        <v>14053</v>
      </c>
      <c r="C3973" s="17" t="s">
        <v>14056</v>
      </c>
      <c r="D3973" s="19" t="s">
        <v>14057</v>
      </c>
      <c r="E3973" s="20" t="s">
        <v>104</v>
      </c>
      <c r="F3973" s="21">
        <v>32774.0</v>
      </c>
      <c r="G3973" s="14">
        <f t="shared" si="1"/>
        <v>37</v>
      </c>
      <c r="H3973" s="23" t="s">
        <v>26</v>
      </c>
      <c r="I3973" s="24" t="s">
        <v>33</v>
      </c>
      <c r="J3973" s="19" t="s">
        <v>156</v>
      </c>
      <c r="K3973" s="14">
        <v>32.0</v>
      </c>
      <c r="L3973" s="14">
        <v>0.0</v>
      </c>
      <c r="M3973" s="25"/>
      <c r="N3973" s="26" t="s">
        <v>21</v>
      </c>
      <c r="O3973" s="7"/>
      <c r="P3973" s="7"/>
      <c r="Q3973" s="7"/>
      <c r="R3973" s="7"/>
      <c r="S3973" s="7"/>
      <c r="T3973" s="7"/>
      <c r="U3973" s="7"/>
      <c r="V3973" s="7"/>
      <c r="W3973" s="7"/>
      <c r="X3973" s="7"/>
      <c r="Y3973" s="7"/>
    </row>
    <row r="3974">
      <c r="A3974" s="14" t="s">
        <v>14058</v>
      </c>
      <c r="B3974" s="17" t="s">
        <v>14059</v>
      </c>
      <c r="C3974" s="17" t="s">
        <v>14060</v>
      </c>
      <c r="D3974" s="19" t="s">
        <v>14061</v>
      </c>
      <c r="E3974" s="20" t="s">
        <v>104</v>
      </c>
      <c r="F3974" s="21">
        <v>31450.0</v>
      </c>
      <c r="G3974" s="14">
        <f t="shared" si="1"/>
        <v>40</v>
      </c>
      <c r="H3974" s="23" t="s">
        <v>26</v>
      </c>
      <c r="I3974" s="24" t="s">
        <v>33</v>
      </c>
      <c r="J3974" s="19" t="s">
        <v>14062</v>
      </c>
      <c r="K3974" s="14">
        <v>10.0</v>
      </c>
      <c r="L3974" s="14">
        <v>0.0</v>
      </c>
      <c r="M3974" s="25"/>
      <c r="N3974" s="26" t="s">
        <v>21</v>
      </c>
      <c r="O3974" s="7"/>
      <c r="P3974" s="7"/>
      <c r="Q3974" s="7"/>
      <c r="R3974" s="7"/>
      <c r="S3974" s="7"/>
      <c r="T3974" s="7"/>
      <c r="U3974" s="7"/>
      <c r="V3974" s="7"/>
      <c r="W3974" s="7"/>
      <c r="X3974" s="7"/>
      <c r="Y3974" s="7"/>
    </row>
    <row r="3975">
      <c r="A3975" s="14" t="s">
        <v>14063</v>
      </c>
      <c r="B3975" s="17" t="s">
        <v>14059</v>
      </c>
      <c r="C3975" s="17" t="s">
        <v>14064</v>
      </c>
      <c r="D3975" s="19" t="s">
        <v>14065</v>
      </c>
      <c r="E3975" s="20" t="s">
        <v>104</v>
      </c>
      <c r="F3975" s="21">
        <v>31669.0</v>
      </c>
      <c r="G3975" s="14">
        <f t="shared" si="1"/>
        <v>40</v>
      </c>
      <c r="H3975" s="23" t="s">
        <v>26</v>
      </c>
      <c r="I3975" s="24" t="s">
        <v>27</v>
      </c>
      <c r="J3975" s="19" t="s">
        <v>14062</v>
      </c>
      <c r="K3975" s="14">
        <v>10.0</v>
      </c>
      <c r="L3975" s="14">
        <v>0.0</v>
      </c>
      <c r="M3975" s="25"/>
      <c r="N3975" s="26" t="s">
        <v>21</v>
      </c>
      <c r="O3975" s="7"/>
      <c r="P3975" s="7"/>
      <c r="Q3975" s="7"/>
      <c r="R3975" s="7"/>
      <c r="S3975" s="7"/>
      <c r="T3975" s="7"/>
      <c r="U3975" s="7"/>
      <c r="V3975" s="7"/>
      <c r="W3975" s="7"/>
      <c r="X3975" s="7"/>
      <c r="Y3975" s="7"/>
    </row>
    <row r="3976">
      <c r="A3976" s="14" t="s">
        <v>14066</v>
      </c>
      <c r="B3976" s="17" t="s">
        <v>14067</v>
      </c>
      <c r="C3976" s="17" t="s">
        <v>14068</v>
      </c>
      <c r="D3976" s="19" t="s">
        <v>14069</v>
      </c>
      <c r="E3976" s="20" t="s">
        <v>53</v>
      </c>
      <c r="F3976" s="21">
        <v>32449.0</v>
      </c>
      <c r="G3976" s="14">
        <f t="shared" si="1"/>
        <v>37</v>
      </c>
      <c r="H3976" s="23" t="s">
        <v>26</v>
      </c>
      <c r="I3976" s="24" t="s">
        <v>27</v>
      </c>
      <c r="J3976" s="19" t="s">
        <v>328</v>
      </c>
      <c r="K3976" s="14">
        <v>26.0</v>
      </c>
      <c r="L3976" s="14">
        <v>0.0</v>
      </c>
      <c r="M3976" s="25"/>
      <c r="N3976" s="26" t="s">
        <v>21</v>
      </c>
      <c r="O3976" s="7"/>
      <c r="P3976" s="7"/>
      <c r="Q3976" s="7"/>
      <c r="R3976" s="7"/>
      <c r="S3976" s="7"/>
      <c r="T3976" s="7"/>
      <c r="U3976" s="7"/>
      <c r="V3976" s="7"/>
      <c r="W3976" s="7"/>
      <c r="X3976" s="7"/>
      <c r="Y3976" s="7"/>
    </row>
    <row r="3977">
      <c r="A3977" s="14" t="s">
        <v>14070</v>
      </c>
      <c r="B3977" s="17" t="s">
        <v>14067</v>
      </c>
      <c r="C3977" s="17" t="s">
        <v>14071</v>
      </c>
      <c r="D3977" s="19" t="s">
        <v>14072</v>
      </c>
      <c r="E3977" s="20" t="s">
        <v>736</v>
      </c>
      <c r="F3977" s="21">
        <v>32330.0</v>
      </c>
      <c r="G3977" s="14">
        <f t="shared" si="1"/>
        <v>38</v>
      </c>
      <c r="H3977" s="23" t="s">
        <v>26</v>
      </c>
      <c r="I3977" s="24" t="s">
        <v>33</v>
      </c>
      <c r="J3977" s="19" t="s">
        <v>328</v>
      </c>
      <c r="K3977" s="14">
        <v>26.0</v>
      </c>
      <c r="L3977" s="14">
        <v>0.0</v>
      </c>
      <c r="M3977" s="25"/>
      <c r="N3977" s="26" t="s">
        <v>21</v>
      </c>
      <c r="O3977" s="7"/>
      <c r="P3977" s="7"/>
      <c r="Q3977" s="7"/>
      <c r="R3977" s="7"/>
      <c r="S3977" s="7"/>
      <c r="T3977" s="7"/>
      <c r="U3977" s="7"/>
      <c r="V3977" s="7"/>
      <c r="W3977" s="7"/>
      <c r="X3977" s="7"/>
      <c r="Y3977" s="7"/>
    </row>
    <row r="3978">
      <c r="A3978" s="14" t="s">
        <v>14073</v>
      </c>
      <c r="B3978" s="17" t="s">
        <v>14074</v>
      </c>
      <c r="C3978" s="17" t="s">
        <v>14075</v>
      </c>
      <c r="D3978" s="19" t="s">
        <v>14076</v>
      </c>
      <c r="E3978" s="20" t="s">
        <v>53</v>
      </c>
      <c r="F3978" s="27">
        <v>30272.0</v>
      </c>
      <c r="G3978" s="14">
        <f t="shared" si="1"/>
        <v>43</v>
      </c>
      <c r="H3978" s="23" t="s">
        <v>26</v>
      </c>
      <c r="I3978" s="24" t="s">
        <v>33</v>
      </c>
      <c r="J3978" s="19" t="s">
        <v>362</v>
      </c>
      <c r="K3978" s="14">
        <v>14.0</v>
      </c>
      <c r="L3978" s="14">
        <v>0.0</v>
      </c>
      <c r="M3978" s="25"/>
      <c r="N3978" s="26" t="s">
        <v>21</v>
      </c>
      <c r="O3978" s="7"/>
      <c r="P3978" s="7"/>
      <c r="Q3978" s="7"/>
      <c r="R3978" s="7"/>
      <c r="S3978" s="7"/>
      <c r="T3978" s="7"/>
      <c r="U3978" s="7"/>
      <c r="V3978" s="7"/>
      <c r="W3978" s="7"/>
      <c r="X3978" s="7"/>
      <c r="Y3978" s="7"/>
    </row>
    <row r="3979">
      <c r="A3979" s="14" t="s">
        <v>14077</v>
      </c>
      <c r="B3979" s="17" t="s">
        <v>14074</v>
      </c>
      <c r="C3979" s="17" t="s">
        <v>14078</v>
      </c>
      <c r="D3979" s="19" t="s">
        <v>14079</v>
      </c>
      <c r="E3979" s="20" t="s">
        <v>769</v>
      </c>
      <c r="F3979" s="27">
        <v>33563.0</v>
      </c>
      <c r="G3979" s="14">
        <f t="shared" si="1"/>
        <v>34</v>
      </c>
      <c r="H3979" s="23" t="s">
        <v>26</v>
      </c>
      <c r="I3979" s="24" t="s">
        <v>27</v>
      </c>
      <c r="J3979" s="19" t="s">
        <v>362</v>
      </c>
      <c r="K3979" s="14">
        <v>14.0</v>
      </c>
      <c r="L3979" s="14">
        <v>0.0</v>
      </c>
      <c r="M3979" s="25"/>
      <c r="N3979" s="26" t="s">
        <v>21</v>
      </c>
      <c r="O3979" s="7"/>
      <c r="P3979" s="7"/>
      <c r="Q3979" s="7"/>
      <c r="R3979" s="7"/>
      <c r="S3979" s="7"/>
      <c r="T3979" s="7"/>
      <c r="U3979" s="7"/>
      <c r="V3979" s="7"/>
      <c r="W3979" s="7"/>
      <c r="X3979" s="7"/>
      <c r="Y3979" s="7"/>
    </row>
    <row r="3980">
      <c r="A3980" s="14" t="s">
        <v>14080</v>
      </c>
      <c r="B3980" s="17" t="s">
        <v>14081</v>
      </c>
      <c r="C3980" s="17" t="s">
        <v>14082</v>
      </c>
      <c r="D3980" s="19" t="s">
        <v>14083</v>
      </c>
      <c r="E3980" s="20" t="s">
        <v>67</v>
      </c>
      <c r="F3980" s="21">
        <v>36582.0</v>
      </c>
      <c r="G3980" s="14">
        <f t="shared" si="1"/>
        <v>26</v>
      </c>
      <c r="H3980" s="23" t="s">
        <v>100</v>
      </c>
      <c r="I3980" s="24" t="s">
        <v>33</v>
      </c>
      <c r="J3980" s="19" t="s">
        <v>68</v>
      </c>
      <c r="K3980" s="14">
        <v>32.0</v>
      </c>
      <c r="L3980" s="14">
        <v>5.0</v>
      </c>
      <c r="M3980" s="25"/>
      <c r="N3980" s="26" t="s">
        <v>21</v>
      </c>
      <c r="O3980" s="7"/>
      <c r="P3980" s="7"/>
      <c r="Q3980" s="7"/>
      <c r="R3980" s="7"/>
      <c r="S3980" s="7"/>
      <c r="T3980" s="7"/>
      <c r="U3980" s="7"/>
      <c r="V3980" s="7"/>
      <c r="W3980" s="7"/>
      <c r="X3980" s="7"/>
      <c r="Y3980" s="7"/>
    </row>
    <row r="3981">
      <c r="A3981" s="14" t="s">
        <v>14084</v>
      </c>
      <c r="B3981" s="17" t="s">
        <v>14081</v>
      </c>
      <c r="C3981" s="17" t="s">
        <v>14085</v>
      </c>
      <c r="D3981" s="19" t="s">
        <v>8387</v>
      </c>
      <c r="E3981" s="20" t="s">
        <v>67</v>
      </c>
      <c r="F3981" s="21">
        <v>24573.0</v>
      </c>
      <c r="G3981" s="14">
        <f t="shared" si="1"/>
        <v>59</v>
      </c>
      <c r="H3981" s="23" t="s">
        <v>26</v>
      </c>
      <c r="I3981" s="24" t="s">
        <v>27</v>
      </c>
      <c r="J3981" s="19" t="s">
        <v>68</v>
      </c>
      <c r="K3981" s="14">
        <v>32.0</v>
      </c>
      <c r="L3981" s="14">
        <v>0.0</v>
      </c>
      <c r="M3981" s="25"/>
      <c r="N3981" s="26" t="s">
        <v>21</v>
      </c>
      <c r="O3981" s="7"/>
      <c r="P3981" s="7"/>
      <c r="Q3981" s="7"/>
      <c r="R3981" s="7"/>
      <c r="S3981" s="7"/>
      <c r="T3981" s="7"/>
      <c r="U3981" s="7"/>
      <c r="V3981" s="7"/>
      <c r="W3981" s="7"/>
      <c r="X3981" s="7"/>
      <c r="Y3981" s="7"/>
    </row>
    <row r="3982">
      <c r="A3982" s="14" t="s">
        <v>14086</v>
      </c>
      <c r="B3982" s="17" t="s">
        <v>14087</v>
      </c>
      <c r="C3982" s="17" t="s">
        <v>14088</v>
      </c>
      <c r="D3982" s="19" t="s">
        <v>14089</v>
      </c>
      <c r="E3982" s="20" t="s">
        <v>654</v>
      </c>
      <c r="F3982" s="21">
        <v>28198.0</v>
      </c>
      <c r="G3982" s="14">
        <f t="shared" si="1"/>
        <v>49</v>
      </c>
      <c r="H3982" s="23" t="s">
        <v>26</v>
      </c>
      <c r="I3982" s="24" t="s">
        <v>33</v>
      </c>
      <c r="J3982" s="19" t="s">
        <v>68</v>
      </c>
      <c r="K3982" s="14">
        <v>28.0</v>
      </c>
      <c r="L3982" s="14">
        <v>0.0</v>
      </c>
      <c r="M3982" s="25"/>
      <c r="N3982" s="26" t="s">
        <v>21</v>
      </c>
      <c r="O3982" s="7"/>
      <c r="P3982" s="7"/>
      <c r="Q3982" s="7"/>
      <c r="R3982" s="7"/>
      <c r="S3982" s="7"/>
      <c r="T3982" s="7"/>
      <c r="U3982" s="7"/>
      <c r="V3982" s="7"/>
      <c r="W3982" s="7"/>
      <c r="X3982" s="7"/>
      <c r="Y3982" s="7"/>
    </row>
    <row r="3983">
      <c r="A3983" s="14" t="s">
        <v>14090</v>
      </c>
      <c r="B3983" s="17" t="s">
        <v>14087</v>
      </c>
      <c r="C3983" s="17" t="s">
        <v>14091</v>
      </c>
      <c r="D3983" s="19" t="s">
        <v>14092</v>
      </c>
      <c r="E3983" s="20" t="s">
        <v>2980</v>
      </c>
      <c r="F3983" s="21">
        <v>30779.0</v>
      </c>
      <c r="G3983" s="14">
        <f t="shared" si="1"/>
        <v>42</v>
      </c>
      <c r="H3983" s="23" t="s">
        <v>26</v>
      </c>
      <c r="I3983" s="24" t="s">
        <v>27</v>
      </c>
      <c r="J3983" s="19" t="s">
        <v>68</v>
      </c>
      <c r="K3983" s="14">
        <v>28.0</v>
      </c>
      <c r="L3983" s="14">
        <v>0.0</v>
      </c>
      <c r="M3983" s="25"/>
      <c r="N3983" s="26" t="s">
        <v>21</v>
      </c>
      <c r="O3983" s="7"/>
      <c r="P3983" s="7"/>
      <c r="Q3983" s="7"/>
      <c r="R3983" s="7"/>
      <c r="S3983" s="7"/>
      <c r="T3983" s="7"/>
      <c r="U3983" s="7"/>
      <c r="V3983" s="7"/>
      <c r="W3983" s="7"/>
      <c r="X3983" s="7"/>
      <c r="Y3983" s="7"/>
    </row>
    <row r="3984">
      <c r="A3984" s="14" t="s">
        <v>14093</v>
      </c>
      <c r="B3984" s="17" t="s">
        <v>14094</v>
      </c>
      <c r="C3984" s="17" t="s">
        <v>14095</v>
      </c>
      <c r="D3984" s="19" t="s">
        <v>14096</v>
      </c>
      <c r="E3984" s="20" t="s">
        <v>104</v>
      </c>
      <c r="F3984" s="21">
        <v>36077.0</v>
      </c>
      <c r="G3984" s="14">
        <f t="shared" si="1"/>
        <v>28</v>
      </c>
      <c r="H3984" s="23" t="s">
        <v>26</v>
      </c>
      <c r="I3984" s="24" t="s">
        <v>33</v>
      </c>
      <c r="J3984" s="19" t="s">
        <v>282</v>
      </c>
      <c r="K3984" s="14">
        <v>11.0</v>
      </c>
      <c r="L3984" s="14">
        <v>0.0</v>
      </c>
      <c r="M3984" s="25"/>
      <c r="N3984" s="26" t="s">
        <v>21</v>
      </c>
      <c r="O3984" s="7"/>
      <c r="P3984" s="7"/>
      <c r="Q3984" s="7"/>
      <c r="R3984" s="7"/>
      <c r="S3984" s="7"/>
      <c r="T3984" s="7"/>
      <c r="U3984" s="7"/>
      <c r="V3984" s="7"/>
      <c r="W3984" s="7"/>
      <c r="X3984" s="7"/>
      <c r="Y3984" s="7"/>
    </row>
    <row r="3985">
      <c r="A3985" s="14" t="s">
        <v>14097</v>
      </c>
      <c r="B3985" s="17" t="s">
        <v>14094</v>
      </c>
      <c r="C3985" s="17" t="s">
        <v>14098</v>
      </c>
      <c r="D3985" s="19" t="s">
        <v>14099</v>
      </c>
      <c r="E3985" s="20" t="s">
        <v>14100</v>
      </c>
      <c r="F3985" s="21">
        <v>36251.0</v>
      </c>
      <c r="G3985" s="14">
        <f t="shared" si="1"/>
        <v>27</v>
      </c>
      <c r="H3985" s="23" t="s">
        <v>26</v>
      </c>
      <c r="I3985" s="24" t="s">
        <v>27</v>
      </c>
      <c r="J3985" s="19" t="s">
        <v>282</v>
      </c>
      <c r="K3985" s="14">
        <v>11.0</v>
      </c>
      <c r="L3985" s="14">
        <v>0.0</v>
      </c>
      <c r="M3985" s="25"/>
      <c r="N3985" s="26" t="s">
        <v>21</v>
      </c>
      <c r="O3985" s="7"/>
      <c r="P3985" s="7"/>
      <c r="Q3985" s="7"/>
      <c r="R3985" s="7"/>
      <c r="S3985" s="7"/>
      <c r="T3985" s="7"/>
      <c r="U3985" s="7"/>
      <c r="V3985" s="7"/>
      <c r="W3985" s="7"/>
      <c r="X3985" s="7"/>
      <c r="Y3985" s="7"/>
    </row>
    <row r="3986">
      <c r="A3986" s="14" t="s">
        <v>14101</v>
      </c>
      <c r="B3986" s="17" t="s">
        <v>14102</v>
      </c>
      <c r="C3986" s="17" t="s">
        <v>14103</v>
      </c>
      <c r="D3986" s="19" t="s">
        <v>14104</v>
      </c>
      <c r="E3986" s="20" t="s">
        <v>104</v>
      </c>
      <c r="F3986" s="21">
        <v>36248.0</v>
      </c>
      <c r="G3986" s="14">
        <f t="shared" si="1"/>
        <v>27</v>
      </c>
      <c r="H3986" s="23" t="s">
        <v>100</v>
      </c>
      <c r="I3986" s="24" t="s">
        <v>33</v>
      </c>
      <c r="J3986" s="19" t="s">
        <v>726</v>
      </c>
      <c r="K3986" s="14">
        <v>16.0</v>
      </c>
      <c r="L3986" s="14">
        <v>0.0</v>
      </c>
      <c r="M3986" s="25"/>
      <c r="N3986" s="26" t="s">
        <v>21</v>
      </c>
      <c r="O3986" s="7"/>
      <c r="P3986" s="7"/>
      <c r="Q3986" s="7"/>
      <c r="R3986" s="7"/>
      <c r="S3986" s="7"/>
      <c r="T3986" s="7"/>
      <c r="U3986" s="7"/>
      <c r="V3986" s="7"/>
      <c r="W3986" s="7"/>
      <c r="X3986" s="7"/>
      <c r="Y3986" s="7"/>
    </row>
    <row r="3987">
      <c r="A3987" s="14" t="s">
        <v>14105</v>
      </c>
      <c r="B3987" s="17" t="s">
        <v>14102</v>
      </c>
      <c r="C3987" s="17" t="s">
        <v>14106</v>
      </c>
      <c r="D3987" s="19" t="s">
        <v>1549</v>
      </c>
      <c r="E3987" s="20" t="s">
        <v>1049</v>
      </c>
      <c r="F3987" s="21">
        <v>26041.0</v>
      </c>
      <c r="G3987" s="14">
        <f t="shared" si="1"/>
        <v>55</v>
      </c>
      <c r="H3987" s="23" t="s">
        <v>27</v>
      </c>
      <c r="I3987" s="24" t="s">
        <v>27</v>
      </c>
      <c r="J3987" s="19" t="s">
        <v>726</v>
      </c>
      <c r="K3987" s="14">
        <v>16.0</v>
      </c>
      <c r="L3987" s="14">
        <v>0.0</v>
      </c>
      <c r="M3987" s="25"/>
      <c r="N3987" s="26" t="s">
        <v>21</v>
      </c>
      <c r="O3987" s="7"/>
      <c r="P3987" s="7"/>
      <c r="Q3987" s="7"/>
      <c r="R3987" s="7"/>
      <c r="S3987" s="7"/>
      <c r="T3987" s="7"/>
      <c r="U3987" s="7"/>
      <c r="V3987" s="7"/>
      <c r="W3987" s="7"/>
      <c r="X3987" s="7"/>
      <c r="Y3987" s="7"/>
    </row>
    <row r="3988">
      <c r="A3988" s="14" t="s">
        <v>14107</v>
      </c>
      <c r="B3988" s="17" t="s">
        <v>14108</v>
      </c>
      <c r="C3988" s="17" t="s">
        <v>14109</v>
      </c>
      <c r="D3988" s="19" t="s">
        <v>11547</v>
      </c>
      <c r="E3988" s="20" t="s">
        <v>1816</v>
      </c>
      <c r="F3988" s="21">
        <v>22799.0</v>
      </c>
      <c r="G3988" s="14">
        <f t="shared" si="1"/>
        <v>64</v>
      </c>
      <c r="H3988" s="23" t="s">
        <v>27</v>
      </c>
      <c r="I3988" s="24" t="s">
        <v>27</v>
      </c>
      <c r="J3988" s="19" t="s">
        <v>68</v>
      </c>
      <c r="K3988" s="14">
        <v>28.0</v>
      </c>
      <c r="L3988" s="14">
        <v>0.0</v>
      </c>
      <c r="M3988" s="25"/>
      <c r="N3988" s="26" t="s">
        <v>21</v>
      </c>
      <c r="O3988" s="7"/>
      <c r="P3988" s="7"/>
      <c r="Q3988" s="7"/>
      <c r="R3988" s="7"/>
      <c r="S3988" s="7"/>
      <c r="T3988" s="7"/>
      <c r="U3988" s="7"/>
      <c r="V3988" s="7"/>
      <c r="W3988" s="7"/>
      <c r="X3988" s="7"/>
      <c r="Y3988" s="7"/>
    </row>
    <row r="3989">
      <c r="A3989" s="14" t="s">
        <v>14110</v>
      </c>
      <c r="B3989" s="17" t="s">
        <v>14111</v>
      </c>
      <c r="C3989" s="17" t="s">
        <v>14112</v>
      </c>
      <c r="D3989" s="19" t="s">
        <v>14113</v>
      </c>
      <c r="E3989" s="20" t="s">
        <v>14114</v>
      </c>
      <c r="F3989" s="21">
        <v>28612.0</v>
      </c>
      <c r="G3989" s="14">
        <f t="shared" si="1"/>
        <v>48</v>
      </c>
      <c r="H3989" s="23" t="s">
        <v>26</v>
      </c>
      <c r="I3989" s="24" t="s">
        <v>27</v>
      </c>
      <c r="J3989" s="19" t="s">
        <v>156</v>
      </c>
      <c r="K3989" s="14">
        <v>28.0</v>
      </c>
      <c r="L3989" s="14">
        <v>0.0</v>
      </c>
      <c r="M3989" s="25"/>
      <c r="N3989" s="26" t="s">
        <v>21</v>
      </c>
      <c r="O3989" s="7"/>
      <c r="P3989" s="7"/>
      <c r="Q3989" s="7"/>
      <c r="R3989" s="7"/>
      <c r="S3989" s="7"/>
      <c r="T3989" s="7"/>
      <c r="U3989" s="7"/>
      <c r="V3989" s="7"/>
      <c r="W3989" s="7"/>
      <c r="X3989" s="7"/>
      <c r="Y3989" s="7"/>
    </row>
    <row r="3990">
      <c r="A3990" s="14" t="s">
        <v>14115</v>
      </c>
      <c r="B3990" s="17" t="s">
        <v>14111</v>
      </c>
      <c r="C3990" s="17" t="s">
        <v>14116</v>
      </c>
      <c r="D3990" s="19" t="s">
        <v>14117</v>
      </c>
      <c r="E3990" s="20" t="s">
        <v>14118</v>
      </c>
      <c r="F3990" s="21">
        <v>29316.0</v>
      </c>
      <c r="G3990" s="14">
        <f t="shared" si="1"/>
        <v>46</v>
      </c>
      <c r="H3990" s="23" t="s">
        <v>26</v>
      </c>
      <c r="I3990" s="24" t="s">
        <v>33</v>
      </c>
      <c r="J3990" s="19" t="s">
        <v>156</v>
      </c>
      <c r="K3990" s="14">
        <v>28.0</v>
      </c>
      <c r="L3990" s="14">
        <v>0.0</v>
      </c>
      <c r="M3990" s="25"/>
      <c r="N3990" s="26" t="s">
        <v>21</v>
      </c>
      <c r="O3990" s="7"/>
      <c r="P3990" s="7"/>
      <c r="Q3990" s="7"/>
      <c r="R3990" s="7"/>
      <c r="S3990" s="7"/>
      <c r="T3990" s="7"/>
      <c r="U3990" s="7"/>
      <c r="V3990" s="7"/>
      <c r="W3990" s="7"/>
      <c r="X3990" s="7"/>
      <c r="Y3990" s="7"/>
    </row>
    <row r="3991">
      <c r="A3991" s="14" t="s">
        <v>14119</v>
      </c>
      <c r="B3991" s="17" t="s">
        <v>14120</v>
      </c>
      <c r="C3991" s="17" t="s">
        <v>14121</v>
      </c>
      <c r="D3991" s="19" t="s">
        <v>957</v>
      </c>
      <c r="E3991" s="20" t="s">
        <v>14122</v>
      </c>
      <c r="F3991" s="27">
        <v>22929.0</v>
      </c>
      <c r="G3991" s="14">
        <f t="shared" si="1"/>
        <v>64</v>
      </c>
      <c r="H3991" s="23" t="s">
        <v>26</v>
      </c>
      <c r="I3991" s="24" t="s">
        <v>33</v>
      </c>
      <c r="J3991" s="19" t="s">
        <v>14123</v>
      </c>
      <c r="K3991" s="14">
        <v>10.0</v>
      </c>
      <c r="L3991" s="14">
        <v>0.0</v>
      </c>
      <c r="M3991" s="25"/>
      <c r="N3991" s="26" t="s">
        <v>21</v>
      </c>
      <c r="O3991" s="7"/>
      <c r="P3991" s="7"/>
      <c r="Q3991" s="7"/>
      <c r="R3991" s="7"/>
      <c r="S3991" s="7"/>
      <c r="T3991" s="7"/>
      <c r="U3991" s="7"/>
      <c r="V3991" s="7"/>
      <c r="W3991" s="7"/>
      <c r="X3991" s="7"/>
      <c r="Y3991" s="7"/>
    </row>
    <row r="3992">
      <c r="A3992" s="14" t="s">
        <v>14124</v>
      </c>
      <c r="B3992" s="17" t="s">
        <v>14120</v>
      </c>
      <c r="C3992" s="17" t="s">
        <v>14125</v>
      </c>
      <c r="D3992" s="19" t="s">
        <v>6699</v>
      </c>
      <c r="E3992" s="20" t="s">
        <v>14126</v>
      </c>
      <c r="F3992" s="27">
        <v>24405.0</v>
      </c>
      <c r="G3992" s="14">
        <f t="shared" si="1"/>
        <v>60</v>
      </c>
      <c r="H3992" s="23" t="s">
        <v>26</v>
      </c>
      <c r="I3992" s="24" t="s">
        <v>27</v>
      </c>
      <c r="J3992" s="19" t="s">
        <v>14123</v>
      </c>
      <c r="K3992" s="14">
        <v>10.0</v>
      </c>
      <c r="L3992" s="14">
        <v>0.0</v>
      </c>
      <c r="M3992" s="25"/>
      <c r="N3992" s="26" t="s">
        <v>21</v>
      </c>
      <c r="O3992" s="7"/>
      <c r="P3992" s="7"/>
      <c r="Q3992" s="7"/>
      <c r="R3992" s="7"/>
      <c r="S3992" s="7"/>
      <c r="T3992" s="7"/>
      <c r="U3992" s="7"/>
      <c r="V3992" s="7"/>
      <c r="W3992" s="7"/>
      <c r="X3992" s="7"/>
      <c r="Y3992" s="7"/>
    </row>
    <row r="3993">
      <c r="A3993" s="14" t="s">
        <v>14127</v>
      </c>
      <c r="B3993" s="17" t="s">
        <v>14128</v>
      </c>
      <c r="C3993" s="17" t="s">
        <v>14129</v>
      </c>
      <c r="D3993" s="19" t="s">
        <v>14130</v>
      </c>
      <c r="E3993" s="20" t="s">
        <v>654</v>
      </c>
      <c r="F3993" s="21">
        <v>21663.0</v>
      </c>
      <c r="G3993" s="14">
        <f t="shared" si="1"/>
        <v>67</v>
      </c>
      <c r="H3993" s="23" t="s">
        <v>27</v>
      </c>
      <c r="I3993" s="24" t="s">
        <v>27</v>
      </c>
      <c r="J3993" s="19" t="s">
        <v>58</v>
      </c>
      <c r="K3993" s="14">
        <v>9.0</v>
      </c>
      <c r="L3993" s="14">
        <v>1.0</v>
      </c>
      <c r="M3993" s="25"/>
      <c r="N3993" s="26" t="s">
        <v>21</v>
      </c>
      <c r="O3993" s="7"/>
      <c r="P3993" s="7"/>
      <c r="Q3993" s="7"/>
      <c r="R3993" s="7"/>
      <c r="S3993" s="7"/>
      <c r="T3993" s="7"/>
      <c r="U3993" s="7"/>
      <c r="V3993" s="7"/>
      <c r="W3993" s="7"/>
      <c r="X3993" s="7"/>
      <c r="Y3993" s="7"/>
    </row>
    <row r="3994">
      <c r="A3994" s="14" t="s">
        <v>14131</v>
      </c>
      <c r="B3994" s="17" t="s">
        <v>14132</v>
      </c>
      <c r="C3994" s="17" t="s">
        <v>14133</v>
      </c>
      <c r="D3994" s="19" t="s">
        <v>14134</v>
      </c>
      <c r="E3994" s="20" t="s">
        <v>104</v>
      </c>
      <c r="F3994" s="21">
        <v>33460.0</v>
      </c>
      <c r="G3994" s="14">
        <f t="shared" si="1"/>
        <v>35</v>
      </c>
      <c r="H3994" s="23" t="s">
        <v>26</v>
      </c>
      <c r="I3994" s="24" t="s">
        <v>33</v>
      </c>
      <c r="J3994" s="19" t="s">
        <v>14135</v>
      </c>
      <c r="K3994" s="14">
        <v>33.0</v>
      </c>
      <c r="L3994" s="14">
        <v>0.0</v>
      </c>
      <c r="M3994" s="25"/>
      <c r="N3994" s="26" t="s">
        <v>21</v>
      </c>
      <c r="O3994" s="7"/>
      <c r="P3994" s="7"/>
      <c r="Q3994" s="7"/>
      <c r="R3994" s="7"/>
      <c r="S3994" s="7"/>
      <c r="T3994" s="7"/>
      <c r="U3994" s="7"/>
      <c r="V3994" s="7"/>
      <c r="W3994" s="7"/>
      <c r="X3994" s="7"/>
      <c r="Y3994" s="7"/>
    </row>
    <row r="3995">
      <c r="A3995" s="14" t="s">
        <v>14136</v>
      </c>
      <c r="B3995" s="17" t="s">
        <v>14132</v>
      </c>
      <c r="C3995" s="17" t="s">
        <v>14137</v>
      </c>
      <c r="D3995" s="19" t="s">
        <v>2644</v>
      </c>
      <c r="E3995" s="20" t="s">
        <v>104</v>
      </c>
      <c r="F3995" s="21">
        <v>34953.0</v>
      </c>
      <c r="G3995" s="14">
        <f t="shared" si="1"/>
        <v>31</v>
      </c>
      <c r="H3995" s="23" t="s">
        <v>26</v>
      </c>
      <c r="I3995" s="24" t="s">
        <v>27</v>
      </c>
      <c r="J3995" s="19" t="s">
        <v>14135</v>
      </c>
      <c r="K3995" s="14">
        <v>33.0</v>
      </c>
      <c r="L3995" s="14">
        <v>0.0</v>
      </c>
      <c r="M3995" s="25"/>
      <c r="N3995" s="26" t="s">
        <v>21</v>
      </c>
      <c r="O3995" s="7"/>
      <c r="P3995" s="7"/>
      <c r="Q3995" s="7"/>
      <c r="R3995" s="7"/>
      <c r="S3995" s="7"/>
      <c r="T3995" s="7"/>
      <c r="U3995" s="7"/>
      <c r="V3995" s="7"/>
      <c r="W3995" s="7"/>
      <c r="X3995" s="7"/>
      <c r="Y3995" s="7"/>
    </row>
    <row r="3996">
      <c r="A3996" s="14" t="s">
        <v>14138</v>
      </c>
      <c r="B3996" s="17" t="s">
        <v>14139</v>
      </c>
      <c r="C3996" s="17" t="s">
        <v>14140</v>
      </c>
      <c r="D3996" s="19" t="s">
        <v>14141</v>
      </c>
      <c r="E3996" s="20" t="s">
        <v>337</v>
      </c>
      <c r="F3996" s="21">
        <v>37337.0</v>
      </c>
      <c r="G3996" s="14">
        <f t="shared" si="1"/>
        <v>24</v>
      </c>
      <c r="H3996" s="23" t="s">
        <v>100</v>
      </c>
      <c r="I3996" s="24" t="s">
        <v>33</v>
      </c>
      <c r="J3996" s="19" t="s">
        <v>95</v>
      </c>
      <c r="K3996" s="14">
        <v>15.0</v>
      </c>
      <c r="L3996" s="14">
        <v>0.0</v>
      </c>
      <c r="M3996" s="25"/>
      <c r="N3996" s="26" t="s">
        <v>21</v>
      </c>
      <c r="O3996" s="7"/>
      <c r="P3996" s="7"/>
      <c r="Q3996" s="7"/>
      <c r="R3996" s="7"/>
      <c r="S3996" s="7"/>
      <c r="T3996" s="7"/>
      <c r="U3996" s="7"/>
      <c r="V3996" s="7"/>
      <c r="W3996" s="7"/>
      <c r="X3996" s="7"/>
      <c r="Y3996" s="7"/>
    </row>
    <row r="3997">
      <c r="A3997" s="14" t="s">
        <v>14142</v>
      </c>
      <c r="B3997" s="17" t="s">
        <v>14139</v>
      </c>
      <c r="C3997" s="17" t="s">
        <v>14143</v>
      </c>
      <c r="D3997" s="19" t="s">
        <v>14144</v>
      </c>
      <c r="E3997" s="20" t="s">
        <v>654</v>
      </c>
      <c r="F3997" s="21">
        <v>28877.0</v>
      </c>
      <c r="G3997" s="14">
        <f t="shared" si="1"/>
        <v>47</v>
      </c>
      <c r="H3997" s="23" t="s">
        <v>26</v>
      </c>
      <c r="I3997" s="24" t="s">
        <v>27</v>
      </c>
      <c r="J3997" s="19" t="s">
        <v>95</v>
      </c>
      <c r="K3997" s="14">
        <v>15.0</v>
      </c>
      <c r="L3997" s="14">
        <v>0.0</v>
      </c>
      <c r="M3997" s="25"/>
      <c r="N3997" s="26" t="s">
        <v>21</v>
      </c>
      <c r="O3997" s="7"/>
      <c r="P3997" s="7"/>
      <c r="Q3997" s="7"/>
      <c r="R3997" s="7"/>
      <c r="S3997" s="7"/>
      <c r="T3997" s="7"/>
      <c r="U3997" s="7"/>
      <c r="V3997" s="7"/>
      <c r="W3997" s="7"/>
      <c r="X3997" s="7"/>
      <c r="Y3997" s="7"/>
    </row>
    <row r="3998">
      <c r="A3998" s="14" t="s">
        <v>14145</v>
      </c>
      <c r="B3998" s="17" t="s">
        <v>14139</v>
      </c>
      <c r="C3998" s="17" t="s">
        <v>14146</v>
      </c>
      <c r="D3998" s="19" t="s">
        <v>14147</v>
      </c>
      <c r="E3998" s="20" t="s">
        <v>654</v>
      </c>
      <c r="F3998" s="21">
        <v>27561.0</v>
      </c>
      <c r="G3998" s="14">
        <f t="shared" si="1"/>
        <v>51</v>
      </c>
      <c r="H3998" s="23" t="s">
        <v>26</v>
      </c>
      <c r="I3998" s="24" t="s">
        <v>33</v>
      </c>
      <c r="J3998" s="19" t="s">
        <v>95</v>
      </c>
      <c r="K3998" s="14">
        <v>15.0</v>
      </c>
      <c r="L3998" s="14">
        <v>0.0</v>
      </c>
      <c r="M3998" s="25"/>
      <c r="N3998" s="26" t="s">
        <v>21</v>
      </c>
      <c r="O3998" s="7"/>
      <c r="P3998" s="7"/>
      <c r="Q3998" s="7"/>
      <c r="R3998" s="7"/>
      <c r="S3998" s="7"/>
      <c r="T3998" s="7"/>
      <c r="U3998" s="7"/>
      <c r="V3998" s="7"/>
      <c r="W3998" s="7"/>
      <c r="X3998" s="7"/>
      <c r="Y3998" s="7"/>
    </row>
    <row r="3999">
      <c r="A3999" s="14" t="s">
        <v>14148</v>
      </c>
      <c r="B3999" s="17" t="s">
        <v>14139</v>
      </c>
      <c r="C3999" s="17" t="s">
        <v>14149</v>
      </c>
      <c r="D3999" s="19" t="s">
        <v>14150</v>
      </c>
      <c r="E3999" s="20" t="s">
        <v>104</v>
      </c>
      <c r="F3999" s="21">
        <v>37689.0</v>
      </c>
      <c r="G3999" s="14">
        <f t="shared" si="1"/>
        <v>23</v>
      </c>
      <c r="H3999" s="23" t="s">
        <v>100</v>
      </c>
      <c r="I3999" s="24" t="s">
        <v>33</v>
      </c>
      <c r="J3999" s="19" t="s">
        <v>95</v>
      </c>
      <c r="K3999" s="14">
        <v>15.0</v>
      </c>
      <c r="L3999" s="14">
        <v>0.0</v>
      </c>
      <c r="M3999" s="25"/>
      <c r="N3999" s="26" t="s">
        <v>21</v>
      </c>
      <c r="O3999" s="7"/>
      <c r="P3999" s="7"/>
      <c r="Q3999" s="7"/>
      <c r="R3999" s="7"/>
      <c r="S3999" s="7"/>
      <c r="T3999" s="7"/>
      <c r="U3999" s="7"/>
      <c r="V3999" s="7"/>
      <c r="W3999" s="7"/>
      <c r="X3999" s="7"/>
      <c r="Y3999" s="7"/>
    </row>
    <row r="4000">
      <c r="A4000" s="14" t="s">
        <v>14152</v>
      </c>
      <c r="B4000" s="17" t="s">
        <v>14153</v>
      </c>
      <c r="C4000" s="17" t="s">
        <v>14154</v>
      </c>
      <c r="D4000" s="19" t="s">
        <v>14155</v>
      </c>
      <c r="E4000" s="20" t="s">
        <v>274</v>
      </c>
      <c r="F4000" s="21">
        <v>34081.0</v>
      </c>
      <c r="G4000" s="14">
        <f t="shared" si="1"/>
        <v>33</v>
      </c>
      <c r="H4000" s="23" t="s">
        <v>26</v>
      </c>
      <c r="I4000" s="24" t="s">
        <v>27</v>
      </c>
      <c r="J4000" s="19" t="s">
        <v>58</v>
      </c>
      <c r="K4000" s="14">
        <v>5.0</v>
      </c>
      <c r="L4000" s="14">
        <v>0.0</v>
      </c>
      <c r="M4000" s="25"/>
      <c r="N4000" s="26" t="s">
        <v>21</v>
      </c>
      <c r="O4000" s="7"/>
      <c r="P4000" s="7"/>
      <c r="Q4000" s="7"/>
      <c r="R4000" s="7"/>
      <c r="S4000" s="7"/>
      <c r="T4000" s="7"/>
      <c r="U4000" s="7"/>
      <c r="V4000" s="7"/>
      <c r="W4000" s="7"/>
      <c r="X4000" s="7"/>
      <c r="Y4000" s="7"/>
    </row>
    <row r="4001">
      <c r="A4001" s="14" t="s">
        <v>14156</v>
      </c>
      <c r="B4001" s="17" t="s">
        <v>14157</v>
      </c>
      <c r="C4001" s="17" t="s">
        <v>14158</v>
      </c>
      <c r="D4001" s="19" t="s">
        <v>14159</v>
      </c>
      <c r="E4001" s="20" t="s">
        <v>104</v>
      </c>
      <c r="F4001" s="21">
        <v>36836.0</v>
      </c>
      <c r="G4001" s="14">
        <f t="shared" si="1"/>
        <v>25</v>
      </c>
      <c r="H4001" s="23" t="s">
        <v>26</v>
      </c>
      <c r="I4001" s="24" t="s">
        <v>27</v>
      </c>
      <c r="J4001" s="19" t="s">
        <v>282</v>
      </c>
      <c r="K4001" s="14">
        <v>16.0</v>
      </c>
      <c r="L4001" s="14">
        <v>0.0</v>
      </c>
      <c r="M4001" s="25"/>
      <c r="N4001" s="26" t="s">
        <v>21</v>
      </c>
      <c r="O4001" s="7"/>
      <c r="P4001" s="7"/>
      <c r="Q4001" s="7"/>
      <c r="R4001" s="7"/>
      <c r="S4001" s="7"/>
      <c r="T4001" s="7"/>
      <c r="U4001" s="7"/>
      <c r="V4001" s="7"/>
      <c r="W4001" s="7"/>
      <c r="X4001" s="7"/>
      <c r="Y4001" s="7"/>
    </row>
    <row r="4002">
      <c r="A4002" s="14" t="s">
        <v>14160</v>
      </c>
      <c r="B4002" s="17" t="s">
        <v>14161</v>
      </c>
      <c r="C4002" s="17" t="s">
        <v>14162</v>
      </c>
      <c r="D4002" s="19" t="s">
        <v>14163</v>
      </c>
      <c r="E4002" s="20" t="s">
        <v>429</v>
      </c>
      <c r="F4002" s="27">
        <v>27319.0</v>
      </c>
      <c r="G4002" s="14">
        <f t="shared" si="1"/>
        <v>52</v>
      </c>
      <c r="H4002" s="23" t="s">
        <v>27</v>
      </c>
      <c r="I4002" s="24" t="s">
        <v>27</v>
      </c>
      <c r="J4002" s="19" t="s">
        <v>282</v>
      </c>
      <c r="K4002" s="14">
        <v>11.0</v>
      </c>
      <c r="L4002" s="14">
        <v>0.0</v>
      </c>
      <c r="M4002" s="25"/>
      <c r="N4002" s="26" t="s">
        <v>21</v>
      </c>
      <c r="O4002" s="7"/>
      <c r="P4002" s="7"/>
      <c r="Q4002" s="7"/>
      <c r="R4002" s="7"/>
      <c r="S4002" s="7"/>
      <c r="T4002" s="7"/>
      <c r="U4002" s="7"/>
      <c r="V4002" s="7"/>
      <c r="W4002" s="7"/>
      <c r="X4002" s="7"/>
      <c r="Y4002" s="7"/>
    </row>
    <row r="4003">
      <c r="A4003" s="14" t="s">
        <v>14164</v>
      </c>
      <c r="B4003" s="17" t="s">
        <v>14165</v>
      </c>
      <c r="C4003" s="17" t="s">
        <v>14166</v>
      </c>
      <c r="D4003" s="19" t="s">
        <v>14167</v>
      </c>
      <c r="E4003" s="20" t="s">
        <v>274</v>
      </c>
      <c r="F4003" s="27">
        <v>38276.0</v>
      </c>
      <c r="G4003" s="14">
        <f t="shared" si="1"/>
        <v>22</v>
      </c>
      <c r="H4003" s="23" t="s">
        <v>100</v>
      </c>
      <c r="I4003" s="24" t="s">
        <v>27</v>
      </c>
      <c r="J4003" s="19" t="s">
        <v>53</v>
      </c>
      <c r="K4003" s="14">
        <v>3.0</v>
      </c>
      <c r="L4003" s="14">
        <v>0.0</v>
      </c>
      <c r="M4003" s="25"/>
      <c r="N4003" s="26" t="s">
        <v>21</v>
      </c>
      <c r="O4003" s="7"/>
      <c r="P4003" s="7"/>
      <c r="Q4003" s="7"/>
      <c r="R4003" s="7"/>
      <c r="S4003" s="7"/>
      <c r="T4003" s="7"/>
      <c r="U4003" s="7"/>
      <c r="V4003" s="7"/>
      <c r="W4003" s="7"/>
      <c r="X4003" s="7"/>
      <c r="Y4003" s="7"/>
    </row>
    <row r="4004">
      <c r="A4004" s="14" t="s">
        <v>14168</v>
      </c>
      <c r="B4004" s="17" t="s">
        <v>14165</v>
      </c>
      <c r="C4004" s="17" t="s">
        <v>14169</v>
      </c>
      <c r="D4004" s="19" t="s">
        <v>14170</v>
      </c>
      <c r="E4004" s="20" t="s">
        <v>1038</v>
      </c>
      <c r="F4004" s="21">
        <v>33355.0</v>
      </c>
      <c r="G4004" s="14">
        <f t="shared" si="1"/>
        <v>35</v>
      </c>
      <c r="H4004" s="23" t="s">
        <v>100</v>
      </c>
      <c r="I4004" s="24" t="s">
        <v>33</v>
      </c>
      <c r="J4004" s="19" t="s">
        <v>53</v>
      </c>
      <c r="K4004" s="14">
        <v>3.0</v>
      </c>
      <c r="L4004" s="14">
        <v>0.0</v>
      </c>
      <c r="M4004" s="25"/>
      <c r="N4004" s="26" t="s">
        <v>21</v>
      </c>
      <c r="O4004" s="7"/>
      <c r="P4004" s="7"/>
      <c r="Q4004" s="7"/>
      <c r="R4004" s="7"/>
      <c r="S4004" s="7"/>
      <c r="T4004" s="7"/>
      <c r="U4004" s="7"/>
      <c r="V4004" s="7"/>
      <c r="W4004" s="7"/>
      <c r="X4004" s="7"/>
      <c r="Y4004" s="7"/>
    </row>
    <row r="4005">
      <c r="A4005" s="14" t="s">
        <v>14171</v>
      </c>
      <c r="B4005" s="17" t="s">
        <v>14172</v>
      </c>
      <c r="C4005" s="17" t="s">
        <v>14173</v>
      </c>
      <c r="D4005" s="19" t="s">
        <v>14174</v>
      </c>
      <c r="E4005" s="20" t="s">
        <v>14175</v>
      </c>
      <c r="F4005" s="27">
        <v>29947.0</v>
      </c>
      <c r="G4005" s="14">
        <f t="shared" si="1"/>
        <v>44</v>
      </c>
      <c r="H4005" s="23" t="s">
        <v>26</v>
      </c>
      <c r="I4005" s="24" t="s">
        <v>33</v>
      </c>
      <c r="J4005" s="19" t="s">
        <v>282</v>
      </c>
      <c r="K4005" s="14">
        <v>18.0</v>
      </c>
      <c r="L4005" s="14">
        <v>0.0</v>
      </c>
      <c r="M4005" s="25"/>
      <c r="N4005" s="26" t="s">
        <v>21</v>
      </c>
      <c r="O4005" s="7"/>
      <c r="P4005" s="7"/>
      <c r="Q4005" s="7"/>
      <c r="R4005" s="7"/>
      <c r="S4005" s="7"/>
      <c r="T4005" s="7"/>
      <c r="U4005" s="7"/>
      <c r="V4005" s="7"/>
      <c r="W4005" s="7"/>
      <c r="X4005" s="7"/>
      <c r="Y4005" s="7"/>
    </row>
    <row r="4006">
      <c r="A4006" s="14" t="s">
        <v>14176</v>
      </c>
      <c r="B4006" s="17" t="s">
        <v>14172</v>
      </c>
      <c r="C4006" s="17" t="s">
        <v>14177</v>
      </c>
      <c r="D4006" s="19" t="s">
        <v>14178</v>
      </c>
      <c r="E4006" s="20" t="s">
        <v>274</v>
      </c>
      <c r="F4006" s="21">
        <v>29295.0</v>
      </c>
      <c r="G4006" s="14">
        <f t="shared" si="1"/>
        <v>46</v>
      </c>
      <c r="H4006" s="23" t="s">
        <v>26</v>
      </c>
      <c r="I4006" s="24" t="s">
        <v>27</v>
      </c>
      <c r="J4006" s="19" t="s">
        <v>282</v>
      </c>
      <c r="K4006" s="14">
        <v>18.0</v>
      </c>
      <c r="L4006" s="14">
        <v>0.0</v>
      </c>
      <c r="M4006" s="25"/>
      <c r="N4006" s="26" t="s">
        <v>21</v>
      </c>
      <c r="O4006" s="7"/>
      <c r="P4006" s="7"/>
      <c r="Q4006" s="7"/>
      <c r="R4006" s="7"/>
      <c r="S4006" s="7"/>
      <c r="T4006" s="7"/>
      <c r="U4006" s="7"/>
      <c r="V4006" s="7"/>
      <c r="W4006" s="7"/>
      <c r="X4006" s="7"/>
      <c r="Y4006" s="7"/>
    </row>
    <row r="4007">
      <c r="A4007" s="14" t="s">
        <v>14179</v>
      </c>
      <c r="B4007" s="17" t="s">
        <v>14180</v>
      </c>
      <c r="C4007" s="17" t="s">
        <v>14181</v>
      </c>
      <c r="D4007" s="19" t="s">
        <v>14182</v>
      </c>
      <c r="E4007" s="20" t="s">
        <v>544</v>
      </c>
      <c r="F4007" s="27">
        <v>28422.0</v>
      </c>
      <c r="G4007" s="14">
        <f t="shared" si="1"/>
        <v>49</v>
      </c>
      <c r="H4007" s="23" t="s">
        <v>26</v>
      </c>
      <c r="I4007" s="24" t="s">
        <v>33</v>
      </c>
      <c r="J4007" s="19" t="s">
        <v>53</v>
      </c>
      <c r="K4007" s="14">
        <v>36.0</v>
      </c>
      <c r="L4007" s="14">
        <v>0.0</v>
      </c>
      <c r="M4007" s="25"/>
      <c r="N4007" s="26" t="s">
        <v>21</v>
      </c>
      <c r="O4007" s="7"/>
      <c r="P4007" s="7"/>
      <c r="Q4007" s="7"/>
      <c r="R4007" s="7"/>
      <c r="S4007" s="7"/>
      <c r="T4007" s="7"/>
      <c r="U4007" s="7"/>
      <c r="V4007" s="7"/>
      <c r="W4007" s="7"/>
      <c r="X4007" s="7"/>
      <c r="Y4007" s="7"/>
    </row>
    <row r="4008">
      <c r="A4008" s="14" t="s">
        <v>14183</v>
      </c>
      <c r="B4008" s="17" t="s">
        <v>14180</v>
      </c>
      <c r="C4008" s="17" t="s">
        <v>14184</v>
      </c>
      <c r="D4008" s="19" t="s">
        <v>14185</v>
      </c>
      <c r="E4008" s="20" t="s">
        <v>544</v>
      </c>
      <c r="F4008" s="27">
        <v>39001.0</v>
      </c>
      <c r="G4008" s="14">
        <f t="shared" si="1"/>
        <v>20</v>
      </c>
      <c r="H4008" s="23" t="s">
        <v>100</v>
      </c>
      <c r="I4008" s="24" t="s">
        <v>33</v>
      </c>
      <c r="J4008" s="19" t="s">
        <v>53</v>
      </c>
      <c r="K4008" s="14">
        <v>36.0</v>
      </c>
      <c r="L4008" s="14">
        <v>0.0</v>
      </c>
      <c r="M4008" s="25"/>
      <c r="N4008" s="26" t="s">
        <v>21</v>
      </c>
      <c r="O4008" s="7"/>
      <c r="P4008" s="7"/>
      <c r="Q4008" s="7"/>
      <c r="R4008" s="7"/>
      <c r="S4008" s="7"/>
      <c r="T4008" s="7"/>
      <c r="U4008" s="7"/>
      <c r="V4008" s="7"/>
      <c r="W4008" s="7"/>
      <c r="X4008" s="7"/>
      <c r="Y4008" s="7"/>
    </row>
    <row r="4009">
      <c r="A4009" s="14" t="s">
        <v>14186</v>
      </c>
      <c r="B4009" s="17" t="s">
        <v>14180</v>
      </c>
      <c r="C4009" s="17" t="s">
        <v>14187</v>
      </c>
      <c r="D4009" s="19" t="s">
        <v>14188</v>
      </c>
      <c r="E4009" s="20" t="s">
        <v>138</v>
      </c>
      <c r="F4009" s="27">
        <v>37557.0</v>
      </c>
      <c r="G4009" s="14">
        <f t="shared" si="1"/>
        <v>24</v>
      </c>
      <c r="H4009" s="23" t="s">
        <v>100</v>
      </c>
      <c r="I4009" s="24" t="s">
        <v>27</v>
      </c>
      <c r="J4009" s="19" t="s">
        <v>53</v>
      </c>
      <c r="K4009" s="14">
        <v>36.0</v>
      </c>
      <c r="L4009" s="14">
        <v>0.0</v>
      </c>
      <c r="M4009" s="25"/>
      <c r="N4009" s="26" t="s">
        <v>21</v>
      </c>
      <c r="O4009" s="7"/>
      <c r="P4009" s="7"/>
      <c r="Q4009" s="7"/>
      <c r="R4009" s="7"/>
      <c r="S4009" s="7"/>
      <c r="T4009" s="7"/>
      <c r="U4009" s="7"/>
      <c r="V4009" s="7"/>
      <c r="W4009" s="7"/>
      <c r="X4009" s="7"/>
      <c r="Y4009" s="7"/>
    </row>
    <row r="4010">
      <c r="A4010" s="14" t="s">
        <v>14189</v>
      </c>
      <c r="B4010" s="17" t="s">
        <v>14180</v>
      </c>
      <c r="C4010" s="17" t="s">
        <v>14190</v>
      </c>
      <c r="D4010" s="19" t="s">
        <v>14191</v>
      </c>
      <c r="E4010" s="20" t="s">
        <v>544</v>
      </c>
      <c r="F4010" s="21">
        <v>28352.0</v>
      </c>
      <c r="G4010" s="14">
        <f t="shared" si="1"/>
        <v>49</v>
      </c>
      <c r="H4010" s="23" t="s">
        <v>26</v>
      </c>
      <c r="I4010" s="24" t="s">
        <v>27</v>
      </c>
      <c r="J4010" s="19" t="s">
        <v>53</v>
      </c>
      <c r="K4010" s="14">
        <v>36.0</v>
      </c>
      <c r="L4010" s="14">
        <v>0.0</v>
      </c>
      <c r="M4010" s="25"/>
      <c r="N4010" s="26" t="s">
        <v>21</v>
      </c>
      <c r="O4010" s="7"/>
      <c r="P4010" s="7"/>
      <c r="Q4010" s="7"/>
      <c r="R4010" s="7"/>
      <c r="S4010" s="7"/>
      <c r="T4010" s="7"/>
      <c r="U4010" s="7"/>
      <c r="V4010" s="7"/>
      <c r="W4010" s="7"/>
      <c r="X4010" s="7"/>
      <c r="Y4010" s="7"/>
    </row>
    <row r="4011">
      <c r="A4011" s="14" t="s">
        <v>14192</v>
      </c>
      <c r="B4011" s="17" t="s">
        <v>14193</v>
      </c>
      <c r="C4011" s="17" t="s">
        <v>14194</v>
      </c>
      <c r="D4011" s="19" t="s">
        <v>14195</v>
      </c>
      <c r="E4011" s="20" t="s">
        <v>104</v>
      </c>
      <c r="F4011" s="21">
        <v>33336.0</v>
      </c>
      <c r="G4011" s="14">
        <f t="shared" si="1"/>
        <v>35</v>
      </c>
      <c r="H4011" s="23" t="s">
        <v>26</v>
      </c>
      <c r="I4011" s="24" t="s">
        <v>27</v>
      </c>
      <c r="J4011" s="19" t="s">
        <v>7557</v>
      </c>
      <c r="K4011" s="14">
        <v>36.0</v>
      </c>
      <c r="L4011" s="14">
        <v>0.0</v>
      </c>
      <c r="M4011" s="25"/>
      <c r="N4011" s="26" t="s">
        <v>21</v>
      </c>
      <c r="O4011" s="7"/>
      <c r="P4011" s="7"/>
      <c r="Q4011" s="7"/>
      <c r="R4011" s="7"/>
      <c r="S4011" s="7"/>
      <c r="T4011" s="7"/>
      <c r="U4011" s="7"/>
      <c r="V4011" s="7"/>
      <c r="W4011" s="7"/>
      <c r="X4011" s="7"/>
      <c r="Y4011" s="7"/>
    </row>
    <row r="4012">
      <c r="A4012" s="14" t="s">
        <v>14196</v>
      </c>
      <c r="B4012" s="17" t="s">
        <v>14193</v>
      </c>
      <c r="C4012" s="17" t="s">
        <v>14197</v>
      </c>
      <c r="D4012" s="19" t="s">
        <v>14198</v>
      </c>
      <c r="E4012" s="20" t="s">
        <v>104</v>
      </c>
      <c r="F4012" s="21">
        <v>31859.0</v>
      </c>
      <c r="G4012" s="14">
        <f t="shared" si="1"/>
        <v>39</v>
      </c>
      <c r="H4012" s="23" t="s">
        <v>26</v>
      </c>
      <c r="I4012" s="24" t="s">
        <v>33</v>
      </c>
      <c r="J4012" s="19" t="s">
        <v>7557</v>
      </c>
      <c r="K4012" s="14">
        <v>36.0</v>
      </c>
      <c r="L4012" s="14">
        <v>0.0</v>
      </c>
      <c r="M4012" s="25"/>
      <c r="N4012" s="26" t="s">
        <v>21</v>
      </c>
      <c r="O4012" s="7"/>
      <c r="P4012" s="7"/>
      <c r="Q4012" s="7"/>
      <c r="R4012" s="7"/>
      <c r="S4012" s="7"/>
      <c r="T4012" s="7"/>
      <c r="U4012" s="7"/>
      <c r="V4012" s="7"/>
      <c r="W4012" s="7"/>
      <c r="X4012" s="7"/>
      <c r="Y4012" s="7"/>
    </row>
    <row r="4013">
      <c r="A4013" s="14" t="s">
        <v>14199</v>
      </c>
      <c r="B4013" s="17" t="s">
        <v>14200</v>
      </c>
      <c r="C4013" s="17" t="s">
        <v>14201</v>
      </c>
      <c r="D4013" s="19" t="s">
        <v>14202</v>
      </c>
      <c r="E4013" s="20" t="s">
        <v>654</v>
      </c>
      <c r="F4013" s="21">
        <v>19484.0</v>
      </c>
      <c r="G4013" s="14">
        <f t="shared" si="1"/>
        <v>73</v>
      </c>
      <c r="H4013" s="23" t="s">
        <v>27</v>
      </c>
      <c r="I4013" s="24" t="s">
        <v>27</v>
      </c>
      <c r="J4013" s="19" t="s">
        <v>206</v>
      </c>
      <c r="K4013" s="14">
        <v>3.0</v>
      </c>
      <c r="L4013" s="14">
        <v>0.0</v>
      </c>
      <c r="M4013" s="25"/>
      <c r="N4013" s="26" t="s">
        <v>21</v>
      </c>
      <c r="O4013" s="7"/>
      <c r="P4013" s="7"/>
      <c r="Q4013" s="7"/>
      <c r="R4013" s="7"/>
      <c r="S4013" s="7"/>
      <c r="T4013" s="7"/>
      <c r="U4013" s="7"/>
      <c r="V4013" s="7"/>
      <c r="W4013" s="7"/>
      <c r="X4013" s="7"/>
      <c r="Y4013" s="7"/>
    </row>
    <row r="4014">
      <c r="A4014" s="14" t="s">
        <v>14203</v>
      </c>
      <c r="B4014" s="17" t="s">
        <v>14200</v>
      </c>
      <c r="C4014" s="17" t="s">
        <v>14204</v>
      </c>
      <c r="D4014" s="19" t="s">
        <v>14205</v>
      </c>
      <c r="E4014" s="20" t="s">
        <v>104</v>
      </c>
      <c r="F4014" s="21">
        <v>34703.0</v>
      </c>
      <c r="G4014" s="14">
        <f t="shared" si="1"/>
        <v>31</v>
      </c>
      <c r="H4014" s="23" t="s">
        <v>100</v>
      </c>
      <c r="I4014" s="24" t="s">
        <v>33</v>
      </c>
      <c r="J4014" s="19" t="s">
        <v>206</v>
      </c>
      <c r="K4014" s="14">
        <v>3.0</v>
      </c>
      <c r="L4014" s="14">
        <v>0.0</v>
      </c>
      <c r="M4014" s="25"/>
      <c r="N4014" s="26" t="s">
        <v>21</v>
      </c>
      <c r="O4014" s="7"/>
      <c r="P4014" s="7"/>
      <c r="Q4014" s="7"/>
      <c r="R4014" s="7"/>
      <c r="S4014" s="7"/>
      <c r="T4014" s="7"/>
      <c r="U4014" s="7"/>
      <c r="V4014" s="7"/>
      <c r="W4014" s="7"/>
      <c r="X4014" s="7"/>
      <c r="Y4014" s="7"/>
    </row>
    <row r="4015">
      <c r="A4015" s="14" t="s">
        <v>14206</v>
      </c>
      <c r="B4015" s="17" t="s">
        <v>14207</v>
      </c>
      <c r="C4015" s="17" t="s">
        <v>14208</v>
      </c>
      <c r="D4015" s="19" t="s">
        <v>14209</v>
      </c>
      <c r="E4015" s="20" t="s">
        <v>2038</v>
      </c>
      <c r="F4015" s="21">
        <v>33915.0</v>
      </c>
      <c r="G4015" s="14">
        <f t="shared" si="1"/>
        <v>33</v>
      </c>
      <c r="H4015" s="23" t="s">
        <v>26</v>
      </c>
      <c r="I4015" s="24" t="s">
        <v>33</v>
      </c>
      <c r="J4015" s="19" t="s">
        <v>517</v>
      </c>
      <c r="K4015" s="14">
        <v>9.0</v>
      </c>
      <c r="L4015" s="14">
        <v>0.0</v>
      </c>
      <c r="M4015" s="25"/>
      <c r="N4015" s="26" t="s">
        <v>21</v>
      </c>
      <c r="O4015" s="7"/>
      <c r="P4015" s="7"/>
      <c r="Q4015" s="7"/>
      <c r="R4015" s="7"/>
      <c r="S4015" s="7"/>
      <c r="T4015" s="7"/>
      <c r="U4015" s="7"/>
      <c r="V4015" s="7"/>
      <c r="W4015" s="7"/>
      <c r="X4015" s="7"/>
      <c r="Y4015" s="7"/>
    </row>
    <row r="4016">
      <c r="A4016" s="14" t="s">
        <v>14210</v>
      </c>
      <c r="B4016" s="17" t="s">
        <v>14207</v>
      </c>
      <c r="C4016" s="17" t="s">
        <v>14211</v>
      </c>
      <c r="D4016" s="19" t="s">
        <v>14212</v>
      </c>
      <c r="E4016" s="20" t="s">
        <v>195</v>
      </c>
      <c r="F4016" s="21">
        <v>34194.0</v>
      </c>
      <c r="G4016" s="14">
        <f t="shared" si="1"/>
        <v>33</v>
      </c>
      <c r="H4016" s="23" t="s">
        <v>26</v>
      </c>
      <c r="I4016" s="24" t="s">
        <v>27</v>
      </c>
      <c r="J4016" s="19" t="s">
        <v>517</v>
      </c>
      <c r="K4016" s="14">
        <v>9.0</v>
      </c>
      <c r="L4016" s="14">
        <v>0.0</v>
      </c>
      <c r="M4016" s="25"/>
      <c r="N4016" s="26" t="s">
        <v>21</v>
      </c>
      <c r="O4016" s="7"/>
      <c r="P4016" s="7"/>
      <c r="Q4016" s="7"/>
      <c r="R4016" s="7"/>
      <c r="S4016" s="7"/>
      <c r="T4016" s="7"/>
      <c r="U4016" s="7"/>
      <c r="V4016" s="7"/>
      <c r="W4016" s="7"/>
      <c r="X4016" s="7"/>
      <c r="Y4016" s="7"/>
    </row>
    <row r="4017">
      <c r="A4017" s="14" t="s">
        <v>14213</v>
      </c>
      <c r="B4017" s="17" t="s">
        <v>14214</v>
      </c>
      <c r="C4017" s="17" t="s">
        <v>14215</v>
      </c>
      <c r="D4017" s="19" t="s">
        <v>14216</v>
      </c>
      <c r="E4017" s="20" t="s">
        <v>104</v>
      </c>
      <c r="F4017" s="21">
        <v>34023.0</v>
      </c>
      <c r="G4017" s="14">
        <f t="shared" si="1"/>
        <v>33</v>
      </c>
      <c r="H4017" s="23" t="s">
        <v>26</v>
      </c>
      <c r="I4017" s="24" t="s">
        <v>27</v>
      </c>
      <c r="J4017" s="19" t="s">
        <v>282</v>
      </c>
      <c r="K4017" s="14">
        <v>16.0</v>
      </c>
      <c r="L4017" s="14">
        <v>0.0</v>
      </c>
      <c r="M4017" s="25"/>
      <c r="N4017" s="26" t="s">
        <v>21</v>
      </c>
      <c r="O4017" s="7"/>
      <c r="P4017" s="7"/>
      <c r="Q4017" s="7"/>
      <c r="R4017" s="7"/>
      <c r="S4017" s="7"/>
      <c r="T4017" s="7"/>
      <c r="U4017" s="7"/>
      <c r="V4017" s="7"/>
      <c r="W4017" s="7"/>
      <c r="X4017" s="7"/>
      <c r="Y4017" s="7"/>
    </row>
    <row r="4018">
      <c r="A4018" s="14" t="s">
        <v>14217</v>
      </c>
      <c r="B4018" s="17" t="s">
        <v>14214</v>
      </c>
      <c r="C4018" s="17" t="s">
        <v>14218</v>
      </c>
      <c r="D4018" s="19" t="s">
        <v>14219</v>
      </c>
      <c r="E4018" s="20" t="s">
        <v>104</v>
      </c>
      <c r="F4018" s="21">
        <v>33640.0</v>
      </c>
      <c r="G4018" s="14">
        <f t="shared" si="1"/>
        <v>34</v>
      </c>
      <c r="H4018" s="23" t="s">
        <v>26</v>
      </c>
      <c r="I4018" s="24" t="s">
        <v>33</v>
      </c>
      <c r="J4018" s="19" t="s">
        <v>282</v>
      </c>
      <c r="K4018" s="14">
        <v>16.0</v>
      </c>
      <c r="L4018" s="14">
        <v>0.0</v>
      </c>
      <c r="M4018" s="25"/>
      <c r="N4018" s="26" t="s">
        <v>21</v>
      </c>
      <c r="O4018" s="7"/>
      <c r="P4018" s="7"/>
      <c r="Q4018" s="7"/>
      <c r="R4018" s="7"/>
      <c r="S4018" s="7"/>
      <c r="T4018" s="7"/>
      <c r="U4018" s="7"/>
      <c r="V4018" s="7"/>
      <c r="W4018" s="7"/>
      <c r="X4018" s="7"/>
      <c r="Y4018" s="7"/>
    </row>
    <row r="4019">
      <c r="A4019" s="14" t="s">
        <v>14220</v>
      </c>
      <c r="B4019" s="17" t="s">
        <v>14221</v>
      </c>
      <c r="C4019" s="17" t="s">
        <v>14222</v>
      </c>
      <c r="D4019" s="19" t="s">
        <v>14223</v>
      </c>
      <c r="E4019" s="20" t="s">
        <v>195</v>
      </c>
      <c r="F4019" s="21">
        <v>21228.0</v>
      </c>
      <c r="G4019" s="14">
        <f t="shared" si="1"/>
        <v>68</v>
      </c>
      <c r="H4019" s="23" t="s">
        <v>26</v>
      </c>
      <c r="I4019" s="24" t="s">
        <v>33</v>
      </c>
      <c r="J4019" s="19" t="s">
        <v>146</v>
      </c>
      <c r="K4019" s="14">
        <v>10.0</v>
      </c>
      <c r="L4019" s="14">
        <v>0.0</v>
      </c>
      <c r="M4019" s="25"/>
      <c r="N4019" s="26" t="s">
        <v>21</v>
      </c>
      <c r="O4019" s="7"/>
      <c r="P4019" s="7"/>
      <c r="Q4019" s="7"/>
      <c r="R4019" s="7"/>
      <c r="S4019" s="7"/>
      <c r="T4019" s="7"/>
      <c r="U4019" s="7"/>
      <c r="V4019" s="7"/>
      <c r="W4019" s="7"/>
      <c r="X4019" s="7"/>
      <c r="Y4019" s="7"/>
    </row>
    <row r="4020">
      <c r="A4020" s="14" t="s">
        <v>14224</v>
      </c>
      <c r="B4020" s="17" t="s">
        <v>14221</v>
      </c>
      <c r="C4020" s="17" t="s">
        <v>14225</v>
      </c>
      <c r="D4020" s="19" t="s">
        <v>14226</v>
      </c>
      <c r="E4020" s="20" t="s">
        <v>650</v>
      </c>
      <c r="F4020" s="21">
        <v>22479.0</v>
      </c>
      <c r="G4020" s="14">
        <f t="shared" si="1"/>
        <v>65</v>
      </c>
      <c r="H4020" s="23" t="s">
        <v>26</v>
      </c>
      <c r="I4020" s="24" t="s">
        <v>27</v>
      </c>
      <c r="J4020" s="19" t="s">
        <v>146</v>
      </c>
      <c r="K4020" s="14">
        <v>10.0</v>
      </c>
      <c r="L4020" s="14">
        <v>0.0</v>
      </c>
      <c r="M4020" s="25"/>
      <c r="N4020" s="26" t="s">
        <v>21</v>
      </c>
      <c r="O4020" s="7"/>
      <c r="P4020" s="7"/>
      <c r="Q4020" s="7"/>
      <c r="R4020" s="7"/>
      <c r="S4020" s="7"/>
      <c r="T4020" s="7"/>
      <c r="U4020" s="7"/>
      <c r="V4020" s="7"/>
      <c r="W4020" s="7"/>
      <c r="X4020" s="7"/>
      <c r="Y4020" s="7"/>
    </row>
    <row r="4021">
      <c r="A4021" s="14" t="s">
        <v>14227</v>
      </c>
      <c r="B4021" s="17" t="s">
        <v>14228</v>
      </c>
      <c r="C4021" s="17" t="s">
        <v>14229</v>
      </c>
      <c r="D4021" s="19" t="s">
        <v>14230</v>
      </c>
      <c r="E4021" s="20" t="s">
        <v>104</v>
      </c>
      <c r="F4021" s="21">
        <v>38383.0</v>
      </c>
      <c r="G4021" s="14">
        <f t="shared" si="1"/>
        <v>21</v>
      </c>
      <c r="H4021" s="23" t="s">
        <v>26</v>
      </c>
      <c r="I4021" s="24" t="s">
        <v>27</v>
      </c>
      <c r="J4021" s="19" t="s">
        <v>53</v>
      </c>
      <c r="K4021" s="14">
        <v>1.0</v>
      </c>
      <c r="L4021" s="14">
        <v>0.0</v>
      </c>
      <c r="M4021" s="25"/>
      <c r="N4021" s="26" t="s">
        <v>21</v>
      </c>
      <c r="O4021" s="7"/>
      <c r="P4021" s="7"/>
      <c r="Q4021" s="7"/>
      <c r="R4021" s="7"/>
      <c r="S4021" s="7"/>
      <c r="T4021" s="7"/>
      <c r="U4021" s="7"/>
      <c r="V4021" s="7"/>
      <c r="W4021" s="7"/>
      <c r="X4021" s="7"/>
      <c r="Y4021" s="7"/>
    </row>
    <row r="4022">
      <c r="A4022" s="14" t="s">
        <v>14231</v>
      </c>
      <c r="B4022" s="17" t="s">
        <v>14228</v>
      </c>
      <c r="C4022" s="17" t="s">
        <v>14232</v>
      </c>
      <c r="D4022" s="19" t="s">
        <v>14233</v>
      </c>
      <c r="E4022" s="20" t="s">
        <v>2680</v>
      </c>
      <c r="F4022" s="27">
        <v>37207.0</v>
      </c>
      <c r="G4022" s="14">
        <f t="shared" si="1"/>
        <v>24</v>
      </c>
      <c r="H4022" s="23" t="s">
        <v>26</v>
      </c>
      <c r="I4022" s="24" t="s">
        <v>33</v>
      </c>
      <c r="J4022" s="19" t="s">
        <v>53</v>
      </c>
      <c r="K4022" s="14">
        <v>1.0</v>
      </c>
      <c r="L4022" s="14">
        <v>0.0</v>
      </c>
      <c r="M4022" s="25"/>
      <c r="N4022" s="26" t="s">
        <v>21</v>
      </c>
      <c r="O4022" s="7"/>
      <c r="P4022" s="7"/>
      <c r="Q4022" s="7"/>
      <c r="R4022" s="7"/>
      <c r="S4022" s="7"/>
      <c r="T4022" s="7"/>
      <c r="U4022" s="7"/>
      <c r="V4022" s="7"/>
      <c r="W4022" s="7"/>
      <c r="X4022" s="7"/>
      <c r="Y4022" s="7"/>
    </row>
    <row r="4023">
      <c r="A4023" s="14" t="s">
        <v>14234</v>
      </c>
      <c r="B4023" s="17" t="s">
        <v>14235</v>
      </c>
      <c r="C4023" s="17" t="s">
        <v>14236</v>
      </c>
      <c r="D4023" s="19" t="s">
        <v>14237</v>
      </c>
      <c r="E4023" s="20" t="s">
        <v>85</v>
      </c>
      <c r="F4023" s="21">
        <v>29925.0</v>
      </c>
      <c r="G4023" s="14">
        <f t="shared" si="1"/>
        <v>44</v>
      </c>
      <c r="H4023" s="23" t="s">
        <v>26</v>
      </c>
      <c r="I4023" s="24" t="s">
        <v>27</v>
      </c>
      <c r="J4023" s="19" t="s">
        <v>58</v>
      </c>
      <c r="K4023" s="14">
        <v>9.0</v>
      </c>
      <c r="L4023" s="14">
        <v>0.0</v>
      </c>
      <c r="M4023" s="25"/>
      <c r="N4023" s="26" t="s">
        <v>21</v>
      </c>
      <c r="O4023" s="7"/>
      <c r="P4023" s="7"/>
      <c r="Q4023" s="7"/>
      <c r="R4023" s="7"/>
      <c r="S4023" s="7"/>
      <c r="T4023" s="7"/>
      <c r="U4023" s="7"/>
      <c r="V4023" s="7"/>
      <c r="W4023" s="7"/>
      <c r="X4023" s="7"/>
      <c r="Y4023" s="7"/>
    </row>
    <row r="4024">
      <c r="A4024" s="14" t="s">
        <v>14238</v>
      </c>
      <c r="B4024" s="17" t="s">
        <v>14235</v>
      </c>
      <c r="C4024" s="17" t="s">
        <v>14239</v>
      </c>
      <c r="D4024" s="19" t="s">
        <v>14240</v>
      </c>
      <c r="E4024" s="20" t="s">
        <v>187</v>
      </c>
      <c r="F4024" s="27">
        <v>38678.0</v>
      </c>
      <c r="G4024" s="14">
        <f t="shared" si="1"/>
        <v>20</v>
      </c>
      <c r="H4024" s="23" t="s">
        <v>100</v>
      </c>
      <c r="I4024" s="24" t="s">
        <v>27</v>
      </c>
      <c r="J4024" s="19" t="s">
        <v>58</v>
      </c>
      <c r="K4024" s="14">
        <v>9.0</v>
      </c>
      <c r="L4024" s="14">
        <v>0.0</v>
      </c>
      <c r="M4024" s="25"/>
      <c r="N4024" s="26" t="s">
        <v>21</v>
      </c>
      <c r="O4024" s="7"/>
      <c r="P4024" s="7"/>
      <c r="Q4024" s="7"/>
      <c r="R4024" s="7"/>
      <c r="S4024" s="7"/>
      <c r="T4024" s="7"/>
      <c r="U4024" s="7"/>
      <c r="V4024" s="7"/>
      <c r="W4024" s="7"/>
      <c r="X4024" s="7"/>
      <c r="Y4024" s="7"/>
    </row>
    <row r="4025">
      <c r="A4025" s="14" t="s">
        <v>14241</v>
      </c>
      <c r="B4025" s="17" t="s">
        <v>14235</v>
      </c>
      <c r="C4025" s="17" t="s">
        <v>14242</v>
      </c>
      <c r="D4025" s="19" t="s">
        <v>14243</v>
      </c>
      <c r="E4025" s="20" t="s">
        <v>14244</v>
      </c>
      <c r="F4025" s="21">
        <v>29281.0</v>
      </c>
      <c r="G4025" s="14">
        <f t="shared" si="1"/>
        <v>46</v>
      </c>
      <c r="H4025" s="23" t="s">
        <v>26</v>
      </c>
      <c r="I4025" s="24" t="s">
        <v>33</v>
      </c>
      <c r="J4025" s="19" t="s">
        <v>58</v>
      </c>
      <c r="K4025" s="14">
        <v>9.0</v>
      </c>
      <c r="L4025" s="14">
        <v>0.0</v>
      </c>
      <c r="M4025" s="25"/>
      <c r="N4025" s="26" t="s">
        <v>21</v>
      </c>
      <c r="O4025" s="7"/>
      <c r="P4025" s="7"/>
      <c r="Q4025" s="7"/>
      <c r="R4025" s="7"/>
      <c r="S4025" s="7"/>
      <c r="T4025" s="7"/>
      <c r="U4025" s="7"/>
      <c r="V4025" s="7"/>
      <c r="W4025" s="7"/>
      <c r="X4025" s="7"/>
      <c r="Y4025" s="7"/>
    </row>
    <row r="4026">
      <c r="A4026" s="14" t="s">
        <v>14245</v>
      </c>
      <c r="B4026" s="17" t="s">
        <v>14246</v>
      </c>
      <c r="C4026" s="17" t="s">
        <v>14247</v>
      </c>
      <c r="D4026" s="19" t="s">
        <v>14248</v>
      </c>
      <c r="E4026" s="20" t="s">
        <v>104</v>
      </c>
      <c r="F4026" s="21">
        <v>33828.0</v>
      </c>
      <c r="G4026" s="14">
        <f t="shared" si="1"/>
        <v>34</v>
      </c>
      <c r="H4026" s="23" t="s">
        <v>26</v>
      </c>
      <c r="I4026" s="24" t="s">
        <v>27</v>
      </c>
      <c r="J4026" s="19" t="s">
        <v>362</v>
      </c>
      <c r="K4026" s="14">
        <v>27.0</v>
      </c>
      <c r="L4026" s="14">
        <v>0.0</v>
      </c>
      <c r="M4026" s="25"/>
      <c r="N4026" s="26" t="s">
        <v>21</v>
      </c>
      <c r="O4026" s="7"/>
      <c r="P4026" s="7"/>
      <c r="Q4026" s="7"/>
      <c r="R4026" s="7"/>
      <c r="S4026" s="7"/>
      <c r="T4026" s="7"/>
      <c r="U4026" s="7"/>
      <c r="V4026" s="7"/>
      <c r="W4026" s="7"/>
      <c r="X4026" s="7"/>
      <c r="Y4026" s="7"/>
    </row>
    <row r="4027">
      <c r="A4027" s="14" t="s">
        <v>14249</v>
      </c>
      <c r="B4027" s="17" t="s">
        <v>14246</v>
      </c>
      <c r="C4027" s="17" t="s">
        <v>14250</v>
      </c>
      <c r="D4027" s="19" t="s">
        <v>14251</v>
      </c>
      <c r="E4027" s="20" t="s">
        <v>104</v>
      </c>
      <c r="F4027" s="21">
        <v>33320.0</v>
      </c>
      <c r="G4027" s="14">
        <f t="shared" si="1"/>
        <v>35</v>
      </c>
      <c r="H4027" s="23" t="s">
        <v>26</v>
      </c>
      <c r="I4027" s="24" t="s">
        <v>33</v>
      </c>
      <c r="J4027" s="19" t="s">
        <v>362</v>
      </c>
      <c r="K4027" s="14">
        <v>27.0</v>
      </c>
      <c r="L4027" s="14">
        <v>0.0</v>
      </c>
      <c r="M4027" s="25"/>
      <c r="N4027" s="26" t="s">
        <v>21</v>
      </c>
      <c r="O4027" s="7"/>
      <c r="P4027" s="7"/>
      <c r="Q4027" s="7"/>
      <c r="R4027" s="7"/>
      <c r="S4027" s="7"/>
      <c r="T4027" s="7"/>
      <c r="U4027" s="7"/>
      <c r="V4027" s="7"/>
      <c r="W4027" s="7"/>
      <c r="X4027" s="7"/>
      <c r="Y4027" s="7"/>
    </row>
    <row r="4028">
      <c r="A4028" s="14" t="s">
        <v>14252</v>
      </c>
      <c r="B4028" s="17" t="s">
        <v>14253</v>
      </c>
      <c r="C4028" s="17" t="s">
        <v>14254</v>
      </c>
      <c r="D4028" s="19" t="s">
        <v>14255</v>
      </c>
      <c r="E4028" s="20" t="s">
        <v>104</v>
      </c>
      <c r="F4028" s="27">
        <v>37615.0</v>
      </c>
      <c r="G4028" s="14">
        <f t="shared" si="1"/>
        <v>23</v>
      </c>
      <c r="H4028" s="23" t="s">
        <v>100</v>
      </c>
      <c r="I4028" s="24" t="s">
        <v>27</v>
      </c>
      <c r="J4028" s="19" t="s">
        <v>68</v>
      </c>
      <c r="K4028" s="14">
        <v>28.0</v>
      </c>
      <c r="L4028" s="14">
        <v>0.0</v>
      </c>
      <c r="M4028" s="25"/>
      <c r="N4028" s="26" t="s">
        <v>21</v>
      </c>
      <c r="O4028" s="7"/>
      <c r="P4028" s="7"/>
      <c r="Q4028" s="7"/>
      <c r="R4028" s="7"/>
      <c r="S4028" s="7"/>
      <c r="T4028" s="7"/>
      <c r="U4028" s="7"/>
      <c r="V4028" s="7"/>
      <c r="W4028" s="7"/>
      <c r="X4028" s="7"/>
      <c r="Y4028" s="7"/>
    </row>
    <row r="4029">
      <c r="A4029" s="14" t="s">
        <v>14256</v>
      </c>
      <c r="B4029" s="17" t="s">
        <v>14253</v>
      </c>
      <c r="C4029" s="17" t="s">
        <v>14257</v>
      </c>
      <c r="D4029" s="19" t="s">
        <v>5454</v>
      </c>
      <c r="E4029" s="20" t="s">
        <v>654</v>
      </c>
      <c r="F4029" s="21">
        <v>28691.0</v>
      </c>
      <c r="G4029" s="14">
        <f t="shared" si="1"/>
        <v>48</v>
      </c>
      <c r="H4029" s="23" t="s">
        <v>26</v>
      </c>
      <c r="I4029" s="24" t="s">
        <v>33</v>
      </c>
      <c r="J4029" s="19" t="s">
        <v>68</v>
      </c>
      <c r="K4029" s="14">
        <v>28.0</v>
      </c>
      <c r="L4029" s="14">
        <v>0.0</v>
      </c>
      <c r="M4029" s="25"/>
      <c r="N4029" s="26" t="s">
        <v>21</v>
      </c>
      <c r="O4029" s="7"/>
      <c r="P4029" s="7"/>
      <c r="Q4029" s="7"/>
      <c r="R4029" s="7"/>
      <c r="S4029" s="7"/>
      <c r="T4029" s="7"/>
      <c r="U4029" s="7"/>
      <c r="V4029" s="7"/>
      <c r="W4029" s="7"/>
      <c r="X4029" s="7"/>
      <c r="Y4029" s="7"/>
    </row>
    <row r="4030">
      <c r="A4030" s="14" t="s">
        <v>14258</v>
      </c>
      <c r="B4030" s="17" t="s">
        <v>14253</v>
      </c>
      <c r="C4030" s="17" t="s">
        <v>14259</v>
      </c>
      <c r="D4030" s="19" t="s">
        <v>14260</v>
      </c>
      <c r="E4030" s="20" t="s">
        <v>210</v>
      </c>
      <c r="F4030" s="21">
        <v>28856.0</v>
      </c>
      <c r="G4030" s="14">
        <f t="shared" si="1"/>
        <v>47</v>
      </c>
      <c r="H4030" s="23" t="s">
        <v>26</v>
      </c>
      <c r="I4030" s="24" t="s">
        <v>27</v>
      </c>
      <c r="J4030" s="19" t="s">
        <v>68</v>
      </c>
      <c r="K4030" s="14">
        <v>28.0</v>
      </c>
      <c r="L4030" s="14">
        <v>0.0</v>
      </c>
      <c r="M4030" s="25"/>
      <c r="N4030" s="26" t="s">
        <v>21</v>
      </c>
      <c r="O4030" s="7"/>
      <c r="P4030" s="7"/>
      <c r="Q4030" s="7"/>
      <c r="R4030" s="7"/>
      <c r="S4030" s="7"/>
      <c r="T4030" s="7"/>
      <c r="U4030" s="7"/>
      <c r="V4030" s="7"/>
      <c r="W4030" s="7"/>
      <c r="X4030" s="7"/>
      <c r="Y4030" s="7"/>
    </row>
    <row r="4031">
      <c r="A4031" s="14" t="s">
        <v>14261</v>
      </c>
      <c r="B4031" s="17" t="s">
        <v>14262</v>
      </c>
      <c r="C4031" s="17" t="s">
        <v>14263</v>
      </c>
      <c r="D4031" s="19" t="s">
        <v>14264</v>
      </c>
      <c r="E4031" s="20" t="s">
        <v>67</v>
      </c>
      <c r="F4031" s="21">
        <v>31083.0</v>
      </c>
      <c r="G4031" s="14">
        <f t="shared" si="1"/>
        <v>41</v>
      </c>
      <c r="H4031" s="23" t="s">
        <v>26</v>
      </c>
      <c r="I4031" s="24" t="s">
        <v>33</v>
      </c>
      <c r="J4031" s="19" t="s">
        <v>68</v>
      </c>
      <c r="K4031" s="14">
        <v>32.0</v>
      </c>
      <c r="L4031" s="14">
        <v>0.0</v>
      </c>
      <c r="M4031" s="25"/>
      <c r="N4031" s="26" t="s">
        <v>21</v>
      </c>
      <c r="O4031" s="7"/>
      <c r="P4031" s="7"/>
      <c r="Q4031" s="7"/>
      <c r="R4031" s="7"/>
      <c r="S4031" s="7"/>
      <c r="T4031" s="7"/>
      <c r="U4031" s="7"/>
      <c r="V4031" s="7"/>
      <c r="W4031" s="7"/>
      <c r="X4031" s="7"/>
      <c r="Y4031" s="7"/>
    </row>
    <row r="4032">
      <c r="A4032" s="14" t="s">
        <v>14265</v>
      </c>
      <c r="B4032" s="17" t="s">
        <v>14266</v>
      </c>
      <c r="C4032" s="17" t="s">
        <v>14267</v>
      </c>
      <c r="D4032" s="19" t="s">
        <v>14268</v>
      </c>
      <c r="E4032" s="20" t="s">
        <v>14269</v>
      </c>
      <c r="F4032" s="21">
        <v>32152.0</v>
      </c>
      <c r="G4032" s="14">
        <f t="shared" si="1"/>
        <v>38</v>
      </c>
      <c r="H4032" s="23" t="s">
        <v>26</v>
      </c>
      <c r="I4032" s="24" t="s">
        <v>33</v>
      </c>
      <c r="J4032" s="19" t="s">
        <v>53</v>
      </c>
      <c r="K4032" s="14">
        <v>19.0</v>
      </c>
      <c r="L4032" s="14">
        <v>0.0</v>
      </c>
      <c r="M4032" s="25"/>
      <c r="N4032" s="26" t="s">
        <v>21</v>
      </c>
      <c r="O4032" s="7"/>
      <c r="P4032" s="7"/>
      <c r="Q4032" s="7"/>
      <c r="R4032" s="7"/>
      <c r="S4032" s="7"/>
      <c r="T4032" s="7"/>
      <c r="U4032" s="7"/>
      <c r="V4032" s="7"/>
      <c r="W4032" s="7"/>
      <c r="X4032" s="7"/>
      <c r="Y4032" s="7"/>
    </row>
    <row r="4033">
      <c r="A4033" s="14" t="s">
        <v>14270</v>
      </c>
      <c r="B4033" s="17" t="s">
        <v>14266</v>
      </c>
      <c r="C4033" s="17" t="s">
        <v>14271</v>
      </c>
      <c r="D4033" s="19" t="s">
        <v>14272</v>
      </c>
      <c r="E4033" s="20" t="s">
        <v>14273</v>
      </c>
      <c r="F4033" s="21">
        <v>34250.0</v>
      </c>
      <c r="G4033" s="14">
        <f t="shared" si="1"/>
        <v>33</v>
      </c>
      <c r="H4033" s="23" t="s">
        <v>26</v>
      </c>
      <c r="I4033" s="24" t="s">
        <v>27</v>
      </c>
      <c r="J4033" s="19" t="s">
        <v>53</v>
      </c>
      <c r="K4033" s="14">
        <v>19.0</v>
      </c>
      <c r="L4033" s="14">
        <v>0.0</v>
      </c>
      <c r="M4033" s="25"/>
      <c r="N4033" s="26" t="s">
        <v>21</v>
      </c>
      <c r="O4033" s="7"/>
      <c r="P4033" s="7"/>
      <c r="Q4033" s="7"/>
      <c r="R4033" s="7"/>
      <c r="S4033" s="7"/>
      <c r="T4033" s="7"/>
      <c r="U4033" s="7"/>
      <c r="V4033" s="7"/>
      <c r="W4033" s="7"/>
      <c r="X4033" s="7"/>
      <c r="Y4033" s="7"/>
    </row>
    <row r="4034">
      <c r="A4034" s="14" t="s">
        <v>14274</v>
      </c>
      <c r="B4034" s="17" t="s">
        <v>14275</v>
      </c>
      <c r="C4034" s="17" t="s">
        <v>14276</v>
      </c>
      <c r="D4034" s="19" t="s">
        <v>14277</v>
      </c>
      <c r="E4034" s="20" t="s">
        <v>624</v>
      </c>
      <c r="F4034" s="21">
        <v>28260.0</v>
      </c>
      <c r="G4034" s="14">
        <f t="shared" si="1"/>
        <v>49</v>
      </c>
      <c r="H4034" s="23" t="s">
        <v>26</v>
      </c>
      <c r="I4034" s="24" t="s">
        <v>33</v>
      </c>
      <c r="J4034" s="19" t="s">
        <v>53</v>
      </c>
      <c r="K4034" s="14">
        <v>10.0</v>
      </c>
      <c r="L4034" s="14">
        <v>5.0</v>
      </c>
      <c r="M4034" s="25"/>
      <c r="N4034" s="26" t="s">
        <v>21</v>
      </c>
      <c r="O4034" s="7"/>
      <c r="P4034" s="7"/>
      <c r="Q4034" s="7"/>
      <c r="R4034" s="7"/>
      <c r="S4034" s="7"/>
      <c r="T4034" s="7"/>
      <c r="U4034" s="7"/>
      <c r="V4034" s="7"/>
      <c r="W4034" s="7"/>
      <c r="X4034" s="7"/>
      <c r="Y4034" s="7"/>
    </row>
    <row r="4035">
      <c r="A4035" s="14" t="s">
        <v>14278</v>
      </c>
      <c r="B4035" s="17" t="s">
        <v>14275</v>
      </c>
      <c r="C4035" s="17" t="s">
        <v>14279</v>
      </c>
      <c r="D4035" s="19" t="s">
        <v>14280</v>
      </c>
      <c r="E4035" s="20" t="s">
        <v>104</v>
      </c>
      <c r="F4035" s="21">
        <v>38879.0</v>
      </c>
      <c r="G4035" s="14">
        <f t="shared" si="1"/>
        <v>20</v>
      </c>
      <c r="H4035" s="23" t="s">
        <v>100</v>
      </c>
      <c r="I4035" s="24" t="s">
        <v>33</v>
      </c>
      <c r="J4035" s="19" t="s">
        <v>53</v>
      </c>
      <c r="K4035" s="14">
        <v>10.0</v>
      </c>
      <c r="L4035" s="14">
        <v>5.0</v>
      </c>
      <c r="M4035" s="25"/>
      <c r="N4035" s="26" t="s">
        <v>21</v>
      </c>
      <c r="O4035" s="7"/>
      <c r="P4035" s="7"/>
      <c r="Q4035" s="7"/>
      <c r="R4035" s="7"/>
      <c r="S4035" s="7"/>
      <c r="T4035" s="7"/>
      <c r="U4035" s="7"/>
      <c r="V4035" s="7"/>
      <c r="W4035" s="7"/>
      <c r="X4035" s="7"/>
      <c r="Y4035" s="7"/>
    </row>
    <row r="4036">
      <c r="A4036" s="14" t="s">
        <v>14281</v>
      </c>
      <c r="B4036" s="17" t="s">
        <v>14275</v>
      </c>
      <c r="C4036" s="17" t="s">
        <v>14282</v>
      </c>
      <c r="D4036" s="19" t="s">
        <v>14283</v>
      </c>
      <c r="E4036" s="20" t="s">
        <v>104</v>
      </c>
      <c r="F4036" s="21">
        <v>30568.0</v>
      </c>
      <c r="G4036" s="14">
        <f t="shared" si="1"/>
        <v>43</v>
      </c>
      <c r="H4036" s="23" t="s">
        <v>26</v>
      </c>
      <c r="I4036" s="24" t="s">
        <v>27</v>
      </c>
      <c r="J4036" s="19" t="s">
        <v>53</v>
      </c>
      <c r="K4036" s="14">
        <v>10.0</v>
      </c>
      <c r="L4036" s="14">
        <v>5.0</v>
      </c>
      <c r="M4036" s="25"/>
      <c r="N4036" s="26" t="s">
        <v>21</v>
      </c>
      <c r="O4036" s="7"/>
      <c r="P4036" s="7"/>
      <c r="Q4036" s="7"/>
      <c r="R4036" s="7"/>
      <c r="S4036" s="7"/>
      <c r="T4036" s="7"/>
      <c r="U4036" s="7"/>
      <c r="V4036" s="7"/>
      <c r="W4036" s="7"/>
      <c r="X4036" s="7"/>
      <c r="Y4036" s="7"/>
    </row>
    <row r="4037">
      <c r="A4037" s="14" t="s">
        <v>14284</v>
      </c>
      <c r="B4037" s="17" t="s">
        <v>14275</v>
      </c>
      <c r="C4037" s="17" t="s">
        <v>14285</v>
      </c>
      <c r="D4037" s="19" t="s">
        <v>14286</v>
      </c>
      <c r="E4037" s="20" t="s">
        <v>104</v>
      </c>
      <c r="F4037" s="27">
        <v>37547.0</v>
      </c>
      <c r="G4037" s="14">
        <f t="shared" si="1"/>
        <v>24</v>
      </c>
      <c r="H4037" s="23" t="s">
        <v>100</v>
      </c>
      <c r="I4037" s="24" t="s">
        <v>33</v>
      </c>
      <c r="J4037" s="19" t="s">
        <v>53</v>
      </c>
      <c r="K4037" s="14">
        <v>10.0</v>
      </c>
      <c r="L4037" s="14">
        <v>5.0</v>
      </c>
      <c r="M4037" s="25"/>
      <c r="N4037" s="26" t="s">
        <v>21</v>
      </c>
      <c r="O4037" s="7"/>
      <c r="P4037" s="7"/>
      <c r="Q4037" s="7"/>
      <c r="R4037" s="7"/>
      <c r="S4037" s="7"/>
      <c r="T4037" s="7"/>
      <c r="U4037" s="7"/>
      <c r="V4037" s="7"/>
      <c r="W4037" s="7"/>
      <c r="X4037" s="7"/>
      <c r="Y4037" s="7"/>
    </row>
    <row r="4038">
      <c r="A4038" s="14" t="s">
        <v>14287</v>
      </c>
      <c r="B4038" s="17" t="s">
        <v>14288</v>
      </c>
      <c r="C4038" s="17" t="s">
        <v>14289</v>
      </c>
      <c r="D4038" s="19" t="s">
        <v>7001</v>
      </c>
      <c r="E4038" s="20" t="s">
        <v>138</v>
      </c>
      <c r="F4038" s="27">
        <v>36872.0</v>
      </c>
      <c r="G4038" s="14">
        <f t="shared" si="1"/>
        <v>25</v>
      </c>
      <c r="H4038" s="23" t="s">
        <v>100</v>
      </c>
      <c r="I4038" s="24" t="s">
        <v>33</v>
      </c>
      <c r="J4038" s="19" t="s">
        <v>68</v>
      </c>
      <c r="K4038" s="14">
        <v>32.0</v>
      </c>
      <c r="L4038" s="14">
        <v>0.0</v>
      </c>
      <c r="M4038" s="25"/>
      <c r="N4038" s="26" t="s">
        <v>21</v>
      </c>
      <c r="O4038" s="7"/>
      <c r="P4038" s="7"/>
      <c r="Q4038" s="7"/>
      <c r="R4038" s="7"/>
      <c r="S4038" s="7"/>
      <c r="T4038" s="7"/>
      <c r="U4038" s="7"/>
      <c r="V4038" s="7"/>
      <c r="W4038" s="7"/>
      <c r="X4038" s="7"/>
      <c r="Y4038" s="7"/>
    </row>
    <row r="4039">
      <c r="A4039" s="14" t="s">
        <v>14290</v>
      </c>
      <c r="B4039" s="17" t="s">
        <v>14288</v>
      </c>
      <c r="C4039" s="17" t="s">
        <v>14291</v>
      </c>
      <c r="D4039" s="19" t="s">
        <v>14292</v>
      </c>
      <c r="E4039" s="20" t="s">
        <v>1038</v>
      </c>
      <c r="F4039" s="27">
        <v>27382.0</v>
      </c>
      <c r="G4039" s="14">
        <f t="shared" si="1"/>
        <v>51</v>
      </c>
      <c r="H4039" s="23" t="s">
        <v>26</v>
      </c>
      <c r="I4039" s="24" t="s">
        <v>33</v>
      </c>
      <c r="J4039" s="19" t="s">
        <v>68</v>
      </c>
      <c r="K4039" s="14">
        <v>32.0</v>
      </c>
      <c r="L4039" s="14">
        <v>5.0</v>
      </c>
      <c r="M4039" s="25"/>
      <c r="N4039" s="26" t="s">
        <v>21</v>
      </c>
      <c r="O4039" s="7"/>
      <c r="P4039" s="7"/>
      <c r="Q4039" s="7"/>
      <c r="R4039" s="7"/>
      <c r="S4039" s="7"/>
      <c r="T4039" s="7"/>
      <c r="U4039" s="7"/>
      <c r="V4039" s="7"/>
      <c r="W4039" s="7"/>
      <c r="X4039" s="7"/>
      <c r="Y4039" s="7"/>
    </row>
    <row r="4040">
      <c r="A4040" s="14" t="s">
        <v>14293</v>
      </c>
      <c r="B4040" s="17" t="s">
        <v>14288</v>
      </c>
      <c r="C4040" s="17" t="s">
        <v>14294</v>
      </c>
      <c r="D4040" s="19" t="s">
        <v>14295</v>
      </c>
      <c r="E4040" s="20" t="s">
        <v>2079</v>
      </c>
      <c r="F4040" s="27">
        <v>27741.0</v>
      </c>
      <c r="G4040" s="14">
        <f t="shared" si="1"/>
        <v>50</v>
      </c>
      <c r="H4040" s="23" t="s">
        <v>26</v>
      </c>
      <c r="I4040" s="24" t="s">
        <v>27</v>
      </c>
      <c r="J4040" s="19" t="s">
        <v>68</v>
      </c>
      <c r="K4040" s="14">
        <v>32.0</v>
      </c>
      <c r="L4040" s="14">
        <v>0.0</v>
      </c>
      <c r="M4040" s="25"/>
      <c r="N4040" s="26" t="s">
        <v>21</v>
      </c>
      <c r="O4040" s="7"/>
      <c r="P4040" s="7"/>
      <c r="Q4040" s="7"/>
      <c r="R4040" s="7"/>
      <c r="S4040" s="7"/>
      <c r="T4040" s="7"/>
      <c r="U4040" s="7"/>
      <c r="V4040" s="7"/>
      <c r="W4040" s="7"/>
      <c r="X4040" s="7"/>
      <c r="Y4040" s="7"/>
    </row>
    <row r="4041">
      <c r="A4041" s="14" t="s">
        <v>14296</v>
      </c>
      <c r="B4041" s="17" t="s">
        <v>14297</v>
      </c>
      <c r="C4041" s="17" t="s">
        <v>14298</v>
      </c>
      <c r="D4041" s="19" t="s">
        <v>14299</v>
      </c>
      <c r="E4041" s="20" t="s">
        <v>7240</v>
      </c>
      <c r="F4041" s="21">
        <v>18278.0</v>
      </c>
      <c r="G4041" s="14">
        <f t="shared" si="1"/>
        <v>76</v>
      </c>
      <c r="H4041" s="23" t="s">
        <v>26</v>
      </c>
      <c r="I4041" s="24" t="s">
        <v>33</v>
      </c>
      <c r="J4041" s="19" t="s">
        <v>14300</v>
      </c>
      <c r="K4041" s="14">
        <v>32.0</v>
      </c>
      <c r="L4041" s="14">
        <v>0.0</v>
      </c>
      <c r="M4041" s="25"/>
      <c r="N4041" s="26" t="s">
        <v>21</v>
      </c>
      <c r="O4041" s="7"/>
      <c r="P4041" s="7"/>
      <c r="Q4041" s="7"/>
      <c r="R4041" s="7"/>
      <c r="S4041" s="7"/>
      <c r="T4041" s="7"/>
      <c r="U4041" s="7"/>
      <c r="V4041" s="7"/>
      <c r="W4041" s="7"/>
      <c r="X4041" s="7"/>
      <c r="Y4041" s="7"/>
    </row>
    <row r="4042">
      <c r="A4042" s="14" t="s">
        <v>14301</v>
      </c>
      <c r="B4042" s="17" t="s">
        <v>14297</v>
      </c>
      <c r="C4042" s="17" t="s">
        <v>14302</v>
      </c>
      <c r="D4042" s="19" t="s">
        <v>14303</v>
      </c>
      <c r="E4042" s="20" t="s">
        <v>1816</v>
      </c>
      <c r="F4042" s="21">
        <v>18271.0</v>
      </c>
      <c r="G4042" s="14">
        <f t="shared" si="1"/>
        <v>76</v>
      </c>
      <c r="H4042" s="23" t="s">
        <v>26</v>
      </c>
      <c r="I4042" s="24" t="s">
        <v>27</v>
      </c>
      <c r="J4042" s="19" t="s">
        <v>14300</v>
      </c>
      <c r="K4042" s="14">
        <v>32.0</v>
      </c>
      <c r="L4042" s="14">
        <v>1.0</v>
      </c>
      <c r="M4042" s="25"/>
      <c r="N4042" s="26" t="s">
        <v>21</v>
      </c>
      <c r="O4042" s="7"/>
      <c r="P4042" s="7"/>
      <c r="Q4042" s="7"/>
      <c r="R4042" s="7"/>
      <c r="S4042" s="7"/>
      <c r="T4042" s="7"/>
      <c r="U4042" s="7"/>
      <c r="V4042" s="7"/>
      <c r="W4042" s="7"/>
      <c r="X4042" s="7"/>
      <c r="Y4042" s="7"/>
    </row>
    <row r="4043">
      <c r="A4043" s="14" t="s">
        <v>14304</v>
      </c>
      <c r="B4043" s="17" t="s">
        <v>14305</v>
      </c>
      <c r="C4043" s="17" t="s">
        <v>14306</v>
      </c>
      <c r="D4043" s="19" t="s">
        <v>14307</v>
      </c>
      <c r="E4043" s="20" t="s">
        <v>219</v>
      </c>
      <c r="F4043" s="21">
        <v>28897.0</v>
      </c>
      <c r="G4043" s="14">
        <f t="shared" si="1"/>
        <v>47</v>
      </c>
      <c r="H4043" s="23" t="s">
        <v>26</v>
      </c>
      <c r="I4043" s="24" t="s">
        <v>33</v>
      </c>
      <c r="J4043" s="19" t="s">
        <v>146</v>
      </c>
      <c r="K4043" s="14">
        <v>3.0</v>
      </c>
      <c r="L4043" s="14">
        <v>0.0</v>
      </c>
      <c r="M4043" s="25"/>
      <c r="N4043" s="26" t="s">
        <v>21</v>
      </c>
      <c r="O4043" s="7"/>
      <c r="P4043" s="7"/>
      <c r="Q4043" s="7"/>
      <c r="R4043" s="7"/>
      <c r="S4043" s="7"/>
      <c r="T4043" s="7"/>
      <c r="U4043" s="7"/>
      <c r="V4043" s="7"/>
      <c r="W4043" s="7"/>
      <c r="X4043" s="7"/>
      <c r="Y4043" s="7"/>
    </row>
    <row r="4044">
      <c r="A4044" s="14" t="s">
        <v>14308</v>
      </c>
      <c r="B4044" s="17" t="s">
        <v>14305</v>
      </c>
      <c r="C4044" s="17" t="s">
        <v>14309</v>
      </c>
      <c r="D4044" s="19" t="s">
        <v>14310</v>
      </c>
      <c r="E4044" s="20" t="s">
        <v>14311</v>
      </c>
      <c r="F4044" s="21">
        <v>38440.0</v>
      </c>
      <c r="G4044" s="14">
        <f t="shared" si="1"/>
        <v>21</v>
      </c>
      <c r="H4044" s="23" t="s">
        <v>100</v>
      </c>
      <c r="I4044" s="24" t="s">
        <v>33</v>
      </c>
      <c r="J4044" s="19" t="s">
        <v>146</v>
      </c>
      <c r="K4044" s="14">
        <v>3.0</v>
      </c>
      <c r="L4044" s="14">
        <v>0.0</v>
      </c>
      <c r="M4044" s="25"/>
      <c r="N4044" s="26" t="s">
        <v>21</v>
      </c>
      <c r="O4044" s="7"/>
      <c r="P4044" s="7"/>
      <c r="Q4044" s="7"/>
      <c r="R4044" s="7"/>
      <c r="S4044" s="7"/>
      <c r="T4044" s="7"/>
      <c r="U4044" s="7"/>
      <c r="V4044" s="7"/>
      <c r="W4044" s="7"/>
      <c r="X4044" s="7"/>
      <c r="Y4044" s="7"/>
    </row>
    <row r="4045">
      <c r="A4045" s="14" t="s">
        <v>14312</v>
      </c>
      <c r="B4045" s="17" t="s">
        <v>14305</v>
      </c>
      <c r="C4045" s="17" t="s">
        <v>14313</v>
      </c>
      <c r="D4045" s="19" t="s">
        <v>14314</v>
      </c>
      <c r="E4045" s="20" t="s">
        <v>666</v>
      </c>
      <c r="F4045" s="21">
        <v>26424.0</v>
      </c>
      <c r="G4045" s="14">
        <f t="shared" si="1"/>
        <v>54</v>
      </c>
      <c r="H4045" s="23" t="s">
        <v>26</v>
      </c>
      <c r="I4045" s="24" t="s">
        <v>27</v>
      </c>
      <c r="J4045" s="19" t="s">
        <v>146</v>
      </c>
      <c r="K4045" s="14">
        <v>3.0</v>
      </c>
      <c r="L4045" s="14">
        <v>0.0</v>
      </c>
      <c r="M4045" s="25"/>
      <c r="N4045" s="26" t="s">
        <v>21</v>
      </c>
      <c r="O4045" s="7"/>
      <c r="P4045" s="7"/>
      <c r="Q4045" s="7"/>
      <c r="R4045" s="7"/>
      <c r="S4045" s="7"/>
      <c r="T4045" s="7"/>
      <c r="U4045" s="7"/>
      <c r="V4045" s="7"/>
      <c r="W4045" s="7"/>
      <c r="X4045" s="7"/>
      <c r="Y4045" s="7"/>
    </row>
    <row r="4046">
      <c r="A4046" s="14" t="s">
        <v>14315</v>
      </c>
      <c r="B4046" s="17" t="s">
        <v>14316</v>
      </c>
      <c r="C4046" s="17" t="s">
        <v>14317</v>
      </c>
      <c r="D4046" s="19" t="s">
        <v>14318</v>
      </c>
      <c r="E4046" s="20" t="s">
        <v>14319</v>
      </c>
      <c r="F4046" s="21">
        <v>34031.0</v>
      </c>
      <c r="G4046" s="14">
        <f t="shared" si="1"/>
        <v>33</v>
      </c>
      <c r="H4046" s="23" t="s">
        <v>26</v>
      </c>
      <c r="I4046" s="24" t="s">
        <v>27</v>
      </c>
      <c r="J4046" s="19" t="s">
        <v>58</v>
      </c>
      <c r="K4046" s="14">
        <v>36.0</v>
      </c>
      <c r="L4046" s="14">
        <v>0.0</v>
      </c>
      <c r="M4046" s="25"/>
      <c r="N4046" s="26" t="s">
        <v>21</v>
      </c>
      <c r="O4046" s="7"/>
      <c r="P4046" s="7"/>
      <c r="Q4046" s="7"/>
      <c r="R4046" s="7"/>
      <c r="S4046" s="7"/>
      <c r="T4046" s="7"/>
      <c r="U4046" s="7"/>
      <c r="V4046" s="7"/>
      <c r="W4046" s="7"/>
      <c r="X4046" s="7"/>
      <c r="Y4046" s="7"/>
    </row>
    <row r="4047">
      <c r="A4047" s="14" t="s">
        <v>14320</v>
      </c>
      <c r="B4047" s="17" t="s">
        <v>14316</v>
      </c>
      <c r="C4047" s="17" t="s">
        <v>14321</v>
      </c>
      <c r="D4047" s="19" t="s">
        <v>14322</v>
      </c>
      <c r="E4047" s="20" t="s">
        <v>1830</v>
      </c>
      <c r="F4047" s="21">
        <v>33740.0</v>
      </c>
      <c r="G4047" s="14">
        <f t="shared" si="1"/>
        <v>34</v>
      </c>
      <c r="H4047" s="23" t="s">
        <v>26</v>
      </c>
      <c r="I4047" s="24" t="s">
        <v>33</v>
      </c>
      <c r="J4047" s="19" t="s">
        <v>58</v>
      </c>
      <c r="K4047" s="14">
        <v>36.0</v>
      </c>
      <c r="L4047" s="14">
        <v>0.0</v>
      </c>
      <c r="M4047" s="25"/>
      <c r="N4047" s="26" t="s">
        <v>21</v>
      </c>
      <c r="O4047" s="7"/>
      <c r="P4047" s="7"/>
      <c r="Q4047" s="7"/>
      <c r="R4047" s="7"/>
      <c r="S4047" s="7"/>
      <c r="T4047" s="7"/>
      <c r="U4047" s="7"/>
      <c r="V4047" s="7"/>
      <c r="W4047" s="7"/>
      <c r="X4047" s="7"/>
      <c r="Y4047" s="7"/>
    </row>
    <row r="4048">
      <c r="A4048" s="14" t="s">
        <v>14323</v>
      </c>
      <c r="B4048" s="17" t="s">
        <v>14324</v>
      </c>
      <c r="C4048" s="17" t="s">
        <v>14325</v>
      </c>
      <c r="D4048" s="19" t="s">
        <v>14326</v>
      </c>
      <c r="E4048" s="20" t="s">
        <v>195</v>
      </c>
      <c r="F4048" s="21">
        <v>35315.0</v>
      </c>
      <c r="G4048" s="14">
        <f t="shared" si="1"/>
        <v>30</v>
      </c>
      <c r="H4048" s="23" t="s">
        <v>100</v>
      </c>
      <c r="I4048" s="24" t="s">
        <v>33</v>
      </c>
      <c r="J4048" s="19" t="s">
        <v>156</v>
      </c>
      <c r="K4048" s="14">
        <v>29.0</v>
      </c>
      <c r="L4048" s="14">
        <v>0.0</v>
      </c>
      <c r="M4048" s="25"/>
      <c r="N4048" s="26" t="s">
        <v>21</v>
      </c>
      <c r="O4048" s="7"/>
      <c r="P4048" s="7"/>
      <c r="Q4048" s="7"/>
      <c r="R4048" s="7"/>
      <c r="S4048" s="7"/>
      <c r="T4048" s="7"/>
      <c r="U4048" s="7"/>
      <c r="V4048" s="7"/>
      <c r="W4048" s="7"/>
      <c r="X4048" s="7"/>
      <c r="Y4048" s="7"/>
    </row>
    <row r="4049">
      <c r="A4049" s="14" t="s">
        <v>14327</v>
      </c>
      <c r="B4049" s="17" t="s">
        <v>14328</v>
      </c>
      <c r="C4049" s="17" t="s">
        <v>14329</v>
      </c>
      <c r="D4049" s="19" t="s">
        <v>14330</v>
      </c>
      <c r="E4049" s="20" t="s">
        <v>195</v>
      </c>
      <c r="F4049" s="21">
        <v>31498.0</v>
      </c>
      <c r="G4049" s="14">
        <f t="shared" si="1"/>
        <v>40</v>
      </c>
      <c r="H4049" s="23" t="s">
        <v>26</v>
      </c>
      <c r="I4049" s="24" t="s">
        <v>33</v>
      </c>
      <c r="J4049" s="19" t="s">
        <v>68</v>
      </c>
      <c r="K4049" s="14">
        <v>28.0</v>
      </c>
      <c r="L4049" s="14">
        <v>5.0</v>
      </c>
      <c r="M4049" s="25"/>
      <c r="N4049" s="26" t="s">
        <v>21</v>
      </c>
      <c r="O4049" s="7"/>
      <c r="P4049" s="7"/>
      <c r="Q4049" s="7"/>
      <c r="R4049" s="7"/>
      <c r="S4049" s="7"/>
      <c r="T4049" s="7"/>
      <c r="U4049" s="7"/>
      <c r="V4049" s="7"/>
      <c r="W4049" s="7"/>
      <c r="X4049" s="7"/>
      <c r="Y4049" s="7"/>
    </row>
    <row r="4050">
      <c r="A4050" s="14" t="s">
        <v>14331</v>
      </c>
      <c r="B4050" s="17" t="s">
        <v>14332</v>
      </c>
      <c r="C4050" s="17" t="s">
        <v>14333</v>
      </c>
      <c r="D4050" s="19" t="s">
        <v>14334</v>
      </c>
      <c r="E4050" s="20" t="s">
        <v>14335</v>
      </c>
      <c r="F4050" s="21">
        <v>36252.0</v>
      </c>
      <c r="G4050" s="14">
        <f t="shared" si="1"/>
        <v>27</v>
      </c>
      <c r="H4050" s="23" t="s">
        <v>26</v>
      </c>
      <c r="I4050" s="24" t="s">
        <v>27</v>
      </c>
      <c r="J4050" s="19" t="s">
        <v>2620</v>
      </c>
      <c r="K4050" s="14">
        <v>20.0</v>
      </c>
      <c r="L4050" s="14">
        <v>0.0</v>
      </c>
      <c r="M4050" s="25"/>
      <c r="N4050" s="26" t="s">
        <v>21</v>
      </c>
      <c r="O4050" s="7"/>
      <c r="P4050" s="7"/>
      <c r="Q4050" s="7"/>
      <c r="R4050" s="7"/>
      <c r="S4050" s="7"/>
      <c r="T4050" s="7"/>
      <c r="U4050" s="7"/>
      <c r="V4050" s="7"/>
      <c r="W4050" s="7"/>
      <c r="X4050" s="7"/>
      <c r="Y4050" s="7"/>
    </row>
    <row r="4051">
      <c r="A4051" s="14" t="s">
        <v>14336</v>
      </c>
      <c r="B4051" s="17" t="s">
        <v>14332</v>
      </c>
      <c r="C4051" s="17" t="s">
        <v>14337</v>
      </c>
      <c r="D4051" s="19" t="s">
        <v>14338</v>
      </c>
      <c r="E4051" s="20" t="s">
        <v>2672</v>
      </c>
      <c r="F4051" s="21">
        <v>32760.0</v>
      </c>
      <c r="G4051" s="14">
        <f t="shared" si="1"/>
        <v>37</v>
      </c>
      <c r="H4051" s="23" t="s">
        <v>26</v>
      </c>
      <c r="I4051" s="24" t="s">
        <v>33</v>
      </c>
      <c r="J4051" s="19" t="s">
        <v>2620</v>
      </c>
      <c r="K4051" s="14">
        <v>20.0</v>
      </c>
      <c r="L4051" s="14">
        <v>0.0</v>
      </c>
      <c r="M4051" s="25"/>
      <c r="N4051" s="26" t="s">
        <v>21</v>
      </c>
      <c r="O4051" s="7"/>
      <c r="P4051" s="7"/>
      <c r="Q4051" s="7"/>
      <c r="R4051" s="7"/>
      <c r="S4051" s="7"/>
      <c r="T4051" s="7"/>
      <c r="U4051" s="7"/>
      <c r="V4051" s="7"/>
      <c r="W4051" s="7"/>
      <c r="X4051" s="7"/>
      <c r="Y4051" s="7"/>
    </row>
    <row r="4052">
      <c r="A4052" s="14" t="s">
        <v>14339</v>
      </c>
      <c r="B4052" s="17" t="s">
        <v>14340</v>
      </c>
      <c r="C4052" s="17" t="s">
        <v>14341</v>
      </c>
      <c r="D4052" s="19" t="s">
        <v>14342</v>
      </c>
      <c r="E4052" s="20" t="s">
        <v>14343</v>
      </c>
      <c r="F4052" s="27">
        <v>30983.0</v>
      </c>
      <c r="G4052" s="14">
        <f t="shared" si="1"/>
        <v>42</v>
      </c>
      <c r="H4052" s="23" t="s">
        <v>26</v>
      </c>
      <c r="I4052" s="24" t="s">
        <v>33</v>
      </c>
      <c r="J4052" s="19" t="s">
        <v>2196</v>
      </c>
      <c r="K4052" s="14">
        <v>15.0</v>
      </c>
      <c r="L4052" s="14">
        <v>0.0</v>
      </c>
      <c r="M4052" s="25"/>
      <c r="N4052" s="26" t="s">
        <v>21</v>
      </c>
      <c r="O4052" s="7"/>
      <c r="P4052" s="7"/>
      <c r="Q4052" s="7"/>
      <c r="R4052" s="7"/>
      <c r="S4052" s="7"/>
      <c r="T4052" s="7"/>
      <c r="U4052" s="7"/>
      <c r="V4052" s="7"/>
      <c r="W4052" s="7"/>
      <c r="X4052" s="7"/>
      <c r="Y4052" s="7"/>
    </row>
    <row r="4053">
      <c r="A4053" s="14" t="s">
        <v>14344</v>
      </c>
      <c r="B4053" s="17" t="s">
        <v>14340</v>
      </c>
      <c r="C4053" s="17" t="s">
        <v>14345</v>
      </c>
      <c r="D4053" s="19" t="s">
        <v>14346</v>
      </c>
      <c r="E4053" s="20" t="s">
        <v>14347</v>
      </c>
      <c r="F4053" s="27">
        <v>31406.0</v>
      </c>
      <c r="G4053" s="14">
        <f t="shared" si="1"/>
        <v>40</v>
      </c>
      <c r="H4053" s="23" t="s">
        <v>26</v>
      </c>
      <c r="I4053" s="24" t="s">
        <v>27</v>
      </c>
      <c r="J4053" s="19" t="s">
        <v>2196</v>
      </c>
      <c r="K4053" s="14">
        <v>15.0</v>
      </c>
      <c r="L4053" s="14">
        <v>0.0</v>
      </c>
      <c r="M4053" s="25"/>
      <c r="N4053" s="26" t="s">
        <v>21</v>
      </c>
      <c r="O4053" s="7"/>
      <c r="P4053" s="7"/>
      <c r="Q4053" s="7"/>
      <c r="R4053" s="7"/>
      <c r="S4053" s="7"/>
      <c r="T4053" s="7"/>
      <c r="U4053" s="7"/>
      <c r="V4053" s="7"/>
      <c r="W4053" s="7"/>
      <c r="X4053" s="7"/>
      <c r="Y4053" s="7"/>
    </row>
    <row r="4054">
      <c r="A4054" s="14" t="s">
        <v>14348</v>
      </c>
      <c r="B4054" s="17" t="s">
        <v>14349</v>
      </c>
      <c r="C4054" s="17" t="s">
        <v>14350</v>
      </c>
      <c r="D4054" s="19" t="s">
        <v>14351</v>
      </c>
      <c r="E4054" s="20" t="s">
        <v>2672</v>
      </c>
      <c r="F4054" s="21">
        <v>36921.0</v>
      </c>
      <c r="G4054" s="14">
        <f t="shared" si="1"/>
        <v>25</v>
      </c>
      <c r="H4054" s="23" t="s">
        <v>26</v>
      </c>
      <c r="I4054" s="24" t="s">
        <v>27</v>
      </c>
      <c r="J4054" s="19" t="s">
        <v>53</v>
      </c>
      <c r="K4054" s="14">
        <v>1.0</v>
      </c>
      <c r="L4054" s="14">
        <v>0.0</v>
      </c>
      <c r="M4054" s="25"/>
      <c r="N4054" s="26" t="s">
        <v>21</v>
      </c>
      <c r="O4054" s="7"/>
      <c r="P4054" s="7"/>
      <c r="Q4054" s="7"/>
      <c r="R4054" s="7"/>
      <c r="S4054" s="7"/>
      <c r="T4054" s="7"/>
      <c r="U4054" s="7"/>
      <c r="V4054" s="7"/>
      <c r="W4054" s="7"/>
      <c r="X4054" s="7"/>
      <c r="Y4054" s="7"/>
    </row>
    <row r="4055">
      <c r="A4055" s="14" t="s">
        <v>14352</v>
      </c>
      <c r="B4055" s="17" t="s">
        <v>14349</v>
      </c>
      <c r="C4055" s="17" t="s">
        <v>14353</v>
      </c>
      <c r="D4055" s="19" t="s">
        <v>14354</v>
      </c>
      <c r="E4055" s="20" t="s">
        <v>14355</v>
      </c>
      <c r="F4055" s="21">
        <v>35586.0</v>
      </c>
      <c r="G4055" s="14">
        <f t="shared" si="1"/>
        <v>29</v>
      </c>
      <c r="H4055" s="23" t="s">
        <v>26</v>
      </c>
      <c r="I4055" s="24" t="s">
        <v>33</v>
      </c>
      <c r="J4055" s="19" t="s">
        <v>53</v>
      </c>
      <c r="K4055" s="14">
        <v>1.0</v>
      </c>
      <c r="L4055" s="14">
        <v>0.0</v>
      </c>
      <c r="M4055" s="25"/>
      <c r="N4055" s="26" t="s">
        <v>21</v>
      </c>
      <c r="O4055" s="7"/>
      <c r="P4055" s="7"/>
      <c r="Q4055" s="7"/>
      <c r="R4055" s="7"/>
      <c r="S4055" s="7"/>
      <c r="T4055" s="7"/>
      <c r="U4055" s="7"/>
      <c r="V4055" s="7"/>
      <c r="W4055" s="7"/>
      <c r="X4055" s="7"/>
      <c r="Y4055" s="7"/>
    </row>
    <row r="4056">
      <c r="A4056" s="14" t="s">
        <v>14356</v>
      </c>
      <c r="B4056" s="17" t="s">
        <v>14357</v>
      </c>
      <c r="C4056" s="17" t="s">
        <v>14358</v>
      </c>
      <c r="D4056" s="19" t="s">
        <v>14359</v>
      </c>
      <c r="E4056" s="20" t="s">
        <v>544</v>
      </c>
      <c r="F4056" s="27">
        <v>20738.0</v>
      </c>
      <c r="G4056" s="14">
        <f t="shared" si="1"/>
        <v>70</v>
      </c>
      <c r="H4056" s="23" t="s">
        <v>26</v>
      </c>
      <c r="I4056" s="24" t="s">
        <v>27</v>
      </c>
      <c r="J4056" s="19" t="s">
        <v>156</v>
      </c>
      <c r="K4056" s="14">
        <v>32.0</v>
      </c>
      <c r="L4056" s="14">
        <v>0.0</v>
      </c>
      <c r="M4056" s="25"/>
      <c r="N4056" s="26" t="s">
        <v>21</v>
      </c>
      <c r="O4056" s="7"/>
      <c r="P4056" s="7"/>
      <c r="Q4056" s="7"/>
      <c r="R4056" s="7"/>
      <c r="S4056" s="7"/>
      <c r="T4056" s="7"/>
      <c r="U4056" s="7"/>
      <c r="V4056" s="7"/>
      <c r="W4056" s="7"/>
      <c r="X4056" s="7"/>
      <c r="Y4056" s="7"/>
    </row>
    <row r="4057">
      <c r="A4057" s="14" t="s">
        <v>14360</v>
      </c>
      <c r="B4057" s="17" t="s">
        <v>14361</v>
      </c>
      <c r="C4057" s="17" t="s">
        <v>14362</v>
      </c>
      <c r="D4057" s="19" t="s">
        <v>14363</v>
      </c>
      <c r="E4057" s="20" t="s">
        <v>4976</v>
      </c>
      <c r="F4057" s="27">
        <v>30649.0</v>
      </c>
      <c r="G4057" s="14">
        <f t="shared" si="1"/>
        <v>42</v>
      </c>
      <c r="H4057" s="23" t="s">
        <v>26</v>
      </c>
      <c r="I4057" s="24" t="s">
        <v>33</v>
      </c>
      <c r="J4057" s="19" t="s">
        <v>58</v>
      </c>
      <c r="K4057" s="14">
        <v>9.0</v>
      </c>
      <c r="L4057" s="14">
        <v>0.0</v>
      </c>
      <c r="M4057" s="25"/>
      <c r="N4057" s="26" t="s">
        <v>21</v>
      </c>
      <c r="O4057" s="7"/>
      <c r="P4057" s="7"/>
      <c r="Q4057" s="7"/>
      <c r="R4057" s="7"/>
      <c r="S4057" s="7"/>
      <c r="T4057" s="7"/>
      <c r="U4057" s="7"/>
      <c r="V4057" s="7"/>
      <c r="W4057" s="7"/>
      <c r="X4057" s="7"/>
      <c r="Y4057" s="7"/>
    </row>
    <row r="4058">
      <c r="A4058" s="14" t="s">
        <v>14364</v>
      </c>
      <c r="B4058" s="17" t="s">
        <v>14361</v>
      </c>
      <c r="C4058" s="17" t="s">
        <v>14365</v>
      </c>
      <c r="D4058" s="19" t="s">
        <v>14366</v>
      </c>
      <c r="E4058" s="20" t="s">
        <v>4976</v>
      </c>
      <c r="F4058" s="21">
        <v>34440.0</v>
      </c>
      <c r="G4058" s="14">
        <f t="shared" si="1"/>
        <v>32</v>
      </c>
      <c r="H4058" s="23" t="s">
        <v>26</v>
      </c>
      <c r="I4058" s="24" t="s">
        <v>27</v>
      </c>
      <c r="J4058" s="19" t="s">
        <v>58</v>
      </c>
      <c r="K4058" s="14">
        <v>9.0</v>
      </c>
      <c r="L4058" s="14">
        <v>0.0</v>
      </c>
      <c r="M4058" s="25"/>
      <c r="N4058" s="26" t="s">
        <v>21</v>
      </c>
      <c r="O4058" s="7"/>
      <c r="P4058" s="7"/>
      <c r="Q4058" s="7"/>
      <c r="R4058" s="7"/>
      <c r="S4058" s="7"/>
      <c r="T4058" s="7"/>
      <c r="U4058" s="7"/>
      <c r="V4058" s="7"/>
      <c r="W4058" s="7"/>
      <c r="X4058" s="7"/>
      <c r="Y4058" s="7"/>
    </row>
    <row r="4059">
      <c r="A4059" s="14" t="s">
        <v>14367</v>
      </c>
      <c r="B4059" s="17" t="s">
        <v>14368</v>
      </c>
      <c r="C4059" s="17" t="s">
        <v>14369</v>
      </c>
      <c r="D4059" s="19" t="s">
        <v>14370</v>
      </c>
      <c r="E4059" s="20" t="s">
        <v>14371</v>
      </c>
      <c r="F4059" s="21">
        <v>20271.0</v>
      </c>
      <c r="G4059" s="14">
        <f t="shared" si="1"/>
        <v>71</v>
      </c>
      <c r="H4059" s="23" t="s">
        <v>26</v>
      </c>
      <c r="I4059" s="24" t="s">
        <v>33</v>
      </c>
      <c r="J4059" s="19" t="s">
        <v>328</v>
      </c>
      <c r="K4059" s="14">
        <v>20.0</v>
      </c>
      <c r="L4059" s="14">
        <v>0.0</v>
      </c>
      <c r="M4059" s="25"/>
      <c r="N4059" s="26" t="s">
        <v>21</v>
      </c>
      <c r="O4059" s="7"/>
      <c r="P4059" s="7"/>
      <c r="Q4059" s="7"/>
      <c r="R4059" s="7"/>
      <c r="S4059" s="7"/>
      <c r="T4059" s="7"/>
      <c r="U4059" s="7"/>
      <c r="V4059" s="7"/>
      <c r="W4059" s="7"/>
      <c r="X4059" s="7"/>
      <c r="Y4059" s="7"/>
    </row>
    <row r="4060">
      <c r="A4060" s="14" t="s">
        <v>14372</v>
      </c>
      <c r="B4060" s="17" t="s">
        <v>14368</v>
      </c>
      <c r="C4060" s="17" t="s">
        <v>14373</v>
      </c>
      <c r="D4060" s="19" t="s">
        <v>14374</v>
      </c>
      <c r="E4060" s="20" t="s">
        <v>429</v>
      </c>
      <c r="F4060" s="21">
        <v>26881.0</v>
      </c>
      <c r="G4060" s="14">
        <f t="shared" si="1"/>
        <v>53</v>
      </c>
      <c r="H4060" s="23" t="s">
        <v>26</v>
      </c>
      <c r="I4060" s="24" t="s">
        <v>27</v>
      </c>
      <c r="J4060" s="19" t="s">
        <v>328</v>
      </c>
      <c r="K4060" s="14">
        <v>20.0</v>
      </c>
      <c r="L4060" s="14">
        <v>0.0</v>
      </c>
      <c r="M4060" s="25"/>
      <c r="N4060" s="26" t="s">
        <v>21</v>
      </c>
      <c r="O4060" s="7"/>
      <c r="P4060" s="7"/>
      <c r="Q4060" s="7"/>
      <c r="R4060" s="7"/>
      <c r="S4060" s="7"/>
      <c r="T4060" s="7"/>
      <c r="U4060" s="7"/>
      <c r="V4060" s="7"/>
      <c r="W4060" s="7"/>
      <c r="X4060" s="7"/>
      <c r="Y4060" s="7"/>
    </row>
    <row r="4061">
      <c r="A4061" s="14" t="s">
        <v>14375</v>
      </c>
      <c r="B4061" s="17" t="s">
        <v>14368</v>
      </c>
      <c r="C4061" s="17" t="s">
        <v>14376</v>
      </c>
      <c r="D4061" s="19" t="s">
        <v>14377</v>
      </c>
      <c r="E4061" s="20" t="s">
        <v>138</v>
      </c>
      <c r="F4061" s="21">
        <v>39053.0</v>
      </c>
      <c r="G4061" s="14">
        <f t="shared" si="1"/>
        <v>19</v>
      </c>
      <c r="H4061" s="23" t="s">
        <v>100</v>
      </c>
      <c r="I4061" s="24" t="s">
        <v>33</v>
      </c>
      <c r="J4061" s="19" t="s">
        <v>328</v>
      </c>
      <c r="K4061" s="14">
        <v>20.0</v>
      </c>
      <c r="L4061" s="14">
        <v>0.0</v>
      </c>
      <c r="M4061" s="25"/>
      <c r="N4061" s="26" t="s">
        <v>21</v>
      </c>
      <c r="O4061" s="7"/>
      <c r="P4061" s="7"/>
      <c r="Q4061" s="7"/>
      <c r="R4061" s="7"/>
      <c r="S4061" s="7"/>
      <c r="T4061" s="7"/>
      <c r="U4061" s="7"/>
      <c r="V4061" s="7"/>
      <c r="W4061" s="7"/>
      <c r="X4061" s="7"/>
      <c r="Y4061" s="7"/>
    </row>
    <row r="4062">
      <c r="A4062" s="14" t="s">
        <v>14378</v>
      </c>
      <c r="B4062" s="17" t="s">
        <v>14379</v>
      </c>
      <c r="C4062" s="17" t="s">
        <v>14380</v>
      </c>
      <c r="D4062" s="19" t="s">
        <v>14381</v>
      </c>
      <c r="E4062" s="20" t="s">
        <v>7471</v>
      </c>
      <c r="F4062" s="21">
        <v>37165.0</v>
      </c>
      <c r="G4062" s="14">
        <f t="shared" si="1"/>
        <v>25</v>
      </c>
      <c r="H4062" s="23" t="s">
        <v>100</v>
      </c>
      <c r="I4062" s="24" t="s">
        <v>33</v>
      </c>
      <c r="J4062" s="19" t="s">
        <v>156</v>
      </c>
      <c r="K4062" s="14">
        <v>29.0</v>
      </c>
      <c r="L4062" s="14">
        <v>0.0</v>
      </c>
      <c r="M4062" s="25"/>
      <c r="N4062" s="26" t="s">
        <v>21</v>
      </c>
      <c r="O4062" s="7"/>
      <c r="P4062" s="7"/>
      <c r="Q4062" s="7"/>
      <c r="R4062" s="7"/>
      <c r="S4062" s="7"/>
      <c r="T4062" s="7"/>
      <c r="U4062" s="7"/>
      <c r="V4062" s="7"/>
      <c r="W4062" s="7"/>
      <c r="X4062" s="7"/>
      <c r="Y4062" s="7"/>
    </row>
    <row r="4063">
      <c r="A4063" s="14" t="s">
        <v>14382</v>
      </c>
      <c r="B4063" s="17" t="s">
        <v>14379</v>
      </c>
      <c r="C4063" s="17" t="s">
        <v>14383</v>
      </c>
      <c r="D4063" s="19" t="s">
        <v>14384</v>
      </c>
      <c r="E4063" s="20" t="s">
        <v>9953</v>
      </c>
      <c r="F4063" s="21">
        <v>29355.0</v>
      </c>
      <c r="G4063" s="14">
        <f t="shared" si="1"/>
        <v>46</v>
      </c>
      <c r="H4063" s="23" t="s">
        <v>26</v>
      </c>
      <c r="I4063" s="24" t="s">
        <v>27</v>
      </c>
      <c r="J4063" s="19" t="s">
        <v>156</v>
      </c>
      <c r="K4063" s="14">
        <v>29.0</v>
      </c>
      <c r="L4063" s="14">
        <v>0.0</v>
      </c>
      <c r="M4063" s="25"/>
      <c r="N4063" s="26" t="s">
        <v>21</v>
      </c>
      <c r="O4063" s="7"/>
      <c r="P4063" s="7"/>
      <c r="Q4063" s="7"/>
      <c r="R4063" s="7"/>
      <c r="S4063" s="7"/>
      <c r="T4063" s="7"/>
      <c r="U4063" s="7"/>
      <c r="V4063" s="7"/>
      <c r="W4063" s="7"/>
      <c r="X4063" s="7"/>
      <c r="Y4063" s="7"/>
    </row>
    <row r="4064">
      <c r="A4064" s="14" t="s">
        <v>14385</v>
      </c>
      <c r="B4064" s="17" t="s">
        <v>14379</v>
      </c>
      <c r="C4064" s="17" t="s">
        <v>14386</v>
      </c>
      <c r="D4064" s="19" t="s">
        <v>9426</v>
      </c>
      <c r="E4064" s="20" t="s">
        <v>9953</v>
      </c>
      <c r="F4064" s="21">
        <v>26012.0</v>
      </c>
      <c r="G4064" s="14">
        <f t="shared" si="1"/>
        <v>55</v>
      </c>
      <c r="H4064" s="23" t="s">
        <v>26</v>
      </c>
      <c r="I4064" s="24" t="s">
        <v>33</v>
      </c>
      <c r="J4064" s="19" t="s">
        <v>156</v>
      </c>
      <c r="K4064" s="14">
        <v>29.0</v>
      </c>
      <c r="L4064" s="14">
        <v>0.0</v>
      </c>
      <c r="M4064" s="25"/>
      <c r="N4064" s="26" t="s">
        <v>21</v>
      </c>
      <c r="O4064" s="7"/>
      <c r="P4064" s="7"/>
      <c r="Q4064" s="7"/>
      <c r="R4064" s="7"/>
      <c r="S4064" s="7"/>
      <c r="T4064" s="7"/>
      <c r="U4064" s="7"/>
      <c r="V4064" s="7"/>
      <c r="W4064" s="7"/>
      <c r="X4064" s="7"/>
      <c r="Y4064" s="7"/>
    </row>
    <row r="4065">
      <c r="A4065" s="14" t="s">
        <v>14387</v>
      </c>
      <c r="B4065" s="17" t="s">
        <v>14388</v>
      </c>
      <c r="C4065" s="17" t="s">
        <v>14389</v>
      </c>
      <c r="D4065" s="19" t="s">
        <v>14390</v>
      </c>
      <c r="E4065" s="20" t="s">
        <v>4437</v>
      </c>
      <c r="F4065" s="21">
        <v>32568.0</v>
      </c>
      <c r="G4065" s="14">
        <f t="shared" si="1"/>
        <v>37</v>
      </c>
      <c r="H4065" s="23" t="s">
        <v>26</v>
      </c>
      <c r="I4065" s="24" t="s">
        <v>33</v>
      </c>
      <c r="J4065" s="19" t="s">
        <v>146</v>
      </c>
      <c r="K4065" s="14">
        <v>10.0</v>
      </c>
      <c r="L4065" s="14">
        <v>0.0</v>
      </c>
      <c r="M4065" s="25"/>
      <c r="N4065" s="26" t="s">
        <v>21</v>
      </c>
      <c r="O4065" s="7"/>
      <c r="P4065" s="7"/>
      <c r="Q4065" s="7"/>
      <c r="R4065" s="7"/>
      <c r="S4065" s="7"/>
      <c r="T4065" s="7"/>
      <c r="U4065" s="7"/>
      <c r="V4065" s="7"/>
      <c r="W4065" s="7"/>
      <c r="X4065" s="7"/>
      <c r="Y4065" s="7"/>
    </row>
    <row r="4066">
      <c r="A4066" s="14" t="s">
        <v>14391</v>
      </c>
      <c r="B4066" s="17" t="s">
        <v>14388</v>
      </c>
      <c r="C4066" s="17" t="s">
        <v>14392</v>
      </c>
      <c r="D4066" s="19" t="s">
        <v>14393</v>
      </c>
      <c r="E4066" s="20" t="s">
        <v>769</v>
      </c>
      <c r="F4066" s="21">
        <v>32904.0</v>
      </c>
      <c r="G4066" s="14">
        <f t="shared" si="1"/>
        <v>36</v>
      </c>
      <c r="H4066" s="23" t="s">
        <v>26</v>
      </c>
      <c r="I4066" s="24" t="s">
        <v>27</v>
      </c>
      <c r="J4066" s="19" t="s">
        <v>146</v>
      </c>
      <c r="K4066" s="14">
        <v>10.0</v>
      </c>
      <c r="L4066" s="14">
        <v>0.0</v>
      </c>
      <c r="M4066" s="25"/>
      <c r="N4066" s="26" t="s">
        <v>21</v>
      </c>
      <c r="O4066" s="7"/>
      <c r="P4066" s="7"/>
      <c r="Q4066" s="7"/>
      <c r="R4066" s="7"/>
      <c r="S4066" s="7"/>
      <c r="T4066" s="7"/>
      <c r="U4066" s="7"/>
      <c r="V4066" s="7"/>
      <c r="W4066" s="7"/>
      <c r="X4066" s="7"/>
      <c r="Y4066" s="7"/>
    </row>
    <row r="4067">
      <c r="A4067" s="14" t="s">
        <v>14394</v>
      </c>
      <c r="B4067" s="17" t="s">
        <v>14395</v>
      </c>
      <c r="C4067" s="17" t="s">
        <v>14396</v>
      </c>
      <c r="D4067" s="19" t="s">
        <v>14397</v>
      </c>
      <c r="E4067" s="20" t="s">
        <v>53</v>
      </c>
      <c r="F4067" s="21">
        <v>31440.0</v>
      </c>
      <c r="G4067" s="14">
        <f t="shared" si="1"/>
        <v>40</v>
      </c>
      <c r="H4067" s="23" t="s">
        <v>26</v>
      </c>
      <c r="I4067" s="24" t="s">
        <v>27</v>
      </c>
      <c r="J4067" s="19" t="s">
        <v>39</v>
      </c>
      <c r="K4067" s="14">
        <v>14.0</v>
      </c>
      <c r="L4067" s="14">
        <v>0.0</v>
      </c>
      <c r="M4067" s="25"/>
      <c r="N4067" s="26" t="s">
        <v>21</v>
      </c>
      <c r="O4067" s="7"/>
      <c r="P4067" s="7"/>
      <c r="Q4067" s="7"/>
      <c r="R4067" s="7"/>
      <c r="S4067" s="7"/>
      <c r="T4067" s="7"/>
      <c r="U4067" s="7"/>
      <c r="V4067" s="7"/>
      <c r="W4067" s="7"/>
      <c r="X4067" s="7"/>
      <c r="Y4067" s="7"/>
    </row>
    <row r="4068">
      <c r="A4068" s="14" t="s">
        <v>14398</v>
      </c>
      <c r="B4068" s="17" t="s">
        <v>14395</v>
      </c>
      <c r="C4068" s="17" t="s">
        <v>14399</v>
      </c>
      <c r="D4068" s="19" t="s">
        <v>14400</v>
      </c>
      <c r="E4068" s="20" t="s">
        <v>2509</v>
      </c>
      <c r="F4068" s="21">
        <v>31440.0</v>
      </c>
      <c r="G4068" s="14">
        <f t="shared" si="1"/>
        <v>40</v>
      </c>
      <c r="H4068" s="23" t="s">
        <v>26</v>
      </c>
      <c r="I4068" s="24" t="s">
        <v>33</v>
      </c>
      <c r="J4068" s="19" t="s">
        <v>39</v>
      </c>
      <c r="K4068" s="14">
        <v>14.0</v>
      </c>
      <c r="L4068" s="14">
        <v>0.0</v>
      </c>
      <c r="M4068" s="25"/>
      <c r="N4068" s="26" t="s">
        <v>21</v>
      </c>
      <c r="O4068" s="7"/>
      <c r="P4068" s="7"/>
      <c r="Q4068" s="7"/>
      <c r="R4068" s="7"/>
      <c r="S4068" s="7"/>
      <c r="T4068" s="7"/>
      <c r="U4068" s="7"/>
      <c r="V4068" s="7"/>
      <c r="W4068" s="7"/>
      <c r="X4068" s="7"/>
      <c r="Y4068" s="7"/>
    </row>
    <row r="4069">
      <c r="A4069" s="14" t="s">
        <v>14401</v>
      </c>
      <c r="B4069" s="17" t="s">
        <v>14402</v>
      </c>
      <c r="C4069" s="17" t="s">
        <v>14403</v>
      </c>
      <c r="D4069" s="19" t="s">
        <v>14404</v>
      </c>
      <c r="E4069" s="20" t="s">
        <v>4976</v>
      </c>
      <c r="F4069" s="21">
        <v>27214.0</v>
      </c>
      <c r="G4069" s="14">
        <f t="shared" si="1"/>
        <v>52</v>
      </c>
      <c r="H4069" s="23" t="s">
        <v>26</v>
      </c>
      <c r="I4069" s="24" t="s">
        <v>27</v>
      </c>
      <c r="J4069" s="19" t="s">
        <v>53</v>
      </c>
      <c r="K4069" s="14">
        <v>9.0</v>
      </c>
      <c r="L4069" s="14">
        <v>0.0</v>
      </c>
      <c r="M4069" s="25"/>
      <c r="N4069" s="26" t="s">
        <v>21</v>
      </c>
      <c r="O4069" s="7"/>
      <c r="P4069" s="7"/>
      <c r="Q4069" s="7"/>
      <c r="R4069" s="7"/>
      <c r="S4069" s="7"/>
      <c r="T4069" s="7"/>
      <c r="U4069" s="7"/>
      <c r="V4069" s="7"/>
      <c r="W4069" s="7"/>
      <c r="X4069" s="7"/>
      <c r="Y4069" s="7"/>
    </row>
    <row r="4070">
      <c r="A4070" s="14" t="s">
        <v>14405</v>
      </c>
      <c r="B4070" s="17" t="s">
        <v>14402</v>
      </c>
      <c r="C4070" s="17" t="s">
        <v>14406</v>
      </c>
      <c r="D4070" s="19" t="s">
        <v>14407</v>
      </c>
      <c r="E4070" s="20" t="s">
        <v>4976</v>
      </c>
      <c r="F4070" s="21">
        <v>23743.0</v>
      </c>
      <c r="G4070" s="14">
        <f t="shared" si="1"/>
        <v>61</v>
      </c>
      <c r="H4070" s="23" t="s">
        <v>26</v>
      </c>
      <c r="I4070" s="24" t="s">
        <v>33</v>
      </c>
      <c r="J4070" s="19" t="s">
        <v>53</v>
      </c>
      <c r="K4070" s="14">
        <v>9.0</v>
      </c>
      <c r="L4070" s="14">
        <v>0.0</v>
      </c>
      <c r="M4070" s="25"/>
      <c r="N4070" s="26" t="s">
        <v>21</v>
      </c>
      <c r="O4070" s="7"/>
      <c r="P4070" s="7"/>
      <c r="Q4070" s="7"/>
      <c r="R4070" s="7"/>
      <c r="S4070" s="7"/>
      <c r="T4070" s="7"/>
      <c r="U4070" s="7"/>
      <c r="V4070" s="7"/>
      <c r="W4070" s="7"/>
      <c r="X4070" s="7"/>
      <c r="Y4070" s="7"/>
    </row>
    <row r="4071">
      <c r="A4071" s="14" t="s">
        <v>14408</v>
      </c>
      <c r="B4071" s="17" t="s">
        <v>14409</v>
      </c>
      <c r="C4071" s="17" t="s">
        <v>14410</v>
      </c>
      <c r="D4071" s="19" t="s">
        <v>14411</v>
      </c>
      <c r="E4071" s="20" t="s">
        <v>53</v>
      </c>
      <c r="F4071" s="21">
        <v>35504.0</v>
      </c>
      <c r="G4071" s="14">
        <f t="shared" si="1"/>
        <v>29</v>
      </c>
      <c r="H4071" s="23" t="s">
        <v>100</v>
      </c>
      <c r="I4071" s="24" t="s">
        <v>27</v>
      </c>
      <c r="J4071" s="19" t="s">
        <v>53</v>
      </c>
      <c r="K4071" s="14">
        <v>10.0</v>
      </c>
      <c r="L4071" s="14">
        <v>0.0</v>
      </c>
      <c r="M4071" s="25"/>
      <c r="N4071" s="26" t="s">
        <v>21</v>
      </c>
      <c r="O4071" s="7"/>
      <c r="P4071" s="7"/>
      <c r="Q4071" s="7"/>
      <c r="R4071" s="7"/>
      <c r="S4071" s="7"/>
      <c r="T4071" s="7"/>
      <c r="U4071" s="7"/>
      <c r="V4071" s="7"/>
      <c r="W4071" s="7"/>
      <c r="X4071" s="7"/>
      <c r="Y4071" s="7"/>
    </row>
    <row r="4072">
      <c r="A4072" s="14" t="s">
        <v>14412</v>
      </c>
      <c r="B4072" s="17" t="s">
        <v>14409</v>
      </c>
      <c r="C4072" s="17" t="s">
        <v>14413</v>
      </c>
      <c r="D4072" s="19" t="s">
        <v>14414</v>
      </c>
      <c r="E4072" s="20" t="s">
        <v>337</v>
      </c>
      <c r="F4072" s="21">
        <v>34280.0</v>
      </c>
      <c r="G4072" s="14">
        <f t="shared" si="1"/>
        <v>32</v>
      </c>
      <c r="H4072" s="23" t="s">
        <v>100</v>
      </c>
      <c r="I4072" s="24" t="s">
        <v>33</v>
      </c>
      <c r="J4072" s="19" t="s">
        <v>53</v>
      </c>
      <c r="K4072" s="14">
        <v>10.0</v>
      </c>
      <c r="L4072" s="14">
        <v>0.0</v>
      </c>
      <c r="M4072" s="25"/>
      <c r="N4072" s="26" t="s">
        <v>21</v>
      </c>
      <c r="O4072" s="7"/>
      <c r="P4072" s="7"/>
      <c r="Q4072" s="7"/>
      <c r="R4072" s="7"/>
      <c r="S4072" s="7"/>
      <c r="T4072" s="7"/>
      <c r="U4072" s="7"/>
      <c r="V4072" s="7"/>
      <c r="W4072" s="7"/>
      <c r="X4072" s="7"/>
      <c r="Y4072" s="7"/>
    </row>
    <row r="4073">
      <c r="A4073" s="14" t="s">
        <v>14415</v>
      </c>
      <c r="B4073" s="17" t="s">
        <v>14409</v>
      </c>
      <c r="C4073" s="17" t="s">
        <v>14416</v>
      </c>
      <c r="D4073" s="19" t="s">
        <v>14417</v>
      </c>
      <c r="E4073" s="20" t="s">
        <v>14418</v>
      </c>
      <c r="F4073" s="21">
        <v>21885.0</v>
      </c>
      <c r="G4073" s="14">
        <f t="shared" si="1"/>
        <v>66</v>
      </c>
      <c r="H4073" s="23" t="s">
        <v>26</v>
      </c>
      <c r="I4073" s="24" t="s">
        <v>33</v>
      </c>
      <c r="J4073" s="19" t="s">
        <v>53</v>
      </c>
      <c r="K4073" s="14">
        <v>10.0</v>
      </c>
      <c r="L4073" s="14">
        <v>0.0</v>
      </c>
      <c r="M4073" s="25"/>
      <c r="N4073" s="26" t="s">
        <v>21</v>
      </c>
      <c r="O4073" s="7"/>
      <c r="P4073" s="7"/>
      <c r="Q4073" s="7"/>
      <c r="R4073" s="7"/>
      <c r="S4073" s="7"/>
      <c r="T4073" s="7"/>
      <c r="U4073" s="7"/>
      <c r="V4073" s="7"/>
      <c r="W4073" s="7"/>
      <c r="X4073" s="7"/>
      <c r="Y4073" s="7"/>
    </row>
    <row r="4074">
      <c r="A4074" s="14" t="s">
        <v>14419</v>
      </c>
      <c r="B4074" s="17" t="s">
        <v>14409</v>
      </c>
      <c r="C4074" s="17" t="s">
        <v>14420</v>
      </c>
      <c r="D4074" s="19" t="s">
        <v>14421</v>
      </c>
      <c r="E4074" s="20" t="s">
        <v>53</v>
      </c>
      <c r="F4074" s="27">
        <v>37253.0</v>
      </c>
      <c r="G4074" s="14">
        <f t="shared" si="1"/>
        <v>24</v>
      </c>
      <c r="H4074" s="23" t="s">
        <v>100</v>
      </c>
      <c r="I4074" s="24" t="s">
        <v>27</v>
      </c>
      <c r="J4074" s="19" t="s">
        <v>53</v>
      </c>
      <c r="K4074" s="14">
        <v>10.0</v>
      </c>
      <c r="L4074" s="14">
        <v>0.0</v>
      </c>
      <c r="M4074" s="25"/>
      <c r="N4074" s="26" t="s">
        <v>21</v>
      </c>
      <c r="O4074" s="7"/>
      <c r="P4074" s="7"/>
      <c r="Q4074" s="7"/>
      <c r="R4074" s="7"/>
      <c r="S4074" s="7"/>
      <c r="T4074" s="7"/>
      <c r="U4074" s="7"/>
      <c r="V4074" s="7"/>
      <c r="W4074" s="7"/>
      <c r="X4074" s="7"/>
      <c r="Y4074" s="7"/>
    </row>
    <row r="4075">
      <c r="A4075" s="14" t="s">
        <v>14422</v>
      </c>
      <c r="B4075" s="17" t="s">
        <v>14409</v>
      </c>
      <c r="C4075" s="17" t="s">
        <v>14423</v>
      </c>
      <c r="D4075" s="19" t="s">
        <v>14424</v>
      </c>
      <c r="E4075" s="20" t="s">
        <v>605</v>
      </c>
      <c r="F4075" s="21">
        <v>26788.0</v>
      </c>
      <c r="G4075" s="14">
        <f t="shared" si="1"/>
        <v>53</v>
      </c>
      <c r="H4075" s="23" t="s">
        <v>26</v>
      </c>
      <c r="I4075" s="24" t="s">
        <v>27</v>
      </c>
      <c r="J4075" s="19" t="s">
        <v>53</v>
      </c>
      <c r="K4075" s="14">
        <v>10.0</v>
      </c>
      <c r="L4075" s="14">
        <v>0.0</v>
      </c>
      <c r="M4075" s="25"/>
      <c r="N4075" s="26" t="s">
        <v>21</v>
      </c>
      <c r="O4075" s="7"/>
      <c r="P4075" s="7"/>
      <c r="Q4075" s="7"/>
      <c r="R4075" s="7"/>
      <c r="S4075" s="7"/>
      <c r="T4075" s="7"/>
      <c r="U4075" s="7"/>
      <c r="V4075" s="7"/>
      <c r="W4075" s="7"/>
      <c r="X4075" s="7"/>
      <c r="Y4075" s="7"/>
    </row>
  </sheetData>
  <hyperlinks>
    <hyperlink r:id="rId1" ref="D1336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4" t="s">
        <v>2</v>
      </c>
      <c r="C1" s="4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5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8" t="s">
        <v>13</v>
      </c>
      <c r="N1" s="9" t="s">
        <v>14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4" t="s">
        <v>2</v>
      </c>
      <c r="C1" s="4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5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8" t="s">
        <v>13</v>
      </c>
      <c r="N1" s="9" t="s">
        <v>14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12.38"/>
  </cols>
  <sheetData>
    <row r="1">
      <c r="A1" s="29" t="s">
        <v>4</v>
      </c>
      <c r="B1" s="29" t="s">
        <v>177</v>
      </c>
    </row>
    <row r="2">
      <c r="A2" s="30" t="s">
        <v>178</v>
      </c>
      <c r="B2" s="31" t="s">
        <v>179</v>
      </c>
    </row>
    <row r="3">
      <c r="A3" s="30" t="s">
        <v>180</v>
      </c>
      <c r="B3" s="31" t="s">
        <v>181</v>
      </c>
    </row>
    <row r="4">
      <c r="A4" s="30" t="s">
        <v>183</v>
      </c>
      <c r="B4" s="31" t="s">
        <v>185</v>
      </c>
    </row>
    <row r="5">
      <c r="A5" s="30" t="s">
        <v>188</v>
      </c>
      <c r="B5" s="31" t="s">
        <v>189</v>
      </c>
    </row>
    <row r="6">
      <c r="A6" s="30" t="s">
        <v>190</v>
      </c>
      <c r="B6" s="31" t="s">
        <v>191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12.38"/>
  </cols>
  <sheetData>
    <row r="1">
      <c r="A1" s="29" t="s">
        <v>4</v>
      </c>
      <c r="B1" s="29" t="s">
        <v>177</v>
      </c>
    </row>
    <row r="2">
      <c r="A2" s="30" t="s">
        <v>249</v>
      </c>
      <c r="B2" s="31" t="s">
        <v>179</v>
      </c>
    </row>
    <row r="3">
      <c r="A3" s="30" t="s">
        <v>250</v>
      </c>
      <c r="B3" s="31" t="s">
        <v>181</v>
      </c>
    </row>
    <row r="4">
      <c r="A4" s="30" t="s">
        <v>253</v>
      </c>
      <c r="B4" s="31" t="s">
        <v>185</v>
      </c>
    </row>
    <row r="5">
      <c r="A5" s="31" t="s">
        <v>21</v>
      </c>
      <c r="B5" s="31" t="s">
        <v>189</v>
      </c>
    </row>
    <row r="6">
      <c r="A6" s="31" t="s">
        <v>21</v>
      </c>
      <c r="B6" s="31" t="s">
        <v>189</v>
      </c>
    </row>
    <row r="7">
      <c r="A7" s="31" t="s">
        <v>21</v>
      </c>
      <c r="B7" s="31" t="s">
        <v>189</v>
      </c>
    </row>
    <row r="8">
      <c r="A8" s="31" t="s">
        <v>21</v>
      </c>
      <c r="B8" s="31" t="s">
        <v>189</v>
      </c>
    </row>
    <row r="9">
      <c r="A9" s="31" t="s">
        <v>21</v>
      </c>
      <c r="B9" s="31" t="s">
        <v>189</v>
      </c>
    </row>
    <row r="10">
      <c r="A10" s="31" t="s">
        <v>21</v>
      </c>
      <c r="B10" s="31" t="s">
        <v>189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" t="s">
        <v>4</v>
      </c>
      <c r="B1" s="29" t="s">
        <v>177</v>
      </c>
    </row>
    <row r="2">
      <c r="A2" s="31" t="s">
        <v>21</v>
      </c>
      <c r="B2" s="31" t="s">
        <v>179</v>
      </c>
    </row>
    <row r="3">
      <c r="A3" s="31" t="s">
        <v>21</v>
      </c>
      <c r="B3" s="31" t="s">
        <v>189</v>
      </c>
    </row>
    <row r="4">
      <c r="A4" s="31" t="s">
        <v>21</v>
      </c>
      <c r="B4" s="31" t="s">
        <v>189</v>
      </c>
    </row>
    <row r="5">
      <c r="A5" s="31" t="s">
        <v>21</v>
      </c>
      <c r="B5" s="31" t="s">
        <v>189</v>
      </c>
    </row>
    <row r="6">
      <c r="A6" s="31" t="s">
        <v>21</v>
      </c>
      <c r="B6" s="31" t="s">
        <v>189</v>
      </c>
    </row>
    <row r="7">
      <c r="A7" s="31" t="s">
        <v>21</v>
      </c>
      <c r="B7" s="31" t="s">
        <v>189</v>
      </c>
    </row>
    <row r="8">
      <c r="A8" s="31" t="s">
        <v>21</v>
      </c>
      <c r="B8" s="31" t="s">
        <v>189</v>
      </c>
    </row>
    <row r="9">
      <c r="A9" s="31" t="s">
        <v>21</v>
      </c>
      <c r="B9" s="31" t="s">
        <v>283</v>
      </c>
    </row>
    <row r="10">
      <c r="A10" s="31" t="s">
        <v>21</v>
      </c>
      <c r="B10" s="31" t="s">
        <v>283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" t="s">
        <v>4</v>
      </c>
      <c r="B1" s="29" t="s">
        <v>177</v>
      </c>
    </row>
    <row r="2">
      <c r="A2" s="31" t="s">
        <v>21</v>
      </c>
      <c r="B2" s="31" t="s">
        <v>179</v>
      </c>
    </row>
    <row r="3">
      <c r="A3" s="31" t="s">
        <v>21</v>
      </c>
      <c r="B3" s="31" t="s">
        <v>189</v>
      </c>
    </row>
    <row r="4">
      <c r="A4" s="31" t="s">
        <v>21</v>
      </c>
      <c r="B4" s="31" t="s">
        <v>189</v>
      </c>
    </row>
    <row r="5">
      <c r="A5" s="31" t="s">
        <v>21</v>
      </c>
      <c r="B5" s="31" t="s">
        <v>189</v>
      </c>
    </row>
    <row r="6">
      <c r="A6" s="31" t="s">
        <v>21</v>
      </c>
      <c r="B6" s="31" t="s">
        <v>189</v>
      </c>
    </row>
    <row r="7">
      <c r="A7" s="31" t="s">
        <v>21</v>
      </c>
      <c r="B7" s="31" t="s">
        <v>189</v>
      </c>
    </row>
    <row r="8">
      <c r="A8" s="31" t="s">
        <v>21</v>
      </c>
      <c r="B8" s="31" t="s">
        <v>189</v>
      </c>
    </row>
    <row r="9">
      <c r="A9" s="31" t="s">
        <v>21</v>
      </c>
      <c r="B9" s="31" t="s">
        <v>283</v>
      </c>
    </row>
    <row r="10">
      <c r="A10" s="31" t="s">
        <v>21</v>
      </c>
      <c r="B10" s="31" t="s">
        <v>283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6" width="21.75"/>
    <col customWidth="1" min="7" max="7" width="15.88"/>
    <col customWidth="1" min="8" max="8" width="24.25"/>
    <col customWidth="1" min="9" max="9" width="28.5"/>
    <col customWidth="1" min="10" max="10" width="23.38"/>
  </cols>
  <sheetData>
    <row r="1" ht="51.75" customHeight="1">
      <c r="A1" s="33" t="s">
        <v>14</v>
      </c>
      <c r="B1" s="33" t="s">
        <v>345</v>
      </c>
      <c r="C1" s="33" t="s">
        <v>346</v>
      </c>
      <c r="D1" s="33" t="s">
        <v>347</v>
      </c>
      <c r="E1" s="33" t="s">
        <v>348</v>
      </c>
      <c r="F1" s="33" t="s">
        <v>349</v>
      </c>
      <c r="G1" s="33" t="s">
        <v>350</v>
      </c>
      <c r="H1" s="33" t="s">
        <v>351</v>
      </c>
      <c r="I1" s="33" t="s">
        <v>352</v>
      </c>
      <c r="J1" s="33" t="s">
        <v>353</v>
      </c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</row>
    <row r="2" ht="40.5" customHeight="1">
      <c r="A2" s="35" t="s">
        <v>358</v>
      </c>
      <c r="B2" s="36">
        <v>0.0</v>
      </c>
      <c r="C2" s="36">
        <v>0.0</v>
      </c>
      <c r="D2" s="36">
        <v>0.0</v>
      </c>
      <c r="E2" s="36">
        <v>0.0</v>
      </c>
      <c r="F2" s="36">
        <v>0.0</v>
      </c>
      <c r="G2" s="37">
        <f t="shared" ref="G2:G3" si="1">SUM(B2:F2)</f>
        <v>0</v>
      </c>
      <c r="H2" s="36">
        <v>0.0</v>
      </c>
      <c r="I2" s="37">
        <f t="shared" ref="I2:I3" si="2">G2+H2</f>
        <v>0</v>
      </c>
      <c r="J2" s="37" t="str">
        <f t="shared" ref="J2:J3" si="3">IF(I2&gt;0, "Selesai", "Belum Selesai")</f>
        <v>Belum Selesai</v>
      </c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</row>
    <row r="3" ht="40.5" customHeight="1">
      <c r="A3" s="35" t="s">
        <v>363</v>
      </c>
      <c r="B3" s="36">
        <v>0.0</v>
      </c>
      <c r="C3" s="36">
        <v>0.0</v>
      </c>
      <c r="D3" s="36">
        <v>0.0</v>
      </c>
      <c r="E3" s="36">
        <v>0.0</v>
      </c>
      <c r="F3" s="36">
        <v>0.0</v>
      </c>
      <c r="G3" s="37">
        <f t="shared" si="1"/>
        <v>0</v>
      </c>
      <c r="H3" s="36">
        <v>0.0</v>
      </c>
      <c r="I3" s="37">
        <f t="shared" si="2"/>
        <v>0</v>
      </c>
      <c r="J3" s="37" t="str">
        <f t="shared" si="3"/>
        <v>Belum Selesai</v>
      </c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</row>
    <row r="4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</row>
    <row r="5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</row>
    <row r="6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</row>
    <row r="7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</row>
    <row r="8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</row>
    <row r="9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</row>
    <row r="10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</row>
    <row r="11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</row>
    <row r="1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</row>
    <row r="13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</row>
    <row r="14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</row>
    <row r="15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</row>
    <row r="16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</row>
    <row r="17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</row>
    <row r="18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</row>
    <row r="20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</row>
    <row r="2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</row>
    <row r="22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</row>
    <row r="24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</row>
    <row r="2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</row>
    <row r="26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</row>
    <row r="27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</row>
    <row r="28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</row>
    <row r="29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</row>
    <row r="30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</row>
    <row r="3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</row>
    <row r="32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</row>
    <row r="33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</row>
    <row r="34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</row>
    <row r="35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</row>
    <row r="36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</row>
    <row r="37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</row>
    <row r="38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</row>
    <row r="39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</row>
    <row r="40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</row>
    <row r="4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</row>
    <row r="42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</row>
    <row r="43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</row>
    <row r="44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</row>
    <row r="45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</row>
    <row r="46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</row>
    <row r="47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</row>
    <row r="48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</row>
    <row r="49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</row>
    <row r="50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</row>
    <row r="5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</row>
    <row r="52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</row>
    <row r="53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</row>
    <row r="54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</row>
    <row r="55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</row>
    <row r="56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</row>
    <row r="57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</row>
    <row r="58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</row>
    <row r="59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</row>
    <row r="60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</row>
    <row r="6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</row>
    <row r="62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</row>
    <row r="63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</row>
    <row r="64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</row>
    <row r="65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</row>
    <row r="66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</row>
    <row r="67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</row>
    <row r="68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</row>
    <row r="69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</row>
    <row r="70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</row>
    <row r="7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</row>
    <row r="72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</row>
    <row r="73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</row>
    <row r="74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</row>
    <row r="76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</row>
    <row r="77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</row>
    <row r="78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</row>
    <row r="79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</row>
    <row r="80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</row>
    <row r="8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</row>
    <row r="82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</row>
    <row r="83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</row>
    <row r="84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</row>
    <row r="85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</row>
    <row r="86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</row>
    <row r="87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</row>
    <row r="88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</row>
    <row r="89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</row>
    <row r="90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</row>
    <row r="9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</row>
    <row r="92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</row>
    <row r="93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</row>
    <row r="94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</row>
    <row r="95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</row>
    <row r="96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</row>
    <row r="97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</row>
    <row r="98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</row>
    <row r="99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</row>
    <row r="100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</row>
    <row r="10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</row>
    <row r="102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</row>
    <row r="103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</row>
    <row r="104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</row>
    <row r="105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</row>
    <row r="106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</row>
    <row r="107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</row>
    <row r="108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</row>
    <row r="109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</row>
    <row r="110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</row>
    <row r="11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</row>
    <row r="112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</row>
    <row r="113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</row>
    <row r="114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</row>
    <row r="115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</row>
    <row r="116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</row>
    <row r="117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</row>
    <row r="118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</row>
    <row r="119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</row>
    <row r="120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</row>
    <row r="12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</row>
    <row r="12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</row>
    <row r="123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</row>
    <row r="124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</row>
    <row r="125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</row>
    <row r="126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</row>
    <row r="127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</row>
    <row r="128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</row>
    <row r="129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</row>
    <row r="130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</row>
    <row r="13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</row>
    <row r="132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</row>
    <row r="133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</row>
    <row r="134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</row>
    <row r="135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</row>
    <row r="136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</row>
    <row r="137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</row>
    <row r="138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</row>
    <row r="139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</row>
    <row r="140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</row>
    <row r="14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</row>
    <row r="142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</row>
    <row r="143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</row>
    <row r="144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</row>
    <row r="14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</row>
    <row r="146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</row>
    <row r="147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</row>
    <row r="148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</row>
    <row r="149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</row>
    <row r="150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</row>
    <row r="15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</row>
    <row r="152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</row>
    <row r="153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</row>
    <row r="154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</row>
    <row r="15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</row>
    <row r="156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</row>
    <row r="157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</row>
    <row r="158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</row>
    <row r="159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</row>
    <row r="160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</row>
    <row r="16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</row>
    <row r="16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</row>
    <row r="163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</row>
    <row r="164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</row>
    <row r="16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</row>
    <row r="166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</row>
    <row r="167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</row>
    <row r="168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</row>
    <row r="169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</row>
    <row r="170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</row>
    <row r="17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</row>
    <row r="172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</row>
    <row r="173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</row>
    <row r="174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</row>
    <row r="17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</row>
    <row r="176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</row>
    <row r="177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</row>
    <row r="178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</row>
    <row r="179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</row>
    <row r="180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</row>
    <row r="18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</row>
    <row r="182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</row>
    <row r="183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</row>
    <row r="184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</row>
    <row r="18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</row>
    <row r="186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</row>
    <row r="187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</row>
    <row r="188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</row>
    <row r="189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</row>
    <row r="190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</row>
    <row r="19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</row>
    <row r="19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</row>
    <row r="19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</row>
    <row r="194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</row>
    <row r="19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</row>
    <row r="196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</row>
    <row r="197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</row>
    <row r="198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</row>
    <row r="199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</row>
    <row r="200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</row>
    <row r="20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</row>
    <row r="20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</row>
    <row r="203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</row>
    <row r="204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</row>
    <row r="20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</row>
    <row r="206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</row>
    <row r="207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</row>
    <row r="208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</row>
    <row r="209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</row>
    <row r="210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</row>
    <row r="21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</row>
    <row r="21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</row>
    <row r="213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</row>
    <row r="214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</row>
    <row r="21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</row>
    <row r="216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</row>
    <row r="217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</row>
    <row r="218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</row>
    <row r="219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</row>
    <row r="220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</row>
    <row r="22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</row>
    <row r="222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</row>
    <row r="223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</row>
    <row r="224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</row>
    <row r="22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</row>
    <row r="226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</row>
    <row r="227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</row>
    <row r="228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</row>
    <row r="229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</row>
    <row r="230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</row>
    <row r="23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</row>
    <row r="232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</row>
    <row r="233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</row>
    <row r="234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</row>
    <row r="23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</row>
    <row r="236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</row>
    <row r="237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</row>
    <row r="238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</row>
    <row r="239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</row>
    <row r="240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</row>
    <row r="24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</row>
    <row r="24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</row>
    <row r="243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</row>
    <row r="244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</row>
    <row r="24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</row>
    <row r="246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</row>
    <row r="247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</row>
    <row r="248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</row>
    <row r="249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</row>
    <row r="250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</row>
    <row r="25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</row>
    <row r="25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</row>
    <row r="253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</row>
    <row r="254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</row>
    <row r="25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</row>
    <row r="256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</row>
    <row r="257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</row>
    <row r="258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</row>
    <row r="259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</row>
    <row r="260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</row>
    <row r="26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</row>
    <row r="262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</row>
    <row r="263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</row>
    <row r="264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</row>
    <row r="26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</row>
    <row r="266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</row>
    <row r="267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</row>
    <row r="268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</row>
    <row r="269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</row>
    <row r="270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</row>
    <row r="27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</row>
    <row r="272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</row>
    <row r="273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</row>
    <row r="274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</row>
    <row r="27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</row>
    <row r="276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</row>
    <row r="277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</row>
    <row r="278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</row>
    <row r="279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</row>
    <row r="280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</row>
    <row r="28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</row>
    <row r="28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</row>
    <row r="283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</row>
    <row r="284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</row>
    <row r="28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</row>
    <row r="286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</row>
    <row r="287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</row>
    <row r="288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</row>
    <row r="289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</row>
    <row r="290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</row>
    <row r="29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</row>
    <row r="29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</row>
    <row r="293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</row>
    <row r="294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</row>
    <row r="29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</row>
    <row r="296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</row>
    <row r="297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</row>
    <row r="298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</row>
    <row r="299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</row>
    <row r="300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</row>
    <row r="30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</row>
    <row r="30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</row>
    <row r="303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</row>
    <row r="304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</row>
    <row r="30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</row>
    <row r="306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</row>
    <row r="307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</row>
    <row r="308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</row>
    <row r="309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</row>
    <row r="310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</row>
    <row r="31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</row>
    <row r="31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</row>
    <row r="313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</row>
    <row r="314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</row>
    <row r="31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</row>
    <row r="316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</row>
    <row r="317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</row>
    <row r="318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</row>
    <row r="319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</row>
    <row r="320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</row>
    <row r="32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</row>
    <row r="32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</row>
    <row r="323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</row>
    <row r="324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</row>
    <row r="32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</row>
    <row r="326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</row>
    <row r="327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</row>
    <row r="328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</row>
    <row r="329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</row>
    <row r="330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</row>
    <row r="33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</row>
    <row r="33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</row>
    <row r="333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</row>
    <row r="334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</row>
    <row r="33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</row>
    <row r="336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</row>
    <row r="337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</row>
    <row r="338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</row>
    <row r="339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</row>
    <row r="340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</row>
    <row r="34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</row>
    <row r="34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</row>
    <row r="343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</row>
    <row r="344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</row>
    <row r="34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</row>
    <row r="346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</row>
    <row r="347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</row>
    <row r="348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</row>
    <row r="349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</row>
    <row r="350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</row>
    <row r="35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</row>
    <row r="35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</row>
    <row r="353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</row>
    <row r="354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</row>
    <row r="35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</row>
    <row r="356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</row>
    <row r="357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</row>
    <row r="358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</row>
    <row r="359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</row>
    <row r="360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</row>
    <row r="36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</row>
    <row r="36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</row>
    <row r="363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</row>
    <row r="364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</row>
    <row r="36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</row>
    <row r="366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</row>
    <row r="367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</row>
    <row r="368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</row>
    <row r="369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</row>
    <row r="370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</row>
    <row r="37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</row>
    <row r="37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</row>
    <row r="373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</row>
    <row r="374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</row>
    <row r="37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</row>
    <row r="376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</row>
    <row r="377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</row>
    <row r="378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</row>
    <row r="379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</row>
    <row r="380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</row>
    <row r="38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</row>
    <row r="38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</row>
    <row r="383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</row>
    <row r="384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</row>
    <row r="38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</row>
    <row r="386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</row>
    <row r="387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</row>
    <row r="388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</row>
    <row r="389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</row>
    <row r="390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</row>
    <row r="39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</row>
    <row r="39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</row>
    <row r="393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</row>
    <row r="394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</row>
    <row r="39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</row>
    <row r="396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</row>
    <row r="397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</row>
    <row r="398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</row>
    <row r="399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</row>
    <row r="400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</row>
    <row r="40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</row>
    <row r="40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</row>
    <row r="403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</row>
    <row r="404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</row>
    <row r="40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</row>
    <row r="406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</row>
    <row r="407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</row>
    <row r="408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</row>
    <row r="409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</row>
    <row r="410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</row>
    <row r="41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</row>
    <row r="412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</row>
    <row r="413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</row>
    <row r="414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</row>
    <row r="41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</row>
    <row r="416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</row>
    <row r="417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</row>
    <row r="418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</row>
    <row r="419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</row>
    <row r="420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</row>
    <row r="42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</row>
    <row r="422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</row>
    <row r="423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</row>
    <row r="424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</row>
    <row r="42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</row>
    <row r="426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</row>
    <row r="427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</row>
    <row r="428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</row>
    <row r="429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</row>
    <row r="430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</row>
    <row r="43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</row>
    <row r="432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</row>
    <row r="433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</row>
    <row r="434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</row>
    <row r="43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</row>
    <row r="436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</row>
    <row r="437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</row>
    <row r="438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</row>
    <row r="439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</row>
    <row r="440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</row>
    <row r="44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</row>
    <row r="44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</row>
    <row r="443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</row>
    <row r="444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</row>
    <row r="44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</row>
    <row r="446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</row>
    <row r="447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</row>
    <row r="448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</row>
    <row r="449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</row>
    <row r="450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</row>
    <row r="45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</row>
    <row r="452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</row>
    <row r="453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</row>
    <row r="454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</row>
    <row r="45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</row>
    <row r="456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</row>
    <row r="457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</row>
    <row r="458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</row>
    <row r="459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</row>
    <row r="460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</row>
    <row r="46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</row>
    <row r="462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</row>
    <row r="463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</row>
    <row r="464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</row>
    <row r="46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</row>
    <row r="466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</row>
    <row r="467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</row>
    <row r="468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</row>
    <row r="469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</row>
    <row r="470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</row>
    <row r="47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</row>
    <row r="47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</row>
    <row r="473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</row>
    <row r="474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</row>
    <row r="47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</row>
    <row r="476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</row>
    <row r="477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</row>
    <row r="478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</row>
    <row r="479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</row>
    <row r="480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</row>
    <row r="48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</row>
    <row r="48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</row>
    <row r="483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</row>
    <row r="484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</row>
    <row r="48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</row>
    <row r="486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</row>
    <row r="487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</row>
    <row r="488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</row>
    <row r="489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</row>
    <row r="490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</row>
    <row r="49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</row>
    <row r="49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</row>
    <row r="493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</row>
    <row r="494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</row>
    <row r="49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</row>
    <row r="496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</row>
    <row r="497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</row>
    <row r="498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</row>
    <row r="499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</row>
    <row r="500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</row>
    <row r="50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</row>
    <row r="50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</row>
    <row r="503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</row>
    <row r="504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</row>
    <row r="50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</row>
    <row r="506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</row>
    <row r="507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</row>
    <row r="508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</row>
    <row r="509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</row>
    <row r="510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</row>
    <row r="51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</row>
    <row r="51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</row>
    <row r="513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</row>
    <row r="514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</row>
    <row r="51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</row>
    <row r="516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</row>
    <row r="517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</row>
    <row r="518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</row>
    <row r="519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</row>
    <row r="520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</row>
    <row r="52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</row>
    <row r="52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</row>
    <row r="523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</row>
    <row r="524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</row>
    <row r="52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</row>
    <row r="526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</row>
    <row r="527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</row>
    <row r="528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</row>
    <row r="529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</row>
    <row r="530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</row>
    <row r="53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</row>
    <row r="53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</row>
    <row r="533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</row>
    <row r="534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</row>
    <row r="53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</row>
    <row r="536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</row>
    <row r="537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</row>
    <row r="538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</row>
    <row r="539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</row>
    <row r="540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</row>
    <row r="54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</row>
    <row r="54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</row>
    <row r="543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</row>
    <row r="544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</row>
    <row r="54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</row>
    <row r="546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</row>
    <row r="547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</row>
    <row r="548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</row>
    <row r="549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</row>
    <row r="550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</row>
    <row r="55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</row>
    <row r="55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</row>
    <row r="553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</row>
    <row r="554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</row>
    <row r="55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</row>
    <row r="556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</row>
    <row r="557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</row>
    <row r="558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</row>
    <row r="559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</row>
    <row r="560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</row>
    <row r="56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</row>
    <row r="56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</row>
    <row r="563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</row>
    <row r="564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</row>
    <row r="56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</row>
    <row r="566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</row>
    <row r="567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</row>
    <row r="568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</row>
    <row r="569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</row>
    <row r="570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</row>
    <row r="57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</row>
    <row r="57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</row>
    <row r="573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</row>
    <row r="574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</row>
    <row r="57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</row>
    <row r="576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</row>
    <row r="577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</row>
    <row r="578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</row>
    <row r="579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</row>
    <row r="580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</row>
    <row r="58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</row>
    <row r="58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</row>
    <row r="583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</row>
    <row r="584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</row>
    <row r="58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</row>
    <row r="586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</row>
    <row r="587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</row>
    <row r="588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</row>
    <row r="589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</row>
    <row r="590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</row>
    <row r="59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</row>
    <row r="59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</row>
    <row r="593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</row>
    <row r="594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</row>
    <row r="59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</row>
    <row r="596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</row>
    <row r="597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</row>
    <row r="598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</row>
    <row r="599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</row>
    <row r="600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</row>
    <row r="60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</row>
    <row r="60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</row>
    <row r="603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</row>
    <row r="604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</row>
    <row r="60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</row>
    <row r="606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</row>
    <row r="607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</row>
    <row r="608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</row>
    <row r="609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</row>
    <row r="610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</row>
    <row r="61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</row>
    <row r="61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</row>
    <row r="613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</row>
    <row r="614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</row>
    <row r="61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</row>
    <row r="616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</row>
    <row r="617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</row>
    <row r="618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</row>
    <row r="619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</row>
    <row r="620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</row>
    <row r="62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</row>
    <row r="62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</row>
    <row r="623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</row>
    <row r="624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</row>
    <row r="62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</row>
    <row r="626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</row>
    <row r="627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</row>
    <row r="628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</row>
    <row r="629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</row>
    <row r="630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</row>
    <row r="63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</row>
    <row r="63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</row>
    <row r="633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</row>
    <row r="634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</row>
    <row r="63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</row>
    <row r="636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</row>
    <row r="637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</row>
    <row r="638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</row>
    <row r="639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</row>
    <row r="640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</row>
    <row r="64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</row>
    <row r="64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</row>
    <row r="643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</row>
    <row r="644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</row>
    <row r="64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</row>
    <row r="646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</row>
    <row r="647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</row>
    <row r="648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</row>
    <row r="649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</row>
    <row r="650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</row>
    <row r="65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</row>
    <row r="65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</row>
    <row r="653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</row>
    <row r="654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</row>
    <row r="65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</row>
    <row r="656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</row>
    <row r="657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</row>
    <row r="658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</row>
    <row r="659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</row>
    <row r="660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</row>
    <row r="66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</row>
    <row r="66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</row>
    <row r="663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</row>
    <row r="664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</row>
    <row r="66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</row>
    <row r="666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</row>
    <row r="667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</row>
    <row r="668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</row>
    <row r="669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</row>
    <row r="670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</row>
    <row r="67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</row>
    <row r="67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</row>
    <row r="673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</row>
    <row r="674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</row>
    <row r="67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</row>
    <row r="676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</row>
    <row r="677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</row>
    <row r="678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</row>
    <row r="679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</row>
    <row r="680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</row>
    <row r="68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</row>
    <row r="682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</row>
    <row r="683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</row>
    <row r="684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</row>
    <row r="68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</row>
    <row r="686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</row>
    <row r="687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</row>
    <row r="688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</row>
    <row r="689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</row>
    <row r="690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</row>
    <row r="69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</row>
    <row r="692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</row>
    <row r="693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</row>
    <row r="694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</row>
    <row r="69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</row>
    <row r="696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</row>
    <row r="697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</row>
    <row r="698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</row>
    <row r="699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</row>
    <row r="700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</row>
    <row r="70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</row>
    <row r="702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</row>
    <row r="703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</row>
    <row r="704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</row>
    <row r="70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</row>
    <row r="706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</row>
    <row r="707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</row>
    <row r="708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</row>
    <row r="709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</row>
    <row r="710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</row>
    <row r="71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</row>
    <row r="712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</row>
    <row r="713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</row>
    <row r="714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</row>
    <row r="71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</row>
    <row r="716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</row>
    <row r="717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</row>
    <row r="718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</row>
    <row r="719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</row>
    <row r="720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</row>
    <row r="72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</row>
    <row r="722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</row>
    <row r="723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</row>
    <row r="724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</row>
    <row r="72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</row>
    <row r="726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</row>
    <row r="727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</row>
    <row r="728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</row>
    <row r="729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</row>
    <row r="730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</row>
    <row r="73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</row>
    <row r="732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</row>
    <row r="733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</row>
    <row r="734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</row>
    <row r="73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</row>
    <row r="736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</row>
    <row r="737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</row>
    <row r="738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</row>
    <row r="739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</row>
    <row r="740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</row>
    <row r="74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</row>
    <row r="742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</row>
    <row r="743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</row>
    <row r="744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</row>
    <row r="74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</row>
    <row r="746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</row>
    <row r="747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</row>
    <row r="748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</row>
    <row r="749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</row>
    <row r="750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</row>
    <row r="75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</row>
    <row r="752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</row>
    <row r="753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</row>
    <row r="754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</row>
    <row r="75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</row>
    <row r="756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</row>
    <row r="757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</row>
    <row r="758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</row>
    <row r="759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</row>
    <row r="760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</row>
    <row r="76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</row>
    <row r="762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</row>
    <row r="763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</row>
    <row r="764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</row>
    <row r="76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</row>
    <row r="766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</row>
    <row r="767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</row>
    <row r="768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</row>
    <row r="769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</row>
    <row r="770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</row>
    <row r="77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</row>
    <row r="772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</row>
    <row r="773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</row>
    <row r="774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</row>
    <row r="77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</row>
    <row r="776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</row>
    <row r="777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</row>
    <row r="778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</row>
    <row r="779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</row>
    <row r="780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</row>
    <row r="78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</row>
    <row r="782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</row>
    <row r="783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</row>
    <row r="784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</row>
    <row r="78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</row>
    <row r="786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</row>
    <row r="787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</row>
    <row r="788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</row>
    <row r="789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</row>
    <row r="790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</row>
    <row r="79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</row>
    <row r="792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</row>
    <row r="793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</row>
    <row r="794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</row>
    <row r="79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</row>
    <row r="796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</row>
    <row r="797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</row>
    <row r="798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</row>
    <row r="799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</row>
    <row r="800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</row>
    <row r="80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</row>
    <row r="802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</row>
    <row r="803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</row>
    <row r="804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</row>
    <row r="80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</row>
    <row r="806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</row>
    <row r="807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</row>
    <row r="808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</row>
    <row r="809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</row>
    <row r="810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</row>
    <row r="81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</row>
    <row r="812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</row>
    <row r="813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</row>
    <row r="814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</row>
    <row r="81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</row>
    <row r="816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</row>
    <row r="817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</row>
    <row r="818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</row>
    <row r="819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</row>
    <row r="820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</row>
    <row r="82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</row>
    <row r="822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</row>
    <row r="823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</row>
    <row r="824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</row>
    <row r="82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</row>
    <row r="826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</row>
    <row r="827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</row>
    <row r="828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</row>
    <row r="829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</row>
    <row r="830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</row>
    <row r="83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</row>
    <row r="832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</row>
    <row r="833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</row>
    <row r="834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</row>
    <row r="83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</row>
    <row r="836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</row>
    <row r="837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</row>
    <row r="838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</row>
    <row r="839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</row>
    <row r="840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</row>
    <row r="84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</row>
    <row r="842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</row>
    <row r="843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</row>
    <row r="844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</row>
    <row r="84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</row>
    <row r="846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</row>
    <row r="847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</row>
    <row r="848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</row>
    <row r="849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</row>
    <row r="850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</row>
    <row r="85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</row>
    <row r="852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</row>
    <row r="853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</row>
    <row r="854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</row>
    <row r="85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</row>
    <row r="856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</row>
    <row r="857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</row>
    <row r="858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</row>
    <row r="859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</row>
    <row r="860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</row>
    <row r="86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</row>
    <row r="862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</row>
    <row r="863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</row>
    <row r="864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</row>
    <row r="86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</row>
    <row r="866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</row>
    <row r="867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</row>
    <row r="868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</row>
    <row r="869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</row>
    <row r="870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</row>
    <row r="87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</row>
    <row r="872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</row>
    <row r="873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</row>
    <row r="874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</row>
    <row r="87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</row>
    <row r="876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</row>
    <row r="877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</row>
    <row r="878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</row>
    <row r="879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</row>
    <row r="880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</row>
    <row r="88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</row>
    <row r="882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</row>
    <row r="883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</row>
    <row r="884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</row>
    <row r="88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</row>
    <row r="886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</row>
    <row r="887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</row>
    <row r="888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</row>
    <row r="889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</row>
    <row r="890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</row>
    <row r="89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</row>
    <row r="892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</row>
    <row r="893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</row>
    <row r="894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</row>
    <row r="89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</row>
    <row r="896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</row>
    <row r="897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</row>
    <row r="898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</row>
    <row r="899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</row>
    <row r="900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</row>
    <row r="90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</row>
    <row r="902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</row>
    <row r="903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</row>
    <row r="904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</row>
    <row r="90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</row>
    <row r="906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</row>
    <row r="907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</row>
    <row r="908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</row>
    <row r="909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</row>
    <row r="910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</row>
    <row r="91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</row>
    <row r="912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</row>
    <row r="913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</row>
    <row r="914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</row>
    <row r="91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</row>
    <row r="916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</row>
    <row r="917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</row>
    <row r="918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</row>
    <row r="919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</row>
    <row r="920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</row>
    <row r="92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</row>
    <row r="922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</row>
    <row r="923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</row>
    <row r="924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</row>
    <row r="92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</row>
    <row r="926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</row>
    <row r="927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</row>
    <row r="928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</row>
    <row r="929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</row>
    <row r="930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</row>
    <row r="93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</row>
    <row r="932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</row>
    <row r="933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</row>
    <row r="934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</row>
    <row r="93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</row>
    <row r="936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</row>
    <row r="937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</row>
    <row r="938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</row>
    <row r="939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</row>
    <row r="940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</row>
    <row r="94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</row>
    <row r="942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</row>
    <row r="943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</row>
    <row r="944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</row>
    <row r="94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</row>
    <row r="946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</row>
    <row r="947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</row>
    <row r="948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</row>
    <row r="949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</row>
    <row r="950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</row>
    <row r="95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</row>
    <row r="952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</row>
    <row r="953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</row>
    <row r="954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</row>
    <row r="95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</row>
    <row r="956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</row>
    <row r="957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</row>
    <row r="958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</row>
    <row r="959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</row>
    <row r="960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</row>
    <row r="96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</row>
    <row r="962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</row>
    <row r="963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</row>
    <row r="964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</row>
    <row r="96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</row>
    <row r="966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</row>
    <row r="967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</row>
    <row r="968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</row>
    <row r="969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</row>
    <row r="970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</row>
    <row r="97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</row>
    <row r="972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</row>
    <row r="973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</row>
    <row r="974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</row>
    <row r="97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</row>
    <row r="976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</row>
    <row r="977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</row>
    <row r="978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</row>
    <row r="979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</row>
    <row r="980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</row>
    <row r="98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</row>
    <row r="982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</row>
    <row r="983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</row>
    <row r="984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</row>
    <row r="98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</row>
    <row r="986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</row>
    <row r="987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</row>
    <row r="988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</row>
    <row r="989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</row>
    <row r="990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</row>
    <row r="99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</row>
    <row r="992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</row>
    <row r="993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</row>
    <row r="994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</row>
    <row r="99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</row>
    <row r="996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</row>
    <row r="997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</row>
    <row r="998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</row>
    <row r="999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</row>
    <row r="1000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</row>
  </sheetData>
  <drawing r:id="rId1"/>
</worksheet>
</file>